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def2626ec948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12514d1b052542b9"/>
    <x:sheet xmlns:r="http://schemas.openxmlformats.org/officeDocument/2006/relationships" name="Executive Gantt" sheetId="2" r:id="R5debdfede2ad46ff"/>
    <x:sheet xmlns:r="http://schemas.openxmlformats.org/officeDocument/2006/relationships" name="Detailed Gantt" sheetId="3" r:id="R819720973e8949b5"/>
    <x:sheet xmlns:r="http://schemas.openxmlformats.org/officeDocument/2006/relationships" name="Weekly Control" sheetId="4" r:id="Rce42977e4edc4adb"/>
    <x:sheet xmlns:r="http://schemas.openxmlformats.org/officeDocument/2006/relationships" name="Phase Summary" sheetId="5" r:id="Rf3d0c24df26a4bda"/>
    <x:sheet xmlns:r="http://schemas.openxmlformats.org/officeDocument/2006/relationships" name="Assumptions &amp; Gates" sheetId="6" r:id="R618e46bc98ce4650"/>
    <x:sheet xmlns:r="http://schemas.openxmlformats.org/officeDocument/2006/relationships" name="Sources" sheetId="7" r:id="R877f7712592044b3"/>
    <x:sheet xmlns:r="http://schemas.openxmlformats.org/officeDocument/2006/relationships" name="Legacy Baseline" sheetId="8" r:id="Rf78e5eb0e3f24bba"/>
    <x:sheet xmlns:r="http://schemas.openxmlformats.org/officeDocument/2006/relationships" name="Work Block Log" sheetId="9" r:id="R31f7feaf67ca44bf"/>
    <x:sheet xmlns:r="http://schemas.openxmlformats.org/officeDocument/2006/relationships" name="Decision Register" sheetId="10" r:id="Ra7d450d13b4a47f7"/>
    <x:sheet xmlns:r="http://schemas.openxmlformats.org/officeDocument/2006/relationships" name="Risks &amp; Issues" sheetId="11" r:id="Rd087fe7d8e1c423a"/>
    <x:sheet xmlns:r="http://schemas.openxmlformats.org/officeDocument/2006/relationships" name="Evidence Register" sheetId="12" r:id="Rd912c8f633874593"/>
    <x:sheet xmlns:r="http://schemas.openxmlformats.org/officeDocument/2006/relationships" name="Expansion Backlog" sheetId="13" r:id="Rae2070f022be4005"/>
    <x:sheet xmlns:r="http://schemas.openxmlformats.org/officeDocument/2006/relationships" name="AI Context" sheetId="14" r:id="R6d230da564dd4b13"/>
    <x:sheet xmlns:r="http://schemas.openxmlformats.org/officeDocument/2006/relationships" name="MVP Dashboard" sheetId="15" r:id="Rec7ef78969a04a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164" formatCode="yyyy\-mm\-dd"/>
    <x:numFmt numFmtId="165" formatCode="0.0%"/>
    <x:numFmt numFmtId="166" formatCode="mmm\ d"/>
    <x:numFmt numFmtId="200" formatCode="yyyy-mm-dd"/>
    <x:numFmt numFmtId="201" formatCode="0.00"/>
    <x:numFmt numFmtId="202" formatCode="mmm d"/>
    <x:numFmt numFmtId="203" formatCode="0%"/>
    <x:numFmt numFmtId="204" formatCode="0.0"/>
    <x:numFmt numFmtId="205" formatCode="0"/>
  </x:numFmts>
  <x:fonts count="17">
    <x:font>
      <x:sz val="11"/>
      <x:name val="Carlito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name val="Aptos"/>
    </x:font>
    <x:font>
      <x:b/>
      <x:sz val="10"/>
      <x:color rgb="FF0F172A"/>
      <x:name val="Aptos"/>
    </x:font>
    <x:font>
      <x:b/>
      <x:sz val="16"/>
      <x:name val="Aptos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i/>
      <x:sz val="10"/>
      <x:color rgb="FF0F172A"/>
      <x:name val="Aptos"/>
    </x:font>
    <x:font>
      <x:i/>
      <x:sz val="10"/>
      <x:name val="Aptos"/>
    </x:font>
    <x:font>
      <x:b/>
      <x:sz val="12"/>
      <x:color rgb="FFFFFFFF"/>
      <x:name val="Aptos"/>
    </x:font>
    <x:font>
      <x:b/>
      <x:sz val="12"/>
      <x:color rgb="FFFFFFFF"/>
      <x:name val="Carlito"/>
    </x:font>
    <x:font>
      <x:b/>
      <x:sz val="11"/>
      <x:name val="Carlito"/>
    </x:font>
    <x:font>
      <x:sz val="10"/>
      <x:color rgb="FF000000"/>
      <x:name val="Aptos"/>
    </x:font>
    <x:font>
      <x:i/>
      <x:sz val="10"/>
      <x:color rgb="FF000000"/>
      <x:name val="Aptos"/>
    </x:font>
  </x:fonts>
  <x:fills count="31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334155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1E3A5F"/>
      </x:patternFill>
    </x:fill>
    <x:fill>
      <x:patternFill patternType="solid">
        <x:fgColor rgb="FF64748B"/>
      </x:patternFill>
    </x:fill>
    <x:fill>
      <x:patternFill patternType="solid">
        <x:fgColor rgb="FF2563EB"/>
      </x:patternFill>
    </x:fill>
    <x:fill>
      <x:patternFill patternType="solid">
        <x:fgColor rgb="FF0F766E"/>
      </x:patternFill>
    </x:fill>
    <x:fill>
      <x:patternFill patternType="solid">
        <x:fgColor rgb="FF7C3AED"/>
      </x:patternFill>
    </x:fill>
    <x:fill>
      <x:patternFill patternType="solid">
        <x:fgColor rgb="FFD97706"/>
      </x:patternFill>
    </x:fill>
    <x:fill>
      <x:patternFill patternType="solid">
        <x:fgColor rgb="FFB91C1C"/>
      </x:patternFill>
    </x:fill>
    <x:fill>
      <x:patternFill patternType="solid">
        <x:fgColor rgb="FF0891B2"/>
      </x:patternFill>
    </x:fill>
    <x:fill>
      <x:patternFill patternType="solid">
        <x:fgColor rgb="FF15803D"/>
      </x:patternFill>
    </x:fill>
    <x:fill>
      <x:patternFill patternType="solid">
        <x:fgColor rgb="FFF59E0B"/>
      </x:patternFill>
    </x:fill>
    <x:fill>
      <x:patternFill patternType="solid">
        <x:fgColor rgb="FFFEF3C7"/>
      </x:patternFill>
    </x:fill>
    <x:fill>
      <x:patternFill patternType="solid">
        <x:fgColor rgb="FFFFF7ED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1F2"/>
      </x:patternFill>
    </x:fill>
    <x:fill>
      <x:patternFill patternType="solid">
        <x:fgColor rgb="FF7F8C8D"/>
      </x:patternFill>
    </x:fill>
    <x:fill>
      <x:patternFill patternType="solid">
        <x:fgColor rgb="FFEAF3F8"/>
      </x:patternFill>
    </x:fill>
    <x:fill>
      <x:patternFill patternType="solid">
        <x:fgColor rgb="FF2F75B5"/>
      </x:patternFill>
    </x:fill>
    <x:fill>
      <x:patternFill patternType="solid">
        <x:fgColor rgb="FF0F766E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548235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</x:fills>
  <x:borders count="17"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626">
    <x:xf numFmtId="0" fontId="0" fillId="0" borderId="0" xfId="0"/>
    <x:xf numFmtId="0" fontId="3" fillId="0" borderId="0" xfId="0" applyFont="1"/>
    <x:xf numFmtId="0" fontId="2" fillId="3" borderId="0" xfId="0" applyFont="1" applyFill="1" applyAlignment="1">
      <x:alignment vertical="center" wrapText="1"/>
    </x:xf>
    <x:xf numFmtId="164" fontId="3" fillId="4" borderId="1" xfId="0" applyNumberFormat="1" applyFont="1" applyFill="1" applyBorder="1" applyAlignment="1">
      <x:alignment wrapText="1"/>
    </x:xf>
    <x:xf numFmtId="0" fontId="2" fillId="3" borderId="0" xfId="0" applyFont="1" applyFill="1" applyAlignment="1">
      <x:alignment vertical="center"/>
    </x:xf>
    <x:xf numFmtId="164" fontId="3" fillId="4" borderId="2" xfId="0" applyNumberFormat="1" applyFont="1" applyFill="1" applyBorder="1" applyAlignment="1">
      <x:alignment wrapText="1"/>
    </x:xf>
    <x:xf numFmtId="0" fontId="4" fillId="5" borderId="0" xfId="0" applyFont="1" applyFill="1" applyAlignment="1">
      <x:alignment horizontal="center"/>
    </x:xf>
    <x:xf numFmtId="0" fontId="3" fillId="0" borderId="4" xfId="0" applyFont="1" applyBorder="1" applyAlignment="1">
      <x:alignment vertical="top" wrapText="1"/>
    </x:xf>
    <x:xf numFmtId="0" fontId="3" fillId="0" borderId="5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3" fillId="4" borderId="2" xfId="0" applyFont="1" applyFill="1" applyBorder="1" applyAlignment="1">
      <x:alignment wrapText="1"/>
    </x:xf>
    <x:xf numFmtId="0" fontId="3" fillId="0" borderId="7" xfId="0" applyFont="1" applyBorder="1" applyAlignment="1">
      <x:alignment vertical="top" wrapText="1"/>
    </x:xf>
    <x:xf numFmtId="0" fontId="3" fillId="0" borderId="0" xfId="0" applyFont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1" fontId="3" fillId="4" borderId="2" xfId="0" applyNumberFormat="1" applyFont="1" applyFill="1" applyBorder="1" applyAlignment="1">
      <x:alignment wrapText="1"/>
    </x:xf>
    <x:xf numFmtId="0" fontId="3" fillId="0" borderId="9" xfId="0" applyFont="1" applyBorder="1" applyAlignment="1">
      <x:alignment vertical="top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0" fontId="3" fillId="4" borderId="3" xfId="0" applyFont="1" applyFill="1" applyBorder="1" applyAlignment="1">
      <x:alignment wrapText="1"/>
    </x:xf>
    <x:xf numFmtId="0" fontId="2" fillId="6" borderId="0" xfId="0" applyFont="1" applyFill="1" applyAlignment="1">
      <x:alignment horizontal="center" vertical="center" wrapText="1"/>
    </x:xf>
    <x:xf numFmtId="0" fontId="3" fillId="0" borderId="12" xfId="0" applyFont="1" applyBorder="1" applyAlignment="1">
      <x:alignment vertical="top" wrapText="1"/>
    </x:xf>
    <x:xf numFmtId="0" fontId="2" fillId="7" borderId="13" xfId="0" applyFont="1" applyFill="1" applyBorder="1" applyAlignment="1">
      <x:alignment vertical="top" wrapText="1"/>
    </x:xf>
    <x:xf numFmtId="0" fontId="3" fillId="0" borderId="13" xfId="0" applyFont="1" applyBorder="1" applyAlignment="1">
      <x:alignment vertical="top" wrapText="1"/>
    </x:xf>
    <x:xf numFmtId="165" fontId="3" fillId="0" borderId="13" xfId="0" applyNumberFormat="1" applyFont="1" applyBorder="1" applyAlignment="1">
      <x:alignment vertical="top" wrapText="1"/>
    </x:xf>
    <x:xf numFmtId="164" fontId="3" fillId="0" borderId="13" xfId="0" applyNumberFormat="1" applyFont="1" applyBorder="1" applyAlignment="1">
      <x:alignment vertical="top" wrapText="1"/>
    </x:xf>
    <x:xf numFmtId="0" fontId="3" fillId="0" borderId="14" xfId="0" applyFont="1" applyBorder="1" applyAlignment="1">
      <x:alignment vertical="top" wrapText="1"/>
    </x:xf>
    <x:xf numFmtId="0" fontId="2" fillId="7" borderId="15" xfId="0" applyFont="1" applyFill="1" applyBorder="1" applyAlignment="1">
      <x:alignment horizontal="center"/>
    </x:xf>
    <x:xf numFmtId="0" fontId="2" fillId="8" borderId="13" xfId="0" applyFont="1" applyFill="1" applyBorder="1" applyAlignment="1">
      <x:alignment vertical="top" wrapText="1"/>
    </x:xf>
    <x:xf numFmtId="0" fontId="2" fillId="8" borderId="15" xfId="0" applyFont="1" applyFill="1" applyBorder="1" applyAlignment="1">
      <x:alignment horizontal="center"/>
    </x:xf>
    <x:xf numFmtId="0" fontId="3" fillId="4" borderId="15" xfId="0" applyFont="1" applyFill="1" applyBorder="1"/>
    <x:xf numFmtId="0" fontId="2" fillId="9" borderId="13" xfId="0" applyFont="1" applyFill="1" applyBorder="1" applyAlignment="1">
      <x:alignment vertical="top" wrapText="1"/>
    </x:xf>
    <x:xf numFmtId="0" fontId="2" fillId="9" borderId="15" xfId="0" applyFont="1" applyFill="1" applyBorder="1" applyAlignment="1">
      <x:alignment horizontal="center"/>
    </x:xf>
    <x:xf numFmtId="0" fontId="2" fillId="10" borderId="13" xfId="0" applyFont="1" applyFill="1" applyBorder="1" applyAlignment="1">
      <x:alignment vertical="top" wrapText="1"/>
    </x:xf>
    <x:xf numFmtId="0" fontId="2" fillId="10" borderId="15" xfId="0" applyFont="1" applyFill="1" applyBorder="1" applyAlignment="1">
      <x:alignment horizontal="center"/>
    </x:xf>
    <x:xf numFmtId="0" fontId="2" fillId="11" borderId="13" xfId="0" applyFont="1" applyFill="1" applyBorder="1" applyAlignment="1">
      <x:alignment vertical="top" wrapText="1"/>
    </x:xf>
    <x:xf numFmtId="0" fontId="2" fillId="11" borderId="15" xfId="0" applyFont="1" applyFill="1" applyBorder="1" applyAlignment="1">
      <x:alignment horizontal="center"/>
    </x:xf>
    <x:xf numFmtId="0" fontId="2" fillId="12" borderId="13" xfId="0" applyFont="1" applyFill="1" applyBorder="1" applyAlignment="1">
      <x:alignment vertical="top" wrapText="1"/>
    </x:xf>
    <x:xf numFmtId="0" fontId="2" fillId="12" borderId="15" xfId="0" applyFont="1" applyFill="1" applyBorder="1" applyAlignment="1">
      <x:alignment horizontal="center"/>
    </x:xf>
    <x:xf numFmtId="0" fontId="2" fillId="13" borderId="13" xfId="0" applyFont="1" applyFill="1" applyBorder="1" applyAlignment="1">
      <x:alignment vertical="top" wrapText="1"/>
    </x:xf>
    <x:xf numFmtId="0" fontId="2" fillId="13" borderId="15" xfId="0" applyFont="1" applyFill="1" applyBorder="1" applyAlignment="1">
      <x:alignment horizontal="center"/>
    </x:xf>
    <x:xf numFmtId="0" fontId="2" fillId="14" borderId="13" xfId="0" applyFont="1" applyFill="1" applyBorder="1" applyAlignment="1">
      <x:alignment vertical="top" wrapText="1"/>
    </x:xf>
    <x:xf numFmtId="0" fontId="2" fillId="14" borderId="15" xfId="0" applyFont="1" applyFill="1" applyBorder="1" applyAlignment="1">
      <x:alignment horizontal="center"/>
    </x:xf>
    <x:xf numFmtId="0" fontId="2" fillId="2" borderId="13" xfId="0" applyFont="1" applyFill="1" applyBorder="1"/>
    <x:xf numFmtId="9" fontId="2" fillId="2" borderId="13" xfId="0" applyNumberFormat="1" applyFont="1" applyFill="1" applyBorder="1"/>
    <x:xf numFmtId="0" fontId="2" fillId="2" borderId="14" xfId="0" applyFont="1" applyFill="1" applyBorder="1"/>
    <x:xf numFmtId="164" fontId="2" fillId="3" borderId="0" xfId="0" applyNumberFormat="1" applyFont="1" applyFill="1" applyAlignment="1">
      <x:alignment vertical="center"/>
    </x:xf>
    <x:xf numFmtId="166" fontId="5" fillId="5" borderId="0" xfId="0" applyNumberFormat="1" applyFont="1" applyFill="1" applyAlignment="1">
      <x:alignment horizontal="center" vertical="center" wrapText="1"/>
    </x:xf>
    <x:xf numFmtId="0" fontId="3" fillId="0" borderId="13" xfId="0" applyFont="1" applyBorder="1" applyAlignment="1">
      <x:alignment horizontal="center" vertical="top" wrapText="1"/>
    </x:xf>
    <x:xf numFmtId="164" fontId="3" fillId="0" borderId="13" xfId="0" applyNumberFormat="1" applyFont="1" applyBorder="1" applyAlignment="1">
      <x:alignment horizontal="center" vertical="top" wrapText="1"/>
    </x:xf>
    <x:xf numFmtId="9" fontId="3" fillId="0" borderId="13" xfId="0" applyNumberFormat="1" applyFont="1" applyBorder="1" applyAlignment="1">
      <x:alignment horizontal="center" vertical="top" wrapText="1"/>
    </x:xf>
    <x:xf numFmtId="0" fontId="2" fillId="7" borderId="15" xfId="0" applyFont="1" applyFill="1" applyBorder="1" applyAlignment="1">
      <x:alignment horizontal="center" vertical="center"/>
    </x:xf>
    <x:xf numFmtId="0" fontId="3" fillId="0" borderId="5" xfId="0" applyFont="1" applyBorder="1" applyAlignment="1">
      <x:alignment horizontal="center"/>
    </x:xf>
    <x:xf numFmtId="0" fontId="3" fillId="0" borderId="6" xfId="0" applyFont="1" applyBorder="1" applyAlignment="1">
      <x:alignment horizontal="center"/>
    </x:xf>
    <x:xf numFmtId="0" fontId="3" fillId="0" borderId="0" xfId="0" applyFont="1" applyAlignment="1">
      <x:alignment horizontal="center"/>
    </x:xf>
    <x:xf numFmtId="0" fontId="3" fillId="0" borderId="8" xfId="0" applyFont="1" applyBorder="1" applyAlignment="1">
      <x:alignment horizontal="center"/>
    </x:xf>
    <x:xf numFmtId="0" fontId="2" fillId="7" borderId="12" xfId="0" applyFont="1" applyFill="1" applyBorder="1" applyAlignment="1">
      <x:alignment horizontal="center" vertical="center"/>
    </x:xf>
    <x:xf numFmtId="0" fontId="2" fillId="7" borderId="14" xfId="0" applyFont="1" applyFill="1" applyBorder="1" applyAlignment="1">
      <x:alignment horizontal="center" vertical="center"/>
    </x:xf>
    <x:xf numFmtId="0" fontId="3" fillId="0" borderId="7" xfId="0" applyFont="1" applyBorder="1" applyAlignment="1">
      <x:alignment horizontal="center"/>
    </x:xf>
    <x:xf numFmtId="0" fontId="2" fillId="7" borderId="13" xfId="0" applyFont="1" applyFill="1" applyBorder="1" applyAlignment="1">
      <x:alignment horizontal="center" vertical="center"/>
    </x:xf>
    <x:xf numFmtId="0" fontId="2" fillId="8" borderId="15" xfId="0" applyFont="1" applyFill="1" applyBorder="1" applyAlignment="1">
      <x:alignment horizontal="center" vertical="center"/>
    </x:xf>
    <x:xf numFmtId="0" fontId="2" fillId="8" borderId="12" xfId="0" applyFont="1" applyFill="1" applyBorder="1" applyAlignment="1">
      <x:alignment horizontal="center" vertical="center"/>
    </x:xf>
    <x:xf numFmtId="0" fontId="2" fillId="8" borderId="14" xfId="0" applyFont="1" applyFill="1" applyBorder="1" applyAlignment="1">
      <x:alignment horizontal="center" vertical="center"/>
    </x:xf>
    <x:xf numFmtId="0" fontId="2" fillId="8" borderId="13" xfId="0" applyFont="1" applyFill="1" applyBorder="1" applyAlignment="1">
      <x:alignment horizontal="center" vertical="center"/>
    </x:xf>
    <x:xf numFmtId="0" fontId="2" fillId="9" borderId="15" xfId="0" applyFont="1" applyFill="1" applyBorder="1" applyAlignment="1">
      <x:alignment horizontal="center" vertical="center"/>
    </x:xf>
    <x:xf numFmtId="0" fontId="2" fillId="9" borderId="12" xfId="0" applyFont="1" applyFill="1" applyBorder="1" applyAlignment="1">
      <x:alignment horizontal="center" vertical="center"/>
    </x:xf>
    <x:xf numFmtId="0" fontId="2" fillId="9" borderId="14" xfId="0" applyFont="1" applyFill="1" applyBorder="1" applyAlignment="1">
      <x:alignment horizontal="center" vertical="center"/>
    </x:xf>
    <x:xf numFmtId="0" fontId="2" fillId="10" borderId="12" xfId="0" applyFont="1" applyFill="1" applyBorder="1" applyAlignment="1">
      <x:alignment horizontal="center" vertical="center"/>
    </x:xf>
    <x:xf numFmtId="0" fontId="2" fillId="10" borderId="14" xfId="0" applyFont="1" applyFill="1" applyBorder="1" applyAlignment="1">
      <x:alignment horizontal="center" vertical="center"/>
    </x:xf>
    <x:xf numFmtId="0" fontId="2" fillId="10" borderId="15" xfId="0" applyFont="1" applyFill="1" applyBorder="1" applyAlignment="1">
      <x:alignment horizontal="center" vertical="center"/>
    </x:xf>
    <x:xf numFmtId="0" fontId="2" fillId="11" borderId="15" xfId="0" applyFont="1" applyFill="1" applyBorder="1" applyAlignment="1">
      <x:alignment horizontal="center" vertical="center"/>
    </x:xf>
    <x:xf numFmtId="0" fontId="2" fillId="11" borderId="12" xfId="0" applyFont="1" applyFill="1" applyBorder="1" applyAlignment="1">
      <x:alignment horizontal="center" vertical="center"/>
    </x:xf>
    <x:xf numFmtId="0" fontId="2" fillId="11" borderId="14" xfId="0" applyFont="1" applyFill="1" applyBorder="1" applyAlignment="1">
      <x:alignment horizontal="center" vertical="center"/>
    </x:xf>
    <x:xf numFmtId="0" fontId="2" fillId="11" borderId="13" xfId="0" applyFont="1" applyFill="1" applyBorder="1" applyAlignment="1">
      <x:alignment horizontal="center" vertical="center"/>
    </x:xf>
    <x:xf numFmtId="0" fontId="2" fillId="12" borderId="15" xfId="0" applyFont="1" applyFill="1" applyBorder="1" applyAlignment="1">
      <x:alignment horizontal="center" vertical="center"/>
    </x:xf>
    <x:xf numFmtId="0" fontId="2" fillId="12" borderId="12" xfId="0" applyFont="1" applyFill="1" applyBorder="1" applyAlignment="1">
      <x:alignment horizontal="center" vertical="center"/>
    </x:xf>
    <x:xf numFmtId="0" fontId="2" fillId="12" borderId="14" xfId="0" applyFont="1" applyFill="1" applyBorder="1" applyAlignment="1">
      <x:alignment horizontal="center" vertical="center"/>
    </x:xf>
    <x:xf numFmtId="0" fontId="2" fillId="13" borderId="15" xfId="0" applyFont="1" applyFill="1" applyBorder="1" applyAlignment="1">
      <x:alignment horizontal="center" vertical="center"/>
    </x:xf>
    <x:xf numFmtId="0" fontId="2" fillId="13" borderId="12" xfId="0" applyFont="1" applyFill="1" applyBorder="1" applyAlignment="1">
      <x:alignment horizontal="center" vertical="center"/>
    </x:xf>
    <x:xf numFmtId="0" fontId="2" fillId="13" borderId="14" xfId="0" applyFont="1" applyFill="1" applyBorder="1" applyAlignment="1">
      <x:alignment horizontal="center" vertical="center"/>
    </x:xf>
    <x:xf numFmtId="0" fontId="2" fillId="14" borderId="15" xfId="0" applyFont="1" applyFill="1" applyBorder="1" applyAlignment="1">
      <x:alignment horizontal="center" vertical="center"/>
    </x:xf>
    <x:xf numFmtId="0" fontId="2" fillId="14" borderId="12" xfId="0" applyFont="1" applyFill="1" applyBorder="1" applyAlignment="1">
      <x:alignment horizontal="center" vertical="center"/>
    </x:xf>
    <x:xf numFmtId="0" fontId="2" fillId="14" borderId="14" xfId="0" applyFont="1" applyFill="1" applyBorder="1" applyAlignment="1">
      <x:alignment horizontal="center" vertical="center"/>
    </x:xf>
    <x:xf numFmtId="0" fontId="3" fillId="0" borderId="9" xfId="0" applyFont="1" applyBorder="1" applyAlignment="1">
      <x:alignment horizontal="center"/>
    </x:xf>
    <x:xf numFmtId="0" fontId="3" fillId="0" borderId="10" xfId="0" applyFont="1" applyBorder="1" applyAlignment="1">
      <x:alignment horizontal="center"/>
    </x:xf>
    <x:xf numFmtId="0" fontId="3" fillId="0" borderId="12" xfId="0" applyFont="1" applyBorder="1" applyAlignment="1">
      <x:alignment wrapText="1"/>
    </x:xf>
    <x:xf numFmtId="164" fontId="3" fillId="0" borderId="13" xfId="0" applyNumberFormat="1" applyFont="1" applyBorder="1" applyAlignment="1">
      <x:alignment wrapText="1"/>
    </x:xf>
    <x:xf numFmtId="0" fontId="3" fillId="0" borderId="13" xfId="0" applyFont="1" applyBorder="1" applyAlignment="1">
      <x:alignment wrapText="1"/>
    </x:xf>
    <x:xf numFmtId="0" fontId="3" fillId="0" borderId="14" xfId="0" applyFont="1" applyBorder="1" applyAlignment="1">
      <x:alignment wrapText="1"/>
    </x:xf>
    <x:xf numFmtId="0" fontId="3" fillId="17" borderId="12" xfId="0" applyFont="1" applyFill="1" applyBorder="1" applyAlignment="1">
      <x:alignment wrapText="1"/>
    </x:xf>
    <x:xf numFmtId="164" fontId="3" fillId="17" borderId="13" xfId="0" applyNumberFormat="1" applyFont="1" applyFill="1" applyBorder="1" applyAlignment="1">
      <x:alignment wrapText="1"/>
    </x:xf>
    <x:xf numFmtId="0" fontId="3" fillId="17" borderId="13" xfId="0" applyFont="1" applyFill="1" applyBorder="1" applyAlignment="1">
      <x:alignment wrapText="1"/>
    </x:xf>
    <x:xf numFmtId="0" fontId="3" fillId="17" borderId="14" xfId="0" applyFont="1" applyFill="1" applyBorder="1" applyAlignment="1">
      <x:alignment wrapText="1"/>
    </x:xf>
    <x:xf numFmtId="0" fontId="2" fillId="7" borderId="13" xfId="0" applyFont="1" applyFill="1" applyBorder="1" applyAlignment="1">
      <x:alignment wrapText="1"/>
    </x:xf>
    <x:xf numFmtId="165" fontId="3" fillId="0" borderId="13" xfId="0" applyNumberFormat="1" applyFont="1" applyBorder="1" applyAlignment="1">
      <x:alignment wrapText="1"/>
    </x:xf>
    <x:xf numFmtId="164" fontId="3" fillId="0" borderId="14" xfId="0" applyNumberFormat="1" applyFont="1" applyBorder="1" applyAlignment="1">
      <x:alignment wrapText="1"/>
    </x:xf>
    <x:xf numFmtId="0" fontId="2" fillId="8" borderId="13" xfId="0" applyFont="1" applyFill="1" applyBorder="1" applyAlignment="1">
      <x:alignment wrapText="1"/>
    </x:xf>
    <x:xf numFmtId="0" fontId="2" fillId="9" borderId="13" xfId="0" applyFont="1" applyFill="1" applyBorder="1" applyAlignment="1">
      <x:alignment wrapText="1"/>
    </x:xf>
    <x:xf numFmtId="0" fontId="2" fillId="10" borderId="13" xfId="0" applyFont="1" applyFill="1" applyBorder="1" applyAlignment="1">
      <x:alignment wrapText="1"/>
    </x:xf>
    <x:xf numFmtId="0" fontId="2" fillId="11" borderId="13" xfId="0" applyFont="1" applyFill="1" applyBorder="1" applyAlignment="1">
      <x:alignment wrapText="1"/>
    </x:xf>
    <x:xf numFmtId="0" fontId="2" fillId="12" borderId="13" xfId="0" applyFont="1" applyFill="1" applyBorder="1" applyAlignment="1">
      <x:alignment wrapText="1"/>
    </x:xf>
    <x:xf numFmtId="0" fontId="2" fillId="13" borderId="13" xfId="0" applyFont="1" applyFill="1" applyBorder="1" applyAlignment="1">
      <x:alignment wrapText="1"/>
    </x:xf>
    <x:xf numFmtId="0" fontId="2" fillId="14" borderId="13" xfId="0" applyFont="1" applyFill="1" applyBorder="1" applyAlignment="1">
      <x:alignment wrapText="1"/>
    </x:xf>
    <x:xf numFmtId="0" fontId="5" fillId="5" borderId="0" xfId="0" applyFont="1" applyFill="1" applyAlignment="1">
      <x:alignment horizontal="center" vertical="center" wrapText="1"/>
    </x:xf>
    <x:xf numFmtId="0" fontId="3" fillId="0" borderId="1" xfId="0" applyFont="1" applyBorder="1" applyAlignment="1">
      <x:alignment vertical="top" wrapText="1"/>
    </x:xf>
    <x:xf numFmtId="0" fontId="3" fillId="0" borderId="2" xfId="0" applyFont="1" applyBorder="1" applyAlignment="1">
      <x:alignment vertical="top" wrapText="1"/>
    </x:xf>
    <x:xf numFmtId="0" fontId="3" fillId="0" borderId="3" xfId="0" applyFont="1" applyBorder="1" applyAlignment="1">
      <x:alignment vertical="top" wrapText="1"/>
    </x:xf>
    <x:xf numFmtId="0" fontId="5" fillId="15" borderId="15" xfId="0" applyFont="1" applyFill="1" applyBorder="1" applyAlignment="1">
      <x:alignment vertical="top" wrapText="1"/>
    </x:xf>
    <x:xf numFmtId="0" fontId="6" fillId="0" borderId="0" xfId="0" applyFont="1"/>
    <x:xf numFmtId="9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wrapText="1"/>
    </x:xf>
    <x:xf numFmtId="0" fontId="3" fillId="4" borderId="4" xfId="0" applyFont="1" applyFill="1" applyBorder="1" applyAlignment="1">
      <x:alignment vertical="top" wrapText="1"/>
    </x:xf>
    <x:xf numFmtId="0" fontId="3" fillId="4" borderId="5" xfId="0" applyFont="1" applyFill="1" applyBorder="1" applyAlignment="1">
      <x:alignment vertical="top" wrapText="1"/>
    </x:xf>
    <x:xf numFmtId="0" fontId="3" fillId="4" borderId="6" xfId="0" applyFont="1" applyFill="1" applyBorder="1" applyAlignment="1">
      <x:alignment vertical="top" wrapText="1"/>
    </x:xf>
    <x:xf numFmtId="0" fontId="3" fillId="4" borderId="7" xfId="0" applyFont="1" applyFill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3" fillId="4" borderId="8" xfId="0" applyFont="1" applyFill="1" applyBorder="1" applyAlignment="1">
      <x:alignment vertical="top" wrapText="1"/>
    </x:xf>
    <x:xf numFmtId="0" fontId="3" fillId="4" borderId="9" xfId="0" applyFont="1" applyFill="1" applyBorder="1" applyAlignment="1">
      <x:alignment vertical="top" wrapText="1"/>
    </x:xf>
    <x:xf numFmtId="0" fontId="3" fillId="4" borderId="10" xfId="0" applyFont="1" applyFill="1" applyBorder="1" applyAlignment="1">
      <x:alignment vertical="top" wrapText="1"/>
    </x:xf>
    <x:xf numFmtId="0" fontId="3" fillId="4" borderId="11" xfId="0" applyFont="1" applyFill="1" applyBorder="1" applyAlignment="1">
      <x:alignment vertical="top" wrapText="1"/>
    </x:xf>
    <x:xf numFmtId="0" fontId="3" fillId="0" borderId="7" xfId="0" applyFont="1" applyBorder="1" applyAlignment="1">
      <x:alignment vertical="top" wrapText="1"/>
    </x:xf>
    <x:xf numFmtId="0" fontId="3" fillId="0" borderId="0" xfId="0" applyFont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0" fontId="3" fillId="0" borderId="9" xfId="0" applyFont="1" applyBorder="1" applyAlignment="1">
      <x:alignment vertical="top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0" fontId="2" fillId="3" borderId="0" xfId="0" applyFont="1" applyFill="1" applyAlignment="1">
      <x:alignment vertical="center"/>
    </x:xf>
    <x:xf numFmtId="0" fontId="1" fillId="2" borderId="0" xfId="0" applyFont="1" applyFill="1" applyAlignment="1">
      <x:alignment vertical="center"/>
    </x:xf>
    <x:xf numFmtId="0" fontId="3" fillId="0" borderId="4" xfId="0" applyFont="1" applyBorder="1" applyAlignment="1">
      <x:alignment vertical="top" wrapText="1"/>
    </x:xf>
    <x:xf numFmtId="0" fontId="3" fillId="0" borderId="5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2" fillId="2" borderId="12" xfId="0" applyFont="1" applyFill="1" applyBorder="1"/>
    <x:xf numFmtId="0" fontId="2" fillId="2" borderId="13" xfId="0" applyFont="1" applyFill="1" applyBorder="1"/>
    <x:xf numFmtId="0" fontId="5" fillId="15" borderId="0" xfId="0" applyFont="1" applyFill="1"/>
    <x:xf numFmtId="0" fontId="3" fillId="16" borderId="0" xfId="0" applyFont="1" applyFill="1" applyAlignment="1">
      <x:alignment wrapText="1"/>
    </x:xf>
    <x:xf numFmtId="0" fontId="0" fillId="0" borderId="16" xfId="0" applyNumberFormat="1" applyFont="1" applyFill="1" applyBorder="1"/>
    <x:xf numFmtId="0" fontId="3" fillId="0" borderId="16" xfId="0" applyNumberFormat="1" applyFont="1" applyFill="1" applyBorder="1"/>
    <x:xf numFmtId="0" fontId="2" fillId="3" borderId="16" xfId="0" applyNumberFormat="1" applyFont="1" applyFill="1" applyBorder="1" applyAlignment="1">
      <x:alignment vertical="center" wrapText="1"/>
    </x:xf>
    <x:xf numFmtId="164" fontId="3" fillId="4" borderId="16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vertical="center"/>
    </x:xf>
    <x:xf numFmtId="0" fontId="4" fillId="5" borderId="16" xfId="0" applyNumberFormat="1" applyFont="1" applyFill="1" applyBorder="1" applyAlignment="1">
      <x:alignment horizontal="center"/>
    </x:xf>
    <x:xf numFmtId="0" fontId="3" fillId="0" borderId="16" xfId="0" applyNumberFormat="1" applyFont="1" applyFill="1" applyBorder="1" applyAlignment="1">
      <x:alignment vertical="top" wrapText="1"/>
    </x:xf>
    <x:xf numFmtId="0" fontId="3" fillId="4" borderId="16" xfId="0" applyNumberFormat="1" applyFont="1" applyFill="1" applyBorder="1" applyAlignment="1">
      <x:alignment wrapText="1"/>
    </x:xf>
    <x:xf numFmtId="1" fontId="3" fillId="4" borderId="16" xfId="0" applyNumberFormat="1" applyFont="1" applyFill="1" applyBorder="1" applyAlignment="1">
      <x:alignment wrapText="1"/>
    </x:xf>
    <x:xf numFmtId="0" fontId="2" fillId="6" borderId="16" xfId="0" applyNumberFormat="1" applyFont="1" applyFill="1" applyBorder="1" applyAlignment="1">
      <x:alignment horizontal="center" vertical="center" wrapText="1"/>
    </x:xf>
    <x:xf numFmtId="0" fontId="2" fillId="7" borderId="16" xfId="0" applyNumberFormat="1" applyFont="1" applyFill="1" applyBorder="1" applyAlignment="1">
      <x:alignment vertical="top" wrapText="1"/>
    </x:xf>
    <x:xf numFmtId="165" fontId="3" fillId="0" borderId="16" xfId="0" applyNumberFormat="1" applyFont="1" applyFill="1" applyBorder="1" applyAlignment="1">
      <x:alignment vertical="top" wrapText="1"/>
    </x:xf>
    <x:xf numFmtId="164" fontId="3" fillId="0" borderId="16" xfId="0" applyNumberFormat="1" applyFont="1" applyFill="1" applyBorder="1" applyAlignment="1">
      <x:alignment vertical="top" wrapText="1"/>
    </x:xf>
    <x:xf numFmtId="0" fontId="2" fillId="7" borderId="16" xfId="0" applyNumberFormat="1" applyFont="1" applyFill="1" applyBorder="1" applyAlignment="1">
      <x:alignment horizontal="center"/>
    </x:xf>
    <x:xf numFmtId="0" fontId="2" fillId="8" borderId="16" xfId="0" applyNumberFormat="1" applyFont="1" applyFill="1" applyBorder="1" applyAlignment="1">
      <x:alignment vertical="top" wrapText="1"/>
    </x:xf>
    <x:xf numFmtId="0" fontId="2" fillId="8" borderId="16" xfId="0" applyNumberFormat="1" applyFont="1" applyFill="1" applyBorder="1" applyAlignment="1">
      <x:alignment horizontal="center"/>
    </x:xf>
    <x:xf numFmtId="0" fontId="3" fillId="4" borderId="16" xfId="0" applyNumberFormat="1" applyFont="1" applyFill="1" applyBorder="1"/>
    <x:xf numFmtId="0" fontId="2" fillId="9" borderId="16" xfId="0" applyNumberFormat="1" applyFont="1" applyFill="1" applyBorder="1" applyAlignment="1">
      <x:alignment vertical="top" wrapText="1"/>
    </x:xf>
    <x:xf numFmtId="0" fontId="2" fillId="9" borderId="16" xfId="0" applyNumberFormat="1" applyFont="1" applyFill="1" applyBorder="1" applyAlignment="1">
      <x:alignment horizontal="center"/>
    </x:xf>
    <x:xf numFmtId="0" fontId="2" fillId="10" borderId="16" xfId="0" applyNumberFormat="1" applyFont="1" applyFill="1" applyBorder="1" applyAlignment="1">
      <x:alignment vertical="top" wrapText="1"/>
    </x:xf>
    <x:xf numFmtId="0" fontId="2" fillId="10" borderId="16" xfId="0" applyNumberFormat="1" applyFont="1" applyFill="1" applyBorder="1" applyAlignment="1">
      <x:alignment horizontal="center"/>
    </x:xf>
    <x:xf numFmtId="0" fontId="2" fillId="11" borderId="16" xfId="0" applyNumberFormat="1" applyFont="1" applyFill="1" applyBorder="1" applyAlignment="1">
      <x:alignment vertical="top" wrapText="1"/>
    </x:xf>
    <x:xf numFmtId="0" fontId="2" fillId="11" borderId="16" xfId="0" applyNumberFormat="1" applyFont="1" applyFill="1" applyBorder="1" applyAlignment="1">
      <x:alignment horizontal="center"/>
    </x:xf>
    <x:xf numFmtId="0" fontId="2" fillId="12" borderId="16" xfId="0" applyNumberFormat="1" applyFont="1" applyFill="1" applyBorder="1" applyAlignment="1">
      <x:alignment vertical="top" wrapText="1"/>
    </x:xf>
    <x:xf numFmtId="0" fontId="2" fillId="12" borderId="16" xfId="0" applyNumberFormat="1" applyFont="1" applyFill="1" applyBorder="1" applyAlignment="1">
      <x:alignment horizontal="center"/>
    </x:xf>
    <x:xf numFmtId="0" fontId="2" fillId="13" borderId="16" xfId="0" applyNumberFormat="1" applyFont="1" applyFill="1" applyBorder="1" applyAlignment="1">
      <x:alignment vertical="top" wrapText="1"/>
    </x:xf>
    <x:xf numFmtId="0" fontId="2" fillId="13" borderId="16" xfId="0" applyNumberFormat="1" applyFont="1" applyFill="1" applyBorder="1" applyAlignment="1">
      <x:alignment horizontal="center"/>
    </x:xf>
    <x:xf numFmtId="0" fontId="2" fillId="14" borderId="16" xfId="0" applyNumberFormat="1" applyFont="1" applyFill="1" applyBorder="1" applyAlignment="1">
      <x:alignment vertical="top" wrapText="1"/>
    </x:xf>
    <x:xf numFmtId="0" fontId="2" fillId="14" borderId="16" xfId="0" applyNumberFormat="1" applyFont="1" applyFill="1" applyBorder="1" applyAlignment="1">
      <x:alignment horizontal="center"/>
    </x:xf>
    <x:xf numFmtId="0" fontId="2" fillId="2" borderId="16" xfId="0" applyNumberFormat="1" applyFont="1" applyFill="1" applyBorder="1"/>
    <x:xf numFmtId="9" fontId="2" fillId="2" borderId="16" xfId="0" applyNumberFormat="1" applyFont="1" applyFill="1" applyBorder="1"/>
    <x:xf numFmtId="164" fontId="2" fillId="3" borderId="16" xfId="0" applyNumberFormat="1" applyFont="1" applyFill="1" applyBorder="1" applyAlignment="1">
      <x:alignment vertical="center"/>
    </x:xf>
    <x:xf numFmtId="166" fontId="5" fillId="5" borderId="16" xfId="0" applyNumberFormat="1" applyFont="1" applyFill="1" applyBorder="1" applyAlignment="1">
      <x:alignment horizontal="center" vertical="center" wrapText="1"/>
    </x:xf>
    <x:xf numFmtId="0" fontId="3" fillId="0" borderId="16" xfId="0" applyNumberFormat="1" applyFont="1" applyFill="1" applyBorder="1" applyAlignment="1">
      <x:alignment horizontal="center" vertical="top" wrapText="1"/>
    </x:xf>
    <x:xf numFmtId="164" fontId="3" fillId="0" borderId="16" xfId="0" applyNumberFormat="1" applyFont="1" applyFill="1" applyBorder="1" applyAlignment="1">
      <x:alignment horizontal="center" vertical="top" wrapText="1"/>
    </x:xf>
    <x:xf numFmtId="9" fontId="3" fillId="0" borderId="16" xfId="0" applyNumberFormat="1" applyFont="1" applyFill="1" applyBorder="1" applyAlignment="1">
      <x:alignment horizontal="center" vertical="top" wrapText="1"/>
    </x:xf>
    <x:xf numFmtId="0" fontId="2" fillId="7" borderId="16" xfId="0" applyNumberFormat="1" applyFont="1" applyFill="1" applyBorder="1" applyAlignment="1">
      <x:alignment horizontal="center" vertical="center"/>
    </x:xf>
    <x:xf numFmtId="0" fontId="3" fillId="0" borderId="16" xfId="0" applyNumberFormat="1" applyFont="1" applyFill="1" applyBorder="1" applyAlignment="1">
      <x:alignment horizontal="center"/>
    </x:xf>
    <x:xf numFmtId="0" fontId="2" fillId="8" borderId="16" xfId="0" applyNumberFormat="1" applyFont="1" applyFill="1" applyBorder="1" applyAlignment="1">
      <x:alignment horizontal="center" vertical="center"/>
    </x:xf>
    <x:xf numFmtId="0" fontId="2" fillId="9" borderId="16" xfId="0" applyNumberFormat="1" applyFont="1" applyFill="1" applyBorder="1" applyAlignment="1">
      <x:alignment horizontal="center" vertical="center"/>
    </x:xf>
    <x:xf numFmtId="0" fontId="2" fillId="10" borderId="16" xfId="0" applyNumberFormat="1" applyFont="1" applyFill="1" applyBorder="1" applyAlignment="1">
      <x:alignment horizontal="center" vertical="center"/>
    </x:xf>
    <x:xf numFmtId="0" fontId="2" fillId="11" borderId="16" xfId="0" applyNumberFormat="1" applyFont="1" applyFill="1" applyBorder="1" applyAlignment="1">
      <x:alignment horizontal="center" vertical="center"/>
    </x:xf>
    <x:xf numFmtId="0" fontId="2" fillId="12" borderId="16" xfId="0" applyNumberFormat="1" applyFont="1" applyFill="1" applyBorder="1" applyAlignment="1">
      <x:alignment horizontal="center" vertical="center"/>
    </x:xf>
    <x:xf numFmtId="0" fontId="2" fillId="13" borderId="16" xfId="0" applyNumberFormat="1" applyFont="1" applyFill="1" applyBorder="1" applyAlignment="1">
      <x:alignment horizontal="center" vertical="center"/>
    </x:xf>
    <x:xf numFmtId="0" fontId="2" fillId="14" borderId="16" xfId="0" applyNumberFormat="1" applyFont="1" applyFill="1" applyBorder="1" applyAlignment="1">
      <x:alignment horizontal="center" vertical="center"/>
    </x:xf>
    <x:xf numFmtId="0" fontId="3" fillId="0" borderId="16" xfId="0" applyNumberFormat="1" applyFont="1" applyFill="1" applyBorder="1" applyAlignment="1">
      <x:alignment wrapText="1"/>
    </x:xf>
    <x:xf numFmtId="164" fontId="3" fillId="0" borderId="16" xfId="0" applyNumberFormat="1" applyFont="1" applyFill="1" applyBorder="1" applyAlignment="1">
      <x:alignment wrapText="1"/>
    </x:xf>
    <x:xf numFmtId="0" fontId="3" fillId="17" borderId="16" xfId="0" applyNumberFormat="1" applyFont="1" applyFill="1" applyBorder="1" applyAlignment="1">
      <x:alignment wrapText="1"/>
    </x:xf>
    <x:xf numFmtId="164" fontId="3" fillId="17" borderId="16" xfId="0" applyNumberFormat="1" applyFont="1" applyFill="1" applyBorder="1" applyAlignment="1">
      <x:alignment wrapText="1"/>
    </x:xf>
    <x:xf numFmtId="0" fontId="2" fillId="7" borderId="16" xfId="0" applyNumberFormat="1" applyFont="1" applyFill="1" applyBorder="1" applyAlignment="1">
      <x:alignment wrapText="1"/>
    </x:xf>
    <x:xf numFmtId="165" fontId="3" fillId="0" borderId="16" xfId="0" applyNumberFormat="1" applyFont="1" applyFill="1" applyBorder="1" applyAlignment="1">
      <x:alignment wrapText="1"/>
    </x:xf>
    <x:xf numFmtId="0" fontId="2" fillId="8" borderId="16" xfId="0" applyNumberFormat="1" applyFont="1" applyFill="1" applyBorder="1" applyAlignment="1">
      <x:alignment wrapText="1"/>
    </x:xf>
    <x:xf numFmtId="0" fontId="2" fillId="9" borderId="16" xfId="0" applyNumberFormat="1" applyFont="1" applyFill="1" applyBorder="1" applyAlignment="1">
      <x:alignment wrapText="1"/>
    </x:xf>
    <x:xf numFmtId="0" fontId="2" fillId="10" borderId="16" xfId="0" applyNumberFormat="1" applyFont="1" applyFill="1" applyBorder="1" applyAlignment="1">
      <x:alignment wrapText="1"/>
    </x:xf>
    <x:xf numFmtId="0" fontId="2" fillId="11" borderId="16" xfId="0" applyNumberFormat="1" applyFont="1" applyFill="1" applyBorder="1" applyAlignment="1">
      <x:alignment wrapText="1"/>
    </x:xf>
    <x:xf numFmtId="0" fontId="2" fillId="12" borderId="16" xfId="0" applyNumberFormat="1" applyFont="1" applyFill="1" applyBorder="1" applyAlignment="1">
      <x:alignment wrapText="1"/>
    </x:xf>
    <x:xf numFmtId="0" fontId="2" fillId="13" borderId="16" xfId="0" applyNumberFormat="1" applyFont="1" applyFill="1" applyBorder="1" applyAlignment="1">
      <x:alignment wrapText="1"/>
    </x:xf>
    <x:xf numFmtId="0" fontId="2" fillId="14" borderId="16" xfId="0" applyNumberFormat="1" applyFont="1" applyFill="1" applyBorder="1" applyAlignment="1">
      <x:alignment wrapText="1"/>
    </x:xf>
    <x:xf numFmtId="0" fontId="5" fillId="5" borderId="16" xfId="0" applyNumberFormat="1" applyFont="1" applyFill="1" applyBorder="1" applyAlignment="1">
      <x:alignment horizontal="center" vertical="center" wrapText="1"/>
    </x:xf>
    <x:xf numFmtId="0" fontId="5" fillId="15" borderId="16" xfId="0" applyNumberFormat="1" applyFont="1" applyFill="1" applyBorder="1" applyAlignment="1">
      <x:alignment vertical="top" wrapText="1"/>
    </x:xf>
    <x:xf numFmtId="0" fontId="6" fillId="0" borderId="16" xfId="0" applyNumberFormat="1" applyFont="1" applyFill="1" applyBorder="1"/>
    <x:xf numFmtId="2" fontId="3" fillId="0" borderId="16" xfId="0" applyNumberFormat="1" applyFont="1" applyFill="1" applyBorder="1" applyAlignment="1">
      <x:alignment horizontal="center" vertical="top" wrapText="1"/>
    </x:xf>
    <x:xf numFmtId="2" fontId="3" fillId="0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1" fillId="2" borderId="16" xfId="0" applyNumberFormat="1" applyFont="1" applyFill="1" applyBorder="1" applyAlignment="1">
      <x:alignment vertical="center"/>
    </x:xf>
    <x:xf numFmtId="0" fontId="5" fillId="15" borderId="16" xfId="0" applyNumberFormat="1" applyFont="1" applyFill="1" applyBorder="1"/>
    <x:xf numFmtId="0" fontId="3" fillId="16" borderId="16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left"/>
    </x:xf>
    <x:xf numFmtId="0" fontId="7" fillId="18" borderId="0" xfId="0" applyNumberFormat="1" applyFont="1" applyFill="1" applyBorder="1" applyAlignment="1">
      <x:alignment horizontal="left" vertical="center"/>
    </x:xf>
    <x:xf numFmtId="0" fontId="0" fillId="18" borderId="16" xfId="0" applyNumberFormat="1" applyFont="1" applyFill="1" applyBorder="1"/>
    <x:xf numFmtId="0" fontId="7" fillId="18" borderId="16" xfId="0" applyNumberFormat="1" applyFont="1" applyFill="1" applyBorder="1"/>
    <x:xf numFmtId="0" fontId="7" fillId="18" borderId="16" xfId="0" applyNumberFormat="1" applyFont="1" applyFill="1" applyBorder="1" applyAlignment="1">
      <x:alignment horizontal="left"/>
    </x:xf>
    <x:xf numFmtId="0" fontId="7" fillId="18" borderId="16" xfId="0" applyNumberFormat="1" applyFont="1" applyFill="1" applyBorder="1" applyAlignment="1">
      <x:alignment horizontal="left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wrapText="1"/>
    </x:xf>
    <x:xf numFmtId="0" fontId="0" fillId="19" borderId="16" xfId="0" applyNumberFormat="1" applyFont="1" applyFill="1" applyBorder="1"/>
    <x:xf numFmtId="0" fontId="8" fillId="19" borderId="16" xfId="0" applyNumberFormat="1" applyFont="1" applyFill="1" applyBorder="1"/>
    <x:xf numFmtId="0" fontId="8" fillId="19" borderId="16" xfId="0" applyNumberFormat="1" applyFont="1" applyFill="1" applyBorder="1" applyAlignment="1">
      <x:alignment wrapText="1"/>
    </x:xf>
    <x:xf numFmtId="0" fontId="7" fillId="18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7" fillId="18" borderId="16" xfId="0" applyNumberFormat="1" applyFont="1" applyFill="1" applyBorder="1" applyAlignment="1">
      <x:alignment horizontal="left" vertical="center" wrapText="1"/>
    </x:xf>
    <x:xf numFmtId="0" fontId="0" fillId="0" borderId="16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0" fillId="20" borderId="16" xfId="0" applyNumberFormat="1" applyFont="1" applyFill="1" applyBorder="1"/>
    <x:xf numFmtId="0" fontId="8" fillId="20" borderId="16" xfId="0" applyNumberFormat="1" applyFont="1" applyFill="1" applyBorder="1"/>
    <x:xf numFmtId="0" fontId="8" fillId="20" borderId="16" xfId="0" applyNumberFormat="1" applyFont="1" applyFill="1" applyBorder="1" applyAlignment="1">
      <x:alignment wrapText="1"/>
    </x:xf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9" fillId="18" borderId="16" xfId="0" applyNumberFormat="1" applyFont="1" applyFill="1" applyBorder="1"/>
    <x:xf numFmtId="0" fontId="9" fillId="18" borderId="16" xfId="0" applyNumberFormat="1" applyFont="1" applyFill="1" applyBorder="1" applyAlignment="1">
      <x:alignment wrapText="1"/>
    </x:xf>
    <x:xf numFmtId="0" fontId="9" fillId="18" borderId="16" xfId="0" applyNumberFormat="1" applyFont="1" applyFill="1" applyBorder="1" applyAlignment="1">
      <x:alignment horizontal="center" wrapText="1"/>
    </x:xf>
    <x:xf numFmtId="0" fontId="9" fillId="18" borderId="16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6" xfId="0" applyNumberFormat="1" applyFont="1" applyFill="1" applyBorder="1"/>
    <x:xf numFmtId="201" fontId="0" fillId="0" borderId="0" xfId="0" applyNumberFormat="1" applyFont="1" applyFill="1" applyBorder="1"/>
    <x:xf numFmtId="201" fontId="0" fillId="0" borderId="16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201" fontId="0" fillId="0" borderId="1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200" fontId="0" fillId="0" borderId="16" xfId="0" applyNumberFormat="1" applyFont="1" applyFill="1" applyBorder="1" applyAlignment="1">
      <x:alignment vertical="top" wrapText="1"/>
    </x:xf>
    <x:xf numFmtId="201" fontId="0" fillId="0" borderId="16" xfId="0" applyNumberFormat="1" applyFont="1" applyFill="1" applyBorder="1" applyAlignment="1">
      <x:alignment vertical="top" wrapText="1"/>
    </x:xf>
    <x:xf numFmtId="0" fontId="2" fillId="18" borderId="0" xfId="0" applyNumberFormat="1" applyFont="1" applyFill="1" applyBorder="1" applyAlignment="1">
      <x:alignment vertical="center"/>
    </x:xf>
    <x:xf numFmtId="164" fontId="2" fillId="18" borderId="0" xfId="0" applyNumberFormat="1" applyFont="1" applyFill="1" applyBorder="1" applyAlignment="1">
      <x:alignment vertical="center"/>
    </x:xf>
    <x:xf numFmtId="0" fontId="2" fillId="18" borderId="16" xfId="0" applyNumberFormat="1" applyFont="1" applyFill="1" applyBorder="1" applyAlignment="1">
      <x:alignment vertical="center"/>
    </x:xf>
    <x:xf numFmtId="164" fontId="2" fillId="18" borderId="16" xfId="0" applyNumberFormat="1" applyFont="1" applyFill="1" applyBorder="1" applyAlignment="1">
      <x:alignment vertical="center"/>
    </x:xf>
    <x:xf numFmtId="200" fontId="2" fillId="18" borderId="0" xfId="0" applyNumberFormat="1" applyFont="1" applyFill="1" applyBorder="1" applyAlignment="1">
      <x:alignment vertical="center"/>
    </x:xf>
    <x:xf numFmtId="200" fontId="2" fillId="18" borderId="16" xfId="0" applyNumberFormat="1" applyFont="1" applyFill="1" applyBorder="1" applyAlignment="1">
      <x:alignment vertical="center"/>
    </x:xf>
    <x:xf numFmtId="0" fontId="5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/>
    <x:xf numFmtId="0" fontId="10" fillId="19" borderId="0" xfId="0" applyNumberFormat="1" applyFont="1" applyFill="1" applyBorder="1"/>
    <x:xf numFmtId="0" fontId="11" fillId="19" borderId="0" xfId="0" applyNumberFormat="1" applyFont="1" applyFill="1" applyBorder="1" applyAlignment="1">
      <x:alignment wrapText="1"/>
    </x:xf>
    <x:xf numFmtId="0" fontId="11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5" fillId="19" borderId="16" xfId="0" applyNumberFormat="1" applyFont="1" applyFill="1" applyBorder="1"/>
    <x:xf numFmtId="0" fontId="3" fillId="19" borderId="16" xfId="0" applyNumberFormat="1" applyFont="1" applyFill="1" applyBorder="1" applyAlignment="1">
      <x:alignment wrapText="1"/>
    </x:xf>
    <x:xf numFmtId="0" fontId="3" fillId="19" borderId="16" xfId="0" applyNumberFormat="1" applyFont="1" applyFill="1" applyBorder="1"/>
    <x:xf numFmtId="0" fontId="10" fillId="19" borderId="16" xfId="0" applyNumberFormat="1" applyFont="1" applyFill="1" applyBorder="1"/>
    <x:xf numFmtId="0" fontId="11" fillId="19" borderId="16" xfId="0" applyNumberFormat="1" applyFont="1" applyFill="1" applyBorder="1" applyAlignment="1">
      <x:alignment wrapText="1"/>
    </x:xf>
    <x:xf numFmtId="0" fontId="11" fillId="19" borderId="16" xfId="0" applyNumberFormat="1" applyFont="1" applyFill="1" applyBorder="1"/>
    <x:xf numFmtId="0" fontId="10" fillId="19" borderId="16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horizontal="center" vertical="center" wrapText="1"/>
    </x:xf>
    <x:xf numFmtId="0" fontId="2" fillId="18" borderId="16" xfId="0" applyNumberFormat="1" applyFont="1" applyFill="1" applyBorder="1" applyAlignment="1">
      <x:alignment horizontal="center" vertical="center" wrapText="1"/>
    </x:xf>
    <x:xf numFmtId="202" fontId="5" fillId="5" borderId="0" xfId="0" applyNumberFormat="1" applyFont="1" applyFill="1" applyBorder="1" applyAlignment="1">
      <x:alignment horizontal="center" vertical="center" wrapText="1"/>
    </x:xf>
    <x:xf numFmtId="202" fontId="5" fillId="5" borderId="16" xfId="0" applyNumberFormat="1" applyFont="1" applyFill="1" applyBorder="1" applyAlignment="1">
      <x:alignment horizontal="center" vertical="center" wrapText="1"/>
    </x:xf>
    <x:xf numFmtId="202" fontId="5" fillId="21" borderId="0" xfId="0" applyNumberFormat="1" applyFont="1" applyFill="1" applyBorder="1" applyAlignment="1">
      <x:alignment horizontal="center" vertical="center" wrapText="1"/>
    </x:xf>
    <x:xf numFmtId="202" fontId="5" fillId="21" borderId="16" xfId="0" applyNumberFormat="1" applyFont="1" applyFill="1" applyBorder="1" applyAlignment="1">
      <x:alignment horizontal="center" vertical="center" wrapText="1"/>
    </x:xf>
    <x:xf numFmtId="0" fontId="3" fillId="18" borderId="0" xfId="0" applyNumberFormat="1" applyFont="1" applyFill="1" applyBorder="1" applyAlignment="1">
      <x:alignment vertical="top" wrapText="1"/>
    </x:xf>
    <x:xf numFmtId="0" fontId="2" fillId="18" borderId="0" xfId="0" applyNumberFormat="1" applyFont="1" applyFill="1" applyBorder="1" applyAlignment="1">
      <x:alignment vertical="top" wrapText="1"/>
    </x:xf>
    <x:xf numFmtId="0" fontId="3" fillId="18" borderId="0" xfId="0" applyNumberFormat="1" applyFont="1" applyFill="1" applyBorder="1" applyAlignment="1">
      <x:alignment horizontal="center" vertical="top" wrapText="1"/>
    </x:xf>
    <x:xf numFmtId="164" fontId="3" fillId="18" borderId="0" xfId="0" applyNumberFormat="1" applyFont="1" applyFill="1" applyBorder="1" applyAlignment="1">
      <x:alignment horizontal="center" vertical="top" wrapText="1"/>
    </x:xf>
    <x:xf numFmtId="9" fontId="3" fillId="18" borderId="0" xfId="0" applyNumberFormat="1" applyFont="1" applyFill="1" applyBorder="1" applyAlignment="1">
      <x:alignment horizontal="center" vertical="top" wrapText="1"/>
    </x:xf>
    <x:xf numFmtId="0" fontId="3" fillId="18" borderId="0" xfId="0" applyNumberFormat="1" applyFont="1" applyFill="1" applyBorder="1" applyAlignment="1">
      <x:alignment horizontal="center"/>
    </x:xf>
    <x:xf numFmtId="0" fontId="2" fillId="18" borderId="0" xfId="0" applyNumberFormat="1" applyFont="1" applyFill="1" applyBorder="1" applyAlignment="1">
      <x:alignment horizontal="center" vertical="top" wrapText="1"/>
    </x:xf>
    <x:xf numFmtId="164" fontId="2" fillId="18" borderId="0" xfId="0" applyNumberFormat="1" applyFont="1" applyFill="1" applyBorder="1" applyAlignment="1">
      <x:alignment horizontal="center" vertical="top" wrapText="1"/>
    </x:xf>
    <x:xf numFmtId="9" fontId="2" fillId="18" borderId="0" xfId="0" applyNumberFormat="1" applyFont="1" applyFill="1" applyBorder="1" applyAlignment="1">
      <x:alignment horizontal="center" vertical="top" wrapText="1"/>
    </x:xf>
    <x:xf numFmtId="0" fontId="2" fillId="18" borderId="0" xfId="0" applyNumberFormat="1" applyFont="1" applyFill="1" applyBorder="1" applyAlignment="1">
      <x:alignment horizontal="center"/>
    </x:xf>
    <x:xf numFmtId="0" fontId="3" fillId="18" borderId="16" xfId="0" applyNumberFormat="1" applyFont="1" applyFill="1" applyBorder="1" applyAlignment="1">
      <x:alignment vertical="top" wrapText="1"/>
    </x:xf>
    <x:xf numFmtId="0" fontId="2" fillId="18" borderId="16" xfId="0" applyNumberFormat="1" applyFont="1" applyFill="1" applyBorder="1" applyAlignment="1">
      <x:alignment vertical="top" wrapText="1"/>
    </x:xf>
    <x:xf numFmtId="0" fontId="3" fillId="18" borderId="16" xfId="0" applyNumberFormat="1" applyFont="1" applyFill="1" applyBorder="1" applyAlignment="1">
      <x:alignment horizontal="center" vertical="top" wrapText="1"/>
    </x:xf>
    <x:xf numFmtId="164" fontId="3" fillId="18" borderId="16" xfId="0" applyNumberFormat="1" applyFont="1" applyFill="1" applyBorder="1" applyAlignment="1">
      <x:alignment horizontal="center" vertical="top" wrapText="1"/>
    </x:xf>
    <x:xf numFmtId="9" fontId="3" fillId="18" borderId="16" xfId="0" applyNumberFormat="1" applyFont="1" applyFill="1" applyBorder="1" applyAlignment="1">
      <x:alignment horizontal="center" vertical="top" wrapText="1"/>
    </x:xf>
    <x:xf numFmtId="0" fontId="3" fillId="18" borderId="16" xfId="0" applyNumberFormat="1" applyFont="1" applyFill="1" applyBorder="1" applyAlignment="1">
      <x:alignment horizontal="center"/>
    </x:xf>
    <x:xf numFmtId="0" fontId="2" fillId="18" borderId="16" xfId="0" applyNumberFormat="1" applyFont="1" applyFill="1" applyBorder="1" applyAlignment="1">
      <x:alignment horizontal="center" vertical="top" wrapText="1"/>
    </x:xf>
    <x:xf numFmtId="164" fontId="2" fillId="18" borderId="16" xfId="0" applyNumberFormat="1" applyFont="1" applyFill="1" applyBorder="1" applyAlignment="1">
      <x:alignment horizontal="center" vertical="top" wrapText="1"/>
    </x:xf>
    <x:xf numFmtId="9" fontId="2" fillId="18" borderId="16" xfId="0" applyNumberFormat="1" applyFont="1" applyFill="1" applyBorder="1" applyAlignment="1">
      <x:alignment horizontal="center" vertical="top" wrapText="1"/>
    </x:xf>
    <x:xf numFmtId="0" fontId="2" fillId="18" borderId="16" xfId="0" applyNumberFormat="1" applyFont="1" applyFill="1" applyBorder="1" applyAlignment="1">
      <x:alignment horizontal="center"/>
    </x:xf>
    <x:xf numFmtId="200" fontId="3" fillId="0" borderId="0" xfId="0" applyNumberFormat="1" applyFont="1" applyFill="1" applyBorder="1" applyAlignment="1">
      <x:alignment horizontal="center" vertical="top" wrapText="1"/>
    </x:xf>
    <x:xf numFmtId="200" fontId="2" fillId="18" borderId="0" xfId="0" applyNumberFormat="1" applyFont="1" applyFill="1" applyBorder="1" applyAlignment="1">
      <x:alignment horizontal="center" vertical="top" wrapText="1"/>
    </x:xf>
    <x:xf numFmtId="200" fontId="3" fillId="0" borderId="16" xfId="0" applyNumberFormat="1" applyFont="1" applyFill="1" applyBorder="1" applyAlignment="1">
      <x:alignment horizontal="center" vertical="top" wrapText="1"/>
    </x:xf>
    <x:xf numFmtId="200" fontId="2" fillId="18" borderId="16" xfId="0" applyNumberFormat="1" applyFont="1" applyFill="1" applyBorder="1" applyAlignment="1">
      <x:alignment horizontal="center" vertical="top" wrapText="1"/>
    </x:xf>
    <x:xf numFmtId="203" fontId="3" fillId="0" borderId="0" xfId="0" applyNumberFormat="1" applyFont="1" applyFill="1" applyBorder="1" applyAlignment="1">
      <x:alignment horizontal="center" vertical="top" wrapText="1"/>
    </x:xf>
    <x:xf numFmtId="203" fontId="2" fillId="18" borderId="0" xfId="0" applyNumberFormat="1" applyFont="1" applyFill="1" applyBorder="1" applyAlignment="1">
      <x:alignment horizontal="center" vertical="top" wrapText="1"/>
    </x:xf>
    <x:xf numFmtId="203" fontId="3" fillId="0" borderId="16" xfId="0" applyNumberFormat="1" applyFont="1" applyFill="1" applyBorder="1" applyAlignment="1">
      <x:alignment horizontal="center" vertical="top" wrapText="1"/>
    </x:xf>
    <x:xf numFmtId="203" fontId="2" fillId="18" borderId="16" xfId="0" applyNumberFormat="1" applyFont="1" applyFill="1" applyBorder="1" applyAlignment="1">
      <x:alignment horizontal="center" vertical="top" wrapText="1"/>
    </x:xf>
    <x:xf numFmtId="204" fontId="3" fillId="0" borderId="0" xfId="0" applyNumberFormat="1" applyFont="1" applyFill="1" applyBorder="1" applyAlignment="1">
      <x:alignment horizontal="center" vertical="top" wrapText="1"/>
    </x:xf>
    <x:xf numFmtId="204" fontId="2" fillId="18" borderId="0" xfId="0" applyNumberFormat="1" applyFont="1" applyFill="1" applyBorder="1" applyAlignment="1">
      <x:alignment horizontal="center" vertical="top" wrapText="1"/>
    </x:xf>
    <x:xf numFmtId="204" fontId="3" fillId="0" borderId="16" xfId="0" applyNumberFormat="1" applyFont="1" applyFill="1" applyBorder="1" applyAlignment="1">
      <x:alignment horizontal="center" vertical="top" wrapText="1"/>
    </x:xf>
    <x:xf numFmtId="204" fontId="2" fillId="18" borderId="16" xfId="0" applyNumberFormat="1" applyFont="1" applyFill="1" applyBorder="1" applyAlignment="1">
      <x:alignment horizontal="center" vertical="top" wrapText="1"/>
    </x:xf>
    <x:xf numFmtId="201" fontId="3" fillId="0" borderId="0" xfId="0" applyNumberFormat="1" applyFont="1" applyFill="1" applyBorder="1" applyAlignment="1">
      <x:alignment horizontal="center" vertical="top" wrapText="1"/>
    </x:xf>
    <x:xf numFmtId="201" fontId="2" fillId="18" borderId="0" xfId="0" applyNumberFormat="1" applyFont="1" applyFill="1" applyBorder="1" applyAlignment="1">
      <x:alignment horizontal="center" vertical="top" wrapText="1"/>
    </x:xf>
    <x:xf numFmtId="201" fontId="3" fillId="0" borderId="16" xfId="0" applyNumberFormat="1" applyFont="1" applyFill="1" applyBorder="1" applyAlignment="1">
      <x:alignment horizontal="center" vertical="top" wrapText="1"/>
    </x:xf>
    <x:xf numFmtId="201" fontId="2" fillId="18" borderId="16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164" fontId="3" fillId="0" borderId="0" xfId="0" applyNumberFormat="1" applyFont="1" applyFill="1" applyBorder="1" applyAlignment="1">
      <x:alignment horizontal="center" vertical="top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 wrapText="1"/>
    </x:xf>
    <x:xf numFmtId="0" fontId="2" fillId="8" borderId="0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2" fillId="9" borderId="0" xfId="0" applyNumberFormat="1" applyFont="1" applyFill="1" applyBorder="1" applyAlignment="1">
      <x:alignment vertical="top" wrapText="1"/>
    </x:xf>
    <x:xf numFmtId="0" fontId="2" fillId="10" borderId="0" xfId="0" applyNumberFormat="1" applyFont="1" applyFill="1" applyBorder="1" applyAlignment="1">
      <x:alignment vertical="top" wrapText="1"/>
    </x:xf>
    <x:xf numFmtId="0" fontId="2" fillId="18" borderId="0" xfId="0" applyNumberFormat="1" applyFont="1" applyFill="1" applyBorder="1" applyAlignment="1">
      <x:alignment horizontal="center" wrapText="1"/>
    </x:xf>
    <x:xf numFmtId="0" fontId="2" fillId="7" borderId="16" xfId="0" applyNumberFormat="1" applyFont="1" applyFill="1" applyBorder="1" applyAlignment="1">
      <x:alignment horizontal="center" vertical="center" wrapText="1"/>
    </x:xf>
    <x:xf numFmtId="0" fontId="3" fillId="0" borderId="16" xfId="0" applyNumberFormat="1" applyFont="1" applyFill="1" applyBorder="1" applyAlignment="1">
      <x:alignment horizontal="center" wrapText="1"/>
    </x:xf>
    <x:xf numFmtId="0" fontId="2" fillId="8" borderId="16" xfId="0" applyNumberFormat="1" applyFont="1" applyFill="1" applyBorder="1" applyAlignment="1">
      <x:alignment horizontal="center" vertical="center" wrapText="1"/>
    </x:xf>
    <x:xf numFmtId="0" fontId="2" fillId="18" borderId="16" xfId="0" applyNumberFormat="1" applyFont="1" applyFill="1" applyBorder="1" applyAlignment="1">
      <x:alignment horizontal="center" wrapText="1"/>
    </x:xf>
    <x:xf numFmtId="0" fontId="2" fillId="7" borderId="0" xfId="0" applyNumberFormat="1" applyFont="1" applyFill="1" applyBorder="1" applyAlignment="1">
      <x:alignment horizontal="center" vertical="top" wrapText="1"/>
    </x:xf>
    <x:xf numFmtId="0" fontId="2" fillId="8" borderId="0" xfId="0" applyNumberFormat="1" applyFont="1" applyFill="1" applyBorder="1" applyAlignment="1">
      <x:alignment horizontal="center" vertical="top" wrapText="1"/>
    </x:xf>
    <x:xf numFmtId="0" fontId="2" fillId="7" borderId="16" xfId="0" applyNumberFormat="1" applyFont="1" applyFill="1" applyBorder="1" applyAlignment="1">
      <x:alignment horizontal="center" vertical="top" wrapText="1"/>
    </x:xf>
    <x:xf numFmtId="0" fontId="2" fillId="8" borderId="16" xfId="0" applyNumberFormat="1" applyFont="1" applyFill="1" applyBorder="1" applyAlignment="1">
      <x:alignment horizontal="center" vertical="top" wrapText="1"/>
    </x:xf>
    <x:xf numFmtId="0" fontId="2" fillId="22" borderId="0" xfId="0" applyNumberFormat="1" applyFont="1" applyFill="1" applyBorder="1" applyAlignment="1">
      <x:alignment vertical="top" wrapText="1"/>
    </x:xf>
    <x:xf numFmtId="0" fontId="2" fillId="22" borderId="16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  <x:xf numFmtId="0" fontId="2" fillId="23" borderId="0" xfId="0" applyNumberFormat="1" applyFont="1" applyFill="1" applyBorder="1" applyAlignment="1">
      <x:alignment vertical="top" wrapText="1"/>
    </x:xf>
    <x:xf numFmtId="204" fontId="3" fillId="23" borderId="0" xfId="0" applyNumberFormat="1" applyFont="1" applyFill="1" applyBorder="1" applyAlignment="1">
      <x:alignment horizontal="center" vertical="top" wrapText="1"/>
    </x:xf>
    <x:xf numFmtId="0" fontId="3" fillId="23" borderId="0" xfId="0" applyNumberFormat="1" applyFont="1" applyFill="1" applyBorder="1" applyAlignment="1">
      <x:alignment horizontal="center" vertical="top" wrapText="1"/>
    </x:xf>
    <x:xf numFmtId="200" fontId="3" fillId="23" borderId="0" xfId="0" applyNumberFormat="1" applyFont="1" applyFill="1" applyBorder="1" applyAlignment="1">
      <x:alignment horizontal="center" vertical="top" wrapText="1"/>
    </x:xf>
    <x:xf numFmtId="164" fontId="3" fillId="23" borderId="0" xfId="0" applyNumberFormat="1" applyFont="1" applyFill="1" applyBorder="1" applyAlignment="1">
      <x:alignment horizontal="center" vertical="top" wrapText="1"/>
    </x:xf>
    <x:xf numFmtId="203" fontId="3" fillId="23" borderId="0" xfId="0" applyNumberFormat="1" applyFont="1" applyFill="1" applyBorder="1" applyAlignment="1">
      <x:alignment horizontal="center" vertical="top" wrapText="1"/>
    </x:xf>
    <x:xf numFmtId="201" fontId="3" fillId="23" borderId="0" xfId="0" applyNumberFormat="1" applyFont="1" applyFill="1" applyBorder="1" applyAlignment="1">
      <x:alignment horizontal="center" vertical="top" wrapText="1"/>
    </x:xf>
    <x:xf numFmtId="0" fontId="2" fillId="23" borderId="0" xfId="0" applyNumberFormat="1" applyFont="1" applyFill="1" applyBorder="1" applyAlignment="1">
      <x:alignment horizontal="center" vertical="top" wrapText="1"/>
    </x:xf>
    <x:xf numFmtId="0" fontId="3" fillId="23" borderId="16" xfId="0" applyNumberFormat="1" applyFont="1" applyFill="1" applyBorder="1" applyAlignment="1">
      <x:alignment vertical="top" wrapText="1"/>
    </x:xf>
    <x:xf numFmtId="0" fontId="2" fillId="23" borderId="16" xfId="0" applyNumberFormat="1" applyFont="1" applyFill="1" applyBorder="1" applyAlignment="1">
      <x:alignment vertical="top" wrapText="1"/>
    </x:xf>
    <x:xf numFmtId="204" fontId="3" fillId="23" borderId="16" xfId="0" applyNumberFormat="1" applyFont="1" applyFill="1" applyBorder="1" applyAlignment="1">
      <x:alignment horizontal="center" vertical="top" wrapText="1"/>
    </x:xf>
    <x:xf numFmtId="0" fontId="3" fillId="23" borderId="16" xfId="0" applyNumberFormat="1" applyFont="1" applyFill="1" applyBorder="1" applyAlignment="1">
      <x:alignment horizontal="center" vertical="top" wrapText="1"/>
    </x:xf>
    <x:xf numFmtId="200" fontId="3" fillId="23" borderId="16" xfId="0" applyNumberFormat="1" applyFont="1" applyFill="1" applyBorder="1" applyAlignment="1">
      <x:alignment horizontal="center" vertical="top" wrapText="1"/>
    </x:xf>
    <x:xf numFmtId="164" fontId="3" fillId="23" borderId="16" xfId="0" applyNumberFormat="1" applyFont="1" applyFill="1" applyBorder="1" applyAlignment="1">
      <x:alignment horizontal="center" vertical="top" wrapText="1"/>
    </x:xf>
    <x:xf numFmtId="203" fontId="3" fillId="23" borderId="16" xfId="0" applyNumberFormat="1" applyFont="1" applyFill="1" applyBorder="1" applyAlignment="1">
      <x:alignment horizontal="center" vertical="top" wrapText="1"/>
    </x:xf>
    <x:xf numFmtId="201" fontId="3" fillId="23" borderId="16" xfId="0" applyNumberFormat="1" applyFont="1" applyFill="1" applyBorder="1" applyAlignment="1">
      <x:alignment horizontal="center" vertical="top" wrapText="1"/>
    </x:xf>
    <x:xf numFmtId="0" fontId="2" fillId="23" borderId="16" xfId="0" applyNumberFormat="1" applyFont="1" applyFill="1" applyBorder="1" applyAlignment="1">
      <x:alignment horizontal="center" vertical="top" wrapText="1"/>
    </x:xf>
    <x:xf numFmtId="0" fontId="2" fillId="24" borderId="0" xfId="0" applyNumberFormat="1" applyFont="1" applyFill="1" applyBorder="1" applyAlignment="1">
      <x:alignment vertical="top" wrapText="1"/>
    </x:xf>
    <x:xf numFmtId="0" fontId="2" fillId="24" borderId="16" xfId="0" applyNumberFormat="1" applyFont="1" applyFill="1" applyBorder="1" applyAlignment="1">
      <x:alignment vertical="top" wrapText="1"/>
    </x:xf>
    <x:xf numFmtId="0" fontId="2" fillId="25" borderId="0" xfId="0" applyNumberFormat="1" applyFont="1" applyFill="1" applyBorder="1" applyAlignment="1">
      <x:alignment vertical="top" wrapText="1"/>
    </x:xf>
    <x:xf numFmtId="0" fontId="2" fillId="25" borderId="16" xfId="0" applyNumberFormat="1" applyFont="1" applyFill="1" applyBorder="1" applyAlignment="1">
      <x:alignment vertical="top" wrapText="1"/>
    </x:xf>
    <x:xf numFmtId="0" fontId="2" fillId="26" borderId="0" xfId="0" applyNumberFormat="1" applyFont="1" applyFill="1" applyBorder="1" applyAlignment="1">
      <x:alignment vertical="top" wrapText="1"/>
    </x:xf>
    <x:xf numFmtId="0" fontId="2" fillId="26" borderId="16" xfId="0" applyNumberFormat="1" applyFont="1" applyFill="1" applyBorder="1" applyAlignment="1">
      <x:alignment vertical="top" wrapText="1"/>
    </x:xf>
    <x:xf numFmtId="0" fontId="2" fillId="27" borderId="0" xfId="0" applyNumberFormat="1" applyFont="1" applyFill="1" applyBorder="1" applyAlignment="1">
      <x:alignment vertical="top" wrapText="1"/>
    </x:xf>
    <x:xf numFmtId="0" fontId="2" fillId="27" borderId="16" xfId="0" applyNumberFormat="1" applyFont="1" applyFill="1" applyBorder="1" applyAlignment="1">
      <x:alignment vertical="top" wrapText="1"/>
    </x:xf>
    <x:xf numFmtId="0" fontId="2" fillId="28" borderId="0" xfId="0" applyNumberFormat="1" applyFont="1" applyFill="1" applyBorder="1" applyAlignment="1">
      <x:alignment vertical="top" wrapText="1"/>
    </x:xf>
    <x:xf numFmtId="0" fontId="2" fillId="28" borderId="16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horizontal="left" vertical="center"/>
    </x:xf>
    <x:xf numFmtId="0" fontId="1" fillId="18" borderId="16" xfId="0" applyNumberFormat="1" applyFont="1" applyFill="1" applyBorder="1" applyAlignment="1">
      <x:alignment vertical="center"/>
    </x:xf>
    <x:xf numFmtId="0" fontId="1" fillId="18" borderId="16" xfId="0" applyNumberFormat="1" applyFont="1" applyFill="1" applyBorder="1" applyAlignment="1">
      <x:alignment horizontal="left" vertical="center"/>
    </x:xf>
    <x:xf numFmtId="165" fontId="3" fillId="18" borderId="0" xfId="0" applyNumberFormat="1" applyFont="1" applyFill="1" applyBorder="1" applyAlignment="1">
      <x:alignment vertical="top" wrapText="1"/>
    </x:xf>
    <x:xf numFmtId="164" fontId="3" fillId="18" borderId="0" xfId="0" applyNumberFormat="1" applyFont="1" applyFill="1" applyBorder="1" applyAlignment="1">
      <x:alignment vertical="top" wrapText="1"/>
    </x:xf>
    <x:xf numFmtId="165" fontId="2" fillId="18" borderId="0" xfId="0" applyNumberFormat="1" applyFont="1" applyFill="1" applyBorder="1" applyAlignment="1">
      <x:alignment vertical="top" wrapText="1"/>
    </x:xf>
    <x:xf numFmtId="164" fontId="2" fillId="18" borderId="0" xfId="0" applyNumberFormat="1" applyFont="1" applyFill="1" applyBorder="1" applyAlignment="1">
      <x:alignment vertical="top" wrapText="1"/>
    </x:xf>
    <x:xf numFmtId="165" fontId="2" fillId="18" borderId="0" xfId="0" applyNumberFormat="1" applyFont="1" applyFill="1" applyBorder="1" applyAlignment="1">
      <x:alignment horizontal="center" vertical="top" wrapText="1"/>
    </x:xf>
    <x:xf numFmtId="165" fontId="2" fillId="18" borderId="0" xfId="0" applyNumberFormat="1" applyFont="1" applyFill="1" applyBorder="1" applyAlignment="1">
      <x:alignment horizontal="center" vertical="center" wrapText="1"/>
    </x:xf>
    <x:xf numFmtId="164" fontId="2" fillId="18" borderId="0" xfId="0" applyNumberFormat="1" applyFont="1" applyFill="1" applyBorder="1" applyAlignment="1">
      <x:alignment horizontal="center" vertical="center" wrapText="1"/>
    </x:xf>
    <x:xf numFmtId="165" fontId="3" fillId="18" borderId="16" xfId="0" applyNumberFormat="1" applyFont="1" applyFill="1" applyBorder="1" applyAlignment="1">
      <x:alignment vertical="top" wrapText="1"/>
    </x:xf>
    <x:xf numFmtId="164" fontId="3" fillId="18" borderId="16" xfId="0" applyNumberFormat="1" applyFont="1" applyFill="1" applyBorder="1" applyAlignment="1">
      <x:alignment vertical="top" wrapText="1"/>
    </x:xf>
    <x:xf numFmtId="165" fontId="2" fillId="18" borderId="16" xfId="0" applyNumberFormat="1" applyFont="1" applyFill="1" applyBorder="1" applyAlignment="1">
      <x:alignment vertical="top" wrapText="1"/>
    </x:xf>
    <x:xf numFmtId="164" fontId="2" fillId="18" borderId="16" xfId="0" applyNumberFormat="1" applyFont="1" applyFill="1" applyBorder="1" applyAlignment="1">
      <x:alignment vertical="top" wrapText="1"/>
    </x:xf>
    <x:xf numFmtId="165" fontId="2" fillId="18" borderId="16" xfId="0" applyNumberFormat="1" applyFont="1" applyFill="1" applyBorder="1" applyAlignment="1">
      <x:alignment horizontal="center" vertical="top" wrapText="1"/>
    </x:xf>
    <x:xf numFmtId="165" fontId="2" fillId="18" borderId="16" xfId="0" applyNumberFormat="1" applyFont="1" applyFill="1" applyBorder="1" applyAlignment="1">
      <x:alignment horizontal="center" vertical="center" wrapText="1"/>
    </x:xf>
    <x:xf numFmtId="164" fontId="2" fillId="18" borderId="16" xfId="0" applyNumberFormat="1" applyFont="1" applyFill="1" applyBorder="1" applyAlignment="1">
      <x:alignment horizontal="center" vertical="center" wrapText="1"/>
    </x:xf>
    <x:xf numFmtId="0" fontId="3" fillId="18" borderId="0" xfId="0" applyNumberFormat="1" applyFont="1" applyFill="1" applyBorder="1"/>
    <x:xf numFmtId="0" fontId="2" fillId="18" borderId="0" xfId="0" applyNumberFormat="1" applyFont="1" applyFill="1" applyBorder="1"/>
    <x:xf numFmtId="0" fontId="3" fillId="18" borderId="16" xfId="0" applyNumberFormat="1" applyFont="1" applyFill="1" applyBorder="1"/>
    <x:xf numFmtId="0" fontId="2" fillId="18" borderId="16" xfId="0" applyNumberFormat="1" applyFont="1" applyFill="1" applyBorder="1"/>
    <x:xf numFmtId="201" fontId="3" fillId="0" borderId="0" xfId="0" applyNumberFormat="1" applyFont="1" applyFill="1" applyBorder="1" applyAlignment="1">
      <x:alignment vertical="top" wrapText="1"/>
    </x:xf>
    <x:xf numFmtId="201" fontId="2" fillId="18" borderId="0" xfId="0" applyNumberFormat="1" applyFont="1" applyFill="1" applyBorder="1" applyAlignment="1">
      <x:alignment vertical="top" wrapText="1"/>
    </x:xf>
    <x:xf numFmtId="201" fontId="3" fillId="0" borderId="16" xfId="0" applyNumberFormat="1" applyFont="1" applyFill="1" applyBorder="1" applyAlignment="1">
      <x:alignment vertical="top" wrapText="1"/>
    </x:xf>
    <x:xf numFmtId="201" fontId="2" fillId="18" borderId="16" xfId="0" applyNumberFormat="1" applyFont="1" applyFill="1" applyBorder="1" applyAlignment="1">
      <x:alignment vertical="top" wrapText="1"/>
    </x:xf>
    <x:xf numFmtId="203" fontId="3" fillId="0" borderId="0" xfId="0" applyNumberFormat="1" applyFont="1" applyFill="1" applyBorder="1" applyAlignment="1">
      <x:alignment vertical="top" wrapText="1"/>
    </x:xf>
    <x:xf numFmtId="203" fontId="2" fillId="18" borderId="0" xfId="0" applyNumberFormat="1" applyFont="1" applyFill="1" applyBorder="1" applyAlignment="1">
      <x:alignment vertical="top" wrapText="1"/>
    </x:xf>
    <x:xf numFmtId="203" fontId="3" fillId="0" borderId="16" xfId="0" applyNumberFormat="1" applyFont="1" applyFill="1" applyBorder="1" applyAlignment="1">
      <x:alignment vertical="top" wrapText="1"/>
    </x:xf>
    <x:xf numFmtId="203" fontId="2" fillId="18" borderId="16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3" fillId="0" borderId="16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1" borderId="0" xfId="0" applyNumberFormat="1" applyFont="1" applyFill="1" applyBorder="1" applyAlignment="1">
      <x:alignment vertical="top" wrapText="1"/>
    </x:xf>
    <x:xf numFmtId="0" fontId="2" fillId="11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3" borderId="0" xfId="0" applyNumberFormat="1" applyFont="1" applyFill="1" applyBorder="1" applyAlignment="1">
      <x:alignment vertical="top" wrapText="1"/>
    </x:xf>
    <x:xf numFmtId="0" fontId="2" fillId="8" borderId="16" xfId="0" applyNumberFormat="1" applyFont="1" applyFill="1" applyBorder="1" applyAlignment="1">
      <x:alignment horizontal="center" wrapText="1"/>
    </x:xf>
    <x:xf numFmtId="0" fontId="2" fillId="9" borderId="16" xfId="0" applyNumberFormat="1" applyFont="1" applyFill="1" applyBorder="1" applyAlignment="1">
      <x:alignment horizontal="center" wrapText="1"/>
    </x:xf>
    <x:xf numFmtId="0" fontId="2" fillId="10" borderId="16" xfId="0" applyNumberFormat="1" applyFont="1" applyFill="1" applyBorder="1" applyAlignment="1">
      <x:alignment horizontal="center" wrapText="1"/>
    </x:xf>
    <x:xf numFmtId="0" fontId="2" fillId="11" borderId="16" xfId="0" applyNumberFormat="1" applyFont="1" applyFill="1" applyBorder="1" applyAlignment="1">
      <x:alignment horizontal="center" wrapText="1"/>
    </x:xf>
    <x:xf numFmtId="0" fontId="2" fillId="12" borderId="16" xfId="0" applyNumberFormat="1" applyFont="1" applyFill="1" applyBorder="1" applyAlignment="1">
      <x:alignment horizontal="center" wrapText="1"/>
    </x:xf>
    <x:xf numFmtId="0" fontId="3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wrapText="1"/>
    </x:xf>
    <x:xf numFmtId="0" fontId="3" fillId="20" borderId="16" xfId="0" applyNumberFormat="1" applyFont="1" applyFill="1" applyBorder="1"/>
    <x:xf numFmtId="0" fontId="11" fillId="20" borderId="16" xfId="0" applyNumberFormat="1" applyFont="1" applyFill="1" applyBorder="1"/>
    <x:xf numFmtId="0" fontId="11" fillId="20" borderId="16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wrapText="1"/>
    </x:xf>
    <x:xf numFmtId="164" fontId="3" fillId="18" borderId="0" xfId="0" applyNumberFormat="1" applyFont="1" applyFill="1" applyBorder="1" applyAlignment="1">
      <x:alignment wrapText="1"/>
    </x:xf>
    <x:xf numFmtId="2" fontId="3" fillId="18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164" fontId="2" fillId="18" borderId="0" xfId="0" applyNumberFormat="1" applyFont="1" applyFill="1" applyBorder="1" applyAlignment="1">
      <x:alignment wrapText="1"/>
    </x:xf>
    <x:xf numFmtId="2" fontId="2" fillId="18" borderId="0" xfId="0" applyNumberFormat="1" applyFont="1" applyFill="1" applyBorder="1" applyAlignment="1">
      <x:alignment wrapText="1"/>
    </x:xf>
    <x:xf numFmtId="164" fontId="2" fillId="18" borderId="0" xfId="0" applyNumberFormat="1" applyFont="1" applyFill="1" applyBorder="1" applyAlignment="1">
      <x:alignment horizontal="center" wrapText="1"/>
    </x:xf>
    <x:xf numFmtId="2" fontId="2" fillId="18" borderId="0" xfId="0" applyNumberFormat="1" applyFont="1" applyFill="1" applyBorder="1" applyAlignment="1">
      <x:alignment horizontal="center" wrapText="1"/>
    </x:xf>
    <x:xf numFmtId="2" fontId="2" fillId="18" borderId="0" xfId="0" applyNumberFormat="1" applyFont="1" applyFill="1" applyBorder="1" applyAlignment="1">
      <x:alignment horizontal="center" vertical="center" wrapText="1"/>
    </x:xf>
    <x:xf numFmtId="0" fontId="3" fillId="18" borderId="16" xfId="0" applyNumberFormat="1" applyFont="1" applyFill="1" applyBorder="1" applyAlignment="1">
      <x:alignment wrapText="1"/>
    </x:xf>
    <x:xf numFmtId="164" fontId="3" fillId="18" borderId="16" xfId="0" applyNumberFormat="1" applyFont="1" applyFill="1" applyBorder="1" applyAlignment="1">
      <x:alignment wrapText="1"/>
    </x:xf>
    <x:xf numFmtId="2" fontId="3" fillId="18" borderId="16" xfId="0" applyNumberFormat="1" applyFont="1" applyFill="1" applyBorder="1" applyAlignment="1">
      <x:alignment wrapText="1"/>
    </x:xf>
    <x:xf numFmtId="0" fontId="2" fillId="18" borderId="16" xfId="0" applyNumberFormat="1" applyFont="1" applyFill="1" applyBorder="1" applyAlignment="1">
      <x:alignment wrapText="1"/>
    </x:xf>
    <x:xf numFmtId="164" fontId="2" fillId="18" borderId="16" xfId="0" applyNumberFormat="1" applyFont="1" applyFill="1" applyBorder="1" applyAlignment="1">
      <x:alignment wrapText="1"/>
    </x:xf>
    <x:xf numFmtId="2" fontId="2" fillId="18" borderId="16" xfId="0" applyNumberFormat="1" applyFont="1" applyFill="1" applyBorder="1" applyAlignment="1">
      <x:alignment wrapText="1"/>
    </x:xf>
    <x:xf numFmtId="164" fontId="2" fillId="18" borderId="16" xfId="0" applyNumberFormat="1" applyFont="1" applyFill="1" applyBorder="1" applyAlignment="1">
      <x:alignment horizontal="center" wrapText="1"/>
    </x:xf>
    <x:xf numFmtId="2" fontId="2" fillId="18" borderId="16" xfId="0" applyNumberFormat="1" applyFont="1" applyFill="1" applyBorder="1" applyAlignment="1">
      <x:alignment horizontal="center" wrapText="1"/>
    </x:xf>
    <x:xf numFmtId="2" fontId="2" fillId="18" borderId="16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wrapText="1"/>
    </x:xf>
    <x:xf numFmtId="200" fontId="3" fillId="17" borderId="0" xfId="0" applyNumberFormat="1" applyFont="1" applyFill="1" applyBorder="1" applyAlignment="1">
      <x:alignment wrapText="1"/>
    </x:xf>
    <x:xf numFmtId="200" fontId="3" fillId="0" borderId="16" xfId="0" applyNumberFormat="1" applyFont="1" applyFill="1" applyBorder="1" applyAlignment="1">
      <x:alignment wrapText="1"/>
    </x:xf>
    <x:xf numFmtId="200" fontId="3" fillId="17" borderId="16" xfId="0" applyNumberFormat="1" applyFont="1" applyFill="1" applyBorder="1" applyAlignment="1">
      <x:alignment wrapText="1"/>
    </x:xf>
    <x:xf numFmtId="201" fontId="3" fillId="0" borderId="0" xfId="0" applyNumberFormat="1" applyFont="1" applyFill="1" applyBorder="1" applyAlignment="1">
      <x:alignment wrapText="1"/>
    </x:xf>
    <x:xf numFmtId="201" fontId="3" fillId="17" borderId="0" xfId="0" applyNumberFormat="1" applyFont="1" applyFill="1" applyBorder="1" applyAlignment="1">
      <x:alignment wrapText="1"/>
    </x:xf>
    <x:xf numFmtId="201" fontId="3" fillId="0" borderId="16" xfId="0" applyNumberFormat="1" applyFont="1" applyFill="1" applyBorder="1" applyAlignment="1">
      <x:alignment wrapText="1"/>
    </x:xf>
    <x:xf numFmtId="201" fontId="3" fillId="17" borderId="16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wrapText="1"/>
    </x:xf>
    <x:xf numFmtId="165" fontId="3" fillId="18" borderId="0" xfId="0" applyNumberFormat="1" applyFont="1" applyFill="1" applyBorder="1" applyAlignment="1">
      <x:alignment wrapText="1"/>
    </x:xf>
    <x:xf numFmtId="165" fontId="2" fillId="18" borderId="0" xfId="0" applyNumberFormat="1" applyFont="1" applyFill="1" applyBorder="1" applyAlignment="1">
      <x:alignment wrapText="1"/>
    </x:xf>
    <x:xf numFmtId="165" fontId="3" fillId="18" borderId="16" xfId="0" applyNumberFormat="1" applyFont="1" applyFill="1" applyBorder="1" applyAlignment="1">
      <x:alignment wrapText="1"/>
    </x:xf>
    <x:xf numFmtId="165" fontId="2" fillId="18" borderId="16" xfId="0" applyNumberFormat="1" applyFont="1" applyFill="1" applyBorder="1" applyAlignment="1">
      <x:alignment wrapText="1"/>
    </x:xf>
    <x:xf numFmtId="201" fontId="2" fillId="18" borderId="0" xfId="0" applyNumberFormat="1" applyFont="1" applyFill="1" applyBorder="1" applyAlignment="1">
      <x:alignment wrapText="1"/>
    </x:xf>
    <x:xf numFmtId="201" fontId="2" fillId="18" borderId="16" xfId="0" applyNumberFormat="1" applyFont="1" applyFill="1" applyBorder="1" applyAlignment="1">
      <x:alignment wrapText="1"/>
    </x:xf>
    <x:xf numFmtId="203" fontId="3" fillId="0" borderId="0" xfId="0" applyNumberFormat="1" applyFont="1" applyFill="1" applyBorder="1" applyAlignment="1">
      <x:alignment wrapText="1"/>
    </x:xf>
    <x:xf numFmtId="203" fontId="2" fillId="18" borderId="0" xfId="0" applyNumberFormat="1" applyFont="1" applyFill="1" applyBorder="1" applyAlignment="1">
      <x:alignment wrapText="1"/>
    </x:xf>
    <x:xf numFmtId="203" fontId="3" fillId="0" borderId="16" xfId="0" applyNumberFormat="1" applyFont="1" applyFill="1" applyBorder="1" applyAlignment="1">
      <x:alignment wrapText="1"/>
    </x:xf>
    <x:xf numFmtId="203" fontId="2" fillId="18" borderId="16" xfId="0" applyNumberFormat="1" applyFont="1" applyFill="1" applyBorder="1" applyAlignment="1">
      <x:alignment wrapText="1"/>
    </x:xf>
    <x:xf numFmtId="200" fontId="3" fillId="0" borderId="0" xfId="0" applyNumberFormat="1" applyFont="1" applyFill="1" applyBorder="1"/>
    <x:xf numFmtId="200" fontId="3" fillId="0" borderId="16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wrapText="1"/>
    </x:xf>
    <x:xf numFmtId="0" fontId="2" fillId="24" borderId="0" xfId="0" applyNumberFormat="1" applyFont="1" applyFill="1" applyBorder="1" applyAlignment="1">
      <x:alignment vertical="center"/>
    </x:xf>
    <x:xf numFmtId="0" fontId="12" fillId="24" borderId="0" xfId="0" applyNumberFormat="1" applyFont="1" applyFill="1" applyBorder="1" applyAlignment="1">
      <x:alignment vertical="center"/>
    </x:xf>
    <x:xf numFmtId="0" fontId="2" fillId="24" borderId="16" xfId="0" applyNumberFormat="1" applyFont="1" applyFill="1" applyBorder="1" applyAlignment="1">
      <x:alignment vertical="center"/>
    </x:xf>
    <x:xf numFmtId="0" fontId="12" fillId="24" borderId="16" xfId="0" applyNumberFormat="1" applyFont="1" applyFill="1" applyBorder="1" applyAlignment="1">
      <x:alignment vertical="center"/>
    </x:xf>
    <x:xf numFmtId="0" fontId="5" fillId="21" borderId="0" xfId="0" applyNumberFormat="1" applyFont="1" applyFill="1" applyBorder="1" applyAlignment="1">
      <x:alignment horizontal="center" vertical="center" wrapText="1"/>
    </x:xf>
    <x:xf numFmtId="0" fontId="3" fillId="21" borderId="0" xfId="0" applyNumberFormat="1" applyFont="1" applyFill="1" applyBorder="1"/>
    <x:xf numFmtId="0" fontId="2" fillId="21" borderId="0" xfId="0" applyNumberFormat="1" applyFont="1" applyFill="1" applyBorder="1" applyAlignment="1">
      <x:alignment horizontal="center" vertical="center" wrapText="1"/>
    </x:xf>
    <x:xf numFmtId="0" fontId="4" fillId="21" borderId="0" xfId="0" applyNumberFormat="1" applyFont="1" applyFill="1" applyBorder="1"/>
    <x:xf numFmtId="0" fontId="5" fillId="21" borderId="16" xfId="0" applyNumberFormat="1" applyFont="1" applyFill="1" applyBorder="1" applyAlignment="1">
      <x:alignment horizontal="center" vertical="center" wrapText="1"/>
    </x:xf>
    <x:xf numFmtId="0" fontId="3" fillId="21" borderId="16" xfId="0" applyNumberFormat="1" applyFont="1" applyFill="1" applyBorder="1"/>
    <x:xf numFmtId="0" fontId="2" fillId="21" borderId="16" xfId="0" applyNumberFormat="1" applyFont="1" applyFill="1" applyBorder="1" applyAlignment="1">
      <x:alignment horizontal="center" vertical="center" wrapText="1"/>
    </x:xf>
    <x:xf numFmtId="0" fontId="4" fillId="21" borderId="16" xfId="0" applyNumberFormat="1" applyFont="1" applyFill="1" applyBorder="1"/>
    <x:xf numFmtId="0" fontId="2" fillId="6" borderId="0" xfId="0" applyNumberFormat="1" applyFont="1" applyFill="1" applyBorder="1" applyAlignment="1">
      <x:alignment horizontal="center" vertical="center" wrapText="1"/>
    </x:xf>
    <x:xf numFmtId="0" fontId="5" fillId="24" borderId="0" xfId="0" applyNumberFormat="1" applyFont="1" applyFill="1" applyBorder="1" applyAlignment="1">
      <x:alignment vertical="top" wrapText="1"/>
    </x:xf>
    <x:xf numFmtId="0" fontId="12" fillId="24" borderId="0" xfId="0" applyNumberFormat="1" applyFont="1" applyFill="1" applyBorder="1" applyAlignment="1">
      <x:alignment vertical="top" wrapText="1"/>
    </x:xf>
    <x:xf numFmtId="0" fontId="12" fillId="24" borderId="0" xfId="0" applyNumberFormat="1" applyFont="1" applyFill="1" applyBorder="1" applyAlignment="1">
      <x:alignment vertical="center" wrapText="1"/>
    </x:xf>
    <x:xf numFmtId="0" fontId="5" fillId="24" borderId="16" xfId="0" applyNumberFormat="1" applyFont="1" applyFill="1" applyBorder="1" applyAlignment="1">
      <x:alignment vertical="top" wrapText="1"/>
    </x:xf>
    <x:xf numFmtId="0" fontId="12" fillId="24" borderId="16" xfId="0" applyNumberFormat="1" applyFont="1" applyFill="1" applyBorder="1" applyAlignment="1">
      <x:alignment vertical="top" wrapText="1"/>
    </x:xf>
    <x:xf numFmtId="0" fontId="12" fillId="24" borderId="16" xfId="0" applyNumberFormat="1" applyFont="1" applyFill="1" applyBorder="1" applyAlignment="1">
      <x:alignment vertical="center" wrapText="1"/>
    </x:xf>
    <x:xf numFmtId="0" fontId="5" fillId="18" borderId="0" xfId="0" applyNumberFormat="1" applyFont="1" applyFill="1" applyBorder="1" applyAlignment="1">
      <x:alignment vertical="top" wrapText="1"/>
    </x:xf>
    <x:xf numFmtId="0" fontId="5" fillId="18" borderId="1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vertical="top" wrapText="1"/>
    </x:xf>
    <x:xf numFmtId="0" fontId="3" fillId="24" borderId="0" xfId="0" applyNumberFormat="1" applyFont="1" applyFill="1" applyBorder="1" applyAlignment="1">
      <x:alignment vertical="top" wrapText="1"/>
    </x:xf>
    <x:xf numFmtId="0" fontId="3" fillId="24" borderId="16" xfId="0" applyNumberFormat="1" applyFont="1" applyFill="1" applyBorder="1" applyAlignment="1">
      <x:alignment vertical="top" wrapText="1"/>
    </x:xf>
    <x:xf numFmtId="0" fontId="3" fillId="19" borderId="0" xfId="0" applyNumberFormat="1" applyFont="1" applyFill="1" applyBorder="1" applyAlignment="1">
      <x:alignment vertical="top" wrapText="1"/>
    </x:xf>
    <x:xf numFmtId="0" fontId="4" fillId="19" borderId="0" xfId="0" applyNumberFormat="1" applyFont="1" applyFill="1" applyBorder="1" applyAlignment="1">
      <x:alignment vertical="top" wrapText="1"/>
    </x:xf>
    <x:xf numFmtId="0" fontId="3" fillId="19" borderId="16" xfId="0" applyNumberFormat="1" applyFont="1" applyFill="1" applyBorder="1" applyAlignment="1">
      <x:alignment vertical="top" wrapText="1"/>
    </x:xf>
    <x:xf numFmtId="0" fontId="4" fillId="19" borderId="16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/>
    <x:xf numFmtId="0" fontId="13" fillId="24" borderId="0" xfId="0" applyNumberFormat="1" applyFont="1" applyFill="1" applyBorder="1"/>
    <x:xf numFmtId="0" fontId="13" fillId="24" borderId="0" xfId="0" applyNumberFormat="1" applyFont="1" applyFill="1" applyBorder="1" applyAlignment="1">
      <x:alignment vertical="center"/>
    </x:xf>
    <x:xf numFmtId="0" fontId="0" fillId="24" borderId="16" xfId="0" applyNumberFormat="1" applyFont="1" applyFill="1" applyBorder="1"/>
    <x:xf numFmtId="0" fontId="13" fillId="24" borderId="16" xfId="0" applyNumberFormat="1" applyFont="1" applyFill="1" applyBorder="1"/>
    <x:xf numFmtId="0" fontId="13" fillId="24" borderId="16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 applyAlignment="1">
      <x:alignment wrapText="1"/>
    </x:xf>
    <x:xf numFmtId="0" fontId="14" fillId="21" borderId="0" xfId="0" applyNumberFormat="1" applyFont="1" applyFill="1" applyBorder="1" applyAlignment="1">
      <x:alignment wrapText="1"/>
    </x:xf>
    <x:xf numFmtId="0" fontId="0" fillId="21" borderId="16" xfId="0" applyNumberFormat="1" applyFont="1" applyFill="1" applyBorder="1" applyAlignment="1">
      <x:alignment wrapText="1"/>
    </x:xf>
    <x:xf numFmtId="0" fontId="14" fillId="21" borderId="16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14" fillId="21" borderId="0" xfId="0" applyNumberFormat="1" applyFont="1" applyFill="1" applyBorder="1"/>
    <x:xf numFmtId="0" fontId="0" fillId="21" borderId="16" xfId="0" applyNumberFormat="1" applyFont="1" applyFill="1" applyBorder="1"/>
    <x:xf numFmtId="0" fontId="14" fillId="21" borderId="16" xfId="0" applyNumberFormat="1" applyFont="1" applyFill="1" applyBorder="1"/>
    <x:xf numFmtId="0" fontId="2" fillId="24" borderId="0" xfId="0" applyNumberFormat="1" applyFont="1" applyFill="1" applyBorder="1" applyAlignment="1">
      <x:alignment vertical="center" wrapText="1"/>
    </x:xf>
    <x:xf numFmtId="0" fontId="2" fillId="24" borderId="16" xfId="0" applyNumberFormat="1" applyFont="1" applyFill="1" applyBorder="1" applyAlignment="1">
      <x:alignment vertical="center" wrapText="1"/>
    </x:xf>
    <x:xf numFmtId="200" fontId="3" fillId="4" borderId="0" xfId="0" applyNumberFormat="1" applyFont="1" applyFill="1" applyBorder="1" applyAlignment="1">
      <x:alignment wrapText="1"/>
    </x:xf>
    <x:xf numFmtId="200" fontId="3" fillId="4" borderId="16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1" fontId="3" fillId="4" borderId="16" xfId="0" applyNumberFormat="1" applyFont="1" applyFill="1" applyBorder="1" applyAlignment="1">
      <x:alignment wrapText="1"/>
    </x:xf>
    <x:xf numFmtId="203" fontId="3" fillId="4" borderId="0" xfId="0" applyNumberFormat="1" applyFont="1" applyFill="1" applyBorder="1" applyAlignment="1">
      <x:alignment wrapText="1"/>
    </x:xf>
    <x:xf numFmtId="203" fontId="3" fillId="4" borderId="16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vertical="center" wrapText="1"/>
    </x:xf>
    <x:xf numFmtId="0" fontId="2" fillId="18" borderId="16" xfId="0" applyNumberFormat="1" applyFont="1" applyFill="1" applyBorder="1" applyAlignment="1">
      <x:alignment vertical="center" wrapText="1"/>
    </x:xf>
    <x:xf numFmtId="164" fontId="3" fillId="29" borderId="0" xfId="0" applyNumberFormat="1" applyFont="1" applyFill="1" applyBorder="1" applyAlignment="1">
      <x:alignment wrapText="1"/>
    </x:xf>
    <x:xf numFmtId="200" fontId="3" fillId="29" borderId="0" xfId="0" applyNumberFormat="1" applyFont="1" applyFill="1" applyBorder="1" applyAlignment="1">
      <x:alignment wrapText="1"/>
    </x:xf>
    <x:xf numFmtId="1" fontId="3" fillId="29" borderId="0" xfId="0" applyNumberFormat="1" applyFont="1" applyFill="1" applyBorder="1" applyAlignment="1">
      <x:alignment wrapText="1"/>
    </x:xf>
    <x:xf numFmtId="201" fontId="3" fillId="29" borderId="0" xfId="0" applyNumberFormat="1" applyFont="1" applyFill="1" applyBorder="1" applyAlignment="1">
      <x:alignment wrapText="1"/>
    </x:xf>
    <x:xf numFmtId="203" fontId="3" fillId="29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/>
    <x:xf numFmtId="164" fontId="3" fillId="29" borderId="16" xfId="0" applyNumberFormat="1" applyFont="1" applyFill="1" applyBorder="1" applyAlignment="1">
      <x:alignment wrapText="1"/>
    </x:xf>
    <x:xf numFmtId="200" fontId="3" fillId="29" borderId="16" xfId="0" applyNumberFormat="1" applyFont="1" applyFill="1" applyBorder="1" applyAlignment="1">
      <x:alignment wrapText="1"/>
    </x:xf>
    <x:xf numFmtId="1" fontId="3" fillId="29" borderId="16" xfId="0" applyNumberFormat="1" applyFont="1" applyFill="1" applyBorder="1" applyAlignment="1">
      <x:alignment wrapText="1"/>
    </x:xf>
    <x:xf numFmtId="201" fontId="3" fillId="29" borderId="16" xfId="0" applyNumberFormat="1" applyFont="1" applyFill="1" applyBorder="1" applyAlignment="1">
      <x:alignment wrapText="1"/>
    </x:xf>
    <x:xf numFmtId="203" fontId="3" fillId="29" borderId="16" xfId="0" applyNumberFormat="1" applyFont="1" applyFill="1" applyBorder="1" applyAlignment="1">
      <x:alignment wrapText="1"/>
    </x:xf>
    <x:xf numFmtId="0" fontId="3" fillId="29" borderId="16" xfId="0" applyNumberFormat="1" applyFont="1" applyFill="1" applyBorder="1" applyAlignment="1">
      <x:alignment wrapText="1"/>
    </x:xf>
    <x:xf numFmtId="0" fontId="3" fillId="29" borderId="16" xfId="0" applyNumberFormat="1" applyFont="1" applyFill="1" applyBorder="1"/>
    <x:xf numFmtId="0" fontId="4" fillId="21" borderId="0" xfId="0" applyNumberFormat="1" applyFont="1" applyFill="1" applyBorder="1" applyAlignment="1">
      <x:alignment horizontal="center"/>
    </x:xf>
    <x:xf numFmtId="0" fontId="4" fillId="21" borderId="16" xfId="0" applyNumberFormat="1" applyFont="1" applyFill="1" applyBorder="1" applyAlignment="1">
      <x:alignment horizontal="center"/>
    </x:xf>
    <x:xf numFmtId="0" fontId="3" fillId="21" borderId="0" xfId="0" applyNumberFormat="1" applyFont="1" applyFill="1" applyBorder="1" applyAlignment="1">
      <x:alignment vertical="top" wrapText="1"/>
    </x:xf>
    <x:xf numFmtId="0" fontId="4" fillId="21" borderId="0" xfId="0" applyNumberFormat="1" applyFont="1" applyFill="1" applyBorder="1" applyAlignment="1">
      <x:alignment vertical="top" wrapText="1"/>
    </x:xf>
    <x:xf numFmtId="0" fontId="3" fillId="21" borderId="16" xfId="0" applyNumberFormat="1" applyFont="1" applyFill="1" applyBorder="1" applyAlignment="1">
      <x:alignment vertical="top" wrapText="1"/>
    </x:xf>
    <x:xf numFmtId="0" fontId="4" fillId="21" borderId="16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24" borderId="0" xfId="0" applyNumberFormat="1" applyFont="1" applyFill="1" applyBorder="1"/>
    <x:xf numFmtId="0" fontId="12" fillId="24" borderId="0" xfId="0" applyNumberFormat="1" applyFont="1" applyFill="1" applyBorder="1"/>
    <x:xf numFmtId="0" fontId="3" fillId="24" borderId="16" xfId="0" applyNumberFormat="1" applyFont="1" applyFill="1" applyBorder="1"/>
    <x:xf numFmtId="0" fontId="12" fillId="24" borderId="16" xfId="0" applyNumberFormat="1" applyFont="1" applyFill="1" applyBorder="1"/>
    <x:xf numFmtId="0" fontId="4" fillId="19" borderId="0" xfId="0" applyNumberFormat="1" applyFont="1" applyFill="1" applyBorder="1"/>
    <x:xf numFmtId="0" fontId="4" fillId="19" borderId="0" xfId="0" applyNumberFormat="1" applyFont="1" applyFill="1" applyBorder="1" applyAlignment="1">
      <x:alignment wrapText="1"/>
    </x:xf>
    <x:xf numFmtId="0" fontId="4" fillId="19" borderId="0" xfId="0" applyNumberFormat="1" applyFont="1" applyFill="1" applyBorder="1" applyAlignment="1">
      <x:alignment vertical="center" wrapText="1"/>
    </x:xf>
    <x:xf numFmtId="0" fontId="4" fillId="19" borderId="16" xfId="0" applyNumberFormat="1" applyFont="1" applyFill="1" applyBorder="1"/>
    <x:xf numFmtId="0" fontId="4" fillId="19" borderId="16" xfId="0" applyNumberFormat="1" applyFont="1" applyFill="1" applyBorder="1" applyAlignment="1">
      <x:alignment wrapText="1"/>
    </x:xf>
    <x:xf numFmtId="0" fontId="4" fillId="19" borderId="16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203" fontId="0" fillId="0" borderId="16" xfId="0" applyNumberFormat="1" applyFont="1" applyFill="1" applyBorder="1"/>
    <x:xf numFmtId="200" fontId="0" fillId="29" borderId="0" xfId="0" applyNumberFormat="1" applyFont="1" applyFill="1" applyBorder="1"/>
    <x:xf numFmtId="0" fontId="0" fillId="29" borderId="0" xfId="0" applyNumberFormat="1" applyFont="1" applyFill="1" applyBorder="1"/>
    <x:xf numFmtId="201" fontId="0" fillId="29" borderId="0" xfId="0" applyNumberFormat="1" applyFont="1" applyFill="1" applyBorder="1"/>
    <x:xf numFmtId="203" fontId="0" fillId="29" borderId="0" xfId="0" applyNumberFormat="1" applyFont="1" applyFill="1" applyBorder="1"/>
    <x:xf numFmtId="200" fontId="0" fillId="29" borderId="16" xfId="0" applyNumberFormat="1" applyFont="1" applyFill="1" applyBorder="1"/>
    <x:xf numFmtId="0" fontId="0" fillId="29" borderId="16" xfId="0" applyNumberFormat="1" applyFont="1" applyFill="1" applyBorder="1"/>
    <x:xf numFmtId="201" fontId="0" fillId="29" borderId="16" xfId="0" applyNumberFormat="1" applyFont="1" applyFill="1" applyBorder="1"/>
    <x:xf numFmtId="203" fontId="0" fillId="29" borderId="16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0" fillId="0" borderId="16" xfId="0" applyNumberFormat="1" applyFont="1" applyFill="1" applyBorder="1" applyAlignment="1">
      <x:alignment wrapText="1"/>
    </x:xf>
    <x:xf numFmtId="202" fontId="5" fillId="30" borderId="0" xfId="0" applyNumberFormat="1" applyFont="1" applyFill="1" applyBorder="1" applyAlignment="1">
      <x:alignment horizontal="center" vertical="center" wrapText="1"/>
    </x:xf>
    <x:xf numFmtId="0" fontId="2" fillId="30" borderId="0" xfId="0" applyNumberFormat="1" applyFont="1" applyFill="1" applyBorder="1" applyAlignment="1">
      <x:alignment horizontal="center" vertical="center" wrapText="1"/>
    </x:xf>
    <x:xf numFmtId="0" fontId="3" fillId="30" borderId="0" xfId="0" applyNumberFormat="1" applyFont="1" applyFill="1" applyBorder="1" applyAlignment="1">
      <x:alignment horizontal="center" vertical="top" wrapText="1"/>
    </x:xf>
    <x:xf numFmtId="0" fontId="2" fillId="30" borderId="0" xfId="0" applyNumberFormat="1" applyFont="1" applyFill="1" applyBorder="1" applyAlignment="1">
      <x:alignment horizontal="center" vertical="top" wrapText="1"/>
    </x:xf>
    <x:xf numFmtId="202" fontId="5" fillId="30" borderId="16" xfId="0" applyNumberFormat="1" applyFont="1" applyFill="1" applyBorder="1" applyAlignment="1">
      <x:alignment horizontal="center" vertical="center" wrapText="1"/>
    </x:xf>
    <x:xf numFmtId="0" fontId="2" fillId="30" borderId="16" xfId="0" applyNumberFormat="1" applyFont="1" applyFill="1" applyBorder="1" applyAlignment="1">
      <x:alignment horizontal="center" vertical="center" wrapText="1"/>
    </x:xf>
    <x:xf numFmtId="0" fontId="3" fillId="30" borderId="16" xfId="0" applyNumberFormat="1" applyFont="1" applyFill="1" applyBorder="1" applyAlignment="1">
      <x:alignment horizontal="center" vertical="top" wrapText="1"/>
    </x:xf>
    <x:xf numFmtId="0" fontId="2" fillId="30" borderId="16" xfId="0" applyNumberFormat="1" applyFont="1" applyFill="1" applyBorder="1" applyAlignment="1">
      <x:alignment horizontal="center" vertical="top" wrapText="1"/>
    </x:xf>
    <x:xf numFmtId="0" fontId="0" fillId="29" borderId="0" xfId="0" applyNumberFormat="1" applyFont="1" applyFill="1" applyBorder="1" applyAlignment="1">
      <x:alignment wrapText="1"/>
    </x:xf>
    <x:xf numFmtId="0" fontId="14" fillId="29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 applyAlignment="1">
      <x:alignment vertical="center" wrapText="1"/>
    </x:xf>
    <x:xf numFmtId="0" fontId="14" fillId="29" borderId="0" xfId="0" applyNumberFormat="1" applyFont="1" applyFill="1" applyBorder="1" applyAlignment="1">
      <x:alignment vertical="center" wrapText="1"/>
    </x:xf>
    <x:xf numFmtId="0" fontId="0" fillId="29" borderId="16" xfId="0" applyNumberFormat="1" applyFont="1" applyFill="1" applyBorder="1" applyAlignment="1">
      <x:alignment wrapText="1"/>
    </x:xf>
    <x:xf numFmtId="0" fontId="14" fillId="29" borderId="16" xfId="0" applyNumberFormat="1" applyFont="1" applyFill="1" applyBorder="1" applyAlignment="1">
      <x:alignment wrapText="1"/>
    </x:xf>
    <x:xf numFmtId="0" fontId="0" fillId="29" borderId="16" xfId="0" applyNumberFormat="1" applyFont="1" applyFill="1" applyBorder="1" applyAlignment="1">
      <x:alignment vertical="center" wrapText="1"/>
    </x:xf>
    <x:xf numFmtId="0" fontId="14" fillId="29" borderId="16" xfId="0" applyNumberFormat="1" applyFont="1" applyFill="1" applyBorder="1" applyAlignment="1">
      <x:alignment vertical="center" wrapText="1"/>
    </x:xf>
    <x:xf numFmtId="0" fontId="9" fillId="18" borderId="0" xfId="0" applyNumberFormat="1" applyFont="1" applyFill="1" applyBorder="1" applyAlignment="1">
      <x:alignment horizontal="center" vertical="top" wrapText="1"/>
    </x:xf>
    <x:xf numFmtId="0" fontId="9" fillId="18" borderId="16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/>
    <x:xf numFmtId="0" fontId="11" fillId="30" borderId="0" xfId="0" applyNumberFormat="1" applyFont="1" applyFill="1" applyBorder="1" applyAlignment="1">
      <x:alignment wrapText="1"/>
    </x:xf>
    <x:xf numFmtId="0" fontId="3" fillId="30" borderId="16" xfId="0" applyNumberFormat="1" applyFont="1" applyFill="1" applyBorder="1"/>
    <x:xf numFmtId="0" fontId="11" fillId="30" borderId="16" xfId="0" applyNumberFormat="1" applyFont="1" applyFill="1" applyBorder="1" applyAlignment="1">
      <x:alignment wrapText="1"/>
    </x:xf>
    <x:xf numFmtId="0" fontId="15" fillId="30" borderId="0" xfId="0" applyNumberFormat="1" applyFont="1" applyFill="1" applyBorder="1"/>
    <x:xf numFmtId="0" fontId="16" fillId="30" borderId="0" xfId="0" applyNumberFormat="1" applyFont="1" applyFill="1" applyBorder="1" applyAlignment="1">
      <x:alignment wrapText="1"/>
    </x:xf>
    <x:xf numFmtId="0" fontId="15" fillId="30" borderId="16" xfId="0" applyNumberFormat="1" applyFont="1" applyFill="1" applyBorder="1"/>
    <x:xf numFmtId="0" fontId="16" fillId="30" borderId="1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1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 wrapText="1"/>
    </x:xf>
    <x:xf numFmtId="164" fontId="3" fillId="4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horizontal="center"/>
    </x:xf>
    <x:xf numFmtId="1" fontId="3" fillId="4" borderId="0" xfId="0" applyNumberFormat="1" applyFont="1" applyFill="1" applyBorder="1" applyAlignment="1">
      <x:alignment wrapText="1"/>
    </x:xf>
    <x:xf numFmtId="165" fontId="3" fillId="0" borderId="0" xfId="0" applyNumberFormat="1" applyFont="1" applyFill="1" applyBorder="1" applyAlignment="1">
      <x:alignment vertical="top" wrapText="1"/>
    </x:xf>
    <x:xf numFmtId="164" fontId="3" fillId="0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2" fillId="10" borderId="0" xfId="0" applyNumberFormat="1" applyFont="1" applyFill="1" applyBorder="1" applyAlignment="1">
      <x:alignment horizontal="center"/>
    </x:xf>
    <x:xf numFmtId="0" fontId="2" fillId="11" borderId="0" xfId="0" applyNumberFormat="1" applyFont="1" applyFill="1" applyBorder="1" applyAlignment="1">
      <x:alignment horizontal="center"/>
    </x:xf>
    <x:xf numFmtId="0" fontId="2" fillId="12" borderId="0" xfId="0" applyNumberFormat="1" applyFont="1" applyFill="1" applyBorder="1" applyAlignment="1">
      <x:alignment horizontal="center"/>
    </x:xf>
    <x:xf numFmtId="0" fontId="2" fillId="13" borderId="0" xfId="0" applyNumberFormat="1" applyFont="1" applyFill="1" applyBorder="1" applyAlignment="1">
      <x:alignment horizontal="center"/>
    </x:xf>
    <x:xf numFmtId="0" fontId="2" fillId="14" borderId="0" xfId="0" applyNumberFormat="1" applyFont="1" applyFill="1" applyBorder="1" applyAlignment="1">
      <x:alignment vertical="top" wrapText="1"/>
    </x:xf>
    <x:xf numFmtId="0" fontId="2" fillId="14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9" fontId="2" fillId="2" borderId="0" xfId="0" applyNumberFormat="1" applyFont="1" applyFill="1" applyBorder="1"/>
    <x:xf numFmtId="164" fontId="2" fillId="3" borderId="0" xfId="0" applyNumberFormat="1" applyFont="1" applyFill="1" applyBorder="1" applyAlignment="1">
      <x:alignment vertical="center"/>
    </x:xf>
    <x:xf numFmtId="166" fontId="5" fillId="5" borderId="0" xfId="0" applyNumberFormat="1" applyFont="1" applyFill="1" applyBorder="1" applyAlignment="1">
      <x:alignment horizontal="center" vertical="center" wrapText="1"/>
    </x:xf>
    <x:xf numFmtId="9" fontId="3" fillId="0" borderId="0" xfId="0" applyNumberFormat="1" applyFont="1" applyFill="1" applyBorder="1" applyAlignment="1">
      <x:alignment horizontal="center" vertical="top" wrapText="1"/>
    </x:xf>
    <x:xf numFmtId="0" fontId="2" fillId="7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 vertical="center"/>
    </x:xf>
    <x:xf numFmtId="0" fontId="2" fillId="9" borderId="0" xfId="0" applyNumberFormat="1" applyFont="1" applyFill="1" applyBorder="1" applyAlignment="1">
      <x:alignment horizontal="center" vertical="center"/>
    </x:xf>
    <x:xf numFmtId="0" fontId="2" fillId="10" borderId="0" xfId="0" applyNumberFormat="1" applyFont="1" applyFill="1" applyBorder="1" applyAlignment="1">
      <x:alignment horizontal="center" vertical="center"/>
    </x:xf>
    <x:xf numFmtId="0" fontId="2" fillId="11" borderId="0" xfId="0" applyNumberFormat="1" applyFont="1" applyFill="1" applyBorder="1" applyAlignment="1">
      <x:alignment horizontal="center" vertical="center"/>
    </x:xf>
    <x:xf numFmtId="0" fontId="2" fillId="12" borderId="0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 applyAlignment="1">
      <x:alignment horizontal="center" vertical="center"/>
    </x:xf>
    <x:xf numFmtId="0" fontId="2" fillId="14" borderId="0" xfId="0" applyNumberFormat="1" applyFont="1" applyFill="1" applyBorder="1" applyAlignment="1">
      <x:alignment horizontal="center" vertical="center"/>
    </x:xf>
    <x:xf numFmtId="164" fontId="3" fillId="0" borderId="0" xfId="0" applyNumberFormat="1" applyFont="1" applyFill="1" applyBorder="1" applyAlignment="1">
      <x:alignment wrapText="1"/>
    </x:xf>
    <x:xf numFmtId="164" fontId="3" fillId="17" borderId="0" xfId="0" applyNumberFormat="1" applyFont="1" applyFill="1" applyBorder="1" applyAlignment="1">
      <x:alignment wrapText="1"/>
    </x:xf>
    <x:xf numFmtId="165" fontId="3" fillId="0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2" fontId="3" fillId="0" borderId="0" xfId="0" applyNumberFormat="1" applyFont="1" applyFill="1" applyBorder="1" applyAlignment="1">
      <x:alignment horizontal="center" vertical="top" wrapText="1"/>
    </x:xf>
    <x:xf numFmtId="2" fontId="3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  <x:xf numFmtId="0" fontId="5" fillId="15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6"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FCE8E6"/>
        </x:patternFill>
      </x:fill>
    </x:dxf>
    <x:dxf>
      <x:font>
        <x:color rgb="FF2F75B5"/>
      </x:font>
      <x:fill>
        <x:patternFill>
          <x:bgColor rgb="FF2F75B5"/>
        </x:patternFill>
      </x:fill>
    </x:dxf>
    <x:dxf>
      <x:font>
        <x:color rgb="FF2F75B5"/>
      </x:font>
      <x:fill>
        <x:patternFill>
          <x:bgColor rgb="FF2F75B5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FCE8E6"/>
        </x:patternFill>
      </x:fill>
    </x:dxf>
    <x:dxf>
      <x:font>
        <x:color rgb="FF2F75B5"/>
      </x:font>
      <x:fill>
        <x:patternFill>
          <x:bgColor rgb="FF2F75B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eb52a084b1417b" /><Relationship Type="http://schemas.openxmlformats.org/officeDocument/2006/relationships/theme" Target="/xl/theme/theme1.xml" Id="R5c04b3aabd1c415d" /><Relationship Type="http://schemas.openxmlformats.org/officeDocument/2006/relationships/sharedStrings" Target="/xl/sharedStrings.xml" Id="R1e2ea280522c445f" /><Relationship Type="http://schemas.openxmlformats.org/officeDocument/2006/relationships/worksheet" Target="/xl/worksheets/sheet1.xml" Id="R12514d1b052542b9" /><Relationship Type="http://schemas.openxmlformats.org/officeDocument/2006/relationships/worksheet" Target="/xl/worksheets/sheet2.xml" Id="R5debdfede2ad46ff" /><Relationship Type="http://schemas.openxmlformats.org/officeDocument/2006/relationships/worksheet" Target="/xl/worksheets/sheet3.xml" Id="R819720973e8949b5" /><Relationship Type="http://schemas.openxmlformats.org/officeDocument/2006/relationships/worksheet" Target="/xl/worksheets/sheet4.xml" Id="Rce42977e4edc4adb" /><Relationship Type="http://schemas.openxmlformats.org/officeDocument/2006/relationships/worksheet" Target="/xl/worksheets/sheet5.xml" Id="Rf3d0c24df26a4bda" /><Relationship Type="http://schemas.openxmlformats.org/officeDocument/2006/relationships/worksheet" Target="/xl/worksheets/sheet6.xml" Id="R618e46bc98ce4650" /><Relationship Type="http://schemas.openxmlformats.org/officeDocument/2006/relationships/worksheet" Target="/xl/worksheets/sheet7.xml" Id="R877f7712592044b3" /><Relationship Type="http://schemas.openxmlformats.org/officeDocument/2006/relationships/worksheet" Target="/xl/worksheets/sheet8.xml" Id="Rf78e5eb0e3f24bba" /><Relationship Type="http://schemas.openxmlformats.org/officeDocument/2006/relationships/worksheet" Target="/xl/worksheets/sheet9.xml" Id="R31f7feaf67ca44bf" /><Relationship Type="http://schemas.openxmlformats.org/officeDocument/2006/relationships/worksheet" Target="/xl/worksheets/sheet10.xml" Id="Ra7d450d13b4a47f7" /><Relationship Type="http://schemas.openxmlformats.org/officeDocument/2006/relationships/worksheet" Target="/xl/worksheets/sheet11.xml" Id="Rd087fe7d8e1c423a" /><Relationship Type="http://schemas.openxmlformats.org/officeDocument/2006/relationships/worksheet" Target="/xl/worksheets/sheet12.xml" Id="Rd912c8f633874593" /><Relationship Type="http://schemas.openxmlformats.org/officeDocument/2006/relationships/worksheet" Target="/xl/worksheets/sheet13.xml" Id="Rae2070f022be4005" /><Relationship Type="http://schemas.openxmlformats.org/officeDocument/2006/relationships/worksheet" Target="/xl/worksheets/sheet14.xml" Id="R6d230da564dd4b13" /><Relationship Type="http://schemas.openxmlformats.org/officeDocument/2006/relationships/worksheet" Target="/xl/worksheets/sheet15.xml" Id="Rec7ef78969a04a5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b6587cf7e3b435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ee2593e180b847dd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610d47c9af304064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numRef>
              <c:f>'Weekly Control'!$A$4:$A$55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'Weekly Control'!$D$4:$D$55</c:f>
              <c:numCache>
                <c:formatCode>General</c:formatCode>
                <c:ptCount val="52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  <c:pt idx="7">
                  <c:v>11</c:v>
                </c:pt>
                <c:pt idx="8">
                  <c:v>12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12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12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12</c:v>
                </c:pt>
              </c:numCache>
            </c:numRef>
          </c:val>
          <c:smooth val="0"/>
        </c:ser>
        <c:ser>
          <c:idx val="1"/>
          <c:order val="1"/>
          <c:tx>
            <c:v>Actual Hours</c:v>
          </c:tx>
          <c:cat>
            <c:numRef>
              <c:f>'Weekly Control'!$A$4:$A$55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'Weekly Control'!$E$4:$E$55</c:f>
              <c:numCache>
                <c:formatCode>General</c:formatCode>
                <c:ptCount val="1"/>
                <c:pt idx="0">
                  <c:v>2.12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'Phase Summary'!$B$4:$B$11</c:f>
              <c:strCache>
                <c:ptCount val="8"/>
                <c:pt idx="0">
                  <c:v>0 Project Controls &amp; Mobilization</c:v>
                </c:pt>
                <c:pt idx="1">
                  <c:v>1 Case Foundation</c:v>
                </c:pt>
                <c:pt idx="2">
                  <c:v>2 Software Hygiene &amp; Test Infrastructure</c:v>
                </c:pt>
                <c:pt idx="3">
                  <c:v>3 Evaluation Engine &amp; Measurement</c:v>
                </c:pt>
                <c:pt idx="4">
                  <c:v>4 Multimodal Technical Document Evaluation</c:v>
                </c:pt>
                <c:pt idx="5">
                  <c:v>5 OpenClaw Bounded Agent Evaluation</c:v>
                </c:pt>
                <c:pt idx="6">
                  <c:v>6 Comparative Harness &amp; Observability</c:v>
                </c:pt>
                <c:pt idx="7">
                  <c:v>7 Hardening, Governance &amp; Portfolio Release</c:v>
                </c:pt>
              </c:strCache>
            </c:strRef>
          </c:cat>
          <c:val>
            <c:numRef>
              <c:f>'Phase Summary'!$C$4:$C$11</c:f>
              <c:numCache>
                <c:formatCode>General</c:formatCode>
                <c:ptCount val="8"/>
                <c:pt idx="0">
                  <c:v>40</c:v>
                </c:pt>
                <c:pt idx="1">
                  <c:v>64</c:v>
                </c:pt>
                <c:pt idx="2">
                  <c:v>72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52</c:v>
                </c:pt>
                <c:pt idx="7">
                  <c:v>60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vs Actual Hours by Phase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Planned Hours</c:v>
          </c:tx>
          <c:cat>
            <c:strRef>
              <c:f>'MVP Dashboard'!$A$15:$A$20</c:f>
              <c:strCache>
                <c:ptCount val="0"/>
              </c:strCache>
            </c:strRef>
          </c:cat>
          <c:val>
            <c:numRef>
              <c:f>'MVP Dashboard'!$B$15:$B$20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Actual Hours</c:v>
          </c:tx>
          <c:cat>
            <c:strRef>
              <c:f>'MVP Dashboard'!$A$15:$A$20</c:f>
              <c:strCache>
                <c:ptCount val="0"/>
              </c:strCache>
            </c:strRef>
          </c:cat>
          <c:val>
            <c:numRef>
              <c:f>'MVP Dashboard'!$C$15:$C$20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6587cf7e3b435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2593e180b847dd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11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0d47c9af30406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etailedWbsTable" displayName="DetailedWbsTable" ref="A5:Q63">
  <x:tableColumns count="17">
    <x:tableColumn id="1" name="WBS"/>
    <x:tableColumn id="2" name="Phase"/>
    <x:tableColumn id="3" name="Work Package"/>
    <x:tableColumn id="4" name="Deliverable / Acceptance Evidence"/>
    <x:tableColumn id="5" name="Predecessor"/>
    <x:tableColumn id="6" name="Planned Hours"/>
    <x:tableColumn id="7" name="Start Week"/>
    <x:tableColumn id="8" name="Finish Week"/>
    <x:tableColumn id="9" name="Duration (wk)"/>
    <x:tableColumn id="10" name="Start Date"/>
    <x:tableColumn id="11" name="Finish Date"/>
    <x:tableColumn id="12" name="Status"/>
    <x:tableColumn id="13" name="% Complete"/>
    <x:tableColumn id="14" name="Actual Hours"/>
    <x:tableColumn id="15" name="Hour Variance"/>
    <x:tableColumn id="16" name="Remaining Planned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WeeklyControlTable" displayName="WeeklyControlTable" ref="A3:L55">
  <x:tableColumns count="12">
    <x:tableColumn id="1" name="Week"/>
    <x:tableColumn id="2" name="Week Start"/>
    <x:tableColumn id="3" name="Week Finish"/>
    <x:tableColumn id="4" name="Planned Hours"/>
    <x:tableColumn id="5" name="Actual Hours"/>
    <x:tableColumn id="6" name="Variance"/>
    <x:tableColumn id="7" name="Cumulative Planned"/>
    <x:tableColumn id="8" name="Cumulative Actual"/>
    <x:tableColumn id="9" name="Remaining Baseline"/>
    <x:tableColumn id="10" name="Primary Phase"/>
    <x:tableColumn id="11" name="Status"/>
    <x:tableColumn id="12" name="Weekly 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7ac9481965044ec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149ff9ffd0b34590" /><Relationship Type="http://schemas.openxmlformats.org/officeDocument/2006/relationships/table" Target="/xl/tables/table2.xml" Id="Rf0a17fe165664ca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357bc8d75bbd41ef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3.xml" Id="R5f4fa484132d407a" /></Relationships>
</file>

<file path=xl/worksheets/sheet1.xml><?xml version="1.0" encoding="utf-8"?>
<x:worksheet xmlns:x="http://schemas.openxmlformats.org/spreadsheetml/2006/main">
  <x:sheetFormatPr defaultRowHeight="14.25"/>
  <x:cols>
    <x:col min="1" max="2" width="24" customWidth="1"/>
    <x:col min="3" max="3" width="4" hidden="0" customWidth="1"/>
    <x:col min="4" max="4" width="22" hidden="0" customWidth="1"/>
    <x:col min="5" max="7" width="18" customWidth="1"/>
    <x:col min="8" max="8" width="18" hidden="0" customWidth="1"/>
    <x:col min="1" max="1" width="22" hidden="0" customWidth="1"/>
    <x:col min="2" max="2" width="34" hidden="0" customWidth="1"/>
    <x:col min="5" max="5" width="58" hidden="0" customWidth="1"/>
    <x:col min="6" max="6" width="4" hidden="0" customWidth="1"/>
    <x:col min="7" max="7" width="18" hidden="0" customWidth="1"/>
  </x:cols>
  <x:sheetData>
    <x:row r="1" ht="30" customHeight="1">
      <x:c r="A1" s="360" t="str">
        <x:v>Mechanical Technical Document Evaluation Harness — MVP Control Workbook</x:v>
      </x:c>
      <x:c r="B1" s="127"/>
      <x:c r="C1" s="127"/>
      <x:c r="D1" s="127"/>
      <x:c r="E1" s="127"/>
      <x:c r="F1" s="127"/>
      <x:c r="G1" s="127"/>
      <x:c r="H1" s="12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2" customHeight="1">
      <x:c r="A3" s="472" t="str">
        <x:v>Controlling Baseline</x:v>
      </x:c>
      <x:c r="B3" s="3"/>
      <x:c r="C3" s="1"/>
      <x:c r="D3" s="458" t="str">
        <x:v>How to Use This Workbook Every Work Block</x:v>
      </x:c>
      <x:c r="E3" s="126"/>
      <x:c r="F3" s="126"/>
      <x:c r="G3" s="126"/>
      <x:c r="H3" s="126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4" customHeight="1">
      <x:c r="A4" s="507" t="str">
        <x:v>Baseline revision</x:v>
      </x:c>
      <x:c r="B4" s="509" t="str">
        <x:v>MVP v1.0 — 2026-07-04</x:v>
      </x:c>
      <x:c r="C4" s="1"/>
      <x:c r="D4" s="523" t="str">
        <x:v>1</x:v>
      </x:c>
      <x:c r="E4" s="310" t="str">
        <x:v>Open AI Context, then read the active/next WBS in Detailed Gantt.</x:v>
      </x:c>
      <x:c r="F4" s="129"/>
      <x:c r="G4" s="129"/>
      <x:c r="H4" s="130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4" customHeight="1">
      <x:c r="A5" s="507" t="str">
        <x:v>Baseline start</x:v>
      </x:c>
      <x:c r="B5" s="510" t="n">
        <x:v>46202</x:v>
      </x:c>
      <x:c r="C5" s="1"/>
      <x:c r="D5" s="523" t="str">
        <x:v>2</x:v>
      </x:c>
      <x:c r="E5" s="310" t="str">
        <x:v>State objective, expected duration, and definition of done before implementation.</x:v>
      </x:c>
      <x:c r="F5" s="121"/>
      <x:c r="G5" s="121"/>
      <x:c r="H5" s="122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4" customHeight="1">
      <x:c r="A6" s="507" t="str">
        <x:v>Target finish</x:v>
      </x:c>
      <x:c r="B6" s="510" t="n">
        <x:v>46257</x:v>
      </x:c>
      <x:c r="C6" s="1"/>
      <x:c r="D6" s="523" t="str">
        <x:v>3</x:v>
      </x:c>
      <x:c r="E6" s="310" t="str">
        <x:v>Work one coherent capability; do not create one branch per trivial test.</x:v>
      </x:c>
      <x:c r="F6" s="121"/>
      <x:c r="G6" s="121"/>
      <x:c r="H6" s="122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4" customHeight="1">
      <x:c r="A7" s="507" t="str">
        <x:v>Calendar duration</x:v>
      </x:c>
      <x:c r="B7" s="511" t="str">
        <x:v>8 weeks</x:v>
      </x:c>
      <x:c r="C7" s="1"/>
      <x:c r="D7" s="523" t="str">
        <x:v>4</x:v>
      </x:c>
      <x:c r="E7" s="310" t="str">
        <x:v>At closeout, add Work Block Log actuals, evidence, decisions/blockers, and next action.</x:v>
      </x:c>
      <x:c r="F7" s="121"/>
      <x:c r="G7" s="121"/>
      <x:c r="H7" s="122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4" customHeight="1">
      <x:c r="A8" s="507" t="str">
        <x:v>Planned labour</x:v>
      </x:c>
      <x:c r="B8" s="511" t="n">
        <x:v>76</x:v>
      </x:c>
      <x:c r="C8" s="1"/>
      <x:c r="D8" s="523" t="str">
        <x:v>5</x:v>
      </x:c>
      <x:c r="E8" s="310" t="str">
        <x:v>Update Detailed Gantt status and percent complete; preserve prior history.</x:v>
      </x:c>
      <x:c r="F8" s="121"/>
      <x:c r="G8" s="121"/>
      <x:c r="H8" s="122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4" customHeight="1">
      <x:c r="A9" s="507" t="str">
        <x:v>Known logged hours</x:v>
      </x:c>
      <x:c r="B9" s="512" t="n">
        <x:f>SUM('Work Block Log'!F5:F200)</x:f>
        <x:v>4.69</x:v>
      </x:c>
      <x:c r="C9" s="1"/>
      <x:c r="D9" s="523" t="str">
        <x:v>6</x:v>
      </x:c>
      <x:c r="E9" s="310" t="str">
        <x:v>Use Gate decisions to change scope, schedule, or planned hours.</x:v>
      </x:c>
      <x:c r="F9" s="121"/>
      <x:c r="G9" s="121"/>
      <x:c r="H9" s="122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4" customHeight="1">
      <x:c r="A10" s="507" t="str">
        <x:v>Weighted progress</x:v>
      </x:c>
      <x:c r="B10" s="513" t="n">
        <x:f>SUMPRODUCT('Detailed Gantt'!F6:F27,'Detailed Gantt'!L6:L27)/SUM('Detailed Gantt'!F6:F27)</x:f>
        <x:v>0.1328947368421053</x:v>
      </x:c>
      <x:c r="C10" s="1"/>
      <x:c r="D10" s="523" t="str">
        <x:v>7</x:v>
      </x:c>
      <x:c r="E10" s="310" t="str">
        <x:v>Replace this workbook in the project source files after each completed workflow.</x:v>
      </x:c>
      <x:c r="F10" s="124"/>
      <x:c r="G10" s="124"/>
      <x:c r="H10" s="125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4" customHeight="1">
      <x:c r="A11" s="507" t="str">
        <x:v>Current code state</x:v>
      </x:c>
      <x:c r="B11" s="514" t="str">
        <x:v>main @ c71676d; 25 tests passing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4" customHeight="1">
      <x:c r="A12" s="378" t="str">
        <x:v>Active WBS</x:v>
      </x:c>
      <x:c r="B12" s="514" t="str">
        <x:v>1.1 — Candidate artifact contract and loader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24" customHeight="1">
      <x:c r="A13" s="378" t="str">
        <x:v>Next build WBS</x:v>
      </x:c>
      <x:c r="B13" s="514" t="str">
        <x:v>1.2 — Mandatory gate engine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26"/>
      <x:c r="B14" s="126"/>
      <x:c r="C14" s="126"/>
      <x:c r="D14" s="126"/>
      <x:c r="E14" s="126"/>
      <x:c r="F14" s="126"/>
      <x:c r="G14" s="126"/>
      <x:c r="H14" s="126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22" customHeight="1">
      <x:c r="A15" s="472" t="str">
        <x:v>MVP Completion Definition</x:v>
      </x:c>
      <x:c r="B15" s="472"/>
      <x:c r="C15" s="472"/>
      <x:c r="D15" s="472" t="str">
        <x:v>Workbook Map</x:v>
      </x:c>
      <x:c r="E15" s="472"/>
      <x:c r="F15" s="472"/>
      <x:c r="G15" s="472"/>
      <x:c r="H15" s="472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34" customHeight="1">
      <x:c r="A16" s="526" t="str">
        <x:v>1</x:v>
      </x:c>
      <x:c r="B16" s="529" t="str">
        <x:v>Five reviewed mechanical cases, including at least one held-out case.</x:v>
      </x:c>
      <x:c r="C16" s="115"/>
      <x:c r="D16" s="526" t="str">
        <x:v>Executive Gantt</x:v>
      </x:c>
      <x:c r="E16" s="529" t="str">
        <x:v>Phase-level 8-week schedule and gates.</x:v>
      </x:c>
      <x:c r="F16" s="115"/>
      <x:c r="G16" s="115"/>
      <x:c r="H16" s="116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34" customHeight="1">
      <x:c r="A17" s="526" t="str">
        <x:v>2</x:v>
      </x:c>
      <x:c r="B17" s="529" t="str">
        <x:v>Candidate JSON artifact loading with controlled missing/malformed errors.</x:v>
      </x:c>
      <x:c r="C17" s="115"/>
      <x:c r="D17" s="526" t="str">
        <x:v>Detailed Gantt</x:v>
      </x:c>
      <x:c r="E17" s="529" t="str">
        <x:v>Controlling WBS, hours, status, evidence, next action, and timeline.</x:v>
      </x:c>
      <x:c r="F17" s="115"/>
      <x:c r="G17" s="115"/>
      <x:c r="H17" s="116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34" customHeight="1">
      <x:c r="A18" s="526" t="str">
        <x:v>3</x:v>
      </x:c>
      <x:c r="B18" s="529" t="str">
        <x:v>Mandatory gates execute before scoring.</x:v>
      </x:c>
      <x:c r="C18" s="118"/>
      <x:c r="D18" s="526" t="str">
        <x:v>Weekly Control</x:v>
      </x:c>
      <x:c r="E18" s="529" t="str">
        <x:v>Capacity and actual-hour control by MVP week.</x:v>
      </x:c>
      <x:c r="F18" s="118"/>
      <x:c r="G18" s="118"/>
      <x:c r="H18" s="119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34" customHeight="1">
      <x:c r="A19" s="464" t="str">
        <x:v>4</x:v>
      </x:c>
      <x:c r="B19" s="437" t="str">
        <x:v>Deterministic exact, Boolean, set/contains, and numeric tolerance checks.</x:v>
      </x:c>
      <x:c r="C19" s="1"/>
      <x:c r="D19" s="464" t="str">
        <x:v>Work Block Log</x:v>
      </x:c>
      <x:c r="E19" s="437" t="str">
        <x:v>Chronological work history and time source.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34" customHeight="1">
      <x:c r="A20" s="464" t="str">
        <x:v>5</x:v>
      </x:c>
      <x:c r="B20" s="437" t="str">
        <x:v>Weighted score, pass/fail, failure modes, and check-level evidence.</x:v>
      </x:c>
      <x:c r="C20" s="1"/>
      <x:c r="D20" s="464" t="str">
        <x:v>Decision Register</x:v>
      </x:c>
      <x:c r="E20" s="437" t="str">
        <x:v>Material design, scope, and project-control decisions.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34" customHeight="1">
      <x:c r="A21" s="464" t="str">
        <x:v>6</x:v>
      </x:c>
      <x:c r="B21" s="437" t="str">
        <x:v>evaluate CLI command and immutable result records.</x:v>
      </x:c>
      <x:c r="C21" s="1"/>
      <x:c r="D21" s="464" t="str">
        <x:v>Risks &amp; Issues</x:v>
      </x:c>
      <x:c r="E21" s="437" t="str">
        <x:v>Open risks, issues, mitigations, and review dates.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34" customHeight="1">
      <x:c r="A22" s="464" t="str">
        <x:v>7</x:v>
      </x:c>
      <x:c r="B22" s="437" t="str">
        <x:v>Small reproducible benchmark with representative failures and limitations.</x:v>
      </x:c>
      <x:c r="C22" s="1"/>
      <x:c r="D22" s="464" t="str">
        <x:v>Evidence Register</x:v>
      </x:c>
      <x:c r="E22" s="437" t="str">
        <x:v>PRs, commits, tests, documents, releases, and acceptance evidence.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34" customHeight="1">
      <x:c r="A23" s="464" t="str">
        <x:v>8</x:v>
      </x:c>
      <x:c r="B23" s="437" t="str">
        <x:v>CI, README, architecture documentation, portfolio demo, and v0.1.0 release tag.</x:v>
      </x:c>
      <x:c r="C23" s="1"/>
      <x:c r="D23" s="464" t="str">
        <x:v>AI Context</x:v>
      </x:c>
      <x:c r="E23" s="437" t="str">
        <x:v>Compact handoff that must be read at the start of each session.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34" customHeight="1">
      <x:c r="A24" s="1"/>
      <x:c r="B24" s="1"/>
      <x:c r="C24" s="1"/>
      <x:c r="D24" s="464" t="str">
        <x:v>Expansion Backlog</x:v>
      </x:c>
      <x:c r="E24" s="437" t="str">
        <x:v>Deferred post-MVP capabilities and entry criteria.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34" customHeight="1">
      <x:c r="A25" s="1"/>
      <x:c r="B25" s="1"/>
      <x:c r="C25" s="1"/>
      <x:c r="D25" s="464" t="str">
        <x:v>Legacy Baseline</x:v>
      </x:c>
      <x:c r="E25" s="437" t="str">
        <x:v>Preserved superseded 52-week plan.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22" customHeight="1">
      <x:c r="A27" s="458" t="str">
        <x:v>Immediate Control Note</x:v>
      </x:c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26" customHeight="1">
      <x:c r="A28" s="536" t="str">
        <x:v>The project currently validates case definitions but cannot yet evaluate a candidate artifact. The next product milestone is WBS 1.1–1.5: candidate loading, gates, deterministic checks, weighted scoring, and failure evidence. Do not continue adding isolated validator tests unless evaluator implementation reveals a concrete defect.</x:v>
      </x:c>
      <x:c r="B28" s="536"/>
      <x:c r="C28" s="536"/>
      <x:c r="D28" s="536"/>
      <x:c r="E28" s="536"/>
      <x:c r="F28" s="536"/>
      <x:c r="G28" s="536"/>
      <x:c r="H28" s="536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26" customHeight="1">
      <x:c r="A29" s="536"/>
      <x:c r="B29" s="536"/>
      <x:c r="C29" s="536"/>
      <x:c r="D29" s="536"/>
      <x:c r="E29" s="536"/>
      <x:c r="F29" s="536"/>
      <x:c r="G29" s="536"/>
      <x:c r="H29" s="536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26" customHeight="1">
      <x:c r="A30" s="536"/>
      <x:c r="B30" s="536"/>
      <x:c r="C30" s="536"/>
      <x:c r="D30" s="536"/>
      <x:c r="E30" s="536"/>
      <x:c r="F30" s="536"/>
      <x:c r="G30" s="536"/>
      <x:c r="H30" s="536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26" customHeight="1">
      <x:c r="A31" s="536"/>
      <x:c r="B31" s="536"/>
      <x:c r="C31" s="536"/>
      <x:c r="D31" s="536"/>
      <x:c r="E31" s="536"/>
      <x:c r="F31" s="536"/>
      <x:c r="G31" s="536"/>
      <x:c r="H31" s="536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D3:H3"/>
    <x:mergeCell ref="E4:H4"/>
    <x:mergeCell ref="E5:H5"/>
    <x:mergeCell ref="E6:H6"/>
    <x:mergeCell ref="E7:H7"/>
    <x:mergeCell ref="E8:H8"/>
    <x:mergeCell ref="E9:H9"/>
    <x:mergeCell ref="E10:H10"/>
    <x:mergeCell ref="A14:H14"/>
    <x:mergeCell ref="A3:B3"/>
    <x:mergeCell ref="A27:H27"/>
    <x:mergeCell ref="A28:H31"/>
    <x:mergeCell ref="A15:B15"/>
    <x:mergeCell ref="D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7" hidden="0" customWidth="1"/>
    <x:col min="2" max="2" width="28" hidden="0" customWidth="1"/>
    <x:col min="3" max="4" width="10" customWidth="1"/>
    <x:col min="5" max="6" width="12" customWidth="1"/>
    <x:col min="7" max="7" width="12" hidden="0" customWidth="1"/>
    <x:col min="8" max="8" width="31" hidden="0" customWidth="1"/>
    <x:col min="9" max="20" width="10" customWidth="1"/>
    <x:col min="3" max="3" width="12" hidden="0" customWidth="1"/>
    <x:col min="4" max="4" width="12" hidden="0" customWidth="1"/>
    <x:col min="5" max="5" width="11" hidden="0" customWidth="1"/>
    <x:col min="6" max="6" width="12" hidden="0" customWidth="1"/>
    <x:col min="9" max="9" width="4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</x:cols>
  <x:sheetData>
    <x:row r="1" ht="28" customHeight="1">
      <x:c r="A1" s="360" t="str">
        <x:v>Executive Gantt — 8-Week Mechanical Evaluation Harness MVP</x:v>
      </x:c>
      <x:c r="B1" s="127"/>
      <x:c r="C1" s="127"/>
      <x:c r="D1" s="127"/>
      <x:c r="E1" s="127"/>
      <x:c r="F1" s="127"/>
      <x:c r="G1" s="127"/>
      <x:c r="H1" s="127"/>
      <x:c r="I1" s="127"/>
      <x:c r="J1" s="127"/>
      <x:c r="K1" s="127"/>
      <x:c r="L1" s="127"/>
      <x:c r="M1" s="127"/>
      <x:c r="N1" s="127"/>
      <x:c r="O1" s="127"/>
      <x:c r="P1" s="127"/>
      <x:c r="Q1" s="127"/>
      <x:c r="R1" s="127"/>
      <x:c r="S1" s="127"/>
      <x:c r="T1" s="12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36" customHeight="1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7">
      <x:c r="A3" s="268" t="str">
        <x:v>ID</x:v>
      </x:c>
      <x:c r="B3" s="268" t="str">
        <x:v>Phase</x:v>
      </x:c>
      <x:c r="C3" s="268" t="str">
        <x:v>Planned Hours</x:v>
      </x:c>
      <x:c r="D3" s="368" t="str">
        <x:v>Actual Hours</x:v>
      </x:c>
      <x:c r="E3" s="369" t="str">
        <x:v>% Complete</x:v>
      </x:c>
      <x:c r="F3" s="369" t="str">
        <x:v>Start</x:v>
      </x:c>
      <x:c r="G3" s="268" t="str">
        <x:v>Finish</x:v>
      </x:c>
      <x:c r="H3" s="268" t="str">
        <x:v>Gate / Hold Point</x:v>
      </x:c>
      <x:c r="I3" s="268" t="str">
        <x:v>Primary Deliverable</x:v>
      </x:c>
      <x:c r="J3" s="268" t="str">
        <x:v>W1</x:v>
      </x:c>
      <x:c r="K3" s="268" t="str">
        <x:v>W2</x:v>
      </x:c>
      <x:c r="L3" s="268" t="str">
        <x:v>W3</x:v>
      </x:c>
      <x:c r="M3" s="268" t="str">
        <x:v>W4</x:v>
      </x:c>
      <x:c r="N3" s="268" t="str">
        <x:v>W5</x:v>
      </x:c>
      <x:c r="O3" s="268" t="str">
        <x:v>W6</x:v>
      </x:c>
      <x:c r="P3" s="268" t="str">
        <x:v>W7</x:v>
      </x:c>
      <x:c r="Q3" s="268" t="str">
        <x:v>W8</x:v>
      </x:c>
      <x:c r="R3" s="26"/>
      <x:c r="S3" s="26"/>
      <x:c r="T3" s="26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10" t="str">
        <x:v>0</x:v>
      </x:c>
      <x:c r="B4" s="316" t="str">
        <x:v>0 Control &amp; Foundation</x:v>
      </x:c>
      <x:c r="C4" s="381" t="n">
        <x:v>8</x:v>
      </x:c>
      <x:c r="D4" s="381" t="n">
        <x:f>SUMIF('Detailed Gantt'!$B$6:$B$27,B4,'Detailed Gantt'!$M$6:$M$27)</x:f>
        <x:v>4.69</x:v>
      </x:c>
      <x:c r="E4" s="385" t="n">
        <x:f>IF(C4=0,0,SUMPRODUCT(('Detailed Gantt'!$B$6:$B$27=B4)*'Detailed Gantt'!$F$6:$F$27*'Detailed Gantt'!$L$6:$L$27)/C4)</x:f>
        <x:v>1</x:v>
      </x:c>
      <x:c r="F4" s="389" t="n">
        <x:v>46202</x:v>
      </x:c>
      <x:c r="G4" s="389" t="n">
        <x:v>46215</x:v>
      </x:c>
      <x:c r="H4" s="310" t="str">
        <x:v>Gate 0 — control baseline accepted</x:v>
      </x:c>
      <x:c r="I4" s="391" t="str">
        <x:v>Repository, architecture, Gantt, validator/loader baseline</x:v>
      </x:c>
      <x:c r="J4" s="391" t="str">
        <x:v>■</x:v>
      </x:c>
      <x:c r="K4" s="392" t="str">
        <x:v>■</x:v>
      </x:c>
      <x:c r="L4" s="392" t="str"/>
      <x:c r="M4" s="392" t="str"/>
      <x:c r="N4" s="392" t="str"/>
      <x:c r="O4" s="392" t="str"/>
      <x:c r="P4" s="392" t="str"/>
      <x:c r="Q4" s="392" t="str"/>
      <x:c r="R4" s="29"/>
      <x:c r="S4" s="29"/>
      <x:c r="T4" s="29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10" t="str">
        <x:v>1</x:v>
      </x:c>
      <x:c r="B5" s="318" t="str">
        <x:v>1 Evaluation Core</x:v>
      </x:c>
      <x:c r="C5" s="381" t="n">
        <x:v>24</x:v>
      </x:c>
      <x:c r="D5" s="381" t="n">
        <x:f>SUMIF('Detailed Gantt'!$B$6:$B$27,B5,'Detailed Gantt'!$M$6:$M$27)</x:f>
        <x:v>0</x:v>
      </x:c>
      <x:c r="E5" s="385" t="n">
        <x:f>IF(C5=0,0,SUMPRODUCT(('Detailed Gantt'!$B$6:$B$27=B5)*'Detailed Gantt'!$F$6:$F$27*'Detailed Gantt'!$L$6:$L$27)/C5)</x:f>
        <x:v>0</x:v>
      </x:c>
      <x:c r="F5" s="389" t="n">
        <x:v>46209</x:v>
      </x:c>
      <x:c r="G5" s="389" t="n">
        <x:v>46229</x:v>
      </x:c>
      <x:c r="H5" s="310" t="str">
        <x:v>Gate 2 — deterministic evaluation core</x:v>
      </x:c>
      <x:c r="I5" s="392" t="str">
        <x:v>Candidate loading, gates, checks, scoring, failure evidence</x:v>
      </x:c>
      <x:c r="J5" s="393" t="str"/>
      <x:c r="K5" s="393" t="str">
        <x:v>■</x:v>
      </x:c>
      <x:c r="L5" s="393" t="str">
        <x:v>■</x:v>
      </x:c>
      <x:c r="M5" s="392" t="str">
        <x:v>■</x:v>
      </x:c>
      <x:c r="N5" s="392" t="str"/>
      <x:c r="O5" s="392" t="str"/>
      <x:c r="P5" s="392" t="str"/>
      <x:c r="Q5" s="392" t="str"/>
      <x:c r="R5" s="29"/>
      <x:c r="S5" s="29"/>
      <x:c r="T5" s="29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10" t="str">
        <x:v>2</x:v>
      </x:c>
      <x:c r="B6" s="319" t="str">
        <x:v>2 CLI &amp; Results</x:v>
      </x:c>
      <x:c r="C6" s="381" t="n">
        <x:v>14</x:v>
      </x:c>
      <x:c r="D6" s="381" t="n">
        <x:f>SUMIF('Detailed Gantt'!$B$6:$B$27,B6,'Detailed Gantt'!$M$6:$M$27)</x:f>
        <x:v>0</x:v>
      </x:c>
      <x:c r="E6" s="385" t="n">
        <x:f>IF(C6=0,0,SUMPRODUCT(('Detailed Gantt'!$B$6:$B$27=B6)*'Detailed Gantt'!$F$6:$F$27*'Detailed Gantt'!$L$6:$L$27)/C6)</x:f>
        <x:v>0</x:v>
      </x:c>
      <x:c r="F6" s="389" t="n">
        <x:v>46230</x:v>
      </x:c>
      <x:c r="G6" s="389" t="n">
        <x:v>46236</x:v>
      </x:c>
      <x:c r="H6" s="310" t="str">
        <x:v>Gate 3 — end-to-end local evaluation</x:v>
      </x:c>
      <x:c r="I6" s="392" t="str">
        <x:v>evaluate CLI and immutable result records</x:v>
      </x:c>
      <x:c r="J6" s="392" t="str"/>
      <x:c r="K6" s="392" t="str"/>
      <x:c r="L6" s="394" t="str"/>
      <x:c r="M6" s="394" t="str"/>
      <x:c r="N6" s="394" t="str">
        <x:v>■</x:v>
      </x:c>
      <x:c r="O6" s="392" t="str"/>
      <x:c r="P6" s="392" t="str"/>
      <x:c r="Q6" s="392" t="str"/>
      <x:c r="R6" s="29"/>
      <x:c r="S6" s="29"/>
      <x:c r="T6" s="29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10" t="str">
        <x:v>3</x:v>
      </x:c>
      <x:c r="B7" s="395" t="str">
        <x:v>3 Cases &amp; Benchmark</x:v>
      </x:c>
      <x:c r="C7" s="381" t="n">
        <x:v>14</x:v>
      </x:c>
      <x:c r="D7" s="381" t="n">
        <x:f>SUMIF('Detailed Gantt'!$B$6:$B$27,B7,'Detailed Gantt'!$M$6:$M$27)</x:f>
        <x:v>0</x:v>
      </x:c>
      <x:c r="E7" s="385" t="n">
        <x:f>IF(C7=0,0,SUMPRODUCT(('Detailed Gantt'!$B$6:$B$27=B7)*'Detailed Gantt'!$F$6:$F$27*'Detailed Gantt'!$L$6:$L$27)/C7)</x:f>
        <x:v>0</x:v>
      </x:c>
      <x:c r="F7" s="389" t="n">
        <x:v>46209</x:v>
      </x:c>
      <x:c r="G7" s="389" t="n">
        <x:v>46243</x:v>
      </x:c>
      <x:c r="H7" s="310" t="str">
        <x:v>Gate 4 — benchmark ready</x:v>
      </x:c>
      <x:c r="I7" s="392" t="str">
        <x:v>Five reviewed cases, held-out split, baseline report</x:v>
      </x:c>
      <x:c r="J7" s="392" t="str"/>
      <x:c r="K7" s="392" t="str">
        <x:v>■</x:v>
      </x:c>
      <x:c r="L7" s="392" t="str">
        <x:v>■</x:v>
      </x:c>
      <x:c r="M7" s="392" t="str">
        <x:v>■</x:v>
      </x:c>
      <x:c r="N7" s="396" t="str">
        <x:v>■</x:v>
      </x:c>
      <x:c r="O7" s="396" t="str">
        <x:v>■</x:v>
      </x:c>
      <x:c r="P7" s="396" t="str"/>
      <x:c r="Q7" s="392" t="str"/>
      <x:c r="R7" s="29"/>
      <x:c r="S7" s="29"/>
      <x:c r="T7" s="29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7">
      <x:c r="A8" s="310" t="str">
        <x:v>4</x:v>
      </x:c>
      <x:c r="B8" s="397" t="str">
        <x:v>4 Quality &amp; Reproducibility</x:v>
      </x:c>
      <x:c r="C8" s="381" t="n">
        <x:v>8</x:v>
      </x:c>
      <x:c r="D8" s="381" t="n">
        <x:f>SUMIF('Detailed Gantt'!$B$6:$B$27,B8,'Detailed Gantt'!$M$6:$M$27)</x:f>
        <x:v>0</x:v>
      </x:c>
      <x:c r="E8" s="385" t="n">
        <x:f>IF(C8=0,0,SUMPRODUCT(('Detailed Gantt'!$B$6:$B$27=B8)*'Detailed Gantt'!$F$6:$F$27*'Detailed Gantt'!$L$6:$L$27)/C8)</x:f>
        <x:v>0.26249999999999996</x:v>
      </x:c>
      <x:c r="F8" s="389" t="n">
        <x:v>46223</x:v>
      </x:c>
      <x:c r="G8" s="389" t="n">
        <x:v>46250</x:v>
      </x:c>
      <x:c r="H8" s="310" t="str">
        <x:v>Gate 5 — reproducible quality baseline</x:v>
      </x:c>
      <x:c r="I8" s="392" t="str">
        <x:v>Targeted tests, CI, README, architecture</x:v>
      </x:c>
      <x:c r="J8" s="392" t="str"/>
      <x:c r="K8" s="392" t="str"/>
      <x:c r="L8" s="392" t="str"/>
      <x:c r="M8" s="392" t="str">
        <x:v>■</x:v>
      </x:c>
      <x:c r="N8" s="392" t="str">
        <x:v>■</x:v>
      </x:c>
      <x:c r="O8" s="392" t="str">
        <x:v>■</x:v>
      </x:c>
      <x:c r="P8" s="398" t="str">
        <x:v>■</x:v>
      </x:c>
      <x:c r="Q8" s="398" t="str"/>
      <x:c r="R8" s="37"/>
      <x:c r="S8" s="29"/>
      <x:c r="T8" s="29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10" t="str">
        <x:v>5</x:v>
      </x:c>
      <x:c r="B9" s="399" t="str">
        <x:v>5 Demo &amp; Release</x:v>
      </x:c>
      <x:c r="C9" s="381" t="n">
        <x:v>8</x:v>
      </x:c>
      <x:c r="D9" s="381" t="n">
        <x:f>SUMIF('Detailed Gantt'!$B$6:$B$27,B9,'Detailed Gantt'!$M$6:$M$27)</x:f>
        <x:v>0</x:v>
      </x:c>
      <x:c r="E9" s="385" t="n">
        <x:f>IF(C9=0,0,SUMPRODUCT(('Detailed Gantt'!$B$6:$B$27=B9)*'Detailed Gantt'!$F$6:$F$27*'Detailed Gantt'!$L$6:$L$27)/C9)</x:f>
        <x:v>0</x:v>
      </x:c>
      <x:c r="F9" s="389" t="n">
        <x:v>46244</x:v>
      </x:c>
      <x:c r="G9" s="389" t="n">
        <x:v>46257</x:v>
      </x:c>
      <x:c r="H9" s="310" t="str">
        <x:v>Gate 6 — MVP v0.1.0 release</x:v>
      </x:c>
      <x:c r="I9" s="392" t="str">
        <x:v>Portfolio demo, limitations, final acceptance, tag</x:v>
      </x:c>
      <x:c r="J9" s="392" t="str"/>
      <x:c r="K9" s="392" t="str"/>
      <x:c r="L9" s="392" t="str"/>
      <x:c r="M9" s="392" t="str"/>
      <x:c r="N9" s="392" t="str"/>
      <x:c r="O9" s="392" t="str"/>
      <x:c r="P9" s="392" t="str">
        <x:v>■</x:v>
      </x:c>
      <x:c r="Q9" s="392" t="str">
        <x:v>■</x:v>
      </x:c>
      <x:c r="R9" s="39"/>
      <x:c r="S9" s="39"/>
      <x:c r="T9" s="29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275" t="str">
        <x:v>TOTAL MVP</x:v>
      </x:c>
      <x:c r="B10" s="275"/>
      <x:c r="C10" s="382" t="n">
        <x:f>SUM(C4:C9)</x:f>
        <x:v>76</x:v>
      </x:c>
      <x:c r="D10" s="382" t="n">
        <x:f>SUM(D4:D9)</x:f>
        <x:v>4.69</x:v>
      </x:c>
      <x:c r="E10" s="386" t="n">
        <x:f>SUMPRODUCT(C4:C9,E4:E9)/C10</x:f>
        <x:v>0.13289473684210526</x:v>
      </x:c>
      <x:c r="F10" s="366"/>
      <x:c r="G10" s="275"/>
      <x:c r="H10" s="275"/>
      <x:c r="I10" s="378"/>
      <x:c r="J10" s="378"/>
      <x:c r="K10" s="378"/>
      <x:c r="L10" s="378"/>
      <x:c r="M10" s="378"/>
      <x:c r="N10" s="378"/>
      <x:c r="O10" s="378"/>
      <x:c r="P10" s="378"/>
      <x:c r="Q10" s="378"/>
      <x:c r="R10" s="29"/>
      <x:c r="S10" s="41"/>
      <x:c r="T10" s="4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131"/>
      <x:c r="B11" s="132"/>
      <x:c r="C11" s="42"/>
      <x:c r="D11" s="43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42"/>
      <x:c r="S11" s="42"/>
      <x:c r="T11" s="44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T1"/>
    <x:mergeCell ref="A11:B11"/>
    <x:mergeCell ref="A1:Q1"/>
  </x:mergeCells>
  <x:conditionalFormatting sqref="J4:Q9">
    <x:cfRule type="expression" dxfId="11" priority="1">
      <x:formula>J4="■"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8" hidden="0" customWidth="1"/>
    <x:col min="2" max="3" width="34" customWidth="1"/>
    <x:col min="4" max="4" width="45" hidden="0" customWidth="1"/>
    <x:col min="5" max="5" width="14" hidden="0" customWidth="1"/>
    <x:col min="6" max="9" width="11" customWidth="1"/>
    <x:col min="10" max="11" width="13" customWidth="1"/>
    <x:col min="12" max="12" width="11" hidden="0" customWidth="1"/>
    <x:col min="13" max="16" width="12" customWidth="1"/>
    <x:col min="17" max="17" width="34" hidden="0" customWidth="1"/>
    <x:col min="18" max="69" width="5" customWidth="1"/>
    <x:col min="2" max="2" width="26" hidden="0" customWidth="1"/>
    <x:col min="3" max="3" width="34" hidden="0" customWidth="1"/>
    <x:col min="6" max="6" width="11" hidden="0" customWidth="1"/>
    <x:col min="7" max="7" width="9" hidden="0" customWidth="1"/>
    <x:col min="8" max="8" width="9" hidden="0" customWidth="1"/>
    <x:col min="9" max="9" width="12" hidden="0" customWidth="1"/>
    <x:col min="10" max="10" width="12" hidden="0" customWidth="1"/>
    <x:col min="11" max="11" width="13" hidden="0" customWidth="1"/>
    <x:col min="13" max="13" width="11" hidden="0" customWidth="1"/>
    <x:col min="14" max="14" width="13" hidden="0" customWidth="1"/>
    <x:col min="15" max="15" width="11" hidden="0" customWidth="1"/>
    <x:col min="16" max="16" width="28" hidden="0" customWidth="1"/>
    <x:col min="18" max="18" width="42" hidden="0" customWidth="1"/>
    <x:col min="19" max="19" width="7" hidden="0" customWidth="1"/>
    <x:col min="20" max="20" width="7" hidden="0" customWidth="1"/>
    <x:col min="21" max="21" width="7" hidden="0" customWidth="1"/>
    <x:col min="22" max="22" width="7" hidden="0" customWidth="1"/>
    <x:col min="23" max="23" width="7" hidden="0" customWidth="1"/>
    <x:col min="24" max="24" width="7" hidden="0" customWidth="1"/>
    <x:col min="25" max="25" width="7" hidden="0" customWidth="1"/>
    <x:col min="26" max="26" width="7" hidden="0" customWidth="1"/>
  </x:cols>
  <x:sheetData>
    <x:row r="1" ht="15">
      <x:c r="A1" s="248" t="str">
        <x:v>Baseline Start</x:v>
      </x:c>
      <x:c r="B1" s="252" t="n">
        <x:v>46202</x:v>
      </x:c>
      <x:c r="C1" s="249"/>
      <x:c r="D1" s="248" t="str">
        <x:v>Total Planned Hours</x:v>
      </x:c>
      <x:c r="E1" s="248" t="n">
        <x:v>76</x:v>
      </x:c>
      <x:c r="F1" s="248"/>
      <x:c r="G1" s="248" t="str">
        <x:v>Target Finish</x:v>
      </x:c>
      <x:c r="H1" s="252" t="n">
        <x:v>46257</x:v>
      </x:c>
      <x:c r="I1" s="248"/>
      <x:c r="J1" s="248" t="str">
        <x:v>Control Baseline</x:v>
      </x:c>
      <x:c r="K1" s="248" t="str">
        <x:v>MVP v1.0 — 8 weeks</x:v>
      </x:c>
      <x:c r="L1" s="126"/>
      <x:c r="M1" s="126"/>
      <x:c r="N1" s="126"/>
      <x:c r="O1" s="126"/>
      <x:c r="P1" s="126"/>
      <x:c r="Q1" s="126"/>
      <x:c r="R1" s="574"/>
      <x:c r="S1" s="574"/>
      <x:c r="T1" s="574"/>
      <x:c r="U1" s="574"/>
      <x:c r="V1" s="574"/>
      <x:c r="W1" s="574"/>
      <x:c r="X1" s="574"/>
      <x:c r="Y1" s="574"/>
      <x:c r="Z1" s="574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574"/>
      <x:c r="S2" s="574"/>
      <x:c r="T2" s="574"/>
      <x:c r="U2" s="574"/>
      <x:c r="V2" s="574"/>
      <x:c r="W2" s="574"/>
      <x:c r="X2" s="574"/>
      <x:c r="Y2" s="574"/>
      <x:c r="Z2" s="574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60" t="str">
        <x:v>Editable control fields: Status, % Complete, Branch/Evidence, Next Action, and Notes. Actual Hours are calculated from Work Block Log. Do not silently change baseline hours or dates.</x:v>
      </x:c>
      <x:c r="B3" s="260"/>
      <x:c r="C3" s="258"/>
      <x:c r="D3" s="258"/>
      <x:c r="E3" s="258"/>
      <x:c r="F3" s="258"/>
      <x:c r="G3" s="258"/>
      <x:c r="H3" s="258"/>
      <x:c r="I3" s="258"/>
      <x:c r="J3" s="258"/>
      <x:c r="K3" s="258"/>
      <x:c r="L3" s="258"/>
      <x:c r="M3" s="258"/>
      <x:c r="N3" s="258"/>
      <x:c r="O3" s="258"/>
      <x:c r="P3" s="258"/>
      <x:c r="Q3" s="258"/>
      <x:c r="R3" s="575"/>
      <x:c r="S3" s="574"/>
      <x:c r="T3" s="574"/>
      <x:c r="U3" s="574"/>
      <x:c r="V3" s="574"/>
      <x:c r="W3" s="574"/>
      <x:c r="X3" s="574"/>
      <x:c r="Y3" s="574"/>
      <x:c r="Z3" s="574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.95000076293945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46"/>
      <x:c r="S4" s="552" t="n">
        <x:v>46202</x:v>
      </x:c>
      <x:c r="T4" s="552" t="n">
        <x:v>46209</x:v>
      </x:c>
      <x:c r="U4" s="552" t="n">
        <x:v>46216</x:v>
      </x:c>
      <x:c r="V4" s="552" t="n">
        <x:v>46223</x:v>
      </x:c>
      <x:c r="W4" s="552" t="n">
        <x:v>46230</x:v>
      </x:c>
      <x:c r="X4" s="552" t="n">
        <x:v>46237</x:v>
      </x:c>
      <x:c r="Y4" s="552" t="n">
        <x:v>46244</x:v>
      </x:c>
      <x:c r="Z4" s="552" t="n">
        <x:v>46251</x:v>
      </x:c>
      <x:c r="AA4" s="46"/>
      <x:c r="AB4" s="46"/>
      <x:c r="AC4" s="46"/>
      <x:c r="AD4" s="46"/>
      <x:c r="AE4" s="46"/>
      <x:c r="AF4" s="46"/>
      <x:c r="AG4" s="46"/>
      <x:c r="AH4" s="46"/>
      <x:c r="AI4" s="46"/>
      <x:c r="AJ4" s="46"/>
      <x:c r="AK4" s="46"/>
      <x:c r="AL4" s="46"/>
      <x:c r="AM4" s="46"/>
      <x:c r="AN4" s="46"/>
      <x:c r="AO4" s="46"/>
      <x:c r="AP4" s="46"/>
      <x:c r="AQ4" s="46"/>
      <x:c r="AR4" s="46"/>
      <x:c r="AS4" s="46"/>
      <x:c r="AT4" s="46"/>
      <x:c r="AU4" s="46"/>
      <x:c r="AV4" s="46"/>
      <x:c r="AW4" s="46"/>
      <x:c r="AX4" s="46"/>
      <x:c r="AY4" s="46"/>
      <x:c r="AZ4" s="46"/>
      <x:c r="BA4" s="46"/>
      <x:c r="BB4" s="46"/>
      <x:c r="BC4" s="46"/>
      <x:c r="BD4" s="46"/>
      <x:c r="BE4" s="46"/>
      <x:c r="BF4" s="46"/>
      <x:c r="BG4" s="46"/>
      <x:c r="BH4" s="46"/>
      <x:c r="BI4" s="46"/>
      <x:c r="BJ4" s="46"/>
      <x:c r="BK4" s="46"/>
      <x:c r="BL4" s="46"/>
      <x:c r="BM4" s="46"/>
      <x:c r="BN4" s="46"/>
      <x:c r="BO4" s="46"/>
      <x:c r="BP4" s="46"/>
      <x:c r="BQ4" s="46"/>
    </x:row>
    <x:row r="5" ht="42" customHeight="1">
      <x:c r="A5" s="268" t="str">
        <x:v>WBS</x:v>
      </x:c>
      <x:c r="B5" s="268" t="str">
        <x:v>Phase</x:v>
      </x:c>
      <x:c r="C5" s="268" t="str">
        <x:v>Work Package</x:v>
      </x:c>
      <x:c r="D5" s="268" t="str">
        <x:v>Deliverable / Acceptance Evidence</x:v>
      </x:c>
      <x:c r="E5" s="268" t="str">
        <x:v>Predecessor</x:v>
      </x:c>
      <x:c r="F5" s="268" t="str">
        <x:v>Planned Hours</x:v>
      </x:c>
      <x:c r="G5" s="268" t="str">
        <x:v>Start Week</x:v>
      </x:c>
      <x:c r="H5" s="268" t="str">
        <x:v>Finish Week</x:v>
      </x:c>
      <x:c r="I5" s="268" t="str">
        <x:v>Start Date</x:v>
      </x:c>
      <x:c r="J5" s="268" t="str">
        <x:v>Finish Date</x:v>
      </x:c>
      <x:c r="K5" s="268" t="str">
        <x:v>Status</x:v>
      </x:c>
      <x:c r="L5" s="268" t="str">
        <x:v>% Complete</x:v>
      </x:c>
      <x:c r="M5" s="268" t="str">
        <x:v>Actual Hours</x:v>
      </x:c>
      <x:c r="N5" s="268" t="str">
        <x:v>Remaining Planned</x:v>
      </x:c>
      <x:c r="O5" s="268" t="str">
        <x:v>Hour Variance</x:v>
      </x:c>
      <x:c r="P5" s="268" t="str">
        <x:v>Branch / Evidence</x:v>
      </x:c>
      <x:c r="Q5" s="268" t="str">
        <x:v>Next Action</x:v>
      </x:c>
      <x:c r="R5" s="268" t="str">
        <x:v>Notes</x:v>
      </x:c>
      <x:c r="S5" s="553" t="str">
        <x:v>W1</x:v>
      </x:c>
      <x:c r="T5" s="553" t="str">
        <x:v>W2</x:v>
      </x:c>
      <x:c r="U5" s="553" t="str">
        <x:v>W3</x:v>
      </x:c>
      <x:c r="V5" s="553" t="str">
        <x:v>W4</x:v>
      </x:c>
      <x:c r="W5" s="553" t="str">
        <x:v>W5</x:v>
      </x:c>
      <x:c r="X5" s="553" t="str">
        <x:v>W6</x:v>
      </x:c>
      <x:c r="Y5" s="553" t="str">
        <x:v>W7</x:v>
      </x:c>
      <x:c r="Z5" s="553" t="str">
        <x:v>W8</x:v>
      </x:c>
      <x:c r="AA5" s="19"/>
      <x:c r="AB5" s="19"/>
      <x:c r="AC5" s="19"/>
      <x:c r="AD5" s="19"/>
      <x:c r="AE5" s="19"/>
      <x:c r="AF5" s="19"/>
      <x:c r="AG5" s="19"/>
      <x:c r="AH5" s="19"/>
      <x:c r="AI5" s="19"/>
      <x:c r="AJ5" s="19"/>
      <x:c r="AK5" s="19"/>
      <x:c r="AL5" s="19"/>
      <x:c r="AM5" s="19"/>
      <x:c r="AN5" s="19"/>
      <x:c r="AO5" s="19"/>
      <x:c r="AP5" s="19"/>
      <x:c r="AQ5" s="19"/>
      <x:c r="AR5" s="19"/>
      <x:c r="AS5" s="19"/>
      <x:c r="AT5" s="19"/>
      <x:c r="AU5" s="19"/>
      <x:c r="AV5" s="19"/>
      <x:c r="AW5" s="19"/>
      <x:c r="AX5" s="19"/>
      <x:c r="AY5" s="19"/>
      <x:c r="AZ5" s="19"/>
      <x:c r="BA5" s="19"/>
      <x:c r="BB5" s="19"/>
      <x:c r="BC5" s="19"/>
      <x:c r="BD5" s="19"/>
      <x:c r="BE5" s="19"/>
      <x:c r="BF5" s="19"/>
      <x:c r="BG5" s="19"/>
      <x:c r="BH5" s="19"/>
      <x:c r="BI5" s="19"/>
      <x:c r="BJ5" s="19"/>
      <x:c r="BK5" s="19"/>
      <x:c r="BL5" s="19"/>
      <x:c r="BM5" s="19"/>
      <x:c r="BN5" s="19"/>
      <x:c r="BO5" s="19"/>
      <x:c r="BP5" s="19"/>
      <x:c r="BQ5" s="19"/>
    </x:row>
    <x:row r="6" ht="42" customHeight="1">
      <x:c r="A6" s="331" t="str">
        <x:v>0.1</x:v>
      </x:c>
      <x:c r="B6" s="332" t="str">
        <x:v>0 Control &amp; Foundation</x:v>
      </x:c>
      <x:c r="C6" s="331" t="str">
        <x:v>Environment and repository baseline</x:v>
      </x:c>
      <x:c r="D6" s="331" t="str">
        <x:v>Working venv, repository, GitHub main, and seed cases validate.</x:v>
      </x:c>
      <x:c r="E6" s="331" t="str">
        <x:v>-</x:v>
      </x:c>
      <x:c r="F6" s="333" t="n">
        <x:v>2</x:v>
      </x:c>
      <x:c r="G6" s="334" t="n">
        <x:v>1</x:v>
      </x:c>
      <x:c r="H6" s="334" t="n">
        <x:v>1</x:v>
      </x:c>
      <x:c r="I6" s="335" t="n">
        <x:f t="shared" ref="I6:I37" si="0">$B$1+(G6-1)*7</x:f>
        <x:v>46202</x:v>
      </x:c>
      <x:c r="J6" s="335" t="n">
        <x:f t="shared" ref="J6:J37" si="1">$B$1+H6*7-1</x:f>
        <x:v>46208</x:v>
      </x:c>
      <x:c r="K6" s="336" t="str">
        <x:f t="shared" ref="K6:K37" si="2">$C$1+H6*7-1</x:f>
        <x:v>Complete</x:v>
      </x:c>
      <x:c r="L6" s="337" t="n">
        <x:v>1</x:v>
      </x:c>
      <x:c r="M6" s="338" t="n">
        <x:f>SUMIF('Work Block Log'!$E$5:$E$200,A6,'Work Block Log'!$F$5:$F$200)</x:f>
        <x:v>2.5</x:v>
      </x:c>
      <x:c r="N6" s="338" t="n">
        <x:f>MAX(F6*(1-L6),0)</x:f>
        <x:v>0</x:v>
      </x:c>
      <x:c r="O6" s="338" t="n">
        <x:f t="shared" ref="O6:O37" si="3">M6-F6</x:f>
        <x:v>0.5</x:v>
      </x:c>
      <x:c r="P6" s="334" t="str">
        <x:f t="shared" ref="P6:P37" si="4">MAX(F6*(1-M6),0)</x:f>
        <x:v>main / baseline</x:v>
      </x:c>
      <x:c r="Q6" s="331" t="str">
        <x:v>None; preserve as baseline evidence.</x:v>
      </x:c>
      <x:c r="R6" s="339" t="str">
        <x:v>Completed across June 28–30.</x:v>
      </x:c>
      <x:c r="S6" s="554" t="str">
        <x:v>■</x:v>
      </x:c>
      <x:c r="T6" s="554" t="str"/>
      <x:c r="U6" s="554" t="str"/>
      <x:c r="V6" s="554" t="str"/>
      <x:c r="W6" s="554" t="str"/>
      <x:c r="X6" s="554" t="str"/>
      <x:c r="Y6" s="554" t="str"/>
      <x:c r="Z6" s="554" t="str"/>
      <x:c r="AA6" s="51"/>
      <x:c r="AB6" s="51"/>
      <x:c r="AC6" s="51"/>
      <x:c r="AD6" s="51"/>
      <x:c r="AE6" s="51"/>
      <x:c r="AF6" s="51"/>
      <x:c r="AG6" s="51"/>
      <x:c r="AH6" s="51"/>
      <x:c r="AI6" s="51"/>
      <x:c r="AJ6" s="51"/>
      <x:c r="AK6" s="51"/>
      <x:c r="AL6" s="51"/>
      <x:c r="AM6" s="51"/>
      <x:c r="AN6" s="51"/>
      <x:c r="AO6" s="51"/>
      <x:c r="AP6" s="51"/>
      <x:c r="AQ6" s="51"/>
      <x:c r="AR6" s="51"/>
      <x:c r="AS6" s="51"/>
      <x:c r="AT6" s="51"/>
      <x:c r="AU6" s="51"/>
      <x:c r="AV6" s="51"/>
      <x:c r="AW6" s="51"/>
      <x:c r="AX6" s="51"/>
      <x:c r="AY6" s="51"/>
      <x:c r="AZ6" s="51"/>
      <x:c r="BA6" s="51"/>
      <x:c r="BB6" s="51"/>
      <x:c r="BC6" s="51"/>
      <x:c r="BD6" s="51"/>
      <x:c r="BE6" s="51"/>
      <x:c r="BF6" s="51"/>
      <x:c r="BG6" s="51"/>
      <x:c r="BH6" s="51"/>
      <x:c r="BI6" s="51"/>
      <x:c r="BJ6" s="51"/>
      <x:c r="BK6" s="51"/>
      <x:c r="BL6" s="51"/>
      <x:c r="BM6" s="51"/>
      <x:c r="BN6" s="51"/>
      <x:c r="BO6" s="51"/>
      <x:c r="BP6" s="51"/>
      <x:c r="BQ6" s="52"/>
    </x:row>
    <x:row r="7" ht="42" customHeight="1">
      <x:c r="A7" s="310" t="str">
        <x:v>0.2</x:v>
      </x:c>
      <x:c r="B7" s="329" t="str">
        <x:v>0 Control &amp; Foundation</x:v>
      </x:c>
      <x:c r="C7" s="310" t="str">
        <x:v>Architecture and control baseline</x:v>
      </x:c>
      <x:c r="D7" s="310" t="str">
        <x:v>Architecture document and Gantt explain current system, scope, MVP, and next action.</x:v>
      </x:c>
      <x:c r="E7" s="310" t="str">
        <x:v>0.1</x:v>
      </x:c>
      <x:c r="F7" s="302" t="n">
        <x:v>2</x:v>
      </x:c>
      <x:c r="G7" s="312" t="n">
        <x:v>1</x:v>
      </x:c>
      <x:c r="H7" s="312" t="n">
        <x:v>2</x:v>
      </x:c>
      <x:c r="I7" s="294" t="n">
        <x:f t="shared" si="0">$B$1+(G7-1)*7</x:f>
        <x:v>46202</x:v>
      </x:c>
      <x:c r="J7" s="294" t="n">
        <x:f t="shared" si="1">$B$1+H7*7-1</x:f>
        <x:v>46215</x:v>
      </x:c>
      <x:c r="K7" s="313" t="str">
        <x:f t="shared" si="2"/>
        <x:v>Complete</x:v>
      </x:c>
      <x:c r="L7" s="298" t="n">
        <x:v>1</x:v>
      </x:c>
      <x:c r="M7" s="306" t="n">
        <x:f>SUMIF('Work Block Log'!$E$5:$E$200,A7,'Work Block Log'!$F$5:$F$200)</x:f>
        <x:v>1.57</x:v>
      </x:c>
      <x:c r="N7" s="306" t="n">
        <x:f>MAX(F7*(1-L7),0)</x:f>
        <x:v>0</x:v>
      </x:c>
      <x:c r="O7" s="306" t="n">
        <x:f t="shared" si="3">M7-F7</x:f>
        <x:v>-0.42999999999999994</x:v>
      </x:c>
      <x:c r="P7" s="312" t="str">
        <x:f t="shared" si="4"/>
        <x:v>docs/architecture.md; gantt.xlsx; commit c71676d</x:v>
      </x:c>
      <x:c r="Q7" s="310" t="str">
        <x:v>Next work block: begin WBS 1.1 and create feature/candidate-artifact-contract.</x:v>
      </x:c>
      <x:c r="R7" s="325" t="str">
        <x:v>Completed 2026-07-04. Architecture and the aggressive eight-week MVP control baseline were committed and pushed to main.</x:v>
      </x:c>
      <x:c r="S7" s="554" t="str">
        <x:v>■</x:v>
      </x:c>
      <x:c r="T7" s="554" t="str">
        <x:v>■</x:v>
      </x:c>
      <x:c r="U7" s="554" t="str"/>
      <x:c r="V7" s="554" t="str"/>
      <x:c r="W7" s="554" t="str"/>
      <x:c r="X7" s="554" t="str"/>
      <x:c r="Y7" s="554" t="str"/>
      <x:c r="Z7" s="554" t="str"/>
      <x:c r="AA7" s="53"/>
      <x:c r="AB7" s="53"/>
      <x:c r="AC7" s="53"/>
      <x:c r="AD7" s="53"/>
      <x:c r="AE7" s="53"/>
      <x:c r="AF7" s="53"/>
      <x:c r="AG7" s="53"/>
      <x:c r="AH7" s="53"/>
      <x:c r="AI7" s="53"/>
      <x:c r="AJ7" s="53"/>
      <x:c r="AK7" s="53"/>
      <x:c r="AL7" s="53"/>
      <x:c r="AM7" s="53"/>
      <x:c r="AN7" s="53"/>
      <x:c r="AO7" s="53"/>
      <x:c r="AP7" s="53"/>
      <x:c r="AQ7" s="53"/>
      <x:c r="AR7" s="53"/>
      <x:c r="AS7" s="53"/>
      <x:c r="AT7" s="53"/>
      <x:c r="AU7" s="53"/>
      <x:c r="AV7" s="53"/>
      <x:c r="AW7" s="53"/>
      <x:c r="AX7" s="53"/>
      <x:c r="AY7" s="53"/>
      <x:c r="AZ7" s="53"/>
      <x:c r="BA7" s="53"/>
      <x:c r="BB7" s="53"/>
      <x:c r="BC7" s="53"/>
      <x:c r="BD7" s="53"/>
      <x:c r="BE7" s="53"/>
      <x:c r="BF7" s="53"/>
      <x:c r="BG7" s="53"/>
      <x:c r="BH7" s="53"/>
      <x:c r="BI7" s="53"/>
      <x:c r="BJ7" s="53"/>
      <x:c r="BK7" s="53"/>
      <x:c r="BL7" s="53"/>
      <x:c r="BM7" s="53"/>
      <x:c r="BN7" s="53"/>
      <x:c r="BO7" s="53"/>
      <x:c r="BP7" s="53"/>
      <x:c r="BQ7" s="54"/>
    </x:row>
    <x:row r="8" ht="42" customHeight="1">
      <x:c r="A8" s="331" t="str">
        <x:v>0.3</x:v>
      </x:c>
      <x:c r="B8" s="332" t="str">
        <x:v>0 Control &amp; Foundation</x:v>
      </x:c>
      <x:c r="C8" s="331" t="str">
        <x:v>Validator and loader baseline</x:v>
      </x:c>
      <x:c r="D8" s="331" t="str">
        <x:v>Targeted loader, stable errors, key seeded defects, and 25 passing tests.</x:v>
      </x:c>
      <x:c r="E8" s="331" t="str">
        <x:v>0.1</x:v>
      </x:c>
      <x:c r="F8" s="333" t="n">
        <x:v>4</x:v>
      </x:c>
      <x:c r="G8" s="334" t="n">
        <x:v>1</x:v>
      </x:c>
      <x:c r="H8" s="334" t="n">
        <x:v>1</x:v>
      </x:c>
      <x:c r="I8" s="335" t="n">
        <x:f t="shared" si="0">$B$1+(G8-1)*7</x:f>
        <x:v>46202</x:v>
      </x:c>
      <x:c r="J8" s="335" t="n">
        <x:f t="shared" si="1">$B$1+H8*7-1</x:f>
        <x:v>46208</x:v>
      </x:c>
      <x:c r="K8" s="336" t="str">
        <x:f t="shared" si="2"/>
        <x:v>Complete</x:v>
      </x:c>
      <x:c r="L8" s="337" t="n">
        <x:v>1</x:v>
      </x:c>
      <x:c r="M8" s="338" t="n">
        <x:f>SUMIF('Work Block Log'!$E$5:$E$200,A8,'Work Block Log'!$F$5:$F$200)</x:f>
        <x:v>0.62</x:v>
      </x:c>
      <x:c r="N8" s="338" t="n">
        <x:f>MAX(F8*(1-L8),0)</x:f>
        <x:v>0</x:v>
      </x:c>
      <x:c r="O8" s="338" t="n">
        <x:f t="shared" si="3">M8-F8</x:f>
        <x:v>-3.38</x:v>
      </x:c>
      <x:c r="P8" s="334" t="str">
        <x:f t="shared" si="4"/>
        <x:v>PR #2–#5; main 0205c60</x:v>
      </x:c>
      <x:c r="Q8" s="331" t="str">
        <x:v>Do not add validator-only branches unless evaluator work exposes a real gap.</x:v>
      </x:c>
      <x:c r="R8" s="339" t="str">
        <x:v>Known logged hours exclude some July 4 work because duration was not recorded.</x:v>
      </x:c>
      <x:c r="S8" s="555" t="str">
        <x:v>■</x:v>
      </x:c>
      <x:c r="T8" s="554" t="str"/>
      <x:c r="U8" s="554" t="str"/>
      <x:c r="V8" s="554" t="str"/>
      <x:c r="W8" s="554" t="str"/>
      <x:c r="X8" s="554" t="str"/>
      <x:c r="Y8" s="554" t="str"/>
      <x:c r="Z8" s="554" t="str"/>
      <x:c r="AA8" s="53"/>
      <x:c r="AB8" s="53"/>
      <x:c r="AC8" s="53"/>
      <x:c r="AD8" s="53"/>
      <x:c r="AE8" s="53"/>
      <x:c r="AF8" s="53"/>
      <x:c r="AG8" s="53"/>
      <x:c r="AH8" s="53"/>
      <x:c r="AI8" s="53"/>
      <x:c r="AJ8" s="53"/>
      <x:c r="AK8" s="53"/>
      <x:c r="AL8" s="53"/>
      <x:c r="AM8" s="53"/>
      <x:c r="AN8" s="53"/>
      <x:c r="AO8" s="53"/>
      <x:c r="AP8" s="53"/>
      <x:c r="AQ8" s="53"/>
      <x:c r="AR8" s="53"/>
      <x:c r="AS8" s="53"/>
      <x:c r="AT8" s="53"/>
      <x:c r="AU8" s="53"/>
      <x:c r="AV8" s="53"/>
      <x:c r="AW8" s="53"/>
      <x:c r="AX8" s="53"/>
      <x:c r="AY8" s="53"/>
      <x:c r="AZ8" s="53"/>
      <x:c r="BA8" s="53"/>
      <x:c r="BB8" s="53"/>
      <x:c r="BC8" s="53"/>
      <x:c r="BD8" s="53"/>
      <x:c r="BE8" s="53"/>
      <x:c r="BF8" s="53"/>
      <x:c r="BG8" s="53"/>
      <x:c r="BH8" s="53"/>
      <x:c r="BI8" s="53"/>
      <x:c r="BJ8" s="53"/>
      <x:c r="BK8" s="53"/>
      <x:c r="BL8" s="53"/>
      <x:c r="BM8" s="53"/>
      <x:c r="BN8" s="53"/>
      <x:c r="BO8" s="53"/>
      <x:c r="BP8" s="53"/>
      <x:c r="BQ8" s="54"/>
    </x:row>
    <x:row r="9" ht="42" customHeight="1">
      <x:c r="A9" s="310" t="str">
        <x:v>1.1</x:v>
      </x:c>
      <x:c r="B9" s="349" t="str">
        <x:v>1 Evaluation Core</x:v>
      </x:c>
      <x:c r="C9" s="310" t="str">
        <x:v>Define candidate artifact contract and loader</x:v>
      </x:c>
      <x:c r="D9" s="310" t="str">
        <x:v>Candidate JSON contract documented; valid artifact loads; malformed/missing artifact fails clearly.</x:v>
      </x:c>
      <x:c r="E9" s="310" t="str">
        <x:v>0.3</x:v>
      </x:c>
      <x:c r="F9" s="302" t="n">
        <x:v>4</x:v>
      </x:c>
      <x:c r="G9" s="312" t="n">
        <x:v>2</x:v>
      </x:c>
      <x:c r="H9" s="312" t="n">
        <x:v>2</x:v>
      </x:c>
      <x:c r="I9" s="294" t="n">
        <x:f t="shared" si="0">$B$1+(G9-1)*7</x:f>
        <x:v>46209</x:v>
      </x:c>
      <x:c r="J9" s="294" t="n">
        <x:f t="shared" si="1">$B$1+H9*7-1</x:f>
        <x:v>46215</x:v>
      </x:c>
      <x:c r="K9" s="313" t="str">
        <x:f t="shared" si="2"/>
        <x:v>Not Started</x:v>
      </x:c>
      <x:c r="L9" s="298" t="n">
        <x:v>0</x:v>
      </x:c>
      <x:c r="M9" s="306" t="n">
        <x:f>SUMIF('Work Block Log'!$E$5:$E$200,A9,'Work Block Log'!$F$5:$F$200)</x:f>
        <x:v>0</x:v>
      </x:c>
      <x:c r="N9" s="306" t="n">
        <x:f>MAX(F9*(1-L9),0)</x:f>
        <x:v>4</x:v>
      </x:c>
      <x:c r="O9" s="306" t="n">
        <x:f t="shared" si="3">M9-F9</x:f>
        <x:v>-4</x:v>
      </x:c>
      <x:c r="P9" s="312" t="str">
        <x:f t="shared" si="4"/>
        <x:v>feature/candidate-artifact-contract</x:v>
      </x:c>
      <x:c r="Q9" s="310" t="str">
        <x:v>Define MECH-002 candidate structure and loader API.</x:v>
      </x:c>
      <x:c r="R9" s="312" t="str">
        <x:v>First active build capability after control baseline.</x:v>
      </x:c>
      <x:c r="S9" s="555" t="str"/>
      <x:c r="T9" s="554" t="str">
        <x:v>■</x:v>
      </x:c>
      <x:c r="U9" s="554" t="str"/>
      <x:c r="V9" s="554" t="str"/>
      <x:c r="W9" s="554" t="str"/>
      <x:c r="X9" s="554" t="str"/>
      <x:c r="Y9" s="554" t="str"/>
      <x:c r="Z9" s="554" t="str"/>
      <x:c r="AA9" s="53"/>
      <x:c r="AB9" s="53"/>
      <x:c r="AC9" s="53"/>
      <x:c r="AD9" s="53"/>
      <x:c r="AE9" s="53"/>
      <x:c r="AF9" s="53"/>
      <x:c r="AG9" s="53"/>
      <x:c r="AH9" s="53"/>
      <x:c r="AI9" s="53"/>
      <x:c r="AJ9" s="53"/>
      <x:c r="AK9" s="53"/>
      <x:c r="AL9" s="53"/>
      <x:c r="AM9" s="53"/>
      <x:c r="AN9" s="53"/>
      <x:c r="AO9" s="53"/>
      <x:c r="AP9" s="53"/>
      <x:c r="AQ9" s="53"/>
      <x:c r="AR9" s="53"/>
      <x:c r="AS9" s="53"/>
      <x:c r="AT9" s="53"/>
      <x:c r="AU9" s="53"/>
      <x:c r="AV9" s="53"/>
      <x:c r="AW9" s="53"/>
      <x:c r="AX9" s="53"/>
      <x:c r="AY9" s="53"/>
      <x:c r="AZ9" s="53"/>
      <x:c r="BA9" s="53"/>
      <x:c r="BB9" s="53"/>
      <x:c r="BC9" s="53"/>
      <x:c r="BD9" s="53"/>
      <x:c r="BE9" s="53"/>
      <x:c r="BF9" s="53"/>
      <x:c r="BG9" s="53"/>
      <x:c r="BH9" s="53"/>
      <x:c r="BI9" s="53"/>
      <x:c r="BJ9" s="53"/>
      <x:c r="BK9" s="53"/>
      <x:c r="BL9" s="53"/>
      <x:c r="BM9" s="53"/>
      <x:c r="BN9" s="53"/>
      <x:c r="BO9" s="53"/>
      <x:c r="BP9" s="53"/>
      <x:c r="BQ9" s="54"/>
    </x:row>
    <x:row r="10" ht="42" customHeight="1">
      <x:c r="A10" s="331" t="str">
        <x:v>1.2</x:v>
      </x:c>
      <x:c r="B10" s="332" t="str">
        <x:v>1 Evaluation Core</x:v>
      </x:c>
      <x:c r="C10" s="331" t="str">
        <x:v>Implement mandatory gate engine</x:v>
      </x:c>
      <x:c r="D10" s="331" t="str">
        <x:v>Required file, parse, field, and type gates execute before scoring and return evidence.</x:v>
      </x:c>
      <x:c r="E10" s="331" t="str">
        <x:v>1.1</x:v>
      </x:c>
      <x:c r="F10" s="333" t="n">
        <x:v>5</x:v>
      </x:c>
      <x:c r="G10" s="334" t="n">
        <x:v>2</x:v>
      </x:c>
      <x:c r="H10" s="334" t="n">
        <x:v>3</x:v>
      </x:c>
      <x:c r="I10" s="335" t="n">
        <x:f t="shared" si="0">$B$1+(G10-1)*7</x:f>
        <x:v>46209</x:v>
      </x:c>
      <x:c r="J10" s="335" t="n">
        <x:f t="shared" si="1">$B$1+H10*7-1</x:f>
        <x:v>46222</x:v>
      </x:c>
      <x:c r="K10" s="336" t="str">
        <x:f t="shared" si="2"/>
        <x:v>Not Started</x:v>
      </x:c>
      <x:c r="L10" s="337" t="n">
        <x:v>0</x:v>
      </x:c>
      <x:c r="M10" s="338" t="n">
        <x:f>SUMIF('Work Block Log'!$E$5:$E$200,A10,'Work Block Log'!$F$5:$F$200)</x:f>
        <x:v>0</x:v>
      </x:c>
      <x:c r="N10" s="338" t="n">
        <x:f>MAX(F10*(1-L10),0)</x:f>
        <x:v>5</x:v>
      </x:c>
      <x:c r="O10" s="338" t="n">
        <x:f t="shared" si="3">M10-F10</x:f>
        <x:v>-5</x:v>
      </x:c>
      <x:c r="P10" s="334" t="str">
        <x:f t="shared" si="4"/>
        <x:v>feature/gate-engine</x:v>
      </x:c>
      <x:c r="Q10" s="331" t="str">
        <x:v>Implement gate result model and run gates for MECH-002.</x:v>
      </x:c>
      <x:c r="R10" s="339" t="str">
        <x:v>Gate failure must force score 0.</x:v>
      </x:c>
      <x:c r="S10" s="555" t="str"/>
      <x:c r="T10" s="555" t="str">
        <x:v>■</x:v>
      </x:c>
      <x:c r="U10" s="555" t="str">
        <x:v>■</x:v>
      </x:c>
      <x:c r="V10" s="555" t="str"/>
      <x:c r="W10" s="555" t="str"/>
      <x:c r="X10" s="555" t="str"/>
      <x:c r="Y10" s="555" t="str"/>
      <x:c r="Z10" s="555" t="str"/>
      <x:c r="AA10" s="58"/>
      <x:c r="AB10" s="58"/>
      <x:c r="AC10" s="58"/>
      <x:c r="AD10" s="58"/>
      <x:c r="AE10" s="58"/>
      <x:c r="AF10" s="58"/>
      <x:c r="AG10" s="58"/>
      <x:c r="AH10" s="58"/>
      <x:c r="AI10" s="58"/>
      <x:c r="AJ10" s="58"/>
      <x:c r="AK10" s="58"/>
      <x:c r="AL10" s="58"/>
      <x:c r="AM10" s="58"/>
      <x:c r="AN10" s="58"/>
      <x:c r="AO10" s="58"/>
      <x:c r="AP10" s="58"/>
      <x:c r="AQ10" s="58"/>
      <x:c r="AR10" s="58"/>
      <x:c r="AS10" s="58"/>
      <x:c r="AT10" s="58"/>
      <x:c r="AU10" s="58"/>
      <x:c r="AV10" s="58"/>
      <x:c r="AW10" s="58"/>
      <x:c r="AX10" s="58"/>
      <x:c r="AY10" s="58"/>
      <x:c r="AZ10" s="58"/>
      <x:c r="BA10" s="58"/>
      <x:c r="BB10" s="58"/>
      <x:c r="BC10" s="58"/>
      <x:c r="BD10" s="58"/>
      <x:c r="BE10" s="58"/>
      <x:c r="BF10" s="58"/>
      <x:c r="BG10" s="58"/>
      <x:c r="BH10" s="58"/>
      <x:c r="BI10" s="58"/>
      <x:c r="BJ10" s="58"/>
      <x:c r="BK10" s="58"/>
      <x:c r="BL10" s="58"/>
      <x:c r="BM10" s="58"/>
      <x:c r="BN10" s="58"/>
      <x:c r="BO10" s="58"/>
      <x:c r="BP10" s="58"/>
      <x:c r="BQ10" s="56"/>
    </x:row>
    <x:row r="11" ht="42" customHeight="1">
      <x:c r="A11" s="310" t="str">
        <x:v>1.3</x:v>
      </x:c>
      <x:c r="B11" s="349" t="str">
        <x:v>1 Evaluation Core</x:v>
      </x:c>
      <x:c r="C11" s="310" t="str">
        <x:v>Implement exact, Boolean, set, and contains checks</x:v>
      </x:c>
      <x:c r="D11" s="310" t="str">
        <x:v>Supported deterministic checks return pass/fail, evidence, and failure mode.</x:v>
      </x:c>
      <x:c r="E11" s="310" t="str">
        <x:v>1.2</x:v>
      </x:c>
      <x:c r="F11" s="302" t="n">
        <x:v>5</x:v>
      </x:c>
      <x:c r="G11" s="312" t="n">
        <x:v>3</x:v>
      </x:c>
      <x:c r="H11" s="312" t="n">
        <x:v>3</x:v>
      </x:c>
      <x:c r="I11" s="294" t="n">
        <x:f t="shared" si="0">$B$1+(G11-1)*7</x:f>
        <x:v>46216</x:v>
      </x:c>
      <x:c r="J11" s="294" t="n">
        <x:f t="shared" si="1">$B$1+H11*7-1</x:f>
        <x:v>46222</x:v>
      </x:c>
      <x:c r="K11" s="313" t="str">
        <x:f t="shared" si="2"/>
        <x:v>Not Started</x:v>
      </x:c>
      <x:c r="L11" s="298" t="n">
        <x:v>0</x:v>
      </x:c>
      <x:c r="M11" s="306" t="n">
        <x:f>SUMIF('Work Block Log'!$E$5:$E$200,A11,'Work Block Log'!$F$5:$F$200)</x:f>
        <x:v>0</x:v>
      </x:c>
      <x:c r="N11" s="306" t="n">
        <x:f>MAX(F11*(1-L11),0)</x:f>
        <x:v>5</x:v>
      </x:c>
      <x:c r="O11" s="306" t="n">
        <x:f t="shared" si="3">M11-F11</x:f>
        <x:v>-5</x:v>
      </x:c>
      <x:c r="P11" s="312" t="str">
        <x:f t="shared" si="4"/>
        <x:v>feature/basic-checks</x:v>
      </x:c>
      <x:c r="Q11" s="310" t="str">
        <x:v>Implement a dispatcher over evaluator check kinds.</x:v>
      </x:c>
      <x:c r="R11" s="312" t="str">
        <x:v>Only implement check types required by MVP cases.</x:v>
      </x:c>
      <x:c r="S11" s="554" t="str"/>
      <x:c r="T11" s="554" t="str"/>
      <x:c r="U11" s="555" t="str">
        <x:v>■</x:v>
      </x:c>
      <x:c r="V11" s="555" t="str"/>
      <x:c r="W11" s="555" t="str"/>
      <x:c r="X11" s="555" t="str"/>
      <x:c r="Y11" s="555" t="str"/>
      <x:c r="Z11" s="555" t="str"/>
      <x:c r="AA11" s="58"/>
      <x:c r="AB11" s="58"/>
      <x:c r="AC11" s="58"/>
      <x:c r="AD11" s="58"/>
      <x:c r="AE11" s="58"/>
      <x:c r="AF11" s="58"/>
      <x:c r="AG11" s="58"/>
      <x:c r="AH11" s="58"/>
      <x:c r="AI11" s="58"/>
      <x:c r="AJ11" s="58"/>
      <x:c r="AK11" s="58"/>
      <x:c r="AL11" s="58"/>
      <x:c r="AM11" s="58"/>
      <x:c r="AN11" s="58"/>
      <x:c r="AO11" s="58"/>
      <x:c r="AP11" s="58"/>
      <x:c r="AQ11" s="58"/>
      <x:c r="AR11" s="58"/>
      <x:c r="AS11" s="58"/>
      <x:c r="AT11" s="58"/>
      <x:c r="AU11" s="58"/>
      <x:c r="AV11" s="58"/>
      <x:c r="AW11" s="58"/>
      <x:c r="AX11" s="58"/>
      <x:c r="AY11" s="58"/>
      <x:c r="AZ11" s="58"/>
      <x:c r="BA11" s="58"/>
      <x:c r="BB11" s="58"/>
      <x:c r="BC11" s="58"/>
      <x:c r="BD11" s="58"/>
      <x:c r="BE11" s="58"/>
      <x:c r="BF11" s="58"/>
      <x:c r="BG11" s="58"/>
      <x:c r="BH11" s="58"/>
      <x:c r="BI11" s="58"/>
      <x:c r="BJ11" s="58"/>
      <x:c r="BK11" s="58"/>
      <x:c r="BL11" s="58"/>
      <x:c r="BM11" s="58"/>
      <x:c r="BN11" s="58"/>
      <x:c r="BO11" s="58"/>
      <x:c r="BP11" s="58"/>
      <x:c r="BQ11" s="56"/>
    </x:row>
    <x:row r="12" ht="42" customHeight="1">
      <x:c r="A12" s="331" t="str">
        <x:v>1.4</x:v>
      </x:c>
      <x:c r="B12" s="332" t="str">
        <x:v>1 Evaluation Core</x:v>
      </x:c>
      <x:c r="C12" s="331" t="str">
        <x:v>Implement numeric tolerance checks</x:v>
      </x:c>
      <x:c r="D12" s="331" t="str">
        <x:v>Numeric comparisons support absolute tolerance and clear evidence.</x:v>
      </x:c>
      <x:c r="E12" s="331" t="str">
        <x:v>1.2</x:v>
      </x:c>
      <x:c r="F12" s="333" t="n">
        <x:v>4</x:v>
      </x:c>
      <x:c r="G12" s="334" t="n">
        <x:v>3</x:v>
      </x:c>
      <x:c r="H12" s="334" t="n">
        <x:v>4</x:v>
      </x:c>
      <x:c r="I12" s="335" t="n">
        <x:f t="shared" si="0">$B$1+(G12-1)*7</x:f>
        <x:v>46216</x:v>
      </x:c>
      <x:c r="J12" s="335" t="n">
        <x:f t="shared" si="1">$B$1+H12*7-1</x:f>
        <x:v>46229</x:v>
      </x:c>
      <x:c r="K12" s="336" t="str">
        <x:f t="shared" si="2"/>
        <x:v>Not Started</x:v>
      </x:c>
      <x:c r="L12" s="337" t="n">
        <x:v>0</x:v>
      </x:c>
      <x:c r="M12" s="338" t="n">
        <x:f>SUMIF('Work Block Log'!$E$5:$E$200,A12,'Work Block Log'!$F$5:$F$200)</x:f>
        <x:v>0</x:v>
      </x:c>
      <x:c r="N12" s="338" t="n">
        <x:f>MAX(F12*(1-L12),0)</x:f>
        <x:v>4</x:v>
      </x:c>
      <x:c r="O12" s="338" t="n">
        <x:f t="shared" si="3">M12-F12</x:f>
        <x:v>-4</x:v>
      </x:c>
      <x:c r="P12" s="334" t="str">
        <x:f t="shared" si="4"/>
        <x:v>feature/numeric-checks</x:v>
      </x:c>
      <x:c r="Q12" s="331" t="str">
        <x:v>Implement numeric_close and boundary tests.</x:v>
      </x:c>
      <x:c r="R12" s="334" t="str">
        <x:v>Units remain explicit in case/evaluator data.</x:v>
      </x:c>
      <x:c r="S12" s="554" t="str"/>
      <x:c r="T12" s="554" t="str"/>
      <x:c r="U12" s="554" t="str">
        <x:v>■</x:v>
      </x:c>
      <x:c r="V12" s="554" t="str">
        <x:v>■</x:v>
      </x:c>
      <x:c r="W12" s="554" t="str"/>
      <x:c r="X12" s="554" t="str"/>
      <x:c r="Y12" s="554" t="str"/>
      <x:c r="Z12" s="555" t="str"/>
      <x:c r="AA12" s="58"/>
      <x:c r="AB12" s="58"/>
      <x:c r="AC12" s="58"/>
      <x:c r="AD12" s="58"/>
      <x:c r="AE12" s="58"/>
      <x:c r="AF12" s="58"/>
      <x:c r="AG12" s="58"/>
      <x:c r="AH12" s="58"/>
      <x:c r="AI12" s="58"/>
      <x:c r="AJ12" s="58"/>
      <x:c r="AK12" s="58"/>
      <x:c r="AL12" s="58"/>
      <x:c r="AM12" s="58"/>
      <x:c r="AN12" s="58"/>
      <x:c r="AO12" s="58"/>
      <x:c r="AP12" s="58"/>
      <x:c r="AQ12" s="58"/>
      <x:c r="AR12" s="58"/>
      <x:c r="AS12" s="58"/>
      <x:c r="AT12" s="58"/>
      <x:c r="AU12" s="58"/>
      <x:c r="AV12" s="58"/>
      <x:c r="AW12" s="58"/>
      <x:c r="AX12" s="58"/>
      <x:c r="AY12" s="58"/>
      <x:c r="AZ12" s="58"/>
      <x:c r="BA12" s="58"/>
      <x:c r="BB12" s="58"/>
      <x:c r="BC12" s="58"/>
      <x:c r="BD12" s="58"/>
      <x:c r="BE12" s="58"/>
      <x:c r="BF12" s="58"/>
      <x:c r="BG12" s="58"/>
      <x:c r="BH12" s="58"/>
      <x:c r="BI12" s="58"/>
      <x:c r="BJ12" s="58"/>
      <x:c r="BK12" s="58"/>
      <x:c r="BL12" s="58"/>
      <x:c r="BM12" s="58"/>
      <x:c r="BN12" s="58"/>
      <x:c r="BO12" s="58"/>
      <x:c r="BP12" s="58"/>
      <x:c r="BQ12" s="56"/>
    </x:row>
    <x:row r="13" ht="42" customHeight="1">
      <x:c r="A13" s="310" t="str">
        <x:v>1.5</x:v>
      </x:c>
      <x:c r="B13" s="349" t="str">
        <x:v>1 Evaluation Core</x:v>
      </x:c>
      <x:c r="C13" s="310" t="str">
        <x:v>Implement weighted scoring and failure evidence</x:v>
      </x:c>
      <x:c r="D13" s="310" t="str">
        <x:v>Gates plus weighted checks produce score, pass/fail, failure modes, and evidence.</x:v>
      </x:c>
      <x:c r="E13" s="310" t="str">
        <x:v>1.3,1.4</x:v>
      </x:c>
      <x:c r="F13" s="302" t="n">
        <x:v>6</x:v>
      </x:c>
      <x:c r="G13" s="312" t="n">
        <x:v>4</x:v>
      </x:c>
      <x:c r="H13" s="312" t="n">
        <x:v>4</x:v>
      </x:c>
      <x:c r="I13" s="294" t="n">
        <x:f t="shared" si="0">$B$1+(G13-1)*7</x:f>
        <x:v>46223</x:v>
      </x:c>
      <x:c r="J13" s="294" t="n">
        <x:f t="shared" si="1">$B$1+H13*7-1</x:f>
        <x:v>46229</x:v>
      </x:c>
      <x:c r="K13" s="313" t="str">
        <x:f t="shared" si="2"/>
        <x:v>Not Started</x:v>
      </x:c>
      <x:c r="L13" s="298" t="n">
        <x:v>0</x:v>
      </x:c>
      <x:c r="M13" s="306" t="n">
        <x:f>SUMIF('Work Block Log'!$E$5:$E$200,A13,'Work Block Log'!$F$5:$F$200)</x:f>
        <x:v>0</x:v>
      </x:c>
      <x:c r="N13" s="306" t="n">
        <x:f>MAX(F13*(1-L13),0)</x:f>
        <x:v>6</x:v>
      </x:c>
      <x:c r="O13" s="306" t="n">
        <x:f t="shared" si="3">M13-F13</x:f>
        <x:v>-6</x:v>
      </x:c>
      <x:c r="P13" s="312" t="str">
        <x:f t="shared" si="4"/>
        <x:v>feature/scoring-engine</x:v>
      </x:c>
      <x:c r="Q13" s="310" t="str">
        <x:v>Compose gate and check results into one evaluation result.</x:v>
      </x:c>
      <x:c r="R13" s="312" t="str">
        <x:v>Outcome scoring only; process scoring is deferred.</x:v>
      </x:c>
      <x:c r="S13" s="554" t="str"/>
      <x:c r="T13" s="555" t="str"/>
      <x:c r="U13" s="554" t="str"/>
      <x:c r="V13" s="554" t="str">
        <x:v>■</x:v>
      </x:c>
      <x:c r="W13" s="554" t="str"/>
      <x:c r="X13" s="554" t="str"/>
      <x:c r="Y13" s="554" t="str"/>
      <x:c r="Z13" s="554" t="str"/>
      <x:c r="AA13" s="53"/>
      <x:c r="AB13" s="53"/>
      <x:c r="AC13" s="53"/>
      <x:c r="AD13" s="53"/>
      <x:c r="AE13" s="53"/>
      <x:c r="AF13" s="53"/>
      <x:c r="AG13" s="53"/>
      <x:c r="AH13" s="53"/>
      <x:c r="AI13" s="53"/>
      <x:c r="AJ13" s="53"/>
      <x:c r="AK13" s="53"/>
      <x:c r="AL13" s="53"/>
      <x:c r="AM13" s="53"/>
      <x:c r="AN13" s="53"/>
      <x:c r="AO13" s="53"/>
      <x:c r="AP13" s="53"/>
      <x:c r="AQ13" s="53"/>
      <x:c r="AR13" s="53"/>
      <x:c r="AS13" s="53"/>
      <x:c r="AT13" s="53"/>
      <x:c r="AU13" s="53"/>
      <x:c r="AV13" s="53"/>
      <x:c r="AW13" s="53"/>
      <x:c r="AX13" s="53"/>
      <x:c r="AY13" s="53"/>
      <x:c r="AZ13" s="53"/>
      <x:c r="BA13" s="53"/>
      <x:c r="BB13" s="53"/>
      <x:c r="BC13" s="53"/>
      <x:c r="BD13" s="53"/>
      <x:c r="BE13" s="53"/>
      <x:c r="BF13" s="53"/>
      <x:c r="BG13" s="53"/>
      <x:c r="BH13" s="53"/>
      <x:c r="BI13" s="53"/>
      <x:c r="BJ13" s="53"/>
      <x:c r="BK13" s="53"/>
      <x:c r="BL13" s="53"/>
      <x:c r="BM13" s="53"/>
      <x:c r="BN13" s="53"/>
      <x:c r="BO13" s="53"/>
      <x:c r="BP13" s="53"/>
      <x:c r="BQ13" s="54"/>
    </x:row>
    <x:row r="14" ht="42" customHeight="1">
      <x:c r="A14" s="331" t="str">
        <x:v>2.1</x:v>
      </x:c>
      <x:c r="B14" s="332" t="str">
        <x:v>2 CLI &amp; Results</x:v>
      </x:c>
      <x:c r="C14" s="331" t="str">
        <x:v>Add evaluate CLI command</x:v>
      </x:c>
      <x:c r="D14" s="331" t="str">
        <x:v>One command evaluates a candidate artifact against a case and returns stable exit codes.</x:v>
      </x:c>
      <x:c r="E14" s="331" t="str">
        <x:v>1.5</x:v>
      </x:c>
      <x:c r="F14" s="333" t="n">
        <x:v>4</x:v>
      </x:c>
      <x:c r="G14" s="334" t="n">
        <x:v>5</x:v>
      </x:c>
      <x:c r="H14" s="334" t="n">
        <x:v>5</x:v>
      </x:c>
      <x:c r="I14" s="335" t="n">
        <x:f t="shared" si="0">$B$1+(G14-1)*7</x:f>
        <x:v>46230</x:v>
      </x:c>
      <x:c r="J14" s="335" t="n">
        <x:f t="shared" si="1">$B$1+H14*7-1</x:f>
        <x:v>46236</x:v>
      </x:c>
      <x:c r="K14" s="336" t="str">
        <x:f t="shared" si="2"/>
        <x:v>Not Started</x:v>
      </x:c>
      <x:c r="L14" s="337" t="n">
        <x:v>0</x:v>
      </x:c>
      <x:c r="M14" s="338" t="n">
        <x:f>SUMIF('Work Block Log'!$E$5:$E$200,A14,'Work Block Log'!$F$5:$F$200)</x:f>
        <x:v>0</x:v>
      </x:c>
      <x:c r="N14" s="338" t="n">
        <x:f>MAX(F14*(1-L14),0)</x:f>
        <x:v>4</x:v>
      </x:c>
      <x:c r="O14" s="338" t="n">
        <x:f t="shared" si="3">M14-F14</x:f>
        <x:v>-4</x:v>
      </x:c>
      <x:c r="P14" s="334" t="str">
        <x:f t="shared" si="4"/>
        <x:v>feature/evaluate-cli</x:v>
      </x:c>
      <x:c r="Q14" s="331" t="str">
        <x:v>Add evaluate parser and human-readable output.</x:v>
      </x:c>
      <x:c r="R14" s="334" t="str">
        <x:v>CLI remains the MVP interface.</x:v>
      </x:c>
      <x:c r="S14" s="554" t="str"/>
      <x:c r="T14" s="555" t="str"/>
      <x:c r="U14" s="555" t="str"/>
      <x:c r="V14" s="554" t="str"/>
      <x:c r="W14" s="554" t="str">
        <x:v>■</x:v>
      </x:c>
      <x:c r="X14" s="554" t="str"/>
      <x:c r="Y14" s="554" t="str"/>
      <x:c r="Z14" s="554" t="str"/>
      <x:c r="AA14" s="53"/>
      <x:c r="AB14" s="53"/>
      <x:c r="AC14" s="53"/>
      <x:c r="AD14" s="53"/>
      <x:c r="AE14" s="53"/>
      <x:c r="AF14" s="53"/>
      <x:c r="AG14" s="53"/>
      <x:c r="AH14" s="53"/>
      <x:c r="AI14" s="53"/>
      <x:c r="AJ14" s="53"/>
      <x:c r="AK14" s="53"/>
      <x:c r="AL14" s="53"/>
      <x:c r="AM14" s="53"/>
      <x:c r="AN14" s="53"/>
      <x:c r="AO14" s="53"/>
      <x:c r="AP14" s="53"/>
      <x:c r="AQ14" s="53"/>
      <x:c r="AR14" s="53"/>
      <x:c r="AS14" s="53"/>
      <x:c r="AT14" s="53"/>
      <x:c r="AU14" s="53"/>
      <x:c r="AV14" s="53"/>
      <x:c r="AW14" s="53"/>
      <x:c r="AX14" s="53"/>
      <x:c r="AY14" s="53"/>
      <x:c r="AZ14" s="53"/>
      <x:c r="BA14" s="53"/>
      <x:c r="BB14" s="53"/>
      <x:c r="BC14" s="53"/>
      <x:c r="BD14" s="53"/>
      <x:c r="BE14" s="53"/>
      <x:c r="BF14" s="53"/>
      <x:c r="BG14" s="53"/>
      <x:c r="BH14" s="53"/>
      <x:c r="BI14" s="53"/>
      <x:c r="BJ14" s="53"/>
      <x:c r="BK14" s="53"/>
      <x:c r="BL14" s="53"/>
      <x:c r="BM14" s="53"/>
      <x:c r="BN14" s="53"/>
      <x:c r="BO14" s="53"/>
      <x:c r="BP14" s="53"/>
      <x:c r="BQ14" s="54"/>
    </x:row>
    <x:row r="15" ht="42" customHeight="1">
      <x:c r="A15" s="310" t="str">
        <x:v>2.2</x:v>
      </x:c>
      <x:c r="B15" s="351" t="str">
        <x:v>2 CLI &amp; Results</x:v>
      </x:c>
      <x:c r="C15" s="310" t="str">
        <x:v>Define structured result schema and model</x:v>
      </x:c>
      <x:c r="D15" s="310" t="str">
        <x:v>Result contains versions, gate/check evidence, score, pass/fail, and failure modes.</x:v>
      </x:c>
      <x:c r="E15" s="310" t="str">
        <x:v>1.5</x:v>
      </x:c>
      <x:c r="F15" s="302" t="n">
        <x:v>4</x:v>
      </x:c>
      <x:c r="G15" s="312" t="n">
        <x:v>5</x:v>
      </x:c>
      <x:c r="H15" s="312" t="n">
        <x:v>5</x:v>
      </x:c>
      <x:c r="I15" s="294" t="n">
        <x:f t="shared" si="0">$B$1+(G15-1)*7</x:f>
        <x:v>46230</x:v>
      </x:c>
      <x:c r="J15" s="294" t="n">
        <x:f t="shared" si="1">$B$1+H15*7-1</x:f>
        <x:v>46236</x:v>
      </x:c>
      <x:c r="K15" s="313" t="str">
        <x:f t="shared" si="2"/>
        <x:v>Not Started</x:v>
      </x:c>
      <x:c r="L15" s="298" t="n">
        <x:v>0</x:v>
      </x:c>
      <x:c r="M15" s="306" t="n">
        <x:f>SUMIF('Work Block Log'!$E$5:$E$200,A15,'Work Block Log'!$F$5:$F$200)</x:f>
        <x:v>0</x:v>
      </x:c>
      <x:c r="N15" s="306" t="n">
        <x:f>MAX(F15*(1-L15),0)</x:f>
        <x:v>4</x:v>
      </x:c>
      <x:c r="O15" s="306" t="n">
        <x:f t="shared" si="3">M15-F15</x:f>
        <x:v>-4</x:v>
      </x:c>
      <x:c r="P15" s="312" t="str">
        <x:f t="shared" si="4"/>
        <x:v>feature/result-records</x:v>
      </x:c>
      <x:c r="Q15" s="310" t="str">
        <x:v>Define minimum result JSON schema.</x:v>
      </x:c>
      <x:c r="R15" s="312" t="str">
        <x:v>Keep run data separate from case definitions.</x:v>
      </x:c>
      <x:c r="S15" s="554" t="str"/>
      <x:c r="T15" s="554" t="str"/>
      <x:c r="U15" s="555" t="str"/>
      <x:c r="V15" s="555" t="str"/>
      <x:c r="W15" s="554" t="str">
        <x:v>■</x:v>
      </x:c>
      <x:c r="X15" s="554" t="str"/>
      <x:c r="Y15" s="554" t="str"/>
      <x:c r="Z15" s="554" t="str"/>
      <x:c r="AA15" s="53"/>
      <x:c r="AB15" s="53"/>
      <x:c r="AC15" s="53"/>
      <x:c r="AD15" s="53"/>
      <x:c r="AE15" s="53"/>
      <x:c r="AF15" s="53"/>
      <x:c r="AG15" s="53"/>
      <x:c r="AH15" s="53"/>
      <x:c r="AI15" s="53"/>
      <x:c r="AJ15" s="53"/>
      <x:c r="AK15" s="53"/>
      <x:c r="AL15" s="53"/>
      <x:c r="AM15" s="53"/>
      <x:c r="AN15" s="53"/>
      <x:c r="AO15" s="53"/>
      <x:c r="AP15" s="53"/>
      <x:c r="AQ15" s="53"/>
      <x:c r="AR15" s="53"/>
      <x:c r="AS15" s="53"/>
      <x:c r="AT15" s="53"/>
      <x:c r="AU15" s="53"/>
      <x:c r="AV15" s="53"/>
      <x:c r="AW15" s="53"/>
      <x:c r="AX15" s="53"/>
      <x:c r="AY15" s="53"/>
      <x:c r="AZ15" s="53"/>
      <x:c r="BA15" s="53"/>
      <x:c r="BB15" s="53"/>
      <x:c r="BC15" s="53"/>
      <x:c r="BD15" s="53"/>
      <x:c r="BE15" s="53"/>
      <x:c r="BF15" s="53"/>
      <x:c r="BG15" s="53"/>
      <x:c r="BH15" s="53"/>
      <x:c r="BI15" s="53"/>
      <x:c r="BJ15" s="53"/>
      <x:c r="BK15" s="53"/>
      <x:c r="BL15" s="53"/>
      <x:c r="BM15" s="53"/>
      <x:c r="BN15" s="53"/>
      <x:c r="BO15" s="53"/>
      <x:c r="BP15" s="53"/>
      <x:c r="BQ15" s="54"/>
    </x:row>
    <x:row r="16" ht="42" customHeight="1">
      <x:c r="A16" s="331" t="str">
        <x:v>2.3</x:v>
      </x:c>
      <x:c r="B16" s="332" t="str">
        <x:v>2 CLI &amp; Results</x:v>
      </x:c>
      <x:c r="C16" s="331" t="str">
        <x:v>Write immutable local result records</x:v>
      </x:c>
      <x:c r="D16" s="331" t="str">
        <x:v>Each evaluation writes a timestamped result without overwriting prior evidence.</x:v>
      </x:c>
      <x:c r="E16" s="331" t="str">
        <x:v>2.2</x:v>
      </x:c>
      <x:c r="F16" s="333" t="n">
        <x:v>3</x:v>
      </x:c>
      <x:c r="G16" s="334" t="n">
        <x:v>5</x:v>
      </x:c>
      <x:c r="H16" s="334" t="n">
        <x:v>5</x:v>
      </x:c>
      <x:c r="I16" s="335" t="n">
        <x:f t="shared" si="0">$B$1+(G16-1)*7</x:f>
        <x:v>46230</x:v>
      </x:c>
      <x:c r="J16" s="335" t="n">
        <x:f t="shared" si="1">$B$1+H16*7-1</x:f>
        <x:v>46236</x:v>
      </x:c>
      <x:c r="K16" s="336" t="str">
        <x:f t="shared" si="2"/>
        <x:v>Not Started</x:v>
      </x:c>
      <x:c r="L16" s="337" t="n">
        <x:v>0</x:v>
      </x:c>
      <x:c r="M16" s="338" t="n">
        <x:f>SUMIF('Work Block Log'!$E$5:$E$200,A16,'Work Block Log'!$F$5:$F$200)</x:f>
        <x:v>0</x:v>
      </x:c>
      <x:c r="N16" s="338" t="n">
        <x:f>MAX(F16*(1-L16),0)</x:f>
        <x:v>3</x:v>
      </x:c>
      <x:c r="O16" s="338" t="n">
        <x:f t="shared" si="3">M16-F16</x:f>
        <x:v>-3</x:v>
      </x:c>
      <x:c r="P16" s="334" t="str">
        <x:f t="shared" si="4"/>
        <x:v>feature/result-records</x:v>
      </x:c>
      <x:c r="Q16" s="331" t="str">
        <x:v>Create runs/&lt;run_id&gt;/result.json convention.</x:v>
      </x:c>
      <x:c r="R16" s="334" t="str">
        <x:v>Trace schema remains deferred unless needed.</x:v>
      </x:c>
      <x:c r="S16" s="554" t="str"/>
      <x:c r="T16" s="554" t="str"/>
      <x:c r="U16" s="554" t="str"/>
      <x:c r="V16" s="555" t="str"/>
      <x:c r="W16" s="555" t="str">
        <x:v>■</x:v>
      </x:c>
      <x:c r="X16" s="555" t="str"/>
      <x:c r="Y16" s="554" t="str"/>
      <x:c r="Z16" s="554" t="str"/>
      <x:c r="AA16" s="53"/>
      <x:c r="AB16" s="53"/>
      <x:c r="AC16" s="53"/>
      <x:c r="AD16" s="53"/>
      <x:c r="AE16" s="53"/>
      <x:c r="AF16" s="53"/>
      <x:c r="AG16" s="53"/>
      <x:c r="AH16" s="53"/>
      <x:c r="AI16" s="53"/>
      <x:c r="AJ16" s="53"/>
      <x:c r="AK16" s="53"/>
      <x:c r="AL16" s="53"/>
      <x:c r="AM16" s="53"/>
      <x:c r="AN16" s="53"/>
      <x:c r="AO16" s="53"/>
      <x:c r="AP16" s="53"/>
      <x:c r="AQ16" s="53"/>
      <x:c r="AR16" s="53"/>
      <x:c r="AS16" s="53"/>
      <x:c r="AT16" s="53"/>
      <x:c r="AU16" s="53"/>
      <x:c r="AV16" s="53"/>
      <x:c r="AW16" s="53"/>
      <x:c r="AX16" s="53"/>
      <x:c r="AY16" s="53"/>
      <x:c r="AZ16" s="53"/>
      <x:c r="BA16" s="53"/>
      <x:c r="BB16" s="53"/>
      <x:c r="BC16" s="53"/>
      <x:c r="BD16" s="53"/>
      <x:c r="BE16" s="53"/>
      <x:c r="BF16" s="53"/>
      <x:c r="BG16" s="53"/>
      <x:c r="BH16" s="53"/>
      <x:c r="BI16" s="53"/>
      <x:c r="BJ16" s="53"/>
      <x:c r="BK16" s="53"/>
      <x:c r="BL16" s="53"/>
      <x:c r="BM16" s="53"/>
      <x:c r="BN16" s="53"/>
      <x:c r="BO16" s="53"/>
      <x:c r="BP16" s="53"/>
      <x:c r="BQ16" s="54"/>
    </x:row>
    <x:row r="17" ht="42" customHeight="1">
      <x:c r="A17" s="310" t="str">
        <x:v>2.4</x:v>
      </x:c>
      <x:c r="B17" s="351" t="str">
        <x:v>2 CLI &amp; Results</x:v>
      </x:c>
      <x:c r="C17" s="310" t="str">
        <x:v>Create example pass/fail candidate artifacts</x:v>
      </x:c>
      <x:c r="D17" s="310" t="str">
        <x:v>At least one passing and two representative failing artifacts run end-to-end.</x:v>
      </x:c>
      <x:c r="E17" s="310" t="str">
        <x:v>2.1,2.3</x:v>
      </x:c>
      <x:c r="F17" s="302" t="n">
        <x:v>3</x:v>
      </x:c>
      <x:c r="G17" s="312" t="n">
        <x:v>5</x:v>
      </x:c>
      <x:c r="H17" s="312" t="n">
        <x:v>5</x:v>
      </x:c>
      <x:c r="I17" s="294" t="n">
        <x:f t="shared" si="0">$B$1+(G17-1)*7</x:f>
        <x:v>46230</x:v>
      </x:c>
      <x:c r="J17" s="294" t="n">
        <x:f t="shared" si="1">$B$1+H17*7-1</x:f>
        <x:v>46236</x:v>
      </x:c>
      <x:c r="K17" s="313" t="str">
        <x:f t="shared" si="2"/>
        <x:v>Not Started</x:v>
      </x:c>
      <x:c r="L17" s="298" t="n">
        <x:v>0</x:v>
      </x:c>
      <x:c r="M17" s="306" t="n">
        <x:f>SUMIF('Work Block Log'!$E$5:$E$200,A17,'Work Block Log'!$F$5:$F$200)</x:f>
        <x:v>0</x:v>
      </x:c>
      <x:c r="N17" s="306" t="n">
        <x:f>MAX(F17*(1-L17),0)</x:f>
        <x:v>3</x:v>
      </x:c>
      <x:c r="O17" s="306" t="n">
        <x:f t="shared" si="3">M17-F17</x:f>
        <x:v>-3</x:v>
      </x:c>
      <x:c r="P17" s="312" t="str">
        <x:f t="shared" si="4"/>
        <x:v>feature/evaluate-cli</x:v>
      </x:c>
      <x:c r="Q17" s="310" t="str">
        <x:v>Create MECH-002 examples for good, unit-error, and missing-field outputs.</x:v>
      </x:c>
      <x:c r="R17" s="312" t="str">
        <x:v>These become demo and regression fixtures.</x:v>
      </x:c>
      <x:c r="S17" s="554" t="str"/>
      <x:c r="T17" s="554" t="str"/>
      <x:c r="U17" s="554" t="str"/>
      <x:c r="V17" s="554" t="str"/>
      <x:c r="W17" s="554" t="str">
        <x:v>■</x:v>
      </x:c>
      <x:c r="X17" s="555" t="str"/>
      <x:c r="Y17" s="555" t="str"/>
      <x:c r="Z17" s="554" t="str"/>
      <x:c r="AA17" s="53"/>
      <x:c r="AB17" s="53"/>
      <x:c r="AC17" s="53"/>
      <x:c r="AD17" s="53"/>
      <x:c r="AE17" s="53"/>
      <x:c r="AF17" s="53"/>
      <x:c r="AG17" s="53"/>
      <x:c r="AH17" s="53"/>
      <x:c r="AI17" s="53"/>
      <x:c r="AJ17" s="53"/>
      <x:c r="AK17" s="53"/>
      <x:c r="AL17" s="53"/>
      <x:c r="AM17" s="53"/>
      <x:c r="AN17" s="53"/>
      <x:c r="AO17" s="53"/>
      <x:c r="AP17" s="53"/>
      <x:c r="AQ17" s="53"/>
      <x:c r="AR17" s="53"/>
      <x:c r="AS17" s="53"/>
      <x:c r="AT17" s="53"/>
      <x:c r="AU17" s="53"/>
      <x:c r="AV17" s="53"/>
      <x:c r="AW17" s="53"/>
      <x:c r="AX17" s="53"/>
      <x:c r="AY17" s="53"/>
      <x:c r="AZ17" s="53"/>
      <x:c r="BA17" s="53"/>
      <x:c r="BB17" s="53"/>
      <x:c r="BC17" s="53"/>
      <x:c r="BD17" s="53"/>
      <x:c r="BE17" s="53"/>
      <x:c r="BF17" s="53"/>
      <x:c r="BG17" s="53"/>
      <x:c r="BH17" s="53"/>
      <x:c r="BI17" s="53"/>
      <x:c r="BJ17" s="53"/>
      <x:c r="BK17" s="53"/>
      <x:c r="BL17" s="53"/>
      <x:c r="BM17" s="53"/>
      <x:c r="BN17" s="53"/>
      <x:c r="BO17" s="53"/>
      <x:c r="BP17" s="53"/>
      <x:c r="BQ17" s="54"/>
    </x:row>
    <x:row r="18" ht="42" customHeight="1">
      <x:c r="A18" s="331" t="str">
        <x:v>3.1</x:v>
      </x:c>
      <x:c r="B18" s="332" t="str">
        <x:v>3 Cases &amp; Benchmark</x:v>
      </x:c>
      <x:c r="C18" s="331" t="str">
        <x:v>Independently verify three seed cases</x:v>
      </x:c>
      <x:c r="D18" s="331" t="str">
        <x:v>Calculations, references, tolerances, and failure intent are checked and recorded.</x:v>
      </x:c>
      <x:c r="E18" s="331" t="str">
        <x:v>0.3</x:v>
      </x:c>
      <x:c r="F18" s="333" t="n">
        <x:v>4</x:v>
      </x:c>
      <x:c r="G18" s="334" t="n">
        <x:v>2</x:v>
      </x:c>
      <x:c r="H18" s="334" t="n">
        <x:v>3</x:v>
      </x:c>
      <x:c r="I18" s="335" t="n">
        <x:f t="shared" si="0">$B$1+(G18-1)*7</x:f>
        <x:v>46209</x:v>
      </x:c>
      <x:c r="J18" s="335" t="n">
        <x:f t="shared" si="1">$B$1+H18*7-1</x:f>
        <x:v>46222</x:v>
      </x:c>
      <x:c r="K18" s="336" t="str">
        <x:f t="shared" si="2"/>
        <x:v>Not Started</x:v>
      </x:c>
      <x:c r="L18" s="337" t="n">
        <x:v>0</x:v>
      </x:c>
      <x:c r="M18" s="338" t="n">
        <x:f>SUMIF('Work Block Log'!$E$5:$E$200,A18,'Work Block Log'!$F$5:$F$200)</x:f>
        <x:v>0</x:v>
      </x:c>
      <x:c r="N18" s="338" t="n">
        <x:f>MAX(F18*(1-L18),0)</x:f>
        <x:v>4</x:v>
      </x:c>
      <x:c r="O18" s="338" t="n">
        <x:f t="shared" si="3">M18-F18</x:f>
        <x:v>-4</x:v>
      </x:c>
      <x:c r="P18" s="334" t="str">
        <x:f t="shared" si="4"/>
        <x:v>case review records</x:v>
      </x:c>
      <x:c r="Q18" s="331" t="str">
        <x:v>Verify MECH-001 through MECH-003 without relying only on generated code.</x:v>
      </x:c>
      <x:c r="R18" s="334" t="str">
        <x:v>Engineering correctness is a product requirement.</x:v>
      </x:c>
      <x:c r="S18" s="554" t="str"/>
      <x:c r="T18" s="554" t="str">
        <x:v>■</x:v>
      </x:c>
      <x:c r="U18" s="554" t="str">
        <x:v>■</x:v>
      </x:c>
      <x:c r="V18" s="554" t="str"/>
      <x:c r="W18" s="554" t="str"/>
      <x:c r="X18" s="554" t="str"/>
      <x:c r="Y18" s="555" t="str"/>
      <x:c r="Z18" s="554" t="str"/>
      <x:c r="AA18" s="53"/>
      <x:c r="AB18" s="53"/>
      <x:c r="AC18" s="53"/>
      <x:c r="AD18" s="53"/>
      <x:c r="AE18" s="53"/>
      <x:c r="AF18" s="53"/>
      <x:c r="AG18" s="53"/>
      <x:c r="AH18" s="53"/>
      <x:c r="AI18" s="53"/>
      <x:c r="AJ18" s="53"/>
      <x:c r="AK18" s="53"/>
      <x:c r="AL18" s="53"/>
      <x:c r="AM18" s="53"/>
      <x:c r="AN18" s="53"/>
      <x:c r="AO18" s="53"/>
      <x:c r="AP18" s="53"/>
      <x:c r="AQ18" s="53"/>
      <x:c r="AR18" s="53"/>
      <x:c r="AS18" s="53"/>
      <x:c r="AT18" s="53"/>
      <x:c r="AU18" s="53"/>
      <x:c r="AV18" s="53"/>
      <x:c r="AW18" s="53"/>
      <x:c r="AX18" s="53"/>
      <x:c r="AY18" s="53"/>
      <x:c r="AZ18" s="53"/>
      <x:c r="BA18" s="53"/>
      <x:c r="BB18" s="53"/>
      <x:c r="BC18" s="53"/>
      <x:c r="BD18" s="53"/>
      <x:c r="BE18" s="53"/>
      <x:c r="BF18" s="53"/>
      <x:c r="BG18" s="53"/>
      <x:c r="BH18" s="53"/>
      <x:c r="BI18" s="53"/>
      <x:c r="BJ18" s="53"/>
      <x:c r="BK18" s="53"/>
      <x:c r="BL18" s="53"/>
      <x:c r="BM18" s="53"/>
      <x:c r="BN18" s="53"/>
      <x:c r="BO18" s="53"/>
      <x:c r="BP18" s="53"/>
      <x:c r="BQ18" s="54"/>
    </x:row>
    <x:row r="19" ht="42" customHeight="1">
      <x:c r="A19" s="310" t="str">
        <x:v>3.2</x:v>
      </x:c>
      <x:c r="B19" s="353" t="str">
        <x:v>3 Cases &amp; Benchmark</x:v>
      </x:c>
      <x:c r="C19" s="310" t="str">
        <x:v>Add two useful synthetic cases</x:v>
      </x:c>
      <x:c r="D19" s="310" t="str">
        <x:v>Five total reviewed cases cover distinct mechanical workflow/failure families.</x:v>
      </x:c>
      <x:c r="E19" s="310" t="str">
        <x:v>1.5,3.1</x:v>
      </x:c>
      <x:c r="F19" s="302" t="n">
        <x:v>5</x:v>
      </x:c>
      <x:c r="G19" s="312" t="n">
        <x:v>6</x:v>
      </x:c>
      <x:c r="H19" s="312" t="n">
        <x:v>6</x:v>
      </x:c>
      <x:c r="I19" s="294" t="n">
        <x:f t="shared" si="0">$B$1+(G19-1)*7</x:f>
        <x:v>46237</x:v>
      </x:c>
      <x:c r="J19" s="294" t="n">
        <x:f t="shared" si="1">$B$1+H19*7-1</x:f>
        <x:v>46243</x:v>
      </x:c>
      <x:c r="K19" s="313" t="str">
        <x:f t="shared" si="2"/>
        <x:v>Not Started</x:v>
      </x:c>
      <x:c r="L19" s="298" t="n">
        <x:v>0</x:v>
      </x:c>
      <x:c r="M19" s="306" t="n">
        <x:f>SUMIF('Work Block Log'!$E$5:$E$200,A19,'Work Block Log'!$F$5:$F$200)</x:f>
        <x:v>0</x:v>
      </x:c>
      <x:c r="N19" s="306" t="n">
        <x:f>MAX(F19*(1-L19),0)</x:f>
        <x:v>5</x:v>
      </x:c>
      <x:c r="O19" s="306" t="n">
        <x:f t="shared" si="3">M19-F19</x:f>
        <x:v>-5</x:v>
      </x:c>
      <x:c r="P19" s="312" t="str">
        <x:f t="shared" si="4"/>
        <x:v>feature/add-cases-004-005</x:v>
      </x:c>
      <x:c r="Q19" s="310" t="str">
        <x:v>Select two economically meaningful, deterministic workflows.</x:v>
      </x:c>
      <x:c r="R19" s="312" t="str">
        <x:v>Prefer revision/completeness/calculation workflows.</x:v>
      </x:c>
      <x:c r="S19" s="554" t="str"/>
      <x:c r="T19" s="554" t="str"/>
      <x:c r="U19" s="554" t="str"/>
      <x:c r="V19" s="554" t="str"/>
      <x:c r="W19" s="554" t="str"/>
      <x:c r="X19" s="554" t="str">
        <x:v>■</x:v>
      </x:c>
      <x:c r="Y19" s="554" t="str"/>
      <x:c r="Z19" s="555" t="str"/>
      <x:c r="AA19" s="53"/>
      <x:c r="AB19" s="53"/>
      <x:c r="AC19" s="53"/>
      <x:c r="AD19" s="53"/>
      <x:c r="AE19" s="53"/>
      <x:c r="AF19" s="53"/>
      <x:c r="AG19" s="53"/>
      <x:c r="AH19" s="53"/>
      <x:c r="AI19" s="53"/>
      <x:c r="AJ19" s="53"/>
      <x:c r="AK19" s="53"/>
      <x:c r="AL19" s="53"/>
      <x:c r="AM19" s="53"/>
      <x:c r="AN19" s="53"/>
      <x:c r="AO19" s="53"/>
      <x:c r="AP19" s="53"/>
      <x:c r="AQ19" s="53"/>
      <x:c r="AR19" s="53"/>
      <x:c r="AS19" s="53"/>
      <x:c r="AT19" s="53"/>
      <x:c r="AU19" s="53"/>
      <x:c r="AV19" s="53"/>
      <x:c r="AW19" s="53"/>
      <x:c r="AX19" s="53"/>
      <x:c r="AY19" s="53"/>
      <x:c r="AZ19" s="53"/>
      <x:c r="BA19" s="53"/>
      <x:c r="BB19" s="53"/>
      <x:c r="BC19" s="53"/>
      <x:c r="BD19" s="53"/>
      <x:c r="BE19" s="53"/>
      <x:c r="BF19" s="53"/>
      <x:c r="BG19" s="53"/>
      <x:c r="BH19" s="53"/>
      <x:c r="BI19" s="53"/>
      <x:c r="BJ19" s="53"/>
      <x:c r="BK19" s="53"/>
      <x:c r="BL19" s="53"/>
      <x:c r="BM19" s="53"/>
      <x:c r="BN19" s="53"/>
      <x:c r="BO19" s="53"/>
      <x:c r="BP19" s="53"/>
      <x:c r="BQ19" s="54"/>
    </x:row>
    <x:row r="20" ht="42" customHeight="1">
      <x:c r="A20" s="331" t="str">
        <x:v>3.3</x:v>
      </x:c>
      <x:c r="B20" s="332" t="str">
        <x:v>3 Cases &amp; Benchmark</x:v>
      </x:c>
      <x:c r="C20" s="331" t="str">
        <x:v>Assign held-out split and review checklist</x:v>
      </x:c>
      <x:c r="D20" s="331" t="str">
        <x:v>At least one held-out case; provenance, correctness, and evaluability review recorded.</x:v>
      </x:c>
      <x:c r="E20" s="331" t="str">
        <x:v>3.2</x:v>
      </x:c>
      <x:c r="F20" s="333" t="n">
        <x:v>2</x:v>
      </x:c>
      <x:c r="G20" s="334" t="n">
        <x:v>6</x:v>
      </x:c>
      <x:c r="H20" s="334" t="n">
        <x:v>6</x:v>
      </x:c>
      <x:c r="I20" s="335" t="n">
        <x:f t="shared" si="0">$B$1+(G20-1)*7</x:f>
        <x:v>46237</x:v>
      </x:c>
      <x:c r="J20" s="335" t="n">
        <x:f t="shared" si="1">$B$1+H20*7-1</x:f>
        <x:v>46243</x:v>
      </x:c>
      <x:c r="K20" s="336" t="str">
        <x:f t="shared" si="2"/>
        <x:v>Not Started</x:v>
      </x:c>
      <x:c r="L20" s="337" t="n">
        <x:v>0</x:v>
      </x:c>
      <x:c r="M20" s="338" t="n">
        <x:f>SUMIF('Work Block Log'!$E$5:$E$200,A20,'Work Block Log'!$F$5:$F$200)</x:f>
        <x:v>0</x:v>
      </x:c>
      <x:c r="N20" s="338" t="n">
        <x:f>MAX(F20*(1-L20),0)</x:f>
        <x:v>2</x:v>
      </x:c>
      <x:c r="O20" s="338" t="n">
        <x:f t="shared" si="3">M20-F20</x:f>
        <x:v>-2</x:v>
      </x:c>
      <x:c r="P20" s="334" t="str">
        <x:f t="shared" si="4"/>
        <x:v>case review records</x:v>
      </x:c>
      <x:c r="Q20" s="331" t="str">
        <x:v>Create concise review checklist and dataset split rationale.</x:v>
      </x:c>
      <x:c r="R20" s="334" t="str">
        <x:v>Do not tune against held-out artifacts.</x:v>
      </x:c>
      <x:c r="S20" s="554" t="str"/>
      <x:c r="T20" s="554" t="str"/>
      <x:c r="U20" s="554" t="str"/>
      <x:c r="V20" s="554" t="str"/>
      <x:c r="W20" s="554" t="str"/>
      <x:c r="X20" s="554" t="str">
        <x:v>■</x:v>
      </x:c>
      <x:c r="Y20" s="554" t="str"/>
      <x:c r="Z20" s="554" t="str"/>
      <x:c r="AA20" s="63"/>
      <x:c r="AB20" s="53"/>
      <x:c r="AC20" s="53"/>
      <x:c r="AD20" s="53"/>
      <x:c r="AE20" s="53"/>
      <x:c r="AF20" s="53"/>
      <x:c r="AG20" s="53"/>
      <x:c r="AH20" s="53"/>
      <x:c r="AI20" s="53"/>
      <x:c r="AJ20" s="53"/>
      <x:c r="AK20" s="53"/>
      <x:c r="AL20" s="53"/>
      <x:c r="AM20" s="53"/>
      <x:c r="AN20" s="53"/>
      <x:c r="AO20" s="53"/>
      <x:c r="AP20" s="53"/>
      <x:c r="AQ20" s="53"/>
      <x:c r="AR20" s="53"/>
      <x:c r="AS20" s="53"/>
      <x:c r="AT20" s="53"/>
      <x:c r="AU20" s="53"/>
      <x:c r="AV20" s="53"/>
      <x:c r="AW20" s="53"/>
      <x:c r="AX20" s="53"/>
      <x:c r="AY20" s="53"/>
      <x:c r="AZ20" s="53"/>
      <x:c r="BA20" s="53"/>
      <x:c r="BB20" s="53"/>
      <x:c r="BC20" s="53"/>
      <x:c r="BD20" s="53"/>
      <x:c r="BE20" s="53"/>
      <x:c r="BF20" s="53"/>
      <x:c r="BG20" s="53"/>
      <x:c r="BH20" s="53"/>
      <x:c r="BI20" s="53"/>
      <x:c r="BJ20" s="53"/>
      <x:c r="BK20" s="53"/>
      <x:c r="BL20" s="53"/>
      <x:c r="BM20" s="53"/>
      <x:c r="BN20" s="53"/>
      <x:c r="BO20" s="53"/>
      <x:c r="BP20" s="53"/>
      <x:c r="BQ20" s="54"/>
    </x:row>
    <x:row r="21" ht="42" customHeight="1">
      <x:c r="A21" s="310" t="str">
        <x:v>3.4</x:v>
      </x:c>
      <x:c r="B21" s="353" t="str">
        <x:v>3 Cases &amp; Benchmark</x:v>
      </x:c>
      <x:c r="C21" s="310" t="str">
        <x:v>Run baseline benchmark and failure summary</x:v>
      </x:c>
      <x:c r="D21" s="310" t="str">
        <x:v>All MVP cases evaluated; results summarized with representative failures and limitations.</x:v>
      </x:c>
      <x:c r="E21" s="310" t="str">
        <x:v>2.4,3.3</x:v>
      </x:c>
      <x:c r="F21" s="302" t="n">
        <x:v>3</x:v>
      </x:c>
      <x:c r="G21" s="312" t="n">
        <x:v>6</x:v>
      </x:c>
      <x:c r="H21" s="312" t="n">
        <x:v>6</x:v>
      </x:c>
      <x:c r="I21" s="294" t="n">
        <x:f t="shared" si="0">$B$1+(G21-1)*7</x:f>
        <x:v>46237</x:v>
      </x:c>
      <x:c r="J21" s="294" t="n">
        <x:f t="shared" si="1">$B$1+H21*7-1</x:f>
        <x:v>46243</x:v>
      </x:c>
      <x:c r="K21" s="313" t="str">
        <x:f t="shared" si="2"/>
        <x:v>Not Started</x:v>
      </x:c>
      <x:c r="L21" s="298" t="n">
        <x:v>0</x:v>
      </x:c>
      <x:c r="M21" s="306" t="n">
        <x:f>SUMIF('Work Block Log'!$E$5:$E$200,A21,'Work Block Log'!$F$5:$F$200)</x:f>
        <x:v>0</x:v>
      </x:c>
      <x:c r="N21" s="306" t="n">
        <x:f>MAX(F21*(1-L21),0)</x:f>
        <x:v>3</x:v>
      </x:c>
      <x:c r="O21" s="306" t="n">
        <x:f t="shared" si="3">M21-F21</x:f>
        <x:v>-3</x:v>
      </x:c>
      <x:c r="P21" s="312" t="str">
        <x:f t="shared" si="4"/>
        <x:v>benchmark report</x:v>
      </x:c>
      <x:c r="Q21" s="310" t="str">
        <x:v>Run passing/failing candidates and summarize results.</x:v>
      </x:c>
      <x:c r="R21" s="312" t="str">
        <x:v>A small reproducible benchmark is sufficient for MVP.</x:v>
      </x:c>
      <x:c r="S21" s="554" t="str"/>
      <x:c r="T21" s="554" t="str"/>
      <x:c r="U21" s="554" t="str"/>
      <x:c r="V21" s="554" t="str"/>
      <x:c r="W21" s="554" t="str"/>
      <x:c r="X21" s="554" t="str">
        <x:v>■</x:v>
      </x:c>
      <x:c r="Y21" s="554" t="str"/>
      <x:c r="Z21" s="554" t="str"/>
      <x:c r="AA21" s="64"/>
      <x:c r="AB21" s="65"/>
      <x:c r="AC21" s="53"/>
      <x:c r="AD21" s="53"/>
      <x:c r="AE21" s="53"/>
      <x:c r="AF21" s="53"/>
      <x:c r="AG21" s="53"/>
      <x:c r="AH21" s="53"/>
      <x:c r="AI21" s="53"/>
      <x:c r="AJ21" s="53"/>
      <x:c r="AK21" s="53"/>
      <x:c r="AL21" s="53"/>
      <x:c r="AM21" s="53"/>
      <x:c r="AN21" s="53"/>
      <x:c r="AO21" s="53"/>
      <x:c r="AP21" s="53"/>
      <x:c r="AQ21" s="53"/>
      <x:c r="AR21" s="53"/>
      <x:c r="AS21" s="53"/>
      <x:c r="AT21" s="53"/>
      <x:c r="AU21" s="53"/>
      <x:c r="AV21" s="53"/>
      <x:c r="AW21" s="53"/>
      <x:c r="AX21" s="53"/>
      <x:c r="AY21" s="53"/>
      <x:c r="AZ21" s="53"/>
      <x:c r="BA21" s="53"/>
      <x:c r="BB21" s="53"/>
      <x:c r="BC21" s="53"/>
      <x:c r="BD21" s="53"/>
      <x:c r="BE21" s="53"/>
      <x:c r="BF21" s="53"/>
      <x:c r="BG21" s="53"/>
      <x:c r="BH21" s="53"/>
      <x:c r="BI21" s="53"/>
      <x:c r="BJ21" s="53"/>
      <x:c r="BK21" s="53"/>
      <x:c r="BL21" s="53"/>
      <x:c r="BM21" s="53"/>
      <x:c r="BN21" s="53"/>
      <x:c r="BO21" s="53"/>
      <x:c r="BP21" s="53"/>
      <x:c r="BQ21" s="54"/>
    </x:row>
    <x:row r="22" ht="42" customHeight="1">
      <x:c r="A22" s="331" t="str">
        <x:v>4.1</x:v>
      </x:c>
      <x:c r="B22" s="332" t="str">
        <x:v>4 Quality &amp; Reproducibility</x:v>
      </x:c>
      <x:c r="C22" s="331" t="str">
        <x:v>Targeted regression tests and fixture refactor</x:v>
      </x:c>
      <x:c r="D22" s="331" t="str">
        <x:v>Important engine behaviours and failure handling are protected without repetitive setup.</x:v>
      </x:c>
      <x:c r="E22" s="331" t="str">
        <x:v>1.5</x:v>
      </x:c>
      <x:c r="F22" s="333" t="n">
        <x:v>3</x:v>
      </x:c>
      <x:c r="G22" s="334" t="n">
        <x:v>4</x:v>
      </x:c>
      <x:c r="H22" s="334" t="n">
        <x:v>6</x:v>
      </x:c>
      <x:c r="I22" s="335" t="n">
        <x:f t="shared" si="0">$B$1+(G22-1)*7</x:f>
        <x:v>46223</x:v>
      </x:c>
      <x:c r="J22" s="335" t="n">
        <x:f t="shared" si="1">$B$1+H22*7-1</x:f>
        <x:v>46243</x:v>
      </x:c>
      <x:c r="K22" s="336" t="str">
        <x:f t="shared" si="2"/>
        <x:v>In Progress</x:v>
      </x:c>
      <x:c r="L22" s="337" t="n">
        <x:v>0.35</x:v>
      </x:c>
      <x:c r="M22" s="338" t="n">
        <x:f>SUMIF('Work Block Log'!$E$5:$E$200,A22,'Work Block Log'!$F$5:$F$200)</x:f>
        <x:v>0</x:v>
      </x:c>
      <x:c r="N22" s="338" t="n">
        <x:f>MAX(F22*(1-L22),0)</x:f>
        <x:v>1.9500000000000002</x:v>
      </x:c>
      <x:c r="O22" s="338" t="n">
        <x:f t="shared" si="3">M22-F22</x:f>
        <x:v>-3</x:v>
      </x:c>
      <x:c r="P22" s="334" t="str">
        <x:f t="shared" si="4"/>
        <x:v>25 tests currently pass</x:v>
      </x:c>
      <x:c r="Q22" s="331" t="str">
        <x:v>Add engine tests as capabilities land; consolidate temp repository setup when useful.</x:v>
      </x:c>
      <x:c r="R22" s="334" t="str">
        <x:v>Stop when added tests no longer materially improve MVP reliability.</x:v>
      </x:c>
      <x:c r="S22" s="554" t="str"/>
      <x:c r="T22" s="554" t="str"/>
      <x:c r="U22" s="554" t="str"/>
      <x:c r="V22" s="554" t="str">
        <x:v>■</x:v>
      </x:c>
      <x:c r="W22" s="554" t="str">
        <x:v>■</x:v>
      </x:c>
      <x:c r="X22" s="554" t="str">
        <x:v>■</x:v>
      </x:c>
      <x:c r="Y22" s="554" t="str"/>
      <x:c r="Z22" s="554" t="str"/>
      <x:c r="AA22" s="53"/>
      <x:c r="AB22" s="64"/>
      <x:c r="AC22" s="65"/>
      <x:c r="AD22" s="53"/>
      <x:c r="AE22" s="53"/>
      <x:c r="AF22" s="53"/>
      <x:c r="AG22" s="53"/>
      <x:c r="AH22" s="53"/>
      <x:c r="AI22" s="53"/>
      <x:c r="AJ22" s="53"/>
      <x:c r="AK22" s="53"/>
      <x:c r="AL22" s="53"/>
      <x:c r="AM22" s="53"/>
      <x:c r="AN22" s="53"/>
      <x:c r="AO22" s="53"/>
      <x:c r="AP22" s="53"/>
      <x:c r="AQ22" s="53"/>
      <x:c r="AR22" s="53"/>
      <x:c r="AS22" s="53"/>
      <x:c r="AT22" s="53"/>
      <x:c r="AU22" s="53"/>
      <x:c r="AV22" s="53"/>
      <x:c r="AW22" s="53"/>
      <x:c r="AX22" s="53"/>
      <x:c r="AY22" s="53"/>
      <x:c r="AZ22" s="53"/>
      <x:c r="BA22" s="53"/>
      <x:c r="BB22" s="53"/>
      <x:c r="BC22" s="53"/>
      <x:c r="BD22" s="53"/>
      <x:c r="BE22" s="53"/>
      <x:c r="BF22" s="53"/>
      <x:c r="BG22" s="53"/>
      <x:c r="BH22" s="53"/>
      <x:c r="BI22" s="53"/>
      <x:c r="BJ22" s="53"/>
      <x:c r="BK22" s="53"/>
      <x:c r="BL22" s="53"/>
      <x:c r="BM22" s="53"/>
      <x:c r="BN22" s="53"/>
      <x:c r="BO22" s="53"/>
      <x:c r="BP22" s="53"/>
      <x:c r="BQ22" s="54"/>
    </x:row>
    <x:row r="23" ht="42" customHeight="1">
      <x:c r="A23" s="310" t="str">
        <x:v>4.2</x:v>
      </x:c>
      <x:c r="B23" s="355" t="str">
        <x:v>4 Quality &amp; Reproducibility</x:v>
      </x:c>
      <x:c r="C23" s="310" t="str">
        <x:v>Add GitHub Actions CI</x:v>
      </x:c>
      <x:c r="D23" s="310" t="str">
        <x:v>Tests run on push and pull request; seeded failure demonstrates red/green behaviour.</x:v>
      </x:c>
      <x:c r="E23" s="310" t="str">
        <x:v>4.1</x:v>
      </x:c>
      <x:c r="F23" s="302" t="n">
        <x:v>2</x:v>
      </x:c>
      <x:c r="G23" s="312" t="n">
        <x:v>7</x:v>
      </x:c>
      <x:c r="H23" s="312" t="n">
        <x:v>7</x:v>
      </x:c>
      <x:c r="I23" s="294" t="n">
        <x:f t="shared" si="0">$B$1+(G23-1)*7</x:f>
        <x:v>46244</x:v>
      </x:c>
      <x:c r="J23" s="294" t="n">
        <x:f t="shared" si="1">$B$1+H23*7-1</x:f>
        <x:v>46250</x:v>
      </x:c>
      <x:c r="K23" s="313" t="str">
        <x:f t="shared" si="2"/>
        <x:v>Not Started</x:v>
      </x:c>
      <x:c r="L23" s="298" t="n">
        <x:v>0</x:v>
      </x:c>
      <x:c r="M23" s="306" t="n">
        <x:f>SUMIF('Work Block Log'!$E$5:$E$200,A23,'Work Block Log'!$F$5:$F$200)</x:f>
        <x:v>0</x:v>
      </x:c>
      <x:c r="N23" s="306" t="n">
        <x:f>MAX(F23*(1-L23),0)</x:f>
        <x:v>2</x:v>
      </x:c>
      <x:c r="O23" s="306" t="n">
        <x:f t="shared" si="3">M23-F23</x:f>
        <x:v>-2</x:v>
      </x:c>
      <x:c r="P23" s="312" t="str">
        <x:f t="shared" si="4"/>
        <x:v>feature/github-actions</x:v>
      </x:c>
      <x:c r="Q23" s="310" t="str">
        <x:v>Add minimal Python test workflow.</x:v>
      </x:c>
      <x:c r="R23" s="312" t="str">
        <x:v>No deployment pipeline in MVP.</x:v>
      </x:c>
      <x:c r="S23" s="554" t="str"/>
      <x:c r="T23" s="554" t="str"/>
      <x:c r="U23" s="554" t="str"/>
      <x:c r="V23" s="554" t="str"/>
      <x:c r="W23" s="554" t="str"/>
      <x:c r="X23" s="554" t="str"/>
      <x:c r="Y23" s="554" t="str">
        <x:v>■</x:v>
      </x:c>
      <x:c r="Z23" s="554" t="str"/>
      <x:c r="AA23" s="53"/>
      <x:c r="AB23" s="53"/>
      <x:c r="AC23" s="64"/>
      <x:c r="AD23" s="65"/>
      <x:c r="AE23" s="53"/>
      <x:c r="AF23" s="53"/>
      <x:c r="AG23" s="53"/>
      <x:c r="AH23" s="53"/>
      <x:c r="AI23" s="53"/>
      <x:c r="AJ23" s="53"/>
      <x:c r="AK23" s="53"/>
      <x:c r="AL23" s="53"/>
      <x:c r="AM23" s="53"/>
      <x:c r="AN23" s="53"/>
      <x:c r="AO23" s="53"/>
      <x:c r="AP23" s="53"/>
      <x:c r="AQ23" s="53"/>
      <x:c r="AR23" s="53"/>
      <x:c r="AS23" s="53"/>
      <x:c r="AT23" s="53"/>
      <x:c r="AU23" s="53"/>
      <x:c r="AV23" s="53"/>
      <x:c r="AW23" s="53"/>
      <x:c r="AX23" s="53"/>
      <x:c r="AY23" s="53"/>
      <x:c r="AZ23" s="53"/>
      <x:c r="BA23" s="53"/>
      <x:c r="BB23" s="53"/>
      <x:c r="BC23" s="53"/>
      <x:c r="BD23" s="53"/>
      <x:c r="BE23" s="53"/>
      <x:c r="BF23" s="53"/>
      <x:c r="BG23" s="53"/>
      <x:c r="BH23" s="53"/>
      <x:c r="BI23" s="53"/>
      <x:c r="BJ23" s="53"/>
      <x:c r="BK23" s="53"/>
      <x:c r="BL23" s="53"/>
      <x:c r="BM23" s="53"/>
      <x:c r="BN23" s="53"/>
      <x:c r="BO23" s="53"/>
      <x:c r="BP23" s="53"/>
      <x:c r="BQ23" s="54"/>
    </x:row>
    <x:row r="24" ht="42" customHeight="1">
      <x:c r="A24" s="331" t="str">
        <x:v>4.3</x:v>
      </x:c>
      <x:c r="B24" s="332" t="str">
        <x:v>4 Quality &amp; Reproducibility</x:v>
      </x:c>
      <x:c r="C24" s="331" t="str">
        <x:v>Complete README and architecture documentation</x:v>
      </x:c>
      <x:c r="D24" s="331" t="str">
        <x:v>New reviewer can install, understand, run, and audit the MVP.</x:v>
      </x:c>
      <x:c r="E24" s="331" t="str">
        <x:v>2.4,3.4</x:v>
      </x:c>
      <x:c r="F24" s="333" t="n">
        <x:v>3</x:v>
      </x:c>
      <x:c r="G24" s="334" t="n">
        <x:v>7</x:v>
      </x:c>
      <x:c r="H24" s="334" t="n">
        <x:v>7</x:v>
      </x:c>
      <x:c r="I24" s="335" t="n">
        <x:f t="shared" si="0">$B$1+(G24-1)*7</x:f>
        <x:v>46244</x:v>
      </x:c>
      <x:c r="J24" s="335" t="n">
        <x:f t="shared" si="1">$B$1+H24*7-1</x:f>
        <x:v>46250</x:v>
      </x:c>
      <x:c r="K24" s="336" t="str">
        <x:f t="shared" si="2"/>
        <x:v>In Progress</x:v>
      </x:c>
      <x:c r="L24" s="337" t="n">
        <x:v>0.35</x:v>
      </x:c>
      <x:c r="M24" s="338" t="n">
        <x:f>SUMIF('Work Block Log'!$E$5:$E$200,A24,'Work Block Log'!$F$5:$F$200)</x:f>
        <x:v>0</x:v>
      </x:c>
      <x:c r="N24" s="338" t="n">
        <x:f>MAX(F24*(1-L24),0)</x:f>
        <x:v>1.9500000000000002</x:v>
      </x:c>
      <x:c r="O24" s="338" t="n">
        <x:f t="shared" si="3">M24-F24</x:f>
        <x:v>-3</x:v>
      </x:c>
      <x:c r="P24" s="334" t="str">
        <x:f t="shared" si="4"/>
        <x:v>README.md; docs/architecture.md</x:v>
      </x:c>
      <x:c r="Q24" s="331" t="str">
        <x:v>Commit architecture update; later add usage and benchmark sections.</x:v>
      </x:c>
      <x:c r="R24" s="334" t="str">
        <x:v>Documentation must match actual functionality.</x:v>
      </x:c>
      <x:c r="S24" s="554" t="str"/>
      <x:c r="T24" s="554" t="str"/>
      <x:c r="U24" s="554" t="str"/>
      <x:c r="V24" s="554" t="str"/>
      <x:c r="W24" s="554" t="str"/>
      <x:c r="X24" s="554" t="str"/>
      <x:c r="Y24" s="554" t="str">
        <x:v>■</x:v>
      </x:c>
      <x:c r="Z24" s="554" t="str"/>
      <x:c r="AA24" s="53"/>
      <x:c r="AB24" s="53"/>
      <x:c r="AC24" s="53"/>
      <x:c r="AD24" s="64"/>
      <x:c r="AE24" s="65"/>
      <x:c r="AF24" s="53"/>
      <x:c r="AG24" s="53"/>
      <x:c r="AH24" s="53"/>
      <x:c r="AI24" s="53"/>
      <x:c r="AJ24" s="53"/>
      <x:c r="AK24" s="53"/>
      <x:c r="AL24" s="53"/>
      <x:c r="AM24" s="53"/>
      <x:c r="AN24" s="53"/>
      <x:c r="AO24" s="53"/>
      <x:c r="AP24" s="53"/>
      <x:c r="AQ24" s="53"/>
      <x:c r="AR24" s="53"/>
      <x:c r="AS24" s="53"/>
      <x:c r="AT24" s="53"/>
      <x:c r="AU24" s="53"/>
      <x:c r="AV24" s="53"/>
      <x:c r="AW24" s="53"/>
      <x:c r="AX24" s="53"/>
      <x:c r="AY24" s="53"/>
      <x:c r="AZ24" s="53"/>
      <x:c r="BA24" s="53"/>
      <x:c r="BB24" s="53"/>
      <x:c r="BC24" s="53"/>
      <x:c r="BD24" s="53"/>
      <x:c r="BE24" s="53"/>
      <x:c r="BF24" s="53"/>
      <x:c r="BG24" s="53"/>
      <x:c r="BH24" s="53"/>
      <x:c r="BI24" s="53"/>
      <x:c r="BJ24" s="53"/>
      <x:c r="BK24" s="53"/>
      <x:c r="BL24" s="53"/>
      <x:c r="BM24" s="53"/>
      <x:c r="BN24" s="53"/>
      <x:c r="BO24" s="53"/>
      <x:c r="BP24" s="53"/>
      <x:c r="BQ24" s="54"/>
    </x:row>
    <x:row r="25" ht="42" customHeight="1">
      <x:c r="A25" s="310" t="str">
        <x:v>5.1</x:v>
      </x:c>
      <x:c r="B25" s="357" t="str">
        <x:v>5 Demo &amp; Release</x:v>
      </x:c>
      <x:c r="C25" s="310" t="str">
        <x:v>Create portfolio demo</x:v>
      </x:c>
      <x:c r="D25" s="310" t="str">
        <x:v>One scripted end-to-end case shows pass, failure evidence, and result record.</x:v>
      </x:c>
      <x:c r="E25" s="310" t="str">
        <x:v>3.4,4.3</x:v>
      </x:c>
      <x:c r="F25" s="302" t="n">
        <x:v>3</x:v>
      </x:c>
      <x:c r="G25" s="312" t="n">
        <x:v>7</x:v>
      </x:c>
      <x:c r="H25" s="312" t="n">
        <x:v>7</x:v>
      </x:c>
      <x:c r="I25" s="294" t="n">
        <x:f t="shared" si="0">$B$1+(G25-1)*7</x:f>
        <x:v>46244</x:v>
      </x:c>
      <x:c r="J25" s="294" t="n">
        <x:f t="shared" si="1">$B$1+H25*7-1</x:f>
        <x:v>46250</x:v>
      </x:c>
      <x:c r="K25" s="313" t="str">
        <x:f t="shared" si="2"/>
        <x:v>Not Started</x:v>
      </x:c>
      <x:c r="L25" s="298" t="n">
        <x:v>0</x:v>
      </x:c>
      <x:c r="M25" s="306" t="n">
        <x:f>SUMIF('Work Block Log'!$E$5:$E$200,A25,'Work Block Log'!$F$5:$F$200)</x:f>
        <x:v>0</x:v>
      </x:c>
      <x:c r="N25" s="306" t="n">
        <x:f>MAX(F25*(1-L25),0)</x:f>
        <x:v>3</x:v>
      </x:c>
      <x:c r="O25" s="306" t="n">
        <x:f t="shared" si="3">M25-F25</x:f>
        <x:v>-3</x:v>
      </x:c>
      <x:c r="P25" s="312" t="str">
        <x:f t="shared" si="4"/>
        <x:v>demo assets</x:v>
      </x:c>
      <x:c r="Q25" s="310" t="str">
        <x:v>Create concise terminal demo and captured output.</x:v>
      </x:c>
      <x:c r="R25" s="312" t="str">
        <x:v>No frontend required.</x:v>
      </x:c>
      <x:c r="S25" s="554" t="str"/>
      <x:c r="T25" s="554" t="str"/>
      <x:c r="U25" s="554" t="str"/>
      <x:c r="V25" s="554" t="str"/>
      <x:c r="W25" s="554" t="str"/>
      <x:c r="X25" s="554" t="str"/>
      <x:c r="Y25" s="554" t="str">
        <x:v>■</x:v>
      </x:c>
      <x:c r="Z25" s="554" t="str"/>
      <x:c r="AA25" s="53"/>
      <x:c r="AB25" s="53"/>
      <x:c r="AC25" s="53"/>
      <x:c r="AD25" s="53"/>
      <x:c r="AE25" s="64"/>
      <x:c r="AF25" s="65"/>
      <x:c r="AG25" s="53"/>
      <x:c r="AH25" s="53"/>
      <x:c r="AI25" s="53"/>
      <x:c r="AJ25" s="53"/>
      <x:c r="AK25" s="53"/>
      <x:c r="AL25" s="53"/>
      <x:c r="AM25" s="53"/>
      <x:c r="AN25" s="53"/>
      <x:c r="AO25" s="53"/>
      <x:c r="AP25" s="53"/>
      <x:c r="AQ25" s="53"/>
      <x:c r="AR25" s="53"/>
      <x:c r="AS25" s="53"/>
      <x:c r="AT25" s="53"/>
      <x:c r="AU25" s="53"/>
      <x:c r="AV25" s="53"/>
      <x:c r="AW25" s="53"/>
      <x:c r="AX25" s="53"/>
      <x:c r="AY25" s="53"/>
      <x:c r="AZ25" s="53"/>
      <x:c r="BA25" s="53"/>
      <x:c r="BB25" s="53"/>
      <x:c r="BC25" s="53"/>
      <x:c r="BD25" s="53"/>
      <x:c r="BE25" s="53"/>
      <x:c r="BF25" s="53"/>
      <x:c r="BG25" s="53"/>
      <x:c r="BH25" s="53"/>
      <x:c r="BI25" s="53"/>
      <x:c r="BJ25" s="53"/>
      <x:c r="BK25" s="53"/>
      <x:c r="BL25" s="53"/>
      <x:c r="BM25" s="53"/>
      <x:c r="BN25" s="53"/>
      <x:c r="BO25" s="53"/>
      <x:c r="BP25" s="53"/>
      <x:c r="BQ25" s="54"/>
    </x:row>
    <x:row r="26" ht="42" customHeight="1">
      <x:c r="A26" s="331" t="str">
        <x:v>5.2</x:v>
      </x:c>
      <x:c r="B26" s="332" t="str">
        <x:v>5 Demo &amp; Release</x:v>
      </x:c>
      <x:c r="C26" s="331" t="str">
        <x:v>Write release notes and limitations</x:v>
      </x:c>
      <x:c r="D26" s="331" t="str">
        <x:v>Scope, supported checks, safety boundary, known limitations, and deferred work are explicit.</x:v>
      </x:c>
      <x:c r="E26" s="331" t="str">
        <x:v>5.1</x:v>
      </x:c>
      <x:c r="F26" s="333" t="n">
        <x:v>2</x:v>
      </x:c>
      <x:c r="G26" s="334" t="n">
        <x:v>8</x:v>
      </x:c>
      <x:c r="H26" s="334" t="n">
        <x:v>8</x:v>
      </x:c>
      <x:c r="I26" s="335" t="n">
        <x:f t="shared" si="0">$B$1+(G26-1)*7</x:f>
        <x:v>46251</x:v>
      </x:c>
      <x:c r="J26" s="335" t="n">
        <x:f t="shared" si="1">$B$1+H26*7-1</x:f>
        <x:v>46257</x:v>
      </x:c>
      <x:c r="K26" s="336" t="str">
        <x:f t="shared" si="2"/>
        <x:v>Not Started</x:v>
      </x:c>
      <x:c r="L26" s="337" t="n">
        <x:v>0</x:v>
      </x:c>
      <x:c r="M26" s="338" t="n">
        <x:f>SUMIF('Work Block Log'!$E$5:$E$200,A26,'Work Block Log'!$F$5:$F$200)</x:f>
        <x:v>0</x:v>
      </x:c>
      <x:c r="N26" s="338" t="n">
        <x:f>MAX(F26*(1-L26),0)</x:f>
        <x:v>2</x:v>
      </x:c>
      <x:c r="O26" s="338" t="n">
        <x:f t="shared" si="3">M26-F26</x:f>
        <x:v>-2</x:v>
      </x:c>
      <x:c r="P26" s="334" t="str">
        <x:f t="shared" si="4"/>
        <x:v>CHANGELOG / release notes</x:v>
      </x:c>
      <x:c r="Q26" s="331" t="str">
        <x:v>Draft v0.1.0 release notes and limitations.</x:v>
      </x:c>
      <x:c r="R26" s="334" t="str">
        <x:v>Avoid claims of engineering sign-off.</x:v>
      </x:c>
      <x:c r="S26" s="554" t="str"/>
      <x:c r="T26" s="554" t="str"/>
      <x:c r="U26" s="554" t="str"/>
      <x:c r="V26" s="554" t="str"/>
      <x:c r="W26" s="554" t="str"/>
      <x:c r="X26" s="554" t="str"/>
      <x:c r="Y26" s="554" t="str"/>
      <x:c r="Z26" s="554" t="str">
        <x:v>■</x:v>
      </x:c>
      <x:c r="AA26" s="53"/>
      <x:c r="AB26" s="53"/>
      <x:c r="AC26" s="53"/>
      <x:c r="AD26" s="53"/>
      <x:c r="AE26" s="53"/>
      <x:c r="AF26" s="63"/>
      <x:c r="AG26" s="53"/>
      <x:c r="AH26" s="53"/>
      <x:c r="AI26" s="53"/>
      <x:c r="AJ26" s="53"/>
      <x:c r="AK26" s="53"/>
      <x:c r="AL26" s="53"/>
      <x:c r="AM26" s="53"/>
      <x:c r="AN26" s="53"/>
      <x:c r="AO26" s="53"/>
      <x:c r="AP26" s="53"/>
      <x:c r="AQ26" s="53"/>
      <x:c r="AR26" s="53"/>
      <x:c r="AS26" s="53"/>
      <x:c r="AT26" s="53"/>
      <x:c r="AU26" s="53"/>
      <x:c r="AV26" s="53"/>
      <x:c r="AW26" s="53"/>
      <x:c r="AX26" s="53"/>
      <x:c r="AY26" s="53"/>
      <x:c r="AZ26" s="53"/>
      <x:c r="BA26" s="53"/>
      <x:c r="BB26" s="53"/>
      <x:c r="BC26" s="53"/>
      <x:c r="BD26" s="53"/>
      <x:c r="BE26" s="53"/>
      <x:c r="BF26" s="53"/>
      <x:c r="BG26" s="53"/>
      <x:c r="BH26" s="53"/>
      <x:c r="BI26" s="53"/>
      <x:c r="BJ26" s="53"/>
      <x:c r="BK26" s="53"/>
      <x:c r="BL26" s="53"/>
      <x:c r="BM26" s="53"/>
      <x:c r="BN26" s="53"/>
      <x:c r="BO26" s="53"/>
      <x:c r="BP26" s="53"/>
      <x:c r="BQ26" s="54"/>
    </x:row>
    <x:row r="27" ht="42" customHeight="1">
      <x:c r="A27" s="310" t="str">
        <x:v>5.3</x:v>
      </x:c>
      <x:c r="B27" s="357" t="str">
        <x:v>5 Demo &amp; Release</x:v>
      </x:c>
      <x:c r="C27" s="310" t="str">
        <x:v>Run final acceptance and tag MVP v0.1.0</x:v>
      </x:c>
      <x:c r="D27" s="310" t="str">
        <x:v>Clean clone/run path, tests and benchmark pass, demo reproducible, release tagged.</x:v>
      </x:c>
      <x:c r="E27" s="310" t="str">
        <x:v>5.2,4.2</x:v>
      </x:c>
      <x:c r="F27" s="302" t="n">
        <x:v>3</x:v>
      </x:c>
      <x:c r="G27" s="312" t="n">
        <x:v>8</x:v>
      </x:c>
      <x:c r="H27" s="312" t="n">
        <x:v>8</x:v>
      </x:c>
      <x:c r="I27" s="294" t="n">
        <x:f t="shared" si="0">$B$1+(G27-1)*7</x:f>
        <x:v>46251</x:v>
      </x:c>
      <x:c r="J27" s="294" t="n">
        <x:f t="shared" si="1">$B$1+H27*7-1</x:f>
        <x:v>46257</x:v>
      </x:c>
      <x:c r="K27" s="313" t="str">
        <x:f t="shared" si="2"/>
        <x:v>Not Started</x:v>
      </x:c>
      <x:c r="L27" s="298" t="n">
        <x:v>0</x:v>
      </x:c>
      <x:c r="M27" s="306" t="n">
        <x:f>SUMIF('Work Block Log'!$E$5:$E$200,A27,'Work Block Log'!$F$5:$F$200)</x:f>
        <x:v>0</x:v>
      </x:c>
      <x:c r="N27" s="306" t="n">
        <x:f>MAX(F27*(1-L27),0)</x:f>
        <x:v>3</x:v>
      </x:c>
      <x:c r="O27" s="306" t="n">
        <x:f t="shared" si="3">M27-F27</x:f>
        <x:v>-3</x:v>
      </x:c>
      <x:c r="P27" s="312" t="str">
        <x:f t="shared" si="4"/>
        <x:v>v0.1.0 tag</x:v>
      </x:c>
      <x:c r="Q27" s="310" t="str">
        <x:v>Execute final acceptance checklist and tag release.</x:v>
      </x:c>
      <x:c r="R27" s="312" t="str">
        <x:v>This is the MVP completion gate.</x:v>
      </x:c>
      <x:c r="S27" s="554" t="str"/>
      <x:c r="T27" s="554" t="str"/>
      <x:c r="U27" s="554" t="str"/>
      <x:c r="V27" s="554" t="str"/>
      <x:c r="W27" s="554" t="str"/>
      <x:c r="X27" s="554" t="str"/>
      <x:c r="Y27" s="554" t="str"/>
      <x:c r="Z27" s="554" t="str">
        <x:v>■</x:v>
      </x:c>
      <x:c r="AA27" s="53"/>
      <x:c r="AB27" s="53"/>
      <x:c r="AC27" s="53"/>
      <x:c r="AD27" s="53"/>
      <x:c r="AE27" s="53"/>
      <x:c r="AF27" s="53"/>
      <x:c r="AG27" s="63"/>
      <x:c r="AH27" s="53"/>
      <x:c r="AI27" s="53"/>
      <x:c r="AJ27" s="53"/>
      <x:c r="AK27" s="53"/>
      <x:c r="AL27" s="53"/>
      <x:c r="AM27" s="53"/>
      <x:c r="AN27" s="53"/>
      <x:c r="AO27" s="53"/>
      <x:c r="AP27" s="53"/>
      <x:c r="AQ27" s="53"/>
      <x:c r="AR27" s="53"/>
      <x:c r="AS27" s="53"/>
      <x:c r="AT27" s="53"/>
      <x:c r="AU27" s="53"/>
      <x:c r="AV27" s="53"/>
      <x:c r="AW27" s="53"/>
      <x:c r="AX27" s="53"/>
      <x:c r="AY27" s="53"/>
      <x:c r="AZ27" s="53"/>
      <x:c r="BA27" s="53"/>
      <x:c r="BB27" s="53"/>
      <x:c r="BC27" s="53"/>
      <x:c r="BD27" s="53"/>
      <x:c r="BE27" s="53"/>
      <x:c r="BF27" s="53"/>
      <x:c r="BG27" s="53"/>
      <x:c r="BH27" s="53"/>
      <x:c r="BI27" s="53"/>
      <x:c r="BJ27" s="53"/>
      <x:c r="BK27" s="53"/>
      <x:c r="BL27" s="53"/>
      <x:c r="BM27" s="53"/>
      <x:c r="BN27" s="53"/>
      <x:c r="BO27" s="53"/>
      <x:c r="BP27" s="53"/>
      <x:c r="BQ27" s="54"/>
    </x:row>
    <x:row r="28" ht="42" customHeight="1">
      <x:c r="A28" s="310"/>
      <x:c r="B28" s="319"/>
      <x:c r="C28" s="310"/>
      <x:c r="D28" s="310"/>
      <x:c r="E28" s="310"/>
      <x:c r="F28" s="302"/>
      <x:c r="G28" s="312"/>
      <x:c r="H28" s="312"/>
      <x:c r="I28" s="294">
        <x:f t="shared" si="0"/>
      </x:c>
      <x:c r="J28" s="294">
        <x:f t="shared" si="1"/>
      </x:c>
      <x:c r="K28" s="313">
        <x:f t="shared" si="2"/>
      </x:c>
      <x:c r="L28" s="298"/>
      <x:c r="M28" s="306"/>
      <x:c r="N28" s="306"/>
      <x:c r="O28" s="306">
        <x:f t="shared" si="3"/>
      </x:c>
      <x:c r="P28" s="312">
        <x:f t="shared" si="4"/>
      </x:c>
      <x:c r="Q28" s="310"/>
      <x:c r="R28" s="312"/>
      <x:c r="S28" s="554"/>
      <x:c r="T28" s="554"/>
      <x:c r="U28" s="554"/>
      <x:c r="V28" s="554"/>
      <x:c r="W28" s="554"/>
      <x:c r="X28" s="554"/>
      <x:c r="Y28" s="554"/>
      <x:c r="Z28" s="554"/>
      <x:c r="AA28" s="53"/>
      <x:c r="AB28" s="53"/>
      <x:c r="AC28" s="53"/>
      <x:c r="AD28" s="53"/>
      <x:c r="AE28" s="53"/>
      <x:c r="AF28" s="53"/>
      <x:c r="AG28" s="53"/>
      <x:c r="AH28" s="66"/>
      <x:c r="AI28" s="67"/>
      <x:c r="AJ28" s="53"/>
      <x:c r="AK28" s="53"/>
      <x:c r="AL28" s="53"/>
      <x:c r="AM28" s="53"/>
      <x:c r="AN28" s="53"/>
      <x:c r="AO28" s="53"/>
      <x:c r="AP28" s="53"/>
      <x:c r="AQ28" s="53"/>
      <x:c r="AR28" s="53"/>
      <x:c r="AS28" s="53"/>
      <x:c r="AT28" s="53"/>
      <x:c r="AU28" s="53"/>
      <x:c r="AV28" s="53"/>
      <x:c r="AW28" s="53"/>
      <x:c r="AX28" s="53"/>
      <x:c r="AY28" s="53"/>
      <x:c r="AZ28" s="53"/>
      <x:c r="BA28" s="53"/>
      <x:c r="BB28" s="53"/>
      <x:c r="BC28" s="53"/>
      <x:c r="BD28" s="53"/>
      <x:c r="BE28" s="53"/>
      <x:c r="BF28" s="53"/>
      <x:c r="BG28" s="53"/>
      <x:c r="BH28" s="53"/>
      <x:c r="BI28" s="53"/>
      <x:c r="BJ28" s="53"/>
      <x:c r="BK28" s="53"/>
      <x:c r="BL28" s="53"/>
      <x:c r="BM28" s="53"/>
      <x:c r="BN28" s="53"/>
      <x:c r="BO28" s="53"/>
      <x:c r="BP28" s="53"/>
      <x:c r="BQ28" s="54"/>
    </x:row>
    <x:row r="29" ht="42" customHeight="1">
      <x:c r="A29" s="275" t="str">
        <x:v>TOTAL MVP</x:v>
      </x:c>
      <x:c r="B29" s="275"/>
      <x:c r="C29" s="275"/>
      <x:c r="D29" s="275"/>
      <x:c r="E29" s="275"/>
      <x:c r="F29" s="303" t="n">
        <x:f>SUM(F6:F27)</x:f>
        <x:v>76</x:v>
      </x:c>
      <x:c r="G29" s="280"/>
      <x:c r="H29" s="280"/>
      <x:c r="I29" s="295">
        <x:f t="shared" si="0"/>
      </x:c>
      <x:c r="J29" s="295">
        <x:f t="shared" si="1"/>
      </x:c>
      <x:c r="K29" s="281">
        <x:f t="shared" si="2"/>
      </x:c>
      <x:c r="L29" s="299" t="n">
        <x:f>SUMPRODUCT(F6:F27,L6:L27)/F29</x:f>
        <x:v>0.1328947368421053</x:v>
      </x:c>
      <x:c r="M29" s="307" t="n">
        <x:f>SUM(M6:M27)</x:f>
        <x:v>4.69</x:v>
      </x:c>
      <x:c r="N29" s="307" t="n">
        <x:f>SUM(N6:N27)</x:f>
        <x:v>65.9</x:v>
      </x:c>
      <x:c r="O29" s="307" t="n">
        <x:f t="shared" si="3">M29-F29</x:f>
        <x:v>-71.31</x:v>
      </x:c>
      <x:c r="P29" s="280">
        <x:f t="shared" si="4"/>
      </x:c>
      <x:c r="Q29" s="275"/>
      <x:c r="R29" s="280"/>
      <x:c r="S29" s="554"/>
      <x:c r="T29" s="554"/>
      <x:c r="U29" s="554"/>
      <x:c r="V29" s="554"/>
      <x:c r="W29" s="554"/>
      <x:c r="X29" s="554"/>
      <x:c r="Y29" s="554"/>
      <x:c r="Z29" s="554"/>
      <x:c r="AA29" s="53"/>
      <x:c r="AB29" s="53"/>
      <x:c r="AC29" s="53"/>
      <x:c r="AD29" s="53"/>
      <x:c r="AE29" s="53"/>
      <x:c r="AF29" s="53"/>
      <x:c r="AG29" s="53"/>
      <x:c r="AH29" s="53"/>
      <x:c r="AI29" s="66"/>
      <x:c r="AJ29" s="67"/>
      <x:c r="AK29" s="53"/>
      <x:c r="AL29" s="53"/>
      <x:c r="AM29" s="53"/>
      <x:c r="AN29" s="53"/>
      <x:c r="AO29" s="53"/>
      <x:c r="AP29" s="53"/>
      <x:c r="AQ29" s="53"/>
      <x:c r="AR29" s="53"/>
      <x:c r="AS29" s="53"/>
      <x:c r="AT29" s="53"/>
      <x:c r="AU29" s="53"/>
      <x:c r="AV29" s="53"/>
      <x:c r="AW29" s="53"/>
      <x:c r="AX29" s="53"/>
      <x:c r="AY29" s="53"/>
      <x:c r="AZ29" s="53"/>
      <x:c r="BA29" s="53"/>
      <x:c r="BB29" s="53"/>
      <x:c r="BC29" s="53"/>
      <x:c r="BD29" s="53"/>
      <x:c r="BE29" s="53"/>
      <x:c r="BF29" s="53"/>
      <x:c r="BG29" s="53"/>
      <x:c r="BH29" s="53"/>
      <x:c r="BI29" s="53"/>
      <x:c r="BJ29" s="53"/>
      <x:c r="BK29" s="53"/>
      <x:c r="BL29" s="53"/>
      <x:c r="BM29" s="53"/>
      <x:c r="BN29" s="53"/>
      <x:c r="BO29" s="53"/>
      <x:c r="BP29" s="53"/>
      <x:c r="BQ29" s="54"/>
    </x:row>
    <x:row r="30" ht="42" customHeight="1">
      <x:c r="A30" s="20"/>
      <x:c r="B30" s="32"/>
      <x:c r="C30" s="22"/>
      <x:c r="D30" s="22"/>
      <x:c r="E30" s="22"/>
      <x:c r="F30" s="47"/>
      <x:c r="G30" s="47"/>
      <x:c r="H30" s="47"/>
      <x:c r="I30" s="47">
        <x:f t="shared" si="0"/>
      </x:c>
      <x:c r="J30" s="48">
        <x:f t="shared" si="1"/>
      </x:c>
      <x:c r="K30" s="48">
        <x:f t="shared" si="2"/>
      </x:c>
      <x:c r="L30" s="47"/>
      <x:c r="M30" s="49"/>
      <x:c r="N30" s="47"/>
      <x:c r="O30" s="47">
        <x:f t="shared" si="3"/>
      </x:c>
      <x:c r="P30" s="47">
        <x:f t="shared" si="4"/>
      </x:c>
      <x:c r="Q30" s="25"/>
      <x:c r="R30" s="57"/>
      <x:c r="S30" s="53"/>
      <x:c r="T30" s="53"/>
      <x:c r="U30" s="53"/>
      <x:c r="V30" s="53"/>
      <x:c r="W30" s="53"/>
      <x:c r="X30" s="53"/>
      <x:c r="Y30" s="53"/>
      <x:c r="Z30" s="53"/>
      <x:c r="AA30" s="53"/>
      <x:c r="AB30" s="53"/>
      <x:c r="AC30" s="53"/>
      <x:c r="AD30" s="53"/>
      <x:c r="AE30" s="53"/>
      <x:c r="AF30" s="53"/>
      <x:c r="AG30" s="53"/>
      <x:c r="AH30" s="53"/>
      <x:c r="AI30" s="53"/>
      <x:c r="AJ30" s="66"/>
      <x:c r="AK30" s="67"/>
      <x:c r="AL30" s="53"/>
      <x:c r="AM30" s="53"/>
      <x:c r="AN30" s="53"/>
      <x:c r="AO30" s="53"/>
      <x:c r="AP30" s="53"/>
      <x:c r="AQ30" s="53"/>
      <x:c r="AR30" s="53"/>
      <x:c r="AS30" s="53"/>
      <x:c r="AT30" s="53"/>
      <x:c r="AU30" s="53"/>
      <x:c r="AV30" s="53"/>
      <x:c r="AW30" s="53"/>
      <x:c r="AX30" s="53"/>
      <x:c r="AY30" s="53"/>
      <x:c r="AZ30" s="53"/>
      <x:c r="BA30" s="53"/>
      <x:c r="BB30" s="53"/>
      <x:c r="BC30" s="53"/>
      <x:c r="BD30" s="53"/>
      <x:c r="BE30" s="53"/>
      <x:c r="BF30" s="53"/>
      <x:c r="BG30" s="53"/>
      <x:c r="BH30" s="53"/>
      <x:c r="BI30" s="53"/>
      <x:c r="BJ30" s="53"/>
      <x:c r="BK30" s="53"/>
      <x:c r="BL30" s="53"/>
      <x:c r="BM30" s="53"/>
      <x:c r="BN30" s="53"/>
      <x:c r="BO30" s="53"/>
      <x:c r="BP30" s="53"/>
      <x:c r="BQ30" s="54"/>
    </x:row>
    <x:row r="31" ht="42" customHeight="1">
      <x:c r="A31" s="20"/>
      <x:c r="B31" s="32"/>
      <x:c r="C31" s="22"/>
      <x:c r="D31" s="22"/>
      <x:c r="E31" s="22"/>
      <x:c r="F31" s="47"/>
      <x:c r="G31" s="47"/>
      <x:c r="H31" s="47"/>
      <x:c r="I31" s="47">
        <x:f t="shared" si="0"/>
      </x:c>
      <x:c r="J31" s="48">
        <x:f t="shared" si="1"/>
      </x:c>
      <x:c r="K31" s="48">
        <x:f t="shared" si="2"/>
      </x:c>
      <x:c r="L31" s="47"/>
      <x:c r="M31" s="49"/>
      <x:c r="N31" s="47"/>
      <x:c r="O31" s="47">
        <x:f t="shared" si="3"/>
      </x:c>
      <x:c r="P31" s="47">
        <x:f t="shared" si="4"/>
      </x:c>
      <x:c r="Q31" s="25"/>
      <x:c r="R31" s="57"/>
      <x:c r="S31" s="53"/>
      <x:c r="T31" s="53"/>
      <x:c r="U31" s="53"/>
      <x:c r="V31" s="53"/>
      <x:c r="W31" s="53"/>
      <x:c r="X31" s="53"/>
      <x:c r="Y31" s="53"/>
      <x:c r="Z31" s="53"/>
      <x:c r="AA31" s="53"/>
      <x:c r="AB31" s="53"/>
      <x:c r="AC31" s="53"/>
      <x:c r="AD31" s="53"/>
      <x:c r="AE31" s="53"/>
      <x:c r="AF31" s="53"/>
      <x:c r="AG31" s="53"/>
      <x:c r="AH31" s="53"/>
      <x:c r="AI31" s="53"/>
      <x:c r="AJ31" s="53"/>
      <x:c r="AK31" s="68"/>
      <x:c r="AL31" s="53"/>
      <x:c r="AM31" s="53"/>
      <x:c r="AN31" s="53"/>
      <x:c r="AO31" s="53"/>
      <x:c r="AP31" s="53"/>
      <x:c r="AQ31" s="53"/>
      <x:c r="AR31" s="53"/>
      <x:c r="AS31" s="53"/>
      <x:c r="AT31" s="53"/>
      <x:c r="AU31" s="53"/>
      <x:c r="AV31" s="53"/>
      <x:c r="AW31" s="53"/>
      <x:c r="AX31" s="53"/>
      <x:c r="AY31" s="53"/>
      <x:c r="AZ31" s="53"/>
      <x:c r="BA31" s="53"/>
      <x:c r="BB31" s="53"/>
      <x:c r="BC31" s="53"/>
      <x:c r="BD31" s="53"/>
      <x:c r="BE31" s="53"/>
      <x:c r="BF31" s="53"/>
      <x:c r="BG31" s="53"/>
      <x:c r="BH31" s="53"/>
      <x:c r="BI31" s="53"/>
      <x:c r="BJ31" s="53"/>
      <x:c r="BK31" s="53"/>
      <x:c r="BL31" s="53"/>
      <x:c r="BM31" s="53"/>
      <x:c r="BN31" s="53"/>
      <x:c r="BO31" s="53"/>
      <x:c r="BP31" s="53"/>
      <x:c r="BQ31" s="54"/>
    </x:row>
    <x:row r="32" ht="42" customHeight="1">
      <x:c r="A32" s="20"/>
      <x:c r="B32" s="32"/>
      <x:c r="C32" s="22"/>
      <x:c r="D32" s="22"/>
      <x:c r="E32" s="22"/>
      <x:c r="F32" s="47"/>
      <x:c r="G32" s="47"/>
      <x:c r="H32" s="47"/>
      <x:c r="I32" s="47">
        <x:f t="shared" si="0"/>
      </x:c>
      <x:c r="J32" s="48">
        <x:f t="shared" si="1"/>
      </x:c>
      <x:c r="K32" s="48">
        <x:f t="shared" si="2"/>
      </x:c>
      <x:c r="L32" s="47"/>
      <x:c r="M32" s="49"/>
      <x:c r="N32" s="47"/>
      <x:c r="O32" s="47">
        <x:f t="shared" si="3"/>
      </x:c>
      <x:c r="P32" s="47">
        <x:f t="shared" si="4"/>
      </x:c>
      <x:c r="Q32" s="25"/>
      <x:c r="R32" s="57"/>
      <x:c r="S32" s="53"/>
      <x:c r="T32" s="53"/>
      <x:c r="U32" s="53"/>
      <x:c r="V32" s="53"/>
      <x:c r="W32" s="53"/>
      <x:c r="X32" s="53"/>
      <x:c r="Y32" s="53"/>
      <x:c r="Z32" s="53"/>
      <x:c r="AA32" s="53"/>
      <x:c r="AB32" s="53"/>
      <x:c r="AC32" s="53"/>
      <x:c r="AD32" s="53"/>
      <x:c r="AE32" s="53"/>
      <x:c r="AF32" s="53"/>
      <x:c r="AG32" s="53"/>
      <x:c r="AH32" s="53"/>
      <x:c r="AI32" s="53"/>
      <x:c r="AJ32" s="53"/>
      <x:c r="AK32" s="53"/>
      <x:c r="AL32" s="68"/>
      <x:c r="AM32" s="53"/>
      <x:c r="AN32" s="53"/>
      <x:c r="AO32" s="53"/>
      <x:c r="AP32" s="53"/>
      <x:c r="AQ32" s="53"/>
      <x:c r="AR32" s="53"/>
      <x:c r="AS32" s="53"/>
      <x:c r="AT32" s="53"/>
      <x:c r="AU32" s="53"/>
      <x:c r="AV32" s="53"/>
      <x:c r="AW32" s="53"/>
      <x:c r="AX32" s="53"/>
      <x:c r="AY32" s="53"/>
      <x:c r="AZ32" s="53"/>
      <x:c r="BA32" s="53"/>
      <x:c r="BB32" s="53"/>
      <x:c r="BC32" s="53"/>
      <x:c r="BD32" s="53"/>
      <x:c r="BE32" s="53"/>
      <x:c r="BF32" s="53"/>
      <x:c r="BG32" s="53"/>
      <x:c r="BH32" s="53"/>
      <x:c r="BI32" s="53"/>
      <x:c r="BJ32" s="53"/>
      <x:c r="BK32" s="53"/>
      <x:c r="BL32" s="53"/>
      <x:c r="BM32" s="53"/>
      <x:c r="BN32" s="53"/>
      <x:c r="BO32" s="53"/>
      <x:c r="BP32" s="53"/>
      <x:c r="BQ32" s="54"/>
    </x:row>
    <x:row r="33" ht="42" customHeight="1">
      <x:c r="A33" s="20"/>
      <x:c r="B33" s="32"/>
      <x:c r="C33" s="22"/>
      <x:c r="D33" s="22"/>
      <x:c r="E33" s="22"/>
      <x:c r="F33" s="47"/>
      <x:c r="G33" s="47"/>
      <x:c r="H33" s="47"/>
      <x:c r="I33" s="47">
        <x:f t="shared" si="0"/>
      </x:c>
      <x:c r="J33" s="48">
        <x:f t="shared" si="1"/>
      </x:c>
      <x:c r="K33" s="48">
        <x:f t="shared" si="2"/>
      </x:c>
      <x:c r="L33" s="47"/>
      <x:c r="M33" s="49"/>
      <x:c r="N33" s="47"/>
      <x:c r="O33" s="47">
        <x:f t="shared" si="3"/>
      </x:c>
      <x:c r="P33" s="47">
        <x:f t="shared" si="4"/>
      </x:c>
      <x:c r="Q33" s="25"/>
      <x:c r="R33" s="57"/>
      <x:c r="S33" s="53"/>
      <x:c r="T33" s="53"/>
      <x:c r="U33" s="53"/>
      <x:c r="V33" s="53"/>
      <x:c r="W33" s="53"/>
      <x:c r="X33" s="53"/>
      <x:c r="Y33" s="53"/>
      <x:c r="Z33" s="53"/>
      <x:c r="AA33" s="53"/>
      <x:c r="AB33" s="53"/>
      <x:c r="AC33" s="53"/>
      <x:c r="AD33" s="53"/>
      <x:c r="AE33" s="53"/>
      <x:c r="AF33" s="53"/>
      <x:c r="AG33" s="53"/>
      <x:c r="AH33" s="53"/>
      <x:c r="AI33" s="53"/>
      <x:c r="AJ33" s="53"/>
      <x:c r="AK33" s="53"/>
      <x:c r="AL33" s="66"/>
      <x:c r="AM33" s="67"/>
      <x:c r="AN33" s="53"/>
      <x:c r="AO33" s="53"/>
      <x:c r="AP33" s="53"/>
      <x:c r="AQ33" s="53"/>
      <x:c r="AR33" s="53"/>
      <x:c r="AS33" s="53"/>
      <x:c r="AT33" s="53"/>
      <x:c r="AU33" s="53"/>
      <x:c r="AV33" s="53"/>
      <x:c r="AW33" s="53"/>
      <x:c r="AX33" s="53"/>
      <x:c r="AY33" s="53"/>
      <x:c r="AZ33" s="53"/>
      <x:c r="BA33" s="53"/>
      <x:c r="BB33" s="53"/>
      <x:c r="BC33" s="53"/>
      <x:c r="BD33" s="53"/>
      <x:c r="BE33" s="53"/>
      <x:c r="BF33" s="53"/>
      <x:c r="BG33" s="53"/>
      <x:c r="BH33" s="53"/>
      <x:c r="BI33" s="53"/>
      <x:c r="BJ33" s="53"/>
      <x:c r="BK33" s="53"/>
      <x:c r="BL33" s="53"/>
      <x:c r="BM33" s="53"/>
      <x:c r="BN33" s="53"/>
      <x:c r="BO33" s="53"/>
      <x:c r="BP33" s="53"/>
      <x:c r="BQ33" s="54"/>
    </x:row>
    <x:row r="34" ht="42" customHeight="1">
      <x:c r="A34" s="20"/>
      <x:c r="B34" s="32"/>
      <x:c r="C34" s="22"/>
      <x:c r="D34" s="22"/>
      <x:c r="E34" s="22"/>
      <x:c r="F34" s="47"/>
      <x:c r="G34" s="47"/>
      <x:c r="H34" s="47"/>
      <x:c r="I34" s="47">
        <x:f t="shared" si="0"/>
      </x:c>
      <x:c r="J34" s="48">
        <x:f t="shared" si="1"/>
      </x:c>
      <x:c r="K34" s="48">
        <x:f t="shared" si="2"/>
      </x:c>
      <x:c r="L34" s="47"/>
      <x:c r="M34" s="49"/>
      <x:c r="N34" s="47"/>
      <x:c r="O34" s="47">
        <x:f t="shared" si="3"/>
      </x:c>
      <x:c r="P34" s="47">
        <x:f t="shared" si="4"/>
      </x:c>
      <x:c r="Q34" s="25"/>
      <x:c r="R34" s="57"/>
      <x:c r="S34" s="53"/>
      <x:c r="T34" s="53"/>
      <x:c r="U34" s="53"/>
      <x:c r="V34" s="53"/>
      <x:c r="W34" s="53"/>
      <x:c r="X34" s="53"/>
      <x:c r="Y34" s="53"/>
      <x:c r="Z34" s="53"/>
      <x:c r="AA34" s="53"/>
      <x:c r="AB34" s="53"/>
      <x:c r="AC34" s="53"/>
      <x:c r="AD34" s="53"/>
      <x:c r="AE34" s="53"/>
      <x:c r="AF34" s="53"/>
      <x:c r="AG34" s="53"/>
      <x:c r="AH34" s="53"/>
      <x:c r="AI34" s="53"/>
      <x:c r="AJ34" s="53"/>
      <x:c r="AK34" s="53"/>
      <x:c r="AL34" s="53"/>
      <x:c r="AM34" s="66"/>
      <x:c r="AN34" s="67"/>
      <x:c r="AO34" s="53"/>
      <x:c r="AP34" s="53"/>
      <x:c r="AQ34" s="53"/>
      <x:c r="AR34" s="53"/>
      <x:c r="AS34" s="53"/>
      <x:c r="AT34" s="53"/>
      <x:c r="AU34" s="53"/>
      <x:c r="AV34" s="53"/>
      <x:c r="AW34" s="53"/>
      <x:c r="AX34" s="53"/>
      <x:c r="AY34" s="53"/>
      <x:c r="AZ34" s="53"/>
      <x:c r="BA34" s="53"/>
      <x:c r="BB34" s="53"/>
      <x:c r="BC34" s="53"/>
      <x:c r="BD34" s="53"/>
      <x:c r="BE34" s="53"/>
      <x:c r="BF34" s="53"/>
      <x:c r="BG34" s="53"/>
      <x:c r="BH34" s="53"/>
      <x:c r="BI34" s="53"/>
      <x:c r="BJ34" s="53"/>
      <x:c r="BK34" s="53"/>
      <x:c r="BL34" s="53"/>
      <x:c r="BM34" s="53"/>
      <x:c r="BN34" s="53"/>
      <x:c r="BO34" s="53"/>
      <x:c r="BP34" s="53"/>
      <x:c r="BQ34" s="54"/>
    </x:row>
    <x:row r="35" ht="42" customHeight="1">
      <x:c r="A35" s="20"/>
      <x:c r="B35" s="32"/>
      <x:c r="C35" s="22"/>
      <x:c r="D35" s="22"/>
      <x:c r="E35" s="22"/>
      <x:c r="F35" s="47"/>
      <x:c r="G35" s="47"/>
      <x:c r="H35" s="47"/>
      <x:c r="I35" s="47">
        <x:f t="shared" si="0"/>
      </x:c>
      <x:c r="J35" s="48">
        <x:f t="shared" si="1"/>
      </x:c>
      <x:c r="K35" s="48">
        <x:f t="shared" si="2"/>
      </x:c>
      <x:c r="L35" s="47"/>
      <x:c r="M35" s="49"/>
      <x:c r="N35" s="47"/>
      <x:c r="O35" s="47">
        <x:f t="shared" si="3"/>
      </x:c>
      <x:c r="P35" s="47">
        <x:f t="shared" si="4"/>
      </x:c>
      <x:c r="Q35" s="25"/>
      <x:c r="R35" s="57"/>
      <x:c r="S35" s="53"/>
      <x:c r="T35" s="53"/>
      <x:c r="U35" s="53"/>
      <x:c r="V35" s="53"/>
      <x:c r="W35" s="53"/>
      <x:c r="X35" s="53"/>
      <x:c r="Y35" s="53"/>
      <x:c r="Z35" s="53"/>
      <x:c r="AA35" s="53"/>
      <x:c r="AB35" s="53"/>
      <x:c r="AC35" s="53"/>
      <x:c r="AD35" s="53"/>
      <x:c r="AE35" s="53"/>
      <x:c r="AF35" s="53"/>
      <x:c r="AG35" s="53"/>
      <x:c r="AH35" s="53"/>
      <x:c r="AI35" s="53"/>
      <x:c r="AJ35" s="53"/>
      <x:c r="AK35" s="53"/>
      <x:c r="AL35" s="53"/>
      <x:c r="AM35" s="53"/>
      <x:c r="AN35" s="53"/>
      <x:c r="AO35" s="68"/>
      <x:c r="AP35" s="53"/>
      <x:c r="AQ35" s="53"/>
      <x:c r="AR35" s="53"/>
      <x:c r="AS35" s="53"/>
      <x:c r="AT35" s="53"/>
      <x:c r="AU35" s="53"/>
      <x:c r="AV35" s="53"/>
      <x:c r="AW35" s="53"/>
      <x:c r="AX35" s="53"/>
      <x:c r="AY35" s="53"/>
      <x:c r="AZ35" s="53"/>
      <x:c r="BA35" s="53"/>
      <x:c r="BB35" s="53"/>
      <x:c r="BC35" s="53"/>
      <x:c r="BD35" s="53"/>
      <x:c r="BE35" s="53"/>
      <x:c r="BF35" s="53"/>
      <x:c r="BG35" s="53"/>
      <x:c r="BH35" s="53"/>
      <x:c r="BI35" s="53"/>
      <x:c r="BJ35" s="53"/>
      <x:c r="BK35" s="53"/>
      <x:c r="BL35" s="53"/>
      <x:c r="BM35" s="53"/>
      <x:c r="BN35" s="53"/>
      <x:c r="BO35" s="53"/>
      <x:c r="BP35" s="53"/>
      <x:c r="BQ35" s="54"/>
    </x:row>
    <x:row r="36" ht="42" customHeight="1">
      <x:c r="A36" s="20"/>
      <x:c r="B36" s="34"/>
      <x:c r="C36" s="22"/>
      <x:c r="D36" s="22"/>
      <x:c r="E36" s="22"/>
      <x:c r="F36" s="47"/>
      <x:c r="G36" s="47"/>
      <x:c r="H36" s="47"/>
      <x:c r="I36" s="47">
        <x:f t="shared" si="0"/>
      </x:c>
      <x:c r="J36" s="48">
        <x:f t="shared" si="1"/>
      </x:c>
      <x:c r="K36" s="48">
        <x:f t="shared" si="2"/>
      </x:c>
      <x:c r="L36" s="47"/>
      <x:c r="M36" s="49"/>
      <x:c r="N36" s="47"/>
      <x:c r="O36" s="47">
        <x:f t="shared" si="3"/>
      </x:c>
      <x:c r="P36" s="47">
        <x:f t="shared" si="4"/>
      </x:c>
      <x:c r="Q36" s="25"/>
      <x:c r="R36" s="57"/>
      <x:c r="S36" s="53"/>
      <x:c r="T36" s="53"/>
      <x:c r="U36" s="53"/>
      <x:c r="V36" s="53"/>
      <x:c r="W36" s="53"/>
      <x:c r="X36" s="53"/>
      <x:c r="Y36" s="53"/>
      <x:c r="Z36" s="53"/>
      <x:c r="AA36" s="53"/>
      <x:c r="AB36" s="53"/>
      <x:c r="AC36" s="53"/>
      <x:c r="AD36" s="53"/>
      <x:c r="AE36" s="53"/>
      <x:c r="AF36" s="53"/>
      <x:c r="AG36" s="53"/>
      <x:c r="AH36" s="53"/>
      <x:c r="AI36" s="53"/>
      <x:c r="AJ36" s="53"/>
      <x:c r="AK36" s="53"/>
      <x:c r="AL36" s="53"/>
      <x:c r="AM36" s="53"/>
      <x:c r="AN36" s="53"/>
      <x:c r="AO36" s="53"/>
      <x:c r="AP36" s="69"/>
      <x:c r="AQ36" s="53"/>
      <x:c r="AR36" s="53"/>
      <x:c r="AS36" s="53"/>
      <x:c r="AT36" s="53"/>
      <x:c r="AU36" s="53"/>
      <x:c r="AV36" s="53"/>
      <x:c r="AW36" s="53"/>
      <x:c r="AX36" s="53"/>
      <x:c r="AY36" s="53"/>
      <x:c r="AZ36" s="53"/>
      <x:c r="BA36" s="53"/>
      <x:c r="BB36" s="53"/>
      <x:c r="BC36" s="53"/>
      <x:c r="BD36" s="53"/>
      <x:c r="BE36" s="53"/>
      <x:c r="BF36" s="53"/>
      <x:c r="BG36" s="53"/>
      <x:c r="BH36" s="53"/>
      <x:c r="BI36" s="53"/>
      <x:c r="BJ36" s="53"/>
      <x:c r="BK36" s="53"/>
      <x:c r="BL36" s="53"/>
      <x:c r="BM36" s="53"/>
      <x:c r="BN36" s="53"/>
      <x:c r="BO36" s="53"/>
      <x:c r="BP36" s="53"/>
      <x:c r="BQ36" s="54"/>
    </x:row>
    <x:row r="37" ht="42" customHeight="1">
      <x:c r="A37" s="20"/>
      <x:c r="B37" s="34"/>
      <x:c r="C37" s="22"/>
      <x:c r="D37" s="22"/>
      <x:c r="E37" s="22"/>
      <x:c r="F37" s="47"/>
      <x:c r="G37" s="47"/>
      <x:c r="H37" s="47"/>
      <x:c r="I37" s="47">
        <x:f t="shared" si="0"/>
      </x:c>
      <x:c r="J37" s="48">
        <x:f t="shared" si="1"/>
      </x:c>
      <x:c r="K37" s="48">
        <x:f t="shared" si="2"/>
      </x:c>
      <x:c r="L37" s="47"/>
      <x:c r="M37" s="49"/>
      <x:c r="N37" s="47"/>
      <x:c r="O37" s="47">
        <x:f t="shared" si="3"/>
      </x:c>
      <x:c r="P37" s="47">
        <x:f t="shared" si="4"/>
      </x:c>
      <x:c r="Q37" s="25"/>
      <x:c r="R37" s="57"/>
      <x:c r="S37" s="53"/>
      <x:c r="T37" s="53"/>
      <x:c r="U37" s="53"/>
      <x:c r="V37" s="53"/>
      <x:c r="W37" s="53"/>
      <x:c r="X37" s="53"/>
      <x:c r="Y37" s="53"/>
      <x:c r="Z37" s="53"/>
      <x:c r="AA37" s="53"/>
      <x:c r="AB37" s="53"/>
      <x:c r="AC37" s="53"/>
      <x:c r="AD37" s="53"/>
      <x:c r="AE37" s="53"/>
      <x:c r="AF37" s="53"/>
      <x:c r="AG37" s="53"/>
      <x:c r="AH37" s="53"/>
      <x:c r="AI37" s="53"/>
      <x:c r="AJ37" s="53"/>
      <x:c r="AK37" s="53"/>
      <x:c r="AL37" s="53"/>
      <x:c r="AM37" s="53"/>
      <x:c r="AN37" s="53"/>
      <x:c r="AO37" s="53"/>
      <x:c r="AP37" s="70"/>
      <x:c r="AQ37" s="71"/>
      <x:c r="AR37" s="53"/>
      <x:c r="AS37" s="53"/>
      <x:c r="AT37" s="53"/>
      <x:c r="AU37" s="53"/>
      <x:c r="AV37" s="53"/>
      <x:c r="AW37" s="53"/>
      <x:c r="AX37" s="53"/>
      <x:c r="AY37" s="53"/>
      <x:c r="AZ37" s="53"/>
      <x:c r="BA37" s="53"/>
      <x:c r="BB37" s="53"/>
      <x:c r="BC37" s="53"/>
      <x:c r="BD37" s="53"/>
      <x:c r="BE37" s="53"/>
      <x:c r="BF37" s="53"/>
      <x:c r="BG37" s="53"/>
      <x:c r="BH37" s="53"/>
      <x:c r="BI37" s="53"/>
      <x:c r="BJ37" s="53"/>
      <x:c r="BK37" s="53"/>
      <x:c r="BL37" s="53"/>
      <x:c r="BM37" s="53"/>
      <x:c r="BN37" s="53"/>
      <x:c r="BO37" s="53"/>
      <x:c r="BP37" s="53"/>
      <x:c r="BQ37" s="54"/>
    </x:row>
    <x:row r="38" ht="42" customHeight="1">
      <x:c r="A38" s="20"/>
      <x:c r="B38" s="34"/>
      <x:c r="C38" s="22"/>
      <x:c r="D38" s="22"/>
      <x:c r="E38" s="22"/>
      <x:c r="F38" s="47"/>
      <x:c r="G38" s="47"/>
      <x:c r="H38" s="47"/>
      <x:c r="I38" s="47" t="n">
        <x:f t="shared" ref="I38:I63" si="5">H38-G38+1</x:f>
        <x:v>1</x:v>
      </x:c>
      <x:c r="J38" s="48" t="n">
        <x:f t="shared" ref="J38:J63" si="6">$C$1+(G38-1)*7</x:f>
        <x:v>-7</x:v>
      </x:c>
      <x:c r="K38" s="48" t="n">
        <x:f t="shared" ref="K38:K63" si="7">$C$1+H38*7-1</x:f>
        <x:v>-1</x:v>
      </x:c>
      <x:c r="L38" s="47"/>
      <x:c r="M38" s="49"/>
      <x:c r="N38" s="47"/>
      <x:c r="O38" s="47" t="str">
        <x:f t="shared" ref="O38:O63" si="8">IF(N38="","",N38-F38)</x:f>
      </x:c>
      <x:c r="P38" s="47" t="n">
        <x:f t="shared" ref="P38:P63" si="9">MAX(F38*(1-M38),0)</x:f>
        <x:v>0</x:v>
      </x:c>
      <x:c r="Q38" s="25"/>
      <x:c r="R38" s="57"/>
      <x:c r="S38" s="53"/>
      <x:c r="T38" s="53"/>
      <x:c r="U38" s="53"/>
      <x:c r="V38" s="53"/>
      <x:c r="W38" s="53"/>
      <x:c r="X38" s="53"/>
      <x:c r="Y38" s="53"/>
      <x:c r="Z38" s="53"/>
      <x:c r="AA38" s="53"/>
      <x:c r="AB38" s="53"/>
      <x:c r="AC38" s="53"/>
      <x:c r="AD38" s="53"/>
      <x:c r="AE38" s="53"/>
      <x:c r="AF38" s="53"/>
      <x:c r="AG38" s="53"/>
      <x:c r="AH38" s="53"/>
      <x:c r="AI38" s="53"/>
      <x:c r="AJ38" s="53"/>
      <x:c r="AK38" s="53"/>
      <x:c r="AL38" s="53"/>
      <x:c r="AM38" s="53"/>
      <x:c r="AN38" s="53"/>
      <x:c r="AO38" s="53"/>
      <x:c r="AP38" s="53"/>
      <x:c r="AQ38" s="70"/>
      <x:c r="AR38" s="72"/>
      <x:c r="AS38" s="71"/>
      <x:c r="AT38" s="53"/>
      <x:c r="AU38" s="53"/>
      <x:c r="AV38" s="53"/>
      <x:c r="AW38" s="53"/>
      <x:c r="AX38" s="53"/>
      <x:c r="AY38" s="53"/>
      <x:c r="AZ38" s="53"/>
      <x:c r="BA38" s="53"/>
      <x:c r="BB38" s="53"/>
      <x:c r="BC38" s="53"/>
      <x:c r="BD38" s="53"/>
      <x:c r="BE38" s="53"/>
      <x:c r="BF38" s="53"/>
      <x:c r="BG38" s="53"/>
      <x:c r="BH38" s="53"/>
      <x:c r="BI38" s="53"/>
      <x:c r="BJ38" s="53"/>
      <x:c r="BK38" s="53"/>
      <x:c r="BL38" s="53"/>
      <x:c r="BM38" s="53"/>
      <x:c r="BN38" s="53"/>
      <x:c r="BO38" s="53"/>
      <x:c r="BP38" s="53"/>
      <x:c r="BQ38" s="54"/>
    </x:row>
    <x:row r="39" ht="42" customHeight="1">
      <x:c r="A39" s="20"/>
      <x:c r="B39" s="34"/>
      <x:c r="C39" s="22"/>
      <x:c r="D39" s="22"/>
      <x:c r="E39" s="22"/>
      <x:c r="F39" s="47"/>
      <x:c r="G39" s="47"/>
      <x:c r="H39" s="47"/>
      <x:c r="I39" s="47">
        <x:f t="shared" si="5"/>
      </x:c>
      <x:c r="J39" s="48">
        <x:f t="shared" si="6"/>
      </x:c>
      <x:c r="K39" s="48">
        <x:f t="shared" si="7"/>
      </x:c>
      <x:c r="L39" s="47"/>
      <x:c r="M39" s="49"/>
      <x:c r="N39" s="47"/>
      <x:c r="O39" s="47">
        <x:f t="shared" si="8"/>
      </x:c>
      <x:c r="P39" s="47">
        <x:f t="shared" si="9"/>
      </x:c>
      <x:c r="Q39" s="25"/>
      <x:c r="R39" s="57"/>
      <x:c r="S39" s="53"/>
      <x:c r="T39" s="53"/>
      <x:c r="U39" s="53"/>
      <x:c r="V39" s="53"/>
      <x:c r="W39" s="53"/>
      <x:c r="X39" s="53"/>
      <x:c r="Y39" s="53"/>
      <x:c r="Z39" s="53"/>
      <x:c r="AA39" s="53"/>
      <x:c r="AB39" s="53"/>
      <x:c r="AC39" s="53"/>
      <x:c r="AD39" s="53"/>
      <x:c r="AE39" s="53"/>
      <x:c r="AF39" s="53"/>
      <x:c r="AG39" s="53"/>
      <x:c r="AH39" s="53"/>
      <x:c r="AI39" s="53"/>
      <x:c r="AJ39" s="53"/>
      <x:c r="AK39" s="53"/>
      <x:c r="AL39" s="53"/>
      <x:c r="AM39" s="53"/>
      <x:c r="AN39" s="53"/>
      <x:c r="AO39" s="53"/>
      <x:c r="AP39" s="53"/>
      <x:c r="AQ39" s="53"/>
      <x:c r="AR39" s="53"/>
      <x:c r="AS39" s="70"/>
      <x:c r="AT39" s="71"/>
      <x:c r="AU39" s="53"/>
      <x:c r="AV39" s="53"/>
      <x:c r="AW39" s="53"/>
      <x:c r="AX39" s="53"/>
      <x:c r="AY39" s="53"/>
      <x:c r="AZ39" s="53"/>
      <x:c r="BA39" s="53"/>
      <x:c r="BB39" s="53"/>
      <x:c r="BC39" s="53"/>
      <x:c r="BD39" s="53"/>
      <x:c r="BE39" s="53"/>
      <x:c r="BF39" s="53"/>
      <x:c r="BG39" s="53"/>
      <x:c r="BH39" s="53"/>
      <x:c r="BI39" s="53"/>
      <x:c r="BJ39" s="53"/>
      <x:c r="BK39" s="53"/>
      <x:c r="BL39" s="53"/>
      <x:c r="BM39" s="53"/>
      <x:c r="BN39" s="53"/>
      <x:c r="BO39" s="53"/>
      <x:c r="BP39" s="53"/>
      <x:c r="BQ39" s="54"/>
    </x:row>
    <x:row r="40" ht="42" customHeight="1">
      <x:c r="A40" s="20"/>
      <x:c r="B40" s="34"/>
      <x:c r="C40" s="22"/>
      <x:c r="D40" s="22"/>
      <x:c r="E40" s="22"/>
      <x:c r="F40" s="47"/>
      <x:c r="G40" s="47"/>
      <x:c r="H40" s="47"/>
      <x:c r="I40" s="47">
        <x:f t="shared" si="5"/>
      </x:c>
      <x:c r="J40" s="48">
        <x:f t="shared" si="6"/>
      </x:c>
      <x:c r="K40" s="48">
        <x:f t="shared" si="7"/>
      </x:c>
      <x:c r="L40" s="47"/>
      <x:c r="M40" s="49"/>
      <x:c r="N40" s="47"/>
      <x:c r="O40" s="47">
        <x:f t="shared" si="8"/>
      </x:c>
      <x:c r="P40" s="47">
        <x:f t="shared" si="9"/>
      </x:c>
      <x:c r="Q40" s="25"/>
      <x:c r="R40" s="57"/>
      <x:c r="S40" s="53"/>
      <x:c r="T40" s="53"/>
      <x:c r="U40" s="53"/>
      <x:c r="V40" s="53"/>
      <x:c r="W40" s="53"/>
      <x:c r="X40" s="53"/>
      <x:c r="Y40" s="53"/>
      <x:c r="Z40" s="53"/>
      <x:c r="AA40" s="53"/>
      <x:c r="AB40" s="53"/>
      <x:c r="AC40" s="53"/>
      <x:c r="AD40" s="53"/>
      <x:c r="AE40" s="53"/>
      <x:c r="AF40" s="53"/>
      <x:c r="AG40" s="53"/>
      <x:c r="AH40" s="53"/>
      <x:c r="AI40" s="53"/>
      <x:c r="AJ40" s="53"/>
      <x:c r="AK40" s="53"/>
      <x:c r="AL40" s="53"/>
      <x:c r="AM40" s="53"/>
      <x:c r="AN40" s="53"/>
      <x:c r="AO40" s="53"/>
      <x:c r="AP40" s="53"/>
      <x:c r="AQ40" s="53"/>
      <x:c r="AR40" s="53"/>
      <x:c r="AS40" s="53"/>
      <x:c r="AT40" s="70"/>
      <x:c r="AU40" s="71"/>
      <x:c r="AV40" s="53"/>
      <x:c r="AW40" s="53"/>
      <x:c r="AX40" s="53"/>
      <x:c r="AY40" s="53"/>
      <x:c r="AZ40" s="53"/>
      <x:c r="BA40" s="53"/>
      <x:c r="BB40" s="53"/>
      <x:c r="BC40" s="53"/>
      <x:c r="BD40" s="53"/>
      <x:c r="BE40" s="53"/>
      <x:c r="BF40" s="53"/>
      <x:c r="BG40" s="53"/>
      <x:c r="BH40" s="53"/>
      <x:c r="BI40" s="53"/>
      <x:c r="BJ40" s="53"/>
      <x:c r="BK40" s="53"/>
      <x:c r="BL40" s="53"/>
      <x:c r="BM40" s="53"/>
      <x:c r="BN40" s="53"/>
      <x:c r="BO40" s="53"/>
      <x:c r="BP40" s="53"/>
      <x:c r="BQ40" s="54"/>
    </x:row>
    <x:row r="41" ht="42" customHeight="1">
      <x:c r="A41" s="20"/>
      <x:c r="B41" s="34"/>
      <x:c r="C41" s="22"/>
      <x:c r="D41" s="22"/>
      <x:c r="E41" s="22"/>
      <x:c r="F41" s="47"/>
      <x:c r="G41" s="47"/>
      <x:c r="H41" s="47"/>
      <x:c r="I41" s="47">
        <x:f t="shared" si="5"/>
      </x:c>
      <x:c r="J41" s="48">
        <x:f t="shared" si="6"/>
      </x:c>
      <x:c r="K41" s="48">
        <x:f t="shared" si="7"/>
      </x:c>
      <x:c r="L41" s="47"/>
      <x:c r="M41" s="49"/>
      <x:c r="N41" s="47"/>
      <x:c r="O41" s="47">
        <x:f t="shared" si="8"/>
      </x:c>
      <x:c r="P41" s="47">
        <x:f t="shared" si="9"/>
      </x:c>
      <x:c r="Q41" s="25"/>
      <x:c r="R41" s="57"/>
      <x:c r="S41" s="53"/>
      <x:c r="T41" s="53"/>
      <x:c r="U41" s="53"/>
      <x:c r="V41" s="53"/>
      <x:c r="W41" s="53"/>
      <x:c r="X41" s="53"/>
      <x:c r="Y41" s="53"/>
      <x:c r="Z41" s="53"/>
      <x:c r="AA41" s="53"/>
      <x:c r="AB41" s="53"/>
      <x:c r="AC41" s="53"/>
      <x:c r="AD41" s="53"/>
      <x:c r="AE41" s="53"/>
      <x:c r="AF41" s="53"/>
      <x:c r="AG41" s="53"/>
      <x:c r="AH41" s="53"/>
      <x:c r="AI41" s="53"/>
      <x:c r="AJ41" s="53"/>
      <x:c r="AK41" s="53"/>
      <x:c r="AL41" s="53"/>
      <x:c r="AM41" s="53"/>
      <x:c r="AN41" s="53"/>
      <x:c r="AO41" s="53"/>
      <x:c r="AP41" s="53"/>
      <x:c r="AQ41" s="53"/>
      <x:c r="AR41" s="53"/>
      <x:c r="AS41" s="53"/>
      <x:c r="AT41" s="53"/>
      <x:c r="AU41" s="70"/>
      <x:c r="AV41" s="71"/>
      <x:c r="AW41" s="53"/>
      <x:c r="AX41" s="53"/>
      <x:c r="AY41" s="53"/>
      <x:c r="AZ41" s="53"/>
      <x:c r="BA41" s="53"/>
      <x:c r="BB41" s="53"/>
      <x:c r="BC41" s="53"/>
      <x:c r="BD41" s="53"/>
      <x:c r="BE41" s="53"/>
      <x:c r="BF41" s="53"/>
      <x:c r="BG41" s="53"/>
      <x:c r="BH41" s="53"/>
      <x:c r="BI41" s="53"/>
      <x:c r="BJ41" s="53"/>
      <x:c r="BK41" s="53"/>
      <x:c r="BL41" s="53"/>
      <x:c r="BM41" s="53"/>
      <x:c r="BN41" s="53"/>
      <x:c r="BO41" s="53"/>
      <x:c r="BP41" s="53"/>
      <x:c r="BQ41" s="54"/>
    </x:row>
    <x:row r="42" ht="42" customHeight="1">
      <x:c r="A42" s="20"/>
      <x:c r="B42" s="34"/>
      <x:c r="C42" s="22"/>
      <x:c r="D42" s="22"/>
      <x:c r="E42" s="22"/>
      <x:c r="F42" s="47"/>
      <x:c r="G42" s="47"/>
      <x:c r="H42" s="47"/>
      <x:c r="I42" s="47">
        <x:f t="shared" si="5"/>
      </x:c>
      <x:c r="J42" s="48">
        <x:f t="shared" si="6"/>
      </x:c>
      <x:c r="K42" s="48">
        <x:f t="shared" si="7"/>
      </x:c>
      <x:c r="L42" s="47"/>
      <x:c r="M42" s="49"/>
      <x:c r="N42" s="47"/>
      <x:c r="O42" s="47">
        <x:f t="shared" si="8"/>
      </x:c>
      <x:c r="P42" s="47">
        <x:f t="shared" si="9"/>
      </x:c>
      <x:c r="Q42" s="25"/>
      <x:c r="R42" s="57"/>
      <x:c r="S42" s="53"/>
      <x:c r="T42" s="53"/>
      <x:c r="U42" s="53"/>
      <x:c r="V42" s="53"/>
      <x:c r="W42" s="53"/>
      <x:c r="X42" s="53"/>
      <x:c r="Y42" s="53"/>
      <x:c r="Z42" s="53"/>
      <x:c r="AA42" s="53"/>
      <x:c r="AB42" s="53"/>
      <x:c r="AC42" s="53"/>
      <x:c r="AD42" s="53"/>
      <x:c r="AE42" s="53"/>
      <x:c r="AF42" s="53"/>
      <x:c r="AG42" s="53"/>
      <x:c r="AH42" s="53"/>
      <x:c r="AI42" s="53"/>
      <x:c r="AJ42" s="53"/>
      <x:c r="AK42" s="53"/>
      <x:c r="AL42" s="53"/>
      <x:c r="AM42" s="53"/>
      <x:c r="AN42" s="53"/>
      <x:c r="AO42" s="53"/>
      <x:c r="AP42" s="53"/>
      <x:c r="AQ42" s="53"/>
      <x:c r="AR42" s="53"/>
      <x:c r="AS42" s="53"/>
      <x:c r="AT42" s="53"/>
      <x:c r="AU42" s="53"/>
      <x:c r="AV42" s="53"/>
      <x:c r="AW42" s="69"/>
      <x:c r="AX42" s="53"/>
      <x:c r="AY42" s="53"/>
      <x:c r="AZ42" s="53"/>
      <x:c r="BA42" s="53"/>
      <x:c r="BB42" s="53"/>
      <x:c r="BC42" s="53"/>
      <x:c r="BD42" s="53"/>
      <x:c r="BE42" s="53"/>
      <x:c r="BF42" s="53"/>
      <x:c r="BG42" s="53"/>
      <x:c r="BH42" s="53"/>
      <x:c r="BI42" s="53"/>
      <x:c r="BJ42" s="53"/>
      <x:c r="BK42" s="53"/>
      <x:c r="BL42" s="53"/>
      <x:c r="BM42" s="53"/>
      <x:c r="BN42" s="53"/>
      <x:c r="BO42" s="53"/>
      <x:c r="BP42" s="53"/>
      <x:c r="BQ42" s="54"/>
    </x:row>
    <x:row r="43" ht="42" customHeight="1">
      <x:c r="A43" s="20"/>
      <x:c r="B43" s="36"/>
      <x:c r="C43" s="22"/>
      <x:c r="D43" s="22"/>
      <x:c r="E43" s="22"/>
      <x:c r="F43" s="47"/>
      <x:c r="G43" s="47"/>
      <x:c r="H43" s="47"/>
      <x:c r="I43" s="47">
        <x:f t="shared" si="5"/>
      </x:c>
      <x:c r="J43" s="48">
        <x:f t="shared" si="6"/>
      </x:c>
      <x:c r="K43" s="48">
        <x:f t="shared" si="7"/>
      </x:c>
      <x:c r="L43" s="47"/>
      <x:c r="M43" s="49"/>
      <x:c r="N43" s="47"/>
      <x:c r="O43" s="47">
        <x:f t="shared" si="8"/>
      </x:c>
      <x:c r="P43" s="47">
        <x:f t="shared" si="9"/>
      </x:c>
      <x:c r="Q43" s="25"/>
      <x:c r="R43" s="57"/>
      <x:c r="S43" s="53"/>
      <x:c r="T43" s="53"/>
      <x:c r="U43" s="53"/>
      <x:c r="V43" s="53"/>
      <x:c r="W43" s="53"/>
      <x:c r="X43" s="53"/>
      <x:c r="Y43" s="53"/>
      <x:c r="Z43" s="53"/>
      <x:c r="AA43" s="53"/>
      <x:c r="AB43" s="53"/>
      <x:c r="AC43" s="53"/>
      <x:c r="AD43" s="53"/>
      <x:c r="AE43" s="53"/>
      <x:c r="AF43" s="53"/>
      <x:c r="AG43" s="53"/>
      <x:c r="AH43" s="53"/>
      <x:c r="AI43" s="53"/>
      <x:c r="AJ43" s="53"/>
      <x:c r="AK43" s="53"/>
      <x:c r="AL43" s="53"/>
      <x:c r="AM43" s="53"/>
      <x:c r="AN43" s="53"/>
      <x:c r="AO43" s="53"/>
      <x:c r="AP43" s="53"/>
      <x:c r="AQ43" s="53"/>
      <x:c r="AR43" s="53"/>
      <x:c r="AS43" s="53"/>
      <x:c r="AT43" s="53"/>
      <x:c r="AU43" s="53"/>
      <x:c r="AV43" s="53"/>
      <x:c r="AW43" s="53"/>
      <x:c r="AX43" s="73"/>
      <x:c r="AY43" s="53"/>
      <x:c r="AZ43" s="53"/>
      <x:c r="BA43" s="53"/>
      <x:c r="BB43" s="53"/>
      <x:c r="BC43" s="53"/>
      <x:c r="BD43" s="53"/>
      <x:c r="BE43" s="53"/>
      <x:c r="BF43" s="53"/>
      <x:c r="BG43" s="53"/>
      <x:c r="BH43" s="53"/>
      <x:c r="BI43" s="53"/>
      <x:c r="BJ43" s="53"/>
      <x:c r="BK43" s="53"/>
      <x:c r="BL43" s="53"/>
      <x:c r="BM43" s="53"/>
      <x:c r="BN43" s="53"/>
      <x:c r="BO43" s="53"/>
      <x:c r="BP43" s="53"/>
      <x:c r="BQ43" s="54"/>
    </x:row>
    <x:row r="44" ht="42" customHeight="1">
      <x:c r="A44" s="20"/>
      <x:c r="B44" s="36"/>
      <x:c r="C44" s="22"/>
      <x:c r="D44" s="22"/>
      <x:c r="E44" s="22"/>
      <x:c r="F44" s="47"/>
      <x:c r="G44" s="47"/>
      <x:c r="H44" s="47"/>
      <x:c r="I44" s="47">
        <x:f t="shared" si="5"/>
      </x:c>
      <x:c r="J44" s="48">
        <x:f t="shared" si="6"/>
      </x:c>
      <x:c r="K44" s="48">
        <x:f t="shared" si="7"/>
      </x:c>
      <x:c r="L44" s="47"/>
      <x:c r="M44" s="49"/>
      <x:c r="N44" s="47"/>
      <x:c r="O44" s="47">
        <x:f t="shared" si="8"/>
      </x:c>
      <x:c r="P44" s="47">
        <x:f t="shared" si="9"/>
      </x:c>
      <x:c r="Q44" s="25"/>
      <x:c r="R44" s="57"/>
      <x:c r="S44" s="53"/>
      <x:c r="T44" s="53"/>
      <x:c r="U44" s="53"/>
      <x:c r="V44" s="53"/>
      <x:c r="W44" s="53"/>
      <x:c r="X44" s="53"/>
      <x:c r="Y44" s="53"/>
      <x:c r="Z44" s="53"/>
      <x:c r="AA44" s="53"/>
      <x:c r="AB44" s="53"/>
      <x:c r="AC44" s="53"/>
      <x:c r="AD44" s="53"/>
      <x:c r="AE44" s="53"/>
      <x:c r="AF44" s="53"/>
      <x:c r="AG44" s="53"/>
      <x:c r="AH44" s="53"/>
      <x:c r="AI44" s="53"/>
      <x:c r="AJ44" s="53"/>
      <x:c r="AK44" s="53"/>
      <x:c r="AL44" s="53"/>
      <x:c r="AM44" s="53"/>
      <x:c r="AN44" s="53"/>
      <x:c r="AO44" s="53"/>
      <x:c r="AP44" s="53"/>
      <x:c r="AQ44" s="53"/>
      <x:c r="AR44" s="53"/>
      <x:c r="AS44" s="53"/>
      <x:c r="AT44" s="53"/>
      <x:c r="AU44" s="53"/>
      <x:c r="AV44" s="53"/>
      <x:c r="AW44" s="53"/>
      <x:c r="AX44" s="53"/>
      <x:c r="AY44" s="74"/>
      <x:c r="AZ44" s="75"/>
      <x:c r="BA44" s="53"/>
      <x:c r="BB44" s="53"/>
      <x:c r="BC44" s="53"/>
      <x:c r="BD44" s="53"/>
      <x:c r="BE44" s="53"/>
      <x:c r="BF44" s="53"/>
      <x:c r="BG44" s="53"/>
      <x:c r="BH44" s="53"/>
      <x:c r="BI44" s="53"/>
      <x:c r="BJ44" s="53"/>
      <x:c r="BK44" s="53"/>
      <x:c r="BL44" s="53"/>
      <x:c r="BM44" s="53"/>
      <x:c r="BN44" s="53"/>
      <x:c r="BO44" s="53"/>
      <x:c r="BP44" s="53"/>
      <x:c r="BQ44" s="54"/>
    </x:row>
    <x:row r="45" ht="42" customHeight="1">
      <x:c r="A45" s="20"/>
      <x:c r="B45" s="36"/>
      <x:c r="C45" s="22"/>
      <x:c r="D45" s="22"/>
      <x:c r="E45" s="22"/>
      <x:c r="F45" s="47"/>
      <x:c r="G45" s="47"/>
      <x:c r="H45" s="47"/>
      <x:c r="I45" s="47">
        <x:f t="shared" si="5"/>
      </x:c>
      <x:c r="J45" s="48">
        <x:f t="shared" si="6"/>
      </x:c>
      <x:c r="K45" s="48">
        <x:f t="shared" si="7"/>
      </x:c>
      <x:c r="L45" s="47"/>
      <x:c r="M45" s="49"/>
      <x:c r="N45" s="47"/>
      <x:c r="O45" s="47">
        <x:f t="shared" si="8"/>
      </x:c>
      <x:c r="P45" s="47">
        <x:f t="shared" si="9"/>
      </x:c>
      <x:c r="Q45" s="25"/>
      <x:c r="R45" s="57"/>
      <x:c r="S45" s="53"/>
      <x:c r="T45" s="53"/>
      <x:c r="U45" s="53"/>
      <x:c r="V45" s="53"/>
      <x:c r="W45" s="53"/>
      <x:c r="X45" s="53"/>
      <x:c r="Y45" s="53"/>
      <x:c r="Z45" s="53"/>
      <x:c r="AA45" s="53"/>
      <x:c r="AB45" s="53"/>
      <x:c r="AC45" s="53"/>
      <x:c r="AD45" s="53"/>
      <x:c r="AE45" s="53"/>
      <x:c r="AF45" s="53"/>
      <x:c r="AG45" s="53"/>
      <x:c r="AH45" s="53"/>
      <x:c r="AI45" s="53"/>
      <x:c r="AJ45" s="53"/>
      <x:c r="AK45" s="53"/>
      <x:c r="AL45" s="53"/>
      <x:c r="AM45" s="53"/>
      <x:c r="AN45" s="53"/>
      <x:c r="AO45" s="53"/>
      <x:c r="AP45" s="53"/>
      <x:c r="AQ45" s="53"/>
      <x:c r="AR45" s="53"/>
      <x:c r="AS45" s="53"/>
      <x:c r="AT45" s="53"/>
      <x:c r="AU45" s="53"/>
      <x:c r="AV45" s="53"/>
      <x:c r="AW45" s="53"/>
      <x:c r="AX45" s="53"/>
      <x:c r="AY45" s="53"/>
      <x:c r="AZ45" s="74"/>
      <x:c r="BA45" s="75"/>
      <x:c r="BB45" s="53"/>
      <x:c r="BC45" s="53"/>
      <x:c r="BD45" s="53"/>
      <x:c r="BE45" s="53"/>
      <x:c r="BF45" s="53"/>
      <x:c r="BG45" s="53"/>
      <x:c r="BH45" s="53"/>
      <x:c r="BI45" s="53"/>
      <x:c r="BJ45" s="53"/>
      <x:c r="BK45" s="53"/>
      <x:c r="BL45" s="53"/>
      <x:c r="BM45" s="53"/>
      <x:c r="BN45" s="53"/>
      <x:c r="BO45" s="53"/>
      <x:c r="BP45" s="53"/>
      <x:c r="BQ45" s="54"/>
    </x:row>
    <x:row r="46" ht="42" customHeight="1">
      <x:c r="A46" s="20"/>
      <x:c r="B46" s="36"/>
      <x:c r="C46" s="22"/>
      <x:c r="D46" s="22"/>
      <x:c r="E46" s="22"/>
      <x:c r="F46" s="47"/>
      <x:c r="G46" s="47"/>
      <x:c r="H46" s="47"/>
      <x:c r="I46" s="47">
        <x:f t="shared" si="5"/>
      </x:c>
      <x:c r="J46" s="48">
        <x:f t="shared" si="6"/>
      </x:c>
      <x:c r="K46" s="48">
        <x:f t="shared" si="7"/>
      </x:c>
      <x:c r="L46" s="47"/>
      <x:c r="M46" s="49"/>
      <x:c r="N46" s="47"/>
      <x:c r="O46" s="47">
        <x:f t="shared" si="8"/>
      </x:c>
      <x:c r="P46" s="47">
        <x:f t="shared" si="9"/>
      </x:c>
      <x:c r="Q46" s="25"/>
      <x:c r="R46" s="57"/>
      <x:c r="S46" s="53"/>
      <x:c r="T46" s="53"/>
      <x:c r="U46" s="53"/>
      <x:c r="V46" s="53"/>
      <x:c r="W46" s="53"/>
      <x:c r="X46" s="53"/>
      <x:c r="Y46" s="53"/>
      <x:c r="Z46" s="53"/>
      <x:c r="AA46" s="53"/>
      <x:c r="AB46" s="53"/>
      <x:c r="AC46" s="53"/>
      <x:c r="AD46" s="53"/>
      <x:c r="AE46" s="53"/>
      <x:c r="AF46" s="53"/>
      <x:c r="AG46" s="53"/>
      <x:c r="AH46" s="53"/>
      <x:c r="AI46" s="53"/>
      <x:c r="AJ46" s="53"/>
      <x:c r="AK46" s="53"/>
      <x:c r="AL46" s="53"/>
      <x:c r="AM46" s="53"/>
      <x:c r="AN46" s="53"/>
      <x:c r="AO46" s="53"/>
      <x:c r="AP46" s="53"/>
      <x:c r="AQ46" s="53"/>
      <x:c r="AR46" s="53"/>
      <x:c r="AS46" s="53"/>
      <x:c r="AT46" s="53"/>
      <x:c r="AU46" s="53"/>
      <x:c r="AV46" s="53"/>
      <x:c r="AW46" s="53"/>
      <x:c r="AX46" s="53"/>
      <x:c r="AY46" s="53"/>
      <x:c r="AZ46" s="53"/>
      <x:c r="BA46" s="73"/>
      <x:c r="BB46" s="53"/>
      <x:c r="BC46" s="53"/>
      <x:c r="BD46" s="53"/>
      <x:c r="BE46" s="53"/>
      <x:c r="BF46" s="53"/>
      <x:c r="BG46" s="53"/>
      <x:c r="BH46" s="53"/>
      <x:c r="BI46" s="53"/>
      <x:c r="BJ46" s="53"/>
      <x:c r="BK46" s="53"/>
      <x:c r="BL46" s="53"/>
      <x:c r="BM46" s="53"/>
      <x:c r="BN46" s="53"/>
      <x:c r="BO46" s="53"/>
      <x:c r="BP46" s="53"/>
      <x:c r="BQ46" s="54"/>
    </x:row>
    <x:row r="47" ht="42" customHeight="1">
      <x:c r="A47" s="20"/>
      <x:c r="B47" s="36"/>
      <x:c r="C47" s="22"/>
      <x:c r="D47" s="22"/>
      <x:c r="E47" s="22"/>
      <x:c r="F47" s="47"/>
      <x:c r="G47" s="47"/>
      <x:c r="H47" s="47"/>
      <x:c r="I47" s="47">
        <x:f t="shared" si="5"/>
      </x:c>
      <x:c r="J47" s="48">
        <x:f t="shared" si="6"/>
      </x:c>
      <x:c r="K47" s="48">
        <x:f t="shared" si="7"/>
      </x:c>
      <x:c r="L47" s="47"/>
      <x:c r="M47" s="49"/>
      <x:c r="N47" s="47"/>
      <x:c r="O47" s="47">
        <x:f t="shared" si="8"/>
      </x:c>
      <x:c r="P47" s="47">
        <x:f t="shared" si="9"/>
      </x:c>
      <x:c r="Q47" s="25"/>
      <x:c r="R47" s="57"/>
      <x:c r="S47" s="53"/>
      <x:c r="T47" s="53"/>
      <x:c r="U47" s="53"/>
      <x:c r="V47" s="53"/>
      <x:c r="W47" s="53"/>
      <x:c r="X47" s="53"/>
      <x:c r="Y47" s="53"/>
      <x:c r="Z47" s="53"/>
      <x:c r="AA47" s="53"/>
      <x:c r="AB47" s="53"/>
      <x:c r="AC47" s="53"/>
      <x:c r="AD47" s="53"/>
      <x:c r="AE47" s="53"/>
      <x:c r="AF47" s="53"/>
      <x:c r="AG47" s="53"/>
      <x:c r="AH47" s="53"/>
      <x:c r="AI47" s="53"/>
      <x:c r="AJ47" s="53"/>
      <x:c r="AK47" s="53"/>
      <x:c r="AL47" s="53"/>
      <x:c r="AM47" s="53"/>
      <x:c r="AN47" s="53"/>
      <x:c r="AO47" s="53"/>
      <x:c r="AP47" s="53"/>
      <x:c r="AQ47" s="53"/>
      <x:c r="AR47" s="53"/>
      <x:c r="AS47" s="53"/>
      <x:c r="AT47" s="53"/>
      <x:c r="AU47" s="53"/>
      <x:c r="AV47" s="53"/>
      <x:c r="AW47" s="53"/>
      <x:c r="AX47" s="53"/>
      <x:c r="AY47" s="53"/>
      <x:c r="AZ47" s="53"/>
      <x:c r="BA47" s="53"/>
      <x:c r="BB47" s="74"/>
      <x:c r="BC47" s="75"/>
      <x:c r="BD47" s="53"/>
      <x:c r="BE47" s="53"/>
      <x:c r="BF47" s="53"/>
      <x:c r="BG47" s="53"/>
      <x:c r="BH47" s="53"/>
      <x:c r="BI47" s="53"/>
      <x:c r="BJ47" s="53"/>
      <x:c r="BK47" s="53"/>
      <x:c r="BL47" s="53"/>
      <x:c r="BM47" s="53"/>
      <x:c r="BN47" s="53"/>
      <x:c r="BO47" s="53"/>
      <x:c r="BP47" s="53"/>
      <x:c r="BQ47" s="54"/>
    </x:row>
    <x:row r="48" ht="42" customHeight="1">
      <x:c r="A48" s="20"/>
      <x:c r="B48" s="36"/>
      <x:c r="C48" s="22"/>
      <x:c r="D48" s="22"/>
      <x:c r="E48" s="22"/>
      <x:c r="F48" s="47"/>
      <x:c r="G48" s="47"/>
      <x:c r="H48" s="47"/>
      <x:c r="I48" s="47">
        <x:f t="shared" si="5"/>
      </x:c>
      <x:c r="J48" s="48">
        <x:f t="shared" si="6"/>
      </x:c>
      <x:c r="K48" s="48">
        <x:f t="shared" si="7"/>
      </x:c>
      <x:c r="L48" s="47"/>
      <x:c r="M48" s="49"/>
      <x:c r="N48" s="47"/>
      <x:c r="O48" s="47">
        <x:f t="shared" si="8"/>
      </x:c>
      <x:c r="P48" s="47">
        <x:f t="shared" si="9"/>
      </x:c>
      <x:c r="Q48" s="25"/>
      <x:c r="R48" s="57"/>
      <x:c r="S48" s="53"/>
      <x:c r="T48" s="53"/>
      <x:c r="U48" s="53"/>
      <x:c r="V48" s="53"/>
      <x:c r="W48" s="53"/>
      <x:c r="X48" s="53"/>
      <x:c r="Y48" s="53"/>
      <x:c r="Z48" s="53"/>
      <x:c r="AA48" s="53"/>
      <x:c r="AB48" s="53"/>
      <x:c r="AC48" s="53"/>
      <x:c r="AD48" s="53"/>
      <x:c r="AE48" s="53"/>
      <x:c r="AF48" s="53"/>
      <x:c r="AG48" s="53"/>
      <x:c r="AH48" s="53"/>
      <x:c r="AI48" s="53"/>
      <x:c r="AJ48" s="53"/>
      <x:c r="AK48" s="53"/>
      <x:c r="AL48" s="53"/>
      <x:c r="AM48" s="53"/>
      <x:c r="AN48" s="53"/>
      <x:c r="AO48" s="53"/>
      <x:c r="AP48" s="53"/>
      <x:c r="AQ48" s="53"/>
      <x:c r="AR48" s="53"/>
      <x:c r="AS48" s="53"/>
      <x:c r="AT48" s="53"/>
      <x:c r="AU48" s="53"/>
      <x:c r="AV48" s="53"/>
      <x:c r="AW48" s="53"/>
      <x:c r="AX48" s="53"/>
      <x:c r="AY48" s="53"/>
      <x:c r="AZ48" s="53"/>
      <x:c r="BA48" s="53"/>
      <x:c r="BB48" s="53"/>
      <x:c r="BC48" s="74"/>
      <x:c r="BD48" s="75"/>
      <x:c r="BE48" s="53"/>
      <x:c r="BF48" s="53"/>
      <x:c r="BG48" s="53"/>
      <x:c r="BH48" s="53"/>
      <x:c r="BI48" s="53"/>
      <x:c r="BJ48" s="53"/>
      <x:c r="BK48" s="53"/>
      <x:c r="BL48" s="53"/>
      <x:c r="BM48" s="53"/>
      <x:c r="BN48" s="53"/>
      <x:c r="BO48" s="53"/>
      <x:c r="BP48" s="53"/>
      <x:c r="BQ48" s="54"/>
    </x:row>
    <x:row r="49" ht="42" customHeight="1">
      <x:c r="A49" s="20"/>
      <x:c r="B49" s="36"/>
      <x:c r="C49" s="22"/>
      <x:c r="D49" s="22"/>
      <x:c r="E49" s="22"/>
      <x:c r="F49" s="47"/>
      <x:c r="G49" s="47"/>
      <x:c r="H49" s="47"/>
      <x:c r="I49" s="47">
        <x:f t="shared" si="5"/>
      </x:c>
      <x:c r="J49" s="48">
        <x:f t="shared" si="6"/>
      </x:c>
      <x:c r="K49" s="48">
        <x:f t="shared" si="7"/>
      </x:c>
      <x:c r="L49" s="47"/>
      <x:c r="M49" s="49"/>
      <x:c r="N49" s="47"/>
      <x:c r="O49" s="47">
        <x:f t="shared" si="8"/>
      </x:c>
      <x:c r="P49" s="47">
        <x:f t="shared" si="9"/>
      </x:c>
      <x:c r="Q49" s="25"/>
      <x:c r="R49" s="57"/>
      <x:c r="S49" s="53"/>
      <x:c r="T49" s="53"/>
      <x:c r="U49" s="53"/>
      <x:c r="V49" s="53"/>
      <x:c r="W49" s="53"/>
      <x:c r="X49" s="53"/>
      <x:c r="Y49" s="53"/>
      <x:c r="Z49" s="53"/>
      <x:c r="AA49" s="53"/>
      <x:c r="AB49" s="53"/>
      <x:c r="AC49" s="53"/>
      <x:c r="AD49" s="53"/>
      <x:c r="AE49" s="53"/>
      <x:c r="AF49" s="53"/>
      <x:c r="AG49" s="53"/>
      <x:c r="AH49" s="53"/>
      <x:c r="AI49" s="53"/>
      <x:c r="AJ49" s="53"/>
      <x:c r="AK49" s="53"/>
      <x:c r="AL49" s="53"/>
      <x:c r="AM49" s="53"/>
      <x:c r="AN49" s="53"/>
      <x:c r="AO49" s="53"/>
      <x:c r="AP49" s="53"/>
      <x:c r="AQ49" s="53"/>
      <x:c r="AR49" s="53"/>
      <x:c r="AS49" s="53"/>
      <x:c r="AT49" s="53"/>
      <x:c r="AU49" s="53"/>
      <x:c r="AV49" s="53"/>
      <x:c r="AW49" s="53"/>
      <x:c r="AX49" s="53"/>
      <x:c r="AY49" s="53"/>
      <x:c r="AZ49" s="53"/>
      <x:c r="BA49" s="53"/>
      <x:c r="BB49" s="53"/>
      <x:c r="BC49" s="53"/>
      <x:c r="BD49" s="53"/>
      <x:c r="BE49" s="74"/>
      <x:c r="BF49" s="75"/>
      <x:c r="BG49" s="53"/>
      <x:c r="BH49" s="53"/>
      <x:c r="BI49" s="53"/>
      <x:c r="BJ49" s="53"/>
      <x:c r="BK49" s="53"/>
      <x:c r="BL49" s="53"/>
      <x:c r="BM49" s="53"/>
      <x:c r="BN49" s="53"/>
      <x:c r="BO49" s="53"/>
      <x:c r="BP49" s="53"/>
      <x:c r="BQ49" s="54"/>
    </x:row>
    <x:row r="50" ht="42" customHeight="1">
      <x:c r="A50" s="20"/>
      <x:c r="B50" s="36"/>
      <x:c r="C50" s="22"/>
      <x:c r="D50" s="22"/>
      <x:c r="E50" s="22"/>
      <x:c r="F50" s="47"/>
      <x:c r="G50" s="47"/>
      <x:c r="H50" s="47"/>
      <x:c r="I50" s="47">
        <x:f t="shared" si="5"/>
      </x:c>
      <x:c r="J50" s="48">
        <x:f t="shared" si="6"/>
      </x:c>
      <x:c r="K50" s="48">
        <x:f t="shared" si="7"/>
      </x:c>
      <x:c r="L50" s="47"/>
      <x:c r="M50" s="49"/>
      <x:c r="N50" s="47"/>
      <x:c r="O50" s="47">
        <x:f t="shared" si="8"/>
      </x:c>
      <x:c r="P50" s="47">
        <x:f t="shared" si="9"/>
      </x:c>
      <x:c r="Q50" s="25"/>
      <x:c r="R50" s="57"/>
      <x:c r="S50" s="53"/>
      <x:c r="T50" s="53"/>
      <x:c r="U50" s="53"/>
      <x:c r="V50" s="53"/>
      <x:c r="W50" s="53"/>
      <x:c r="X50" s="53"/>
      <x:c r="Y50" s="53"/>
      <x:c r="Z50" s="53"/>
      <x:c r="AA50" s="53"/>
      <x:c r="AB50" s="53"/>
      <x:c r="AC50" s="53"/>
      <x:c r="AD50" s="53"/>
      <x:c r="AE50" s="53"/>
      <x:c r="AF50" s="53"/>
      <x:c r="AG50" s="53"/>
      <x:c r="AH50" s="53"/>
      <x:c r="AI50" s="53"/>
      <x:c r="AJ50" s="53"/>
      <x:c r="AK50" s="53"/>
      <x:c r="AL50" s="53"/>
      <x:c r="AM50" s="53"/>
      <x:c r="AN50" s="53"/>
      <x:c r="AO50" s="53"/>
      <x:c r="AP50" s="53"/>
      <x:c r="AQ50" s="53"/>
      <x:c r="AR50" s="53"/>
      <x:c r="AS50" s="53"/>
      <x:c r="AT50" s="53"/>
      <x:c r="AU50" s="53"/>
      <x:c r="AV50" s="53"/>
      <x:c r="AW50" s="53"/>
      <x:c r="AX50" s="53"/>
      <x:c r="AY50" s="53"/>
      <x:c r="AZ50" s="53"/>
      <x:c r="BA50" s="53"/>
      <x:c r="BB50" s="53"/>
      <x:c r="BC50" s="53"/>
      <x:c r="BD50" s="53"/>
      <x:c r="BE50" s="53"/>
      <x:c r="BF50" s="53"/>
      <x:c r="BG50" s="73"/>
      <x:c r="BH50" s="53"/>
      <x:c r="BI50" s="53"/>
      <x:c r="BJ50" s="53"/>
      <x:c r="BK50" s="53"/>
      <x:c r="BL50" s="53"/>
      <x:c r="BM50" s="53"/>
      <x:c r="BN50" s="53"/>
      <x:c r="BO50" s="53"/>
      <x:c r="BP50" s="53"/>
      <x:c r="BQ50" s="54"/>
    </x:row>
    <x:row r="51" ht="42" customHeight="1">
      <x:c r="A51" s="20"/>
      <x:c r="B51" s="38"/>
      <x:c r="C51" s="22"/>
      <x:c r="D51" s="22"/>
      <x:c r="E51" s="22"/>
      <x:c r="F51" s="47"/>
      <x:c r="G51" s="47"/>
      <x:c r="H51" s="47"/>
      <x:c r="I51" s="47">
        <x:f t="shared" si="5"/>
      </x:c>
      <x:c r="J51" s="48">
        <x:f t="shared" si="6"/>
      </x:c>
      <x:c r="K51" s="48">
        <x:f t="shared" si="7"/>
      </x:c>
      <x:c r="L51" s="47"/>
      <x:c r="M51" s="49"/>
      <x:c r="N51" s="47"/>
      <x:c r="O51" s="47">
        <x:f t="shared" si="8"/>
      </x:c>
      <x:c r="P51" s="47">
        <x:f t="shared" si="9"/>
      </x:c>
      <x:c r="Q51" s="25"/>
      <x:c r="R51" s="57"/>
      <x:c r="S51" s="53"/>
      <x:c r="T51" s="53"/>
      <x:c r="U51" s="53"/>
      <x:c r="V51" s="53"/>
      <x:c r="W51" s="53"/>
      <x:c r="X51" s="53"/>
      <x:c r="Y51" s="53"/>
      <x:c r="Z51" s="53"/>
      <x:c r="AA51" s="53"/>
      <x:c r="AB51" s="53"/>
      <x:c r="AC51" s="53"/>
      <x:c r="AD51" s="53"/>
      <x:c r="AE51" s="53"/>
      <x:c r="AF51" s="53"/>
      <x:c r="AG51" s="53"/>
      <x:c r="AH51" s="53"/>
      <x:c r="AI51" s="53"/>
      <x:c r="AJ51" s="53"/>
      <x:c r="AK51" s="53"/>
      <x:c r="AL51" s="53"/>
      <x:c r="AM51" s="53"/>
      <x:c r="AN51" s="53"/>
      <x:c r="AO51" s="53"/>
      <x:c r="AP51" s="53"/>
      <x:c r="AQ51" s="53"/>
      <x:c r="AR51" s="53"/>
      <x:c r="AS51" s="53"/>
      <x:c r="AT51" s="53"/>
      <x:c r="AU51" s="53"/>
      <x:c r="AV51" s="53"/>
      <x:c r="AW51" s="53"/>
      <x:c r="AX51" s="53"/>
      <x:c r="AY51" s="53"/>
      <x:c r="AZ51" s="53"/>
      <x:c r="BA51" s="53"/>
      <x:c r="BB51" s="53"/>
      <x:c r="BC51" s="53"/>
      <x:c r="BD51" s="53"/>
      <x:c r="BE51" s="53"/>
      <x:c r="BF51" s="53"/>
      <x:c r="BG51" s="53"/>
      <x:c r="BH51" s="76"/>
      <x:c r="BI51" s="53"/>
      <x:c r="BJ51" s="53"/>
      <x:c r="BK51" s="53"/>
      <x:c r="BL51" s="53"/>
      <x:c r="BM51" s="53"/>
      <x:c r="BN51" s="53"/>
      <x:c r="BO51" s="53"/>
      <x:c r="BP51" s="53"/>
      <x:c r="BQ51" s="54"/>
    </x:row>
    <x:row r="52" ht="42" customHeight="1">
      <x:c r="A52" s="20"/>
      <x:c r="B52" s="38"/>
      <x:c r="C52" s="22"/>
      <x:c r="D52" s="22"/>
      <x:c r="E52" s="22"/>
      <x:c r="F52" s="47"/>
      <x:c r="G52" s="47"/>
      <x:c r="H52" s="47"/>
      <x:c r="I52" s="47">
        <x:f t="shared" si="5"/>
      </x:c>
      <x:c r="J52" s="48">
        <x:f t="shared" si="6"/>
      </x:c>
      <x:c r="K52" s="48">
        <x:f t="shared" si="7"/>
      </x:c>
      <x:c r="L52" s="47"/>
      <x:c r="M52" s="49"/>
      <x:c r="N52" s="47"/>
      <x:c r="O52" s="47">
        <x:f t="shared" si="8"/>
      </x:c>
      <x:c r="P52" s="47">
        <x:f t="shared" si="9"/>
      </x:c>
      <x:c r="Q52" s="25"/>
      <x:c r="R52" s="57"/>
      <x:c r="S52" s="53"/>
      <x:c r="T52" s="53"/>
      <x:c r="U52" s="53"/>
      <x:c r="V52" s="53"/>
      <x:c r="W52" s="53"/>
      <x:c r="X52" s="53"/>
      <x:c r="Y52" s="53"/>
      <x:c r="Z52" s="53"/>
      <x:c r="AA52" s="53"/>
      <x:c r="AB52" s="53"/>
      <x:c r="AC52" s="53"/>
      <x:c r="AD52" s="53"/>
      <x:c r="AE52" s="53"/>
      <x:c r="AF52" s="53"/>
      <x:c r="AG52" s="53"/>
      <x:c r="AH52" s="53"/>
      <x:c r="AI52" s="53"/>
      <x:c r="AJ52" s="53"/>
      <x:c r="AK52" s="53"/>
      <x:c r="AL52" s="53"/>
      <x:c r="AM52" s="53"/>
      <x:c r="AN52" s="53"/>
      <x:c r="AO52" s="53"/>
      <x:c r="AP52" s="53"/>
      <x:c r="AQ52" s="53"/>
      <x:c r="AR52" s="53"/>
      <x:c r="AS52" s="53"/>
      <x:c r="AT52" s="53"/>
      <x:c r="AU52" s="53"/>
      <x:c r="AV52" s="53"/>
      <x:c r="AW52" s="53"/>
      <x:c r="AX52" s="53"/>
      <x:c r="AY52" s="53"/>
      <x:c r="AZ52" s="53"/>
      <x:c r="BA52" s="53"/>
      <x:c r="BB52" s="53"/>
      <x:c r="BC52" s="53"/>
      <x:c r="BD52" s="53"/>
      <x:c r="BE52" s="53"/>
      <x:c r="BF52" s="53"/>
      <x:c r="BG52" s="53"/>
      <x:c r="BH52" s="77"/>
      <x:c r="BI52" s="78"/>
      <x:c r="BJ52" s="53"/>
      <x:c r="BK52" s="53"/>
      <x:c r="BL52" s="53"/>
      <x:c r="BM52" s="53"/>
      <x:c r="BN52" s="53"/>
      <x:c r="BO52" s="53"/>
      <x:c r="BP52" s="53"/>
      <x:c r="BQ52" s="54"/>
    </x:row>
    <x:row r="53" ht="42" customHeight="1">
      <x:c r="A53" s="20"/>
      <x:c r="B53" s="38"/>
      <x:c r="C53" s="22"/>
      <x:c r="D53" s="22"/>
      <x:c r="E53" s="22"/>
      <x:c r="F53" s="47"/>
      <x:c r="G53" s="47"/>
      <x:c r="H53" s="47"/>
      <x:c r="I53" s="47">
        <x:f t="shared" si="5"/>
      </x:c>
      <x:c r="J53" s="48">
        <x:f t="shared" si="6"/>
      </x:c>
      <x:c r="K53" s="48">
        <x:f t="shared" si="7"/>
      </x:c>
      <x:c r="L53" s="47"/>
      <x:c r="M53" s="49"/>
      <x:c r="N53" s="47"/>
      <x:c r="O53" s="47">
        <x:f t="shared" si="8"/>
      </x:c>
      <x:c r="P53" s="47">
        <x:f t="shared" si="9"/>
      </x:c>
      <x:c r="Q53" s="25"/>
      <x:c r="R53" s="57"/>
      <x:c r="S53" s="53"/>
      <x:c r="T53" s="53"/>
      <x:c r="U53" s="53"/>
      <x:c r="V53" s="53"/>
      <x:c r="W53" s="53"/>
      <x:c r="X53" s="53"/>
      <x:c r="Y53" s="53"/>
      <x:c r="Z53" s="53"/>
      <x:c r="AA53" s="53"/>
      <x:c r="AB53" s="53"/>
      <x:c r="AC53" s="53"/>
      <x:c r="AD53" s="53"/>
      <x:c r="AE53" s="53"/>
      <x:c r="AF53" s="53"/>
      <x:c r="AG53" s="53"/>
      <x:c r="AH53" s="53"/>
      <x:c r="AI53" s="53"/>
      <x:c r="AJ53" s="53"/>
      <x:c r="AK53" s="53"/>
      <x:c r="AL53" s="53"/>
      <x:c r="AM53" s="53"/>
      <x:c r="AN53" s="53"/>
      <x:c r="AO53" s="53"/>
      <x:c r="AP53" s="53"/>
      <x:c r="AQ53" s="53"/>
      <x:c r="AR53" s="53"/>
      <x:c r="AS53" s="53"/>
      <x:c r="AT53" s="53"/>
      <x:c r="AU53" s="53"/>
      <x:c r="AV53" s="53"/>
      <x:c r="AW53" s="53"/>
      <x:c r="AX53" s="53"/>
      <x:c r="AY53" s="53"/>
      <x:c r="AZ53" s="53"/>
      <x:c r="BA53" s="53"/>
      <x:c r="BB53" s="53"/>
      <x:c r="BC53" s="53"/>
      <x:c r="BD53" s="53"/>
      <x:c r="BE53" s="53"/>
      <x:c r="BF53" s="53"/>
      <x:c r="BG53" s="53"/>
      <x:c r="BH53" s="53"/>
      <x:c r="BI53" s="77"/>
      <x:c r="BJ53" s="78"/>
      <x:c r="BK53" s="53"/>
      <x:c r="BL53" s="53"/>
      <x:c r="BM53" s="53"/>
      <x:c r="BN53" s="53"/>
      <x:c r="BO53" s="53"/>
      <x:c r="BP53" s="53"/>
      <x:c r="BQ53" s="54"/>
    </x:row>
    <x:row r="54" ht="42" customHeight="1">
      <x:c r="A54" s="20"/>
      <x:c r="B54" s="38"/>
      <x:c r="C54" s="22"/>
      <x:c r="D54" s="22"/>
      <x:c r="E54" s="22"/>
      <x:c r="F54" s="47"/>
      <x:c r="G54" s="47"/>
      <x:c r="H54" s="47"/>
      <x:c r="I54" s="47">
        <x:f t="shared" si="5"/>
      </x:c>
      <x:c r="J54" s="48">
        <x:f t="shared" si="6"/>
      </x:c>
      <x:c r="K54" s="48">
        <x:f t="shared" si="7"/>
      </x:c>
      <x:c r="L54" s="47"/>
      <x:c r="M54" s="49"/>
      <x:c r="N54" s="47"/>
      <x:c r="O54" s="47">
        <x:f t="shared" si="8"/>
      </x:c>
      <x:c r="P54" s="47">
        <x:f t="shared" si="9"/>
      </x:c>
      <x:c r="Q54" s="25"/>
      <x:c r="R54" s="57"/>
      <x:c r="S54" s="53"/>
      <x:c r="T54" s="53"/>
      <x:c r="U54" s="53"/>
      <x:c r="V54" s="53"/>
      <x:c r="W54" s="53"/>
      <x:c r="X54" s="53"/>
      <x:c r="Y54" s="53"/>
      <x:c r="Z54" s="53"/>
      <x:c r="AA54" s="53"/>
      <x:c r="AB54" s="53"/>
      <x:c r="AC54" s="53"/>
      <x:c r="AD54" s="53"/>
      <x:c r="AE54" s="53"/>
      <x:c r="AF54" s="53"/>
      <x:c r="AG54" s="53"/>
      <x:c r="AH54" s="53"/>
      <x:c r="AI54" s="53"/>
      <x:c r="AJ54" s="53"/>
      <x:c r="AK54" s="53"/>
      <x:c r="AL54" s="53"/>
      <x:c r="AM54" s="53"/>
      <x:c r="AN54" s="53"/>
      <x:c r="AO54" s="53"/>
      <x:c r="AP54" s="53"/>
      <x:c r="AQ54" s="53"/>
      <x:c r="AR54" s="53"/>
      <x:c r="AS54" s="53"/>
      <x:c r="AT54" s="53"/>
      <x:c r="AU54" s="53"/>
      <x:c r="AV54" s="53"/>
      <x:c r="AW54" s="53"/>
      <x:c r="AX54" s="53"/>
      <x:c r="AY54" s="53"/>
      <x:c r="AZ54" s="53"/>
      <x:c r="BA54" s="53"/>
      <x:c r="BB54" s="53"/>
      <x:c r="BC54" s="53"/>
      <x:c r="BD54" s="53"/>
      <x:c r="BE54" s="53"/>
      <x:c r="BF54" s="53"/>
      <x:c r="BG54" s="53"/>
      <x:c r="BH54" s="53"/>
      <x:c r="BI54" s="53"/>
      <x:c r="BJ54" s="77"/>
      <x:c r="BK54" s="78"/>
      <x:c r="BL54" s="53"/>
      <x:c r="BM54" s="53"/>
      <x:c r="BN54" s="53"/>
      <x:c r="BO54" s="53"/>
      <x:c r="BP54" s="53"/>
      <x:c r="BQ54" s="54"/>
    </x:row>
    <x:row r="55" ht="42" customHeight="1">
      <x:c r="A55" s="20"/>
      <x:c r="B55" s="38"/>
      <x:c r="C55" s="22"/>
      <x:c r="D55" s="22"/>
      <x:c r="E55" s="22"/>
      <x:c r="F55" s="47"/>
      <x:c r="G55" s="47"/>
      <x:c r="H55" s="47"/>
      <x:c r="I55" s="47">
        <x:f t="shared" si="5"/>
      </x:c>
      <x:c r="J55" s="48">
        <x:f t="shared" si="6"/>
      </x:c>
      <x:c r="K55" s="48">
        <x:f t="shared" si="7"/>
      </x:c>
      <x:c r="L55" s="47"/>
      <x:c r="M55" s="49"/>
      <x:c r="N55" s="47"/>
      <x:c r="O55" s="47">
        <x:f t="shared" si="8"/>
      </x:c>
      <x:c r="P55" s="47">
        <x:f t="shared" si="9"/>
      </x:c>
      <x:c r="Q55" s="25"/>
      <x:c r="R55" s="57"/>
      <x:c r="S55" s="53"/>
      <x:c r="T55" s="53"/>
      <x:c r="U55" s="53"/>
      <x:c r="V55" s="53"/>
      <x:c r="W55" s="53"/>
      <x:c r="X55" s="53"/>
      <x:c r="Y55" s="53"/>
      <x:c r="Z55" s="53"/>
      <x:c r="AA55" s="53"/>
      <x:c r="AB55" s="53"/>
      <x:c r="AC55" s="53"/>
      <x:c r="AD55" s="53"/>
      <x:c r="AE55" s="53"/>
      <x:c r="AF55" s="53"/>
      <x:c r="AG55" s="53"/>
      <x:c r="AH55" s="53"/>
      <x:c r="AI55" s="53"/>
      <x:c r="AJ55" s="53"/>
      <x:c r="AK55" s="53"/>
      <x:c r="AL55" s="53"/>
      <x:c r="AM55" s="53"/>
      <x:c r="AN55" s="53"/>
      <x:c r="AO55" s="53"/>
      <x:c r="AP55" s="53"/>
      <x:c r="AQ55" s="53"/>
      <x:c r="AR55" s="53"/>
      <x:c r="AS55" s="53"/>
      <x:c r="AT55" s="53"/>
      <x:c r="AU55" s="53"/>
      <x:c r="AV55" s="53"/>
      <x:c r="AW55" s="53"/>
      <x:c r="AX55" s="53"/>
      <x:c r="AY55" s="53"/>
      <x:c r="AZ55" s="53"/>
      <x:c r="BA55" s="53"/>
      <x:c r="BB55" s="53"/>
      <x:c r="BC55" s="53"/>
      <x:c r="BD55" s="53"/>
      <x:c r="BE55" s="53"/>
      <x:c r="BF55" s="53"/>
      <x:c r="BG55" s="53"/>
      <x:c r="BH55" s="53"/>
      <x:c r="BI55" s="53"/>
      <x:c r="BJ55" s="53"/>
      <x:c r="BK55" s="77"/>
      <x:c r="BL55" s="78"/>
      <x:c r="BM55" s="53"/>
      <x:c r="BN55" s="53"/>
      <x:c r="BO55" s="53"/>
      <x:c r="BP55" s="53"/>
      <x:c r="BQ55" s="54"/>
    </x:row>
    <x:row r="56" ht="42" customHeight="1">
      <x:c r="A56" s="20"/>
      <x:c r="B56" s="38"/>
      <x:c r="C56" s="22"/>
      <x:c r="D56" s="22"/>
      <x:c r="E56" s="22"/>
      <x:c r="F56" s="47"/>
      <x:c r="G56" s="47"/>
      <x:c r="H56" s="47"/>
      <x:c r="I56" s="47">
        <x:f t="shared" si="5"/>
      </x:c>
      <x:c r="J56" s="48">
        <x:f t="shared" si="6"/>
      </x:c>
      <x:c r="K56" s="48">
        <x:f t="shared" si="7"/>
      </x:c>
      <x:c r="L56" s="47"/>
      <x:c r="M56" s="49"/>
      <x:c r="N56" s="47"/>
      <x:c r="O56" s="47">
        <x:f t="shared" si="8"/>
      </x:c>
      <x:c r="P56" s="47">
        <x:f t="shared" si="9"/>
      </x:c>
      <x:c r="Q56" s="25"/>
      <x:c r="R56" s="57"/>
      <x:c r="S56" s="53"/>
      <x:c r="T56" s="53"/>
      <x:c r="U56" s="53"/>
      <x:c r="V56" s="53"/>
      <x:c r="W56" s="53"/>
      <x:c r="X56" s="53"/>
      <x:c r="Y56" s="53"/>
      <x:c r="Z56" s="53"/>
      <x:c r="AA56" s="53"/>
      <x:c r="AB56" s="53"/>
      <x:c r="AC56" s="53"/>
      <x:c r="AD56" s="53"/>
      <x:c r="AE56" s="53"/>
      <x:c r="AF56" s="53"/>
      <x:c r="AG56" s="53"/>
      <x:c r="AH56" s="53"/>
      <x:c r="AI56" s="53"/>
      <x:c r="AJ56" s="53"/>
      <x:c r="AK56" s="53"/>
      <x:c r="AL56" s="53"/>
      <x:c r="AM56" s="53"/>
      <x:c r="AN56" s="53"/>
      <x:c r="AO56" s="53"/>
      <x:c r="AP56" s="53"/>
      <x:c r="AQ56" s="53"/>
      <x:c r="AR56" s="53"/>
      <x:c r="AS56" s="53"/>
      <x:c r="AT56" s="53"/>
      <x:c r="AU56" s="53"/>
      <x:c r="AV56" s="53"/>
      <x:c r="AW56" s="53"/>
      <x:c r="AX56" s="53"/>
      <x:c r="AY56" s="53"/>
      <x:c r="AZ56" s="53"/>
      <x:c r="BA56" s="53"/>
      <x:c r="BB56" s="53"/>
      <x:c r="BC56" s="53"/>
      <x:c r="BD56" s="53"/>
      <x:c r="BE56" s="53"/>
      <x:c r="BF56" s="53"/>
      <x:c r="BG56" s="53"/>
      <x:c r="BH56" s="53"/>
      <x:c r="BI56" s="53"/>
      <x:c r="BJ56" s="53"/>
      <x:c r="BK56" s="53"/>
      <x:c r="BL56" s="76"/>
      <x:c r="BM56" s="53"/>
      <x:c r="BN56" s="53"/>
      <x:c r="BO56" s="53"/>
      <x:c r="BP56" s="53"/>
      <x:c r="BQ56" s="54"/>
    </x:row>
    <x:row r="57" ht="42" customHeight="1">
      <x:c r="A57" s="20"/>
      <x:c r="B57" s="40"/>
      <x:c r="C57" s="22"/>
      <x:c r="D57" s="22"/>
      <x:c r="E57" s="22"/>
      <x:c r="F57" s="47"/>
      <x:c r="G57" s="47"/>
      <x:c r="H57" s="47"/>
      <x:c r="I57" s="47">
        <x:f t="shared" si="5"/>
      </x:c>
      <x:c r="J57" s="48">
        <x:f t="shared" si="6"/>
      </x:c>
      <x:c r="K57" s="48">
        <x:f t="shared" si="7"/>
      </x:c>
      <x:c r="L57" s="47"/>
      <x:c r="M57" s="49"/>
      <x:c r="N57" s="47"/>
      <x:c r="O57" s="47">
        <x:f t="shared" si="8"/>
      </x:c>
      <x:c r="P57" s="47">
        <x:f t="shared" si="9"/>
      </x:c>
      <x:c r="Q57" s="25"/>
      <x:c r="R57" s="57"/>
      <x:c r="S57" s="53"/>
      <x:c r="T57" s="53"/>
      <x:c r="U57" s="53"/>
      <x:c r="V57" s="53"/>
      <x:c r="W57" s="53"/>
      <x:c r="X57" s="53"/>
      <x:c r="Y57" s="53"/>
      <x:c r="Z57" s="53"/>
      <x:c r="AA57" s="53"/>
      <x:c r="AB57" s="53"/>
      <x:c r="AC57" s="53"/>
      <x:c r="AD57" s="53"/>
      <x:c r="AE57" s="53"/>
      <x:c r="AF57" s="53"/>
      <x:c r="AG57" s="53"/>
      <x:c r="AH57" s="53"/>
      <x:c r="AI57" s="53"/>
      <x:c r="AJ57" s="53"/>
      <x:c r="AK57" s="53"/>
      <x:c r="AL57" s="53"/>
      <x:c r="AM57" s="53"/>
      <x:c r="AN57" s="53"/>
      <x:c r="AO57" s="53"/>
      <x:c r="AP57" s="53"/>
      <x:c r="AQ57" s="53"/>
      <x:c r="AR57" s="53"/>
      <x:c r="AS57" s="53"/>
      <x:c r="AT57" s="53"/>
      <x:c r="AU57" s="53"/>
      <x:c r="AV57" s="53"/>
      <x:c r="AW57" s="53"/>
      <x:c r="AX57" s="53"/>
      <x:c r="AY57" s="53"/>
      <x:c r="AZ57" s="53"/>
      <x:c r="BA57" s="53"/>
      <x:c r="BB57" s="53"/>
      <x:c r="BC57" s="53"/>
      <x:c r="BD57" s="53"/>
      <x:c r="BE57" s="53"/>
      <x:c r="BF57" s="53"/>
      <x:c r="BG57" s="53"/>
      <x:c r="BH57" s="53"/>
      <x:c r="BI57" s="53"/>
      <x:c r="BJ57" s="53"/>
      <x:c r="BK57" s="53"/>
      <x:c r="BL57" s="53"/>
      <x:c r="BM57" s="79"/>
      <x:c r="BN57" s="53"/>
      <x:c r="BO57" s="53"/>
      <x:c r="BP57" s="53"/>
      <x:c r="BQ57" s="54"/>
    </x:row>
    <x:row r="58" ht="42" customHeight="1">
      <x:c r="A58" s="20"/>
      <x:c r="B58" s="40"/>
      <x:c r="C58" s="22"/>
      <x:c r="D58" s="22"/>
      <x:c r="E58" s="22"/>
      <x:c r="F58" s="47"/>
      <x:c r="G58" s="47"/>
      <x:c r="H58" s="47"/>
      <x:c r="I58" s="47">
        <x:f t="shared" si="5"/>
      </x:c>
      <x:c r="J58" s="48">
        <x:f t="shared" si="6"/>
      </x:c>
      <x:c r="K58" s="48">
        <x:f t="shared" si="7"/>
      </x:c>
      <x:c r="L58" s="47"/>
      <x:c r="M58" s="49"/>
      <x:c r="N58" s="47"/>
      <x:c r="O58" s="47">
        <x:f t="shared" si="8"/>
      </x:c>
      <x:c r="P58" s="47">
        <x:f t="shared" si="9"/>
      </x:c>
      <x:c r="Q58" s="25"/>
      <x:c r="R58" s="57"/>
      <x:c r="S58" s="53"/>
      <x:c r="T58" s="53"/>
      <x:c r="U58" s="53"/>
      <x:c r="V58" s="53"/>
      <x:c r="W58" s="53"/>
      <x:c r="X58" s="53"/>
      <x:c r="Y58" s="53"/>
      <x:c r="Z58" s="53"/>
      <x:c r="AA58" s="53"/>
      <x:c r="AB58" s="53"/>
      <x:c r="AC58" s="53"/>
      <x:c r="AD58" s="53"/>
      <x:c r="AE58" s="53"/>
      <x:c r="AF58" s="53"/>
      <x:c r="AG58" s="53"/>
      <x:c r="AH58" s="53"/>
      <x:c r="AI58" s="53"/>
      <x:c r="AJ58" s="53"/>
      <x:c r="AK58" s="53"/>
      <x:c r="AL58" s="53"/>
      <x:c r="AM58" s="53"/>
      <x:c r="AN58" s="53"/>
      <x:c r="AO58" s="53"/>
      <x:c r="AP58" s="53"/>
      <x:c r="AQ58" s="53"/>
      <x:c r="AR58" s="53"/>
      <x:c r="AS58" s="53"/>
      <x:c r="AT58" s="53"/>
      <x:c r="AU58" s="53"/>
      <x:c r="AV58" s="53"/>
      <x:c r="AW58" s="53"/>
      <x:c r="AX58" s="53"/>
      <x:c r="AY58" s="53"/>
      <x:c r="AZ58" s="53"/>
      <x:c r="BA58" s="53"/>
      <x:c r="BB58" s="53"/>
      <x:c r="BC58" s="53"/>
      <x:c r="BD58" s="53"/>
      <x:c r="BE58" s="53"/>
      <x:c r="BF58" s="53"/>
      <x:c r="BG58" s="53"/>
      <x:c r="BH58" s="53"/>
      <x:c r="BI58" s="53"/>
      <x:c r="BJ58" s="53"/>
      <x:c r="BK58" s="53"/>
      <x:c r="BL58" s="53"/>
      <x:c r="BM58" s="80"/>
      <x:c r="BN58" s="81"/>
      <x:c r="BO58" s="53"/>
      <x:c r="BP58" s="53"/>
      <x:c r="BQ58" s="54"/>
    </x:row>
    <x:row r="59" ht="42" customHeight="1">
      <x:c r="A59" s="20"/>
      <x:c r="B59" s="40"/>
      <x:c r="C59" s="22"/>
      <x:c r="D59" s="22"/>
      <x:c r="E59" s="22"/>
      <x:c r="F59" s="47"/>
      <x:c r="G59" s="47"/>
      <x:c r="H59" s="47"/>
      <x:c r="I59" s="47">
        <x:f t="shared" si="5"/>
      </x:c>
      <x:c r="J59" s="48">
        <x:f t="shared" si="6"/>
      </x:c>
      <x:c r="K59" s="48">
        <x:f t="shared" si="7"/>
      </x:c>
      <x:c r="L59" s="47"/>
      <x:c r="M59" s="49"/>
      <x:c r="N59" s="47"/>
      <x:c r="O59" s="47">
        <x:f t="shared" si="8"/>
      </x:c>
      <x:c r="P59" s="47">
        <x:f t="shared" si="9"/>
      </x:c>
      <x:c r="Q59" s="25"/>
      <x:c r="R59" s="57"/>
      <x:c r="S59" s="53"/>
      <x:c r="T59" s="53"/>
      <x:c r="U59" s="53"/>
      <x:c r="V59" s="53"/>
      <x:c r="W59" s="53"/>
      <x:c r="X59" s="53"/>
      <x:c r="Y59" s="53"/>
      <x:c r="Z59" s="53"/>
      <x:c r="AA59" s="53"/>
      <x:c r="AB59" s="53"/>
      <x:c r="AC59" s="53"/>
      <x:c r="AD59" s="53"/>
      <x:c r="AE59" s="53"/>
      <x:c r="AF59" s="53"/>
      <x:c r="AG59" s="53"/>
      <x:c r="AH59" s="53"/>
      <x:c r="AI59" s="53"/>
      <x:c r="AJ59" s="53"/>
      <x:c r="AK59" s="53"/>
      <x:c r="AL59" s="53"/>
      <x:c r="AM59" s="53"/>
      <x:c r="AN59" s="53"/>
      <x:c r="AO59" s="53"/>
      <x:c r="AP59" s="53"/>
      <x:c r="AQ59" s="53"/>
      <x:c r="AR59" s="53"/>
      <x:c r="AS59" s="53"/>
      <x:c r="AT59" s="53"/>
      <x:c r="AU59" s="53"/>
      <x:c r="AV59" s="53"/>
      <x:c r="AW59" s="53"/>
      <x:c r="AX59" s="53"/>
      <x:c r="AY59" s="53"/>
      <x:c r="AZ59" s="53"/>
      <x:c r="BA59" s="53"/>
      <x:c r="BB59" s="53"/>
      <x:c r="BC59" s="53"/>
      <x:c r="BD59" s="53"/>
      <x:c r="BE59" s="53"/>
      <x:c r="BF59" s="53"/>
      <x:c r="BG59" s="53"/>
      <x:c r="BH59" s="53"/>
      <x:c r="BI59" s="53"/>
      <x:c r="BJ59" s="53"/>
      <x:c r="BK59" s="53"/>
      <x:c r="BL59" s="53"/>
      <x:c r="BM59" s="53"/>
      <x:c r="BN59" s="80"/>
      <x:c r="BO59" s="81"/>
      <x:c r="BP59" s="53"/>
      <x:c r="BQ59" s="54"/>
    </x:row>
    <x:row r="60" ht="42" customHeight="1">
      <x:c r="A60" s="20"/>
      <x:c r="B60" s="40"/>
      <x:c r="C60" s="22"/>
      <x:c r="D60" s="22"/>
      <x:c r="E60" s="22"/>
      <x:c r="F60" s="47"/>
      <x:c r="G60" s="47"/>
      <x:c r="H60" s="47"/>
      <x:c r="I60" s="47">
        <x:f t="shared" si="5"/>
      </x:c>
      <x:c r="J60" s="48">
        <x:f t="shared" si="6"/>
      </x:c>
      <x:c r="K60" s="48">
        <x:f t="shared" si="7"/>
      </x:c>
      <x:c r="L60" s="47"/>
      <x:c r="M60" s="49"/>
      <x:c r="N60" s="47"/>
      <x:c r="O60" s="47">
        <x:f t="shared" si="8"/>
      </x:c>
      <x:c r="P60" s="47">
        <x:f t="shared" si="9"/>
      </x:c>
      <x:c r="Q60" s="25"/>
      <x:c r="R60" s="57"/>
      <x:c r="S60" s="53"/>
      <x:c r="T60" s="53"/>
      <x:c r="U60" s="53"/>
      <x:c r="V60" s="53"/>
      <x:c r="W60" s="53"/>
      <x:c r="X60" s="53"/>
      <x:c r="Y60" s="53"/>
      <x:c r="Z60" s="53"/>
      <x:c r="AA60" s="53"/>
      <x:c r="AB60" s="53"/>
      <x:c r="AC60" s="53"/>
      <x:c r="AD60" s="53"/>
      <x:c r="AE60" s="53"/>
      <x:c r="AF60" s="53"/>
      <x:c r="AG60" s="53"/>
      <x:c r="AH60" s="53"/>
      <x:c r="AI60" s="53"/>
      <x:c r="AJ60" s="53"/>
      <x:c r="AK60" s="53"/>
      <x:c r="AL60" s="53"/>
      <x:c r="AM60" s="53"/>
      <x:c r="AN60" s="53"/>
      <x:c r="AO60" s="53"/>
      <x:c r="AP60" s="53"/>
      <x:c r="AQ60" s="53"/>
      <x:c r="AR60" s="53"/>
      <x:c r="AS60" s="53"/>
      <x:c r="AT60" s="53"/>
      <x:c r="AU60" s="53"/>
      <x:c r="AV60" s="53"/>
      <x:c r="AW60" s="53"/>
      <x:c r="AX60" s="53"/>
      <x:c r="AY60" s="53"/>
      <x:c r="AZ60" s="53"/>
      <x:c r="BA60" s="53"/>
      <x:c r="BB60" s="53"/>
      <x:c r="BC60" s="53"/>
      <x:c r="BD60" s="53"/>
      <x:c r="BE60" s="53"/>
      <x:c r="BF60" s="53"/>
      <x:c r="BG60" s="53"/>
      <x:c r="BH60" s="53"/>
      <x:c r="BI60" s="53"/>
      <x:c r="BJ60" s="53"/>
      <x:c r="BK60" s="53"/>
      <x:c r="BL60" s="53"/>
      <x:c r="BM60" s="53"/>
      <x:c r="BN60" s="53"/>
      <x:c r="BO60" s="79"/>
      <x:c r="BP60" s="53"/>
      <x:c r="BQ60" s="54"/>
    </x:row>
    <x:row r="61" ht="42" customHeight="1">
      <x:c r="A61" s="20"/>
      <x:c r="B61" s="40"/>
      <x:c r="C61" s="22"/>
      <x:c r="D61" s="22"/>
      <x:c r="E61" s="22"/>
      <x:c r="F61" s="47"/>
      <x:c r="G61" s="47"/>
      <x:c r="H61" s="47"/>
      <x:c r="I61" s="47">
        <x:f t="shared" si="5"/>
      </x:c>
      <x:c r="J61" s="48">
        <x:f t="shared" si="6"/>
      </x:c>
      <x:c r="K61" s="48">
        <x:f t="shared" si="7"/>
      </x:c>
      <x:c r="L61" s="47"/>
      <x:c r="M61" s="49"/>
      <x:c r="N61" s="47"/>
      <x:c r="O61" s="47">
        <x:f t="shared" si="8"/>
      </x:c>
      <x:c r="P61" s="47">
        <x:f t="shared" si="9"/>
      </x:c>
      <x:c r="Q61" s="25"/>
      <x:c r="R61" s="57"/>
      <x:c r="S61" s="53"/>
      <x:c r="T61" s="53"/>
      <x:c r="U61" s="53"/>
      <x:c r="V61" s="53"/>
      <x:c r="W61" s="53"/>
      <x:c r="X61" s="53"/>
      <x:c r="Y61" s="53"/>
      <x:c r="Z61" s="53"/>
      <x:c r="AA61" s="53"/>
      <x:c r="AB61" s="53"/>
      <x:c r="AC61" s="53"/>
      <x:c r="AD61" s="53"/>
      <x:c r="AE61" s="53"/>
      <x:c r="AF61" s="53"/>
      <x:c r="AG61" s="53"/>
      <x:c r="AH61" s="53"/>
      <x:c r="AI61" s="53"/>
      <x:c r="AJ61" s="53"/>
      <x:c r="AK61" s="53"/>
      <x:c r="AL61" s="53"/>
      <x:c r="AM61" s="53"/>
      <x:c r="AN61" s="53"/>
      <x:c r="AO61" s="53"/>
      <x:c r="AP61" s="53"/>
      <x:c r="AQ61" s="53"/>
      <x:c r="AR61" s="53"/>
      <x:c r="AS61" s="53"/>
      <x:c r="AT61" s="53"/>
      <x:c r="AU61" s="53"/>
      <x:c r="AV61" s="53"/>
      <x:c r="AW61" s="53"/>
      <x:c r="AX61" s="53"/>
      <x:c r="AY61" s="53"/>
      <x:c r="AZ61" s="53"/>
      <x:c r="BA61" s="53"/>
      <x:c r="BB61" s="53"/>
      <x:c r="BC61" s="53"/>
      <x:c r="BD61" s="53"/>
      <x:c r="BE61" s="53"/>
      <x:c r="BF61" s="53"/>
      <x:c r="BG61" s="53"/>
      <x:c r="BH61" s="53"/>
      <x:c r="BI61" s="53"/>
      <x:c r="BJ61" s="53"/>
      <x:c r="BK61" s="53"/>
      <x:c r="BL61" s="53"/>
      <x:c r="BM61" s="53"/>
      <x:c r="BN61" s="53"/>
      <x:c r="BO61" s="53"/>
      <x:c r="BP61" s="79"/>
      <x:c r="BQ61" s="54"/>
    </x:row>
    <x:row r="62" ht="42" customHeight="1">
      <x:c r="A62" s="20"/>
      <x:c r="B62" s="40"/>
      <x:c r="C62" s="22"/>
      <x:c r="D62" s="22"/>
      <x:c r="E62" s="22"/>
      <x:c r="F62" s="47"/>
      <x:c r="G62" s="47"/>
      <x:c r="H62" s="47"/>
      <x:c r="I62" s="47">
        <x:f t="shared" si="5"/>
      </x:c>
      <x:c r="J62" s="48">
        <x:f t="shared" si="6"/>
      </x:c>
      <x:c r="K62" s="48">
        <x:f t="shared" si="7"/>
      </x:c>
      <x:c r="L62" s="47"/>
      <x:c r="M62" s="49"/>
      <x:c r="N62" s="47"/>
      <x:c r="O62" s="47">
        <x:f t="shared" si="8"/>
      </x:c>
      <x:c r="P62" s="47">
        <x:f t="shared" si="9"/>
      </x:c>
      <x:c r="Q62" s="25"/>
      <x:c r="R62" s="57"/>
      <x:c r="S62" s="53"/>
      <x:c r="T62" s="53"/>
      <x:c r="U62" s="53"/>
      <x:c r="V62" s="53"/>
      <x:c r="W62" s="53"/>
      <x:c r="X62" s="53"/>
      <x:c r="Y62" s="53"/>
      <x:c r="Z62" s="53"/>
      <x:c r="AA62" s="53"/>
      <x:c r="AB62" s="53"/>
      <x:c r="AC62" s="53"/>
      <x:c r="AD62" s="53"/>
      <x:c r="AE62" s="53"/>
      <x:c r="AF62" s="53"/>
      <x:c r="AG62" s="53"/>
      <x:c r="AH62" s="53"/>
      <x:c r="AI62" s="53"/>
      <x:c r="AJ62" s="53"/>
      <x:c r="AK62" s="53"/>
      <x:c r="AL62" s="53"/>
      <x:c r="AM62" s="53"/>
      <x:c r="AN62" s="53"/>
      <x:c r="AO62" s="53"/>
      <x:c r="AP62" s="53"/>
      <x:c r="AQ62" s="53"/>
      <x:c r="AR62" s="53"/>
      <x:c r="AS62" s="53"/>
      <x:c r="AT62" s="53"/>
      <x:c r="AU62" s="53"/>
      <x:c r="AV62" s="53"/>
      <x:c r="AW62" s="53"/>
      <x:c r="AX62" s="53"/>
      <x:c r="AY62" s="53"/>
      <x:c r="AZ62" s="53"/>
      <x:c r="BA62" s="53"/>
      <x:c r="BB62" s="53"/>
      <x:c r="BC62" s="53"/>
      <x:c r="BD62" s="53"/>
      <x:c r="BE62" s="53"/>
      <x:c r="BF62" s="53"/>
      <x:c r="BG62" s="53"/>
      <x:c r="BH62" s="53"/>
      <x:c r="BI62" s="53"/>
      <x:c r="BJ62" s="53"/>
      <x:c r="BK62" s="53"/>
      <x:c r="BL62" s="53"/>
      <x:c r="BM62" s="53"/>
      <x:c r="BN62" s="53"/>
      <x:c r="BO62" s="53"/>
      <x:c r="BP62" s="80"/>
      <x:c r="BQ62" s="81"/>
    </x:row>
    <x:row r="63" ht="42" customHeight="1">
      <x:c r="A63" s="20"/>
      <x:c r="B63" s="40"/>
      <x:c r="C63" s="22"/>
      <x:c r="D63" s="22"/>
      <x:c r="E63" s="22"/>
      <x:c r="F63" s="47"/>
      <x:c r="G63" s="47"/>
      <x:c r="H63" s="47"/>
      <x:c r="I63" s="47">
        <x:f t="shared" si="5"/>
      </x:c>
      <x:c r="J63" s="48">
        <x:f t="shared" si="6"/>
      </x:c>
      <x:c r="K63" s="48">
        <x:f t="shared" si="7"/>
      </x:c>
      <x:c r="L63" s="47"/>
      <x:c r="M63" s="49"/>
      <x:c r="N63" s="47"/>
      <x:c r="O63" s="47">
        <x:f t="shared" si="8"/>
      </x:c>
      <x:c r="P63" s="47">
        <x:f t="shared" si="9"/>
      </x:c>
      <x:c r="Q63" s="25"/>
      <x:c r="R63" s="82"/>
      <x:c r="S63" s="83"/>
      <x:c r="T63" s="83"/>
      <x:c r="U63" s="83"/>
      <x:c r="V63" s="83"/>
      <x:c r="W63" s="83"/>
      <x:c r="X63" s="83"/>
      <x:c r="Y63" s="83"/>
      <x:c r="Z63" s="83"/>
      <x:c r="AA63" s="83"/>
      <x:c r="AB63" s="83"/>
      <x:c r="AC63" s="83"/>
      <x:c r="AD63" s="83"/>
      <x:c r="AE63" s="83"/>
      <x:c r="AF63" s="83"/>
      <x:c r="AG63" s="83"/>
      <x:c r="AH63" s="83"/>
      <x:c r="AI63" s="83"/>
      <x:c r="AJ63" s="83"/>
      <x:c r="AK63" s="83"/>
      <x:c r="AL63" s="83"/>
      <x:c r="AM63" s="83"/>
      <x:c r="AN63" s="83"/>
      <x:c r="AO63" s="83"/>
      <x:c r="AP63" s="83"/>
      <x:c r="AQ63" s="83"/>
      <x:c r="AR63" s="83"/>
      <x:c r="AS63" s="83"/>
      <x:c r="AT63" s="83"/>
      <x:c r="AU63" s="83"/>
      <x:c r="AV63" s="83"/>
      <x:c r="AW63" s="83"/>
      <x:c r="AX63" s="83"/>
      <x:c r="AY63" s="83"/>
      <x:c r="AZ63" s="83"/>
      <x:c r="BA63" s="83"/>
      <x:c r="BB63" s="83"/>
      <x:c r="BC63" s="83"/>
      <x:c r="BD63" s="83"/>
      <x:c r="BE63" s="83"/>
      <x:c r="BF63" s="83"/>
      <x:c r="BG63" s="83"/>
      <x:c r="BH63" s="83"/>
      <x:c r="BI63" s="83"/>
      <x:c r="BJ63" s="83"/>
      <x:c r="BK63" s="83"/>
      <x:c r="BL63" s="83"/>
      <x:c r="BM63" s="83"/>
      <x:c r="BN63" s="83"/>
      <x:c r="BO63" s="83"/>
      <x:c r="BP63" s="83"/>
      <x:c r="BQ63" s="79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B1"/>
    <x:mergeCell ref="D1:F1"/>
    <x:mergeCell ref="H1:K1"/>
    <x:mergeCell ref="L1:Q1"/>
    <x:mergeCell ref="A3:B3"/>
    <x:mergeCell ref="C3:Q3"/>
    <x:mergeCell ref="A3:R3"/>
  </x:mergeCells>
  <x:conditionalFormatting sqref="L6:L63">
    <x:cfRule type="expression" dxfId="6" priority="1">
      <x:formula>L6="Complete"</x:formula>
    </x:cfRule>
    <x:cfRule type="expression" dxfId="5" priority="2">
      <x:formula>L6="In Progress"</x:formula>
    </x:cfRule>
    <x:cfRule type="expression" dxfId="4" priority="3">
      <x:formula>L6="On Hold"</x:formula>
    </x:cfRule>
  </x:conditionalFormatting>
  <x:conditionalFormatting sqref="M6:M63">
    <x:cfRule type="dataBar" priority="4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8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{B05FFF90-18D4-A5A7-8560-2BA14D3F5BBD}</x14:id>
        </x:ext>
      </x:extLst>
    </x:cfRule>
  </x:conditionalFormatting>
  <x:conditionalFormatting sqref="O6:O63">
    <x:cfRule type="cellIs" dxfId="3" priority="5" operator="greaterThan">
      <x:formula>0</x:formula>
    </x:cfRule>
    <x:cfRule type="cellIs" dxfId="2" priority="6" operator="lessThan">
      <x:formula>0</x:formula>
    </x:cfRule>
  </x:conditionalFormatting>
  <x:conditionalFormatting sqref="L6:L27">
    <x:cfRule type="dataBar" priority="10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{063DC311-2080-FF25-3757-9AC640565C53}</x14:id>
        </x:ext>
      </x:extLst>
    </x:cfRule>
    <x:cfRule type="dataBar" priority="15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{C0AFF14F-9D94-F3D6-12B8-079A9CDD4DAD}</x14:id>
        </x:ext>
      </x:extLst>
    </x:cfRule>
  </x:conditionalFormatting>
  <x:conditionalFormatting sqref="K6:K27">
    <x:cfRule type="expression" dxfId="7" priority="11">
      <x:formula>K6="Complete"</x:formula>
    </x:cfRule>
    <x:cfRule type="expression" dxfId="8" priority="12">
      <x:formula>K6="In Progress"</x:formula>
    </x:cfRule>
    <x:cfRule type="expression" dxfId="9" priority="13">
      <x:formula>K6="Blocked"</x:formula>
    </x:cfRule>
    <x:cfRule type="expression" dxfId="12" priority="16">
      <x:formula>K6="Complete"</x:formula>
    </x:cfRule>
    <x:cfRule type="expression" dxfId="13" priority="17">
      <x:formula>K6="In Progress"</x:formula>
    </x:cfRule>
    <x:cfRule type="expression" dxfId="14" priority="18">
      <x:formula>K6="Blocked"</x:formula>
    </x:cfRule>
  </x:conditionalFormatting>
  <x:conditionalFormatting sqref="S6:Z27">
    <x:cfRule type="expression" dxfId="10" priority="14">
      <x:formula>S6="■"</x:formula>
    </x:cfRule>
    <x:cfRule type="expression" dxfId="15" priority="19">
      <x:formula>S6="■"</x:formula>
    </x:cfRule>
  </x:conditionalFormatting>
  <x:dataValidations count="2">
    <x:dataValidation type="list" sqref="L6:L63">
      <x:formula1>"Not Started,In Progress,Complete,On Hold"</x:formula1>
    </x:dataValidation>
    <x:dataValidation type="list" sqref="K6:K27">
      <x:formula1>"Not Started,In Progress,Complete,Blocked,Deferred"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c9481965044ec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B05FFF90-18D4-A5A7-8560-2BA14D3F5BBD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M6:M63</xm:sqref>
        </x14:conditionalFormatting>
        <x14:conditionalFormatting>
          <x14:cfRule type="dataBar" priority="10" id="{063DC311-2080-FF25-3757-9AC640565C53}">
            <x14:dataBar gradient="1">
              <x14:cfvo type="min"/>
              <x14:cfvo type="max"/>
              <x14:fillColor rgb="FF2F75B5"/>
            </x14:dataBar>
          </x14:cfRule>
          <x14:cfRule type="dataBar" priority="15" id="{C0AFF14F-9D94-F3D6-12B8-079A9CDD4DAD}">
            <x14:dataBar gradient="1">
              <x14:cfvo type="min"/>
              <x14:cfvo type="max"/>
              <x14:fillColor rgb="FF2F75B5"/>
            </x14:dataBar>
          </x14:cfRule>
          <xm:sqref>L6:L27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hidden="0" customWidth="1"/>
    <x:col min="2" max="3" width="13" customWidth="1"/>
    <x:col min="4" max="9" width="14" customWidth="1"/>
    <x:col min="10" max="10" width="34" hidden="0" customWidth="1"/>
    <x:col min="11" max="11" width="13" hidden="0" customWidth="1"/>
    <x:col min="12" max="12" width="5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1" hidden="0" customWidth="1"/>
    <x:col min="7" max="7" width="14" hidden="0" customWidth="1"/>
    <x:col min="8" max="8" width="14" hidden="0" customWidth="1"/>
    <x:col min="9" max="9" width="15" hidden="0" customWidth="1"/>
  </x:cols>
  <x:sheetData>
    <x:row r="1" ht="28" customHeight="1">
      <x:c r="A1" s="360" t="str">
        <x:v>Weekly Resource Control — 8-Week MVP</x:v>
      </x:c>
      <x:c r="B1" s="127"/>
      <x:c r="C1" s="127"/>
      <x:c r="D1" s="127"/>
      <x:c r="E1" s="127"/>
      <x:c r="F1" s="127"/>
      <x:c r="G1" s="127"/>
      <x:c r="H1" s="127"/>
      <x:c r="I1" s="127"/>
      <x:c r="J1" s="127"/>
      <x:c r="K1" s="127"/>
      <x:c r="L1" s="12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407" t="str">
        <x:v>Actual hours are calculated from Work Block Log. Weekly notes should capture completed evidence, decisions, blockers, and the next action.</x:v>
      </x:c>
      <x:c r="B2" s="407"/>
      <x:c r="C2" s="407"/>
      <x:c r="D2" s="407"/>
      <x:c r="E2" s="407"/>
      <x:c r="F2" s="407"/>
      <x:c r="G2" s="407"/>
      <x:c r="H2" s="407"/>
      <x:c r="I2" s="407"/>
      <x:c r="J2" s="407"/>
      <x:c r="K2" s="407"/>
      <x:c r="L2" s="407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36" customHeight="1">
      <x:c r="A3" s="19"/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94.5">
      <x:c r="A4" s="268" t="str">
        <x:v>Week</x:v>
      </x:c>
      <x:c r="B4" s="369" t="str">
        <x:v>Week Start</x:v>
      </x:c>
      <x:c r="C4" s="369" t="str">
        <x:v>Week Finish</x:v>
      </x:c>
      <x:c r="D4" s="268" t="str">
        <x:v>Planned Hours</x:v>
      </x:c>
      <x:c r="E4" s="419" t="str">
        <x:v>Actual Hours</x:v>
      </x:c>
      <x:c r="F4" s="419" t="str">
        <x:f t="shared" ref="F4:F35" si="0">IF(E4="","",E4-D4)</x:f>
        <x:v>Variance</x:v>
      </x:c>
      <x:c r="G4" s="268" t="str">
        <x:v>Cumulative Planned</x:v>
      </x:c>
      <x:c r="H4" s="268" t="str">
        <x:v>Cumulative Actual</x:v>
      </x:c>
      <x:c r="I4" s="268" t="str">
        <x:f t="shared" ref="I4:I35" si="1">MAX(576-G4,0)</x:f>
        <x:v>Remaining MVP Hours</x:v>
      </x:c>
      <x:c r="J4" s="268" t="str">
        <x:v>Primary Focus</x:v>
      </x:c>
      <x:c r="K4" s="268" t="str">
        <x:v>Status</x:v>
      </x:c>
      <x:c r="L4" s="268" t="str">
        <x:v>Weekly Note</x:v>
      </x:c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437" t="n">
        <x:v>1</x:v>
      </x:c>
      <x:c r="B5" s="429" t="n">
        <x:v>46202</x:v>
      </x:c>
      <x:c r="C5" s="429" t="n">
        <x:v>46208</x:v>
      </x:c>
      <x:c r="D5" s="433" t="n">
        <x:v>8</x:v>
      </x:c>
      <x:c r="E5" s="433" t="n">
        <x:f>SUMIF('Work Block Log'!$G$5:$G$200,A5,'Work Block Log'!$F$5:$F$200)</x:f>
        <x:v>4.69</x:v>
      </x:c>
      <x:c r="F5" s="433" t="n">
        <x:f t="shared" si="0">E5-D5</x:f>
        <x:v>-3.3099999999999996</x:v>
      </x:c>
      <x:c r="G5" s="433" t="n">
        <x:f t="shared" ref="G5:G36" si="2">SUM($D$5:D5)</x:f>
        <x:v>8</x:v>
      </x:c>
      <x:c r="H5" s="433" t="n">
        <x:f t="shared" ref="H5:H36" si="3">SUM($E$5:E5)</x:f>
        <x:v>4.69</x:v>
      </x:c>
      <x:c r="I5" s="433" t="n">
        <x:f t="shared" si="1">MAX(76-H5,0)</x:f>
        <x:v>71.31</x:v>
      </x:c>
      <x:c r="J5" s="437" t="str">
        <x:v>Control baseline; loader/validator</x:v>
      </x:c>
      <x:c r="K5" s="437" t="str">
        <x:v>In Progress</x:v>
      </x:c>
      <x:c r="L5" s="437" t="str">
        <x:v>Known logged time: 4.69 h. PR #1–#5 merged; 25 tests pass. Architecture and the eight-week MVP control baseline were committed in c71676d. Additional July 4 PR #3–#5 time remains unrecorded.</x:v>
      </x:c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437" t="n">
        <x:v>2</x:v>
      </x:c>
      <x:c r="B6" s="429" t="n">
        <x:v>46209</x:v>
      </x:c>
      <x:c r="C6" s="429" t="n">
        <x:v>46215</x:v>
      </x:c>
      <x:c r="D6" s="433" t="n">
        <x:v>10</x:v>
      </x:c>
      <x:c r="E6" s="433" t="n">
        <x:f>SUMIF('Work Block Log'!$G$5:$G$200,A6,'Work Block Log'!$F$5:$F$200)</x:f>
        <x:v>0</x:v>
      </x:c>
      <x:c r="F6" s="433" t="n">
        <x:f t="shared" si="0">E6-D6</x:f>
        <x:v>-10</x:v>
      </x:c>
      <x:c r="G6" s="433" t="n">
        <x:f t="shared" si="2">SUM($D$5:D6)</x:f>
        <x:v>18</x:v>
      </x:c>
      <x:c r="H6" s="433" t="n">
        <x:f t="shared" si="3">SUM($E$5:E6)</x:f>
        <x:v>4.69</x:v>
      </x:c>
      <x:c r="I6" s="433" t="n">
        <x:f t="shared" si="1">MAX(76-H6,0)</x:f>
        <x:v>71.31</x:v>
      </x:c>
      <x:c r="J6" s="437" t="str">
        <x:v>Candidate contract; seed-case verification</x:v>
      </x:c>
      <x:c r="K6" s="437" t="str">
        <x:v>Not Started</x:v>
      </x:c>
      <x:c r="L6" s="437" t="str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437" t="n">
        <x:v>3</x:v>
      </x:c>
      <x:c r="B7" s="429" t="n">
        <x:v>46216</x:v>
      </x:c>
      <x:c r="C7" s="429" t="n">
        <x:v>46222</x:v>
      </x:c>
      <x:c r="D7" s="433" t="n">
        <x:v>10</x:v>
      </x:c>
      <x:c r="E7" s="433" t="n">
        <x:f>SUMIF('Work Block Log'!$G$5:$G$200,A7,'Work Block Log'!$F$5:$F$200)</x:f>
        <x:v>0</x:v>
      </x:c>
      <x:c r="F7" s="433" t="n">
        <x:f t="shared" si="0">E7-D7</x:f>
        <x:v>-10</x:v>
      </x:c>
      <x:c r="G7" s="433" t="n">
        <x:f t="shared" si="2">SUM($D$5:D7)</x:f>
        <x:v>28</x:v>
      </x:c>
      <x:c r="H7" s="433" t="n">
        <x:f t="shared" si="3">SUM($E$5:E7)</x:f>
        <x:v>4.69</x:v>
      </x:c>
      <x:c r="I7" s="433" t="n">
        <x:f t="shared" si="1">MAX(76-H7,0)</x:f>
        <x:v>71.31</x:v>
      </x:c>
      <x:c r="J7" s="437" t="str">
        <x:v>Gates and deterministic checks</x:v>
      </x:c>
      <x:c r="K7" s="437" t="str">
        <x:v>Not Started</x:v>
      </x:c>
      <x:c r="L7" s="437" t="str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437" t="n">
        <x:v>4</x:v>
      </x:c>
      <x:c r="B8" s="429" t="n">
        <x:v>46223</x:v>
      </x:c>
      <x:c r="C8" s="429" t="n">
        <x:v>46229</x:v>
      </x:c>
      <x:c r="D8" s="433" t="n">
        <x:v>10</x:v>
      </x:c>
      <x:c r="E8" s="433" t="n">
        <x:f>SUMIF('Work Block Log'!$G$5:$G$200,A8,'Work Block Log'!$F$5:$F$200)</x:f>
        <x:v>0</x:v>
      </x:c>
      <x:c r="F8" s="433" t="n">
        <x:f t="shared" si="0">E8-D8</x:f>
        <x:v>-10</x:v>
      </x:c>
      <x:c r="G8" s="433" t="n">
        <x:f t="shared" si="2">SUM($D$5:D8)</x:f>
        <x:v>38</x:v>
      </x:c>
      <x:c r="H8" s="433" t="n">
        <x:f t="shared" si="3">SUM($E$5:E8)</x:f>
        <x:v>4.69</x:v>
      </x:c>
      <x:c r="I8" s="433" t="n">
        <x:f t="shared" si="1">MAX(76-H8,0)</x:f>
        <x:v>71.31</x:v>
      </x:c>
      <x:c r="J8" s="437" t="str">
        <x:v>Numeric checks; scoring; engine tests</x:v>
      </x:c>
      <x:c r="K8" s="437" t="str">
        <x:v>Not Started</x:v>
      </x:c>
      <x:c r="L8" s="437" t="str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437" t="n">
        <x:v>5</x:v>
      </x:c>
      <x:c r="B9" s="429" t="n">
        <x:v>46230</x:v>
      </x:c>
      <x:c r="C9" s="429" t="n">
        <x:v>46236</x:v>
      </x:c>
      <x:c r="D9" s="433" t="n">
        <x:v>10</x:v>
      </x:c>
      <x:c r="E9" s="433" t="n">
        <x:f>SUMIF('Work Block Log'!$G$5:$G$200,A9,'Work Block Log'!$F$5:$F$200)</x:f>
        <x:v>0</x:v>
      </x:c>
      <x:c r="F9" s="433" t="n">
        <x:f t="shared" si="0">E9-D9</x:f>
        <x:v>-10</x:v>
      </x:c>
      <x:c r="G9" s="433" t="n">
        <x:f t="shared" si="2">SUM($D$5:D9)</x:f>
        <x:v>48</x:v>
      </x:c>
      <x:c r="H9" s="433" t="n">
        <x:f t="shared" si="3">SUM($E$5:E9)</x:f>
        <x:v>4.69</x:v>
      </x:c>
      <x:c r="I9" s="433" t="n">
        <x:f t="shared" si="1">MAX(76-H9,0)</x:f>
        <x:v>71.31</x:v>
      </x:c>
      <x:c r="J9" s="437" t="str">
        <x:v>Evaluate CLI; result records; examples</x:v>
      </x:c>
      <x:c r="K9" s="437" t="str">
        <x:v>Not Started</x:v>
      </x:c>
      <x:c r="L9" s="437" t="str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437" t="n">
        <x:v>6</x:v>
      </x:c>
      <x:c r="B10" s="429" t="n">
        <x:v>46237</x:v>
      </x:c>
      <x:c r="C10" s="429" t="n">
        <x:v>46243</x:v>
      </x:c>
      <x:c r="D10" s="433" t="n">
        <x:v>10</x:v>
      </x:c>
      <x:c r="E10" s="433" t="n">
        <x:f>SUMIF('Work Block Log'!$G$5:$G$200,A10,'Work Block Log'!$F$5:$F$200)</x:f>
        <x:v>0</x:v>
      </x:c>
      <x:c r="F10" s="433" t="n">
        <x:f t="shared" si="0">E10-D10</x:f>
        <x:v>-10</x:v>
      </x:c>
      <x:c r="G10" s="433" t="n">
        <x:f t="shared" si="2">SUM($D$5:D10)</x:f>
        <x:v>58</x:v>
      </x:c>
      <x:c r="H10" s="433" t="n">
        <x:f t="shared" si="3">SUM($E$5:E10)</x:f>
        <x:v>4.69</x:v>
      </x:c>
      <x:c r="I10" s="433" t="n">
        <x:f t="shared" si="1">MAX(76-H10,0)</x:f>
        <x:v>71.31</x:v>
      </x:c>
      <x:c r="J10" s="437" t="str">
        <x:v>Add cases; held-out split; benchmark</x:v>
      </x:c>
      <x:c r="K10" s="437" t="str">
        <x:v>Not Started</x:v>
      </x:c>
      <x:c r="L10" s="437" t="str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437" t="n">
        <x:v>7</x:v>
      </x:c>
      <x:c r="B11" s="429" t="n">
        <x:v>46244</x:v>
      </x:c>
      <x:c r="C11" s="429" t="n">
        <x:v>46250</x:v>
      </x:c>
      <x:c r="D11" s="433" t="n">
        <x:v>10</x:v>
      </x:c>
      <x:c r="E11" s="433" t="n">
        <x:f>SUMIF('Work Block Log'!$G$5:$G$200,A11,'Work Block Log'!$F$5:$F$200)</x:f>
        <x:v>0</x:v>
      </x:c>
      <x:c r="F11" s="433" t="n">
        <x:f t="shared" si="0">E11-D11</x:f>
        <x:v>-10</x:v>
      </x:c>
      <x:c r="G11" s="433" t="n">
        <x:f t="shared" si="2">SUM($D$5:D11)</x:f>
        <x:v>68</x:v>
      </x:c>
      <x:c r="H11" s="433" t="n">
        <x:f t="shared" si="3">SUM($E$5:E11)</x:f>
        <x:v>4.69</x:v>
      </x:c>
      <x:c r="I11" s="433" t="n">
        <x:f t="shared" si="1">MAX(76-H11,0)</x:f>
        <x:v>71.31</x:v>
      </x:c>
      <x:c r="J11" s="437" t="str">
        <x:v>CI; documentation; portfolio demo</x:v>
      </x:c>
      <x:c r="K11" s="437" t="str">
        <x:v>Not Started</x:v>
      </x:c>
      <x:c r="L11" s="437" t="str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438" t="n">
        <x:v>8</x:v>
      </x:c>
      <x:c r="B12" s="430" t="n">
        <x:v>46251</x:v>
      </x:c>
      <x:c r="C12" s="430" t="n">
        <x:v>46257</x:v>
      </x:c>
      <x:c r="D12" s="434" t="n">
        <x:v>8</x:v>
      </x:c>
      <x:c r="E12" s="434" t="n">
        <x:f>SUMIF('Work Block Log'!$G$5:$G$200,A12,'Work Block Log'!$F$5:$F$200)</x:f>
        <x:v>0</x:v>
      </x:c>
      <x:c r="F12" s="434" t="n">
        <x:f t="shared" si="0">E12-D12</x:f>
        <x:v>-8</x:v>
      </x:c>
      <x:c r="G12" s="434" t="n">
        <x:f t="shared" si="2">SUM($D$5:D12)</x:f>
        <x:v>76</x:v>
      </x:c>
      <x:c r="H12" s="434" t="n">
        <x:f t="shared" si="3">SUM($E$5:E12)</x:f>
        <x:v>4.69</x:v>
      </x:c>
      <x:c r="I12" s="434" t="n">
        <x:f t="shared" si="1">MAX(76-H12,0)</x:f>
        <x:v>71.31</x:v>
      </x:c>
      <x:c r="J12" s="438" t="str">
        <x:v>Stabilization; limitations; v0.1.0 release</x:v>
      </x:c>
      <x:c r="K12" s="438" t="str">
        <x:v>Not Started</x:v>
      </x:c>
      <x:c r="L12" s="438" t="str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84"/>
      <x:c r="B13" s="85"/>
      <x:c r="C13" s="85"/>
      <x:c r="D13" s="86"/>
      <x:c r="E13" s="86"/>
      <x:c r="F13" s="86">
        <x:f t="shared" si="0"/>
      </x:c>
      <x:c r="G13" s="86">
        <x:f t="shared" si="2"/>
      </x:c>
      <x:c r="H13" s="86">
        <x:f t="shared" si="3"/>
      </x:c>
      <x:c r="I13" s="86">
        <x:f t="shared" si="1"/>
      </x:c>
      <x:c r="J13" s="86"/>
      <x:c r="K13" s="86"/>
      <x:c r="L13" s="87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84"/>
      <x:c r="B14" s="85"/>
      <x:c r="C14" s="85"/>
      <x:c r="D14" s="86"/>
      <x:c r="E14" s="86"/>
      <x:c r="F14" s="86">
        <x:f t="shared" si="0"/>
      </x:c>
      <x:c r="G14" s="86">
        <x:f t="shared" si="2"/>
      </x:c>
      <x:c r="H14" s="86">
        <x:f t="shared" si="3"/>
      </x:c>
      <x:c r="I14" s="86">
        <x:f t="shared" si="1"/>
      </x:c>
      <x:c r="J14" s="86"/>
      <x:c r="K14" s="86"/>
      <x:c r="L14" s="87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84"/>
      <x:c r="B15" s="85"/>
      <x:c r="C15" s="85"/>
      <x:c r="D15" s="86"/>
      <x:c r="E15" s="86"/>
      <x:c r="F15" s="86">
        <x:f t="shared" si="0"/>
      </x:c>
      <x:c r="G15" s="86">
        <x:f t="shared" si="2"/>
      </x:c>
      <x:c r="H15" s="86">
        <x:f t="shared" si="3"/>
      </x:c>
      <x:c r="I15" s="86">
        <x:f t="shared" si="1"/>
      </x:c>
      <x:c r="J15" s="86"/>
      <x:c r="K15" s="86"/>
      <x:c r="L15" s="87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84"/>
      <x:c r="B16" s="85"/>
      <x:c r="C16" s="85"/>
      <x:c r="D16" s="86"/>
      <x:c r="E16" s="86"/>
      <x:c r="F16" s="86">
        <x:f t="shared" si="0"/>
      </x:c>
      <x:c r="G16" s="86">
        <x:f t="shared" si="2"/>
      </x:c>
      <x:c r="H16" s="86">
        <x:f t="shared" si="3"/>
      </x:c>
      <x:c r="I16" s="86">
        <x:f t="shared" si="1"/>
      </x:c>
      <x:c r="J16" s="86"/>
      <x:c r="K16" s="86"/>
      <x:c r="L16" s="87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84"/>
      <x:c r="B17" s="85"/>
      <x:c r="C17" s="85"/>
      <x:c r="D17" s="86"/>
      <x:c r="E17" s="86"/>
      <x:c r="F17" s="86">
        <x:f t="shared" si="0"/>
      </x:c>
      <x:c r="G17" s="86">
        <x:f t="shared" si="2"/>
      </x:c>
      <x:c r="H17" s="86">
        <x:f t="shared" si="3"/>
      </x:c>
      <x:c r="I17" s="86">
        <x:f t="shared" si="1"/>
      </x:c>
      <x:c r="J17" s="86"/>
      <x:c r="K17" s="86"/>
      <x:c r="L17" s="87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84"/>
      <x:c r="B18" s="85"/>
      <x:c r="C18" s="85"/>
      <x:c r="D18" s="86"/>
      <x:c r="E18" s="86"/>
      <x:c r="F18" s="86">
        <x:f t="shared" si="0"/>
      </x:c>
      <x:c r="G18" s="86">
        <x:f t="shared" si="2"/>
      </x:c>
      <x:c r="H18" s="86">
        <x:f t="shared" si="3"/>
      </x:c>
      <x:c r="I18" s="86">
        <x:f t="shared" si="1"/>
      </x:c>
      <x:c r="J18" s="86"/>
      <x:c r="K18" s="86"/>
      <x:c r="L18" s="87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84"/>
      <x:c r="B19" s="85"/>
      <x:c r="C19" s="85"/>
      <x:c r="D19" s="86"/>
      <x:c r="E19" s="86"/>
      <x:c r="F19" s="86">
        <x:f t="shared" si="0"/>
      </x:c>
      <x:c r="G19" s="86">
        <x:f t="shared" si="2"/>
      </x:c>
      <x:c r="H19" s="86">
        <x:f t="shared" si="3"/>
      </x:c>
      <x:c r="I19" s="86">
        <x:f t="shared" si="1"/>
      </x:c>
      <x:c r="J19" s="86"/>
      <x:c r="K19" s="86"/>
      <x:c r="L19" s="87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84"/>
      <x:c r="B20" s="85"/>
      <x:c r="C20" s="85"/>
      <x:c r="D20" s="86"/>
      <x:c r="E20" s="86"/>
      <x:c r="F20" s="86">
        <x:f t="shared" si="0"/>
      </x:c>
      <x:c r="G20" s="86">
        <x:f t="shared" si="2"/>
      </x:c>
      <x:c r="H20" s="86">
        <x:f t="shared" si="3"/>
      </x:c>
      <x:c r="I20" s="86">
        <x:f t="shared" si="1"/>
      </x:c>
      <x:c r="J20" s="86"/>
      <x:c r="K20" s="86"/>
      <x:c r="L20" s="87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84"/>
      <x:c r="B21" s="85"/>
      <x:c r="C21" s="85"/>
      <x:c r="D21" s="86"/>
      <x:c r="E21" s="86"/>
      <x:c r="F21" s="86">
        <x:f t="shared" si="0"/>
      </x:c>
      <x:c r="G21" s="86">
        <x:f t="shared" si="2"/>
      </x:c>
      <x:c r="H21" s="86">
        <x:f t="shared" si="3"/>
      </x:c>
      <x:c r="I21" s="86">
        <x:f t="shared" si="1"/>
      </x:c>
      <x:c r="J21" s="86"/>
      <x:c r="K21" s="86"/>
      <x:c r="L21" s="87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84"/>
      <x:c r="B22" s="85"/>
      <x:c r="C22" s="85"/>
      <x:c r="D22" s="86"/>
      <x:c r="E22" s="86"/>
      <x:c r="F22" s="86">
        <x:f t="shared" si="0"/>
      </x:c>
      <x:c r="G22" s="86">
        <x:f t="shared" si="2"/>
      </x:c>
      <x:c r="H22" s="86">
        <x:f t="shared" si="3"/>
      </x:c>
      <x:c r="I22" s="86">
        <x:f t="shared" si="1"/>
      </x:c>
      <x:c r="J22" s="86"/>
      <x:c r="K22" s="86"/>
      <x:c r="L22" s="87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84"/>
      <x:c r="B23" s="85"/>
      <x:c r="C23" s="85"/>
      <x:c r="D23" s="86"/>
      <x:c r="E23" s="86"/>
      <x:c r="F23" s="86">
        <x:f t="shared" si="0"/>
      </x:c>
      <x:c r="G23" s="86">
        <x:f t="shared" si="2"/>
      </x:c>
      <x:c r="H23" s="86">
        <x:f t="shared" si="3"/>
      </x:c>
      <x:c r="I23" s="86">
        <x:f t="shared" si="1"/>
      </x:c>
      <x:c r="J23" s="86"/>
      <x:c r="K23" s="86"/>
      <x:c r="L23" s="87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84"/>
      <x:c r="B24" s="85"/>
      <x:c r="C24" s="85"/>
      <x:c r="D24" s="86"/>
      <x:c r="E24" s="86"/>
      <x:c r="F24" s="86">
        <x:f t="shared" si="0"/>
      </x:c>
      <x:c r="G24" s="86">
        <x:f t="shared" si="2"/>
      </x:c>
      <x:c r="H24" s="86">
        <x:f t="shared" si="3"/>
      </x:c>
      <x:c r="I24" s="86">
        <x:f t="shared" si="1"/>
      </x:c>
      <x:c r="J24" s="86"/>
      <x:c r="K24" s="86"/>
      <x:c r="L24" s="87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84"/>
      <x:c r="B25" s="85"/>
      <x:c r="C25" s="85"/>
      <x:c r="D25" s="86"/>
      <x:c r="E25" s="86"/>
      <x:c r="F25" s="86">
        <x:f t="shared" si="0"/>
      </x:c>
      <x:c r="G25" s="86">
        <x:f t="shared" si="2"/>
      </x:c>
      <x:c r="H25" s="86">
        <x:f t="shared" si="3"/>
      </x:c>
      <x:c r="I25" s="86">
        <x:f t="shared" si="1"/>
      </x:c>
      <x:c r="J25" s="86"/>
      <x:c r="K25" s="86"/>
      <x:c r="L25" s="87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84"/>
      <x:c r="B26" s="85"/>
      <x:c r="C26" s="85"/>
      <x:c r="D26" s="86"/>
      <x:c r="E26" s="86"/>
      <x:c r="F26" s="86">
        <x:f t="shared" si="0"/>
      </x:c>
      <x:c r="G26" s="86">
        <x:f t="shared" si="2"/>
      </x:c>
      <x:c r="H26" s="86">
        <x:f t="shared" si="3"/>
      </x:c>
      <x:c r="I26" s="86">
        <x:f t="shared" si="1"/>
      </x:c>
      <x:c r="J26" s="86"/>
      <x:c r="K26" s="86"/>
      <x:c r="L26" s="87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88"/>
      <x:c r="B27" s="89"/>
      <x:c r="C27" s="89"/>
      <x:c r="D27" s="90"/>
      <x:c r="E27" s="90"/>
      <x:c r="F27" s="90">
        <x:f t="shared" si="0"/>
      </x:c>
      <x:c r="G27" s="90">
        <x:f t="shared" si="2"/>
      </x:c>
      <x:c r="H27" s="90">
        <x:f t="shared" si="3"/>
      </x:c>
      <x:c r="I27" s="90">
        <x:f t="shared" si="1"/>
      </x:c>
      <x:c r="J27" s="90"/>
      <x:c r="K27" s="90"/>
      <x:c r="L27" s="9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84"/>
      <x:c r="B28" s="85"/>
      <x:c r="C28" s="85"/>
      <x:c r="D28" s="86"/>
      <x:c r="E28" s="86"/>
      <x:c r="F28" s="86">
        <x:f t="shared" si="0"/>
      </x:c>
      <x:c r="G28" s="86">
        <x:f t="shared" si="2"/>
      </x:c>
      <x:c r="H28" s="86">
        <x:f t="shared" si="3"/>
      </x:c>
      <x:c r="I28" s="86">
        <x:f t="shared" si="1"/>
      </x:c>
      <x:c r="J28" s="86"/>
      <x:c r="K28" s="86"/>
      <x:c r="L28" s="87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84"/>
      <x:c r="B29" s="85"/>
      <x:c r="C29" s="85"/>
      <x:c r="D29" s="86"/>
      <x:c r="E29" s="86"/>
      <x:c r="F29" s="86">
        <x:f t="shared" si="0"/>
      </x:c>
      <x:c r="G29" s="86">
        <x:f t="shared" si="2"/>
      </x:c>
      <x:c r="H29" s="86">
        <x:f t="shared" si="3"/>
      </x:c>
      <x:c r="I29" s="86">
        <x:f t="shared" si="1"/>
      </x:c>
      <x:c r="J29" s="86"/>
      <x:c r="K29" s="86"/>
      <x:c r="L29" s="87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84"/>
      <x:c r="B30" s="85"/>
      <x:c r="C30" s="85"/>
      <x:c r="D30" s="86"/>
      <x:c r="E30" s="86"/>
      <x:c r="F30" s="86">
        <x:f t="shared" si="0"/>
      </x:c>
      <x:c r="G30" s="86">
        <x:f t="shared" si="2"/>
      </x:c>
      <x:c r="H30" s="86">
        <x:f t="shared" si="3"/>
      </x:c>
      <x:c r="I30" s="86">
        <x:f t="shared" si="1"/>
      </x:c>
      <x:c r="J30" s="86"/>
      <x:c r="K30" s="86"/>
      <x:c r="L30" s="87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84"/>
      <x:c r="B31" s="85"/>
      <x:c r="C31" s="85"/>
      <x:c r="D31" s="86"/>
      <x:c r="E31" s="86"/>
      <x:c r="F31" s="86">
        <x:f t="shared" si="0"/>
      </x:c>
      <x:c r="G31" s="86">
        <x:f t="shared" si="2"/>
      </x:c>
      <x:c r="H31" s="86">
        <x:f t="shared" si="3"/>
      </x:c>
      <x:c r="I31" s="86">
        <x:f t="shared" si="1"/>
      </x:c>
      <x:c r="J31" s="86"/>
      <x:c r="K31" s="86"/>
      <x:c r="L31" s="87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84"/>
      <x:c r="B32" s="85"/>
      <x:c r="C32" s="85"/>
      <x:c r="D32" s="86"/>
      <x:c r="E32" s="86"/>
      <x:c r="F32" s="86">
        <x:f t="shared" si="0"/>
      </x:c>
      <x:c r="G32" s="86">
        <x:f t="shared" si="2"/>
      </x:c>
      <x:c r="H32" s="86">
        <x:f t="shared" si="3"/>
      </x:c>
      <x:c r="I32" s="86">
        <x:f t="shared" si="1"/>
      </x:c>
      <x:c r="J32" s="86"/>
      <x:c r="K32" s="86"/>
      <x:c r="L32" s="87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84"/>
      <x:c r="B33" s="85"/>
      <x:c r="C33" s="85"/>
      <x:c r="D33" s="86"/>
      <x:c r="E33" s="86"/>
      <x:c r="F33" s="86">
        <x:f t="shared" si="0"/>
      </x:c>
      <x:c r="G33" s="86">
        <x:f t="shared" si="2"/>
      </x:c>
      <x:c r="H33" s="86">
        <x:f t="shared" si="3"/>
      </x:c>
      <x:c r="I33" s="86">
        <x:f t="shared" si="1"/>
      </x:c>
      <x:c r="J33" s="86"/>
      <x:c r="K33" s="86"/>
      <x:c r="L33" s="87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84"/>
      <x:c r="B34" s="85"/>
      <x:c r="C34" s="85"/>
      <x:c r="D34" s="86"/>
      <x:c r="E34" s="86"/>
      <x:c r="F34" s="86">
        <x:f t="shared" si="0"/>
      </x:c>
      <x:c r="G34" s="86">
        <x:f t="shared" si="2"/>
      </x:c>
      <x:c r="H34" s="86">
        <x:f t="shared" si="3"/>
      </x:c>
      <x:c r="I34" s="86">
        <x:f t="shared" si="1"/>
      </x:c>
      <x:c r="J34" s="86"/>
      <x:c r="K34" s="86"/>
      <x:c r="L34" s="87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84"/>
      <x:c r="B35" s="85"/>
      <x:c r="C35" s="85"/>
      <x:c r="D35" s="86"/>
      <x:c r="E35" s="86"/>
      <x:c r="F35" s="86">
        <x:f t="shared" si="0"/>
      </x:c>
      <x:c r="G35" s="86">
        <x:f t="shared" si="2"/>
      </x:c>
      <x:c r="H35" s="86">
        <x:f t="shared" si="3"/>
      </x:c>
      <x:c r="I35" s="86">
        <x:f t="shared" si="1"/>
      </x:c>
      <x:c r="J35" s="86"/>
      <x:c r="K35" s="86"/>
      <x:c r="L35" s="87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84"/>
      <x:c r="B36" s="85"/>
      <x:c r="C36" s="85"/>
      <x:c r="D36" s="86"/>
      <x:c r="E36" s="86"/>
      <x:c r="F36" s="86" t="str">
        <x:f t="shared" ref="F36:F55" si="4">IF(E36="","",E36-D36)</x:f>
      </x:c>
      <x:c r="G36" s="86">
        <x:f t="shared" si="2"/>
      </x:c>
      <x:c r="H36" s="86">
        <x:f t="shared" si="3"/>
      </x:c>
      <x:c r="I36" s="86" t="n">
        <x:f t="shared" ref="I36:I55" si="5">MAX(576-G36,0)</x:f>
        <x:v>576</x:v>
      </x:c>
      <x:c r="J36" s="86"/>
      <x:c r="K36" s="86"/>
      <x:c r="L36" s="87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84"/>
      <x:c r="B37" s="85"/>
      <x:c r="C37" s="85"/>
      <x:c r="D37" s="86"/>
      <x:c r="E37" s="86"/>
      <x:c r="F37" s="86">
        <x:f t="shared" si="4"/>
      </x:c>
      <x:c r="G37" s="86" t="n">
        <x:f t="shared" ref="G37:G55" si="6">G36+D37</x:f>
        <x:v>0</x:v>
      </x:c>
      <x:c r="H37" s="86" t="n">
        <x:f t="shared" ref="H37:H55" si="7">H36+IF(E37="",0,E37)</x:f>
        <x:v>0</x:v>
      </x:c>
      <x:c r="I37" s="86">
        <x:f t="shared" si="5"/>
      </x:c>
      <x:c r="J37" s="86"/>
      <x:c r="K37" s="86"/>
      <x:c r="L37" s="87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84"/>
      <x:c r="B38" s="85"/>
      <x:c r="C38" s="85"/>
      <x:c r="D38" s="86"/>
      <x:c r="E38" s="86"/>
      <x:c r="F38" s="86">
        <x:f t="shared" si="4"/>
      </x:c>
      <x:c r="G38" s="86">
        <x:f t="shared" si="6"/>
      </x:c>
      <x:c r="H38" s="86">
        <x:f t="shared" si="7"/>
      </x:c>
      <x:c r="I38" s="86">
        <x:f t="shared" si="5"/>
      </x:c>
      <x:c r="J38" s="86"/>
      <x:c r="K38" s="86"/>
      <x:c r="L38" s="87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84"/>
      <x:c r="B39" s="85"/>
      <x:c r="C39" s="85"/>
      <x:c r="D39" s="86"/>
      <x:c r="E39" s="86"/>
      <x:c r="F39" s="86">
        <x:f t="shared" si="4"/>
      </x:c>
      <x:c r="G39" s="86">
        <x:f t="shared" si="6"/>
      </x:c>
      <x:c r="H39" s="86">
        <x:f t="shared" si="7"/>
      </x:c>
      <x:c r="I39" s="86">
        <x:f t="shared" si="5"/>
      </x:c>
      <x:c r="J39" s="86"/>
      <x:c r="K39" s="86"/>
      <x:c r="L39" s="87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84"/>
      <x:c r="B40" s="85"/>
      <x:c r="C40" s="85"/>
      <x:c r="D40" s="86"/>
      <x:c r="E40" s="86"/>
      <x:c r="F40" s="86">
        <x:f t="shared" si="4"/>
      </x:c>
      <x:c r="G40" s="86">
        <x:f t="shared" si="6"/>
      </x:c>
      <x:c r="H40" s="86">
        <x:f t="shared" si="7"/>
      </x:c>
      <x:c r="I40" s="86">
        <x:f t="shared" si="5"/>
      </x:c>
      <x:c r="J40" s="86"/>
      <x:c r="K40" s="86"/>
      <x:c r="L40" s="87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84"/>
      <x:c r="B41" s="85"/>
      <x:c r="C41" s="85"/>
      <x:c r="D41" s="86"/>
      <x:c r="E41" s="86"/>
      <x:c r="F41" s="86">
        <x:f t="shared" si="4"/>
      </x:c>
      <x:c r="G41" s="86">
        <x:f t="shared" si="6"/>
      </x:c>
      <x:c r="H41" s="86">
        <x:f t="shared" si="7"/>
      </x:c>
      <x:c r="I41" s="86">
        <x:f t="shared" si="5"/>
      </x:c>
      <x:c r="J41" s="86"/>
      <x:c r="K41" s="86"/>
      <x:c r="L41" s="87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84"/>
      <x:c r="B42" s="85"/>
      <x:c r="C42" s="85"/>
      <x:c r="D42" s="86"/>
      <x:c r="E42" s="86"/>
      <x:c r="F42" s="86">
        <x:f t="shared" si="4"/>
      </x:c>
      <x:c r="G42" s="86">
        <x:f t="shared" si="6"/>
      </x:c>
      <x:c r="H42" s="86">
        <x:f t="shared" si="7"/>
      </x:c>
      <x:c r="I42" s="86">
        <x:f t="shared" si="5"/>
      </x:c>
      <x:c r="J42" s="86"/>
      <x:c r="K42" s="86"/>
      <x:c r="L42" s="87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84"/>
      <x:c r="B43" s="85"/>
      <x:c r="C43" s="85"/>
      <x:c r="D43" s="86"/>
      <x:c r="E43" s="86"/>
      <x:c r="F43" s="86">
        <x:f t="shared" si="4"/>
      </x:c>
      <x:c r="G43" s="86">
        <x:f t="shared" si="6"/>
      </x:c>
      <x:c r="H43" s="86">
        <x:f t="shared" si="7"/>
      </x:c>
      <x:c r="I43" s="86">
        <x:f t="shared" si="5"/>
      </x:c>
      <x:c r="J43" s="86"/>
      <x:c r="K43" s="86"/>
      <x:c r="L43" s="87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84"/>
      <x:c r="B44" s="85"/>
      <x:c r="C44" s="85"/>
      <x:c r="D44" s="86"/>
      <x:c r="E44" s="86"/>
      <x:c r="F44" s="86">
        <x:f t="shared" si="4"/>
      </x:c>
      <x:c r="G44" s="86">
        <x:f t="shared" si="6"/>
      </x:c>
      <x:c r="H44" s="86">
        <x:f t="shared" si="7"/>
      </x:c>
      <x:c r="I44" s="86">
        <x:f t="shared" si="5"/>
      </x:c>
      <x:c r="J44" s="86"/>
      <x:c r="K44" s="86"/>
      <x:c r="L44" s="87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88"/>
      <x:c r="B45" s="89"/>
      <x:c r="C45" s="89"/>
      <x:c r="D45" s="90"/>
      <x:c r="E45" s="90"/>
      <x:c r="F45" s="90">
        <x:f t="shared" si="4"/>
      </x:c>
      <x:c r="G45" s="90">
        <x:f t="shared" si="6"/>
      </x:c>
      <x:c r="H45" s="90">
        <x:f t="shared" si="7"/>
      </x:c>
      <x:c r="I45" s="90">
        <x:f t="shared" si="5"/>
      </x:c>
      <x:c r="J45" s="90"/>
      <x:c r="K45" s="90"/>
      <x:c r="L45" s="9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84"/>
      <x:c r="B46" s="85"/>
      <x:c r="C46" s="85"/>
      <x:c r="D46" s="86"/>
      <x:c r="E46" s="86"/>
      <x:c r="F46" s="86">
        <x:f t="shared" si="4"/>
      </x:c>
      <x:c r="G46" s="86">
        <x:f t="shared" si="6"/>
      </x:c>
      <x:c r="H46" s="86">
        <x:f t="shared" si="7"/>
      </x:c>
      <x:c r="I46" s="86">
        <x:f t="shared" si="5"/>
      </x:c>
      <x:c r="J46" s="86"/>
      <x:c r="K46" s="86"/>
      <x:c r="L46" s="87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84"/>
      <x:c r="B47" s="85"/>
      <x:c r="C47" s="85"/>
      <x:c r="D47" s="86"/>
      <x:c r="E47" s="86"/>
      <x:c r="F47" s="86">
        <x:f t="shared" si="4"/>
      </x:c>
      <x:c r="G47" s="86">
        <x:f t="shared" si="6"/>
      </x:c>
      <x:c r="H47" s="86">
        <x:f t="shared" si="7"/>
      </x:c>
      <x:c r="I47" s="86">
        <x:f t="shared" si="5"/>
      </x:c>
      <x:c r="J47" s="86"/>
      <x:c r="K47" s="86"/>
      <x:c r="L47" s="87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84"/>
      <x:c r="B48" s="85"/>
      <x:c r="C48" s="85"/>
      <x:c r="D48" s="86"/>
      <x:c r="E48" s="86"/>
      <x:c r="F48" s="86">
        <x:f t="shared" si="4"/>
      </x:c>
      <x:c r="G48" s="86">
        <x:f t="shared" si="6"/>
      </x:c>
      <x:c r="H48" s="86">
        <x:f t="shared" si="7"/>
      </x:c>
      <x:c r="I48" s="86">
        <x:f t="shared" si="5"/>
      </x:c>
      <x:c r="J48" s="86"/>
      <x:c r="K48" s="86"/>
      <x:c r="L48" s="87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84"/>
      <x:c r="B49" s="85"/>
      <x:c r="C49" s="85"/>
      <x:c r="D49" s="86"/>
      <x:c r="E49" s="86"/>
      <x:c r="F49" s="86">
        <x:f t="shared" si="4"/>
      </x:c>
      <x:c r="G49" s="86">
        <x:f t="shared" si="6"/>
      </x:c>
      <x:c r="H49" s="86">
        <x:f t="shared" si="7"/>
      </x:c>
      <x:c r="I49" s="86">
        <x:f t="shared" si="5"/>
      </x:c>
      <x:c r="J49" s="86"/>
      <x:c r="K49" s="86"/>
      <x:c r="L49" s="87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84"/>
      <x:c r="B50" s="85"/>
      <x:c r="C50" s="85"/>
      <x:c r="D50" s="86"/>
      <x:c r="E50" s="86"/>
      <x:c r="F50" s="86">
        <x:f t="shared" si="4"/>
      </x:c>
      <x:c r="G50" s="86">
        <x:f t="shared" si="6"/>
      </x:c>
      <x:c r="H50" s="86">
        <x:f t="shared" si="7"/>
      </x:c>
      <x:c r="I50" s="86">
        <x:f t="shared" si="5"/>
      </x:c>
      <x:c r="J50" s="86"/>
      <x:c r="K50" s="86"/>
      <x:c r="L50" s="87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84"/>
      <x:c r="B51" s="85"/>
      <x:c r="C51" s="85"/>
      <x:c r="D51" s="86"/>
      <x:c r="E51" s="86"/>
      <x:c r="F51" s="86">
        <x:f t="shared" si="4"/>
      </x:c>
      <x:c r="G51" s="86">
        <x:f t="shared" si="6"/>
      </x:c>
      <x:c r="H51" s="86">
        <x:f t="shared" si="7"/>
      </x:c>
      <x:c r="I51" s="86">
        <x:f t="shared" si="5"/>
      </x:c>
      <x:c r="J51" s="86"/>
      <x:c r="K51" s="86"/>
      <x:c r="L51" s="87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84"/>
      <x:c r="B52" s="85"/>
      <x:c r="C52" s="85"/>
      <x:c r="D52" s="86"/>
      <x:c r="E52" s="86"/>
      <x:c r="F52" s="86">
        <x:f t="shared" si="4"/>
      </x:c>
      <x:c r="G52" s="86">
        <x:f t="shared" si="6"/>
      </x:c>
      <x:c r="H52" s="86">
        <x:f t="shared" si="7"/>
      </x:c>
      <x:c r="I52" s="86">
        <x:f t="shared" si="5"/>
      </x:c>
      <x:c r="J52" s="86"/>
      <x:c r="K52" s="86"/>
      <x:c r="L52" s="87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84"/>
      <x:c r="B53" s="85"/>
      <x:c r="C53" s="85"/>
      <x:c r="D53" s="86"/>
      <x:c r="E53" s="86"/>
      <x:c r="F53" s="86">
        <x:f t="shared" si="4"/>
      </x:c>
      <x:c r="G53" s="86">
        <x:f t="shared" si="6"/>
      </x:c>
      <x:c r="H53" s="86">
        <x:f t="shared" si="7"/>
      </x:c>
      <x:c r="I53" s="86">
        <x:f t="shared" si="5"/>
      </x:c>
      <x:c r="J53" s="86"/>
      <x:c r="K53" s="86"/>
      <x:c r="L53" s="87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84"/>
      <x:c r="B54" s="85"/>
      <x:c r="C54" s="85"/>
      <x:c r="D54" s="86"/>
      <x:c r="E54" s="86"/>
      <x:c r="F54" s="86">
        <x:f t="shared" si="4"/>
      </x:c>
      <x:c r="G54" s="86">
        <x:f t="shared" si="6"/>
      </x:c>
      <x:c r="H54" s="86">
        <x:f t="shared" si="7"/>
      </x:c>
      <x:c r="I54" s="86">
        <x:f t="shared" si="5"/>
      </x:c>
      <x:c r="J54" s="86"/>
      <x:c r="K54" s="86"/>
      <x:c r="L54" s="87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88"/>
      <x:c r="B55" s="89"/>
      <x:c r="C55" s="89"/>
      <x:c r="D55" s="90"/>
      <x:c r="E55" s="90"/>
      <x:c r="F55" s="90">
        <x:f t="shared" si="4"/>
      </x:c>
      <x:c r="G55" s="90">
        <x:f t="shared" si="6"/>
      </x:c>
      <x:c r="H55" s="90">
        <x:f t="shared" si="7"/>
      </x:c>
      <x:c r="I55" s="90">
        <x:f t="shared" si="5"/>
      </x:c>
      <x:c r="J55" s="90"/>
      <x:c r="K55" s="90"/>
      <x:c r="L55" s="9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L1"/>
    <x:mergeCell ref="A2:L2"/>
  </x:mergeCells>
  <x:conditionalFormatting sqref="D4:D55">
    <x:cfRule type="dataBar" priority="3">
      <x:dataBar>
        <x:cfvo type="min"/>
        <x:cfvo type="max"/>
        <x:color rgb="FF2563EB"/>
      </x:dataBar>
    </x:cfRule>
    <x:cfRule type="dataBar" priority="5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{B9CF9B83-EEEF-806F-3865-A7F6C560F42A}</x14:id>
        </x:ext>
      </x:extLst>
    </x:cfRule>
  </x:conditionalFormatting>
  <x:conditionalFormatting sqref="E4:E55">
    <x:cfRule type="dataBar" priority="4">
      <x:dataBar>
        <x:cfvo type="min"/>
        <x:cfvo type="max"/>
        <x:color rgb="FF16A34A"/>
      </x:dataBar>
    </x:cfRule>
    <x:cfRule type="dataBar" priority="6">
      <x:dataBar>
        <x:cfvo type="min"/>
        <x:cfvo type="max"/>
        <x:color rgb="FF16A34A"/>
      </x:dataBar>
    </x:cfRule>
    <x:cfRule type="dataBar" priority="8">
      <x:dataBar>
        <x:cfvo type="min"/>
        <x:cfvo type="max"/>
        <x:color rgb="FF16A34A"/>
      </x:dataBar>
    </x:cfRule>
    <x:cfRule type="dataBar" priority="10">
      <x:dataBar>
        <x:cfvo type="min"/>
        <x:cfvo type="max"/>
        <x:color rgb="FF16A34A"/>
      </x:dataBar>
      <x:extLst>
        <x:ext xmlns:x14="http://schemas.microsoft.com/office/spreadsheetml/2009/9/main" uri="{B025F937-C7B1-47D3-B67F-A62EFF666E3E}">
          <x14:id>{C5949B8B-F80D-9915-0B44-DA00EAF5A662}</x14:id>
        </x:ext>
      </x:extLst>
    </x:cfRule>
  </x:conditionalFormatting>
  <x:conditionalFormatting sqref="F4:F55">
    <x:cfRule type="cellIs" dxfId="1" priority="1" operator="greaterThan">
      <x:formula>0</x:formula>
    </x:cfRule>
    <x:cfRule type="cellIs" dxfId="0" priority="2" operator="lessThan">
      <x:formula>0</x:formula>
    </x:cfRule>
  </x:conditionalFormatting>
  <x:dataValidations count="2">
    <x:dataValidation type="list" sqref="K4:K55">
      <x:formula1>"Not Started,In Progress,Complete,Missed,Replanned"</x:formula1>
    </x:dataValidation>
    <x:dataValidation type="list" sqref="K5:K12">
      <x:formula1>"Not Started,In Progress,Complete,Blocked"</x:formula1>
    </x:dataValidation>
  </x:dataValidations>
  <x:pageMargins left="0.7" right="0.7" top="0.75" bottom="0.75" header="0.3" footer="0.3"/>
  <x:drawing xmlns:r="http://schemas.openxmlformats.org/officeDocument/2006/relationships" r:id="R149ff9ffd0b34590"/>
  <x:tableParts count="1">
    <x:tablePart xmlns:r="http://schemas.openxmlformats.org/officeDocument/2006/relationships" r:id="Rf0a17fe165664ca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B9CF9B83-EEEF-806F-3865-A7F6C560F42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D4:D55</xm:sqref>
        </x14:conditionalFormatting>
        <x14:conditionalFormatting>
          <x14:cfRule type="dataBar" priority="10" id="{C5949B8B-F80D-9915-0B44-DA00EAF5A662}">
            <x14:dataBar>
              <x14:cfvo type="min"/>
              <x14:cfvo type="max"/>
              <x14:fillColor rgb="FF16A34A"/>
              <x14:negativeFillColor auto="1"/>
              <x14:axisColor auto="1"/>
            </x14:dataBar>
          </x14:cfRule>
          <xm:sqref>E4:E55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4.25"/>
  <x:cols>
    <x:col min="1" max="1" width="7" hidden="0" customWidth="1"/>
    <x:col min="2" max="2" width="30" hidden="0" customWidth="1"/>
    <x:col min="3" max="4" width="16" customWidth="1"/>
    <x:col min="5" max="6" width="13" customWidth="1"/>
    <x:col min="3" max="3" width="14" hidden="0" customWidth="1"/>
    <x:col min="4" max="4" width="14" hidden="0" customWidth="1"/>
    <x:col min="5" max="5" width="12" hidden="0" customWidth="1"/>
    <x:col min="6" max="6" width="12" hidden="0" customWidth="1"/>
    <x:col min="7" max="7" width="12" hidden="0" customWidth="1"/>
    <x:col min="8" max="8" width="38" hidden="0" customWidth="1"/>
  </x:cols>
  <x:sheetData>
    <x:row r="1" ht="28" customHeight="1">
      <x:c r="A1" s="360" t="str">
        <x:v>MVP Phase Labour Summary and Gates</x:v>
      </x:c>
      <x:c r="B1" s="127"/>
      <x:c r="C1" s="127"/>
      <x:c r="D1" s="127"/>
      <x:c r="E1" s="127"/>
      <x:c r="F1" s="127"/>
      <x:c r="G1" s="127"/>
      <x:c r="H1" s="12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68" t="str">
        <x:v>ID</x:v>
      </x:c>
      <x:c r="B3" s="268" t="str">
        <x:v>Phase</x:v>
      </x:c>
      <x:c r="C3" s="268" t="str">
        <x:v>Planned Hours</x:v>
      </x:c>
      <x:c r="D3" s="268" t="str">
        <x:v>Actual Hours</x:v>
      </x:c>
      <x:c r="E3" s="268" t="str">
        <x:v>% Complete</x:v>
      </x:c>
      <x:c r="F3" s="268" t="str">
        <x:v>Start</x:v>
      </x:c>
      <x:c r="G3" s="268" t="str">
        <x:v>Finish</x:v>
      </x:c>
      <x:c r="H3" s="268" t="str">
        <x:v>Gate</x:v>
      </x:c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5">
      <x:c r="A4" s="437" t="str">
        <x:v>0</x:v>
      </x:c>
      <x:c r="B4" s="451" t="str">
        <x:v>0 Control &amp; Foundation</x:v>
      </x:c>
      <x:c r="C4" s="433" t="n">
        <x:v>8</x:v>
      </x:c>
      <x:c r="D4" s="433" t="n">
        <x:f>SUMIF('Detailed Gantt'!$B$6:$B$27,B4,'Detailed Gantt'!$M$6:$M$27)</x:f>
        <x:v>4.69</x:v>
      </x:c>
      <x:c r="E4" s="445" t="n">
        <x:f>IF(C4=0,0,SUMPRODUCT(('Detailed Gantt'!$B$6:$B$27=B4)*'Detailed Gantt'!$F$6:$F$27*'Detailed Gantt'!$L$6:$L$27)/C4)</x:f>
        <x:v>1</x:v>
      </x:c>
      <x:c r="F4" s="429" t="n">
        <x:v>46202</x:v>
      </x:c>
      <x:c r="G4" s="429" t="n">
        <x:v>46215</x:v>
      </x:c>
      <x:c r="H4" s="437" t="str">
        <x:v>Gate 0 — control baseline accepted</x:v>
      </x:c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437" t="str">
        <x:v>1</x:v>
      </x:c>
      <x:c r="B5" s="452" t="str">
        <x:v>1 Evaluation Core</x:v>
      </x:c>
      <x:c r="C5" s="433" t="n">
        <x:v>24</x:v>
      </x:c>
      <x:c r="D5" s="433" t="n">
        <x:f>SUMIF('Detailed Gantt'!$B$6:$B$27,B5,'Detailed Gantt'!$M$6:$M$27)</x:f>
        <x:v>0</x:v>
      </x:c>
      <x:c r="E5" s="445" t="n">
        <x:f>IF(C5=0,0,SUMPRODUCT(('Detailed Gantt'!$B$6:$B$27=B5)*'Detailed Gantt'!$F$6:$F$27*'Detailed Gantt'!$L$6:$L$27)/C5)</x:f>
        <x:v>0</x:v>
      </x:c>
      <x:c r="F5" s="429" t="n">
        <x:v>46209</x:v>
      </x:c>
      <x:c r="G5" s="429" t="n">
        <x:v>46229</x:v>
      </x:c>
      <x:c r="H5" s="437" t="str">
        <x:v>Gate 2 — deterministic evaluation core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437" t="str">
        <x:v>2</x:v>
      </x:c>
      <x:c r="B6" s="453" t="str">
        <x:v>2 CLI &amp; Results</x:v>
      </x:c>
      <x:c r="C6" s="433" t="n">
        <x:v>14</x:v>
      </x:c>
      <x:c r="D6" s="433" t="n">
        <x:f>SUMIF('Detailed Gantt'!$B$6:$B$27,B6,'Detailed Gantt'!$M$6:$M$27)</x:f>
        <x:v>0</x:v>
      </x:c>
      <x:c r="E6" s="445" t="n">
        <x:f>IF(C6=0,0,SUMPRODUCT(('Detailed Gantt'!$B$6:$B$27=B6)*'Detailed Gantt'!$F$6:$F$27*'Detailed Gantt'!$L$6:$L$27)/C6)</x:f>
        <x:v>0</x:v>
      </x:c>
      <x:c r="F6" s="429" t="n">
        <x:v>46230</x:v>
      </x:c>
      <x:c r="G6" s="429" t="n">
        <x:v>46236</x:v>
      </x:c>
      <x:c r="H6" s="437" t="str">
        <x:v>Gate 3 — end-to-end local evaluation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437" t="str">
        <x:v>3</x:v>
      </x:c>
      <x:c r="B7" s="454" t="str">
        <x:v>3 Cases &amp; Benchmark</x:v>
      </x:c>
      <x:c r="C7" s="433" t="n">
        <x:v>14</x:v>
      </x:c>
      <x:c r="D7" s="433" t="n">
        <x:f>SUMIF('Detailed Gantt'!$B$6:$B$27,B7,'Detailed Gantt'!$M$6:$M$27)</x:f>
        <x:v>0</x:v>
      </x:c>
      <x:c r="E7" s="445" t="n">
        <x:f>IF(C7=0,0,SUMPRODUCT(('Detailed Gantt'!$B$6:$B$27=B7)*'Detailed Gantt'!$F$6:$F$27*'Detailed Gantt'!$L$6:$L$27)/C7)</x:f>
        <x:v>0</x:v>
      </x:c>
      <x:c r="F7" s="429" t="n">
        <x:v>46209</x:v>
      </x:c>
      <x:c r="G7" s="429" t="n">
        <x:v>46243</x:v>
      </x:c>
      <x:c r="H7" s="437" t="str">
        <x:v>Gate 4 — benchmark ready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437" t="str">
        <x:v>4</x:v>
      </x:c>
      <x:c r="B8" s="455" t="str">
        <x:v>4 Quality &amp; Reproducibility</x:v>
      </x:c>
      <x:c r="C8" s="433" t="n">
        <x:v>8</x:v>
      </x:c>
      <x:c r="D8" s="433" t="n">
        <x:f>SUMIF('Detailed Gantt'!$B$6:$B$27,B8,'Detailed Gantt'!$M$6:$M$27)</x:f>
        <x:v>0</x:v>
      </x:c>
      <x:c r="E8" s="445" t="n">
        <x:f>IF(C8=0,0,SUMPRODUCT(('Detailed Gantt'!$B$6:$B$27=B8)*'Detailed Gantt'!$F$6:$F$27*'Detailed Gantt'!$L$6:$L$27)/C8)</x:f>
        <x:v>0.26249999999999996</x:v>
      </x:c>
      <x:c r="F8" s="429" t="n">
        <x:v>46223</x:v>
      </x:c>
      <x:c r="G8" s="429" t="n">
        <x:v>46250</x:v>
      </x:c>
      <x:c r="H8" s="437" t="str">
        <x:v>Gate 5 — reproducible quality baseline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437" t="str">
        <x:v>5</x:v>
      </x:c>
      <x:c r="B9" s="456" t="str">
        <x:v>5 Demo &amp; Release</x:v>
      </x:c>
      <x:c r="C9" s="433" t="n">
        <x:v>8</x:v>
      </x:c>
      <x:c r="D9" s="433" t="n">
        <x:f>SUMIF('Detailed Gantt'!$B$6:$B$27,B9,'Detailed Gantt'!$M$6:$M$27)</x:f>
        <x:v>0</x:v>
      </x:c>
      <x:c r="E9" s="445" t="n">
        <x:f>IF(C9=0,0,SUMPRODUCT(('Detailed Gantt'!$B$6:$B$27=B9)*'Detailed Gantt'!$F$6:$F$27*'Detailed Gantt'!$L$6:$L$27)/C9)</x:f>
        <x:v>0</x:v>
      </x:c>
      <x:c r="F9" s="429" t="n">
        <x:v>46244</x:v>
      </x:c>
      <x:c r="G9" s="429" t="n">
        <x:v>46257</x:v>
      </x:c>
      <x:c r="H9" s="437" t="str">
        <x:v>Gate 6 — MVP v0.1.0 release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414" t="str">
        <x:v>TOTAL</x:v>
      </x:c>
      <x:c r="B10" s="414"/>
      <x:c r="C10" s="443" t="n">
        <x:f>SUM(C4:C9)</x:f>
        <x:v>76</x:v>
      </x:c>
      <x:c r="D10" s="443" t="n">
        <x:f>SUM(D4:D9)</x:f>
        <x:v>4.69</x:v>
      </x:c>
      <x:c r="E10" s="446" t="n">
        <x:f>SUMPRODUCT(C4:C9,E4:E9)/C10</x:f>
        <x:v>0.13289473684210526</x:v>
      </x:c>
      <x:c r="F10" s="415"/>
      <x:c r="G10" s="414"/>
      <x:c r="H10" s="414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84"/>
      <x:c r="B11" s="101"/>
      <x:c r="C11" s="86"/>
      <x:c r="D11" s="93"/>
      <x:c r="E11" s="85"/>
      <x:c r="F11" s="94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31"/>
      <x:c r="B12" s="132"/>
      <x:c r="C12" s="42"/>
      <x:c r="D12" s="43"/>
      <x:c r="E12" s="42"/>
      <x:c r="F12" s="44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A12:B12"/>
  </x:mergeCells>
  <x:pageMargins left="0.7" right="0.7" top="0.75" bottom="0.75" header="0.3" footer="0.3"/>
  <x:drawing xmlns:r="http://schemas.openxmlformats.org/officeDocument/2006/relationships" r:id="R357bc8d75bbd41ef"/>
</x:worksheet>
</file>

<file path=xl/worksheets/sheet6.xml><?xml version="1.0" encoding="utf-8"?>
<x:worksheet xmlns:x="http://schemas.openxmlformats.org/spreadsheetml/2006/main">
  <x:sheetFormatPr defaultRowHeight="14.25"/>
  <x:cols>
    <x:col min="1" max="3" width="18" customWidth="1"/>
    <x:col min="4" max="4" width="13" hidden="0" customWidth="1"/>
    <x:col min="5" max="5" width="48" hidden="0" customWidth="1"/>
    <x:col min="1" max="1" width="11" hidden="0" customWidth="1"/>
    <x:col min="2" max="2" width="12" hidden="0" customWidth="1"/>
    <x:col min="3" max="3" width="13" hidden="0" customWidth="1"/>
    <x:col min="6" max="6" width="36" hidden="0" customWidth="1"/>
    <x:col min="7" max="7" width="36" hidden="0" customWidth="1"/>
  </x:cols>
  <x:sheetData>
    <x:row r="1" ht="28" customHeight="1">
      <x:c r="A1" s="360" t="str">
        <x:v>Planning Basis, MVP Gates, and Change-Control Rules</x:v>
      </x:c>
      <x:c r="B1" s="127"/>
      <x:c r="C1" s="127"/>
      <x:c r="D1" s="127"/>
      <x:c r="E1" s="127"/>
      <x:c r="F1" s="127"/>
      <x:c r="G1" s="127"/>
      <x:c r="H1" s="12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458" t="str">
        <x:v>Planning Assumptions</x:v>
      </x:c>
      <x:c r="B3" s="126"/>
      <x:c r="C3" s="126"/>
      <x:c r="D3" s="126"/>
      <x:c r="E3" s="126"/>
      <x:c r="F3" s="126"/>
      <x:c r="G3" s="126"/>
      <x:c r="H3" s="126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54">
      <x:c r="A4" s="461" t="str">
        <x:v>A1</x:v>
      </x:c>
      <x:c r="B4" s="310" t="str">
        <x:v>The Gantt workbook is the controlling source of truth for scope, schedule, progress, decisions, evidence, and next action.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54">
      <x:c r="A5" s="461" t="str">
        <x:v>A2</x:v>
      </x:c>
      <x:c r="B5" s="310" t="str">
        <x:v>The controlling baseline is an 8-week, 76-hour MVP from 2026-06-29 through 2026-08-23.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54">
      <x:c r="A6" s="461" t="str">
        <x:v>A3</x:v>
      </x:c>
      <x:c r="B6" s="310" t="str">
        <x:v>Normal capacity is 8–12 hours per week. Paid Outlier work and major life obligations retain priority.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35">
      <x:c r="A7" s="461" t="str">
        <x:v>A4</x:v>
      </x:c>
      <x:c r="B7" s="310" t="str">
        <x:v>Learning is just-in-time. Shipped functionality and validated engineering workflows take priority over repetitive exercises.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21.5">
      <x:c r="A8" s="461" t="str">
        <x:v>A5</x:v>
      </x:c>
      <x:c r="B8" s="310" t="str">
        <x:v>Use one branch per coherent capability, not per individual test.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67.5">
      <x:c r="A9" s="461" t="str">
        <x:v>A6</x:v>
      </x:c>
      <x:c r="B9" s="310" t="str">
        <x:v>Tests support the product. Add them for important behaviour, scoring correctness, failure handling, and regression safety.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67.5">
      <x:c r="A10" s="461" t="str">
        <x:v>A7</x:v>
      </x:c>
      <x:c r="B10" s="310" t="str">
        <x:v>Actual hours are recorded only when explicitly known. Do not invent or silently backfill time.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94.5">
      <x:c r="A11" s="461" t="str">
        <x:v>A8</x:v>
      </x:c>
      <x:c r="B11" s="310" t="str">
        <x:v>MVP scope is JSON artifacts, deterministic gates/checks, weighted scoring, CLI execution, result records, five cases, a small benchmark, CI, docs, and one demo.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464" t="str">
        <x:v>A9</x:v>
      </x:c>
      <x:c r="B12" s="437" t="str">
        <x:v>APIs, databases, multimodal, OpenClaw, observability, deployment, governance packs, reward models, LoRA, and RL are deferred unless the MVP requires them.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464" t="str">
        <x:v>A10</x:v>
      </x:c>
      <x:c r="B13" s="437" t="str">
        <x:v>Use only public, synthetic, self-authored, or authorized data. Never place confidential Outlier or employer material in the repository or workbook.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463" t="str">
        <x:v>A11</x:v>
      </x:c>
      <x:c r="B14" s="469" t="str">
        <x:v>The harness supports evaluation and workflow assurance, not engineering sign-off, autonomous release, or final safety-critical decisions.</x:v>
      </x:c>
      <x:c r="C14" s="19"/>
      <x:c r="D14" s="19"/>
      <x:c r="E14" s="19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06"/>
      <x:c r="B15" s="22"/>
      <x:c r="C15" s="24"/>
      <x:c r="D15" s="22"/>
      <x:c r="E15" s="25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06"/>
      <x:c r="B16" s="22"/>
      <x:c r="C16" s="24"/>
      <x:c r="D16" s="22"/>
      <x:c r="E16" s="25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472" t="str">
        <x:v>MVP Gates / Hold Points</x:v>
      </x:c>
      <x:c r="B17" s="22"/>
      <x:c r="C17" s="24"/>
      <x:c r="D17" s="22"/>
      <x:c r="E17" s="25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268" t="str">
        <x:v>Gate</x:v>
      </x:c>
      <x:c r="B18" s="268" t="str">
        <x:v>Target Week</x:v>
      </x:c>
      <x:c r="C18" s="369" t="str">
        <x:v>Target Date</x:v>
      </x:c>
      <x:c r="D18" s="268" t="str">
        <x:v>Status</x:v>
      </x:c>
      <x:c r="E18" s="268" t="str">
        <x:v>Acceptance Criteria</x:v>
      </x:c>
      <x:c r="F18" s="268" t="str">
        <x:v>Evidence</x:v>
      </x:c>
      <x:c r="G18" s="268" t="str">
        <x:v>Decision / Next Action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478" t="str">
        <x:v>Gate 0</x:v>
      </x:c>
      <x:c r="B19" s="310" t="n">
        <x:v>2</x:v>
      </x:c>
      <x:c r="C19" s="389" t="n">
        <x:v>46215</x:v>
      </x:c>
      <x:c r="D19" s="310" t="str">
        <x:v>Passed</x:v>
      </x:c>
      <x:c r="E19" s="310" t="str">
        <x:v>Architecture and control baseline explain current system; workbook rebaseline accepted.</x:v>
      </x:c>
      <x:c r="F19" s="437" t="str">
        <x:v>docs/architecture.md; gantt.xlsx; commit c71676d</x:v>
      </x:c>
      <x:c r="G19" s="437" t="str">
        <x:v>Gate accepted. Begin WBS 1.1 in the next work block.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478" t="str">
        <x:v>Gate 1</x:v>
      </x:c>
      <x:c r="B20" s="310" t="n">
        <x:v>2</x:v>
      </x:c>
      <x:c r="C20" s="389" t="n">
        <x:v>46215</x:v>
      </x:c>
      <x:c r="D20" s="310" t="str">
        <x:v>Planned</x:v>
      </x:c>
      <x:c r="E20" s="310" t="str">
        <x:v>Candidate artifact contract and loader work for MECH-002 with controlled errors.</x:v>
      </x:c>
      <x:c r="F20" s="437" t="str">
        <x:v>Tests and CLI/manual load evidence</x:v>
      </x:c>
      <x:c r="G20" s="437" t="str">
        <x:v>Proceed to gate engine.</x:v>
      </x:c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478" t="str">
        <x:v>Gate 2</x:v>
      </x:c>
      <x:c r="B21" s="310" t="n">
        <x:v>4</x:v>
      </x:c>
      <x:c r="C21" s="389" t="n">
        <x:v>46229</x:v>
      </x:c>
      <x:c r="D21" s="310" t="str">
        <x:v>Planned</x:v>
      </x:c>
      <x:c r="E21" s="310" t="str">
        <x:v>Mandatory gates, deterministic checks, weighted score, failure modes, and evidence work end-to-end.</x:v>
      </x:c>
      <x:c r="F21" s="437" t="str">
        <x:v>Engine tests; pass/fail artifacts</x:v>
      </x:c>
      <x:c r="G21" s="437" t="str">
        <x:v>Authorize CLI integration.</x:v>
      </x:c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478" t="str">
        <x:v>Gate 3</x:v>
      </x:c>
      <x:c r="B22" s="310" t="n">
        <x:v>5</x:v>
      </x:c>
      <x:c r="C22" s="389" t="n">
        <x:v>46236</x:v>
      </x:c>
      <x:c r="D22" s="310" t="str">
        <x:v>Planned</x:v>
      </x:c>
      <x:c r="E22" s="310" t="str">
        <x:v>evaluate CLI writes immutable structured results for example artifacts.</x:v>
      </x:c>
      <x:c r="F22" s="437" t="str">
        <x:v>CLI transcript; result JSON</x:v>
      </x:c>
      <x:c r="G22" s="437" t="str">
        <x:v>Authorize benchmark run.</x:v>
      </x:c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437" t="str">
        <x:v>Gate 4</x:v>
      </x:c>
      <x:c r="B23" s="437" t="n">
        <x:v>6</x:v>
      </x:c>
      <x:c r="C23" s="429" t="n">
        <x:v>46243</x:v>
      </x:c>
      <x:c r="D23" s="437" t="str">
        <x:v>Planned</x:v>
      </x:c>
      <x:c r="E23" s="437" t="str">
        <x:v>Five reviewed cases, held-out split, and reproducible baseline benchmark exist.</x:v>
      </x:c>
      <x:c r="F23" s="437" t="str">
        <x:v>Case review records; benchmark report</x:v>
      </x:c>
      <x:c r="G23" s="437" t="str">
        <x:v>Authorize release hardening.</x:v>
      </x:c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437" t="str">
        <x:v>Gate 5</x:v>
      </x:c>
      <x:c r="B24" s="437" t="n">
        <x:v>7</x:v>
      </x:c>
      <x:c r="C24" s="429" t="n">
        <x:v>46250</x:v>
      </x:c>
      <x:c r="D24" s="437" t="str">
        <x:v>Planned</x:v>
      </x:c>
      <x:c r="E24" s="437" t="str">
        <x:v>CI is green; README and architecture match implementation; portfolio demo works.</x:v>
      </x:c>
      <x:c r="F24" s="437" t="str">
        <x:v>CI run; docs; demo output</x:v>
      </x:c>
      <x:c r="G24" s="437" t="str">
        <x:v>Authorize final acceptance.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437" t="str">
        <x:v>Gate 6</x:v>
      </x:c>
      <x:c r="B25" s="437" t="n">
        <x:v>8</x:v>
      </x:c>
      <x:c r="C25" s="429" t="n">
        <x:v>46257</x:v>
      </x:c>
      <x:c r="D25" s="437" t="str">
        <x:v>Planned</x:v>
      </x:c>
      <x:c r="E25" s="437" t="str">
        <x:v>Clean acceptance run passes; limitations are explicit; MVP v0.1.0 is tagged.</x:v>
      </x:c>
      <x:c r="F25" s="437" t="str">
        <x:v>Release tag; acceptance checklist</x:v>
      </x:c>
      <x:c r="G25" s="437" t="str">
        <x:v>Close MVP and select expansion backlog.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26"/>
      <x:c r="B26" s="126"/>
      <x:c r="C26" s="126"/>
      <x:c r="D26" s="126"/>
      <x:c r="E26" s="126"/>
      <x:c r="F26" s="126"/>
      <x:c r="G26" s="126"/>
      <x:c r="H26" s="126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11"/>
      <x:c r="B27" s="112"/>
      <x:c r="C27" s="112"/>
      <x:c r="D27" s="112"/>
      <x:c r="E27" s="112"/>
      <x:c r="F27" s="112"/>
      <x:c r="G27" s="112"/>
      <x:c r="H27" s="113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472" t="str">
        <x:v>Change-Control Rule</x:v>
      </x:c>
      <x:c r="B28" s="115"/>
      <x:c r="C28" s="115"/>
      <x:c r="D28" s="115"/>
      <x:c r="E28" s="115"/>
      <x:c r="F28" s="115"/>
      <x:c r="G28" s="115"/>
      <x:c r="H28" s="116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482" t="str">
        <x:v>Do not silently add scope or extend the schedule. Record the decision when a gate slips, forecast finish moves by more than one week, planned hours rise by more than 10%, or a deferred capability is pulled into the MVP. First protect the working evaluation flow and release evidence.</x:v>
      </x:c>
      <x:c r="B29" s="482"/>
      <x:c r="C29" s="482"/>
      <x:c r="D29" s="482"/>
      <x:c r="E29" s="482"/>
      <x:c r="F29" s="482"/>
      <x:c r="G29" s="482"/>
      <x:c r="H29" s="116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482"/>
      <x:c r="B30" s="482"/>
      <x:c r="C30" s="482"/>
      <x:c r="D30" s="482"/>
      <x:c r="E30" s="482"/>
      <x:c r="F30" s="482"/>
      <x:c r="G30" s="482"/>
      <x:c r="H30" s="119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A3:H3"/>
    <x:mergeCell ref="A26:H26"/>
    <x:mergeCell ref="A27:H30"/>
    <x:mergeCell ref="A1:G1"/>
    <x:mergeCell ref="A3:G3"/>
    <x:mergeCell ref="A17:G17"/>
    <x:mergeCell ref="A28:G28"/>
    <x:mergeCell ref="A29:G30"/>
  </x:mergeCells>
  <x:dataValidations count="1">
    <x:dataValidation type="list" sqref="D19:D25">
      <x:formula1>"Planned,In Progress,Passed,Failed,Deferred"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42" hidden="0" customWidth="1"/>
    <x:col min="2" max="2" width="52" hidden="0" customWidth="1"/>
    <x:col min="3" max="3" width="18" hidden="0" customWidth="1"/>
    <x:col min="4" max="4" width="34" hidden="0" customWidth="1"/>
    <x:col min="5" max="5" width="34" hidden="0" customWidth="1"/>
  </x:cols>
  <x:sheetData>
    <x:row r="1" ht="28" customHeight="1">
      <x:c r="A1" s="360" t="str">
        <x:v>Planning Sources and Design Rationale</x:v>
      </x:c>
      <x:c r="B1" s="127"/>
      <x:c r="C1" s="127"/>
      <x:c r="D1" s="127"/>
      <x:c r="E1" s="107"/>
      <x:c r="F1" s="107"/>
      <x:c r="G1" s="107"/>
      <x:c r="H1" s="107"/>
      <x:c r="I1" s="107"/>
      <x:c r="J1" s="107"/>
      <x:c r="K1" s="107"/>
      <x:c r="L1" s="107"/>
      <x:c r="M1" s="107"/>
      <x:c r="N1" s="107"/>
      <x:c r="O1" s="107"/>
      <x:c r="P1" s="107"/>
      <x:c r="Q1" s="107"/>
      <x:c r="R1" s="107"/>
      <x:c r="S1" s="107"/>
      <x:c r="T1" s="107"/>
      <x:c r="U1" s="107"/>
      <x:c r="V1" s="107"/>
      <x:c r="W1" s="107"/>
      <x:c r="X1" s="107"/>
      <x:c r="Y1" s="107"/>
      <x:c r="Z1" s="107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68" t="str">
        <x:v>Source</x:v>
      </x:c>
      <x:c r="B3" s="268" t="str">
        <x:v>Use in Current Baseline</x:v>
      </x:c>
      <x:c r="C3" s="268" t="str">
        <x:v>Type</x:v>
      </x:c>
      <x:c r="D3" s="268" t="str">
        <x:v>URL / Reference</x:v>
      </x:c>
      <x:c r="E3" s="268" t="str">
        <x:v>Control Note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10" t="str">
        <x:v>Project instructions — AI Career &amp; Agent Evaluation Systems</x:v>
      </x:c>
      <x:c r="B4" s="310" t="str">
        <x:v>Establishes 4–8 week MVP, Gantt control, architecture separation, testing discipline, and deferrals.</x:v>
      </x:c>
      <x:c r="C4" s="310" t="str">
        <x:v>Project control</x:v>
      </x:c>
      <x:c r="D4" s="310" t="str">
        <x:v>Project instructions</x:v>
      </x:c>
      <x:c r="E4" s="437" t="str">
        <x:v>Highest-priority operating source.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40.5">
      <x:c r="A5" s="310" t="str">
        <x:v>Current Gantt workbook</x:v>
      </x:c>
      <x:c r="B5" s="310" t="str">
        <x:v>Controls WBS, schedule, actuals, decisions, evidence, risks, and next action.</x:v>
      </x:c>
      <x:c r="C5" s="310" t="str">
        <x:v>Project control</x:v>
      </x:c>
      <x:c r="D5" s="310" t="str">
        <x:v>gantt.xlsx</x:v>
      </x:c>
      <x:c r="E5" s="437" t="str">
        <x:v>Replace project source after each completed workflow.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10" t="str">
        <x:v>docs/architecture.md</x:v>
      </x:c>
      <x:c r="B6" s="310" t="str">
        <x:v>Defines task/agent/environment/trace/evaluator/results boundaries and current implementation state.</x:v>
      </x:c>
      <x:c r="C6" s="310" t="str">
        <x:v>Architecture</x:v>
      </x:c>
      <x:c r="D6" s="310" t="str">
        <x:v>Repository document</x:v>
      </x:c>
      <x:c r="E6" s="437" t="str">
        <x:v>Must match actual code.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10" t="str">
        <x:v>Twelve-Month Roadmap from Engineering-Domain AI QA Auditor to AI Evaluation and Deployment Specialist</x:v>
      </x:c>
      <x:c r="B7" s="310" t="str">
        <x:v>Preserved as expansion strategy; supports backend-first tooling and portfolio artifacts.</x:v>
      </x:c>
      <x:c r="C7" s="310" t="str">
        <x:v>Uploaded project PDF</x:v>
      </x:c>
      <x:c r="D7" s="310" t="str">
        <x:v>Project source file</x:v>
      </x:c>
      <x:c r="E7" s="437" t="str">
        <x:v>No longer the controlling delivery timeline.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7">
      <x:c r="A8" s="310" t="str">
        <x:v>Current-Market Analysis of AI Evaluation, AI Quality, LLM Evaluation, Model Behaviour Testing, Technical AI Auditing, AI Deployment, and Responsible-AI Roles</x:v>
      </x:c>
      <x:c r="B8" s="310" t="str">
        <x:v>Supports positioning around evaluation systems, regression design, audit evidence, and tooling ownership.</x:v>
      </x:c>
      <x:c r="C8" s="310" t="str">
        <x:v>Uploaded project PDF</x:v>
      </x:c>
      <x:c r="D8" s="310" t="str">
        <x:v>Project source file</x:v>
      </x:c>
      <x:c r="E8" s="437" t="str">
        <x:v>Career strategy input.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10" t="str">
        <x:v>Agents' Last Exam</x:v>
      </x:c>
      <x:c r="B9" s="310" t="str">
        <x:v>Supports authentic professional workflows, task/agent/environment separation, artifact verification, and gate-before-score evaluation.</x:v>
      </x:c>
      <x:c r="C9" s="310" t="str">
        <x:v>Research paper</x:v>
      </x:c>
      <x:c r="D9" s="310" t="str">
        <x:v>https://arxiv.org/abs/2606.05405</x:v>
      </x:c>
      <x:c r="E9" s="437" t="str">
        <x:v>Direct architecture influence.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437" t="str">
        <x:v>OpenClaw-RL: Train Any Agent Simply by Talking</x:v>
      </x:c>
      <x:c r="B10" s="437" t="str">
        <x:v>Supports later trace, next-state, process-signal, and agent-evaluation work.</x:v>
      </x:c>
      <x:c r="C10" s="437" t="str">
        <x:v>Research paper</x:v>
      </x:c>
      <x:c r="D10" s="437" t="str">
        <x:v>https://arxiv.org/abs/2603.10165</x:v>
      </x:c>
      <x:c r="E10" s="437" t="str">
        <x:v>Deferred until after MVP.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437" t="str">
        <x:v>RLAnything</x:v>
      </x:c>
      <x:c r="B11" s="437" t="str">
        <x:v>Supports later separation/integration of outcome and step-wise signals and adaptive environment research.</x:v>
      </x:c>
      <x:c r="C11" s="437" t="str">
        <x:v>Research paper</x:v>
      </x:c>
      <x:c r="D11" s="437" t="str">
        <x:v>https://arxiv.org/abs/2602.02488</x:v>
      </x:c>
      <x:c r="E11" s="437" t="str">
        <x:v>Deferred until after MVP.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437" t="str">
        <x:v>Practical Market for a Solo AI Implementation and Evaluation Consultant in Edmonton and Alberta</x:v>
      </x:c>
      <x:c r="B12" s="437" t="str">
        <x:v>Informs useful mechanical document, QA/QC, revision, maintenance, and technical-record workflows.</x:v>
      </x:c>
      <x:c r="C12" s="437" t="str">
        <x:v>Uploaded project PDF</x:v>
      </x:c>
      <x:c r="D12" s="437" t="str">
        <x:v>Project source file</x:v>
      </x:c>
      <x:c r="E12" s="437" t="str">
        <x:v>Case-selection input.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437"/>
      <x:c r="B13" s="437"/>
      <x:c r="C13" s="437"/>
      <x:c r="D13" s="437"/>
      <x:c r="E13" s="437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437"/>
      <x:c r="B14" s="437"/>
      <x:c r="C14" s="437"/>
      <x:c r="D14" s="437"/>
      <x:c r="E14" s="437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437"/>
      <x:c r="B15" s="437"/>
      <x:c r="C15" s="437"/>
      <x:c r="D15" s="437"/>
      <x:c r="E15" s="437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437"/>
      <x:c r="B16" s="437"/>
      <x:c r="C16" s="437"/>
      <x:c r="D16" s="437"/>
      <x:c r="E16" s="437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437"/>
      <x:c r="B17" s="437"/>
      <x:c r="C17" s="437"/>
      <x:c r="D17" s="437"/>
      <x:c r="E17" s="437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437"/>
      <x:c r="B18" s="437"/>
      <x:c r="C18" s="437"/>
      <x:c r="D18" s="437"/>
      <x:c r="E18" s="437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437"/>
      <x:c r="B19" s="437"/>
      <x:c r="C19" s="437"/>
      <x:c r="D19" s="437"/>
      <x:c r="E19" s="437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437"/>
      <x:c r="B20" s="437"/>
      <x:c r="C20" s="437"/>
      <x:c r="D20" s="437"/>
      <x:c r="E20" s="437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D1"/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34" hidden="0" customWidth="1"/>
    <x:col min="4" max="4" width="42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28" customHeight="1">
      <x:c r="A1" s="216" t="str">
        <x:v>Superseded 52-Week Baseline Snapshot — Preserved 2026-07-04</x:v>
      </x:c>
      <x:c r="B1" s="217"/>
      <x:c r="C1" s="217"/>
      <x:c r="D1" s="217"/>
      <x:c r="E1" s="217"/>
      <x:c r="F1" s="217"/>
      <x:c r="G1" s="217"/>
      <x:c r="H1" s="217"/>
      <x:c r="I1" s="217"/>
      <x:c r="J1" s="217"/>
      <x:c r="K1" s="217"/>
      <x:c r="L1" s="217"/>
      <x:c r="M1" s="217"/>
      <x:c r="N1" s="217"/>
      <x:c r="O1" s="217"/>
      <x:c r="P1" s="217"/>
      <x:c r="Q1" s="217"/>
      <x:c r="R1" s="217"/>
      <x:c r="S1" s="217"/>
      <x:c r="T1" s="217"/>
    </x:row>
    <x:row r="2">
      <x:c r="A2" s="212" t="str">
        <x:v>Historical planning baseline retained for traceability. It is no longer the controlling schedule. Use Start Here, Executive Gantt, Detailed Gantt, Weekly Control, and the control registers for current project management.</x:v>
      </x:c>
      <x:c r="B2" s="212"/>
      <x:c r="C2" s="212"/>
      <x:c r="D2" s="212"/>
      <x:c r="E2" s="212"/>
      <x:c r="F2" s="212"/>
      <x:c r="G2" s="212"/>
      <x:c r="H2" s="212"/>
      <x:c r="I2" s="212"/>
      <x:c r="J2" s="212"/>
      <x:c r="K2" s="212"/>
      <x:c r="L2" s="212"/>
      <x:c r="M2" s="212"/>
      <x:c r="N2" s="212"/>
      <x:c r="O2" s="212"/>
      <x:c r="P2" s="212"/>
      <x:c r="Q2" s="212"/>
      <x:c r="R2" s="212"/>
      <x:c r="S2" s="212"/>
      <x:c r="T2" s="212"/>
    </x:row>
    <x:row r="4">
      <x:c r="A4" t="str">
        <x:v>Baseline Start</x:v>
      </x:c>
      <x:c r="B4"/>
      <x:c r="C4" t="n">
        <x:v>46202</x:v>
      </x:c>
      <x:c r="D4" t="str">
        <x:v>Total Planned Hours</x:v>
      </x:c>
      <x:c r="E4"/>
      <x:c r="F4"/>
      <x:c r="G4" t="n">
        <x:v>576</x:v>
      </x:c>
      <x:c r="H4" t="str">
        <x:v>Normal Control Rule</x:v>
      </x:c>
      <x:c r="I4"/>
      <x:c r="J4"/>
      <x:c r="K4"/>
      <x:c r="L4" t="str">
        <x:v>Update weekly; rebaseline only through a gate decision</x:v>
      </x:c>
      <x:c r="M4"/>
      <x:c r="N4"/>
      <x:c r="O4"/>
      <x:c r="P4"/>
      <x:c r="Q4"/>
    </x:row>
    <x:row r="5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</x:row>
    <x:row r="6">
      <x:c r="A6" t="str">
        <x:v>Editable fields</x:v>
      </x:c>
      <x:c r="B6"/>
      <x:c r="C6" t="str">
        <x:v>Status, % Complete, Actual Hours, and Notes. Baseline dates and planned hours should not be changed casually.</x:v>
      </x:c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</x:row>
    <x:row r="8">
      <x:c r="A8" t="str">
        <x:v>WBS</x:v>
      </x:c>
      <x:c r="B8" t="str">
        <x:v>Phase</x:v>
      </x:c>
      <x:c r="C8" t="str">
        <x:v>Work Package</x:v>
      </x:c>
      <x:c r="D8" t="str">
        <x:v>Deliverable / Acceptance Evidence</x:v>
      </x:c>
      <x:c r="E8" t="str">
        <x:v>Predecessor</x:v>
      </x:c>
      <x:c r="F8" t="str">
        <x:v>Planned Hours</x:v>
      </x:c>
      <x:c r="G8" t="str">
        <x:v>Start Week</x:v>
      </x:c>
      <x:c r="H8" t="str">
        <x:v>Finish Week</x:v>
      </x:c>
      <x:c r="I8" t="str">
        <x:v>Duration (wk)</x:v>
      </x:c>
      <x:c r="J8" t="str">
        <x:v>Start Date</x:v>
      </x:c>
      <x:c r="K8" t="str">
        <x:v>Finish Date</x:v>
      </x:c>
      <x:c r="L8" t="str">
        <x:v>Status</x:v>
      </x:c>
      <x:c r="M8" t="str">
        <x:v>% Complete</x:v>
      </x:c>
      <x:c r="N8" t="str">
        <x:v>Actual Hours</x:v>
      </x:c>
      <x:c r="O8" t="str">
        <x:v>Hour Variance</x:v>
      </x:c>
      <x:c r="P8" t="str">
        <x:v>Remaining Planned</x:v>
      </x:c>
      <x:c r="Q8" t="str">
        <x:v>Notes</x:v>
      </x:c>
    </x:row>
    <x:row r="9">
      <x:c r="A9" t="str">
        <x:v>0.1</x:v>
      </x:c>
      <x:c r="B9" t="str">
        <x:v>0 Project Controls &amp; Mobilization</x:v>
      </x:c>
      <x:c r="C9" t="str">
        <x:v>Create local Python environment</x:v>
      </x:c>
      <x:c r="D9" t="str">
        <x:v>Working virtual environment; dependencies installed</x:v>
      </x:c>
      <x:c r="E9" t="str">
        <x:v>-</x:v>
      </x:c>
      <x:c r="F9" t="n">
        <x:v>4</x:v>
      </x:c>
      <x:c r="G9" t="n">
        <x:v>1</x:v>
      </x:c>
      <x:c r="H9" t="n">
        <x:v>1</x:v>
      </x:c>
      <x:c r="I9" t="n">
        <x:v>1</x:v>
      </x:c>
      <x:c r="J9" t="n">
        <x:v>46202</x:v>
      </x:c>
      <x:c r="K9" t="n">
        <x:v>46208</x:v>
      </x:c>
      <x:c r="L9" t="str">
        <x:v>Complete</x:v>
      </x:c>
      <x:c r="M9" t="n">
        <x:v>1</x:v>
      </x:c>
      <x:c r="N9" t="n">
        <x:v>1.5</x:v>
      </x:c>
      <x:c r="O9" t="n">
        <x:v>-2.5</x:v>
      </x:c>
      <x:c r="P9" t="n">
        <x:v>0</x:v>
      </x:c>
      <x:c r="Q9" t="str">
        <x:v>Completed before baseline start on 2026-06-28. Python 3.14.2 virtual environment active; baseline tests passed.</x:v>
      </x:c>
    </x:row>
    <x:row r="10">
      <x:c r="A10" t="str">
        <x:v>0.2</x:v>
      </x:c>
      <x:c r="B10" t="str">
        <x:v>0 Project Controls &amp; Mobilization</x:v>
      </x:c>
      <x:c r="C10" t="str">
        <x:v>Initialize Git and GitHub baseline</x:v>
      </x:c>
      <x:c r="D10" t="str">
        <x:v>Repository pushed; main branch protected by working practice</x:v>
      </x:c>
      <x:c r="E10" t="str">
        <x:v>0.1</x:v>
      </x:c>
      <x:c r="F10" t="n">
        <x:v>4</x:v>
      </x:c>
      <x:c r="G10" t="n">
        <x:v>1</x:v>
      </x:c>
      <x:c r="H10" t="n">
        <x:v>1</x:v>
      </x:c>
      <x:c r="I10" t="n">
        <x:v>1</x:v>
      </x:c>
      <x:c r="J10" t="n">
        <x:v>46202</x:v>
      </x:c>
      <x:c r="K10" t="n">
        <x:v>46208</x:v>
      </x:c>
      <x:c r="L10" t="str">
        <x:v>Complete</x:v>
      </x:c>
      <x:c r="M10" t="n">
        <x:v>1</x:v>
      </x:c>
      <x:c r="N10"/>
      <x:c r="O10"/>
      <x:c r="P10" t="n">
        <x:v>0</x:v>
      </x:c>
      <x:c r="Q10" t="str">
        <x:v>Completed 2026-06-30. Local Git initialized, baseline commit created, GitHub origin configured, and main pushed successfully. Actual time was not separately logged.</x:v>
      </x:c>
    </x:row>
    <x:row r="11">
      <x:c r="A11" t="str">
        <x:v>0.3</x:v>
      </x:c>
      <x:c r="B11" t="str">
        <x:v>0 Project Controls &amp; Mobilization</x:v>
      </x:c>
      <x:c r="C11" t="str">
        <x:v>Review architecture and four schemas</x:v>
      </x:c>
      <x:c r="D11" t="str">
        <x:v>One-page architecture walkthrough in own words</x:v>
      </x:c>
      <x:c r="E11" t="str">
        <x:v>0.1</x:v>
      </x:c>
      <x:c r="F11" t="n">
        <x:v>4</x:v>
      </x:c>
      <x:c r="G11" t="n">
        <x:v>1</x:v>
      </x:c>
      <x:c r="H11" t="n">
        <x:v>2</x:v>
      </x:c>
      <x:c r="I11" t="n">
        <x:v>2</x:v>
      </x:c>
      <x:c r="J11" t="n">
        <x:v>46202</x:v>
      </x:c>
      <x:c r="K11" t="n">
        <x:v>46215</x:v>
      </x:c>
      <x:c r="L11" t="str">
        <x:v>In Progress</x:v>
      </x:c>
      <x:c r="M11" t="n">
        <x:v>0.5</x:v>
      </x:c>
      <x:c r="N11"/>
      <x:c r="O11"/>
      <x:c r="P11" t="n">
        <x:v>2</x:v>
      </x:c>
      <x:c r="Q11" t="str">
        <x:v>Repository layout, README, CLI commands, and MECH-001 summary reviewed. Full four-schema walkthrough and concise architecture explanation remain.</x:v>
      </x:c>
    </x:row>
    <x:row r="12">
      <x:c r="A12" t="str">
        <x:v>0.4</x:v>
      </x:c>
      <x:c r="B12" t="str">
        <x:v>0 Project Controls &amp; Mobilization</x:v>
      </x:c>
      <x:c r="C12" t="str">
        <x:v>Set definition of done and control routine</x:v>
      </x:c>
      <x:c r="D12" t="str">
        <x:v>Weekly review checklist and change-control rule</x:v>
      </x:c>
      <x:c r="E12" t="str">
        <x:v>0.2</x:v>
      </x:c>
      <x:c r="F12" t="n">
        <x:v>4</x:v>
      </x:c>
      <x:c r="G12" t="n">
        <x:v>2</x:v>
      </x:c>
      <x:c r="H12" t="n">
        <x:v>2</x:v>
      </x:c>
      <x:c r="I12" t="n">
        <x:v>1</x:v>
      </x:c>
      <x:c r="J12" t="n">
        <x:v>46209</x:v>
      </x:c>
      <x:c r="K12" t="n">
        <x:v>46215</x:v>
      </x:c>
      <x:c r="L12" t="str">
        <x:v>Not Started</x:v>
      </x:c>
      <x:c r="M12" t="n">
        <x:v>0</x:v>
      </x:c>
      <x:c r="N12"/>
      <x:c r="O12"/>
      <x:c r="P12" t="n">
        <x:v>4</x:v>
      </x:c>
      <x:c r="Q12"/>
    </x:row>
    <x:row r="13">
      <x:c r="A13" t="str">
        <x:v>0.5</x:v>
      </x:c>
      <x:c r="B13" t="str">
        <x:v>0 Project Controls &amp; Mobilization</x:v>
      </x:c>
      <x:c r="C13" t="str">
        <x:v>Weekly time, issue, and decision logging</x:v>
      </x:c>
      <x:c r="D13" t="str">
        <x:v>Updated weekly control sheet and issue notes</x:v>
      </x:c>
      <x:c r="E13" t="str">
        <x:v>0.4</x:v>
      </x:c>
      <x:c r="F13" t="n">
        <x:v>12</x:v>
      </x:c>
      <x:c r="G13" t="n">
        <x:v>1</x:v>
      </x:c>
      <x:c r="H13" t="n">
        <x:v>52</x:v>
      </x:c>
      <x:c r="I13" t="n">
        <x:v>52</x:v>
      </x:c>
      <x:c r="J13" t="n">
        <x:v>46202</x:v>
      </x:c>
      <x:c r="K13" t="n">
        <x:v>46565</x:v>
      </x:c>
      <x:c r="L13" t="str">
        <x:v>In Progress</x:v>
      </x:c>
      <x:c r="M13" t="n">
        <x:v>0.02</x:v>
      </x:c>
      <x:c r="N13"/>
      <x:c r="O13"/>
      <x:c r="P13" t="n">
        <x:v>11.76</x:v>
      </x:c>
      <x:c r="Q13" t="str">
        <x:v>Week 1 control update completed. Actual time is recorded only where explicitly tracked.</x:v>
      </x:c>
    </x:row>
    <x:row r="14">
      <x:c r="A14" t="str">
        <x:v>0.6</x:v>
      </x:c>
      <x:c r="B14" t="str">
        <x:v>0 Project Controls &amp; Mobilization</x:v>
      </x:c>
      <x:c r="C14" t="str">
        <x:v>Monthly schedule and forecast update</x:v>
      </x:c>
      <x:c r="D14" t="str">
        <x:v>Monthly reforecast without silent scope changes</x:v>
      </x:c>
      <x:c r="E14" t="str">
        <x:v>0.4</x:v>
      </x:c>
      <x:c r="F14" t="n">
        <x:v>6</x:v>
      </x:c>
      <x:c r="G14" t="n">
        <x:v>4</x:v>
      </x:c>
      <x:c r="H14" t="n">
        <x:v>52</x:v>
      </x:c>
      <x:c r="I14" t="n">
        <x:v>49</x:v>
      </x:c>
      <x:c r="J14" t="n">
        <x:v>46223</x:v>
      </x:c>
      <x:c r="K14" t="n">
        <x:v>46565</x:v>
      </x:c>
      <x:c r="L14" t="str">
        <x:v>Not Started</x:v>
      </x:c>
      <x:c r="M14" t="n">
        <x:v>0</x:v>
      </x:c>
      <x:c r="N14"/>
      <x:c r="O14"/>
      <x:c r="P14" t="n">
        <x:v>6</x:v>
      </x:c>
      <x:c r="Q14"/>
    </x:row>
    <x:row r="15">
      <x:c r="A15" t="str">
        <x:v>0.7</x:v>
      </x:c>
      <x:c r="B15" t="str">
        <x:v>0 Project Controls &amp; Mobilization</x:v>
      </x:c>
      <x:c r="C15" t="str">
        <x:v>Formal gate reviews and baseline changes</x:v>
      </x:c>
      <x:c r="D15" t="str">
        <x:v>Recorded gate decision and accepted corrective actions</x:v>
      </x:c>
      <x:c r="E15" t="str">
        <x:v>0.4</x:v>
      </x:c>
      <x:c r="F15" t="n">
        <x:v>6</x:v>
      </x:c>
      <x:c r="G15" t="n">
        <x:v>9</x:v>
      </x:c>
      <x:c r="H15" t="n">
        <x:v>52</x:v>
      </x:c>
      <x:c r="I15" t="n">
        <x:v>44</x:v>
      </x:c>
      <x:c r="J15" t="n">
        <x:v>46258</x:v>
      </x:c>
      <x:c r="K15" t="n">
        <x:v>46565</x:v>
      </x:c>
      <x:c r="L15" t="str">
        <x:v>Not Started</x:v>
      </x:c>
      <x:c r="M15" t="n">
        <x:v>0</x:v>
      </x:c>
      <x:c r="N15"/>
      <x:c r="O15"/>
      <x:c r="P15" t="n">
        <x:v>6</x:v>
      </x:c>
      <x:c r="Q15"/>
    </x:row>
    <x:row r="16">
      <x:c r="A16" t="str">
        <x:v>1.1</x:v>
      </x:c>
      <x:c r="B16" t="str">
        <x:v>1 Case Foundation</x:v>
      </x:c>
      <x:c r="C16" t="str">
        <x:v>Learn only the required JSON, schema, and CLI concepts</x:v>
      </x:c>
      <x:c r="D16" t="str">
        <x:v>Can explain and edit one case safely</x:v>
      </x:c>
      <x:c r="E16" t="str">
        <x:v>0.3</x:v>
      </x:c>
      <x:c r="F16" t="n">
        <x:v>8</x:v>
      </x:c>
      <x:c r="G16" t="n">
        <x:v>3</x:v>
      </x:c>
      <x:c r="H16" t="n">
        <x:v>3</x:v>
      </x:c>
      <x:c r="I16" t="n">
        <x:v>1</x:v>
      </x:c>
      <x:c r="J16" t="n">
        <x:v>46216</x:v>
      </x:c>
      <x:c r="K16" t="n">
        <x:v>46222</x:v>
      </x:c>
      <x:c r="L16" t="str">
        <x:v>Not Started</x:v>
      </x:c>
      <x:c r="M16" t="n">
        <x:v>0</x:v>
      </x:c>
      <x:c r="N16"/>
      <x:c r="O16"/>
      <x:c r="P16" t="n">
        <x:v>8</x:v>
      </x:c>
      <x:c r="Q16"/>
    </x:row>
    <x:row r="17">
      <x:c r="A17" t="str">
        <x:v>1.2</x:v>
      </x:c>
      <x:c r="B17" t="str">
        <x:v>1 Case Foundation</x:v>
      </x:c>
      <x:c r="C17" t="str">
        <x:v>Independently verify the three seed cases</x:v>
      </x:c>
      <x:c r="D17" t="str">
        <x:v>Calculations and references checked without relying on generated code</x:v>
      </x:c>
      <x:c r="E17" t="str">
        <x:v>1.1</x:v>
      </x:c>
      <x:c r="F17" t="n">
        <x:v>6</x:v>
      </x:c>
      <x:c r="G17" t="n">
        <x:v>3</x:v>
      </x:c>
      <x:c r="H17" t="n">
        <x:v>4</x:v>
      </x:c>
      <x:c r="I17" t="n">
        <x:v>2</x:v>
      </x:c>
      <x:c r="J17" t="n">
        <x:v>46216</x:v>
      </x:c>
      <x:c r="K17" t="n">
        <x:v>46229</x:v>
      </x:c>
      <x:c r="L17" t="str">
        <x:v>Not Started</x:v>
      </x:c>
      <x:c r="M17" t="n">
        <x:v>0</x:v>
      </x:c>
      <x:c r="N17"/>
      <x:c r="O17"/>
      <x:c r="P17" t="n">
        <x:v>6</x:v>
      </x:c>
      <x:c r="Q17"/>
    </x:row>
    <x:row r="18">
      <x:c r="A18" t="str">
        <x:v>1.3</x:v>
      </x:c>
      <x:c r="B18" t="str">
        <x:v>1 Case Foundation</x:v>
      </x:c>
      <x:c r="C18" t="str">
        <x:v>Author synthetic cases 4 and 5</x:v>
      </x:c>
      <x:c r="D18" t="str">
        <x:v>Two complete, valid, reviewed case instances</x:v>
      </x:c>
      <x:c r="E18" t="str">
        <x:v>1.2</x:v>
      </x:c>
      <x:c r="F18" t="n">
        <x:v>14</x:v>
      </x:c>
      <x:c r="G18" t="n">
        <x:v>4</x:v>
      </x:c>
      <x:c r="H18" t="n">
        <x:v>5</x:v>
      </x:c>
      <x:c r="I18" t="n">
        <x:v>2</x:v>
      </x:c>
      <x:c r="J18" t="n">
        <x:v>46223</x:v>
      </x:c>
      <x:c r="K18" t="n">
        <x:v>46236</x:v>
      </x:c>
      <x:c r="L18" t="str">
        <x:v>Not Started</x:v>
      </x:c>
      <x:c r="M18" t="n">
        <x:v>0</x:v>
      </x:c>
      <x:c r="N18"/>
      <x:c r="O18"/>
      <x:c r="P18" t="n">
        <x:v>14</x:v>
      </x:c>
      <x:c r="Q18"/>
    </x:row>
    <x:row r="19">
      <x:c r="A19" t="str">
        <x:v>1.4</x:v>
      </x:c>
      <x:c r="B19" t="str">
        <x:v>1 Case Foundation</x:v>
      </x:c>
      <x:c r="C19" t="str">
        <x:v>Author synthetic cases 6 through 8</x:v>
      </x:c>
      <x:c r="D19" t="str">
        <x:v>Three additional cases covering distinct failure modes</x:v>
      </x:c>
      <x:c r="E19" t="str">
        <x:v>1.3</x:v>
      </x:c>
      <x:c r="F19" t="n">
        <x:v>18</x:v>
      </x:c>
      <x:c r="G19" t="n">
        <x:v>5</x:v>
      </x:c>
      <x:c r="H19" t="n">
        <x:v>7</x:v>
      </x:c>
      <x:c r="I19" t="n">
        <x:v>3</x:v>
      </x:c>
      <x:c r="J19" t="n">
        <x:v>46230</x:v>
      </x:c>
      <x:c r="K19" t="n">
        <x:v>46250</x:v>
      </x:c>
      <x:c r="L19" t="str">
        <x:v>Not Started</x:v>
      </x:c>
      <x:c r="M19" t="n">
        <x:v>0</x:v>
      </x:c>
      <x:c r="N19"/>
      <x:c r="O19"/>
      <x:c r="P19" t="n">
        <x:v>18</x:v>
      </x:c>
      <x:c r="Q19"/>
    </x:row>
    <x:row r="20">
      <x:c r="A20" t="str">
        <x:v>1.5</x:v>
      </x:c>
      <x:c r="B20" t="str">
        <x:v>1 Case Foundation</x:v>
      </x:c>
      <x:c r="C20" t="str">
        <x:v>Expand taxonomy and assign dataset splits</x:v>
      </x:c>
      <x:c r="D20" t="str">
        <x:v>Failure codes stable; at least two held-out cases</x:v>
      </x:c>
      <x:c r="E20" t="str">
        <x:v>1.4</x:v>
      </x:c>
      <x:c r="F20" t="n">
        <x:v>6</x:v>
      </x:c>
      <x:c r="G20" t="n">
        <x:v>7</x:v>
      </x:c>
      <x:c r="H20" t="n">
        <x:v>8</x:v>
      </x:c>
      <x:c r="I20" t="n">
        <x:v>2</x:v>
      </x:c>
      <x:c r="J20" t="n">
        <x:v>46244</x:v>
      </x:c>
      <x:c r="K20" t="n">
        <x:v>46257</x:v>
      </x:c>
      <x:c r="L20" t="str">
        <x:v>Not Started</x:v>
      </x:c>
      <x:c r="M20" t="n">
        <x:v>0</x:v>
      </x:c>
      <x:c r="N20"/>
      <x:c r="O20"/>
      <x:c r="P20" t="n">
        <x:v>6</x:v>
      </x:c>
      <x:c r="Q20"/>
    </x:row>
    <x:row r="21">
      <x:c r="A21" t="str">
        <x:v>1.6</x:v>
      </x:c>
      <x:c r="B21" t="str">
        <x:v>1 Case Foundation</x:v>
      </x:c>
      <x:c r="C21" t="str">
        <x:v>Complete human review checklists</x:v>
      </x:c>
      <x:c r="D21" t="str">
        <x:v>Every case passes provenance, authenticity, correctness, and evaluability review</x:v>
      </x:c>
      <x:c r="E21" t="str">
        <x:v>1.5</x:v>
      </x:c>
      <x:c r="F21" t="n">
        <x:v>6</x:v>
      </x:c>
      <x:c r="G21" t="n">
        <x:v>8</x:v>
      </x:c>
      <x:c r="H21" t="n">
        <x:v>8</x:v>
      </x:c>
      <x:c r="I21" t="n">
        <x:v>1</x:v>
      </x:c>
      <x:c r="J21" t="n">
        <x:v>46251</x:v>
      </x:c>
      <x:c r="K21" t="n">
        <x:v>46257</x:v>
      </x:c>
      <x:c r="L21" t="str">
        <x:v>Not Started</x:v>
      </x:c>
      <x:c r="M21" t="n">
        <x:v>0</x:v>
      </x:c>
      <x:c r="N21"/>
      <x:c r="O21"/>
      <x:c r="P21" t="n">
        <x:v>6</x:v>
      </x:c>
      <x:c r="Q21"/>
    </x:row>
    <x:row r="22">
      <x:c r="A22" t="str">
        <x:v>1.7</x:v>
      </x:c>
      <x:c r="B22" t="str">
        <x:v>1 Case Foundation</x:v>
      </x:c>
      <x:c r="C22" t="str">
        <x:v>Release specification baseline v0.1.0</x:v>
      </x:c>
      <x:c r="D22" t="str">
        <x:v>Validation passes; tagged release and concise release notes</x:v>
      </x:c>
      <x:c r="E22" t="str">
        <x:v>1.6</x:v>
      </x:c>
      <x:c r="F22" t="n">
        <x:v>6</x:v>
      </x:c>
      <x:c r="G22" t="n">
        <x:v>9</x:v>
      </x:c>
      <x:c r="H22" t="n">
        <x:v>9</x:v>
      </x:c>
      <x:c r="I22" t="n">
        <x:v>1</x:v>
      </x:c>
      <x:c r="J22" t="n">
        <x:v>46258</x:v>
      </x:c>
      <x:c r="K22" t="n">
        <x:v>46264</x:v>
      </x:c>
      <x:c r="L22" t="str">
        <x:v>Not Started</x:v>
      </x:c>
      <x:c r="M22" t="n">
        <x:v>0</x:v>
      </x:c>
      <x:c r="N22"/>
      <x:c r="O22"/>
      <x:c r="P22" t="n">
        <x:v>6</x:v>
      </x:c>
      <x:c r="Q22"/>
    </x:row>
    <x:row r="23">
      <x:c r="A23" t="str">
        <x:v>2.1</x:v>
      </x:c>
      <x:c r="B23" t="str">
        <x:v>2 Software Hygiene &amp; Test Infrastructure</x:v>
      </x:c>
      <x:c r="C23" t="str">
        <x:v>Practise branch, merge, and recovery workflows</x:v>
      </x:c>
      <x:c r="D23" t="str">
        <x:v>Three clean feature branches and one intentional recovery exercise</x:v>
      </x:c>
      <x:c r="E23" t="str">
        <x:v>1.7</x:v>
      </x:c>
      <x:c r="F23" t="n">
        <x:v>10</x:v>
      </x:c>
      <x:c r="G23" t="n">
        <x:v>10</x:v>
      </x:c>
      <x:c r="H23" t="n">
        <x:v>10</x:v>
      </x:c>
      <x:c r="I23" t="n">
        <x:v>1</x:v>
      </x:c>
      <x:c r="J23" t="n">
        <x:v>46265</x:v>
      </x:c>
      <x:c r="K23" t="n">
        <x:v>46271</x:v>
      </x:c>
      <x:c r="L23" t="str">
        <x:v>In Progress</x:v>
      </x:c>
      <x:c r="M23" t="n">
        <x:v>0.2</x:v>
      </x:c>
      <x:c r="N23"/>
      <x:c r="O23"/>
      <x:c r="P23" t="n">
        <x:v>8</x:v>
      </x:c>
      <x:c r="Q23" t="str">
        <x:v>Started early. Created feature/test-unknown-case and added the first controlled test change. Push/PR/merge evidence and two more branches plus recovery exercise remain.</x:v>
      </x:c>
    </x:row>
    <x:row r="24">
      <x:c r="A24" t="str">
        <x:v>2.2</x:v>
      </x:c>
      <x:c r="B24" t="str">
        <x:v>2 Software Hygiene &amp; Test Infrastructure</x:v>
      </x:c>
      <x:c r="C24" t="str">
        <x:v>Refactor repository validator and loader</x:v>
      </x:c>
      <x:c r="D24" t="str">
        <x:v>Readable modules with stable error messages</x:v>
      </x:c>
      <x:c r="E24" t="str">
        <x:v>2.1</x:v>
      </x:c>
      <x:c r="F24" t="n">
        <x:v>12</x:v>
      </x:c>
      <x:c r="G24" t="n">
        <x:v>10</x:v>
      </x:c>
      <x:c r="H24" t="n">
        <x:v>11</x:v>
      </x:c>
      <x:c r="I24" t="n">
        <x:v>2</x:v>
      </x:c>
      <x:c r="J24" t="n">
        <x:v>46265</x:v>
      </x:c>
      <x:c r="K24" t="n">
        <x:v>46278</x:v>
      </x:c>
      <x:c r="L24" t="str">
        <x:v>In Progress</x:v>
      </x:c>
      <x:c r="M24" t="n">
        <x:v>0.15</x:v>
      </x:c>
      <x:c r="N24" t="n">
        <x:v>0.62</x:v>
      </x:c>
      <x:c r="O24" t="n">
        <x:v>-11.38</x:v>
      </x:c>
      <x:c r="P24" t="n">
        <x:v>10.2</x:v>
      </x:c>
      <x:c r="Q24" t="str">
        <x:v>Started early on 2026-07-04. Added targeted load_case_by_id, updated CLI inspect to load one case directly, added positive and negative regression tests, fixed inspect output formatting, merged PR #2, and confirmed 22 tests pass.</x:v>
      </x:c>
    </x:row>
    <x:row r="25">
      <x:c r="A25" t="str">
        <x:v>2.3</x:v>
      </x:c>
      <x:c r="B25" t="str">
        <x:v>2 Software Hygiene &amp; Test Infrastructure</x:v>
      </x:c>
      <x:c r="C25" t="str">
        <x:v>Expand pytest suite to at least 20 tests</x:v>
      </x:c>
      <x:c r="D25" t="str">
        <x:v>Positive and negative cases run locally</x:v>
      </x:c>
      <x:c r="E25" t="str">
        <x:v>2.2</x:v>
      </x:c>
      <x:c r="F25" t="n">
        <x:v>14</x:v>
      </x:c>
      <x:c r="G25" t="n">
        <x:v>11</x:v>
      </x:c>
      <x:c r="H25" t="n">
        <x:v>12</x:v>
      </x:c>
      <x:c r="I25" t="n">
        <x:v>2</x:v>
      </x:c>
      <x:c r="J25" t="n">
        <x:v>46272</x:v>
      </x:c>
      <x:c r="K25" t="n">
        <x:v>46285</x:v>
      </x:c>
      <x:c r="L25" t="str">
        <x:v>Complete</x:v>
      </x:c>
      <x:c r="M25" t="n">
        <x:v>1</x:v>
      </x:c>
      <x:c r="N25"/>
      <x:c r="O25"/>
      <x:c r="P25" t="n">
        <x:v>0</x:v>
      </x:c>
      <x:c r="Q25" t="str">
        <x:v>Completed early on 2026-06-30. Added a negative CLI integration test; 20 tests pass locally. Actual time was not separately logged.</x:v>
      </x:c>
    </x:row>
    <x:row r="26">
      <x:c r="A26" t="str">
        <x:v>2.4</x:v>
      </x:c>
      <x:c r="B26" t="str">
        <x:v>2 Software Hygiene &amp; Test Infrastructure</x:v>
      </x:c>
      <x:c r="C26" t="str">
        <x:v>Add schema, path, asset, and weight failure tests</x:v>
      </x:c>
      <x:c r="D26" t="str">
        <x:v>Seeded defects are caught deterministically</x:v>
      </x:c>
      <x:c r="E26" t="str">
        <x:v>2.3</x:v>
      </x:c>
      <x:c r="F26" t="n">
        <x:v>10</x:v>
      </x:c>
      <x:c r="G26" t="n">
        <x:v>12</x:v>
      </x:c>
      <x:c r="H26" t="n">
        <x:v>13</x:v>
      </x:c>
      <x:c r="I26" t="n">
        <x:v>2</x:v>
      </x:c>
      <x:c r="J26" t="n">
        <x:v>46279</x:v>
      </x:c>
      <x:c r="K26" t="n">
        <x:v>46292</x:v>
      </x:c>
      <x:c r="L26" t="str">
        <x:v>Not Started</x:v>
      </x:c>
      <x:c r="M26" t="n">
        <x:v>0</x:v>
      </x:c>
      <x:c r="N26"/>
      <x:c r="O26"/>
      <x:c r="P26" t="n">
        <x:v>10</x:v>
      </x:c>
      <x:c r="Q26"/>
    </x:row>
    <x:row r="27">
      <x:c r="A27" t="str">
        <x:v>2.5</x:v>
      </x:c>
      <x:c r="B27" t="str">
        <x:v>2 Software Hygiene &amp; Test Infrastructure</x:v>
      </x:c>
      <x:c r="C27" t="str">
        <x:v>Add GitHub Actions test workflow</x:v>
      </x:c>
      <x:c r="D27" t="str">
        <x:v>CI passes on push and fails on seeded defect branch</x:v>
      </x:c>
      <x:c r="E27" t="str">
        <x:v>2.3</x:v>
      </x:c>
      <x:c r="F27" t="n">
        <x:v>10</x:v>
      </x:c>
      <x:c r="G27" t="n">
        <x:v>13</x:v>
      </x:c>
      <x:c r="H27" t="n">
        <x:v>14</x:v>
      </x:c>
      <x:c r="I27" t="n">
        <x:v>2</x:v>
      </x:c>
      <x:c r="J27" t="n">
        <x:v>46286</x:v>
      </x:c>
      <x:c r="K27" t="n">
        <x:v>46299</x:v>
      </x:c>
      <x:c r="L27" t="str">
        <x:v>Not Started</x:v>
      </x:c>
      <x:c r="M27" t="n">
        <x:v>0</x:v>
      </x:c>
      <x:c r="N27"/>
      <x:c r="O27"/>
      <x:c r="P27" t="n">
        <x:v>10</x:v>
      </x:c>
      <x:c r="Q27"/>
    </x:row>
    <x:row r="28">
      <x:c r="A28" t="str">
        <x:v>2.6</x:v>
      </x:c>
      <x:c r="B28" t="str">
        <x:v>2 Software Hygiene &amp; Test Infrastructure</x:v>
      </x:c>
      <x:c r="C28" t="str">
        <x:v>Define result and trace schema stubs</x:v>
      </x:c>
      <x:c r="D28" t="str">
        <x:v>Future run data separated from task definitions</x:v>
      </x:c>
      <x:c r="E28" t="str">
        <x:v>2.4</x:v>
      </x:c>
      <x:c r="F28" t="n">
        <x:v>8</x:v>
      </x:c>
      <x:c r="G28" t="n">
        <x:v>14</x:v>
      </x:c>
      <x:c r="H28" t="n">
        <x:v>15</x:v>
      </x:c>
      <x:c r="I28" t="n">
        <x:v>2</x:v>
      </x:c>
      <x:c r="J28" t="n">
        <x:v>46293</x:v>
      </x:c>
      <x:c r="K28" t="n">
        <x:v>46306</x:v>
      </x:c>
      <x:c r="L28" t="str">
        <x:v>Not Started</x:v>
      </x:c>
      <x:c r="M28" t="n">
        <x:v>0</x:v>
      </x:c>
      <x:c r="N28"/>
      <x:c r="O28"/>
      <x:c r="P28" t="n">
        <x:v>8</x:v>
      </x:c>
      <x:c r="Q28"/>
    </x:row>
    <x:row r="29">
      <x:c r="A29" t="str">
        <x:v>2.7</x:v>
      </x:c>
      <x:c r="B29" t="str">
        <x:v>2 Software Hygiene &amp; Test Infrastructure</x:v>
      </x:c>
      <x:c r="C29" t="str">
        <x:v>Clean README, changelog, and issue templates</x:v>
      </x:c>
      <x:c r="D29" t="str">
        <x:v>New contributor can understand current scope</x:v>
      </x:c>
      <x:c r="E29" t="str">
        <x:v>2.5</x:v>
      </x:c>
      <x:c r="F29" t="n">
        <x:v>4</x:v>
      </x:c>
      <x:c r="G29" t="n">
        <x:v>15</x:v>
      </x:c>
      <x:c r="H29" t="n">
        <x:v>15</x:v>
      </x:c>
      <x:c r="I29" t="n">
        <x:v>1</x:v>
      </x:c>
      <x:c r="J29" t="n">
        <x:v>46300</x:v>
      </x:c>
      <x:c r="K29" t="n">
        <x:v>46306</x:v>
      </x:c>
      <x:c r="L29" t="str">
        <x:v>Not Started</x:v>
      </x:c>
      <x:c r="M29" t="n">
        <x:v>0</x:v>
      </x:c>
      <x:c r="N29"/>
      <x:c r="O29"/>
      <x:c r="P29" t="n">
        <x:v>4</x:v>
      </x:c>
      <x:c r="Q29"/>
    </x:row>
    <x:row r="30">
      <x:c r="A30" t="str">
        <x:v>2.8</x:v>
      </x:c>
      <x:c r="B30" t="str">
        <x:v>2 Software Hygiene &amp; Test Infrastructure</x:v>
      </x:c>
      <x:c r="C30" t="str">
        <x:v>Release repository baseline v0.2</x:v>
      </x:c>
      <x:c r="D30" t="str">
        <x:v>CI green; clean history; gate record complete</x:v>
      </x:c>
      <x:c r="E30" t="str">
        <x:v>2.6</x:v>
      </x:c>
      <x:c r="F30" t="n">
        <x:v>4</x:v>
      </x:c>
      <x:c r="G30" t="n">
        <x:v>16</x:v>
      </x:c>
      <x:c r="H30" t="n">
        <x:v>16</x:v>
      </x:c>
      <x:c r="I30" t="n">
        <x:v>1</x:v>
      </x:c>
      <x:c r="J30" t="n">
        <x:v>46307</x:v>
      </x:c>
      <x:c r="K30" t="n">
        <x:v>46313</x:v>
      </x:c>
      <x:c r="L30" t="str">
        <x:v>Not Started</x:v>
      </x:c>
      <x:c r="M30" t="n">
        <x:v>0</x:v>
      </x:c>
      <x:c r="N30"/>
      <x:c r="O30"/>
      <x:c r="P30" t="n">
        <x:v>4</x:v>
      </x:c>
      <x:c r="Q30"/>
    </x:row>
    <x:row r="31">
      <x:c r="A31" t="str">
        <x:v>3.1</x:v>
      </x:c>
      <x:c r="B31" t="str">
        <x:v>3 Evaluation Engine &amp; Measurement</x:v>
      </x:c>
      <x:c r="C31" t="str">
        <x:v>Implement deterministic evaluator engine</x:v>
      </x:c>
      <x:c r="D31" t="str">
        <x:v>One command evaluates a candidate artifact against a case</x:v>
      </x:c>
      <x:c r="E31" t="str">
        <x:v>2.8</x:v>
      </x:c>
      <x:c r="F31" t="n">
        <x:v>18</x:v>
      </x:c>
      <x:c r="G31" t="n">
        <x:v>17</x:v>
      </x:c>
      <x:c r="H31" t="n">
        <x:v>18</x:v>
      </x:c>
      <x:c r="I31" t="n">
        <x:v>2</x:v>
      </x:c>
      <x:c r="J31" t="n">
        <x:v>46314</x:v>
      </x:c>
      <x:c r="K31" t="n">
        <x:v>46327</x:v>
      </x:c>
      <x:c r="L31" t="str">
        <x:v>Not Started</x:v>
      </x:c>
      <x:c r="M31" t="n">
        <x:v>0</x:v>
      </x:c>
      <x:c r="N31"/>
      <x:c r="O31"/>
      <x:c r="P31" t="n">
        <x:v>18</x:v>
      </x:c>
      <x:c r="Q31"/>
    </x:row>
    <x:row r="32">
      <x:c r="A32" t="str">
        <x:v>3.2</x:v>
      </x:c>
      <x:c r="B32" t="str">
        <x:v>3 Evaluation Engine &amp; Measurement</x:v>
      </x:c>
      <x:c r="C32" t="str">
        <x:v>Implement mandatory gates and artifact validation</x:v>
      </x:c>
      <x:c r="D32" t="str">
        <x:v>Missing, malformed, and incomplete outputs fail before scoring</x:v>
      </x:c>
      <x:c r="E32" t="str">
        <x:v>3.1</x:v>
      </x:c>
      <x:c r="F32" t="n">
        <x:v>12</x:v>
      </x:c>
      <x:c r="G32" t="n">
        <x:v>18</x:v>
      </x:c>
      <x:c r="H32" t="n">
        <x:v>19</x:v>
      </x:c>
      <x:c r="I32" t="n">
        <x:v>2</x:v>
      </x:c>
      <x:c r="J32" t="n">
        <x:v>46321</x:v>
      </x:c>
      <x:c r="K32" t="n">
        <x:v>46334</x:v>
      </x:c>
      <x:c r="L32" t="str">
        <x:v>Not Started</x:v>
      </x:c>
      <x:c r="M32" t="n">
        <x:v>0</x:v>
      </x:c>
      <x:c r="N32"/>
      <x:c r="O32"/>
      <x:c r="P32" t="n">
        <x:v>12</x:v>
      </x:c>
      <x:c r="Q32"/>
    </x:row>
    <x:row r="33">
      <x:c r="A33" t="str">
        <x:v>3.3</x:v>
      </x:c>
      <x:c r="B33" t="str">
        <x:v>3 Evaluation Engine &amp; Measurement</x:v>
      </x:c>
      <x:c r="C33" t="str">
        <x:v>Implement numeric, exact, set, and contains checks</x:v>
      </x:c>
      <x:c r="D33" t="str">
        <x:v>Supported checks produce evidence and failure codes</x:v>
      </x:c>
      <x:c r="E33" t="str">
        <x:v>3.2</x:v>
      </x:c>
      <x:c r="F33" t="n">
        <x:v>12</x:v>
      </x:c>
      <x:c r="G33" t="n">
        <x:v>19</x:v>
      </x:c>
      <x:c r="H33" t="n">
        <x:v>20</x:v>
      </x:c>
      <x:c r="I33" t="n">
        <x:v>2</x:v>
      </x:c>
      <x:c r="J33" t="n">
        <x:v>46328</x:v>
      </x:c>
      <x:c r="K33" t="n">
        <x:v>46341</x:v>
      </x:c>
      <x:c r="L33" t="str">
        <x:v>Not Started</x:v>
      </x:c>
      <x:c r="M33" t="n">
        <x:v>0</x:v>
      </x:c>
      <x:c r="N33"/>
      <x:c r="O33"/>
      <x:c r="P33" t="n">
        <x:v>12</x:v>
      </x:c>
      <x:c r="Q33"/>
    </x:row>
    <x:row r="34">
      <x:c r="A34" t="str">
        <x:v>3.4</x:v>
      </x:c>
      <x:c r="B34" t="str">
        <x:v>3 Evaluation Engine &amp; Measurement</x:v>
      </x:c>
      <x:c r="C34" t="str">
        <x:v>Write immutable local run-result records</x:v>
      </x:c>
      <x:c r="D34" t="str">
        <x:v>Run result stores versions, score, pass/fail, and evidence</x:v>
      </x:c>
      <x:c r="E34" t="str">
        <x:v>3.3</x:v>
      </x:c>
      <x:c r="F34" t="n">
        <x:v>8</x:v>
      </x:c>
      <x:c r="G34" t="n">
        <x:v>20</x:v>
      </x:c>
      <x:c r="H34" t="n">
        <x:v>20</x:v>
      </x:c>
      <x:c r="I34" t="n">
        <x:v>1</x:v>
      </x:c>
      <x:c r="J34" t="n">
        <x:v>46335</x:v>
      </x:c>
      <x:c r="K34" t="n">
        <x:v>46341</x:v>
      </x:c>
      <x:c r="L34" t="str">
        <x:v>Not Started</x:v>
      </x:c>
      <x:c r="M34" t="n">
        <x:v>0</x:v>
      </x:c>
      <x:c r="N34"/>
      <x:c r="O34"/>
      <x:c r="P34" t="n">
        <x:v>8</x:v>
      </x:c>
      <x:c r="Q34"/>
    </x:row>
    <x:row r="35">
      <x:c r="A35" t="str">
        <x:v>3.5</x:v>
      </x:c>
      <x:c r="B35" t="str">
        <x:v>3 Evaluation Engine &amp; Measurement</x:v>
      </x:c>
      <x:c r="C35" t="str">
        <x:v>Add manual or direct-model baseline adapter</x:v>
      </x:c>
      <x:c r="D35" t="str">
        <x:v>Response/artifact can enter harness without an agent framework</x:v>
      </x:c>
      <x:c r="E35" t="str">
        <x:v>3.4</x:v>
      </x:c>
      <x:c r="F35" t="n">
        <x:v>10</x:v>
      </x:c>
      <x:c r="G35" t="n">
        <x:v>21</x:v>
      </x:c>
      <x:c r="H35" t="n">
        <x:v>21</x:v>
      </x:c>
      <x:c r="I35" t="n">
        <x:v>1</x:v>
      </x:c>
      <x:c r="J35" t="n">
        <x:v>46342</x:v>
      </x:c>
      <x:c r="K35" t="n">
        <x:v>46348</x:v>
      </x:c>
      <x:c r="L35" t="str">
        <x:v>Not Started</x:v>
      </x:c>
      <x:c r="M35" t="n">
        <x:v>0</x:v>
      </x:c>
      <x:c r="N35"/>
      <x:c r="O35"/>
      <x:c r="P35" t="n">
        <x:v>10</x:v>
      </x:c>
      <x:c r="Q35"/>
    </x:row>
    <x:row r="36">
      <x:c r="A36" t="str">
        <x:v>3.6</x:v>
      </x:c>
      <x:c r="B36" t="str">
        <x:v>3 Evaluation Engine &amp; Measurement</x:v>
      </x:c>
      <x:c r="C36" t="str">
        <x:v>Define calibration and human-review protocol</x:v>
      </x:c>
      <x:c r="D36" t="str">
        <x:v>Clear rule for deterministic checks, narrow rubrics, and escalation</x:v>
      </x:c>
      <x:c r="E36" t="str">
        <x:v>3.5</x:v>
      </x:c>
      <x:c r="F36" t="n">
        <x:v>10</x:v>
      </x:c>
      <x:c r="G36" t="n">
        <x:v>21</x:v>
      </x:c>
      <x:c r="H36" t="n">
        <x:v>22</x:v>
      </x:c>
      <x:c r="I36" t="n">
        <x:v>2</x:v>
      </x:c>
      <x:c r="J36" t="n">
        <x:v>46342</x:v>
      </x:c>
      <x:c r="K36" t="n">
        <x:v>46355</x:v>
      </x:c>
      <x:c r="L36" t="str">
        <x:v>Not Started</x:v>
      </x:c>
      <x:c r="M36" t="n">
        <x:v>0</x:v>
      </x:c>
      <x:c r="N36"/>
      <x:c r="O36"/>
      <x:c r="P36" t="n">
        <x:v>10</x:v>
      </x:c>
      <x:c r="Q36"/>
    </x:row>
    <x:row r="37">
      <x:c r="A37" t="str">
        <x:v>3.7</x:v>
      </x:c>
      <x:c r="B37" t="str">
        <x:v>3 Evaluation Engine &amp; Measurement</x:v>
      </x:c>
      <x:c r="C37" t="str">
        <x:v>Expand benchmark to 20 cases</x:v>
      </x:c>
      <x:c r="D37" t="str">
        <x:v>Balanced development and held-out set with versioned cases</x:v>
      </x:c>
      <x:c r="E37" t="str">
        <x:v>3.6</x:v>
      </x:c>
      <x:c r="F37" t="n">
        <x:v>10</x:v>
      </x:c>
      <x:c r="G37" t="n">
        <x:v>22</x:v>
      </x:c>
      <x:c r="H37" t="n">
        <x:v>23</x:v>
      </x:c>
      <x:c r="I37" t="n">
        <x:v>2</x:v>
      </x:c>
      <x:c r="J37" t="n">
        <x:v>46349</x:v>
      </x:c>
      <x:c r="K37" t="n">
        <x:v>46362</x:v>
      </x:c>
      <x:c r="L37" t="str">
        <x:v>Not Started</x:v>
      </x:c>
      <x:c r="M37" t="n">
        <x:v>0</x:v>
      </x:c>
      <x:c r="N37"/>
      <x:c r="O37"/>
      <x:c r="P37" t="n">
        <x:v>10</x:v>
      </x:c>
      <x:c r="Q37"/>
    </x:row>
    <x:row r="38">
      <x:c r="A38" t="str">
        <x:v>3.8</x:v>
      </x:c>
      <x:c r="B38" t="str">
        <x:v>3 Evaluation Engine &amp; Measurement</x:v>
      </x:c>
      <x:c r="C38" t="str">
        <x:v>Run baseline benchmark and write report</x:v>
      </x:c>
      <x:c r="D38" t="str">
        <x:v>Reproducible report with representative failures and limitations</x:v>
      </x:c>
      <x:c r="E38" t="str">
        <x:v>3.7</x:v>
      </x:c>
      <x:c r="F38" t="n">
        <x:v>8</x:v>
      </x:c>
      <x:c r="G38" t="n">
        <x:v>24</x:v>
      </x:c>
      <x:c r="H38" t="n">
        <x:v>24</x:v>
      </x:c>
      <x:c r="I38" t="n">
        <x:v>1</x:v>
      </x:c>
      <x:c r="J38" t="n">
        <x:v>46363</x:v>
      </x:c>
      <x:c r="K38" t="n">
        <x:v>46369</x:v>
      </x:c>
      <x:c r="L38" t="str">
        <x:v>Not Started</x:v>
      </x:c>
      <x:c r="M38" t="n">
        <x:v>0</x:v>
      </x:c>
      <x:c r="N38"/>
      <x:c r="O38"/>
      <x:c r="P38" t="n">
        <x:v>8</x:v>
      </x:c>
      <x:c r="Q38"/>
    </x:row>
    <x:row r="39">
      <x:c r="A39" t="str">
        <x:v>4.1</x:v>
      </x:c>
      <x:c r="B39" t="str">
        <x:v>4 Multimodal Technical Document Evaluation</x:v>
      </x:c>
      <x:c r="C39" t="str">
        <x:v>Define supported document and artifact formats</x:v>
      </x:c>
      <x:c r="D39" t="str">
        <x:v>Format matrix, evaluator strategy, and explicit exclusions</x:v>
      </x:c>
      <x:c r="E39" t="str">
        <x:v>3.8</x:v>
      </x:c>
      <x:c r="F39" t="n">
        <x:v>8</x:v>
      </x:c>
      <x:c r="G39" t="n">
        <x:v>25</x:v>
      </x:c>
      <x:c r="H39" t="n">
        <x:v>25</x:v>
      </x:c>
      <x:c r="I39" t="n">
        <x:v>1</x:v>
      </x:c>
      <x:c r="J39" t="n">
        <x:v>46370</x:v>
      </x:c>
      <x:c r="K39" t="n">
        <x:v>46376</x:v>
      </x:c>
      <x:c r="L39" t="str">
        <x:v>Not Started</x:v>
      </x:c>
      <x:c r="M39" t="n">
        <x:v>0</x:v>
      </x:c>
      <x:c r="N39"/>
      <x:c r="O39"/>
      <x:c r="P39" t="n">
        <x:v>8</x:v>
      </x:c>
      <x:c r="Q39"/>
    </x:row>
    <x:row r="40">
      <x:c r="A40" t="str">
        <x:v>4.2</x:v>
      </x:c>
      <x:c r="B40" t="str">
        <x:v>4 Multimodal Technical Document Evaluation</x:v>
      </x:c>
      <x:c r="C40" t="str">
        <x:v>Build public and synthetic technical-document corpus</x:v>
      </x:c>
      <x:c r="D40" t="str">
        <x:v>Authorized PDFs, images, tables, and self-authored drawings</x:v>
      </x:c>
      <x:c r="E40" t="str">
        <x:v>4.1</x:v>
      </x:c>
      <x:c r="F40" t="n">
        <x:v>10</x:v>
      </x:c>
      <x:c r="G40" t="n">
        <x:v>25</x:v>
      </x:c>
      <x:c r="H40" t="n">
        <x:v>26</x:v>
      </x:c>
      <x:c r="I40" t="n">
        <x:v>2</x:v>
      </x:c>
      <x:c r="J40" t="n">
        <x:v>46370</x:v>
      </x:c>
      <x:c r="K40" t="n">
        <x:v>46383</x:v>
      </x:c>
      <x:c r="L40" t="str">
        <x:v>Not Started</x:v>
      </x:c>
      <x:c r="M40" t="n">
        <x:v>0</x:v>
      </x:c>
      <x:c r="N40"/>
      <x:c r="O40"/>
      <x:c r="P40" t="n">
        <x:v>10</x:v>
      </x:c>
      <x:c r="Q40"/>
    </x:row>
    <x:row r="41">
      <x:c r="A41" t="str">
        <x:v>4.3</x:v>
      </x:c>
      <x:c r="B41" t="str">
        <x:v>4 Multimodal Technical Document Evaluation</x:v>
      </x:c>
      <x:c r="C41" t="str">
        <x:v>Implement PDF, image, and table input adapters</x:v>
      </x:c>
      <x:c r="D41" t="str">
        <x:v>Local ingestion produces stable case inputs and metadata</x:v>
      </x:c>
      <x:c r="E41" t="str">
        <x:v>4.2</x:v>
      </x:c>
      <x:c r="F41" t="n">
        <x:v>18</x:v>
      </x:c>
      <x:c r="G41" t="n">
        <x:v>26</x:v>
      </x:c>
      <x:c r="H41" t="n">
        <x:v>28</x:v>
      </x:c>
      <x:c r="I41" t="n">
        <x:v>3</x:v>
      </x:c>
      <x:c r="J41" t="n">
        <x:v>46377</x:v>
      </x:c>
      <x:c r="K41" t="n">
        <x:v>46397</x:v>
      </x:c>
      <x:c r="L41" t="str">
        <x:v>Not Started</x:v>
      </x:c>
      <x:c r="M41" t="n">
        <x:v>0</x:v>
      </x:c>
      <x:c r="N41"/>
      <x:c r="O41"/>
      <x:c r="P41" t="n">
        <x:v>18</x:v>
      </x:c>
      <x:c r="Q41"/>
    </x:row>
    <x:row r="42">
      <x:c r="A42" t="str">
        <x:v>4.4</x:v>
      </x:c>
      <x:c r="B42" t="str">
        <x:v>4 Multimodal Technical Document Evaluation</x:v>
      </x:c>
      <x:c r="C42" t="str">
        <x:v>Implement deterministic table and spreadsheet checks</x:v>
      </x:c>
      <x:c r="D42" t="str">
        <x:v>Cell, field, formula, and tolerance checks are reproducible</x:v>
      </x:c>
      <x:c r="E42" t="str">
        <x:v>4.3</x:v>
      </x:c>
      <x:c r="F42" t="n">
        <x:v>14</x:v>
      </x:c>
      <x:c r="G42" t="n">
        <x:v>28</x:v>
      </x:c>
      <x:c r="H42" t="n">
        <x:v>29</x:v>
      </x:c>
      <x:c r="I42" t="n">
        <x:v>2</x:v>
      </x:c>
      <x:c r="J42" t="n">
        <x:v>46391</x:v>
      </x:c>
      <x:c r="K42" t="n">
        <x:v>46404</x:v>
      </x:c>
      <x:c r="L42" t="str">
        <x:v>Not Started</x:v>
      </x:c>
      <x:c r="M42" t="n">
        <x:v>0</x:v>
      </x:c>
      <x:c r="N42"/>
      <x:c r="O42"/>
      <x:c r="P42" t="n">
        <x:v>14</x:v>
      </x:c>
      <x:c r="Q42"/>
    </x:row>
    <x:row r="43">
      <x:c r="A43" t="str">
        <x:v>4.5</x:v>
      </x:c>
      <x:c r="B43" t="str">
        <x:v>4 Multimodal Technical Document Evaluation</x:v>
      </x:c>
      <x:c r="C43" t="str">
        <x:v>Implement file and artifact validation</x:v>
      </x:c>
      <x:c r="D43" t="str">
        <x:v>Expected files parse, contain required structure, and meet gates</x:v>
      </x:c>
      <x:c r="E43" t="str">
        <x:v>4.3</x:v>
      </x:c>
      <x:c r="F43" t="n">
        <x:v>14</x:v>
      </x:c>
      <x:c r="G43" t="n">
        <x:v>29</x:v>
      </x:c>
      <x:c r="H43" t="n">
        <x:v>30</x:v>
      </x:c>
      <x:c r="I43" t="n">
        <x:v>2</x:v>
      </x:c>
      <x:c r="J43" t="n">
        <x:v>46398</x:v>
      </x:c>
      <x:c r="K43" t="n">
        <x:v>46411</x:v>
      </x:c>
      <x:c r="L43" t="str">
        <x:v>Not Started</x:v>
      </x:c>
      <x:c r="M43" t="n">
        <x:v>0</x:v>
      </x:c>
      <x:c r="N43"/>
      <x:c r="O43"/>
      <x:c r="P43" t="n">
        <x:v>14</x:v>
      </x:c>
      <x:c r="Q43"/>
    </x:row>
    <x:row r="44">
      <x:c r="A44" t="str">
        <x:v>4.6</x:v>
      </x:c>
      <x:c r="B44" t="str">
        <x:v>4 Multimodal Technical Document Evaluation</x:v>
      </x:c>
      <x:c r="C44" t="str">
        <x:v>Author 12 multimodal cases</x:v>
      </x:c>
      <x:c r="D44" t="str">
        <x:v>Cases cover hallucinated dimensions, units, revisions, tables, and missing constraints</x:v>
      </x:c>
      <x:c r="E44" t="str">
        <x:v>4.4</x:v>
      </x:c>
      <x:c r="F44" t="n">
        <x:v>20</x:v>
      </x:c>
      <x:c r="G44" t="n">
        <x:v>30</x:v>
      </x:c>
      <x:c r="H44" t="n">
        <x:v>31</x:v>
      </x:c>
      <x:c r="I44" t="n">
        <x:v>2</x:v>
      </x:c>
      <x:c r="J44" t="n">
        <x:v>46405</x:v>
      </x:c>
      <x:c r="K44" t="n">
        <x:v>46418</x:v>
      </x:c>
      <x:c r="L44" t="str">
        <x:v>Not Started</x:v>
      </x:c>
      <x:c r="M44" t="n">
        <x:v>0</x:v>
      </x:c>
      <x:c r="N44"/>
      <x:c r="O44"/>
      <x:c r="P44" t="n">
        <x:v>20</x:v>
      </x:c>
      <x:c r="Q44"/>
    </x:row>
    <x:row r="45">
      <x:c r="A45" t="str">
        <x:v>4.7</x:v>
      </x:c>
      <x:c r="B45" t="str">
        <x:v>4 Multimodal Technical Document Evaluation</x:v>
      </x:c>
      <x:c r="C45" t="str">
        <x:v>Run multimodal regression suite and report</x:v>
      </x:c>
      <x:c r="D45" t="str">
        <x:v>Benchmark results are reproducible and failure evidence is preserved</x:v>
      </x:c>
      <x:c r="E45" t="str">
        <x:v>4.6</x:v>
      </x:c>
      <x:c r="F45" t="n">
        <x:v>12</x:v>
      </x:c>
      <x:c r="G45" t="n">
        <x:v>32</x:v>
      </x:c>
      <x:c r="H45" t="n">
        <x:v>32</x:v>
      </x:c>
      <x:c r="I45" t="n">
        <x:v>1</x:v>
      </x:c>
      <x:c r="J45" t="n">
        <x:v>46419</x:v>
      </x:c>
      <x:c r="K45" t="n">
        <x:v>46425</x:v>
      </x:c>
      <x:c r="L45" t="str">
        <x:v>Not Started</x:v>
      </x:c>
      <x:c r="M45" t="n">
        <x:v>0</x:v>
      </x:c>
      <x:c r="N45"/>
      <x:c r="O45"/>
      <x:c r="P45" t="n">
        <x:v>12</x:v>
      </x:c>
      <x:c r="Q45"/>
    </x:row>
    <x:row r="46">
      <x:c r="A46" t="str">
        <x:v>5.1</x:v>
      </x:c>
      <x:c r="B46" t="str">
        <x:v>5 OpenClaw Bounded Agent Evaluation</x:v>
      </x:c>
      <x:c r="C46" t="str">
        <x:v>Study OpenClaw agent loop and runtime concepts</x:v>
      </x:c>
      <x:c r="D46" t="str">
        <x:v>Can explain tools, context, state, permissions, and traces</x:v>
      </x:c>
      <x:c r="E46" t="str">
        <x:v>4.7</x:v>
      </x:c>
      <x:c r="F46" t="n">
        <x:v>10</x:v>
      </x:c>
      <x:c r="G46" t="n">
        <x:v>33</x:v>
      </x:c>
      <x:c r="H46" t="n">
        <x:v>33</x:v>
      </x:c>
      <x:c r="I46" t="n">
        <x:v>1</x:v>
      </x:c>
      <x:c r="J46" t="n">
        <x:v>46426</x:v>
      </x:c>
      <x:c r="K46" t="n">
        <x:v>46432</x:v>
      </x:c>
      <x:c r="L46" t="str">
        <x:v>Not Started</x:v>
      </x:c>
      <x:c r="M46" t="n">
        <x:v>0</x:v>
      </x:c>
      <x:c r="N46"/>
      <x:c r="O46"/>
      <x:c r="P46" t="n">
        <x:v>10</x:v>
      </x:c>
      <x:c r="Q46"/>
    </x:row>
    <x:row r="47">
      <x:c r="A47" t="str">
        <x:v>5.2</x:v>
      </x:c>
      <x:c r="B47" t="str">
        <x:v>5 OpenClaw Bounded Agent Evaluation</x:v>
      </x:c>
      <x:c r="C47" t="str">
        <x:v>Install and configure OpenClaw in an isolated sandbox</x:v>
      </x:c>
      <x:c r="D47" t="str">
        <x:v>No personal accounts, production credentials, or broad file access</x:v>
      </x:c>
      <x:c r="E47" t="str">
        <x:v>5.1</x:v>
      </x:c>
      <x:c r="F47" t="n">
        <x:v>16</x:v>
      </x:c>
      <x:c r="G47" t="n">
        <x:v>34</x:v>
      </x:c>
      <x:c r="H47" t="n">
        <x:v>35</x:v>
      </x:c>
      <x:c r="I47" t="n">
        <x:v>2</x:v>
      </x:c>
      <x:c r="J47" t="n">
        <x:v>46433</x:v>
      </x:c>
      <x:c r="K47" t="n">
        <x:v>46446</x:v>
      </x:c>
      <x:c r="L47" t="str">
        <x:v>Not Started</x:v>
      </x:c>
      <x:c r="M47" t="n">
        <x:v>0</x:v>
      </x:c>
      <x:c r="N47"/>
      <x:c r="O47"/>
      <x:c r="P47" t="n">
        <x:v>16</x:v>
      </x:c>
      <x:c r="Q47"/>
    </x:row>
    <x:row r="48">
      <x:c r="A48" t="str">
        <x:v>5.3</x:v>
      </x:c>
      <x:c r="B48" t="str">
        <x:v>5 OpenClaw Bounded Agent Evaluation</x:v>
      </x:c>
      <x:c r="C48" t="str">
        <x:v>Define bounded synthetic agent workflows</x:v>
      </x:c>
      <x:c r="D48" t="str">
        <x:v>Five tasks with tools, deliverables, acceptance criteria, and approval boundaries</x:v>
      </x:c>
      <x:c r="E48" t="str">
        <x:v>5.2</x:v>
      </x:c>
      <x:c r="F48" t="n">
        <x:v>12</x:v>
      </x:c>
      <x:c r="G48" t="n">
        <x:v>35</x:v>
      </x:c>
      <x:c r="H48" t="n">
        <x:v>36</x:v>
      </x:c>
      <x:c r="I48" t="n">
        <x:v>2</x:v>
      </x:c>
      <x:c r="J48" t="n">
        <x:v>46440</x:v>
      </x:c>
      <x:c r="K48" t="n">
        <x:v>46453</x:v>
      </x:c>
      <x:c r="L48" t="str">
        <x:v>Not Started</x:v>
      </x:c>
      <x:c r="M48" t="n">
        <x:v>0</x:v>
      </x:c>
      <x:c r="N48"/>
      <x:c r="O48"/>
      <x:c r="P48" t="n">
        <x:v>12</x:v>
      </x:c>
      <x:c r="Q48"/>
    </x:row>
    <x:row r="49">
      <x:c r="A49" t="str">
        <x:v>5.4</x:v>
      </x:c>
      <x:c r="B49" t="str">
        <x:v>5 OpenClaw Bounded Agent Evaluation</x:v>
      </x:c>
      <x:c r="C49" t="str">
        <x:v>Implement least-privilege tools and environment controls</x:v>
      </x:c>
      <x:c r="D49" t="str">
        <x:v>Read/write boundaries and destructive-action restrictions tested</x:v>
      </x:c>
      <x:c r="E49" t="str">
        <x:v>5.3</x:v>
      </x:c>
      <x:c r="F49" t="n">
        <x:v>10</x:v>
      </x:c>
      <x:c r="G49" t="n">
        <x:v>36</x:v>
      </x:c>
      <x:c r="H49" t="n">
        <x:v>36</x:v>
      </x:c>
      <x:c r="I49" t="n">
        <x:v>1</x:v>
      </x:c>
      <x:c r="J49" t="n">
        <x:v>46447</x:v>
      </x:c>
      <x:c r="K49" t="n">
        <x:v>46453</x:v>
      </x:c>
      <x:c r="L49" t="str">
        <x:v>Not Started</x:v>
      </x:c>
      <x:c r="M49" t="n">
        <x:v>0</x:v>
      </x:c>
      <x:c r="N49"/>
      <x:c r="O49"/>
      <x:c r="P49" t="n">
        <x:v>10</x:v>
      </x:c>
      <x:c r="Q49"/>
    </x:row>
    <x:row r="50">
      <x:c r="A50" t="str">
        <x:v>5.5</x:v>
      </x:c>
      <x:c r="B50" t="str">
        <x:v>5 OpenClaw Bounded Agent Evaluation</x:v>
      </x:c>
      <x:c r="C50" t="str">
        <x:v>Implement trace collector</x:v>
      </x:c>
      <x:c r="D50" t="str">
        <x:v>Actions, tool calls, outputs, errors, corrections, and artifacts are captured</x:v>
      </x:c>
      <x:c r="E50" t="str">
        <x:v>5.4</x:v>
      </x:c>
      <x:c r="F50" t="n">
        <x:v>16</x:v>
      </x:c>
      <x:c r="G50" t="n">
        <x:v>37</x:v>
      </x:c>
      <x:c r="H50" t="n">
        <x:v>38</x:v>
      </x:c>
      <x:c r="I50" t="n">
        <x:v>2</x:v>
      </x:c>
      <x:c r="J50" t="n">
        <x:v>46454</x:v>
      </x:c>
      <x:c r="K50" t="n">
        <x:v>46467</x:v>
      </x:c>
      <x:c r="L50" t="str">
        <x:v>Not Started</x:v>
      </x:c>
      <x:c r="M50" t="n">
        <x:v>0</x:v>
      </x:c>
      <x:c r="N50"/>
      <x:c r="O50"/>
      <x:c r="P50" t="n">
        <x:v>16</x:v>
      </x:c>
      <x:c r="Q50"/>
    </x:row>
    <x:row r="51">
      <x:c r="A51" t="str">
        <x:v>5.6</x:v>
      </x:c>
      <x:c r="B51" t="str">
        <x:v>5 OpenClaw Bounded Agent Evaluation</x:v>
      </x:c>
      <x:c r="C51" t="str">
        <x:v>Separate outcome and process evaluators</x:v>
      </x:c>
      <x:c r="D51" t="str">
        <x:v>Final deliverable and trajectory quality receive distinct scores</x:v>
      </x:c>
      <x:c r="E51" t="str">
        <x:v>5.5</x:v>
      </x:c>
      <x:c r="F51" t="n">
        <x:v>14</x:v>
      </x:c>
      <x:c r="G51" t="n">
        <x:v>38</x:v>
      </x:c>
      <x:c r="H51" t="n">
        <x:v>39</x:v>
      </x:c>
      <x:c r="I51" t="n">
        <x:v>2</x:v>
      </x:c>
      <x:c r="J51" t="n">
        <x:v>46461</x:v>
      </x:c>
      <x:c r="K51" t="n">
        <x:v>46474</x:v>
      </x:c>
      <x:c r="L51" t="str">
        <x:v>Not Started</x:v>
      </x:c>
      <x:c r="M51" t="n">
        <x:v>0</x:v>
      </x:c>
      <x:c r="N51"/>
      <x:c r="O51"/>
      <x:c r="P51" t="n">
        <x:v>14</x:v>
      </x:c>
      <x:c r="Q51"/>
    </x:row>
    <x:row r="52">
      <x:c r="A52" t="str">
        <x:v>5.7</x:v>
      </x:c>
      <x:c r="B52" t="str">
        <x:v>5 OpenClaw Bounded Agent Evaluation</x:v>
      </x:c>
      <x:c r="C52" t="str">
        <x:v>Execute repeated bounded runs</x:v>
      </x:c>
      <x:c r="D52" t="str">
        <x:v>At least five workflows run repeatedly with failed runs retained</x:v>
      </x:c>
      <x:c r="E52" t="str">
        <x:v>5.6</x:v>
      </x:c>
      <x:c r="F52" t="n">
        <x:v>16</x:v>
      </x:c>
      <x:c r="G52" t="n">
        <x:v>40</x:v>
      </x:c>
      <x:c r="H52" t="n">
        <x:v>41</x:v>
      </x:c>
      <x:c r="I52" t="n">
        <x:v>2</x:v>
      </x:c>
      <x:c r="J52" t="n">
        <x:v>46475</x:v>
      </x:c>
      <x:c r="K52" t="n">
        <x:v>46488</x:v>
      </x:c>
      <x:c r="L52" t="str">
        <x:v>Not Started</x:v>
      </x:c>
      <x:c r="M52" t="n">
        <x:v>0</x:v>
      </x:c>
      <x:c r="N52"/>
      <x:c r="O52"/>
      <x:c r="P52" t="n">
        <x:v>16</x:v>
      </x:c>
      <x:c r="Q52"/>
    </x:row>
    <x:row r="53">
      <x:c r="A53" t="str">
        <x:v>5.8</x:v>
      </x:c>
      <x:c r="B53" t="str">
        <x:v>5 OpenClaw Bounded Agent Evaluation</x:v>
      </x:c>
      <x:c r="C53" t="str">
        <x:v>Analyze failures and corrections</x:v>
      </x:c>
      <x:c r="D53" t="str">
        <x:v>Trace-linked taxonomy and small correction dataset</x:v>
      </x:c>
      <x:c r="E53" t="str">
        <x:v>5.7</x:v>
      </x:c>
      <x:c r="F53" t="n">
        <x:v>10</x:v>
      </x:c>
      <x:c r="G53" t="n">
        <x:v>42</x:v>
      </x:c>
      <x:c r="H53" t="n">
        <x:v>42</x:v>
      </x:c>
      <x:c r="I53" t="n">
        <x:v>1</x:v>
      </x:c>
      <x:c r="J53" t="n">
        <x:v>46489</x:v>
      </x:c>
      <x:c r="K53" t="n">
        <x:v>46495</x:v>
      </x:c>
      <x:c r="L53" t="str">
        <x:v>Not Started</x:v>
      </x:c>
      <x:c r="M53" t="n">
        <x:v>0</x:v>
      </x:c>
      <x:c r="N53"/>
      <x:c r="O53"/>
      <x:c r="P53" t="n">
        <x:v>10</x:v>
      </x:c>
      <x:c r="Q53"/>
    </x:row>
    <x:row r="54">
      <x:c r="A54" t="str">
        <x:v>6.1</x:v>
      </x:c>
      <x:c r="B54" t="str">
        <x:v>6 Comparative Harness &amp; Observability</x:v>
      </x:c>
      <x:c r="C54" t="str">
        <x:v>Select comparator harness or direct baseline</x:v>
      </x:c>
      <x:c r="D54" t="str">
        <x:v>Selection memo based on portability, cost, and measurement value</x:v>
      </x:c>
      <x:c r="E54" t="str">
        <x:v>5.8</x:v>
      </x:c>
      <x:c r="F54" t="n">
        <x:v>6</x:v>
      </x:c>
      <x:c r="G54" t="n">
        <x:v>43</x:v>
      </x:c>
      <x:c r="H54" t="n">
        <x:v>43</x:v>
      </x:c>
      <x:c r="I54" t="n">
        <x:v>1</x:v>
      </x:c>
      <x:c r="J54" t="n">
        <x:v>46496</x:v>
      </x:c>
      <x:c r="K54" t="n">
        <x:v>46502</x:v>
      </x:c>
      <x:c r="L54" t="str">
        <x:v>Not Started</x:v>
      </x:c>
      <x:c r="M54" t="n">
        <x:v>0</x:v>
      </x:c>
      <x:c r="N54"/>
      <x:c r="O54"/>
      <x:c r="P54" t="n">
        <x:v>6</x:v>
      </x:c>
      <x:c r="Q54"/>
    </x:row>
    <x:row r="55">
      <x:c r="A55" t="str">
        <x:v>6.2</x:v>
      </x:c>
      <x:c r="B55" t="str">
        <x:v>6 Comparative Harness &amp; Observability</x:v>
      </x:c>
      <x:c r="C55" t="str">
        <x:v>Implement common task adapter</x:v>
      </x:c>
      <x:c r="D55" t="str">
        <x:v>Identical cases execute without changing task or evaluator definitions</x:v>
      </x:c>
      <x:c r="E55" t="str">
        <x:v>6.1</x:v>
      </x:c>
      <x:c r="F55" t="n">
        <x:v>10</x:v>
      </x:c>
      <x:c r="G55" t="n">
        <x:v>43</x:v>
      </x:c>
      <x:c r="H55" t="n">
        <x:v>44</x:v>
      </x:c>
      <x:c r="I55" t="n">
        <x:v>2</x:v>
      </x:c>
      <x:c r="J55" t="n">
        <x:v>46496</x:v>
      </x:c>
      <x:c r="K55" t="n">
        <x:v>46509</x:v>
      </x:c>
      <x:c r="L55" t="str">
        <x:v>Not Started</x:v>
      </x:c>
      <x:c r="M55" t="n">
        <x:v>0</x:v>
      </x:c>
      <x:c r="N55"/>
      <x:c r="O55"/>
      <x:c r="P55" t="n">
        <x:v>10</x:v>
      </x:c>
      <x:c r="Q55"/>
    </x:row>
    <x:row r="56">
      <x:c r="A56" t="str">
        <x:v>6.3</x:v>
      </x:c>
      <x:c r="B56" t="str">
        <x:v>6 Comparative Harness &amp; Observability</x:v>
      </x:c>
      <x:c r="C56" t="str">
        <x:v>Run controlled comparative experiments</x:v>
      </x:c>
      <x:c r="D56" t="str">
        <x:v>Repeated results from OpenClaw and comparator on identical tasks</x:v>
      </x:c>
      <x:c r="E56" t="str">
        <x:v>6.2</x:v>
      </x:c>
      <x:c r="F56" t="n">
        <x:v>14</x:v>
      </x:c>
      <x:c r="G56" t="n">
        <x:v>44</x:v>
      </x:c>
      <x:c r="H56" t="n">
        <x:v>45</x:v>
      </x:c>
      <x:c r="I56" t="n">
        <x:v>2</x:v>
      </x:c>
      <x:c r="J56" t="n">
        <x:v>46503</x:v>
      </x:c>
      <x:c r="K56" t="n">
        <x:v>46516</x:v>
      </x:c>
      <x:c r="L56" t="str">
        <x:v>Not Started</x:v>
      </x:c>
      <x:c r="M56" t="n">
        <x:v>0</x:v>
      </x:c>
      <x:c r="N56"/>
      <x:c r="O56"/>
      <x:c r="P56" t="n">
        <x:v>14</x:v>
      </x:c>
      <x:c r="Q56"/>
    </x:row>
    <x:row r="57">
      <x:c r="A57" t="str">
        <x:v>6.4</x:v>
      </x:c>
      <x:c r="B57" t="str">
        <x:v>6 Comparative Harness &amp; Observability</x:v>
      </x:c>
      <x:c r="C57" t="str">
        <x:v>Add cost, latency, and tool-use metrics</x:v>
      </x:c>
      <x:c r="D57" t="str">
        <x:v>Metrics linked to each run and trace</x:v>
      </x:c>
      <x:c r="E57" t="str">
        <x:v>6.3</x:v>
      </x:c>
      <x:c r="F57" t="n">
        <x:v>8</x:v>
      </x:c>
      <x:c r="G57" t="n">
        <x:v>45</x:v>
      </x:c>
      <x:c r="H57" t="n">
        <x:v>46</x:v>
      </x:c>
      <x:c r="I57" t="n">
        <x:v>2</x:v>
      </x:c>
      <x:c r="J57" t="n">
        <x:v>46510</x:v>
      </x:c>
      <x:c r="K57" t="n">
        <x:v>46523</x:v>
      </x:c>
      <x:c r="L57" t="str">
        <x:v>Not Started</x:v>
      </x:c>
      <x:c r="M57" t="n">
        <x:v>0</x:v>
      </x:c>
      <x:c r="N57"/>
      <x:c r="O57"/>
      <x:c r="P57" t="n">
        <x:v>8</x:v>
      </x:c>
      <x:c r="Q57"/>
    </x:row>
    <x:row r="58">
      <x:c r="A58" t="str">
        <x:v>6.5</x:v>
      </x:c>
      <x:c r="B58" t="str">
        <x:v>6 Comparative Harness &amp; Observability</x:v>
      </x:c>
      <x:c r="C58" t="str">
        <x:v>Write comparative benchmark report</x:v>
      </x:c>
      <x:c r="D58" t="str">
        <x:v>Outcome/process tradeoffs and limitations stated conservatively</x:v>
      </x:c>
      <x:c r="E58" t="str">
        <x:v>6.4</x:v>
      </x:c>
      <x:c r="F58" t="n">
        <x:v>10</x:v>
      </x:c>
      <x:c r="G58" t="n">
        <x:v>46</x:v>
      </x:c>
      <x:c r="H58" t="n">
        <x:v>47</x:v>
      </x:c>
      <x:c r="I58" t="n">
        <x:v>2</x:v>
      </x:c>
      <x:c r="J58" t="n">
        <x:v>46517</x:v>
      </x:c>
      <x:c r="K58" t="n">
        <x:v>46530</x:v>
      </x:c>
      <x:c r="L58" t="str">
        <x:v>Not Started</x:v>
      </x:c>
      <x:c r="M58" t="n">
        <x:v>0</x:v>
      </x:c>
      <x:c r="N58"/>
      <x:c r="O58"/>
      <x:c r="P58" t="n">
        <x:v>10</x:v>
      </x:c>
      <x:c r="Q58"/>
    </x:row>
    <x:row r="59">
      <x:c r="A59" t="str">
        <x:v>6.6</x:v>
      </x:c>
      <x:c r="B59" t="str">
        <x:v>6 Comparative Harness &amp; Observability</x:v>
      </x:c>
      <x:c r="C59" t="str">
        <x:v>Complete comparative-study gate review</x:v>
      </x:c>
      <x:c r="D59" t="str">
        <x:v>Evidence supports or rejects claimed differences</x:v>
      </x:c>
      <x:c r="E59" t="str">
        <x:v>6.5</x:v>
      </x:c>
      <x:c r="F59" t="n">
        <x:v>4</x:v>
      </x:c>
      <x:c r="G59" t="n">
        <x:v>47</x:v>
      </x:c>
      <x:c r="H59" t="n">
        <x:v>47</x:v>
      </x:c>
      <x:c r="I59" t="n">
        <x:v>1</x:v>
      </x:c>
      <x:c r="J59" t="n">
        <x:v>46524</x:v>
      </x:c>
      <x:c r="K59" t="n">
        <x:v>46530</x:v>
      </x:c>
      <x:c r="L59" t="str">
        <x:v>Not Started</x:v>
      </x:c>
      <x:c r="M59" t="n">
        <x:v>0</x:v>
      </x:c>
      <x:c r="N59"/>
      <x:c r="O59"/>
      <x:c r="P59" t="n">
        <x:v>4</x:v>
      </x:c>
      <x:c r="Q59"/>
    </x:row>
    <x:row r="60">
      <x:c r="A60" t="str">
        <x:v>7.1</x:v>
      </x:c>
      <x:c r="B60" t="str">
        <x:v>7 Hardening, Governance &amp; Portfolio Release</x:v>
      </x:c>
      <x:c r="C60" t="str">
        <x:v>Run held-out regression and seeded-bug tests</x:v>
      </x:c>
      <x:c r="D60" t="str">
        <x:v>No tuning on held-out cases; known defects are caught</x:v>
      </x:c>
      <x:c r="E60" t="str">
        <x:v>6.6</x:v>
      </x:c>
      <x:c r="F60" t="n">
        <x:v>12</x:v>
      </x:c>
      <x:c r="G60" t="n">
        <x:v>48</x:v>
      </x:c>
      <x:c r="H60" t="n">
        <x:v>48</x:v>
      </x:c>
      <x:c r="I60" t="n">
        <x:v>1</x:v>
      </x:c>
      <x:c r="J60" t="n">
        <x:v>46531</x:v>
      </x:c>
      <x:c r="K60" t="n">
        <x:v>46537</x:v>
      </x:c>
      <x:c r="L60" t="str">
        <x:v>Not Started</x:v>
      </x:c>
      <x:c r="M60" t="n">
        <x:v>0</x:v>
      </x:c>
      <x:c r="N60"/>
      <x:c r="O60"/>
      <x:c r="P60" t="n">
        <x:v>12</x:v>
      </x:c>
      <x:c r="Q60"/>
    </x:row>
    <x:row r="61">
      <x:c r="A61" t="str">
        <x:v>7.2</x:v>
      </x:c>
      <x:c r="B61" t="str">
        <x:v>7 Hardening, Governance &amp; Portfolio Release</x:v>
      </x:c>
      <x:c r="C61" t="str">
        <x:v>Write security, data-handling, and governance pack</x:v>
      </x:c>
      <x:c r="D61" t="str">
        <x:v>Risk register, data policy, human-review points, and incident procedure</x:v>
      </x:c>
      <x:c r="E61" t="str">
        <x:v>7.1</x:v>
      </x:c>
      <x:c r="F61" t="n">
        <x:v>10</x:v>
      </x:c>
      <x:c r="G61" t="n">
        <x:v>48</x:v>
      </x:c>
      <x:c r="H61" t="n">
        <x:v>49</x:v>
      </x:c>
      <x:c r="I61" t="n">
        <x:v>2</x:v>
      </x:c>
      <x:c r="J61" t="n">
        <x:v>46531</x:v>
      </x:c>
      <x:c r="K61" t="n">
        <x:v>46544</x:v>
      </x:c>
      <x:c r="L61" t="str">
        <x:v>Not Started</x:v>
      </x:c>
      <x:c r="M61" t="n">
        <x:v>0</x:v>
      </x:c>
      <x:c r="N61"/>
      <x:c r="O61"/>
      <x:c r="P61" t="n">
        <x:v>10</x:v>
      </x:c>
      <x:c r="Q61"/>
    </x:row>
    <x:row r="62">
      <x:c r="A62" t="str">
        <x:v>7.3</x:v>
      </x:c>
      <x:c r="B62" t="str">
        <x:v>7 Hardening, Governance &amp; Portfolio Release</x:v>
      </x:c>
      <x:c r="C62" t="str">
        <x:v>Create reproducible packaged setup</x:v>
      </x:c>
      <x:c r="D62" t="str">
        <x:v>Clean-machine setup succeeds from README; Docker optional but documented</x:v>
      </x:c>
      <x:c r="E62" t="str">
        <x:v>7.1</x:v>
      </x:c>
      <x:c r="F62" t="n">
        <x:v>10</x:v>
      </x:c>
      <x:c r="G62" t="n">
        <x:v>49</x:v>
      </x:c>
      <x:c r="H62" t="n">
        <x:v>50</x:v>
      </x:c>
      <x:c r="I62" t="n">
        <x:v>2</x:v>
      </x:c>
      <x:c r="J62" t="n">
        <x:v>46538</x:v>
      </x:c>
      <x:c r="K62" t="n">
        <x:v>46551</x:v>
      </x:c>
      <x:c r="L62" t="str">
        <x:v>Not Started</x:v>
      </x:c>
      <x:c r="M62" t="n">
        <x:v>0</x:v>
      </x:c>
      <x:c r="N62"/>
      <x:c r="O62"/>
      <x:c r="P62" t="n">
        <x:v>10</x:v>
      </x:c>
      <x:c r="Q62"/>
    </x:row>
    <x:row r="63">
      <x:c r="A63" t="str">
        <x:v>7.4</x:v>
      </x:c>
      <x:c r="B63" t="str">
        <x:v>7 Hardening, Governance &amp; Portfolio Release</x:v>
      </x:c>
      <x:c r="C63" t="str">
        <x:v>Create architecture diagram and three case studies</x:v>
      </x:c>
      <x:c r="D63" t="str">
        <x:v>Portfolio explains task, agent, environment, trace, evaluator, and results</x:v>
      </x:c>
      <x:c r="E63" t="str">
        <x:v>7.2</x:v>
      </x:c>
      <x:c r="F63" t="n">
        <x:v>10</x:v>
      </x:c>
      <x:c r="G63" t="n">
        <x:v>50</x:v>
      </x:c>
      <x:c r="H63" t="n">
        <x:v>50</x:v>
      </x:c>
      <x:c r="I63" t="n">
        <x:v>1</x:v>
      </x:c>
      <x:c r="J63" t="n">
        <x:v>46545</x:v>
      </x:c>
      <x:c r="K63" t="n">
        <x:v>46551</x:v>
      </x:c>
      <x:c r="L63" t="str">
        <x:v>Not Started</x:v>
      </x:c>
      <x:c r="M63" t="n">
        <x:v>0</x:v>
      </x:c>
      <x:c r="N63"/>
      <x:c r="O63"/>
      <x:c r="P63" t="n">
        <x:v>10</x:v>
      </x:c>
      <x:c r="Q63"/>
    </x:row>
    <x:row r="64">
      <x:c r="A64" t="str">
        <x:v>7.5</x:v>
      </x:c>
      <x:c r="B64" t="str">
        <x:v>7 Hardening, Governance &amp; Portfolio Release</x:v>
      </x:c>
      <x:c r="C64" t="str">
        <x:v>Run final cold-start demonstration</x:v>
      </x:c>
      <x:c r="D64" t="str">
        <x:v>New clone, tests, benchmark, and demo complete without hidden steps</x:v>
      </x:c>
      <x:c r="E64" t="str">
        <x:v>7.3</x:v>
      </x:c>
      <x:c r="F64" t="n">
        <x:v>8</x:v>
      </x:c>
      <x:c r="G64" t="n">
        <x:v>51</x:v>
      </x:c>
      <x:c r="H64" t="n">
        <x:v>51</x:v>
      </x:c>
      <x:c r="I64" t="n">
        <x:v>1</x:v>
      </x:c>
      <x:c r="J64" t="n">
        <x:v>46552</x:v>
      </x:c>
      <x:c r="K64" t="n">
        <x:v>46558</x:v>
      </x:c>
      <x:c r="L64" t="str">
        <x:v>Not Started</x:v>
      </x:c>
      <x:c r="M64" t="n">
        <x:v>0</x:v>
      </x:c>
      <x:c r="N64"/>
      <x:c r="O64"/>
      <x:c r="P64" t="n">
        <x:v>8</x:v>
      </x:c>
      <x:c r="Q64"/>
    </x:row>
    <x:row r="65">
      <x:c r="A65" t="str">
        <x:v>7.6</x:v>
      </x:c>
      <x:c r="B65" t="str">
        <x:v>7 Hardening, Governance &amp; Portfolio Release</x:v>
      </x:c>
      <x:c r="C65" t="str">
        <x:v>Prepare job-facing README and walkthrough</x:v>
      </x:c>
      <x:c r="D65" t="str">
        <x:v>Ten-minute portfolio walkthrough tied to eval-engineering roles</x:v>
      </x:c>
      <x:c r="E65" t="str">
        <x:v>7.4</x:v>
      </x:c>
      <x:c r="F65" t="n">
        <x:v>6</x:v>
      </x:c>
      <x:c r="G65" t="n">
        <x:v>51</x:v>
      </x:c>
      <x:c r="H65" t="n">
        <x:v>52</x:v>
      </x:c>
      <x:c r="I65" t="n">
        <x:v>2</x:v>
      </x:c>
      <x:c r="J65" t="n">
        <x:v>46552</x:v>
      </x:c>
      <x:c r="K65" t="n">
        <x:v>46565</x:v>
      </x:c>
      <x:c r="L65" t="str">
        <x:v>Not Started</x:v>
      </x:c>
      <x:c r="M65" t="n">
        <x:v>0</x:v>
      </x:c>
      <x:c r="N65"/>
      <x:c r="O65"/>
      <x:c r="P65" t="n">
        <x:v>6</x:v>
      </x:c>
      <x:c r="Q65"/>
    </x:row>
    <x:row r="66">
      <x:c r="A66" t="str">
        <x:v>7.7</x:v>
      </x:c>
      <x:c r="B66" t="str">
        <x:v>7 Hardening, Governance &amp; Portfolio Release</x:v>
      </x:c>
      <x:c r="C66" t="str">
        <x:v>Release v1.0 and record lessons learned</x:v>
      </x:c>
      <x:c r="D66" t="str">
        <x:v>Tagged release, final report, backlog, and post-project review</x:v>
      </x:c>
      <x:c r="E66" t="str">
        <x:v>7.5</x:v>
      </x:c>
      <x:c r="F66" t="n">
        <x:v>4</x:v>
      </x:c>
      <x:c r="G66" t="n">
        <x:v>52</x:v>
      </x:c>
      <x:c r="H66" t="n">
        <x:v>52</x:v>
      </x:c>
      <x:c r="I66" t="n">
        <x:v>1</x:v>
      </x:c>
      <x:c r="J66" t="n">
        <x:v>46559</x:v>
      </x:c>
      <x:c r="K66" t="n">
        <x:v>46565</x:v>
      </x:c>
      <x:c r="L66" t="str">
        <x:v>Not Started</x:v>
      </x:c>
      <x:c r="M66" t="n">
        <x:v>0</x:v>
      </x:c>
      <x:c r="N66"/>
      <x:c r="O66"/>
      <x:c r="P66" t="n">
        <x:v>4</x:v>
      </x:c>
      <x:c r="Q66"/>
    </x:row>
    <x:row r="69">
      <x:c r="A69" t="str">
        <x:v>Executive Gantt — 576 Planned Labour Hours</x:v>
      </x:c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</x:row>
    <x:row r="70">
      <x:c r="A70" t="str">
        <x:v>WBS</x:v>
      </x:c>
      <x:c r="B70" t="str">
        <x:v>Phase</x:v>
      </x:c>
      <x:c r="C70" t="str">
        <x:v>Hours</x:v>
      </x:c>
      <x:c r="D70" t="str">
        <x:v>% Total</x:v>
      </x:c>
      <x:c r="E70" t="str">
        <x:v>Start</x:v>
      </x:c>
      <x:c r="F70" t="str">
        <x:v>Finish</x:v>
      </x:c>
      <x:c r="G70" t="str">
        <x:v>Gate / Hold Point</x:v>
      </x:c>
      <x:c r="H70" t="str">
        <x:v>Primary Deliverable</x:v>
      </x:c>
      <x:c r="I70" t="str">
        <x:v>Jul-26</x:v>
      </x:c>
      <x:c r="J70" t="str">
        <x:v>Aug-26</x:v>
      </x:c>
      <x:c r="K70" t="str">
        <x:v>Sep-26</x:v>
      </x:c>
      <x:c r="L70" t="str">
        <x:v>Oct-26</x:v>
      </x:c>
      <x:c r="M70" t="str">
        <x:v>Nov-26</x:v>
      </x:c>
      <x:c r="N70" t="str">
        <x:v>Dec-26</x:v>
      </x:c>
      <x:c r="O70" t="str">
        <x:v>Jan-27</x:v>
      </x:c>
      <x:c r="P70" t="str">
        <x:v>Feb-27</x:v>
      </x:c>
      <x:c r="Q70" t="str">
        <x:v>Mar-27</x:v>
      </x:c>
      <x:c r="R70" t="str">
        <x:v>Apr-27</x:v>
      </x:c>
      <x:c r="S70" t="str">
        <x:v>May-27</x:v>
      </x:c>
      <x:c r="T70" t="str">
        <x:v>Jun-27</x:v>
      </x:c>
    </x:row>
    <x:row r="71">
      <x:c r="A71" t="str">
        <x:v>0</x:v>
      </x:c>
      <x:c r="B71" t="str">
        <x:v>0 Project Controls &amp; Mobilization</x:v>
      </x:c>
      <x:c r="C71" t="n">
        <x:v>40</x:v>
      </x:c>
      <x:c r="D71" t="n">
        <x:v>0.06944444444444445</x:v>
      </x:c>
      <x:c r="E71" t="n">
        <x:v>46202</x:v>
      </x:c>
      <x:c r="F71" t="n">
        <x:v>46565</x:v>
      </x:c>
      <x:c r="G71" t="str">
        <x:v>Ongoing controls; baseline accepted at Gate 0</x:v>
      </x:c>
      <x:c r="H71" t="str">
        <x:v>Controlled scope, updated schedule, issue log, gate records</x:v>
      </x:c>
      <x:c r="I71" t="str">
        <x:v>■</x:v>
      </x:c>
      <x:c r="J71" t="str">
        <x:v>■</x:v>
      </x:c>
      <x:c r="K71" t="str">
        <x:v>■</x:v>
      </x:c>
      <x:c r="L71" t="str">
        <x:v>■</x:v>
      </x:c>
      <x:c r="M71" t="str">
        <x:v>■</x:v>
      </x:c>
      <x:c r="N71" t="str">
        <x:v>■</x:v>
      </x:c>
      <x:c r="O71" t="str">
        <x:v>■</x:v>
      </x:c>
      <x:c r="P71" t="str">
        <x:v>■</x:v>
      </x:c>
      <x:c r="Q71" t="str">
        <x:v>■</x:v>
      </x:c>
      <x:c r="R71" t="str">
        <x:v>■</x:v>
      </x:c>
      <x:c r="S71" t="str">
        <x:v>■</x:v>
      </x:c>
      <x:c r="T71" t="str">
        <x:v>■</x:v>
      </x:c>
    </x:row>
    <x:row r="72">
      <x:c r="A72" t="str">
        <x:v>1</x:v>
      </x:c>
      <x:c r="B72" t="str">
        <x:v>1 Case Foundation</x:v>
      </x:c>
      <x:c r="C72" t="n">
        <x:v>64</x:v>
      </x:c>
      <x:c r="D72" t="n">
        <x:v>0.1111111111111111</x:v>
      </x:c>
      <x:c r="E72" t="n">
        <x:v>46216</x:v>
      </x:c>
      <x:c r="F72" t="n">
        <x:v>46264</x:v>
      </x:c>
      <x:c r="G72" t="str">
        <x:v>Gate 1 — v0.1.0 case specification baseline</x:v>
      </x:c>
      <x:c r="H72" t="str">
        <x:v>8 reviewed synthetic cases, 3 workflow families, held-out split</x:v>
      </x:c>
      <x:c r="I72" t="str">
        <x:v>■</x:v>
      </x:c>
      <x:c r="J72" t="str">
        <x:v>■</x:v>
      </x:c>
      <x:c r="K72"/>
      <x:c r="L72"/>
      <x:c r="M72"/>
      <x:c r="N72"/>
      <x:c r="O72"/>
      <x:c r="P72"/>
      <x:c r="Q72"/>
      <x:c r="R72"/>
      <x:c r="S72"/>
      <x:c r="T72"/>
    </x:row>
    <x:row r="73">
      <x:c r="A73" t="str">
        <x:v>2</x:v>
      </x:c>
      <x:c r="B73" t="str">
        <x:v>2 Software Hygiene &amp; Test Infrastructure</x:v>
      </x:c>
      <x:c r="C73" t="n">
        <x:v>72</x:v>
      </x:c>
      <x:c r="D73" t="n">
        <x:v>0.125</x:v>
      </x:c>
      <x:c r="E73" t="n">
        <x:v>46265</x:v>
      </x:c>
      <x:c r="F73" t="n">
        <x:v>46313</x:v>
      </x:c>
      <x:c r="G73" t="str">
        <x:v>Gate 2 — v0.2 test and repository baseline</x:v>
      </x:c>
      <x:c r="H73" t="str">
        <x:v>20+ tests, CI, clean Git workflow, result/trace schema stubs</x:v>
      </x:c>
      <x:c r="I73"/>
      <x:c r="J73" t="str">
        <x:v>■</x:v>
      </x:c>
      <x:c r="K73" t="str">
        <x:v>■</x:v>
      </x:c>
      <x:c r="L73" t="str">
        <x:v>■</x:v>
      </x:c>
      <x:c r="M73"/>
      <x:c r="N73"/>
      <x:c r="O73"/>
      <x:c r="P73"/>
      <x:c r="Q73"/>
      <x:c r="R73"/>
      <x:c r="S73"/>
      <x:c r="T73"/>
    </x:row>
    <x:row r="74">
      <x:c r="A74" t="str">
        <x:v>3</x:v>
      </x:c>
      <x:c r="B74" t="str">
        <x:v>3 Evaluation Engine &amp; Measurement</x:v>
      </x:c>
      <x:c r="C74" t="n">
        <x:v>88</x:v>
      </x:c>
      <x:c r="D74" t="n">
        <x:v>0.1527777777777778</x:v>
      </x:c>
      <x:c r="E74" t="n">
        <x:v>46314</x:v>
      </x:c>
      <x:c r="F74" t="n">
        <x:v>46369</x:v>
      </x:c>
      <x:c r="G74" t="str">
        <x:v>Gate 3 — deterministic evaluation baseline</x:v>
      </x:c>
      <x:c r="H74" t="str">
        <x:v>Evaluator engine, local result records, 20-case benchmark report</x:v>
      </x:c>
      <x:c r="I74"/>
      <x:c r="J74"/>
      <x:c r="K74"/>
      <x:c r="L74" t="str">
        <x:v>■</x:v>
      </x:c>
      <x:c r="M74" t="str">
        <x:v>■</x:v>
      </x:c>
      <x:c r="N74" t="str">
        <x:v>■</x:v>
      </x:c>
      <x:c r="O74"/>
      <x:c r="P74"/>
      <x:c r="Q74"/>
      <x:c r="R74"/>
      <x:c r="S74"/>
      <x:c r="T74"/>
    </x:row>
    <x:row r="75">
      <x:c r="A75" t="str">
        <x:v>4</x:v>
      </x:c>
      <x:c r="B75" t="str">
        <x:v>4 Multimodal Technical Document Evaluation</x:v>
      </x:c>
      <x:c r="C75" t="n">
        <x:v>96</x:v>
      </x:c>
      <x:c r="D75" t="n">
        <x:v>0.16666666666666666</x:v>
      </x:c>
      <x:c r="E75" t="n">
        <x:v>46370</x:v>
      </x:c>
      <x:c r="F75" t="n">
        <x:v>46425</x:v>
      </x:c>
      <x:c r="G75" t="str">
        <x:v>Gate 4 — multimodal benchmark ready</x:v>
      </x:c>
      <x:c r="H75" t="str">
        <x:v>PDF/image/table handling, artifact checks, 12 multimodal cases</x:v>
      </x:c>
      <x:c r="I75"/>
      <x:c r="J75"/>
      <x:c r="K75"/>
      <x:c r="L75"/>
      <x:c r="M75"/>
      <x:c r="N75" t="str">
        <x:v>■</x:v>
      </x:c>
      <x:c r="O75" t="str">
        <x:v>■</x:v>
      </x:c>
      <x:c r="P75" t="str">
        <x:v>■</x:v>
      </x:c>
      <x:c r="Q75"/>
      <x:c r="R75"/>
      <x:c r="S75"/>
      <x:c r="T75"/>
    </x:row>
    <x:row r="76">
      <x:c r="A76" t="str">
        <x:v>5</x:v>
      </x:c>
      <x:c r="B76" t="str">
        <x:v>5 OpenClaw Bounded Agent Evaluation</x:v>
      </x:c>
      <x:c r="C76" t="n">
        <x:v>104</x:v>
      </x:c>
      <x:c r="D76" t="n">
        <x:v>0.18055555555555555</x:v>
      </x:c>
      <x:c r="E76" t="n">
        <x:v>46426</x:v>
      </x:c>
      <x:c r="F76" t="n">
        <x:v>46495</x:v>
      </x:c>
      <x:c r="G76" t="str">
        <x:v>Gate 5 — bounded agent evaluation demonstrated</x:v>
      </x:c>
      <x:c r="H76" t="str">
        <x:v>Sandboxed OpenClaw runs, traces, process/outcome evaluators</x:v>
      </x:c>
      <x:c r="I76"/>
      <x:c r="J76"/>
      <x:c r="K76"/>
      <x:c r="L76"/>
      <x:c r="M76"/>
      <x:c r="N76"/>
      <x:c r="O76"/>
      <x:c r="P76" t="str">
        <x:v>■</x:v>
      </x:c>
      <x:c r="Q76" t="str">
        <x:v>■</x:v>
      </x:c>
      <x:c r="R76" t="str">
        <x:v>■</x:v>
      </x:c>
      <x:c r="S76"/>
      <x:c r="T76"/>
    </x:row>
    <x:row r="77">
      <x:c r="A77" t="str">
        <x:v>6</x:v>
      </x:c>
      <x:c r="B77" t="str">
        <x:v>6 Comparative Harness &amp; Observability</x:v>
      </x:c>
      <x:c r="C77" t="n">
        <x:v>52</x:v>
      </x:c>
      <x:c r="D77" t="n">
        <x:v>0.09027777777777778</x:v>
      </x:c>
      <x:c r="E77" t="n">
        <x:v>46496</x:v>
      </x:c>
      <x:c r="F77" t="n">
        <x:v>46530</x:v>
      </x:c>
      <x:c r="G77" t="str">
        <x:v>Gate 6 — comparative study complete</x:v>
      </x:c>
      <x:c r="H77" t="str">
        <x:v>Identical-task comparison, cost/latency/tool-use metrics, report</x:v>
      </x:c>
      <x:c r="I77"/>
      <x:c r="J77"/>
      <x:c r="K77"/>
      <x:c r="L77"/>
      <x:c r="M77"/>
      <x:c r="N77"/>
      <x:c r="O77"/>
      <x:c r="P77"/>
      <x:c r="Q77"/>
      <x:c r="R77" t="str">
        <x:v>■</x:v>
      </x:c>
      <x:c r="S77" t="str">
        <x:v>■</x:v>
      </x:c>
      <x:c r="T77"/>
    </x:row>
    <x:row r="78">
      <x:c r="A78" t="str">
        <x:v>7</x:v>
      </x:c>
      <x:c r="B78" t="str">
        <x:v>7 Hardening, Governance &amp; Portfolio Release</x:v>
      </x:c>
      <x:c r="C78" t="n">
        <x:v>60</x:v>
      </x:c>
      <x:c r="D78" t="n">
        <x:v>0.10416666666666667</x:v>
      </x:c>
      <x:c r="E78" t="n">
        <x:v>46531</x:v>
      </x:c>
      <x:c r="F78" t="n">
        <x:v>46565</x:v>
      </x:c>
      <x:c r="G78" t="str">
        <x:v>Gate 7 — v1.0 portfolio release</x:v>
      </x:c>
      <x:c r="H78" t="str">
        <x:v>Held-out regression, reproducible setup, governance pack, case studies</x:v>
      </x:c>
      <x:c r="I78"/>
      <x:c r="J78"/>
      <x:c r="K78"/>
      <x:c r="L78"/>
      <x:c r="M78"/>
      <x:c r="N78"/>
      <x:c r="O78"/>
      <x:c r="P78"/>
      <x:c r="Q78"/>
      <x:c r="R78"/>
      <x:c r="S78" t="str">
        <x:v>■</x:v>
      </x:c>
      <x:c r="T78" t="str">
        <x:v>■</x:v>
      </x:c>
    </x:row>
    <x:row r="79">
      <x:c r="A79" t="str">
        <x:v>TOTAL BASELINE</x:v>
      </x:c>
      <x:c r="B79"/>
      <x:c r="C79" t="n">
        <x:v>576</x:v>
      </x:c>
      <x:c r="D79" t="n">
        <x:v>1</x:v>
      </x:c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</x:row>
  </x:sheetData>
  <x:mergeCells>
    <x:mergeCell ref="A1:T1"/>
    <x:mergeCell ref="A2:T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2" hidden="0" customWidth="1"/>
    <x:col min="3" max="3" width="10" hidden="0" customWidth="1"/>
    <x:col min="4" max="4" width="10" hidden="0" customWidth="1"/>
    <x:col min="5" max="5" width="11" hidden="0" customWidth="1"/>
    <x:col min="6" max="6" width="12" hidden="0" customWidth="1"/>
    <x:col min="7" max="7" width="10" hidden="0" customWidth="1"/>
    <x:col min="8" max="8" width="13" hidden="0" customWidth="1"/>
    <x:col min="9" max="9" width="34" hidden="0" customWidth="1"/>
    <x:col min="10" max="10" width="42" hidden="0" customWidth="1"/>
    <x:col min="11" max="11" width="42" hidden="0" customWidth="1"/>
    <x:col min="12" max="12" width="36" hidden="0" customWidth="1"/>
    <x:col min="13" max="13" width="28" hidden="0" customWidth="1"/>
  </x:cols>
  <x:sheetData>
    <x:row r="1" ht="28" customHeight="1">
      <x:c r="A1" s="205" t="str">
        <x:v>Work Block Log — Actual Work, Evidence, Decisions, and Next Action</x:v>
      </x:c>
    </x:row>
    <x:row r="2">
      <x:c r="A2" s="222" t="str">
        <x:v>Enter one row per coherent work block. Actual hours are recorded only when explicitly known. Detailed Gantt and Weekly Control calculate actuals from this sheet.</x:v>
      </x:c>
      <x:c r="B2" s="222"/>
      <x:c r="C2" s="222"/>
      <x:c r="D2" s="222"/>
      <x:c r="E2" s="222"/>
      <x:c r="F2" s="222"/>
      <x:c r="G2" s="222"/>
      <x:c r="H2" s="222"/>
      <x:c r="I2" s="222"/>
      <x:c r="J2" s="222"/>
      <x:c r="K2" s="222"/>
      <x:c r="L2" s="222"/>
      <x:c r="M2" s="222"/>
    </x:row>
    <x:row r="4">
      <x:c r="A4" s="229" t="str">
        <x:v>Block ID</x:v>
      </x:c>
      <x:c r="B4" s="229" t="str">
        <x:v>Date</x:v>
      </x:c>
      <x:c r="C4" s="229" t="str">
        <x:v>Start</x:v>
      </x:c>
      <x:c r="D4" s="229" t="str">
        <x:v>End</x:v>
      </x:c>
      <x:c r="E4" s="229" t="str">
        <x:v>Primary WBS</x:v>
      </x:c>
      <x:c r="F4" s="229" t="str">
        <x:v>Actual Hours</x:v>
      </x:c>
      <x:c r="G4" s="229" t="str">
        <x:v>MVP Week</x:v>
      </x:c>
      <x:c r="H4" s="229" t="str">
        <x:v>Status</x:v>
      </x:c>
      <x:c r="I4" s="229" t="str">
        <x:v>Objective</x:v>
      </x:c>
      <x:c r="J4" s="229" t="str">
        <x:v>Deliverable / Evidence</x:v>
      </x:c>
      <x:c r="K4" s="229" t="str">
        <x:v>Decisions / Blockers</x:v>
      </x:c>
      <x:c r="L4" s="229" t="str">
        <x:v>Next Action</x:v>
      </x:c>
      <x:c r="M4" s="229" t="str">
        <x:v>Git / Artifact</x:v>
      </x:c>
    </x:row>
    <x:row r="5">
      <x:c r="A5" s="242" t="str">
        <x:v>WB-001</x:v>
      </x:c>
      <x:c r="B5" s="243" t="n">
        <x:v>46201</x:v>
      </x:c>
      <x:c r="C5" s="242" t="str"/>
      <x:c r="D5" s="242" t="str"/>
      <x:c r="E5" s="242" t="str">
        <x:v>0.1</x:v>
      </x:c>
      <x:c r="F5" s="244" t="n">
        <x:v>2.5</x:v>
      </x:c>
      <x:c r="G5" s="625" t="n">
        <x:f>IF(B5="","",MAX(1,INT((B5-DATE(2026,6,29))/7)+1))</x:f>
        <x:v>1</x:v>
      </x:c>
      <x:c r="H5" s="242" t="str">
        <x:v>Complete</x:v>
      </x:c>
      <x:c r="I5" s="242" t="str">
        <x:v>Repository setup, toolchain verification, and initial commissioning.</x:v>
      </x:c>
      <x:c r="J5" s="242" t="str">
        <x:v>Python 3.14.2 virtual environment active; repository structure commissioned; baseline tests passed.</x:v>
      </x:c>
      <x:c r="K5" s="242" t="str">
        <x:v>Use a backend-first local CLI and synthetic/public data only.</x:v>
      </x:c>
      <x:c r="L5" s="242" t="str">
        <x:v>Establish Git/GitHub baseline and controlled workflow.</x:v>
      </x:c>
      <x:c r="M5" s="242" t="str">
        <x:v>Local repository baseline</x:v>
      </x:c>
    </x:row>
    <x:row r="6">
      <x:c r="A6" s="242" t="str">
        <x:v>WB-002</x:v>
      </x:c>
      <x:c r="B6" s="243" t="n">
        <x:v>46203</x:v>
      </x:c>
      <x:c r="C6" s="242" t="str"/>
      <x:c r="D6" s="242" t="str"/>
      <x:c r="E6" s="242" t="str">
        <x:v>0.2</x:v>
      </x:c>
      <x:c r="F6" s="244" t="n">
        <x:v>1.5</x:v>
      </x:c>
      <x:c r="G6" s="625" t="n">
        <x:f>IF(B6="","",MAX(1,INT((B6-DATE(2026,6,29))/7)+1))</x:f>
        <x:v>1</x:v>
      </x:c>
      <x:c r="H6" s="242" t="str">
        <x:v>Complete</x:v>
      </x:c>
      <x:c r="I6" s="242" t="str">
        <x:v>Git/GitHub baseline, first controlled regression change, and repository commissioning.</x:v>
      </x:c>
      <x:c r="J6" s="242" t="str">
        <x:v>PR #1 merged; unknown-case CLI regression added; 20 tests passed.</x:v>
      </x:c>
      <x:c r="K6" s="242" t="str">
        <x:v>Use branch/PR workflow, but avoid one branch per trivial test after practice objective is met.</x:v>
      </x:c>
      <x:c r="L6" s="242" t="str">
        <x:v>Implement targeted case loading.</x:v>
      </x:c>
      <x:c r="M6" s="242" t="str">
        <x:v>PR #1 / merge 29f4879</x:v>
      </x:c>
    </x:row>
    <x:row r="7">
      <x:c r="A7" s="242" t="str">
        <x:v>WB-003</x:v>
      </x:c>
      <x:c r="B7" s="243" t="n">
        <x:v>46207</x:v>
      </x:c>
      <x:c r="C7" s="242" t="str">
        <x:v>1:51 PM</x:v>
      </x:c>
      <x:c r="D7" s="242" t="str">
        <x:v>2:28 PM</x:v>
      </x:c>
      <x:c r="E7" s="242" t="str">
        <x:v>0.3</x:v>
      </x:c>
      <x:c r="F7" s="244" t="n">
        <x:v>0.62</x:v>
      </x:c>
      <x:c r="G7" s="625" t="n">
        <x:f>IF(B7="","",MAX(1,INT((B7-DATE(2026,6,29))/7)+1))</x:f>
        <x:v>1</x:v>
      </x:c>
      <x:c r="H7" s="242" t="str">
        <x:v>Complete</x:v>
      </x:c>
      <x:c r="I7" s="242" t="str">
        <x:v>Add targeted case loading by ID and decouple inspect from full-repository validation.</x:v>
      </x:c>
      <x:c r="J7" s="242" t="str">
        <x:v>PR #2 merged; load_case_by_id added; CLI inspect updated; 22 tests passed.</x:v>
      </x:c>
      <x:c r="K7" s="242" t="str">
        <x:v>Targeted inspect should ignore invalid unrelated cases.</x:v>
      </x:c>
      <x:c r="L7" s="242" t="str">
        <x:v>Prove case isolation with a regression test.</x:v>
      </x:c>
      <x:c r="M7" s="242" t="str">
        <x:v>PR #2 / merge 84ae42e</x:v>
      </x:c>
    </x:row>
    <x:row r="8">
      <x:c r="A8" s="242" t="str">
        <x:v>WB-004</x:v>
      </x:c>
      <x:c r="B8" s="243" t="n">
        <x:v>46207</x:v>
      </x:c>
      <x:c r="C8" s="242" t="str"/>
      <x:c r="D8" s="242" t="str"/>
      <x:c r="E8" s="242" t="str">
        <x:v>0.3</x:v>
      </x:c>
      <x:c r="F8" s="244"/>
      <x:c r="G8" s="625" t="n">
        <x:f>IF(B8="","",MAX(1,INT((B8-DATE(2026,6,29))/7)+1))</x:f>
        <x:v>1</x:v>
      </x:c>
      <x:c r="H8" s="242" t="str">
        <x:v>Complete</x:v>
      </x:c>
      <x:c r="I8" s="242" t="str">
        <x:v>Case-isolation and seeded-defect validator coverage.</x:v>
      </x:c>
      <x:c r="J8" s="242" t="str">
        <x:v>PR #3 case isolation, PR #4 evaluator weight sum, PR #5 missing input asset; 25 tests passed.</x:v>
      </x:c>
      <x:c r="K8" s="242" t="str">
        <x:v>Stop the one-test-per-branch pattern. Tests support the product; the next major capability is the evaluation engine. Actual duration was not recorded.</x:v>
      </x:c>
      <x:c r="L8" s="242" t="str">
        <x:v>Complete architecture/control checkpoint, then start candidate artifact contract.</x:v>
      </x:c>
      <x:c r="M8" s="242" t="str">
        <x:v>PR #3 90ead34; PR #4 8399f1f; PR #5 0205c60</x:v>
      </x:c>
    </x:row>
    <x:row r="9">
      <x:c r="A9" s="242" t="str">
        <x:v>WB-005</x:v>
      </x:c>
      <x:c r="B9" s="243" t="n">
        <x:v>46207</x:v>
      </x:c>
      <x:c r="C9" s="242" t="str"/>
      <x:c r="D9" s="242" t="str"/>
      <x:c r="E9" s="242" t="str">
        <x:v>0.2</x:v>
      </x:c>
      <x:c r="F9" s="244"/>
      <x:c r="G9" s="625" t="n">
        <x:f>IF(B9="","",MAX(1,INT((B9-DATE(2026,6,29))/7)+1))</x:f>
        <x:v>1</x:v>
      </x:c>
      <x:c r="H9" s="242" t="str">
        <x:v>Complete</x:v>
      </x:c>
      <x:c r="I9" s="242" t="str">
        <x:v>Architecture checkpoint and aggressive MVP rebaseline.</x:v>
      </x:c>
      <x:c r="J9" s="242" t="str">
        <x:v>Updated architecture draft and 8-week MVP control workbook with logs, decisions, risks, evidence, and AI context.</x:v>
      </x:c>
      <x:c r="K9" s="242" t="str">
        <x:v>Gantt workbook becomes the controlling source of truth. Preserve long-term work as expansion backlog.</x:v>
      </x:c>
      <x:c r="L9" s="242" t="str">
        <x:v>Commit docs/architecture.md and this workbook; begin WBS 1.1.</x:v>
      </x:c>
      <x:c r="M9" s="242" t="str">
        <x:v>docs/architecture.md; gantt.xlsx</x:v>
      </x:c>
    </x:row>
    <x:row r="10">
      <x:c r="A10" s="242" t="str">
        <x:v>WB-006</x:v>
      </x:c>
      <x:c r="B10" s="243" t="n">
        <x:v>46207</x:v>
      </x:c>
      <x:c r="C10" s="242" t="str">
        <x:v>5:20 PM</x:v>
      </x:c>
      <x:c r="D10" s="242" t="str">
        <x:v>5:24 PM</x:v>
      </x:c>
      <x:c r="E10" s="242" t="str">
        <x:v>0.2</x:v>
      </x:c>
      <x:c r="F10" s="244" t="n">
        <x:v>0.07</x:v>
      </x:c>
      <x:c r="G10" s="625" t="n">
        <x:f>IF(B10="","",MAX(1,INT((B10-DATE(2026,6,29))/7)+1))</x:f>
        <x:v>1</x:v>
      </x:c>
      <x:c r="H10" s="242" t="str">
        <x:v>Complete</x:v>
      </x:c>
      <x:c r="I10" s="242" t="str">
        <x:v>Commit the architecture document and rebaselined Gantt workbook to main.</x:v>
      </x:c>
      <x:c r="J10" s="242" t="str">
        <x:v>Commit c71676d pushed to origin/main; working tree confirmed clean.</x:v>
      </x:c>
      <x:c r="K10" s="242" t="str">
        <x:v>Gate 0 is complete. Stop work for the day; begin WBS 1.1 in the next work block.</x:v>
      </x:c>
      <x:c r="L10" s="242" t="str">
        <x:v>Next work block: create feature/candidate-artifact-contract and define the MECH-002 candidate contract.</x:v>
      </x:c>
      <x:c r="M10" s="242" t="str">
        <x:v>c71676d — Rebaseline project for eight-week MVP</x:v>
      </x:c>
    </x:row>
    <x:row r="11">
      <x:c r="A11" s="242"/>
      <x:c r="B11" s="243"/>
      <x:c r="C11" s="242"/>
      <x:c r="D11" s="242"/>
      <x:c r="E11" s="242"/>
      <x:c r="F11" s="244"/>
      <x:c r="G11" s="625"/>
      <x:c r="H11" s="242"/>
      <x:c r="I11" s="242"/>
      <x:c r="J11" s="242"/>
      <x:c r="K11" s="242"/>
      <x:c r="L11" s="242"/>
      <x:c r="M11" s="242"/>
    </x:row>
    <x:row r="12">
      <x:c r="A12" s="242"/>
      <x:c r="B12" s="243"/>
      <x:c r="C12" s="242"/>
      <x:c r="D12" s="242"/>
      <x:c r="E12" s="242"/>
      <x:c r="F12" s="244"/>
      <x:c r="G12" s="625"/>
      <x:c r="H12" s="242"/>
      <x:c r="I12" s="242"/>
      <x:c r="J12" s="242"/>
      <x:c r="K12" s="242"/>
      <x:c r="L12" s="242"/>
      <x:c r="M12" s="242"/>
    </x:row>
    <x:row r="13">
      <x:c r="A13" s="242"/>
      <x:c r="B13" s="243"/>
      <x:c r="C13" s="242"/>
      <x:c r="D13" s="242"/>
      <x:c r="E13" s="242"/>
      <x:c r="F13" s="244"/>
      <x:c r="G13" s="625"/>
      <x:c r="H13" s="242"/>
      <x:c r="I13" s="242"/>
      <x:c r="J13" s="242"/>
      <x:c r="K13" s="242"/>
      <x:c r="L13" s="242"/>
      <x:c r="M13" s="242"/>
    </x:row>
    <x:row r="14">
      <x:c r="A14" s="242"/>
      <x:c r="B14" s="243"/>
      <x:c r="C14" s="242"/>
      <x:c r="D14" s="242"/>
      <x:c r="E14" s="242"/>
      <x:c r="F14" s="244"/>
      <x:c r="G14" s="625"/>
      <x:c r="H14" s="242"/>
      <x:c r="I14" s="242"/>
      <x:c r="J14" s="242"/>
      <x:c r="K14" s="242"/>
      <x:c r="L14" s="242"/>
      <x:c r="M14" s="242"/>
    </x:row>
    <x:row r="15">
      <x:c r="A15" s="242"/>
      <x:c r="B15" s="243"/>
      <x:c r="C15" s="242"/>
      <x:c r="D15" s="242"/>
      <x:c r="E15" s="242"/>
      <x:c r="F15" s="244"/>
      <x:c r="G15" s="625"/>
      <x:c r="H15" s="242"/>
      <x:c r="I15" s="242"/>
      <x:c r="J15" s="242"/>
      <x:c r="K15" s="242"/>
      <x:c r="L15" s="242"/>
      <x:c r="M15" s="242"/>
    </x:row>
    <x:row r="16">
      <x:c r="A16" s="242"/>
      <x:c r="B16" s="243"/>
      <x:c r="C16" s="242"/>
      <x:c r="D16" s="242"/>
      <x:c r="E16" s="242"/>
      <x:c r="F16" s="244"/>
      <x:c r="G16" s="625"/>
      <x:c r="H16" s="242"/>
      <x:c r="I16" s="242"/>
      <x:c r="J16" s="242"/>
      <x:c r="K16" s="242"/>
      <x:c r="L16" s="242"/>
      <x:c r="M16" s="242"/>
    </x:row>
    <x:row r="17">
      <x:c r="A17" s="242"/>
      <x:c r="B17" s="243"/>
      <x:c r="C17" s="242"/>
      <x:c r="D17" s="242"/>
      <x:c r="E17" s="242"/>
      <x:c r="F17" s="244"/>
      <x:c r="G17" s="625"/>
      <x:c r="H17" s="242"/>
      <x:c r="I17" s="242"/>
      <x:c r="J17" s="242"/>
      <x:c r="K17" s="242"/>
      <x:c r="L17" s="242"/>
      <x:c r="M17" s="242"/>
    </x:row>
    <x:row r="18">
      <x:c r="A18" s="242"/>
      <x:c r="B18" s="243"/>
      <x:c r="C18" s="242"/>
      <x:c r="D18" s="242"/>
      <x:c r="E18" s="242"/>
      <x:c r="F18" s="244"/>
      <x:c r="G18" s="625"/>
      <x:c r="H18" s="242"/>
      <x:c r="I18" s="242"/>
      <x:c r="J18" s="242"/>
      <x:c r="K18" s="242"/>
      <x:c r="L18" s="242"/>
      <x:c r="M18" s="242"/>
    </x:row>
    <x:row r="19">
      <x:c r="A19" s="242"/>
      <x:c r="B19" s="243"/>
      <x:c r="C19" s="242"/>
      <x:c r="D19" s="242"/>
      <x:c r="E19" s="242"/>
      <x:c r="F19" s="244"/>
      <x:c r="G19" s="625"/>
      <x:c r="H19" s="242"/>
      <x:c r="I19" s="242"/>
      <x:c r="J19" s="242"/>
      <x:c r="K19" s="242"/>
      <x:c r="L19" s="242"/>
      <x:c r="M19" s="242"/>
    </x:row>
    <x:row r="20">
      <x:c r="A20" s="242"/>
      <x:c r="B20" s="243"/>
      <x:c r="C20" s="242"/>
      <x:c r="D20" s="242"/>
      <x:c r="E20" s="242"/>
      <x:c r="F20" s="244"/>
      <x:c r="G20" s="625"/>
      <x:c r="H20" s="242"/>
      <x:c r="I20" s="242"/>
      <x:c r="J20" s="242"/>
      <x:c r="K20" s="242"/>
      <x:c r="L20" s="242"/>
      <x:c r="M20" s="242"/>
    </x:row>
    <x:row r="21">
      <x:c r="A21" s="242"/>
      <x:c r="B21" s="243"/>
      <x:c r="C21" s="242"/>
      <x:c r="D21" s="242"/>
      <x:c r="E21" s="242"/>
      <x:c r="F21" s="244"/>
      <x:c r="G21" s="625"/>
      <x:c r="H21" s="242"/>
      <x:c r="I21" s="242"/>
      <x:c r="J21" s="242"/>
      <x:c r="K21" s="242"/>
      <x:c r="L21" s="242"/>
      <x:c r="M21" s="242"/>
    </x:row>
    <x:row r="22">
      <x:c r="A22" s="242"/>
      <x:c r="B22" s="243"/>
      <x:c r="C22" s="242"/>
      <x:c r="D22" s="242"/>
      <x:c r="E22" s="242"/>
      <x:c r="F22" s="244"/>
      <x:c r="G22" s="625"/>
      <x:c r="H22" s="242"/>
      <x:c r="I22" s="242"/>
      <x:c r="J22" s="242"/>
      <x:c r="K22" s="242"/>
      <x:c r="L22" s="242"/>
      <x:c r="M22" s="242"/>
    </x:row>
    <x:row r="23">
      <x:c r="A23" s="242"/>
      <x:c r="B23" s="243"/>
      <x:c r="C23" s="242"/>
      <x:c r="D23" s="242"/>
      <x:c r="E23" s="242"/>
      <x:c r="F23" s="244"/>
      <x:c r="G23" s="625"/>
      <x:c r="H23" s="242"/>
      <x:c r="I23" s="242"/>
      <x:c r="J23" s="242"/>
      <x:c r="K23" s="242"/>
      <x:c r="L23" s="242"/>
      <x:c r="M23" s="242"/>
    </x:row>
    <x:row r="24">
      <x:c r="A24" s="242"/>
      <x:c r="B24" s="243"/>
      <x:c r="C24" s="242"/>
      <x:c r="D24" s="242"/>
      <x:c r="E24" s="242"/>
      <x:c r="F24" s="244"/>
      <x:c r="G24" s="625"/>
      <x:c r="H24" s="242"/>
      <x:c r="I24" s="242"/>
      <x:c r="J24" s="242"/>
      <x:c r="K24" s="242"/>
      <x:c r="L24" s="242"/>
      <x:c r="M24" s="242"/>
    </x:row>
    <x:row r="25">
      <x:c r="A25" s="242"/>
      <x:c r="B25" s="243"/>
      <x:c r="C25" s="242"/>
      <x:c r="D25" s="242"/>
      <x:c r="E25" s="242"/>
      <x:c r="F25" s="244"/>
      <x:c r="G25" s="625"/>
      <x:c r="H25" s="242"/>
      <x:c r="I25" s="242"/>
      <x:c r="J25" s="242"/>
      <x:c r="K25" s="242"/>
      <x:c r="L25" s="242"/>
      <x:c r="M25" s="242"/>
    </x:row>
    <x:row r="26">
      <x:c r="A26" s="242"/>
      <x:c r="B26" s="243"/>
      <x:c r="C26" s="242"/>
      <x:c r="D26" s="242"/>
      <x:c r="E26" s="242"/>
      <x:c r="F26" s="244"/>
      <x:c r="G26" s="625"/>
      <x:c r="H26" s="242"/>
      <x:c r="I26" s="242"/>
      <x:c r="J26" s="242"/>
      <x:c r="K26" s="242"/>
      <x:c r="L26" s="242"/>
      <x:c r="M26" s="242"/>
    </x:row>
    <x:row r="27">
      <x:c r="A27" s="242"/>
      <x:c r="B27" s="243"/>
      <x:c r="C27" s="242"/>
      <x:c r="D27" s="242"/>
      <x:c r="E27" s="242"/>
      <x:c r="F27" s="244"/>
      <x:c r="G27" s="625"/>
      <x:c r="H27" s="242"/>
      <x:c r="I27" s="242"/>
      <x:c r="J27" s="242"/>
      <x:c r="K27" s="242"/>
      <x:c r="L27" s="242"/>
      <x:c r="M27" s="242"/>
    </x:row>
    <x:row r="28">
      <x:c r="A28" s="242"/>
      <x:c r="B28" s="243"/>
      <x:c r="C28" s="242"/>
      <x:c r="D28" s="242"/>
      <x:c r="E28" s="242"/>
      <x:c r="F28" s="244"/>
      <x:c r="G28" s="625"/>
      <x:c r="H28" s="242"/>
      <x:c r="I28" s="242"/>
      <x:c r="J28" s="242"/>
      <x:c r="K28" s="242"/>
      <x:c r="L28" s="242"/>
      <x:c r="M28" s="242"/>
    </x:row>
    <x:row r="29">
      <x:c r="A29" s="242"/>
      <x:c r="B29" s="243"/>
      <x:c r="C29" s="242"/>
      <x:c r="D29" s="242"/>
      <x:c r="E29" s="242"/>
      <x:c r="F29" s="244"/>
      <x:c r="G29" s="625"/>
      <x:c r="H29" s="242"/>
      <x:c r="I29" s="242"/>
      <x:c r="J29" s="242"/>
      <x:c r="K29" s="242"/>
      <x:c r="L29" s="242"/>
      <x:c r="M29" s="242"/>
    </x:row>
    <x:row r="30">
      <x:c r="A30" s="242"/>
      <x:c r="B30" s="243"/>
      <x:c r="C30" s="242"/>
      <x:c r="D30" s="242"/>
      <x:c r="E30" s="242"/>
      <x:c r="F30" s="244"/>
      <x:c r="G30" s="625"/>
      <x:c r="H30" s="242"/>
      <x:c r="I30" s="242"/>
      <x:c r="J30" s="242"/>
      <x:c r="K30" s="242"/>
      <x:c r="L30" s="242"/>
      <x:c r="M30" s="242"/>
    </x:row>
    <x:row r="31">
      <x:c r="A31" s="242"/>
      <x:c r="B31" s="243"/>
      <x:c r="C31" s="242"/>
      <x:c r="D31" s="242"/>
      <x:c r="E31" s="242"/>
      <x:c r="F31" s="244"/>
      <x:c r="G31" s="625"/>
      <x:c r="H31" s="242"/>
      <x:c r="I31" s="242"/>
      <x:c r="J31" s="242"/>
      <x:c r="K31" s="242"/>
      <x:c r="L31" s="242"/>
      <x:c r="M31" s="242"/>
    </x:row>
    <x:row r="32">
      <x:c r="A32" s="242"/>
      <x:c r="B32" s="243"/>
      <x:c r="C32" s="242"/>
      <x:c r="D32" s="242"/>
      <x:c r="E32" s="242"/>
      <x:c r="F32" s="244"/>
      <x:c r="G32" s="625"/>
      <x:c r="H32" s="242"/>
      <x:c r="I32" s="242"/>
      <x:c r="J32" s="242"/>
      <x:c r="K32" s="242"/>
      <x:c r="L32" s="242"/>
      <x:c r="M32" s="242"/>
    </x:row>
    <x:row r="33">
      <x:c r="A33" s="242"/>
      <x:c r="B33" s="243"/>
      <x:c r="C33" s="242"/>
      <x:c r="D33" s="242"/>
      <x:c r="E33" s="242"/>
      <x:c r="F33" s="244"/>
      <x:c r="G33" s="625"/>
      <x:c r="H33" s="242"/>
      <x:c r="I33" s="242"/>
      <x:c r="J33" s="242"/>
      <x:c r="K33" s="242"/>
      <x:c r="L33" s="242"/>
      <x:c r="M33" s="242"/>
    </x:row>
    <x:row r="34">
      <x:c r="A34" s="242"/>
      <x:c r="B34" s="243"/>
      <x:c r="C34" s="242"/>
      <x:c r="D34" s="242"/>
      <x:c r="E34" s="242"/>
      <x:c r="F34" s="244"/>
      <x:c r="G34" s="625"/>
      <x:c r="H34" s="242"/>
      <x:c r="I34" s="242"/>
      <x:c r="J34" s="242"/>
      <x:c r="K34" s="242"/>
      <x:c r="L34" s="242"/>
      <x:c r="M34" s="242"/>
    </x:row>
    <x:row r="35">
      <x:c r="A35" s="242"/>
      <x:c r="B35" s="243"/>
      <x:c r="C35" s="242"/>
      <x:c r="D35" s="242"/>
      <x:c r="E35" s="242"/>
      <x:c r="F35" s="244"/>
      <x:c r="G35" s="625"/>
      <x:c r="H35" s="242"/>
      <x:c r="I35" s="242"/>
      <x:c r="J35" s="242"/>
      <x:c r="K35" s="242"/>
      <x:c r="L35" s="242"/>
      <x:c r="M35" s="242"/>
    </x:row>
    <x:row r="36">
      <x:c r="A36" s="242"/>
      <x:c r="B36" s="243"/>
      <x:c r="C36" s="242"/>
      <x:c r="D36" s="242"/>
      <x:c r="E36" s="242"/>
      <x:c r="F36" s="244"/>
      <x:c r="G36" s="625"/>
      <x:c r="H36" s="242"/>
      <x:c r="I36" s="242"/>
      <x:c r="J36" s="242"/>
      <x:c r="K36" s="242"/>
      <x:c r="L36" s="242"/>
      <x:c r="M36" s="242"/>
    </x:row>
    <x:row r="37">
      <x:c r="A37" s="242"/>
      <x:c r="B37" s="243"/>
      <x:c r="C37" s="242"/>
      <x:c r="D37" s="242"/>
      <x:c r="E37" s="242"/>
      <x:c r="F37" s="244"/>
      <x:c r="G37" s="625"/>
      <x:c r="H37" s="242"/>
      <x:c r="I37" s="242"/>
      <x:c r="J37" s="242"/>
      <x:c r="K37" s="242"/>
      <x:c r="L37" s="242"/>
      <x:c r="M37" s="242"/>
    </x:row>
    <x:row r="38">
      <x:c r="A38" s="242"/>
      <x:c r="B38" s="243"/>
      <x:c r="C38" s="242"/>
      <x:c r="D38" s="242"/>
      <x:c r="E38" s="242"/>
      <x:c r="F38" s="244"/>
      <x:c r="G38" s="625"/>
      <x:c r="H38" s="242"/>
      <x:c r="I38" s="242"/>
      <x:c r="J38" s="242"/>
      <x:c r="K38" s="242"/>
      <x:c r="L38" s="242"/>
      <x:c r="M38" s="242"/>
    </x:row>
    <x:row r="39">
      <x:c r="A39" s="242"/>
      <x:c r="B39" s="243"/>
      <x:c r="C39" s="242"/>
      <x:c r="D39" s="242"/>
      <x:c r="E39" s="242"/>
      <x:c r="F39" s="244"/>
      <x:c r="G39" s="625"/>
      <x:c r="H39" s="242"/>
      <x:c r="I39" s="242"/>
      <x:c r="J39" s="242"/>
      <x:c r="K39" s="242"/>
      <x:c r="L39" s="242"/>
      <x:c r="M39" s="242"/>
    </x:row>
    <x:row r="40">
      <x:c r="A40" s="242"/>
      <x:c r="B40" s="243"/>
      <x:c r="C40" s="242"/>
      <x:c r="D40" s="242"/>
      <x:c r="E40" s="242"/>
      <x:c r="F40" s="244"/>
      <x:c r="G40" s="625"/>
      <x:c r="H40" s="242"/>
      <x:c r="I40" s="242"/>
      <x:c r="J40" s="242"/>
      <x:c r="K40" s="242"/>
      <x:c r="L40" s="242"/>
      <x:c r="M40" s="242"/>
    </x:row>
    <x:row r="41">
      <x:c r="A41" s="242"/>
      <x:c r="B41" s="243"/>
      <x:c r="C41" s="242"/>
      <x:c r="D41" s="242"/>
      <x:c r="E41" s="242"/>
      <x:c r="F41" s="244"/>
      <x:c r="G41" s="625"/>
      <x:c r="H41" s="242"/>
      <x:c r="I41" s="242"/>
      <x:c r="J41" s="242"/>
      <x:c r="K41" s="242"/>
      <x:c r="L41" s="242"/>
      <x:c r="M41" s="242"/>
    </x:row>
    <x:row r="42">
      <x:c r="A42" s="242"/>
      <x:c r="B42" s="243"/>
      <x:c r="C42" s="242"/>
      <x:c r="D42" s="242"/>
      <x:c r="E42" s="242"/>
      <x:c r="F42" s="244"/>
      <x:c r="G42" s="625"/>
      <x:c r="H42" s="242"/>
      <x:c r="I42" s="242"/>
      <x:c r="J42" s="242"/>
      <x:c r="K42" s="242"/>
      <x:c r="L42" s="242"/>
      <x:c r="M42" s="242"/>
    </x:row>
    <x:row r="43">
      <x:c r="A43" s="242"/>
      <x:c r="B43" s="243"/>
      <x:c r="C43" s="242"/>
      <x:c r="D43" s="242"/>
      <x:c r="E43" s="242"/>
      <x:c r="F43" s="244"/>
      <x:c r="G43" s="625"/>
      <x:c r="H43" s="242"/>
      <x:c r="I43" s="242"/>
      <x:c r="J43" s="242"/>
      <x:c r="K43" s="242"/>
      <x:c r="L43" s="242"/>
      <x:c r="M43" s="242"/>
    </x:row>
    <x:row r="44">
      <x:c r="A44" s="242"/>
      <x:c r="B44" s="243"/>
      <x:c r="C44" s="242"/>
      <x:c r="D44" s="242"/>
      <x:c r="E44" s="242"/>
      <x:c r="F44" s="244"/>
      <x:c r="G44" s="625"/>
      <x:c r="H44" s="242"/>
      <x:c r="I44" s="242"/>
      <x:c r="J44" s="242"/>
      <x:c r="K44" s="242"/>
      <x:c r="L44" s="242"/>
      <x:c r="M44" s="242"/>
    </x:row>
    <x:row r="45">
      <x:c r="A45" s="242"/>
      <x:c r="B45" s="243"/>
      <x:c r="C45" s="242"/>
      <x:c r="D45" s="242"/>
      <x:c r="E45" s="242"/>
      <x:c r="F45" s="244"/>
      <x:c r="G45" s="625"/>
      <x:c r="H45" s="242"/>
      <x:c r="I45" s="242"/>
      <x:c r="J45" s="242"/>
      <x:c r="K45" s="242"/>
      <x:c r="L45" s="242"/>
      <x:c r="M45" s="242"/>
    </x:row>
    <x:row r="46">
      <x:c r="A46" s="242"/>
      <x:c r="B46" s="243"/>
      <x:c r="C46" s="242"/>
      <x:c r="D46" s="242"/>
      <x:c r="E46" s="242"/>
      <x:c r="F46" s="244"/>
      <x:c r="G46" s="625"/>
      <x:c r="H46" s="242"/>
      <x:c r="I46" s="242"/>
      <x:c r="J46" s="242"/>
      <x:c r="K46" s="242"/>
      <x:c r="L46" s="242"/>
      <x:c r="M46" s="242"/>
    </x:row>
    <x:row r="47">
      <x:c r="A47" s="242"/>
      <x:c r="B47" s="243"/>
      <x:c r="C47" s="242"/>
      <x:c r="D47" s="242"/>
      <x:c r="E47" s="242"/>
      <x:c r="F47" s="244"/>
      <x:c r="G47" s="625"/>
      <x:c r="H47" s="242"/>
      <x:c r="I47" s="242"/>
      <x:c r="J47" s="242"/>
      <x:c r="K47" s="242"/>
      <x:c r="L47" s="242"/>
      <x:c r="M47" s="242"/>
    </x:row>
    <x:row r="48">
      <x:c r="A48" s="242"/>
      <x:c r="B48" s="243"/>
      <x:c r="C48" s="242"/>
      <x:c r="D48" s="242"/>
      <x:c r="E48" s="242"/>
      <x:c r="F48" s="244"/>
      <x:c r="G48" s="625"/>
      <x:c r="H48" s="242"/>
      <x:c r="I48" s="242"/>
      <x:c r="J48" s="242"/>
      <x:c r="K48" s="242"/>
      <x:c r="L48" s="242"/>
      <x:c r="M48" s="242"/>
    </x:row>
    <x:row r="49">
      <x:c r="A49" s="242"/>
      <x:c r="B49" s="243"/>
      <x:c r="C49" s="242"/>
      <x:c r="D49" s="242"/>
      <x:c r="E49" s="242"/>
      <x:c r="F49" s="244"/>
      <x:c r="G49" s="625"/>
      <x:c r="H49" s="242"/>
      <x:c r="I49" s="242"/>
      <x:c r="J49" s="242"/>
      <x:c r="K49" s="242"/>
      <x:c r="L49" s="242"/>
      <x:c r="M49" s="242"/>
    </x:row>
    <x:row r="50">
      <x:c r="A50" s="242"/>
      <x:c r="B50" s="243"/>
      <x:c r="C50" s="242"/>
      <x:c r="D50" s="242"/>
      <x:c r="E50" s="242"/>
      <x:c r="F50" s="244"/>
      <x:c r="G50" s="625"/>
      <x:c r="H50" s="242"/>
      <x:c r="I50" s="242"/>
      <x:c r="J50" s="242"/>
      <x:c r="K50" s="242"/>
      <x:c r="L50" s="242"/>
      <x:c r="M50" s="242"/>
    </x:row>
    <x:row r="51">
      <x:c r="A51" s="242"/>
      <x:c r="B51" s="243"/>
      <x:c r="C51" s="242"/>
      <x:c r="D51" s="242"/>
      <x:c r="E51" s="242"/>
      <x:c r="F51" s="244"/>
      <x:c r="G51" s="625"/>
      <x:c r="H51" s="242"/>
      <x:c r="I51" s="242"/>
      <x:c r="J51" s="242"/>
      <x:c r="K51" s="242"/>
      <x:c r="L51" s="242"/>
      <x:c r="M51" s="242"/>
    </x:row>
    <x:row r="52">
      <x:c r="A52" s="242"/>
      <x:c r="B52" s="243"/>
      <x:c r="C52" s="242"/>
      <x:c r="D52" s="242"/>
      <x:c r="E52" s="242"/>
      <x:c r="F52" s="244"/>
      <x:c r="G52" s="625"/>
      <x:c r="H52" s="242"/>
      <x:c r="I52" s="242"/>
      <x:c r="J52" s="242"/>
      <x:c r="K52" s="242"/>
      <x:c r="L52" s="242"/>
      <x:c r="M52" s="242"/>
    </x:row>
    <x:row r="53">
      <x:c r="A53" s="242"/>
      <x:c r="B53" s="243"/>
      <x:c r="C53" s="242"/>
      <x:c r="D53" s="242"/>
      <x:c r="E53" s="242"/>
      <x:c r="F53" s="244"/>
      <x:c r="G53" s="625"/>
      <x:c r="H53" s="242"/>
      <x:c r="I53" s="242"/>
      <x:c r="J53" s="242"/>
      <x:c r="K53" s="242"/>
      <x:c r="L53" s="242"/>
      <x:c r="M53" s="242"/>
    </x:row>
    <x:row r="54">
      <x:c r="A54" s="242"/>
      <x:c r="B54" s="243"/>
      <x:c r="C54" s="242"/>
      <x:c r="D54" s="242"/>
      <x:c r="E54" s="242"/>
      <x:c r="F54" s="244"/>
      <x:c r="G54" s="625"/>
      <x:c r="H54" s="242"/>
      <x:c r="I54" s="242"/>
      <x:c r="J54" s="242"/>
      <x:c r="K54" s="242"/>
      <x:c r="L54" s="242"/>
      <x:c r="M54" s="242"/>
    </x:row>
    <x:row r="55">
      <x:c r="A55" s="242"/>
      <x:c r="B55" s="243"/>
      <x:c r="C55" s="242"/>
      <x:c r="D55" s="242"/>
      <x:c r="E55" s="242"/>
      <x:c r="F55" s="244"/>
      <x:c r="G55" s="625"/>
      <x:c r="H55" s="242"/>
      <x:c r="I55" s="242"/>
      <x:c r="J55" s="242"/>
      <x:c r="K55" s="242"/>
      <x:c r="L55" s="242"/>
      <x:c r="M55" s="242"/>
    </x:row>
    <x:row r="56">
      <x:c r="A56" s="242"/>
      <x:c r="B56" s="243"/>
      <x:c r="C56" s="242"/>
      <x:c r="D56" s="242"/>
      <x:c r="E56" s="242"/>
      <x:c r="F56" s="244"/>
      <x:c r="G56" s="625"/>
      <x:c r="H56" s="242"/>
      <x:c r="I56" s="242"/>
      <x:c r="J56" s="242"/>
      <x:c r="K56" s="242"/>
      <x:c r="L56" s="242"/>
      <x:c r="M56" s="242"/>
    </x:row>
    <x:row r="57">
      <x:c r="A57" s="242"/>
      <x:c r="B57" s="243"/>
      <x:c r="C57" s="242"/>
      <x:c r="D57" s="242"/>
      <x:c r="E57" s="242"/>
      <x:c r="F57" s="244"/>
      <x:c r="G57" s="625"/>
      <x:c r="H57" s="242"/>
      <x:c r="I57" s="242"/>
      <x:c r="J57" s="242"/>
      <x:c r="K57" s="242"/>
      <x:c r="L57" s="242"/>
      <x:c r="M57" s="242"/>
    </x:row>
    <x:row r="58">
      <x:c r="A58" s="242"/>
      <x:c r="B58" s="243"/>
      <x:c r="C58" s="242"/>
      <x:c r="D58" s="242"/>
      <x:c r="E58" s="242"/>
      <x:c r="F58" s="244"/>
      <x:c r="G58" s="625"/>
      <x:c r="H58" s="242"/>
      <x:c r="I58" s="242"/>
      <x:c r="J58" s="242"/>
      <x:c r="K58" s="242"/>
      <x:c r="L58" s="242"/>
      <x:c r="M58" s="242"/>
    </x:row>
    <x:row r="59">
      <x:c r="A59" s="242"/>
      <x:c r="B59" s="243"/>
      <x:c r="C59" s="242"/>
      <x:c r="D59" s="242"/>
      <x:c r="E59" s="242"/>
      <x:c r="F59" s="244"/>
      <x:c r="G59" s="625"/>
      <x:c r="H59" s="242"/>
      <x:c r="I59" s="242"/>
      <x:c r="J59" s="242"/>
      <x:c r="K59" s="242"/>
      <x:c r="L59" s="242"/>
      <x:c r="M59" s="242"/>
    </x:row>
    <x:row r="60">
      <x:c r="A60" s="242"/>
      <x:c r="B60" s="243"/>
      <x:c r="C60" s="242"/>
      <x:c r="D60" s="242"/>
      <x:c r="E60" s="242"/>
      <x:c r="F60" s="244"/>
      <x:c r="G60" s="625"/>
      <x:c r="H60" s="242"/>
      <x:c r="I60" s="242"/>
      <x:c r="J60" s="242"/>
      <x:c r="K60" s="242"/>
      <x:c r="L60" s="242"/>
      <x:c r="M60" s="242"/>
    </x:row>
    <x:row r="61">
      <x:c r="A61" s="242"/>
      <x:c r="B61" s="243"/>
      <x:c r="C61" s="242"/>
      <x:c r="D61" s="242"/>
      <x:c r="E61" s="242"/>
      <x:c r="F61" s="244"/>
      <x:c r="G61" s="625"/>
      <x:c r="H61" s="242"/>
      <x:c r="I61" s="242"/>
      <x:c r="J61" s="242"/>
      <x:c r="K61" s="242"/>
      <x:c r="L61" s="242"/>
      <x:c r="M61" s="242"/>
    </x:row>
    <x:row r="62">
      <x:c r="A62" s="242"/>
      <x:c r="B62" s="243"/>
      <x:c r="C62" s="242"/>
      <x:c r="D62" s="242"/>
      <x:c r="E62" s="242"/>
      <x:c r="F62" s="244"/>
      <x:c r="G62" s="625"/>
      <x:c r="H62" s="242"/>
      <x:c r="I62" s="242"/>
      <x:c r="J62" s="242"/>
      <x:c r="K62" s="242"/>
      <x:c r="L62" s="242"/>
      <x:c r="M62" s="242"/>
    </x:row>
    <x:row r="63">
      <x:c r="A63" s="242"/>
      <x:c r="B63" s="243"/>
      <x:c r="C63" s="242"/>
      <x:c r="D63" s="242"/>
      <x:c r="E63" s="242"/>
      <x:c r="F63" s="244"/>
      <x:c r="G63" s="625"/>
      <x:c r="H63" s="242"/>
      <x:c r="I63" s="242"/>
      <x:c r="J63" s="242"/>
      <x:c r="K63" s="242"/>
      <x:c r="L63" s="242"/>
      <x:c r="M63" s="242"/>
    </x:row>
    <x:row r="64">
      <x:c r="A64" s="242"/>
      <x:c r="B64" s="243"/>
      <x:c r="C64" s="242"/>
      <x:c r="D64" s="242"/>
      <x:c r="E64" s="242"/>
      <x:c r="F64" s="244"/>
      <x:c r="G64" s="625"/>
      <x:c r="H64" s="242"/>
      <x:c r="I64" s="242"/>
      <x:c r="J64" s="242"/>
      <x:c r="K64" s="242"/>
      <x:c r="L64" s="242"/>
      <x:c r="M64" s="242"/>
    </x:row>
    <x:row r="65">
      <x:c r="A65" s="242"/>
      <x:c r="B65" s="243"/>
      <x:c r="C65" s="242"/>
      <x:c r="D65" s="242"/>
      <x:c r="E65" s="242"/>
      <x:c r="F65" s="244"/>
      <x:c r="G65" s="625"/>
      <x:c r="H65" s="242"/>
      <x:c r="I65" s="242"/>
      <x:c r="J65" s="242"/>
      <x:c r="K65" s="242"/>
      <x:c r="L65" s="242"/>
      <x:c r="M65" s="242"/>
    </x:row>
    <x:row r="66">
      <x:c r="A66" s="242"/>
      <x:c r="B66" s="243"/>
      <x:c r="C66" s="242"/>
      <x:c r="D66" s="242"/>
      <x:c r="E66" s="242"/>
      <x:c r="F66" s="244"/>
      <x:c r="G66" s="625"/>
      <x:c r="H66" s="242"/>
      <x:c r="I66" s="242"/>
      <x:c r="J66" s="242"/>
      <x:c r="K66" s="242"/>
      <x:c r="L66" s="242"/>
      <x:c r="M66" s="242"/>
    </x:row>
    <x:row r="67">
      <x:c r="A67" s="242"/>
      <x:c r="B67" s="243"/>
      <x:c r="C67" s="242"/>
      <x:c r="D67" s="242"/>
      <x:c r="E67" s="242"/>
      <x:c r="F67" s="244"/>
      <x:c r="G67" s="625"/>
      <x:c r="H67" s="242"/>
      <x:c r="I67" s="242"/>
      <x:c r="J67" s="242"/>
      <x:c r="K67" s="242"/>
      <x:c r="L67" s="242"/>
      <x:c r="M67" s="242"/>
    </x:row>
    <x:row r="68">
      <x:c r="A68" s="242"/>
      <x:c r="B68" s="243"/>
      <x:c r="C68" s="242"/>
      <x:c r="D68" s="242"/>
      <x:c r="E68" s="242"/>
      <x:c r="F68" s="244"/>
      <x:c r="G68" s="625"/>
      <x:c r="H68" s="242"/>
      <x:c r="I68" s="242"/>
      <x:c r="J68" s="242"/>
      <x:c r="K68" s="242"/>
      <x:c r="L68" s="242"/>
      <x:c r="M68" s="242"/>
    </x:row>
    <x:row r="69">
      <x:c r="A69" s="242"/>
      <x:c r="B69" s="243"/>
      <x:c r="C69" s="242"/>
      <x:c r="D69" s="242"/>
      <x:c r="E69" s="242"/>
      <x:c r="F69" s="244"/>
      <x:c r="G69" s="625"/>
      <x:c r="H69" s="242"/>
      <x:c r="I69" s="242"/>
      <x:c r="J69" s="242"/>
      <x:c r="K69" s="242"/>
      <x:c r="L69" s="242"/>
      <x:c r="M69" s="242"/>
    </x:row>
    <x:row r="70">
      <x:c r="A70" s="242"/>
      <x:c r="B70" s="243"/>
      <x:c r="C70" s="242"/>
      <x:c r="D70" s="242"/>
      <x:c r="E70" s="242"/>
      <x:c r="F70" s="244"/>
      <x:c r="G70" s="625"/>
      <x:c r="H70" s="242"/>
      <x:c r="I70" s="242"/>
      <x:c r="J70" s="242"/>
      <x:c r="K70" s="242"/>
      <x:c r="L70" s="242"/>
      <x:c r="M70" s="242"/>
    </x:row>
    <x:row r="71">
      <x:c r="A71" s="242"/>
      <x:c r="B71" s="243"/>
      <x:c r="C71" s="242"/>
      <x:c r="D71" s="242"/>
      <x:c r="E71" s="242"/>
      <x:c r="F71" s="244"/>
      <x:c r="G71" s="625"/>
      <x:c r="H71" s="242"/>
      <x:c r="I71" s="242"/>
      <x:c r="J71" s="242"/>
      <x:c r="K71" s="242"/>
      <x:c r="L71" s="242"/>
      <x:c r="M71" s="242"/>
    </x:row>
    <x:row r="72">
      <x:c r="A72" s="242"/>
      <x:c r="B72" s="243"/>
      <x:c r="C72" s="242"/>
      <x:c r="D72" s="242"/>
      <x:c r="E72" s="242"/>
      <x:c r="F72" s="244"/>
      <x:c r="G72" s="625"/>
      <x:c r="H72" s="242"/>
      <x:c r="I72" s="242"/>
      <x:c r="J72" s="242"/>
      <x:c r="K72" s="242"/>
      <x:c r="L72" s="242"/>
      <x:c r="M72" s="242"/>
    </x:row>
    <x:row r="73">
      <x:c r="A73" s="242"/>
      <x:c r="B73" s="243"/>
      <x:c r="C73" s="242"/>
      <x:c r="D73" s="242"/>
      <x:c r="E73" s="242"/>
      <x:c r="F73" s="244"/>
      <x:c r="G73" s="625"/>
      <x:c r="H73" s="242"/>
      <x:c r="I73" s="242"/>
      <x:c r="J73" s="242"/>
      <x:c r="K73" s="242"/>
      <x:c r="L73" s="242"/>
      <x:c r="M73" s="242"/>
    </x:row>
    <x:row r="74">
      <x:c r="A74" s="242"/>
      <x:c r="B74" s="243"/>
      <x:c r="C74" s="242"/>
      <x:c r="D74" s="242"/>
      <x:c r="E74" s="242"/>
      <x:c r="F74" s="244"/>
      <x:c r="G74" s="625"/>
      <x:c r="H74" s="242"/>
      <x:c r="I74" s="242"/>
      <x:c r="J74" s="242"/>
      <x:c r="K74" s="242"/>
      <x:c r="L74" s="242"/>
      <x:c r="M74" s="242"/>
    </x:row>
    <x:row r="75">
      <x:c r="A75" s="242"/>
      <x:c r="B75" s="243"/>
      <x:c r="C75" s="242"/>
      <x:c r="D75" s="242"/>
      <x:c r="E75" s="242"/>
      <x:c r="F75" s="244"/>
      <x:c r="G75" s="625"/>
      <x:c r="H75" s="242"/>
      <x:c r="I75" s="242"/>
      <x:c r="J75" s="242"/>
      <x:c r="K75" s="242"/>
      <x:c r="L75" s="242"/>
      <x:c r="M75" s="242"/>
    </x:row>
    <x:row r="76">
      <x:c r="A76" s="242"/>
      <x:c r="B76" s="243"/>
      <x:c r="C76" s="242"/>
      <x:c r="D76" s="242"/>
      <x:c r="E76" s="242"/>
      <x:c r="F76" s="244"/>
      <x:c r="G76" s="625"/>
      <x:c r="H76" s="242"/>
      <x:c r="I76" s="242"/>
      <x:c r="J76" s="242"/>
      <x:c r="K76" s="242"/>
      <x:c r="L76" s="242"/>
      <x:c r="M76" s="242"/>
    </x:row>
    <x:row r="77">
      <x:c r="A77" s="242"/>
      <x:c r="B77" s="243"/>
      <x:c r="C77" s="242"/>
      <x:c r="D77" s="242"/>
      <x:c r="E77" s="242"/>
      <x:c r="F77" s="244"/>
      <x:c r="G77" s="625"/>
      <x:c r="H77" s="242"/>
      <x:c r="I77" s="242"/>
      <x:c r="J77" s="242"/>
      <x:c r="K77" s="242"/>
      <x:c r="L77" s="242"/>
      <x:c r="M77" s="242"/>
    </x:row>
    <x:row r="78">
      <x:c r="A78" s="242"/>
      <x:c r="B78" s="243"/>
      <x:c r="C78" s="242"/>
      <x:c r="D78" s="242"/>
      <x:c r="E78" s="242"/>
      <x:c r="F78" s="244"/>
      <x:c r="G78" s="625"/>
      <x:c r="H78" s="242"/>
      <x:c r="I78" s="242"/>
      <x:c r="J78" s="242"/>
      <x:c r="K78" s="242"/>
      <x:c r="L78" s="242"/>
      <x:c r="M78" s="242"/>
    </x:row>
    <x:row r="79">
      <x:c r="A79" s="242"/>
      <x:c r="B79" s="243"/>
      <x:c r="C79" s="242"/>
      <x:c r="D79" s="242"/>
      <x:c r="E79" s="242"/>
      <x:c r="F79" s="244"/>
      <x:c r="G79" s="625"/>
      <x:c r="H79" s="242"/>
      <x:c r="I79" s="242"/>
      <x:c r="J79" s="242"/>
      <x:c r="K79" s="242"/>
      <x:c r="L79" s="242"/>
      <x:c r="M79" s="242"/>
    </x:row>
    <x:row r="80">
      <x:c r="A80" s="242"/>
      <x:c r="B80" s="243"/>
      <x:c r="C80" s="242"/>
      <x:c r="D80" s="242"/>
      <x:c r="E80" s="242"/>
      <x:c r="F80" s="244"/>
      <x:c r="G80" s="625"/>
      <x:c r="H80" s="242"/>
      <x:c r="I80" s="242"/>
      <x:c r="J80" s="242"/>
      <x:c r="K80" s="242"/>
      <x:c r="L80" s="242"/>
      <x:c r="M80" s="242"/>
    </x:row>
    <x:row r="81">
      <x:c r="A81" s="242"/>
      <x:c r="B81" s="243"/>
      <x:c r="C81" s="242"/>
      <x:c r="D81" s="242"/>
      <x:c r="E81" s="242"/>
      <x:c r="F81" s="244"/>
      <x:c r="G81" s="625"/>
      <x:c r="H81" s="242"/>
      <x:c r="I81" s="242"/>
      <x:c r="J81" s="242"/>
      <x:c r="K81" s="242"/>
      <x:c r="L81" s="242"/>
      <x:c r="M81" s="242"/>
    </x:row>
    <x:row r="82">
      <x:c r="A82" s="242"/>
      <x:c r="B82" s="243"/>
      <x:c r="C82" s="242"/>
      <x:c r="D82" s="242"/>
      <x:c r="E82" s="242"/>
      <x:c r="F82" s="244"/>
      <x:c r="G82" s="625"/>
      <x:c r="H82" s="242"/>
      <x:c r="I82" s="242"/>
      <x:c r="J82" s="242"/>
      <x:c r="K82" s="242"/>
      <x:c r="L82" s="242"/>
      <x:c r="M82" s="242"/>
    </x:row>
    <x:row r="83">
      <x:c r="A83" s="242"/>
      <x:c r="B83" s="243"/>
      <x:c r="C83" s="242"/>
      <x:c r="D83" s="242"/>
      <x:c r="E83" s="242"/>
      <x:c r="F83" s="244"/>
      <x:c r="G83" s="625"/>
      <x:c r="H83" s="242"/>
      <x:c r="I83" s="242"/>
      <x:c r="J83" s="242"/>
      <x:c r="K83" s="242"/>
      <x:c r="L83" s="242"/>
      <x:c r="M83" s="242"/>
    </x:row>
    <x:row r="84">
      <x:c r="A84" s="242"/>
      <x:c r="B84" s="243"/>
      <x:c r="C84" s="242"/>
      <x:c r="D84" s="242"/>
      <x:c r="E84" s="242"/>
      <x:c r="F84" s="244"/>
      <x:c r="G84" s="625"/>
      <x:c r="H84" s="242"/>
      <x:c r="I84" s="242"/>
      <x:c r="J84" s="242"/>
      <x:c r="K84" s="242"/>
      <x:c r="L84" s="242"/>
      <x:c r="M84" s="242"/>
    </x:row>
    <x:row r="85">
      <x:c r="A85" s="242"/>
      <x:c r="B85" s="243"/>
      <x:c r="C85" s="242"/>
      <x:c r="D85" s="242"/>
      <x:c r="E85" s="242"/>
      <x:c r="F85" s="244"/>
      <x:c r="G85" s="625"/>
      <x:c r="H85" s="242"/>
      <x:c r="I85" s="242"/>
      <x:c r="J85" s="242"/>
      <x:c r="K85" s="242"/>
      <x:c r="L85" s="242"/>
      <x:c r="M85" s="242"/>
    </x:row>
    <x:row r="86">
      <x:c r="A86" s="242"/>
      <x:c r="B86" s="243"/>
      <x:c r="C86" s="242"/>
      <x:c r="D86" s="242"/>
      <x:c r="E86" s="242"/>
      <x:c r="F86" s="244"/>
      <x:c r="G86" s="625"/>
      <x:c r="H86" s="242"/>
      <x:c r="I86" s="242"/>
      <x:c r="J86" s="242"/>
      <x:c r="K86" s="242"/>
      <x:c r="L86" s="242"/>
      <x:c r="M86" s="242"/>
    </x:row>
    <x:row r="87">
      <x:c r="A87" s="242"/>
      <x:c r="B87" s="243"/>
      <x:c r="C87" s="242"/>
      <x:c r="D87" s="242"/>
      <x:c r="E87" s="242"/>
      <x:c r="F87" s="244"/>
      <x:c r="G87" s="625"/>
      <x:c r="H87" s="242"/>
      <x:c r="I87" s="242"/>
      <x:c r="J87" s="242"/>
      <x:c r="K87" s="242"/>
      <x:c r="L87" s="242"/>
      <x:c r="M87" s="242"/>
    </x:row>
    <x:row r="88">
      <x:c r="A88" s="242"/>
      <x:c r="B88" s="243"/>
      <x:c r="C88" s="242"/>
      <x:c r="D88" s="242"/>
      <x:c r="E88" s="242"/>
      <x:c r="F88" s="244"/>
      <x:c r="G88" s="625"/>
      <x:c r="H88" s="242"/>
      <x:c r="I88" s="242"/>
      <x:c r="J88" s="242"/>
      <x:c r="K88" s="242"/>
      <x:c r="L88" s="242"/>
      <x:c r="M88" s="242"/>
    </x:row>
    <x:row r="89">
      <x:c r="A89" s="242"/>
      <x:c r="B89" s="243"/>
      <x:c r="C89" s="242"/>
      <x:c r="D89" s="242"/>
      <x:c r="E89" s="242"/>
      <x:c r="F89" s="244"/>
      <x:c r="G89" s="625"/>
      <x:c r="H89" s="242"/>
      <x:c r="I89" s="242"/>
      <x:c r="J89" s="242"/>
      <x:c r="K89" s="242"/>
      <x:c r="L89" s="242"/>
      <x:c r="M89" s="242"/>
    </x:row>
    <x:row r="90">
      <x:c r="A90" s="242"/>
      <x:c r="B90" s="243"/>
      <x:c r="C90" s="242"/>
      <x:c r="D90" s="242"/>
      <x:c r="E90" s="242"/>
      <x:c r="F90" s="244"/>
      <x:c r="G90" s="625"/>
      <x:c r="H90" s="242"/>
      <x:c r="I90" s="242"/>
      <x:c r="J90" s="242"/>
      <x:c r="K90" s="242"/>
      <x:c r="L90" s="242"/>
      <x:c r="M90" s="242"/>
    </x:row>
    <x:row r="91">
      <x:c r="A91" s="242"/>
      <x:c r="B91" s="243"/>
      <x:c r="C91" s="242"/>
      <x:c r="D91" s="242"/>
      <x:c r="E91" s="242"/>
      <x:c r="F91" s="244"/>
      <x:c r="G91" s="625"/>
      <x:c r="H91" s="242"/>
      <x:c r="I91" s="242"/>
      <x:c r="J91" s="242"/>
      <x:c r="K91" s="242"/>
      <x:c r="L91" s="242"/>
      <x:c r="M91" s="242"/>
    </x:row>
    <x:row r="92">
      <x:c r="A92" s="242"/>
      <x:c r="B92" s="243"/>
      <x:c r="C92" s="242"/>
      <x:c r="D92" s="242"/>
      <x:c r="E92" s="242"/>
      <x:c r="F92" s="244"/>
      <x:c r="G92" s="625"/>
      <x:c r="H92" s="242"/>
      <x:c r="I92" s="242"/>
      <x:c r="J92" s="242"/>
      <x:c r="K92" s="242"/>
      <x:c r="L92" s="242"/>
      <x:c r="M92" s="242"/>
    </x:row>
    <x:row r="93">
      <x:c r="A93" s="242"/>
      <x:c r="B93" s="243"/>
      <x:c r="C93" s="242"/>
      <x:c r="D93" s="242"/>
      <x:c r="E93" s="242"/>
      <x:c r="F93" s="244"/>
      <x:c r="G93" s="625"/>
      <x:c r="H93" s="242"/>
      <x:c r="I93" s="242"/>
      <x:c r="J93" s="242"/>
      <x:c r="K93" s="242"/>
      <x:c r="L93" s="242"/>
      <x:c r="M93" s="242"/>
    </x:row>
    <x:row r="94">
      <x:c r="A94" s="242"/>
      <x:c r="B94" s="243"/>
      <x:c r="C94" s="242"/>
      <x:c r="D94" s="242"/>
      <x:c r="E94" s="242"/>
      <x:c r="F94" s="244"/>
      <x:c r="G94" s="625"/>
      <x:c r="H94" s="242"/>
      <x:c r="I94" s="242"/>
      <x:c r="J94" s="242"/>
      <x:c r="K94" s="242"/>
      <x:c r="L94" s="242"/>
      <x:c r="M94" s="242"/>
    </x:row>
    <x:row r="95">
      <x:c r="A95" s="242"/>
      <x:c r="B95" s="243"/>
      <x:c r="C95" s="242"/>
      <x:c r="D95" s="242"/>
      <x:c r="E95" s="242"/>
      <x:c r="F95" s="244"/>
      <x:c r="G95" s="625"/>
      <x:c r="H95" s="242"/>
      <x:c r="I95" s="242"/>
      <x:c r="J95" s="242"/>
      <x:c r="K95" s="242"/>
      <x:c r="L95" s="242"/>
      <x:c r="M95" s="242"/>
    </x:row>
    <x:row r="96">
      <x:c r="A96" s="242"/>
      <x:c r="B96" s="243"/>
      <x:c r="C96" s="242"/>
      <x:c r="D96" s="242"/>
      <x:c r="E96" s="242"/>
      <x:c r="F96" s="244"/>
      <x:c r="G96" s="625"/>
      <x:c r="H96" s="242"/>
      <x:c r="I96" s="242"/>
      <x:c r="J96" s="242"/>
      <x:c r="K96" s="242"/>
      <x:c r="L96" s="242"/>
      <x:c r="M96" s="242"/>
    </x:row>
    <x:row r="97">
      <x:c r="A97" s="242"/>
      <x:c r="B97" s="243"/>
      <x:c r="C97" s="242"/>
      <x:c r="D97" s="242"/>
      <x:c r="E97" s="242"/>
      <x:c r="F97" s="244"/>
      <x:c r="G97" s="625"/>
      <x:c r="H97" s="242"/>
      <x:c r="I97" s="242"/>
      <x:c r="J97" s="242"/>
      <x:c r="K97" s="242"/>
      <x:c r="L97" s="242"/>
      <x:c r="M97" s="242"/>
    </x:row>
    <x:row r="98">
      <x:c r="A98" s="242"/>
      <x:c r="B98" s="243"/>
      <x:c r="C98" s="242"/>
      <x:c r="D98" s="242"/>
      <x:c r="E98" s="242"/>
      <x:c r="F98" s="244"/>
      <x:c r="G98" s="625"/>
      <x:c r="H98" s="242"/>
      <x:c r="I98" s="242"/>
      <x:c r="J98" s="242"/>
      <x:c r="K98" s="242"/>
      <x:c r="L98" s="242"/>
      <x:c r="M98" s="242"/>
    </x:row>
    <x:row r="99">
      <x:c r="A99" s="242"/>
      <x:c r="B99" s="243"/>
      <x:c r="C99" s="242"/>
      <x:c r="D99" s="242"/>
      <x:c r="E99" s="242"/>
      <x:c r="F99" s="244"/>
      <x:c r="G99" s="625"/>
      <x:c r="H99" s="242"/>
      <x:c r="I99" s="242"/>
      <x:c r="J99" s="242"/>
      <x:c r="K99" s="242"/>
      <x:c r="L99" s="242"/>
      <x:c r="M99" s="242"/>
    </x:row>
    <x:row r="100">
      <x:c r="A100" s="242"/>
      <x:c r="B100" s="243"/>
      <x:c r="C100" s="242"/>
      <x:c r="D100" s="242"/>
      <x:c r="E100" s="242"/>
      <x:c r="F100" s="244"/>
      <x:c r="G100" s="625"/>
      <x:c r="H100" s="242"/>
      <x:c r="I100" s="242"/>
      <x:c r="J100" s="242"/>
      <x:c r="K100" s="242"/>
      <x:c r="L100" s="242"/>
      <x:c r="M100" s="242"/>
    </x:row>
    <x:row r="101">
      <x:c r="A101" s="242"/>
      <x:c r="B101" s="243"/>
      <x:c r="C101" s="242"/>
      <x:c r="D101" s="242"/>
      <x:c r="E101" s="242"/>
      <x:c r="F101" s="244"/>
      <x:c r="G101" s="625"/>
      <x:c r="H101" s="242"/>
      <x:c r="I101" s="242"/>
      <x:c r="J101" s="242"/>
      <x:c r="K101" s="242"/>
      <x:c r="L101" s="242"/>
      <x:c r="M101" s="242"/>
    </x:row>
    <x:row r="102">
      <x:c r="A102" s="242"/>
      <x:c r="B102" s="243"/>
      <x:c r="C102" s="242"/>
      <x:c r="D102" s="242"/>
      <x:c r="E102" s="242"/>
      <x:c r="F102" s="244"/>
      <x:c r="G102" s="625"/>
      <x:c r="H102" s="242"/>
      <x:c r="I102" s="242"/>
      <x:c r="J102" s="242"/>
      <x:c r="K102" s="242"/>
      <x:c r="L102" s="242"/>
      <x:c r="M102" s="242"/>
    </x:row>
    <x:row r="103">
      <x:c r="A103" s="242"/>
      <x:c r="B103" s="243"/>
      <x:c r="C103" s="242"/>
      <x:c r="D103" s="242"/>
      <x:c r="E103" s="242"/>
      <x:c r="F103" s="244"/>
      <x:c r="G103" s="625"/>
      <x:c r="H103" s="242"/>
      <x:c r="I103" s="242"/>
      <x:c r="J103" s="242"/>
      <x:c r="K103" s="242"/>
      <x:c r="L103" s="242"/>
      <x:c r="M103" s="242"/>
    </x:row>
    <x:row r="104">
      <x:c r="A104" s="242"/>
      <x:c r="B104" s="243"/>
      <x:c r="C104" s="242"/>
      <x:c r="D104" s="242"/>
      <x:c r="E104" s="242"/>
      <x:c r="F104" s="244"/>
      <x:c r="G104" s="625"/>
      <x:c r="H104" s="242"/>
      <x:c r="I104" s="242"/>
      <x:c r="J104" s="242"/>
      <x:c r="K104" s="242"/>
      <x:c r="L104" s="242"/>
      <x:c r="M104" s="242"/>
    </x:row>
    <x:row r="105">
      <x:c r="A105" s="242"/>
      <x:c r="B105" s="243"/>
      <x:c r="C105" s="242"/>
      <x:c r="D105" s="242"/>
      <x:c r="E105" s="242"/>
      <x:c r="F105" s="244"/>
      <x:c r="G105" s="625"/>
      <x:c r="H105" s="242"/>
      <x:c r="I105" s="242"/>
      <x:c r="J105" s="242"/>
      <x:c r="K105" s="242"/>
      <x:c r="L105" s="242"/>
      <x:c r="M105" s="242"/>
    </x:row>
    <x:row r="106">
      <x:c r="A106" s="242"/>
      <x:c r="B106" s="243"/>
      <x:c r="C106" s="242"/>
      <x:c r="D106" s="242"/>
      <x:c r="E106" s="242"/>
      <x:c r="F106" s="244"/>
      <x:c r="G106" s="625"/>
      <x:c r="H106" s="242"/>
      <x:c r="I106" s="242"/>
      <x:c r="J106" s="242"/>
      <x:c r="K106" s="242"/>
      <x:c r="L106" s="242"/>
      <x:c r="M106" s="242"/>
    </x:row>
    <x:row r="107">
      <x:c r="A107" s="242"/>
      <x:c r="B107" s="243"/>
      <x:c r="C107" s="242"/>
      <x:c r="D107" s="242"/>
      <x:c r="E107" s="242"/>
      <x:c r="F107" s="244"/>
      <x:c r="G107" s="625"/>
      <x:c r="H107" s="242"/>
      <x:c r="I107" s="242"/>
      <x:c r="J107" s="242"/>
      <x:c r="K107" s="242"/>
      <x:c r="L107" s="242"/>
      <x:c r="M107" s="242"/>
    </x:row>
    <x:row r="108">
      <x:c r="A108" s="242"/>
      <x:c r="B108" s="243"/>
      <x:c r="C108" s="242"/>
      <x:c r="D108" s="242"/>
      <x:c r="E108" s="242"/>
      <x:c r="F108" s="244"/>
      <x:c r="G108" s="625"/>
      <x:c r="H108" s="242"/>
      <x:c r="I108" s="242"/>
      <x:c r="J108" s="242"/>
      <x:c r="K108" s="242"/>
      <x:c r="L108" s="242"/>
      <x:c r="M108" s="242"/>
    </x:row>
    <x:row r="109">
      <x:c r="A109" s="242"/>
      <x:c r="B109" s="243"/>
      <x:c r="C109" s="242"/>
      <x:c r="D109" s="242"/>
      <x:c r="E109" s="242"/>
      <x:c r="F109" s="244"/>
      <x:c r="G109" s="625"/>
      <x:c r="H109" s="242"/>
      <x:c r="I109" s="242"/>
      <x:c r="J109" s="242"/>
      <x:c r="K109" s="242"/>
      <x:c r="L109" s="242"/>
      <x:c r="M109" s="242"/>
    </x:row>
    <x:row r="110">
      <x:c r="A110" s="242"/>
      <x:c r="B110" s="243"/>
      <x:c r="C110" s="242"/>
      <x:c r="D110" s="242"/>
      <x:c r="E110" s="242"/>
      <x:c r="F110" s="244"/>
      <x:c r="G110" s="625"/>
      <x:c r="H110" s="242"/>
      <x:c r="I110" s="242"/>
      <x:c r="J110" s="242"/>
      <x:c r="K110" s="242"/>
      <x:c r="L110" s="242"/>
      <x:c r="M110" s="242"/>
    </x:row>
    <x:row r="111">
      <x:c r="A111" s="242"/>
      <x:c r="B111" s="243"/>
      <x:c r="C111" s="242"/>
      <x:c r="D111" s="242"/>
      <x:c r="E111" s="242"/>
      <x:c r="F111" s="244"/>
      <x:c r="G111" s="625"/>
      <x:c r="H111" s="242"/>
      <x:c r="I111" s="242"/>
      <x:c r="J111" s="242"/>
      <x:c r="K111" s="242"/>
      <x:c r="L111" s="242"/>
      <x:c r="M111" s="242"/>
    </x:row>
    <x:row r="112">
      <x:c r="A112" s="242"/>
      <x:c r="B112" s="243"/>
      <x:c r="C112" s="242"/>
      <x:c r="D112" s="242"/>
      <x:c r="E112" s="242"/>
      <x:c r="F112" s="244"/>
      <x:c r="G112" s="625"/>
      <x:c r="H112" s="242"/>
      <x:c r="I112" s="242"/>
      <x:c r="J112" s="242"/>
      <x:c r="K112" s="242"/>
      <x:c r="L112" s="242"/>
      <x:c r="M112" s="242"/>
    </x:row>
    <x:row r="113">
      <x:c r="A113" s="242"/>
      <x:c r="B113" s="243"/>
      <x:c r="C113" s="242"/>
      <x:c r="D113" s="242"/>
      <x:c r="E113" s="242"/>
      <x:c r="F113" s="244"/>
      <x:c r="G113" s="625"/>
      <x:c r="H113" s="242"/>
      <x:c r="I113" s="242"/>
      <x:c r="J113" s="242"/>
      <x:c r="K113" s="242"/>
      <x:c r="L113" s="242"/>
      <x:c r="M113" s="242"/>
    </x:row>
    <x:row r="114">
      <x:c r="A114" s="242"/>
      <x:c r="B114" s="243"/>
      <x:c r="C114" s="242"/>
      <x:c r="D114" s="242"/>
      <x:c r="E114" s="242"/>
      <x:c r="F114" s="244"/>
      <x:c r="G114" s="625"/>
      <x:c r="H114" s="242"/>
      <x:c r="I114" s="242"/>
      <x:c r="J114" s="242"/>
      <x:c r="K114" s="242"/>
      <x:c r="L114" s="242"/>
      <x:c r="M114" s="242"/>
    </x:row>
    <x:row r="115">
      <x:c r="A115" s="242"/>
      <x:c r="B115" s="243"/>
      <x:c r="C115" s="242"/>
      <x:c r="D115" s="242"/>
      <x:c r="E115" s="242"/>
      <x:c r="F115" s="244"/>
      <x:c r="G115" s="625"/>
      <x:c r="H115" s="242"/>
      <x:c r="I115" s="242"/>
      <x:c r="J115" s="242"/>
      <x:c r="K115" s="242"/>
      <x:c r="L115" s="242"/>
      <x:c r="M115" s="242"/>
    </x:row>
    <x:row r="116">
      <x:c r="A116" s="242"/>
      <x:c r="B116" s="243"/>
      <x:c r="C116" s="242"/>
      <x:c r="D116" s="242"/>
      <x:c r="E116" s="242"/>
      <x:c r="F116" s="244"/>
      <x:c r="G116" s="625"/>
      <x:c r="H116" s="242"/>
      <x:c r="I116" s="242"/>
      <x:c r="J116" s="242"/>
      <x:c r="K116" s="242"/>
      <x:c r="L116" s="242"/>
      <x:c r="M116" s="242"/>
    </x:row>
    <x:row r="117">
      <x:c r="A117" s="242"/>
      <x:c r="B117" s="243"/>
      <x:c r="C117" s="242"/>
      <x:c r="D117" s="242"/>
      <x:c r="E117" s="242"/>
      <x:c r="F117" s="244"/>
      <x:c r="G117" s="625"/>
      <x:c r="H117" s="242"/>
      <x:c r="I117" s="242"/>
      <x:c r="J117" s="242"/>
      <x:c r="K117" s="242"/>
      <x:c r="L117" s="242"/>
      <x:c r="M117" s="242"/>
    </x:row>
    <x:row r="118">
      <x:c r="A118" s="242"/>
      <x:c r="B118" s="243"/>
      <x:c r="C118" s="242"/>
      <x:c r="D118" s="242"/>
      <x:c r="E118" s="242"/>
      <x:c r="F118" s="244"/>
      <x:c r="G118" s="625"/>
      <x:c r="H118" s="242"/>
      <x:c r="I118" s="242"/>
      <x:c r="J118" s="242"/>
      <x:c r="K118" s="242"/>
      <x:c r="L118" s="242"/>
      <x:c r="M118" s="242"/>
    </x:row>
    <x:row r="119">
      <x:c r="A119" s="242"/>
      <x:c r="B119" s="243"/>
      <x:c r="C119" s="242"/>
      <x:c r="D119" s="242"/>
      <x:c r="E119" s="242"/>
      <x:c r="F119" s="244"/>
      <x:c r="G119" s="625"/>
      <x:c r="H119" s="242"/>
      <x:c r="I119" s="242"/>
      <x:c r="J119" s="242"/>
      <x:c r="K119" s="242"/>
      <x:c r="L119" s="242"/>
      <x:c r="M119" s="242"/>
    </x:row>
    <x:row r="120">
      <x:c r="A120" s="242"/>
      <x:c r="B120" s="243"/>
      <x:c r="C120" s="242"/>
      <x:c r="D120" s="242"/>
      <x:c r="E120" s="242"/>
      <x:c r="F120" s="244"/>
      <x:c r="G120" s="625"/>
      <x:c r="H120" s="242"/>
      <x:c r="I120" s="242"/>
      <x:c r="J120" s="242"/>
      <x:c r="K120" s="242"/>
      <x:c r="L120" s="242"/>
      <x:c r="M120" s="242"/>
    </x:row>
    <x:row r="121">
      <x:c r="A121" s="242"/>
      <x:c r="B121" s="243"/>
      <x:c r="C121" s="242"/>
      <x:c r="D121" s="242"/>
      <x:c r="E121" s="242"/>
      <x:c r="F121" s="244"/>
      <x:c r="G121" s="625"/>
      <x:c r="H121" s="242"/>
      <x:c r="I121" s="242"/>
      <x:c r="J121" s="242"/>
      <x:c r="K121" s="242"/>
      <x:c r="L121" s="242"/>
      <x:c r="M121" s="242"/>
    </x:row>
    <x:row r="122">
      <x:c r="A122" s="242"/>
      <x:c r="B122" s="243"/>
      <x:c r="C122" s="242"/>
      <x:c r="D122" s="242"/>
      <x:c r="E122" s="242"/>
      <x:c r="F122" s="244"/>
      <x:c r="G122" s="625"/>
      <x:c r="H122" s="242"/>
      <x:c r="I122" s="242"/>
      <x:c r="J122" s="242"/>
      <x:c r="K122" s="242"/>
      <x:c r="L122" s="242"/>
      <x:c r="M122" s="242"/>
    </x:row>
    <x:row r="123">
      <x:c r="A123" s="242"/>
      <x:c r="B123" s="243"/>
      <x:c r="C123" s="242"/>
      <x:c r="D123" s="242"/>
      <x:c r="E123" s="242"/>
      <x:c r="F123" s="244"/>
      <x:c r="G123" s="625"/>
      <x:c r="H123" s="242"/>
      <x:c r="I123" s="242"/>
      <x:c r="J123" s="242"/>
      <x:c r="K123" s="242"/>
      <x:c r="L123" s="242"/>
      <x:c r="M123" s="242"/>
    </x:row>
    <x:row r="124">
      <x:c r="A124" s="242"/>
      <x:c r="B124" s="243"/>
      <x:c r="C124" s="242"/>
      <x:c r="D124" s="242"/>
      <x:c r="E124" s="242"/>
      <x:c r="F124" s="244"/>
      <x:c r="G124" s="625"/>
      <x:c r="H124" s="242"/>
      <x:c r="I124" s="242"/>
      <x:c r="J124" s="242"/>
      <x:c r="K124" s="242"/>
      <x:c r="L124" s="242"/>
      <x:c r="M124" s="242"/>
    </x:row>
    <x:row r="125">
      <x:c r="A125" s="242"/>
      <x:c r="B125" s="243"/>
      <x:c r="C125" s="242"/>
      <x:c r="D125" s="242"/>
      <x:c r="E125" s="242"/>
      <x:c r="F125" s="244"/>
      <x:c r="G125" s="625"/>
      <x:c r="H125" s="242"/>
      <x:c r="I125" s="242"/>
      <x:c r="J125" s="242"/>
      <x:c r="K125" s="242"/>
      <x:c r="L125" s="242"/>
      <x:c r="M125" s="242"/>
    </x:row>
    <x:row r="126">
      <x:c r="A126" s="242"/>
      <x:c r="B126" s="243"/>
      <x:c r="C126" s="242"/>
      <x:c r="D126" s="242"/>
      <x:c r="E126" s="242"/>
      <x:c r="F126" s="244"/>
      <x:c r="G126" s="625"/>
      <x:c r="H126" s="242"/>
      <x:c r="I126" s="242"/>
      <x:c r="J126" s="242"/>
      <x:c r="K126" s="242"/>
      <x:c r="L126" s="242"/>
      <x:c r="M126" s="242"/>
    </x:row>
    <x:row r="127">
      <x:c r="A127" s="242"/>
      <x:c r="B127" s="243"/>
      <x:c r="C127" s="242"/>
      <x:c r="D127" s="242"/>
      <x:c r="E127" s="242"/>
      <x:c r="F127" s="244"/>
      <x:c r="G127" s="625"/>
      <x:c r="H127" s="242"/>
      <x:c r="I127" s="242"/>
      <x:c r="J127" s="242"/>
      <x:c r="K127" s="242"/>
      <x:c r="L127" s="242"/>
      <x:c r="M127" s="242"/>
    </x:row>
    <x:row r="128">
      <x:c r="A128" s="242"/>
      <x:c r="B128" s="243"/>
      <x:c r="C128" s="242"/>
      <x:c r="D128" s="242"/>
      <x:c r="E128" s="242"/>
      <x:c r="F128" s="244"/>
      <x:c r="G128" s="625"/>
      <x:c r="H128" s="242"/>
      <x:c r="I128" s="242"/>
      <x:c r="J128" s="242"/>
      <x:c r="K128" s="242"/>
      <x:c r="L128" s="242"/>
      <x:c r="M128" s="242"/>
    </x:row>
    <x:row r="129">
      <x:c r="A129" s="242"/>
      <x:c r="B129" s="243"/>
      <x:c r="C129" s="242"/>
      <x:c r="D129" s="242"/>
      <x:c r="E129" s="242"/>
      <x:c r="F129" s="244"/>
      <x:c r="G129" s="625"/>
      <x:c r="H129" s="242"/>
      <x:c r="I129" s="242"/>
      <x:c r="J129" s="242"/>
      <x:c r="K129" s="242"/>
      <x:c r="L129" s="242"/>
      <x:c r="M129" s="242"/>
    </x:row>
    <x:row r="130">
      <x:c r="A130" s="242"/>
      <x:c r="B130" s="243"/>
      <x:c r="C130" s="242"/>
      <x:c r="D130" s="242"/>
      <x:c r="E130" s="242"/>
      <x:c r="F130" s="244"/>
      <x:c r="G130" s="625"/>
      <x:c r="H130" s="242"/>
      <x:c r="I130" s="242"/>
      <x:c r="J130" s="242"/>
      <x:c r="K130" s="242"/>
      <x:c r="L130" s="242"/>
      <x:c r="M130" s="242"/>
    </x:row>
    <x:row r="131">
      <x:c r="A131" s="242"/>
      <x:c r="B131" s="243"/>
      <x:c r="C131" s="242"/>
      <x:c r="D131" s="242"/>
      <x:c r="E131" s="242"/>
      <x:c r="F131" s="244"/>
      <x:c r="G131" s="625"/>
      <x:c r="H131" s="242"/>
      <x:c r="I131" s="242"/>
      <x:c r="J131" s="242"/>
      <x:c r="K131" s="242"/>
      <x:c r="L131" s="242"/>
      <x:c r="M131" s="242"/>
    </x:row>
    <x:row r="132">
      <x:c r="A132" s="242"/>
      <x:c r="B132" s="243"/>
      <x:c r="C132" s="242"/>
      <x:c r="D132" s="242"/>
      <x:c r="E132" s="242"/>
      <x:c r="F132" s="244"/>
      <x:c r="G132" s="625"/>
      <x:c r="H132" s="242"/>
      <x:c r="I132" s="242"/>
      <x:c r="J132" s="242"/>
      <x:c r="K132" s="242"/>
      <x:c r="L132" s="242"/>
      <x:c r="M132" s="242"/>
    </x:row>
    <x:row r="133">
      <x:c r="A133" s="242"/>
      <x:c r="B133" s="243"/>
      <x:c r="C133" s="242"/>
      <x:c r="D133" s="242"/>
      <x:c r="E133" s="242"/>
      <x:c r="F133" s="244"/>
      <x:c r="G133" s="625"/>
      <x:c r="H133" s="242"/>
      <x:c r="I133" s="242"/>
      <x:c r="J133" s="242"/>
      <x:c r="K133" s="242"/>
      <x:c r="L133" s="242"/>
      <x:c r="M133" s="242"/>
    </x:row>
    <x:row r="134">
      <x:c r="A134" s="242"/>
      <x:c r="B134" s="243"/>
      <x:c r="C134" s="242"/>
      <x:c r="D134" s="242"/>
      <x:c r="E134" s="242"/>
      <x:c r="F134" s="244"/>
      <x:c r="G134" s="625"/>
      <x:c r="H134" s="242"/>
      <x:c r="I134" s="242"/>
      <x:c r="J134" s="242"/>
      <x:c r="K134" s="242"/>
      <x:c r="L134" s="242"/>
      <x:c r="M134" s="242"/>
    </x:row>
    <x:row r="135">
      <x:c r="A135" s="242"/>
      <x:c r="B135" s="243"/>
      <x:c r="C135" s="242"/>
      <x:c r="D135" s="242"/>
      <x:c r="E135" s="242"/>
      <x:c r="F135" s="244"/>
      <x:c r="G135" s="625"/>
      <x:c r="H135" s="242"/>
      <x:c r="I135" s="242"/>
      <x:c r="J135" s="242"/>
      <x:c r="K135" s="242"/>
      <x:c r="L135" s="242"/>
      <x:c r="M135" s="242"/>
    </x:row>
    <x:row r="136">
      <x:c r="A136" s="242"/>
      <x:c r="B136" s="243"/>
      <x:c r="C136" s="242"/>
      <x:c r="D136" s="242"/>
      <x:c r="E136" s="242"/>
      <x:c r="F136" s="244"/>
      <x:c r="G136" s="625"/>
      <x:c r="H136" s="242"/>
      <x:c r="I136" s="242"/>
      <x:c r="J136" s="242"/>
      <x:c r="K136" s="242"/>
      <x:c r="L136" s="242"/>
      <x:c r="M136" s="242"/>
    </x:row>
    <x:row r="137">
      <x:c r="A137" s="242"/>
      <x:c r="B137" s="243"/>
      <x:c r="C137" s="242"/>
      <x:c r="D137" s="242"/>
      <x:c r="E137" s="242"/>
      <x:c r="F137" s="244"/>
      <x:c r="G137" s="625"/>
      <x:c r="H137" s="242"/>
      <x:c r="I137" s="242"/>
      <x:c r="J137" s="242"/>
      <x:c r="K137" s="242"/>
      <x:c r="L137" s="242"/>
      <x:c r="M137" s="242"/>
    </x:row>
    <x:row r="138">
      <x:c r="A138" s="242"/>
      <x:c r="B138" s="243"/>
      <x:c r="C138" s="242"/>
      <x:c r="D138" s="242"/>
      <x:c r="E138" s="242"/>
      <x:c r="F138" s="244"/>
      <x:c r="G138" s="625"/>
      <x:c r="H138" s="242"/>
      <x:c r="I138" s="242"/>
      <x:c r="J138" s="242"/>
      <x:c r="K138" s="242"/>
      <x:c r="L138" s="242"/>
      <x:c r="M138" s="242"/>
    </x:row>
    <x:row r="139">
      <x:c r="A139" s="242"/>
      <x:c r="B139" s="243"/>
      <x:c r="C139" s="242"/>
      <x:c r="D139" s="242"/>
      <x:c r="E139" s="242"/>
      <x:c r="F139" s="244"/>
      <x:c r="G139" s="625"/>
      <x:c r="H139" s="242"/>
      <x:c r="I139" s="242"/>
      <x:c r="J139" s="242"/>
      <x:c r="K139" s="242"/>
      <x:c r="L139" s="242"/>
      <x:c r="M139" s="242"/>
    </x:row>
    <x:row r="140">
      <x:c r="A140" s="242"/>
      <x:c r="B140" s="243"/>
      <x:c r="C140" s="242"/>
      <x:c r="D140" s="242"/>
      <x:c r="E140" s="242"/>
      <x:c r="F140" s="244"/>
      <x:c r="G140" s="625"/>
      <x:c r="H140" s="242"/>
      <x:c r="I140" s="242"/>
      <x:c r="J140" s="242"/>
      <x:c r="K140" s="242"/>
      <x:c r="L140" s="242"/>
      <x:c r="M140" s="242"/>
    </x:row>
    <x:row r="141">
      <x:c r="A141" s="242"/>
      <x:c r="B141" s="243"/>
      <x:c r="C141" s="242"/>
      <x:c r="D141" s="242"/>
      <x:c r="E141" s="242"/>
      <x:c r="F141" s="244"/>
      <x:c r="G141" s="625"/>
      <x:c r="H141" s="242"/>
      <x:c r="I141" s="242"/>
      <x:c r="J141" s="242"/>
      <x:c r="K141" s="242"/>
      <x:c r="L141" s="242"/>
      <x:c r="M141" s="242"/>
    </x:row>
    <x:row r="142">
      <x:c r="A142" s="242"/>
      <x:c r="B142" s="243"/>
      <x:c r="C142" s="242"/>
      <x:c r="D142" s="242"/>
      <x:c r="E142" s="242"/>
      <x:c r="F142" s="244"/>
      <x:c r="G142" s="625"/>
      <x:c r="H142" s="242"/>
      <x:c r="I142" s="242"/>
      <x:c r="J142" s="242"/>
      <x:c r="K142" s="242"/>
      <x:c r="L142" s="242"/>
      <x:c r="M142" s="242"/>
    </x:row>
    <x:row r="143">
      <x:c r="A143" s="242"/>
      <x:c r="B143" s="243"/>
      <x:c r="C143" s="242"/>
      <x:c r="D143" s="242"/>
      <x:c r="E143" s="242"/>
      <x:c r="F143" s="244"/>
      <x:c r="G143" s="625"/>
      <x:c r="H143" s="242"/>
      <x:c r="I143" s="242"/>
      <x:c r="J143" s="242"/>
      <x:c r="K143" s="242"/>
      <x:c r="L143" s="242"/>
      <x:c r="M143" s="242"/>
    </x:row>
    <x:row r="144">
      <x:c r="A144" s="242"/>
      <x:c r="B144" s="243"/>
      <x:c r="C144" s="242"/>
      <x:c r="D144" s="242"/>
      <x:c r="E144" s="242"/>
      <x:c r="F144" s="244"/>
      <x:c r="G144" s="625"/>
      <x:c r="H144" s="242"/>
      <x:c r="I144" s="242"/>
      <x:c r="J144" s="242"/>
      <x:c r="K144" s="242"/>
      <x:c r="L144" s="242"/>
      <x:c r="M144" s="242"/>
    </x:row>
    <x:row r="145">
      <x:c r="A145" s="242"/>
      <x:c r="B145" s="243"/>
      <x:c r="C145" s="242"/>
      <x:c r="D145" s="242"/>
      <x:c r="E145" s="242"/>
      <x:c r="F145" s="244"/>
      <x:c r="G145" s="625"/>
      <x:c r="H145" s="242"/>
      <x:c r="I145" s="242"/>
      <x:c r="J145" s="242"/>
      <x:c r="K145" s="242"/>
      <x:c r="L145" s="242"/>
      <x:c r="M145" s="242"/>
    </x:row>
    <x:row r="146">
      <x:c r="A146" s="242"/>
      <x:c r="B146" s="243"/>
      <x:c r="C146" s="242"/>
      <x:c r="D146" s="242"/>
      <x:c r="E146" s="242"/>
      <x:c r="F146" s="244"/>
      <x:c r="G146" s="625"/>
      <x:c r="H146" s="242"/>
      <x:c r="I146" s="242"/>
      <x:c r="J146" s="242"/>
      <x:c r="K146" s="242"/>
      <x:c r="L146" s="242"/>
      <x:c r="M146" s="242"/>
    </x:row>
    <x:row r="147">
      <x:c r="A147" s="242"/>
      <x:c r="B147" s="243"/>
      <x:c r="C147" s="242"/>
      <x:c r="D147" s="242"/>
      <x:c r="E147" s="242"/>
      <x:c r="F147" s="244"/>
      <x:c r="G147" s="625"/>
      <x:c r="H147" s="242"/>
      <x:c r="I147" s="242"/>
      <x:c r="J147" s="242"/>
      <x:c r="K147" s="242"/>
      <x:c r="L147" s="242"/>
      <x:c r="M147" s="242"/>
    </x:row>
    <x:row r="148">
      <x:c r="A148" s="242"/>
      <x:c r="B148" s="243"/>
      <x:c r="C148" s="242"/>
      <x:c r="D148" s="242"/>
      <x:c r="E148" s="242"/>
      <x:c r="F148" s="244"/>
      <x:c r="G148" s="625"/>
      <x:c r="H148" s="242"/>
      <x:c r="I148" s="242"/>
      <x:c r="J148" s="242"/>
      <x:c r="K148" s="242"/>
      <x:c r="L148" s="242"/>
      <x:c r="M148" s="242"/>
    </x:row>
    <x:row r="149">
      <x:c r="A149" s="242"/>
      <x:c r="B149" s="243"/>
      <x:c r="C149" s="242"/>
      <x:c r="D149" s="242"/>
      <x:c r="E149" s="242"/>
      <x:c r="F149" s="244"/>
      <x:c r="G149" s="625"/>
      <x:c r="H149" s="242"/>
      <x:c r="I149" s="242"/>
      <x:c r="J149" s="242"/>
      <x:c r="K149" s="242"/>
      <x:c r="L149" s="242"/>
      <x:c r="M149" s="242"/>
    </x:row>
    <x:row r="150">
      <x:c r="A150" s="242"/>
      <x:c r="B150" s="243"/>
      <x:c r="C150" s="242"/>
      <x:c r="D150" s="242"/>
      <x:c r="E150" s="242"/>
      <x:c r="F150" s="244"/>
      <x:c r="G150" s="625"/>
      <x:c r="H150" s="242"/>
      <x:c r="I150" s="242"/>
      <x:c r="J150" s="242"/>
      <x:c r="K150" s="242"/>
      <x:c r="L150" s="242"/>
      <x:c r="M150" s="242"/>
    </x:row>
    <x:row r="151">
      <x:c r="A151" s="242"/>
      <x:c r="B151" s="243"/>
      <x:c r="C151" s="242"/>
      <x:c r="D151" s="242"/>
      <x:c r="E151" s="242"/>
      <x:c r="F151" s="244"/>
      <x:c r="G151" s="625"/>
      <x:c r="H151" s="242"/>
      <x:c r="I151" s="242"/>
      <x:c r="J151" s="242"/>
      <x:c r="K151" s="242"/>
      <x:c r="L151" s="242"/>
      <x:c r="M151" s="242"/>
    </x:row>
    <x:row r="152">
      <x:c r="A152" s="242"/>
      <x:c r="B152" s="243"/>
      <x:c r="C152" s="242"/>
      <x:c r="D152" s="242"/>
      <x:c r="E152" s="242"/>
      <x:c r="F152" s="244"/>
      <x:c r="G152" s="625"/>
      <x:c r="H152" s="242"/>
      <x:c r="I152" s="242"/>
      <x:c r="J152" s="242"/>
      <x:c r="K152" s="242"/>
      <x:c r="L152" s="242"/>
      <x:c r="M152" s="242"/>
    </x:row>
    <x:row r="153">
      <x:c r="A153" s="242"/>
      <x:c r="B153" s="243"/>
      <x:c r="C153" s="242"/>
      <x:c r="D153" s="242"/>
      <x:c r="E153" s="242"/>
      <x:c r="F153" s="244"/>
      <x:c r="G153" s="625"/>
      <x:c r="H153" s="242"/>
      <x:c r="I153" s="242"/>
      <x:c r="J153" s="242"/>
      <x:c r="K153" s="242"/>
      <x:c r="L153" s="242"/>
      <x:c r="M153" s="242"/>
    </x:row>
    <x:row r="154">
      <x:c r="A154" s="242"/>
      <x:c r="B154" s="243"/>
      <x:c r="C154" s="242"/>
      <x:c r="D154" s="242"/>
      <x:c r="E154" s="242"/>
      <x:c r="F154" s="244"/>
      <x:c r="G154" s="625"/>
      <x:c r="H154" s="242"/>
      <x:c r="I154" s="242"/>
      <x:c r="J154" s="242"/>
      <x:c r="K154" s="242"/>
      <x:c r="L154" s="242"/>
      <x:c r="M154" s="242"/>
    </x:row>
    <x:row r="155">
      <x:c r="A155" s="242"/>
      <x:c r="B155" s="243"/>
      <x:c r="C155" s="242"/>
      <x:c r="D155" s="242"/>
      <x:c r="E155" s="242"/>
      <x:c r="F155" s="244"/>
      <x:c r="G155" s="625"/>
      <x:c r="H155" s="242"/>
      <x:c r="I155" s="242"/>
      <x:c r="J155" s="242"/>
      <x:c r="K155" s="242"/>
      <x:c r="L155" s="242"/>
      <x:c r="M155" s="242"/>
    </x:row>
    <x:row r="156">
      <x:c r="A156" s="242"/>
      <x:c r="B156" s="243"/>
      <x:c r="C156" s="242"/>
      <x:c r="D156" s="242"/>
      <x:c r="E156" s="242"/>
      <x:c r="F156" s="244"/>
      <x:c r="G156" s="625"/>
      <x:c r="H156" s="242"/>
      <x:c r="I156" s="242"/>
      <x:c r="J156" s="242"/>
      <x:c r="K156" s="242"/>
      <x:c r="L156" s="242"/>
      <x:c r="M156" s="242"/>
    </x:row>
    <x:row r="157">
      <x:c r="A157" s="242"/>
      <x:c r="B157" s="243"/>
      <x:c r="C157" s="242"/>
      <x:c r="D157" s="242"/>
      <x:c r="E157" s="242"/>
      <x:c r="F157" s="244"/>
      <x:c r="G157" s="625"/>
      <x:c r="H157" s="242"/>
      <x:c r="I157" s="242"/>
      <x:c r="J157" s="242"/>
      <x:c r="K157" s="242"/>
      <x:c r="L157" s="242"/>
      <x:c r="M157" s="242"/>
    </x:row>
    <x:row r="158">
      <x:c r="A158" s="242"/>
      <x:c r="B158" s="243"/>
      <x:c r="C158" s="242"/>
      <x:c r="D158" s="242"/>
      <x:c r="E158" s="242"/>
      <x:c r="F158" s="244"/>
      <x:c r="G158" s="625"/>
      <x:c r="H158" s="242"/>
      <x:c r="I158" s="242"/>
      <x:c r="J158" s="242"/>
      <x:c r="K158" s="242"/>
      <x:c r="L158" s="242"/>
      <x:c r="M158" s="242"/>
    </x:row>
    <x:row r="159">
      <x:c r="A159" s="242"/>
      <x:c r="B159" s="243"/>
      <x:c r="C159" s="242"/>
      <x:c r="D159" s="242"/>
      <x:c r="E159" s="242"/>
      <x:c r="F159" s="244"/>
      <x:c r="G159" s="625"/>
      <x:c r="H159" s="242"/>
      <x:c r="I159" s="242"/>
      <x:c r="J159" s="242"/>
      <x:c r="K159" s="242"/>
      <x:c r="L159" s="242"/>
      <x:c r="M159" s="242"/>
    </x:row>
    <x:row r="160">
      <x:c r="A160" s="242"/>
      <x:c r="B160" s="243"/>
      <x:c r="C160" s="242"/>
      <x:c r="D160" s="242"/>
      <x:c r="E160" s="242"/>
      <x:c r="F160" s="244"/>
      <x:c r="G160" s="625"/>
      <x:c r="H160" s="242"/>
      <x:c r="I160" s="242"/>
      <x:c r="J160" s="242"/>
      <x:c r="K160" s="242"/>
      <x:c r="L160" s="242"/>
      <x:c r="M160" s="242"/>
    </x:row>
    <x:row r="161">
      <x:c r="A161" s="242"/>
      <x:c r="B161" s="243"/>
      <x:c r="C161" s="242"/>
      <x:c r="D161" s="242"/>
      <x:c r="E161" s="242"/>
      <x:c r="F161" s="244"/>
      <x:c r="G161" s="625"/>
      <x:c r="H161" s="242"/>
      <x:c r="I161" s="242"/>
      <x:c r="J161" s="242"/>
      <x:c r="K161" s="242"/>
      <x:c r="L161" s="242"/>
      <x:c r="M161" s="242"/>
    </x:row>
    <x:row r="162">
      <x:c r="A162" s="242"/>
      <x:c r="B162" s="243"/>
      <x:c r="C162" s="242"/>
      <x:c r="D162" s="242"/>
      <x:c r="E162" s="242"/>
      <x:c r="F162" s="244"/>
      <x:c r="G162" s="625"/>
      <x:c r="H162" s="242"/>
      <x:c r="I162" s="242"/>
      <x:c r="J162" s="242"/>
      <x:c r="K162" s="242"/>
      <x:c r="L162" s="242"/>
      <x:c r="M162" s="242"/>
    </x:row>
    <x:row r="163">
      <x:c r="A163" s="242"/>
      <x:c r="B163" s="243"/>
      <x:c r="C163" s="242"/>
      <x:c r="D163" s="242"/>
      <x:c r="E163" s="242"/>
      <x:c r="F163" s="244"/>
      <x:c r="G163" s="625"/>
      <x:c r="H163" s="242"/>
      <x:c r="I163" s="242"/>
      <x:c r="J163" s="242"/>
      <x:c r="K163" s="242"/>
      <x:c r="L163" s="242"/>
      <x:c r="M163" s="242"/>
    </x:row>
    <x:row r="164">
      <x:c r="A164" s="242"/>
      <x:c r="B164" s="243"/>
      <x:c r="C164" s="242"/>
      <x:c r="D164" s="242"/>
      <x:c r="E164" s="242"/>
      <x:c r="F164" s="244"/>
      <x:c r="G164" s="625"/>
      <x:c r="H164" s="242"/>
      <x:c r="I164" s="242"/>
      <x:c r="J164" s="242"/>
      <x:c r="K164" s="242"/>
      <x:c r="L164" s="242"/>
      <x:c r="M164" s="242"/>
    </x:row>
    <x:row r="165">
      <x:c r="A165" s="242"/>
      <x:c r="B165" s="243"/>
      <x:c r="C165" s="242"/>
      <x:c r="D165" s="242"/>
      <x:c r="E165" s="242"/>
      <x:c r="F165" s="244"/>
      <x:c r="G165" s="625"/>
      <x:c r="H165" s="242"/>
      <x:c r="I165" s="242"/>
      <x:c r="J165" s="242"/>
      <x:c r="K165" s="242"/>
      <x:c r="L165" s="242"/>
      <x:c r="M165" s="242"/>
    </x:row>
    <x:row r="166">
      <x:c r="A166" s="242"/>
      <x:c r="B166" s="243"/>
      <x:c r="C166" s="242"/>
      <x:c r="D166" s="242"/>
      <x:c r="E166" s="242"/>
      <x:c r="F166" s="244"/>
      <x:c r="G166" s="625"/>
      <x:c r="H166" s="242"/>
      <x:c r="I166" s="242"/>
      <x:c r="J166" s="242"/>
      <x:c r="K166" s="242"/>
      <x:c r="L166" s="242"/>
      <x:c r="M166" s="242"/>
    </x:row>
    <x:row r="167">
      <x:c r="A167" s="242"/>
      <x:c r="B167" s="243"/>
      <x:c r="C167" s="242"/>
      <x:c r="D167" s="242"/>
      <x:c r="E167" s="242"/>
      <x:c r="F167" s="244"/>
      <x:c r="G167" s="625"/>
      <x:c r="H167" s="242"/>
      <x:c r="I167" s="242"/>
      <x:c r="J167" s="242"/>
      <x:c r="K167" s="242"/>
      <x:c r="L167" s="242"/>
      <x:c r="M167" s="242"/>
    </x:row>
    <x:row r="168">
      <x:c r="A168" s="242"/>
      <x:c r="B168" s="243"/>
      <x:c r="C168" s="242"/>
      <x:c r="D168" s="242"/>
      <x:c r="E168" s="242"/>
      <x:c r="F168" s="244"/>
      <x:c r="G168" s="625"/>
      <x:c r="H168" s="242"/>
      <x:c r="I168" s="242"/>
      <x:c r="J168" s="242"/>
      <x:c r="K168" s="242"/>
      <x:c r="L168" s="242"/>
      <x:c r="M168" s="242"/>
    </x:row>
    <x:row r="169">
      <x:c r="A169" s="242"/>
      <x:c r="B169" s="243"/>
      <x:c r="C169" s="242"/>
      <x:c r="D169" s="242"/>
      <x:c r="E169" s="242"/>
      <x:c r="F169" s="244"/>
      <x:c r="G169" s="625"/>
      <x:c r="H169" s="242"/>
      <x:c r="I169" s="242"/>
      <x:c r="J169" s="242"/>
      <x:c r="K169" s="242"/>
      <x:c r="L169" s="242"/>
      <x:c r="M169" s="242"/>
    </x:row>
    <x:row r="170">
      <x:c r="A170" s="242"/>
      <x:c r="B170" s="243"/>
      <x:c r="C170" s="242"/>
      <x:c r="D170" s="242"/>
      <x:c r="E170" s="242"/>
      <x:c r="F170" s="244"/>
      <x:c r="G170" s="625"/>
      <x:c r="H170" s="242"/>
      <x:c r="I170" s="242"/>
      <x:c r="J170" s="242"/>
      <x:c r="K170" s="242"/>
      <x:c r="L170" s="242"/>
      <x:c r="M170" s="242"/>
    </x:row>
    <x:row r="171">
      <x:c r="A171" s="242"/>
      <x:c r="B171" s="243"/>
      <x:c r="C171" s="242"/>
      <x:c r="D171" s="242"/>
      <x:c r="E171" s="242"/>
      <x:c r="F171" s="244"/>
      <x:c r="G171" s="625"/>
      <x:c r="H171" s="242"/>
      <x:c r="I171" s="242"/>
      <x:c r="J171" s="242"/>
      <x:c r="K171" s="242"/>
      <x:c r="L171" s="242"/>
      <x:c r="M171" s="242"/>
    </x:row>
    <x:row r="172">
      <x:c r="A172" s="242"/>
      <x:c r="B172" s="243"/>
      <x:c r="C172" s="242"/>
      <x:c r="D172" s="242"/>
      <x:c r="E172" s="242"/>
      <x:c r="F172" s="244"/>
      <x:c r="G172" s="625"/>
      <x:c r="H172" s="242"/>
      <x:c r="I172" s="242"/>
      <x:c r="J172" s="242"/>
      <x:c r="K172" s="242"/>
      <x:c r="L172" s="242"/>
      <x:c r="M172" s="242"/>
    </x:row>
    <x:row r="173">
      <x:c r="A173" s="242"/>
      <x:c r="B173" s="243"/>
      <x:c r="C173" s="242"/>
      <x:c r="D173" s="242"/>
      <x:c r="E173" s="242"/>
      <x:c r="F173" s="244"/>
      <x:c r="G173" s="625"/>
      <x:c r="H173" s="242"/>
      <x:c r="I173" s="242"/>
      <x:c r="J173" s="242"/>
      <x:c r="K173" s="242"/>
      <x:c r="L173" s="242"/>
      <x:c r="M173" s="242"/>
    </x:row>
    <x:row r="174">
      <x:c r="A174" s="242"/>
      <x:c r="B174" s="243"/>
      <x:c r="C174" s="242"/>
      <x:c r="D174" s="242"/>
      <x:c r="E174" s="242"/>
      <x:c r="F174" s="244"/>
      <x:c r="G174" s="625"/>
      <x:c r="H174" s="242"/>
      <x:c r="I174" s="242"/>
      <x:c r="J174" s="242"/>
      <x:c r="K174" s="242"/>
      <x:c r="L174" s="242"/>
      <x:c r="M174" s="242"/>
    </x:row>
    <x:row r="175">
      <x:c r="A175" s="242"/>
      <x:c r="B175" s="243"/>
      <x:c r="C175" s="242"/>
      <x:c r="D175" s="242"/>
      <x:c r="E175" s="242"/>
      <x:c r="F175" s="244"/>
      <x:c r="G175" s="625"/>
      <x:c r="H175" s="242"/>
      <x:c r="I175" s="242"/>
      <x:c r="J175" s="242"/>
      <x:c r="K175" s="242"/>
      <x:c r="L175" s="242"/>
      <x:c r="M175" s="242"/>
    </x:row>
    <x:row r="176">
      <x:c r="A176" s="242"/>
      <x:c r="B176" s="243"/>
      <x:c r="C176" s="242"/>
      <x:c r="D176" s="242"/>
      <x:c r="E176" s="242"/>
      <x:c r="F176" s="244"/>
      <x:c r="G176" s="625"/>
      <x:c r="H176" s="242"/>
      <x:c r="I176" s="242"/>
      <x:c r="J176" s="242"/>
      <x:c r="K176" s="242"/>
      <x:c r="L176" s="242"/>
      <x:c r="M176" s="242"/>
    </x:row>
    <x:row r="177">
      <x:c r="A177" s="242"/>
      <x:c r="B177" s="243"/>
      <x:c r="C177" s="242"/>
      <x:c r="D177" s="242"/>
      <x:c r="E177" s="242"/>
      <x:c r="F177" s="244"/>
      <x:c r="G177" s="625"/>
      <x:c r="H177" s="242"/>
      <x:c r="I177" s="242"/>
      <x:c r="J177" s="242"/>
      <x:c r="K177" s="242"/>
      <x:c r="L177" s="242"/>
      <x:c r="M177" s="242"/>
    </x:row>
    <x:row r="178">
      <x:c r="A178" s="242"/>
      <x:c r="B178" s="243"/>
      <x:c r="C178" s="242"/>
      <x:c r="D178" s="242"/>
      <x:c r="E178" s="242"/>
      <x:c r="F178" s="244"/>
      <x:c r="G178" s="625"/>
      <x:c r="H178" s="242"/>
      <x:c r="I178" s="242"/>
      <x:c r="J178" s="242"/>
      <x:c r="K178" s="242"/>
      <x:c r="L178" s="242"/>
      <x:c r="M178" s="242"/>
    </x:row>
    <x:row r="179">
      <x:c r="A179" s="242"/>
      <x:c r="B179" s="243"/>
      <x:c r="C179" s="242"/>
      <x:c r="D179" s="242"/>
      <x:c r="E179" s="242"/>
      <x:c r="F179" s="244"/>
      <x:c r="G179" s="625"/>
      <x:c r="H179" s="242"/>
      <x:c r="I179" s="242"/>
      <x:c r="J179" s="242"/>
      <x:c r="K179" s="242"/>
      <x:c r="L179" s="242"/>
      <x:c r="M179" s="242"/>
    </x:row>
    <x:row r="180">
      <x:c r="A180" s="242"/>
      <x:c r="B180" s="243"/>
      <x:c r="C180" s="242"/>
      <x:c r="D180" s="242"/>
      <x:c r="E180" s="242"/>
      <x:c r="F180" s="244"/>
      <x:c r="G180" s="625"/>
      <x:c r="H180" s="242"/>
      <x:c r="I180" s="242"/>
      <x:c r="J180" s="242"/>
      <x:c r="K180" s="242"/>
      <x:c r="L180" s="242"/>
      <x:c r="M180" s="242"/>
    </x:row>
    <x:row r="181">
      <x:c r="A181" s="242"/>
      <x:c r="B181" s="243"/>
      <x:c r="C181" s="242"/>
      <x:c r="D181" s="242"/>
      <x:c r="E181" s="242"/>
      <x:c r="F181" s="244"/>
      <x:c r="G181" s="625"/>
      <x:c r="H181" s="242"/>
      <x:c r="I181" s="242"/>
      <x:c r="J181" s="242"/>
      <x:c r="K181" s="242"/>
      <x:c r="L181" s="242"/>
      <x:c r="M181" s="242"/>
    </x:row>
    <x:row r="182">
      <x:c r="A182" s="242"/>
      <x:c r="B182" s="243"/>
      <x:c r="C182" s="242"/>
      <x:c r="D182" s="242"/>
      <x:c r="E182" s="242"/>
      <x:c r="F182" s="244"/>
      <x:c r="G182" s="625"/>
      <x:c r="H182" s="242"/>
      <x:c r="I182" s="242"/>
      <x:c r="J182" s="242"/>
      <x:c r="K182" s="242"/>
      <x:c r="L182" s="242"/>
      <x:c r="M182" s="242"/>
    </x:row>
    <x:row r="183">
      <x:c r="A183" s="242"/>
      <x:c r="B183" s="243"/>
      <x:c r="C183" s="242"/>
      <x:c r="D183" s="242"/>
      <x:c r="E183" s="242"/>
      <x:c r="F183" s="244"/>
      <x:c r="G183" s="625"/>
      <x:c r="H183" s="242"/>
      <x:c r="I183" s="242"/>
      <x:c r="J183" s="242"/>
      <x:c r="K183" s="242"/>
      <x:c r="L183" s="242"/>
      <x:c r="M183" s="242"/>
    </x:row>
    <x:row r="184">
      <x:c r="A184" s="242"/>
      <x:c r="B184" s="243"/>
      <x:c r="C184" s="242"/>
      <x:c r="D184" s="242"/>
      <x:c r="E184" s="242"/>
      <x:c r="F184" s="244"/>
      <x:c r="G184" s="625"/>
      <x:c r="H184" s="242"/>
      <x:c r="I184" s="242"/>
      <x:c r="J184" s="242"/>
      <x:c r="K184" s="242"/>
      <x:c r="L184" s="242"/>
      <x:c r="M184" s="242"/>
    </x:row>
    <x:row r="185">
      <x:c r="A185" s="242"/>
      <x:c r="B185" s="243"/>
      <x:c r="C185" s="242"/>
      <x:c r="D185" s="242"/>
      <x:c r="E185" s="242"/>
      <x:c r="F185" s="244"/>
      <x:c r="G185" s="625"/>
      <x:c r="H185" s="242"/>
      <x:c r="I185" s="242"/>
      <x:c r="J185" s="242"/>
      <x:c r="K185" s="242"/>
      <x:c r="L185" s="242"/>
      <x:c r="M185" s="242"/>
    </x:row>
    <x:row r="186">
      <x:c r="A186" s="242"/>
      <x:c r="B186" s="243"/>
      <x:c r="C186" s="242"/>
      <x:c r="D186" s="242"/>
      <x:c r="E186" s="242"/>
      <x:c r="F186" s="244"/>
      <x:c r="G186" s="625"/>
      <x:c r="H186" s="242"/>
      <x:c r="I186" s="242"/>
      <x:c r="J186" s="242"/>
      <x:c r="K186" s="242"/>
      <x:c r="L186" s="242"/>
      <x:c r="M186" s="242"/>
    </x:row>
    <x:row r="187">
      <x:c r="A187" s="242"/>
      <x:c r="B187" s="243"/>
      <x:c r="C187" s="242"/>
      <x:c r="D187" s="242"/>
      <x:c r="E187" s="242"/>
      <x:c r="F187" s="244"/>
      <x:c r="G187" s="625"/>
      <x:c r="H187" s="242"/>
      <x:c r="I187" s="242"/>
      <x:c r="J187" s="242"/>
      <x:c r="K187" s="242"/>
      <x:c r="L187" s="242"/>
      <x:c r="M187" s="242"/>
    </x:row>
    <x:row r="188">
      <x:c r="A188" s="242"/>
      <x:c r="B188" s="243"/>
      <x:c r="C188" s="242"/>
      <x:c r="D188" s="242"/>
      <x:c r="E188" s="242"/>
      <x:c r="F188" s="244"/>
      <x:c r="G188" s="625"/>
      <x:c r="H188" s="242"/>
      <x:c r="I188" s="242"/>
      <x:c r="J188" s="242"/>
      <x:c r="K188" s="242"/>
      <x:c r="L188" s="242"/>
      <x:c r="M188" s="242"/>
    </x:row>
    <x:row r="189">
      <x:c r="A189" s="242"/>
      <x:c r="B189" s="243"/>
      <x:c r="C189" s="242"/>
      <x:c r="D189" s="242"/>
      <x:c r="E189" s="242"/>
      <x:c r="F189" s="244"/>
      <x:c r="G189" s="625"/>
      <x:c r="H189" s="242"/>
      <x:c r="I189" s="242"/>
      <x:c r="J189" s="242"/>
      <x:c r="K189" s="242"/>
      <x:c r="L189" s="242"/>
      <x:c r="M189" s="242"/>
    </x:row>
    <x:row r="190">
      <x:c r="A190" s="242"/>
      <x:c r="B190" s="243"/>
      <x:c r="C190" s="242"/>
      <x:c r="D190" s="242"/>
      <x:c r="E190" s="242"/>
      <x:c r="F190" s="244"/>
      <x:c r="G190" s="625"/>
      <x:c r="H190" s="242"/>
      <x:c r="I190" s="242"/>
      <x:c r="J190" s="242"/>
      <x:c r="K190" s="242"/>
      <x:c r="L190" s="242"/>
      <x:c r="M190" s="242"/>
    </x:row>
    <x:row r="191">
      <x:c r="A191" s="242"/>
      <x:c r="B191" s="243"/>
      <x:c r="C191" s="242"/>
      <x:c r="D191" s="242"/>
      <x:c r="E191" s="242"/>
      <x:c r="F191" s="244"/>
      <x:c r="G191" s="625"/>
      <x:c r="H191" s="242"/>
      <x:c r="I191" s="242"/>
      <x:c r="J191" s="242"/>
      <x:c r="K191" s="242"/>
      <x:c r="L191" s="242"/>
      <x:c r="M191" s="242"/>
    </x:row>
    <x:row r="192">
      <x:c r="A192" s="242"/>
      <x:c r="B192" s="243"/>
      <x:c r="C192" s="242"/>
      <x:c r="D192" s="242"/>
      <x:c r="E192" s="242"/>
      <x:c r="F192" s="244"/>
      <x:c r="G192" s="625"/>
      <x:c r="H192" s="242"/>
      <x:c r="I192" s="242"/>
      <x:c r="J192" s="242"/>
      <x:c r="K192" s="242"/>
      <x:c r="L192" s="242"/>
      <x:c r="M192" s="242"/>
    </x:row>
    <x:row r="193">
      <x:c r="A193" s="242"/>
      <x:c r="B193" s="243"/>
      <x:c r="C193" s="242"/>
      <x:c r="D193" s="242"/>
      <x:c r="E193" s="242"/>
      <x:c r="F193" s="244"/>
      <x:c r="G193" s="625"/>
      <x:c r="H193" s="242"/>
      <x:c r="I193" s="242"/>
      <x:c r="J193" s="242"/>
      <x:c r="K193" s="242"/>
      <x:c r="L193" s="242"/>
      <x:c r="M193" s="242"/>
    </x:row>
    <x:row r="194">
      <x:c r="A194" s="242"/>
      <x:c r="B194" s="243"/>
      <x:c r="C194" s="242"/>
      <x:c r="D194" s="242"/>
      <x:c r="E194" s="242"/>
      <x:c r="F194" s="244"/>
      <x:c r="G194" s="625"/>
      <x:c r="H194" s="242"/>
      <x:c r="I194" s="242"/>
      <x:c r="J194" s="242"/>
      <x:c r="K194" s="242"/>
      <x:c r="L194" s="242"/>
      <x:c r="M194" s="242"/>
    </x:row>
    <x:row r="195">
      <x:c r="A195" s="242"/>
      <x:c r="B195" s="243"/>
      <x:c r="C195" s="242"/>
      <x:c r="D195" s="242"/>
      <x:c r="E195" s="242"/>
      <x:c r="F195" s="244"/>
      <x:c r="G195" s="625"/>
      <x:c r="H195" s="242"/>
      <x:c r="I195" s="242"/>
      <x:c r="J195" s="242"/>
      <x:c r="K195" s="242"/>
      <x:c r="L195" s="242"/>
      <x:c r="M195" s="242"/>
    </x:row>
    <x:row r="196">
      <x:c r="A196" s="242"/>
      <x:c r="B196" s="243"/>
      <x:c r="C196" s="242"/>
      <x:c r="D196" s="242"/>
      <x:c r="E196" s="242"/>
      <x:c r="F196" s="244"/>
      <x:c r="G196" s="625"/>
      <x:c r="H196" s="242"/>
      <x:c r="I196" s="242"/>
      <x:c r="J196" s="242"/>
      <x:c r="K196" s="242"/>
      <x:c r="L196" s="242"/>
      <x:c r="M196" s="242"/>
    </x:row>
    <x:row r="197">
      <x:c r="A197" s="242"/>
      <x:c r="B197" s="243"/>
      <x:c r="C197" s="242"/>
      <x:c r="D197" s="242"/>
      <x:c r="E197" s="242"/>
      <x:c r="F197" s="244"/>
      <x:c r="G197" s="625"/>
      <x:c r="H197" s="242"/>
      <x:c r="I197" s="242"/>
      <x:c r="J197" s="242"/>
      <x:c r="K197" s="242"/>
      <x:c r="L197" s="242"/>
      <x:c r="M197" s="242"/>
    </x:row>
    <x:row r="198">
      <x:c r="A198" s="242"/>
      <x:c r="B198" s="243"/>
      <x:c r="C198" s="242"/>
      <x:c r="D198" s="242"/>
      <x:c r="E198" s="242"/>
      <x:c r="F198" s="244"/>
      <x:c r="G198" s="625"/>
      <x:c r="H198" s="242"/>
      <x:c r="I198" s="242"/>
      <x:c r="J198" s="242"/>
      <x:c r="K198" s="242"/>
      <x:c r="L198" s="242"/>
      <x:c r="M198" s="242"/>
    </x:row>
    <x:row r="199">
      <x:c r="A199" s="242"/>
      <x:c r="B199" s="243"/>
      <x:c r="C199" s="242"/>
      <x:c r="D199" s="242"/>
      <x:c r="E199" s="242"/>
      <x:c r="F199" s="244"/>
      <x:c r="G199" s="625"/>
      <x:c r="H199" s="242"/>
      <x:c r="I199" s="242"/>
      <x:c r="J199" s="242"/>
      <x:c r="K199" s="242"/>
      <x:c r="L199" s="242"/>
      <x:c r="M199" s="242"/>
    </x:row>
    <x:row r="200">
      <x:c r="A200" s="242"/>
      <x:c r="B200" s="243"/>
      <x:c r="C200" s="242"/>
      <x:c r="D200" s="242"/>
      <x:c r="E200" s="242"/>
      <x:c r="F200" s="244"/>
      <x:c r="G200" s="625"/>
      <x:c r="H200" s="242"/>
      <x:c r="I200" s="242"/>
      <x:c r="J200" s="242"/>
      <x:c r="K200" s="242"/>
      <x:c r="L200" s="242"/>
      <x:c r="M200" s="242"/>
    </x:row>
    <x:row r="201">
      <x:c r="A201" s="242"/>
      <x:c r="B201" s="243"/>
      <x:c r="C201" s="242"/>
      <x:c r="D201" s="242"/>
      <x:c r="E201" s="242"/>
      <x:c r="F201" s="244"/>
      <x:c r="G201" s="625"/>
      <x:c r="H201" s="242"/>
      <x:c r="I201" s="242"/>
      <x:c r="J201" s="242"/>
      <x:c r="K201" s="242"/>
      <x:c r="L201" s="242"/>
      <x:c r="M201" s="242"/>
    </x:row>
    <x:row r="202">
      <x:c r="A202" s="242"/>
      <x:c r="B202" s="243"/>
      <x:c r="C202" s="242"/>
      <x:c r="D202" s="242"/>
      <x:c r="E202" s="242"/>
      <x:c r="F202" s="244"/>
      <x:c r="G202" s="625"/>
      <x:c r="H202" s="242"/>
      <x:c r="I202" s="242"/>
      <x:c r="J202" s="242"/>
      <x:c r="K202" s="242"/>
      <x:c r="L202" s="242"/>
      <x:c r="M202" s="242"/>
    </x:row>
    <x:row r="203">
      <x:c r="A203" s="242"/>
      <x:c r="B203" s="243"/>
      <x:c r="C203" s="242"/>
      <x:c r="D203" s="242"/>
      <x:c r="E203" s="242"/>
      <x:c r="F203" s="244"/>
      <x:c r="G203" s="625"/>
      <x:c r="H203" s="242"/>
      <x:c r="I203" s="242"/>
      <x:c r="J203" s="242"/>
      <x:c r="K203" s="242"/>
      <x:c r="L203" s="242"/>
      <x:c r="M203" s="242"/>
    </x:row>
    <x:row r="204">
      <x:c r="A204" s="242"/>
      <x:c r="B204" s="243"/>
      <x:c r="C204" s="242"/>
      <x:c r="D204" s="242"/>
      <x:c r="E204" s="242"/>
      <x:c r="F204" s="244"/>
      <x:c r="G204" s="625"/>
      <x:c r="H204" s="242"/>
      <x:c r="I204" s="242"/>
      <x:c r="J204" s="242"/>
      <x:c r="K204" s="242"/>
      <x:c r="L204" s="242"/>
      <x:c r="M204" s="242"/>
    </x:row>
    <x:row r="205">
      <x:c r="A205" s="242"/>
      <x:c r="B205" s="243"/>
      <x:c r="C205" s="242"/>
      <x:c r="D205" s="242"/>
      <x:c r="E205" s="242"/>
      <x:c r="F205" s="244"/>
      <x:c r="G205" s="625"/>
      <x:c r="H205" s="242"/>
      <x:c r="I205" s="242"/>
      <x:c r="J205" s="242"/>
      <x:c r="K205" s="242"/>
      <x:c r="L205" s="242"/>
      <x:c r="M205" s="242"/>
    </x:row>
    <x:row r="206">
      <x:c r="A206" s="242"/>
      <x:c r="B206" s="243"/>
      <x:c r="C206" s="242"/>
      <x:c r="D206" s="242"/>
      <x:c r="E206" s="242"/>
      <x:c r="F206" s="244"/>
      <x:c r="G206" s="625"/>
      <x:c r="H206" s="242"/>
      <x:c r="I206" s="242"/>
      <x:c r="J206" s="242"/>
      <x:c r="K206" s="242"/>
      <x:c r="L206" s="242"/>
      <x:c r="M206" s="242"/>
    </x:row>
    <x:row r="207">
      <x:c r="A207" s="242"/>
      <x:c r="B207" s="243"/>
      <x:c r="C207" s="242"/>
      <x:c r="D207" s="242"/>
      <x:c r="E207" s="242"/>
      <x:c r="F207" s="244"/>
      <x:c r="G207" s="625"/>
      <x:c r="H207" s="242"/>
      <x:c r="I207" s="242"/>
      <x:c r="J207" s="242"/>
      <x:c r="K207" s="242"/>
      <x:c r="L207" s="242"/>
      <x:c r="M207" s="242"/>
    </x:row>
    <x:row r="208">
      <x:c r="A208" s="242"/>
      <x:c r="B208" s="243"/>
      <x:c r="C208" s="242"/>
      <x:c r="D208" s="242"/>
      <x:c r="E208" s="242"/>
      <x:c r="F208" s="244"/>
      <x:c r="G208" s="625"/>
      <x:c r="H208" s="242"/>
      <x:c r="I208" s="242"/>
      <x:c r="J208" s="242"/>
      <x:c r="K208" s="242"/>
      <x:c r="L208" s="242"/>
      <x:c r="M208" s="242"/>
    </x:row>
    <x:row r="209">
      <x:c r="A209" s="242"/>
      <x:c r="B209" s="243"/>
      <x:c r="C209" s="242"/>
      <x:c r="D209" s="242"/>
      <x:c r="E209" s="242"/>
      <x:c r="F209" s="244"/>
      <x:c r="G209" s="625"/>
      <x:c r="H209" s="242"/>
      <x:c r="I209" s="242"/>
      <x:c r="J209" s="242"/>
      <x:c r="K209" s="242"/>
      <x:c r="L209" s="242"/>
      <x:c r="M209" s="242"/>
    </x:row>
    <x:row r="210">
      <x:c r="A210" s="242"/>
      <x:c r="B210" s="243"/>
      <x:c r="C210" s="242"/>
      <x:c r="D210" s="242"/>
      <x:c r="E210" s="242"/>
      <x:c r="F210" s="244"/>
      <x:c r="G210" s="625"/>
      <x:c r="H210" s="242"/>
      <x:c r="I210" s="242"/>
      <x:c r="J210" s="242"/>
      <x:c r="K210" s="242"/>
      <x:c r="L210" s="242"/>
      <x:c r="M210" s="242"/>
    </x:row>
    <x:row r="211">
      <x:c r="A211" s="242"/>
      <x:c r="B211" s="243"/>
      <x:c r="C211" s="242"/>
      <x:c r="D211" s="242"/>
      <x:c r="E211" s="242"/>
      <x:c r="F211" s="244"/>
      <x:c r="G211" s="625"/>
      <x:c r="H211" s="242"/>
      <x:c r="I211" s="242"/>
      <x:c r="J211" s="242"/>
      <x:c r="K211" s="242"/>
      <x:c r="L211" s="242"/>
      <x:c r="M211" s="242"/>
    </x:row>
    <x:row r="212">
      <x:c r="A212" s="242"/>
      <x:c r="B212" s="243"/>
      <x:c r="C212" s="242"/>
      <x:c r="D212" s="242"/>
      <x:c r="E212" s="242"/>
      <x:c r="F212" s="244"/>
      <x:c r="G212" s="625"/>
      <x:c r="H212" s="242"/>
      <x:c r="I212" s="242"/>
      <x:c r="J212" s="242"/>
      <x:c r="K212" s="242"/>
      <x:c r="L212" s="242"/>
      <x:c r="M212" s="242"/>
    </x:row>
    <x:row r="213">
      <x:c r="A213" s="242"/>
      <x:c r="B213" s="243"/>
      <x:c r="C213" s="242"/>
      <x:c r="D213" s="242"/>
      <x:c r="E213" s="242"/>
      <x:c r="F213" s="244"/>
      <x:c r="G213" s="625"/>
      <x:c r="H213" s="242"/>
      <x:c r="I213" s="242"/>
      <x:c r="J213" s="242"/>
      <x:c r="K213" s="242"/>
      <x:c r="L213" s="242"/>
      <x:c r="M213" s="242"/>
    </x:row>
    <x:row r="214">
      <x:c r="A214" s="242"/>
      <x:c r="B214" s="243"/>
      <x:c r="C214" s="242"/>
      <x:c r="D214" s="242"/>
      <x:c r="E214" s="242"/>
      <x:c r="F214" s="244"/>
      <x:c r="G214" s="625"/>
      <x:c r="H214" s="242"/>
      <x:c r="I214" s="242"/>
      <x:c r="J214" s="242"/>
      <x:c r="K214" s="242"/>
      <x:c r="L214" s="242"/>
      <x:c r="M214" s="242"/>
    </x:row>
    <x:row r="215">
      <x:c r="A215" s="242"/>
      <x:c r="B215" s="243"/>
      <x:c r="C215" s="242"/>
      <x:c r="D215" s="242"/>
      <x:c r="E215" s="242"/>
      <x:c r="F215" s="244"/>
      <x:c r="G215" s="625"/>
      <x:c r="H215" s="242"/>
      <x:c r="I215" s="242"/>
      <x:c r="J215" s="242"/>
      <x:c r="K215" s="242"/>
      <x:c r="L215" s="242"/>
      <x:c r="M215" s="242"/>
    </x:row>
    <x:row r="216">
      <x:c r="A216" s="242"/>
      <x:c r="B216" s="243"/>
      <x:c r="C216" s="242"/>
      <x:c r="D216" s="242"/>
      <x:c r="E216" s="242"/>
      <x:c r="F216" s="244"/>
      <x:c r="G216" s="625"/>
      <x:c r="H216" s="242"/>
      <x:c r="I216" s="242"/>
      <x:c r="J216" s="242"/>
      <x:c r="K216" s="242"/>
      <x:c r="L216" s="242"/>
      <x:c r="M216" s="242"/>
    </x:row>
    <x:row r="217">
      <x:c r="A217" s="242"/>
      <x:c r="B217" s="243"/>
      <x:c r="C217" s="242"/>
      <x:c r="D217" s="242"/>
      <x:c r="E217" s="242"/>
      <x:c r="F217" s="244"/>
      <x:c r="G217" s="625"/>
      <x:c r="H217" s="242"/>
      <x:c r="I217" s="242"/>
      <x:c r="J217" s="242"/>
      <x:c r="K217" s="242"/>
      <x:c r="L217" s="242"/>
      <x:c r="M217" s="242"/>
    </x:row>
    <x:row r="218">
      <x:c r="A218" s="242"/>
      <x:c r="B218" s="243"/>
      <x:c r="C218" s="242"/>
      <x:c r="D218" s="242"/>
      <x:c r="E218" s="242"/>
      <x:c r="F218" s="244"/>
      <x:c r="G218" s="625"/>
      <x:c r="H218" s="242"/>
      <x:c r="I218" s="242"/>
      <x:c r="J218" s="242"/>
      <x:c r="K218" s="242"/>
      <x:c r="L218" s="242"/>
      <x:c r="M218" s="242"/>
    </x:row>
    <x:row r="219">
      <x:c r="A219" s="242"/>
      <x:c r="B219" s="243"/>
      <x:c r="C219" s="242"/>
      <x:c r="D219" s="242"/>
      <x:c r="E219" s="242"/>
      <x:c r="F219" s="244"/>
      <x:c r="G219" s="625"/>
      <x:c r="H219" s="242"/>
      <x:c r="I219" s="242"/>
      <x:c r="J219" s="242"/>
      <x:c r="K219" s="242"/>
      <x:c r="L219" s="242"/>
      <x:c r="M219" s="242"/>
    </x:row>
    <x:row r="220">
      <x:c r="A220" s="242"/>
      <x:c r="B220" s="243"/>
      <x:c r="C220" s="242"/>
      <x:c r="D220" s="242"/>
      <x:c r="E220" s="242"/>
      <x:c r="F220" s="244"/>
      <x:c r="G220" s="625"/>
      <x:c r="H220" s="242"/>
      <x:c r="I220" s="242"/>
      <x:c r="J220" s="242"/>
      <x:c r="K220" s="242"/>
      <x:c r="L220" s="242"/>
      <x:c r="M220" s="242"/>
    </x:row>
  </x:sheetData>
  <x:mergeCells>
    <x:mergeCell ref="A1:M1"/>
    <x:mergeCell ref="A2:M2"/>
  </x:mergeCells>
  <x:dataValidations count="1">
    <x:dataValidation type="list" sqref="H5:H220">
      <x:formula1>"Not Started,In Progress,Complete,Blocked,Cancelled"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45" hidden="0" customWidth="1"/>
    <x:col min="4" max="4" width="45" hidden="0" customWidth="1"/>
    <x:col min="5" max="5" width="12" hidden="0" customWidth="1"/>
    <x:col min="6" max="6" width="16" hidden="0" customWidth="1"/>
    <x:col min="7" max="7" width="32" hidden="0" customWidth="1"/>
    <x:col min="8" max="8" width="38" hidden="0" customWidth="1"/>
  </x:cols>
  <x:sheetData>
    <x:row r="1" ht="28" customHeight="1">
      <x:c r="A1" s="205" t="str">
        <x:v>Decision Register</x:v>
      </x:c>
    </x:row>
    <x:row r="3">
      <x:c r="A3" s="229" t="str">
        <x:v>Decision ID</x:v>
      </x:c>
      <x:c r="B3" s="229" t="str">
        <x:v>Date</x:v>
      </x:c>
      <x:c r="C3" s="229" t="str">
        <x:v>Decision</x:v>
      </x:c>
      <x:c r="D3" s="229" t="str">
        <x:v>Rationale</x:v>
      </x:c>
      <x:c r="E3" s="229" t="str">
        <x:v>Status</x:v>
      </x:c>
      <x:c r="F3" s="229" t="str">
        <x:v>Affected WBS</x:v>
      </x:c>
      <x:c r="G3" s="229" t="str">
        <x:v>Evidence / Source</x:v>
      </x:c>
      <x:c r="H3" s="229" t="str">
        <x:v>Revisit Trigger</x:v>
      </x:c>
    </x:row>
    <x:row r="4">
      <x:c r="A4" s="217" t="str">
        <x:v>D-001</x:v>
      </x:c>
      <x:c r="B4" s="238" t="n">
        <x:v>46200</x:v>
      </x:c>
      <x:c r="C4" s="217" t="str">
        <x:v>Build a backend-first, schema-first local CLI harness.</x:v>
      </x:c>
      <x:c r="D4" s="217" t="str">
        <x:v>Demonstrates evaluation-system ownership without frontend distraction.</x:v>
      </x:c>
      <x:c r="E4" s="217" t="str">
        <x:v>Active</x:v>
      </x:c>
      <x:c r="F4" s="217" t="str">
        <x:v>All</x:v>
      </x:c>
      <x:c r="G4" s="217" t="str">
        <x:v>Project scope and architecture</x:v>
      </x:c>
      <x:c r="H4" s="217" t="str">
        <x:v>Revisit only after MVP release.</x:v>
      </x:c>
    </x:row>
    <x:row r="5">
      <x:c r="A5" s="217" t="str">
        <x:v>D-002</x:v>
      </x:c>
      <x:c r="B5" s="238" t="n">
        <x:v>46200</x:v>
      </x:c>
      <x:c r="C5" s="217" t="str">
        <x:v>Keep task, agent, environment, trace/artifacts, evaluator, and results separate.</x:v>
      </x:c>
      <x:c r="D5" s="217" t="str">
        <x:v>Enables reproducible comparisons and prevents benchmark/run-data entanglement.</x:v>
      </x:c>
      <x:c r="E5" s="217" t="str">
        <x:v>Active</x:v>
      </x:c>
      <x:c r="F5" s="217" t="str">
        <x:v>All</x:v>
      </x:c>
      <x:c r="G5" s="217" t="str">
        <x:v>docs/architecture.md</x:v>
      </x:c>
      <x:c r="H5" s="217" t="str">
        <x:v>Revisit only for a concrete interface conflict.</x:v>
      </x:c>
    </x:row>
    <x:row r="6">
      <x:c r="A6" s="217" t="str">
        <x:v>D-003</x:v>
      </x:c>
      <x:c r="B6" s="238" t="n">
        <x:v>46207</x:v>
      </x:c>
      <x:c r="C6" s="217" t="str">
        <x:v>Use the Gantt workbook as the controlling project-management artifact.</x:v>
      </x:c>
      <x:c r="D6" s="217" t="str">
        <x:v>Provides shared context across sessions and auditable progress control.</x:v>
      </x:c>
      <x:c r="E6" s="217" t="str">
        <x:v>Active</x:v>
      </x:c>
      <x:c r="F6" s="217" t="str">
        <x:v>0.2</x:v>
      </x:c>
      <x:c r="G6" s="217" t="str">
        <x:v>Project instructions; gantt.xlsx</x:v>
      </x:c>
      <x:c r="H6" s="217" t="str">
        <x:v>Revisit if workbook maintenance exceeds its planning value.</x:v>
      </x:c>
    </x:row>
    <x:row r="7">
      <x:c r="A7" s="217" t="str">
        <x:v>D-004</x:v>
      </x:c>
      <x:c r="B7" s="238" t="n">
        <x:v>46207</x:v>
      </x:c>
      <x:c r="C7" s="217" t="str">
        <x:v>Replace the 52-week controlling schedule with an 8-week, 76-hour MVP baseline.</x:v>
      </x:c>
      <x:c r="D7" s="217" t="str">
        <x:v>The prior learning-first sequence delayed useful product functionality.</x:v>
      </x:c>
      <x:c r="E7" s="217" t="str">
        <x:v>Active</x:v>
      </x:c>
      <x:c r="F7" s="217" t="str">
        <x:v>All MVP</x:v>
      </x:c>
      <x:c r="G7" s="217" t="str">
        <x:v>This workbook revision</x:v>
      </x:c>
      <x:c r="H7" s="217" t="str">
        <x:v>Rebaseline only through a recorded gate decision.</x:v>
      </x:c>
    </x:row>
    <x:row r="8">
      <x:c r="A8" s="217" t="str">
        <x:v>D-005</x:v>
      </x:c>
      <x:c r="B8" s="238" t="n">
        <x:v>46207</x:v>
      </x:c>
      <x:c r="C8" s="217" t="str">
        <x:v>Use one branch per coherent capability, not per individual test.</x:v>
      </x:c>
      <x:c r="D8" s="217" t="str">
        <x:v>The one-test pattern created transcription work and weak product momentum.</x:v>
      </x:c>
      <x:c r="E8" s="217" t="str">
        <x:v>Active</x:v>
      </x:c>
      <x:c r="F8" s="217" t="str">
        <x:v>All development</x:v>
      </x:c>
      <x:c r="G8" s="217" t="str">
        <x:v>PR #3–#5 retrospective</x:v>
      </x:c>
      <x:c r="H8" s="217" t="str">
        <x:v>Revisit if a capability becomes too large to review safely.</x:v>
      </x:c>
    </x:row>
    <x:row r="9">
      <x:c r="A9" s="217" t="str">
        <x:v>D-006</x:v>
      </x:c>
      <x:c r="B9" s="238" t="n">
        <x:v>46207</x:v>
      </x:c>
      <x:c r="C9" s="217" t="str">
        <x:v>Stop validator-only expansion after material coverage; build the evaluation engine next.</x:v>
      </x:c>
      <x:c r="D9" s="217" t="str">
        <x:v>Tests are evidence, not the product. The harness still cannot score candidates.</x:v>
      </x:c>
      <x:c r="E9" s="217" t="str">
        <x:v>Active</x:v>
      </x:c>
      <x:c r="F9" s="217" t="str">
        <x:v>0.3 → 1.1</x:v>
      </x:c>
      <x:c r="G9" s="217" t="str">
        <x:v>25 tests; architecture checkpoint</x:v>
      </x:c>
      <x:c r="H9" s="217" t="str">
        <x:v>Reopen validator work only when engine work exposes a real defect.</x:v>
      </x:c>
    </x:row>
    <x:row r="10">
      <x:c r="A10" s="217" t="str">
        <x:v>D-007</x:v>
      </x:c>
      <x:c r="B10" s="238" t="n">
        <x:v>46207</x:v>
      </x:c>
      <x:c r="C10" s="217" t="str">
        <x:v>MVP uses JSON candidate artifacts and deterministic checks only.</x:v>
      </x:c>
      <x:c r="D10" s="217" t="str">
        <x:v>Constrains scope while proving the complete evaluation loop.</x:v>
      </x:c>
      <x:c r="E10" s="217" t="str">
        <x:v>Active</x:v>
      </x:c>
      <x:c r="F10" s="217" t="str">
        <x:v>1–5</x:v>
      </x:c>
      <x:c r="G10" s="217" t="str">
        <x:v>MVP definition</x:v>
      </x:c>
      <x:c r="H10" s="217" t="str">
        <x:v>Revisit after v0.1.0.</x:v>
      </x:c>
    </x:row>
    <x:row r="11">
      <x:c r="A11" s="217" t="str">
        <x:v>D-008</x:v>
      </x:c>
      <x:c r="B11" s="238" t="n">
        <x:v>46207</x:v>
      </x:c>
      <x:c r="C11" s="217" t="str">
        <x:v>Defer OpenClaw, multimodal, APIs, databases, observability, and RL.</x:v>
      </x:c>
      <x:c r="D11" s="217" t="str">
        <x:v>These are expansion capabilities and should not block the first useful harness.</x:v>
      </x:c>
      <x:c r="E11" s="217" t="str">
        <x:v>Active</x:v>
      </x:c>
      <x:c r="F11" s="217" t="str">
        <x:v>Expansion</x:v>
      </x:c>
      <x:c r="G11" s="217" t="str">
        <x:v>Project instructions</x:v>
      </x:c>
      <x:c r="H11" s="217" t="str">
        <x:v>Select next expansion only after Gate 6.</x:v>
      </x:c>
    </x:row>
    <x:row r="12">
      <x:c r="A12" s="217"/>
      <x:c r="B12" s="217"/>
      <x:c r="C12" s="217"/>
      <x:c r="D12" s="217"/>
      <x:c r="E12" s="217"/>
      <x:c r="F12" s="217"/>
      <x:c r="G12" s="217"/>
      <x:c r="H12" s="217"/>
    </x:row>
    <x:row r="13">
      <x:c r="A13" s="217"/>
      <x:c r="B13" s="217"/>
      <x:c r="C13" s="217"/>
      <x:c r="D13" s="217"/>
      <x:c r="E13" s="217"/>
      <x:c r="F13" s="217"/>
      <x:c r="G13" s="217"/>
      <x:c r="H13" s="217"/>
    </x:row>
    <x:row r="14">
      <x:c r="A14" s="217"/>
      <x:c r="B14" s="217"/>
      <x:c r="C14" s="217"/>
      <x:c r="D14" s="217"/>
      <x:c r="E14" s="217"/>
      <x:c r="F14" s="217"/>
      <x:c r="G14" s="217"/>
      <x:c r="H14" s="217"/>
    </x:row>
    <x:row r="15">
      <x:c r="A15" s="217"/>
      <x:c r="B15" s="217"/>
      <x:c r="C15" s="217"/>
      <x:c r="D15" s="217"/>
      <x:c r="E15" s="217"/>
      <x:c r="F15" s="217"/>
      <x:c r="G15" s="217"/>
      <x:c r="H15" s="217"/>
    </x:row>
    <x:row r="16">
      <x:c r="A16" s="217"/>
      <x:c r="B16" s="217"/>
      <x:c r="C16" s="217"/>
      <x:c r="D16" s="217"/>
      <x:c r="E16" s="217"/>
      <x:c r="F16" s="217"/>
      <x:c r="G16" s="217"/>
      <x:c r="H16" s="217"/>
    </x:row>
    <x:row r="17">
      <x:c r="A17" s="217"/>
      <x:c r="B17" s="217"/>
      <x:c r="C17" s="217"/>
      <x:c r="D17" s="217"/>
      <x:c r="E17" s="217"/>
      <x:c r="F17" s="217"/>
      <x:c r="G17" s="217"/>
      <x:c r="H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</x:row>
  </x:sheetData>
  <x:mergeCells>
    <x:mergeCell ref="A1:H1"/>
  </x:mergeCells>
  <x:dataValidations count="1">
    <x:dataValidation type="list" sqref="E4:E100">
      <x:formula1>"Proposed,Active,Superseded,Deferred"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0" hidden="0" customWidth="1"/>
    <x:col min="3" max="3" width="42" hidden="0" customWidth="1"/>
    <x:col min="4" max="4" width="12" hidden="0" customWidth="1"/>
    <x:col min="5" max="5" width="12" hidden="0" customWidth="1"/>
    <x:col min="6" max="6" width="12" hidden="0" customWidth="1"/>
    <x:col min="7" max="7" width="48" hidden="0" customWidth="1"/>
    <x:col min="8" max="8" width="13" hidden="0" customWidth="1"/>
    <x:col min="9" max="9" width="12" hidden="0" customWidth="1"/>
    <x:col min="10" max="10" width="38" hidden="0" customWidth="1"/>
  </x:cols>
  <x:sheetData>
    <x:row r="1" ht="28" customHeight="1">
      <x:c r="A1" s="205" t="str">
        <x:v>Risk and Issue Register</x:v>
      </x:c>
    </x:row>
    <x:row r="3">
      <x:c r="A3" s="229" t="str">
        <x:v>ID</x:v>
      </x:c>
      <x:c r="B3" s="229" t="str">
        <x:v>Type</x:v>
      </x:c>
      <x:c r="C3" s="229" t="str">
        <x:v>Description</x:v>
      </x:c>
      <x:c r="D3" s="229" t="str">
        <x:v>Probability</x:v>
      </x:c>
      <x:c r="E3" s="229" t="str">
        <x:v>Impact</x:v>
      </x:c>
      <x:c r="F3" s="229" t="str">
        <x:v>Owner</x:v>
      </x:c>
      <x:c r="G3" s="229" t="str">
        <x:v>Mitigation / Action</x:v>
      </x:c>
      <x:c r="H3" s="229" t="str">
        <x:v>Status</x:v>
      </x:c>
      <x:c r="I3" s="229" t="str">
        <x:v>Review Date</x:v>
      </x:c>
      <x:c r="J3" s="229" t="str">
        <x:v>Notes</x:v>
      </x:c>
    </x:row>
    <x:row r="4">
      <x:c r="A4" s="217" t="str">
        <x:v>R-001</x:v>
      </x:c>
      <x:c r="B4" s="217" t="str">
        <x:v>Risk</x:v>
      </x:c>
      <x:c r="C4" s="217" t="str">
        <x:v>Planning and documentation replace implementation.</x:v>
      </x:c>
      <x:c r="D4" s="217" t="str">
        <x:v>High</x:v>
      </x:c>
      <x:c r="E4" s="217" t="str">
        <x:v>High</x:v>
      </x:c>
      <x:c r="F4" s="217" t="str">
        <x:v>Jason</x:v>
      </x:c>
      <x:c r="G4" s="217" t="str">
        <x:v>Require every work block to advance a WBS deliverable; no new planning artifact without a direct control need.</x:v>
      </x:c>
      <x:c r="H4" s="217" t="str">
        <x:v>Open</x:v>
      </x:c>
      <x:c r="I4" s="238" t="n">
        <x:v>46215</x:v>
      </x:c>
      <x:c r="J4" s="217" t="str">
        <x:v>Primary process risk identified during July 4 checkpoint.</x:v>
      </x:c>
    </x:row>
    <x:row r="5">
      <x:c r="A5" s="217" t="str">
        <x:v>R-002</x:v>
      </x:c>
      <x:c r="B5" s="217" t="str">
        <x:v>Risk</x:v>
      </x:c>
      <x:c r="C5" s="217" t="str">
        <x:v>Overbuilding tests and software-learning exercises delays MVP.</x:v>
      </x:c>
      <x:c r="D5" s="217" t="str">
        <x:v>High</x:v>
      </x:c>
      <x:c r="E5" s="217" t="str">
        <x:v>High</x:v>
      </x:c>
      <x:c r="F5" s="217" t="str">
        <x:v>Jason</x:v>
      </x:c>
      <x:c r="G5" s="217" t="str">
        <x:v>Stop one-test branches; add only capability-level tests and reuse fixtures when it reduces real duplication.</x:v>
      </x:c>
      <x:c r="H5" s="217" t="str">
        <x:v>Mitigating</x:v>
      </x:c>
      <x:c r="I5" s="238" t="n">
        <x:v>46215</x:v>
      </x:c>
      <x:c r="J5" s="217" t="str">
        <x:v>25 tests already provide a useful validator baseline.</x:v>
      </x:c>
    </x:row>
    <x:row r="6">
      <x:c r="A6" s="217" t="str">
        <x:v>R-003</x:v>
      </x:c>
      <x:c r="B6" s="217" t="str">
        <x:v>Risk</x:v>
      </x:c>
      <x:c r="C6" s="217" t="str">
        <x:v>Engineering references or tolerances are wrong despite valid schemas.</x:v>
      </x:c>
      <x:c r="D6" s="217" t="str">
        <x:v>Medium</x:v>
      </x:c>
      <x:c r="E6" s="217" t="str">
        <x:v>High</x:v>
      </x:c>
      <x:c r="F6" s="217" t="str">
        <x:v>Jason</x:v>
      </x:c>
      <x:c r="G6" s="217" t="str">
        <x:v>Independently verify seed cases and use a human-review checklist before benchmark admission.</x:v>
      </x:c>
      <x:c r="H6" s="217" t="str">
        <x:v>Open</x:v>
      </x:c>
      <x:c r="I6" s="238" t="n">
        <x:v>46229</x:v>
      </x:c>
      <x:c r="J6" s="217" t="str">
        <x:v>WBS 3.1.</x:v>
      </x:c>
    </x:row>
    <x:row r="7">
      <x:c r="A7" s="217" t="str">
        <x:v>R-004</x:v>
      </x:c>
      <x:c r="B7" s="217" t="str">
        <x:v>Risk</x:v>
      </x:c>
      <x:c r="C7" s="217" t="str">
        <x:v>Scope expands into OpenClaw, multimodal, APIs, or RL before core evaluator exists.</x:v>
      </x:c>
      <x:c r="D7" s="217" t="str">
        <x:v>Medium</x:v>
      </x:c>
      <x:c r="E7" s="217" t="str">
        <x:v>High</x:v>
      </x:c>
      <x:c r="F7" s="217" t="str">
        <x:v>Jason</x:v>
      </x:c>
      <x:c r="G7" s="217" t="str">
        <x:v>Keep expansion work in Expansion Backlog; pull forward only through a recorded gate decision.</x:v>
      </x:c>
      <x:c r="H7" s="217" t="str">
        <x:v>Mitigating</x:v>
      </x:c>
      <x:c r="I7" s="238" t="n">
        <x:v>46257</x:v>
      </x:c>
      <x:c r="J7" s="217" t="str">
        <x:v>MVP scope explicitly excludes these items.</x:v>
      </x:c>
    </x:row>
    <x:row r="8">
      <x:c r="A8" s="217" t="str">
        <x:v>R-005</x:v>
      </x:c>
      <x:c r="B8" s="217" t="str">
        <x:v>Risk</x:v>
      </x:c>
      <x:c r="C8" s="217" t="str">
        <x:v>AI-generated code is accepted without understanding interfaces or failure modes.</x:v>
      </x:c>
      <x:c r="D8" s="217" t="str">
        <x:v>Medium</x:v>
      </x:c>
      <x:c r="E8" s="217" t="str">
        <x:v>Medium</x:v>
      </x:c>
      <x:c r="F8" s="217" t="str">
        <x:v>Jason</x:v>
      </x:c>
      <x:c r="G8" s="217" t="str">
        <x:v>Use short architecture briefings, review inputs/outputs, inspect evidence, and require acceptance tests.</x:v>
      </x:c>
      <x:c r="H8" s="217" t="str">
        <x:v>Open</x:v>
      </x:c>
      <x:c r="I8" s="238" t="n">
        <x:v>46222</x:v>
      </x:c>
      <x:c r="J8" s="217" t="str">
        <x:v>Delegate syntax, retain architectural ownership.</x:v>
      </x:c>
    </x:row>
    <x:row r="9">
      <x:c r="A9" s="217" t="str">
        <x:v>R-006</x:v>
      </x:c>
      <x:c r="B9" s="217" t="str">
        <x:v>Risk</x:v>
      </x:c>
      <x:c r="C9" s="217" t="str">
        <x:v>Confidential Outlier or employer information enters the public portfolio.</x:v>
      </x:c>
      <x:c r="D9" s="217" t="str">
        <x:v>Low</x:v>
      </x:c>
      <x:c r="E9" s="217" t="str">
        <x:v>High</x:v>
      </x:c>
      <x:c r="F9" s="217" t="str">
        <x:v>Jason</x:v>
      </x:c>
      <x:c r="G9" s="217" t="str">
        <x:v>Use only synthetic, public, self-authored, or authorized content; review artifacts before commit.</x:v>
      </x:c>
      <x:c r="H9" s="217" t="str">
        <x:v>Open</x:v>
      </x:c>
      <x:c r="I9" s="238" t="n">
        <x:v>46257</x:v>
      </x:c>
      <x:c r="J9" s="217" t="str">
        <x:v>Non-negotiable data boundary.</x:v>
      </x:c>
    </x:row>
    <x:row r="10">
      <x:c r="A10" s="217" t="str">
        <x:v>I-001</x:v>
      </x:c>
      <x:c r="B10" s="217" t="str">
        <x:v>Issue</x:v>
      </x:c>
      <x:c r="C10" s="217" t="str">
        <x:v>Actual duration for July 4 PR #3–#5 work was not recorded.</x:v>
      </x:c>
      <x:c r="D10" s="217" t="str">
        <x:v>N/A</x:v>
      </x:c>
      <x:c r="E10" s="217" t="str">
        <x:v>Low</x:v>
      </x:c>
      <x:c r="F10" s="217" t="str">
        <x:v>Jason</x:v>
      </x:c>
      <x:c r="G10" s="217" t="str">
        <x:v>Leave hours blank; do not invent time. Record future blocks at closeout.</x:v>
      </x:c>
      <x:c r="H10" s="217" t="str">
        <x:v>Open</x:v>
      </x:c>
      <x:c r="I10" s="238" t="n">
        <x:v>46208</x:v>
      </x:c>
      <x:c r="J10" s="217" t="str">
        <x:v>Evidence is preserved in WB-004.</x:v>
      </x:c>
    </x:row>
    <x:row r="11">
      <x:c r="A11" s="217" t="str">
        <x:v>I-002</x:v>
      </x:c>
      <x:c r="B11" s="217" t="str">
        <x:v>Issue</x:v>
      </x:c>
      <x:c r="C11" s="217" t="str">
        <x:v>Architecture document update is prepared but not yet confirmed committed.</x:v>
      </x:c>
      <x:c r="D11" s="217" t="str">
        <x:v>N/A</x:v>
      </x:c>
      <x:c r="E11" s="217" t="str">
        <x:v>Medium</x:v>
      </x:c>
      <x:c r="F11" s="217" t="str">
        <x:v>Jason</x:v>
      </x:c>
      <x:c r="G11" s="217" t="str">
        <x:v>Commit docs/architecture.md with the rebaselined workbook.</x:v>
      </x:c>
      <x:c r="H11" s="217" t="str">
        <x:v>Closed</x:v>
      </x:c>
      <x:c r="I11" s="238" t="n">
        <x:v>46209</x:v>
      </x:c>
      <x:c r="J11" s="217" t="str">
        <x:v>Resolved by commit c71676d on 2026-07-04.</x:v>
      </x:c>
    </x:row>
    <x:row r="12">
      <x:c r="A12" s="217"/>
      <x:c r="B12" s="217"/>
      <x:c r="C12" s="217"/>
      <x:c r="D12" s="217"/>
      <x:c r="E12" s="217"/>
      <x:c r="F12" s="217"/>
      <x:c r="G12" s="217"/>
      <x:c r="H12" s="217"/>
      <x:c r="I12" s="217"/>
      <x:c r="J12" s="217"/>
    </x:row>
    <x:row r="13">
      <x:c r="A13" s="217"/>
      <x:c r="B13" s="217"/>
      <x:c r="C13" s="217"/>
      <x:c r="D13" s="217"/>
      <x:c r="E13" s="217"/>
      <x:c r="F13" s="217"/>
      <x:c r="G13" s="217"/>
      <x:c r="H13" s="217"/>
      <x:c r="I13" s="217"/>
      <x:c r="J13" s="217"/>
    </x:row>
    <x:row r="14">
      <x:c r="A14" s="217"/>
      <x:c r="B14" s="217"/>
      <x:c r="C14" s="217"/>
      <x:c r="D14" s="217"/>
      <x:c r="E14" s="217"/>
      <x:c r="F14" s="217"/>
      <x:c r="G14" s="217"/>
      <x:c r="H14" s="217"/>
      <x:c r="I14" s="217"/>
      <x:c r="J14" s="217"/>
    </x:row>
    <x:row r="15">
      <x:c r="A15" s="217"/>
      <x:c r="B15" s="217"/>
      <x:c r="C15" s="217"/>
      <x:c r="D15" s="217"/>
      <x:c r="E15" s="217"/>
      <x:c r="F15" s="217"/>
      <x:c r="G15" s="217"/>
      <x:c r="H15" s="217"/>
      <x:c r="I15" s="217"/>
      <x:c r="J15" s="217"/>
    </x:row>
    <x:row r="16">
      <x:c r="A16" s="217"/>
      <x:c r="B16" s="217"/>
      <x:c r="C16" s="217"/>
      <x:c r="D16" s="217"/>
      <x:c r="E16" s="217"/>
      <x:c r="F16" s="217"/>
      <x:c r="G16" s="217"/>
      <x:c r="H16" s="217"/>
      <x:c r="I16" s="217"/>
      <x:c r="J16" s="217"/>
    </x:row>
    <x:row r="17">
      <x:c r="A17" s="217"/>
      <x:c r="B17" s="217"/>
      <x:c r="C17" s="217"/>
      <x:c r="D17" s="217"/>
      <x:c r="E17" s="217"/>
      <x:c r="F17" s="217"/>
      <x:c r="G17" s="217"/>
      <x:c r="H17" s="217"/>
      <x:c r="I17" s="217"/>
      <x:c r="J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  <x:c r="I18" s="217"/>
      <x:c r="J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  <x:c r="I19" s="217"/>
      <x:c r="J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  <x:c r="I20" s="217"/>
      <x:c r="J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  <x:c r="I21" s="217"/>
      <x:c r="J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  <x:c r="I22" s="217"/>
      <x:c r="J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  <x:c r="I23" s="217"/>
      <x:c r="J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  <x:c r="I24" s="217"/>
      <x:c r="J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  <x:c r="I25" s="217"/>
      <x:c r="J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  <x:c r="I26" s="217"/>
      <x:c r="J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  <x:c r="I27" s="217"/>
      <x:c r="J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  <x:c r="I28" s="217"/>
      <x:c r="J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  <x:c r="I29" s="217"/>
      <x:c r="J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  <x:c r="I30" s="217"/>
      <x:c r="J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  <x:c r="I31" s="217"/>
      <x:c r="J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  <x:c r="I32" s="217"/>
      <x:c r="J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  <x:c r="I33" s="217"/>
      <x:c r="J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  <x:c r="I34" s="217"/>
      <x:c r="J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  <x:c r="I35" s="217"/>
      <x:c r="J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  <x:c r="I36" s="217"/>
      <x:c r="J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  <x:c r="I37" s="217"/>
      <x:c r="J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  <x:c r="I38" s="217"/>
      <x:c r="J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  <x:c r="I39" s="217"/>
      <x:c r="J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  <x:c r="I40" s="217"/>
      <x:c r="J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  <x:c r="I41" s="217"/>
      <x:c r="J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  <x:c r="I42" s="217"/>
      <x:c r="J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  <x:c r="I43" s="217"/>
      <x:c r="J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  <x:c r="I44" s="217"/>
      <x:c r="J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  <x:c r="I45" s="217"/>
      <x:c r="J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  <x:c r="I46" s="217"/>
      <x:c r="J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  <x:c r="I47" s="217"/>
      <x:c r="J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  <x:c r="I48" s="217"/>
      <x:c r="J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  <x:c r="I49" s="217"/>
      <x:c r="J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  <x:c r="I50" s="217"/>
      <x:c r="J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  <x:c r="I51" s="217"/>
      <x:c r="J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  <x:c r="I52" s="217"/>
      <x:c r="J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  <x:c r="I53" s="217"/>
      <x:c r="J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  <x:c r="I54" s="217"/>
      <x:c r="J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  <x:c r="I55" s="217"/>
      <x:c r="J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  <x:c r="I56" s="217"/>
      <x:c r="J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  <x:c r="I57" s="217"/>
      <x:c r="J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  <x:c r="I58" s="217"/>
      <x:c r="J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  <x:c r="I59" s="217"/>
      <x:c r="J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  <x:c r="I60" s="217"/>
      <x:c r="J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  <x:c r="I61" s="217"/>
      <x:c r="J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  <x:c r="I62" s="217"/>
      <x:c r="J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  <x:c r="I63" s="217"/>
      <x:c r="J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  <x:c r="I64" s="217"/>
      <x:c r="J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  <x:c r="I65" s="217"/>
      <x:c r="J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  <x:c r="I66" s="217"/>
      <x:c r="J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  <x:c r="I67" s="217"/>
      <x:c r="J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  <x:c r="I68" s="217"/>
      <x:c r="J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  <x:c r="I69" s="217"/>
      <x:c r="J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  <x:c r="I70" s="217"/>
      <x:c r="J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  <x:c r="I71" s="217"/>
      <x:c r="J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  <x:c r="I72" s="217"/>
      <x:c r="J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  <x:c r="I73" s="217"/>
      <x:c r="J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  <x:c r="I74" s="217"/>
      <x:c r="J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  <x:c r="I75" s="217"/>
      <x:c r="J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  <x:c r="I76" s="217"/>
      <x:c r="J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  <x:c r="I77" s="217"/>
      <x:c r="J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  <x:c r="I78" s="217"/>
      <x:c r="J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  <x:c r="I79" s="217"/>
      <x:c r="J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  <x:c r="I80" s="217"/>
      <x:c r="J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  <x:c r="I81" s="217"/>
      <x:c r="J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  <x:c r="I82" s="217"/>
      <x:c r="J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  <x:c r="I83" s="217"/>
      <x:c r="J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  <x:c r="I84" s="217"/>
      <x:c r="J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  <x:c r="I85" s="217"/>
      <x:c r="J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  <x:c r="I86" s="217"/>
      <x:c r="J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  <x:c r="I87" s="217"/>
      <x:c r="J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  <x:c r="I88" s="217"/>
      <x:c r="J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  <x:c r="I89" s="217"/>
      <x:c r="J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  <x:c r="I90" s="217"/>
      <x:c r="J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  <x:c r="I91" s="217"/>
      <x:c r="J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  <x:c r="I92" s="217"/>
      <x:c r="J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  <x:c r="I93" s="217"/>
      <x:c r="J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  <x:c r="I94" s="217"/>
      <x:c r="J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  <x:c r="I95" s="217"/>
      <x:c r="J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  <x:c r="I96" s="217"/>
      <x:c r="J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  <x:c r="I97" s="217"/>
      <x:c r="J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  <x:c r="I98" s="217"/>
      <x:c r="J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  <x:c r="I99" s="217"/>
      <x:c r="J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  <x:c r="I100" s="217"/>
      <x:c r="J100" s="217"/>
    </x:row>
    <x:row r="101">
      <x:c r="A101" s="217"/>
      <x:c r="B101" s="217"/>
      <x:c r="C101" s="217"/>
      <x:c r="D101" s="217"/>
      <x:c r="E101" s="217"/>
      <x:c r="F101" s="217"/>
      <x:c r="G101" s="217"/>
      <x:c r="H101" s="217"/>
      <x:c r="I101" s="217"/>
      <x:c r="J101" s="217"/>
    </x:row>
    <x:row r="102">
      <x:c r="A102" s="217"/>
      <x:c r="B102" s="217"/>
      <x:c r="C102" s="217"/>
      <x:c r="D102" s="217"/>
      <x:c r="E102" s="217"/>
      <x:c r="F102" s="217"/>
      <x:c r="G102" s="217"/>
      <x:c r="H102" s="217"/>
      <x:c r="I102" s="217"/>
      <x:c r="J102" s="217"/>
    </x:row>
    <x:row r="103">
      <x:c r="A103" s="217"/>
      <x:c r="B103" s="217"/>
      <x:c r="C103" s="217"/>
      <x:c r="D103" s="217"/>
      <x:c r="E103" s="217"/>
      <x:c r="F103" s="217"/>
      <x:c r="G103" s="217"/>
      <x:c r="H103" s="217"/>
      <x:c r="I103" s="217"/>
      <x:c r="J103" s="217"/>
    </x:row>
    <x:row r="104">
      <x:c r="A104" s="217"/>
      <x:c r="B104" s="217"/>
      <x:c r="C104" s="217"/>
      <x:c r="D104" s="217"/>
      <x:c r="E104" s="217"/>
      <x:c r="F104" s="217"/>
      <x:c r="G104" s="217"/>
      <x:c r="H104" s="217"/>
      <x:c r="I104" s="217"/>
      <x:c r="J104" s="217"/>
    </x:row>
    <x:row r="105">
      <x:c r="A105" s="217"/>
      <x:c r="B105" s="217"/>
      <x:c r="C105" s="217"/>
      <x:c r="D105" s="217"/>
      <x:c r="E105" s="217"/>
      <x:c r="F105" s="217"/>
      <x:c r="G105" s="217"/>
      <x:c r="H105" s="217"/>
      <x:c r="I105" s="217"/>
      <x:c r="J105" s="217"/>
    </x:row>
    <x:row r="106">
      <x:c r="A106" s="217"/>
      <x:c r="B106" s="217"/>
      <x:c r="C106" s="217"/>
      <x:c r="D106" s="217"/>
      <x:c r="E106" s="217"/>
      <x:c r="F106" s="217"/>
      <x:c r="G106" s="217"/>
      <x:c r="H106" s="217"/>
      <x:c r="I106" s="217"/>
      <x:c r="J106" s="217"/>
    </x:row>
    <x:row r="107">
      <x:c r="A107" s="217"/>
      <x:c r="B107" s="217"/>
      <x:c r="C107" s="217"/>
      <x:c r="D107" s="217"/>
      <x:c r="E107" s="217"/>
      <x:c r="F107" s="217"/>
      <x:c r="G107" s="217"/>
      <x:c r="H107" s="217"/>
      <x:c r="I107" s="217"/>
      <x:c r="J107" s="217"/>
    </x:row>
    <x:row r="108">
      <x:c r="A108" s="217"/>
      <x:c r="B108" s="217"/>
      <x:c r="C108" s="217"/>
      <x:c r="D108" s="217"/>
      <x:c r="E108" s="217"/>
      <x:c r="F108" s="217"/>
      <x:c r="G108" s="217"/>
      <x:c r="H108" s="217"/>
      <x:c r="I108" s="217"/>
      <x:c r="J108" s="217"/>
    </x:row>
    <x:row r="109">
      <x:c r="A109" s="217"/>
      <x:c r="B109" s="217"/>
      <x:c r="C109" s="217"/>
      <x:c r="D109" s="217"/>
      <x:c r="E109" s="217"/>
      <x:c r="F109" s="217"/>
      <x:c r="G109" s="217"/>
      <x:c r="H109" s="217"/>
      <x:c r="I109" s="217"/>
      <x:c r="J109" s="217"/>
    </x:row>
    <x:row r="110">
      <x:c r="A110" s="217"/>
      <x:c r="B110" s="217"/>
      <x:c r="C110" s="217"/>
      <x:c r="D110" s="217"/>
      <x:c r="E110" s="217"/>
      <x:c r="F110" s="217"/>
      <x:c r="G110" s="217"/>
      <x:c r="H110" s="217"/>
      <x:c r="I110" s="217"/>
      <x:c r="J110" s="217"/>
    </x:row>
    <x:row r="111">
      <x:c r="A111" s="217"/>
      <x:c r="B111" s="217"/>
      <x:c r="C111" s="217"/>
      <x:c r="D111" s="217"/>
      <x:c r="E111" s="217"/>
      <x:c r="F111" s="217"/>
      <x:c r="G111" s="217"/>
      <x:c r="H111" s="217"/>
      <x:c r="I111" s="217"/>
      <x:c r="J111" s="217"/>
    </x:row>
    <x:row r="112">
      <x:c r="A112" s="217"/>
      <x:c r="B112" s="217"/>
      <x:c r="C112" s="217"/>
      <x:c r="D112" s="217"/>
      <x:c r="E112" s="217"/>
      <x:c r="F112" s="217"/>
      <x:c r="G112" s="217"/>
      <x:c r="H112" s="217"/>
      <x:c r="I112" s="217"/>
      <x:c r="J112" s="217"/>
    </x:row>
    <x:row r="113">
      <x:c r="A113" s="217"/>
      <x:c r="B113" s="217"/>
      <x:c r="C113" s="217"/>
      <x:c r="D113" s="217"/>
      <x:c r="E113" s="217"/>
      <x:c r="F113" s="217"/>
      <x:c r="G113" s="217"/>
      <x:c r="H113" s="217"/>
      <x:c r="I113" s="217"/>
      <x:c r="J113" s="217"/>
    </x:row>
    <x:row r="114">
      <x:c r="A114" s="217"/>
      <x:c r="B114" s="217"/>
      <x:c r="C114" s="217"/>
      <x:c r="D114" s="217"/>
      <x:c r="E114" s="217"/>
      <x:c r="F114" s="217"/>
      <x:c r="G114" s="217"/>
      <x:c r="H114" s="217"/>
      <x:c r="I114" s="217"/>
      <x:c r="J114" s="217"/>
    </x:row>
    <x:row r="115">
      <x:c r="A115" s="217"/>
      <x:c r="B115" s="217"/>
      <x:c r="C115" s="217"/>
      <x:c r="D115" s="217"/>
      <x:c r="E115" s="217"/>
      <x:c r="F115" s="217"/>
      <x:c r="G115" s="217"/>
      <x:c r="H115" s="217"/>
      <x:c r="I115" s="217"/>
      <x:c r="J115" s="217"/>
    </x:row>
    <x:row r="116">
      <x:c r="A116" s="217"/>
      <x:c r="B116" s="217"/>
      <x:c r="C116" s="217"/>
      <x:c r="D116" s="217"/>
      <x:c r="E116" s="217"/>
      <x:c r="F116" s="217"/>
      <x:c r="G116" s="217"/>
      <x:c r="H116" s="217"/>
      <x:c r="I116" s="217"/>
      <x:c r="J116" s="217"/>
    </x:row>
    <x:row r="117">
      <x:c r="A117" s="217"/>
      <x:c r="B117" s="217"/>
      <x:c r="C117" s="217"/>
      <x:c r="D117" s="217"/>
      <x:c r="E117" s="217"/>
      <x:c r="F117" s="217"/>
      <x:c r="G117" s="217"/>
      <x:c r="H117" s="217"/>
      <x:c r="I117" s="217"/>
      <x:c r="J117" s="217"/>
    </x:row>
    <x:row r="118">
      <x:c r="A118" s="217"/>
      <x:c r="B118" s="217"/>
      <x:c r="C118" s="217"/>
      <x:c r="D118" s="217"/>
      <x:c r="E118" s="217"/>
      <x:c r="F118" s="217"/>
      <x:c r="G118" s="217"/>
      <x:c r="H118" s="217"/>
      <x:c r="I118" s="217"/>
      <x:c r="J118" s="217"/>
    </x:row>
    <x:row r="119">
      <x:c r="A119" s="217"/>
      <x:c r="B119" s="217"/>
      <x:c r="C119" s="217"/>
      <x:c r="D119" s="217"/>
      <x:c r="E119" s="217"/>
      <x:c r="F119" s="217"/>
      <x:c r="G119" s="217"/>
      <x:c r="H119" s="217"/>
      <x:c r="I119" s="217"/>
      <x:c r="J119" s="217"/>
    </x:row>
    <x:row r="120">
      <x:c r="A120" s="217"/>
      <x:c r="B120" s="217"/>
      <x:c r="C120" s="217"/>
      <x:c r="D120" s="217"/>
      <x:c r="E120" s="217"/>
      <x:c r="F120" s="217"/>
      <x:c r="G120" s="217"/>
      <x:c r="H120" s="217"/>
      <x:c r="I120" s="217"/>
      <x:c r="J120" s="217"/>
    </x:row>
  </x:sheetData>
  <x:mergeCells>
    <x:mergeCell ref="A1:J1"/>
  </x:mergeCells>
  <x:dataValidations count="4">
    <x:dataValidation type="list" sqref="B4:B120">
      <x:formula1>"Risk,Issue"</x:formula1>
    </x:dataValidation>
    <x:dataValidation type="list" sqref="D4:D120">
      <x:formula1>"Low,Medium,High,N/A"</x:formula1>
    </x:dataValidation>
    <x:dataValidation type="list" sqref="E4:E120">
      <x:formula1>"Low,Medium,High"</x:formula1>
    </x:dataValidation>
    <x:dataValidation type="list" sqref="H4:H120">
      <x:formula1>"Open,Mitigating,Closed,Accepted"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0" hidden="0" customWidth="1"/>
    <x:col min="4" max="4" width="46" hidden="0" customWidth="1"/>
    <x:col min="5" max="5" width="15" hidden="0" customWidth="1"/>
    <x:col min="6" max="6" width="28" hidden="0" customWidth="1"/>
    <x:col min="7" max="7" width="38" hidden="0" customWidth="1"/>
    <x:col min="8" max="8" width="12" hidden="0" customWidth="1"/>
    <x:col min="9" max="9" width="34" hidden="0" customWidth="1"/>
  </x:cols>
  <x:sheetData>
    <x:row r="1" ht="28" customHeight="1">
      <x:c r="A1" s="205" t="str">
        <x:v>Artifact and Evidence Register</x:v>
      </x:c>
    </x:row>
    <x:row r="3">
      <x:c r="A3" s="229" t="str">
        <x:v>Evidence ID</x:v>
      </x:c>
      <x:c r="B3" s="229" t="str">
        <x:v>Date</x:v>
      </x:c>
      <x:c r="C3" s="229" t="str">
        <x:v>WBS</x:v>
      </x:c>
      <x:c r="D3" s="229" t="str">
        <x:v>Evidence</x:v>
      </x:c>
      <x:c r="E3" s="229" t="str">
        <x:v>Type</x:v>
      </x:c>
      <x:c r="F3" s="229" t="str">
        <x:v>Location / Commit</x:v>
      </x:c>
      <x:c r="G3" s="229" t="str">
        <x:v>Acceptance Supported</x:v>
      </x:c>
      <x:c r="H3" s="229" t="str">
        <x:v>Status</x:v>
      </x:c>
      <x:c r="I3" s="229" t="str">
        <x:v>Notes</x:v>
      </x:c>
    </x:row>
    <x:row r="4">
      <x:c r="A4" s="217" t="str">
        <x:v>EV-001</x:v>
      </x:c>
      <x:c r="B4" s="238" t="n">
        <x:v>46201</x:v>
      </x:c>
      <x:c r="C4" s="217" t="str">
        <x:v>0.1</x:v>
      </x:c>
      <x:c r="D4" s="217" t="str">
        <x:v>Python 3.14.2 virtual environment and repository commissioning verified.</x:v>
      </x:c>
      <x:c r="E4" s="217" t="str">
        <x:v>Environment</x:v>
      </x:c>
      <x:c r="F4" s="217" t="str">
        <x:v>Local repository</x:v>
      </x:c>
      <x:c r="G4" s="217" t="str">
        <x:v>Environment baseline</x:v>
      </x:c>
      <x:c r="H4" s="217" t="str">
        <x:v>Accepted</x:v>
      </x:c>
      <x:c r="I4" s="217" t="str">
        <x:v>Starter repository operational.</x:v>
      </x:c>
    </x:row>
    <x:row r="5">
      <x:c r="A5" s="217" t="str">
        <x:v>EV-002</x:v>
      </x:c>
      <x:c r="B5" s="238" t="n">
        <x:v>46203</x:v>
      </x:c>
      <x:c r="C5" s="217" t="str">
        <x:v>0.2</x:v>
      </x:c>
      <x:c r="D5" s="217" t="str">
        <x:v>First controlled feature/PR cycle and unknown-case regression.</x:v>
      </x:c>
      <x:c r="E5" s="217" t="str">
        <x:v>Git / Test</x:v>
      </x:c>
      <x:c r="F5" s="217" t="str">
        <x:v>PR #1; merge 29f4879</x:v>
      </x:c>
      <x:c r="G5" s="217" t="str">
        <x:v>Git baseline; controlled errors</x:v>
      </x:c>
      <x:c r="H5" s="217" t="str">
        <x:v>Accepted</x:v>
      </x:c>
      <x:c r="I5" s="217" t="str">
        <x:v>20 tests passed.</x:v>
      </x:c>
    </x:row>
    <x:row r="6">
      <x:c r="A6" s="217" t="str">
        <x:v>EV-003</x:v>
      </x:c>
      <x:c r="B6" s="238" t="n">
        <x:v>46207</x:v>
      </x:c>
      <x:c r="C6" s="217" t="str">
        <x:v>0.3</x:v>
      </x:c>
      <x:c r="D6" s="217" t="str">
        <x:v>Targeted load_case_by_id and CLI inspect decoupling.</x:v>
      </x:c>
      <x:c r="E6" s="217" t="str">
        <x:v>Code / Test</x:v>
      </x:c>
      <x:c r="F6" s="217" t="str">
        <x:v>PR #2; merge 84ae42e</x:v>
      </x:c>
      <x:c r="G6" s="217" t="str">
        <x:v>Targeted case loading</x:v>
      </x:c>
      <x:c r="H6" s="217" t="str">
        <x:v>Accepted</x:v>
      </x:c>
      <x:c r="I6" s="217" t="str">
        <x:v>22 tests passed.</x:v>
      </x:c>
    </x:row>
    <x:row r="7">
      <x:c r="A7" s="217" t="str">
        <x:v>EV-004</x:v>
      </x:c>
      <x:c r="B7" s="238" t="n">
        <x:v>46207</x:v>
      </x:c>
      <x:c r="C7" s="217" t="str">
        <x:v>0.3</x:v>
      </x:c>
      <x:c r="D7" s="217" t="str">
        <x:v>Inspect case isolation regression.</x:v>
      </x:c>
      <x:c r="E7" s="217" t="str">
        <x:v>Test</x:v>
      </x:c>
      <x:c r="F7" s="217" t="str">
        <x:v>PR #3; merge 90ead34</x:v>
      </x:c>
      <x:c r="G7" s="217" t="str">
        <x:v>Unrelated invalid case does not block inspect</x:v>
      </x:c>
      <x:c r="H7" s="217" t="str">
        <x:v>Accepted</x:v>
      </x:c>
      <x:c r="I7" s="217" t="str">
        <x:v>23 tests passed.</x:v>
      </x:c>
    </x:row>
    <x:row r="8">
      <x:c r="A8" s="217" t="str">
        <x:v>EV-005</x:v>
      </x:c>
      <x:c r="B8" s="238" t="n">
        <x:v>46207</x:v>
      </x:c>
      <x:c r="C8" s="217" t="str">
        <x:v>0.3</x:v>
      </x:c>
      <x:c r="D8" s="217" t="str">
        <x:v>Evaluator weight-sum seeded-defect test.</x:v>
      </x:c>
      <x:c r="E8" s="217" t="str">
        <x:v>Test</x:v>
      </x:c>
      <x:c r="F8" s="217" t="str">
        <x:v>PR #4; merge 8399f1f</x:v>
      </x:c>
      <x:c r="G8" s="217" t="str">
        <x:v>Invalid scoring configuration rejected</x:v>
      </x:c>
      <x:c r="H8" s="217" t="str">
        <x:v>Accepted</x:v>
      </x:c>
      <x:c r="I8" s="217" t="str">
        <x:v>24 tests passed.</x:v>
      </x:c>
    </x:row>
    <x:row r="9">
      <x:c r="A9" s="217" t="str">
        <x:v>EV-006</x:v>
      </x:c>
      <x:c r="B9" s="238" t="n">
        <x:v>46207</x:v>
      </x:c>
      <x:c r="C9" s="217" t="str">
        <x:v>0.3</x:v>
      </x:c>
      <x:c r="D9" s="217" t="str">
        <x:v>Missing input-asset seeded-defect test.</x:v>
      </x:c>
      <x:c r="E9" s="217" t="str">
        <x:v>Test</x:v>
      </x:c>
      <x:c r="F9" s="217" t="str">
        <x:v>PR #5; merge 0205c60</x:v>
      </x:c>
      <x:c r="G9" s="217" t="str">
        <x:v>Missing declared assets rejected</x:v>
      </x:c>
      <x:c r="H9" s="217" t="str">
        <x:v>Accepted</x:v>
      </x:c>
      <x:c r="I9" s="217" t="str">
        <x:v>25 tests passed.</x:v>
      </x:c>
    </x:row>
    <x:row r="10">
      <x:c r="A10" s="217" t="str">
        <x:v>EV-007</x:v>
      </x:c>
      <x:c r="B10" s="238" t="n">
        <x:v>46207</x:v>
      </x:c>
      <x:c r="C10" s="217" t="str">
        <x:v>0.2</x:v>
      </x:c>
      <x:c r="D10" s="217" t="str">
        <x:v>Architecture checkpoint draft defines current layers, implemented state, and next milestone.</x:v>
      </x:c>
      <x:c r="E10" s="217" t="str">
        <x:v>Documentation</x:v>
      </x:c>
      <x:c r="F10" s="217" t="str">
        <x:v>docs/architecture.md</x:v>
      </x:c>
      <x:c r="G10" s="217" t="str">
        <x:v>Architecture understanding</x:v>
      </x:c>
      <x:c r="H10" s="217" t="str">
        <x:v>Accepted</x:v>
      </x:c>
      <x:c r="I10" s="217" t="str">
        <x:v>Committed in c71676d.</x:v>
      </x:c>
    </x:row>
    <x:row r="11">
      <x:c r="A11" s="217" t="str">
        <x:v>EV-008</x:v>
      </x:c>
      <x:c r="B11" s="238" t="n">
        <x:v>46207</x:v>
      </x:c>
      <x:c r="C11" s="217" t="str">
        <x:v>0.2</x:v>
      </x:c>
      <x:c r="D11" s="217" t="str">
        <x:v>Aggressive 8-week MVP rebaseline and control registers.</x:v>
      </x:c>
      <x:c r="E11" s="217" t="str">
        <x:v>Project control</x:v>
      </x:c>
      <x:c r="F11" s="217" t="str">
        <x:v>gantt.xlsx</x:v>
      </x:c>
      <x:c r="G11" s="217" t="str">
        <x:v>Control baseline</x:v>
      </x:c>
      <x:c r="H11" s="217" t="str">
        <x:v>Accepted</x:v>
      </x:c>
      <x:c r="I11" s="217" t="str">
        <x:v>Committed in c71676d and adopted as the controlling project workbook.</x:v>
      </x:c>
    </x:row>
    <x:row r="12">
      <x:c r="A12" s="217" t="str">
        <x:v>EV-009</x:v>
      </x:c>
      <x:c r="B12" s="238" t="n">
        <x:v>46207</x:v>
      </x:c>
      <x:c r="C12" s="217" t="str">
        <x:v>0.2</x:v>
      </x:c>
      <x:c r="D12" s="217" t="str">
        <x:v>Architecture and MVP control baseline committed and pushed with a clean main branch.</x:v>
      </x:c>
      <x:c r="E12" s="217" t="str">
        <x:v>Git / Project control</x:v>
      </x:c>
      <x:c r="F12" s="217" t="str">
        <x:v>c71676d</x:v>
      </x:c>
      <x:c r="G12" s="217" t="str">
        <x:v>Gate 0 — control baseline accepted</x:v>
      </x:c>
      <x:c r="H12" s="217" t="str">
        <x:v>Accepted</x:v>
      </x:c>
      <x:c r="I12" s="217" t="str">
        <x:v>Repository main and origin/main synchronized.</x:v>
      </x:c>
    </x:row>
    <x:row r="13">
      <x:c r="A13" s="217"/>
      <x:c r="B13" s="217"/>
      <x:c r="C13" s="217"/>
      <x:c r="D13" s="217"/>
      <x:c r="E13" s="217"/>
      <x:c r="F13" s="217"/>
      <x:c r="G13" s="217"/>
      <x:c r="H13" s="217"/>
      <x:c r="I13" s="217"/>
    </x:row>
    <x:row r="14">
      <x:c r="A14" s="217"/>
      <x:c r="B14" s="217"/>
      <x:c r="C14" s="217"/>
      <x:c r="D14" s="217"/>
      <x:c r="E14" s="217"/>
      <x:c r="F14" s="217"/>
      <x:c r="G14" s="217"/>
      <x:c r="H14" s="217"/>
      <x:c r="I14" s="217"/>
    </x:row>
    <x:row r="15">
      <x:c r="A15" s="217"/>
      <x:c r="B15" s="217"/>
      <x:c r="C15" s="217"/>
      <x:c r="D15" s="217"/>
      <x:c r="E15" s="217"/>
      <x:c r="F15" s="217"/>
      <x:c r="G15" s="217"/>
      <x:c r="H15" s="217"/>
      <x:c r="I15" s="217"/>
    </x:row>
    <x:row r="16">
      <x:c r="A16" s="217"/>
      <x:c r="B16" s="217"/>
      <x:c r="C16" s="217"/>
      <x:c r="D16" s="217"/>
      <x:c r="E16" s="217"/>
      <x:c r="F16" s="217"/>
      <x:c r="G16" s="217"/>
      <x:c r="H16" s="217"/>
      <x:c r="I16" s="217"/>
    </x:row>
    <x:row r="17">
      <x:c r="A17" s="217"/>
      <x:c r="B17" s="217"/>
      <x:c r="C17" s="217"/>
      <x:c r="D17" s="217"/>
      <x:c r="E17" s="217"/>
      <x:c r="F17" s="217"/>
      <x:c r="G17" s="217"/>
      <x:c r="H17" s="217"/>
      <x:c r="I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  <x:c r="I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  <x:c r="I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  <x:c r="I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  <x:c r="I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  <x:c r="I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  <x:c r="I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  <x:c r="I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  <x:c r="I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  <x:c r="I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  <x:c r="I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  <x:c r="I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  <x:c r="I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  <x:c r="I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  <x:c r="I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  <x:c r="I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  <x:c r="I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  <x:c r="I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  <x:c r="I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  <x:c r="I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  <x:c r="I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  <x:c r="I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  <x:c r="I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  <x:c r="I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  <x:c r="I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  <x:c r="I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  <x:c r="I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  <x:c r="I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  <x:c r="I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  <x:c r="I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  <x:c r="I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  <x:c r="I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  <x:c r="I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  <x:c r="I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  <x:c r="I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  <x:c r="I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  <x:c r="I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  <x:c r="I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  <x:c r="I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  <x:c r="I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  <x:c r="I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  <x:c r="I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  <x:c r="I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  <x:c r="I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  <x:c r="I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  <x:c r="I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  <x:c r="I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  <x:c r="I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  <x:c r="I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  <x:c r="I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  <x:c r="I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  <x:c r="I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  <x:c r="I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  <x:c r="I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  <x:c r="I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  <x:c r="I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  <x:c r="I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  <x:c r="I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  <x:c r="I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  <x:c r="I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  <x:c r="I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  <x:c r="I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  <x:c r="I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  <x:c r="I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  <x:c r="I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  <x:c r="I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  <x:c r="I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  <x:c r="I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  <x:c r="I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  <x:c r="I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  <x:c r="I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  <x:c r="I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  <x:c r="I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  <x:c r="I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  <x:c r="I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  <x:c r="I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  <x:c r="I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  <x:c r="I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  <x:c r="I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  <x:c r="I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  <x:c r="I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  <x:c r="I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  <x:c r="I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  <x:c r="I100" s="217"/>
    </x:row>
    <x:row r="101">
      <x:c r="A101" s="217"/>
      <x:c r="B101" s="217"/>
      <x:c r="C101" s="217"/>
      <x:c r="D101" s="217"/>
      <x:c r="E101" s="217"/>
      <x:c r="F101" s="217"/>
      <x:c r="G101" s="217"/>
      <x:c r="H101" s="217"/>
      <x:c r="I101" s="217"/>
    </x:row>
    <x:row r="102">
      <x:c r="A102" s="217"/>
      <x:c r="B102" s="217"/>
      <x:c r="C102" s="217"/>
      <x:c r="D102" s="217"/>
      <x:c r="E102" s="217"/>
      <x:c r="F102" s="217"/>
      <x:c r="G102" s="217"/>
      <x:c r="H102" s="217"/>
      <x:c r="I102" s="217"/>
    </x:row>
    <x:row r="103">
      <x:c r="A103" s="217"/>
      <x:c r="B103" s="217"/>
      <x:c r="C103" s="217"/>
      <x:c r="D103" s="217"/>
      <x:c r="E103" s="217"/>
      <x:c r="F103" s="217"/>
      <x:c r="G103" s="217"/>
      <x:c r="H103" s="217"/>
      <x:c r="I103" s="217"/>
    </x:row>
    <x:row r="104">
      <x:c r="A104" s="217"/>
      <x:c r="B104" s="217"/>
      <x:c r="C104" s="217"/>
      <x:c r="D104" s="217"/>
      <x:c r="E104" s="217"/>
      <x:c r="F104" s="217"/>
      <x:c r="G104" s="217"/>
      <x:c r="H104" s="217"/>
      <x:c r="I104" s="217"/>
    </x:row>
    <x:row r="105">
      <x:c r="A105" s="217"/>
      <x:c r="B105" s="217"/>
      <x:c r="C105" s="217"/>
      <x:c r="D105" s="217"/>
      <x:c r="E105" s="217"/>
      <x:c r="F105" s="217"/>
      <x:c r="G105" s="217"/>
      <x:c r="H105" s="217"/>
      <x:c r="I105" s="217"/>
    </x:row>
    <x:row r="106">
      <x:c r="A106" s="217"/>
      <x:c r="B106" s="217"/>
      <x:c r="C106" s="217"/>
      <x:c r="D106" s="217"/>
      <x:c r="E106" s="217"/>
      <x:c r="F106" s="217"/>
      <x:c r="G106" s="217"/>
      <x:c r="H106" s="217"/>
      <x:c r="I106" s="217"/>
    </x:row>
    <x:row r="107">
      <x:c r="A107" s="217"/>
      <x:c r="B107" s="217"/>
      <x:c r="C107" s="217"/>
      <x:c r="D107" s="217"/>
      <x:c r="E107" s="217"/>
      <x:c r="F107" s="217"/>
      <x:c r="G107" s="217"/>
      <x:c r="H107" s="217"/>
      <x:c r="I107" s="217"/>
    </x:row>
    <x:row r="108">
      <x:c r="A108" s="217"/>
      <x:c r="B108" s="217"/>
      <x:c r="C108" s="217"/>
      <x:c r="D108" s="217"/>
      <x:c r="E108" s="217"/>
      <x:c r="F108" s="217"/>
      <x:c r="G108" s="217"/>
      <x:c r="H108" s="217"/>
      <x:c r="I108" s="217"/>
    </x:row>
    <x:row r="109">
      <x:c r="A109" s="217"/>
      <x:c r="B109" s="217"/>
      <x:c r="C109" s="217"/>
      <x:c r="D109" s="217"/>
      <x:c r="E109" s="217"/>
      <x:c r="F109" s="217"/>
      <x:c r="G109" s="217"/>
      <x:c r="H109" s="217"/>
      <x:c r="I109" s="217"/>
    </x:row>
    <x:row r="110">
      <x:c r="A110" s="217"/>
      <x:c r="B110" s="217"/>
      <x:c r="C110" s="217"/>
      <x:c r="D110" s="217"/>
      <x:c r="E110" s="217"/>
      <x:c r="F110" s="217"/>
      <x:c r="G110" s="217"/>
      <x:c r="H110" s="217"/>
      <x:c r="I110" s="217"/>
    </x:row>
    <x:row r="111">
      <x:c r="A111" s="217"/>
      <x:c r="B111" s="217"/>
      <x:c r="C111" s="217"/>
      <x:c r="D111" s="217"/>
      <x:c r="E111" s="217"/>
      <x:c r="F111" s="217"/>
      <x:c r="G111" s="217"/>
      <x:c r="H111" s="217"/>
      <x:c r="I111" s="217"/>
    </x:row>
    <x:row r="112">
      <x:c r="A112" s="217"/>
      <x:c r="B112" s="217"/>
      <x:c r="C112" s="217"/>
      <x:c r="D112" s="217"/>
      <x:c r="E112" s="217"/>
      <x:c r="F112" s="217"/>
      <x:c r="G112" s="217"/>
      <x:c r="H112" s="217"/>
      <x:c r="I112" s="217"/>
    </x:row>
    <x:row r="113">
      <x:c r="A113" s="217"/>
      <x:c r="B113" s="217"/>
      <x:c r="C113" s="217"/>
      <x:c r="D113" s="217"/>
      <x:c r="E113" s="217"/>
      <x:c r="F113" s="217"/>
      <x:c r="G113" s="217"/>
      <x:c r="H113" s="217"/>
      <x:c r="I113" s="217"/>
    </x:row>
    <x:row r="114">
      <x:c r="A114" s="217"/>
      <x:c r="B114" s="217"/>
      <x:c r="C114" s="217"/>
      <x:c r="D114" s="217"/>
      <x:c r="E114" s="217"/>
      <x:c r="F114" s="217"/>
      <x:c r="G114" s="217"/>
      <x:c r="H114" s="217"/>
      <x:c r="I114" s="217"/>
    </x:row>
    <x:row r="115">
      <x:c r="A115" s="217"/>
      <x:c r="B115" s="217"/>
      <x:c r="C115" s="217"/>
      <x:c r="D115" s="217"/>
      <x:c r="E115" s="217"/>
      <x:c r="F115" s="217"/>
      <x:c r="G115" s="217"/>
      <x:c r="H115" s="217"/>
      <x:c r="I115" s="217"/>
    </x:row>
    <x:row r="116">
      <x:c r="A116" s="217"/>
      <x:c r="B116" s="217"/>
      <x:c r="C116" s="217"/>
      <x:c r="D116" s="217"/>
      <x:c r="E116" s="217"/>
      <x:c r="F116" s="217"/>
      <x:c r="G116" s="217"/>
      <x:c r="H116" s="217"/>
      <x:c r="I116" s="217"/>
    </x:row>
    <x:row r="117">
      <x:c r="A117" s="217"/>
      <x:c r="B117" s="217"/>
      <x:c r="C117" s="217"/>
      <x:c r="D117" s="217"/>
      <x:c r="E117" s="217"/>
      <x:c r="F117" s="217"/>
      <x:c r="G117" s="217"/>
      <x:c r="H117" s="217"/>
      <x:c r="I117" s="217"/>
    </x:row>
    <x:row r="118">
      <x:c r="A118" s="217"/>
      <x:c r="B118" s="217"/>
      <x:c r="C118" s="217"/>
      <x:c r="D118" s="217"/>
      <x:c r="E118" s="217"/>
      <x:c r="F118" s="217"/>
      <x:c r="G118" s="217"/>
      <x:c r="H118" s="217"/>
      <x:c r="I118" s="217"/>
    </x:row>
    <x:row r="119">
      <x:c r="A119" s="217"/>
      <x:c r="B119" s="217"/>
      <x:c r="C119" s="217"/>
      <x:c r="D119" s="217"/>
      <x:c r="E119" s="217"/>
      <x:c r="F119" s="217"/>
      <x:c r="G119" s="217"/>
      <x:c r="H119" s="217"/>
      <x:c r="I119" s="217"/>
    </x:row>
    <x:row r="120">
      <x:c r="A120" s="217"/>
      <x:c r="B120" s="217"/>
      <x:c r="C120" s="217"/>
      <x:c r="D120" s="217"/>
      <x:c r="E120" s="217"/>
      <x:c r="F120" s="217"/>
      <x:c r="G120" s="217"/>
      <x:c r="H120" s="217"/>
      <x:c r="I120" s="217"/>
    </x:row>
  </x:sheetData>
  <x:mergeCells>
    <x:mergeCell ref="A1:I1"/>
  </x:mergeCells>
  <x:dataValidations count="1">
    <x:dataValidation type="list" sqref="H4:H120">
      <x:formula1>"Pending,Accepted,Rejected,Superseded"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38" hidden="0" customWidth="1"/>
    <x:col min="4" max="4" width="42" hidden="0" customWidth="1"/>
    <x:col min="5" max="5" width="42" hidden="0" customWidth="1"/>
    <x:col min="6" max="6" width="11" hidden="0" customWidth="1"/>
    <x:col min="7" max="7" width="12" hidden="0" customWidth="1"/>
    <x:col min="8" max="8" width="26" hidden="0" customWidth="1"/>
    <x:col min="9" max="9" width="12" hidden="0" customWidth="1"/>
  </x:cols>
  <x:sheetData>
    <x:row r="1" ht="28" customHeight="1">
      <x:c r="A1" s="205" t="str">
        <x:v>Post-MVP Expansion Backlog — Not Part of the Controlling MVP Baseline</x:v>
      </x:c>
    </x:row>
    <x:row r="2">
      <x:c r="A2" s="212" t="str">
        <x:v>These capabilities preserve the twelve-month strategy without allowing it to delay the first useful product. Select expansion work only after Gate 6 and a recorded decision.</x:v>
      </x:c>
      <x:c r="B2" s="212"/>
      <x:c r="C2" s="212"/>
      <x:c r="D2" s="212"/>
      <x:c r="E2" s="212"/>
      <x:c r="F2" s="212"/>
      <x:c r="G2" s="212"/>
      <x:c r="H2" s="212"/>
      <x:c r="I2" s="212"/>
    </x:row>
    <x:row r="4">
      <x:c r="A4" s="229" t="str">
        <x:v>ID</x:v>
      </x:c>
      <x:c r="B4" s="229" t="str">
        <x:v>Theme</x:v>
      </x:c>
      <x:c r="C4" s="229" t="str">
        <x:v>Deferred Capability</x:v>
      </x:c>
      <x:c r="D4" s="229" t="str">
        <x:v>Why Deferred</x:v>
      </x:c>
      <x:c r="E4" s="229" t="str">
        <x:v>Entry Criteria</x:v>
      </x:c>
      <x:c r="F4" s="229" t="str">
        <x:v>Priority</x:v>
      </x:c>
      <x:c r="G4" s="229" t="str">
        <x:v>Rough Hours</x:v>
      </x:c>
      <x:c r="H4" s="229" t="str">
        <x:v>Source Phase</x:v>
      </x:c>
      <x:c r="I4" s="229" t="str">
        <x:v>Status</x:v>
      </x:c>
    </x:row>
    <x:row r="5">
      <x:c r="A5" s="217" t="str">
        <x:v>X-01</x:v>
      </x:c>
      <x:c r="B5" s="217" t="str">
        <x:v>Benchmark scale</x:v>
      </x:c>
      <x:c r="C5" s="217" t="str">
        <x:v>Expand from 5 to 20+ cases</x:v>
      </x:c>
      <x:c r="D5" s="217" t="str">
        <x:v>MVP needs proof of flow before breadth.</x:v>
      </x:c>
      <x:c r="E5" s="217" t="str">
        <x:v>MVP benchmark stable and case authoring template proven.</x:v>
      </x:c>
      <x:c r="F5" s="217" t="str">
        <x:v>Next</x:v>
      </x:c>
      <x:c r="G5" s="217" t="str">
        <x:v>30</x:v>
      </x:c>
      <x:c r="H5" s="217" t="str">
        <x:v>Case Foundation / Evaluation Engine</x:v>
      </x:c>
      <x:c r="I5" s="217" t="str">
        <x:v>Deferred</x:v>
      </x:c>
    </x:row>
    <x:row r="6">
      <x:c r="A6" s="217" t="str">
        <x:v>X-02</x:v>
      </x:c>
      <x:c r="B6" s="217" t="str">
        <x:v>Multimodal</x:v>
      </x:c>
      <x:c r="C6" s="217" t="str">
        <x:v>PDF, drawing, table, and image evaluation</x:v>
      </x:c>
      <x:c r="D6" s="217" t="str">
        <x:v>Adds parsing, vision, and heterogeneous artifact complexity.</x:v>
      </x:c>
      <x:c r="E6" s="217" t="str">
        <x:v>JSON evaluator stable; one high-value multimodal workflow selected.</x:v>
      </x:c>
      <x:c r="F6" s="217" t="str">
        <x:v>High</x:v>
      </x:c>
      <x:c r="G6" s="217" t="str">
        <x:v>50</x:v>
      </x:c>
      <x:c r="H6" s="217" t="str">
        <x:v>Multimodal</x:v>
      </x:c>
      <x:c r="I6" s="217" t="str">
        <x:v>Deferred</x:v>
      </x:c>
    </x:row>
    <x:row r="7">
      <x:c r="A7" s="217" t="str">
        <x:v>X-03</x:v>
      </x:c>
      <x:c r="B7" s="217" t="str">
        <x:v>Agent runtime</x:v>
      </x:c>
      <x:c r="C7" s="217" t="str">
        <x:v>Bounded OpenClaw evaluation and trace capture</x:v>
      </x:c>
      <x:c r="D7" s="217" t="str">
        <x:v>Agent execution is not required to prove evaluator correctness.</x:v>
      </x:c>
      <x:c r="E7" s="217" t="str">
        <x:v>MVP released; sandbox and least-privilege plan approved.</x:v>
      </x:c>
      <x:c r="F7" s="217" t="str">
        <x:v>High</x:v>
      </x:c>
      <x:c r="G7" s="217" t="str">
        <x:v>45</x:v>
      </x:c>
      <x:c r="H7" s="217" t="str">
        <x:v>OpenClaw</x:v>
      </x:c>
      <x:c r="I7" s="217" t="str">
        <x:v>Deferred</x:v>
      </x:c>
    </x:row>
    <x:row r="8">
      <x:c r="A8" s="217" t="str">
        <x:v>X-04</x:v>
      </x:c>
      <x:c r="B8" s="217" t="str">
        <x:v>Process evaluation</x:v>
      </x:c>
      <x:c r="C8" s="217" t="str">
        <x:v>Trajectory schema and process-quality scoring</x:v>
      </x:c>
      <x:c r="D8" s="217" t="str">
        <x:v>Requires real traces and calibrated criteria.</x:v>
      </x:c>
      <x:c r="E8" s="217" t="str">
        <x:v>At least 10 preserved agent runs exist.</x:v>
      </x:c>
      <x:c r="F8" s="217" t="str">
        <x:v>High</x:v>
      </x:c>
      <x:c r="G8" s="217" t="str">
        <x:v>30</x:v>
      </x:c>
      <x:c r="H8" s="217" t="str">
        <x:v>OpenClaw / RL</x:v>
      </x:c>
      <x:c r="I8" s="217" t="str">
        <x:v>Deferred</x:v>
      </x:c>
    </x:row>
    <x:row r="9">
      <x:c r="A9" s="217" t="str">
        <x:v>X-05</x:v>
      </x:c>
      <x:c r="B9" s="217" t="str">
        <x:v>Comparative study</x:v>
      </x:c>
      <x:c r="C9" s="217" t="str">
        <x:v>Compare OpenClaw, direct model, and another harness</x:v>
      </x:c>
      <x:c r="D9" s="217" t="str">
        <x:v>Meaningful only after identical-task evaluator is stable.</x:v>
      </x:c>
      <x:c r="E9" s="217" t="str">
        <x:v>Two runtimes integrated on same cases.</x:v>
      </x:c>
      <x:c r="F9" s="217" t="str">
        <x:v>Medium</x:v>
      </x:c>
      <x:c r="G9" s="217" t="str">
        <x:v>30</x:v>
      </x:c>
      <x:c r="H9" s="217" t="str">
        <x:v>Comparative Harness</x:v>
      </x:c>
      <x:c r="I9" s="217" t="str">
        <x:v>Deferred</x:v>
      </x:c>
    </x:row>
    <x:row r="10">
      <x:c r="A10" s="217" t="str">
        <x:v>X-06</x:v>
      </x:c>
      <x:c r="B10" s="217" t="str">
        <x:v>Observability</x:v>
      </x:c>
      <x:c r="C10" s="217" t="str">
        <x:v>Latency, cost, token, trace, and session dashboards</x:v>
      </x:c>
      <x:c r="D10" s="217" t="str">
        <x:v>Useful after repeatable runs exist.</x:v>
      </x:c>
      <x:c r="E10" s="217" t="str">
        <x:v>Result and trace schemas stable; multiple runs available.</x:v>
      </x:c>
      <x:c r="F10" s="217" t="str">
        <x:v>Medium</x:v>
      </x:c>
      <x:c r="G10" s="217" t="str">
        <x:v>25</x:v>
      </x:c>
      <x:c r="H10" s="217" t="str">
        <x:v>Observability</x:v>
      </x:c>
      <x:c r="I10" s="217" t="str">
        <x:v>Deferred</x:v>
      </x:c>
    </x:row>
    <x:row r="11">
      <x:c r="A11" s="217" t="str">
        <x:v>X-07</x:v>
      </x:c>
      <x:c r="B11" s="217" t="str">
        <x:v>API and storage</x:v>
      </x:c>
      <x:c r="C11" s="217" t="str">
        <x:v>FastAPI plus SQLite/PostgreSQL result service</x:v>
      </x:c>
      <x:c r="D11" s="217" t="str">
        <x:v>CLI and files are sufficient for MVP.</x:v>
      </x:c>
      <x:c r="E11" s="217" t="str">
        <x:v>Local result contract stable and external consumer identified.</x:v>
      </x:c>
      <x:c r="F11" s="217" t="str">
        <x:v>Medium</x:v>
      </x:c>
      <x:c r="G11" s="217" t="str">
        <x:v>35</x:v>
      </x:c>
      <x:c r="H11" s="217" t="str">
        <x:v>Deployment</x:v>
      </x:c>
      <x:c r="I11" s="217" t="str">
        <x:v>Deferred</x:v>
      </x:c>
    </x:row>
    <x:row r="12">
      <x:c r="A12" s="217" t="str">
        <x:v>X-08</x:v>
      </x:c>
      <x:c r="B12" s="217" t="str">
        <x:v>RAG</x:v>
      </x:c>
      <x:c r="C12" s="217" t="str">
        <x:v>Public engineering corpus and grounding evaluation</x:v>
      </x:c>
      <x:c r="D12" s="217" t="str">
        <x:v>Separate workflow and data problem.</x:v>
      </x:c>
      <x:c r="E12" s="217" t="str">
        <x:v>Core evaluator stable; corpus and retrieval success criteria defined.</x:v>
      </x:c>
      <x:c r="F12" s="217" t="str">
        <x:v>Low</x:v>
      </x:c>
      <x:c r="G12" s="217" t="str">
        <x:v>45</x:v>
      </x:c>
      <x:c r="H12" s="217" t="str">
        <x:v>RAG</x:v>
      </x:c>
      <x:c r="I12" s="217" t="str">
        <x:v>Deferred</x:v>
      </x:c>
    </x:row>
    <x:row r="13">
      <x:c r="A13" s="217" t="str">
        <x:v>X-09</x:v>
      </x:c>
      <x:c r="B13" s="217" t="str">
        <x:v>Deployment</x:v>
      </x:c>
      <x:c r="C13" s="217" t="str">
        <x:v>Docker and hosted demo</x:v>
      </x:c>
      <x:c r="D13" s="217" t="str">
        <x:v>Local reproducibility is enough for first portfolio release.</x:v>
      </x:c>
      <x:c r="E13" s="217" t="str">
        <x:v>MVP stable; hosted access has clear job-market value.</x:v>
      </x:c>
      <x:c r="F13" s="217" t="str">
        <x:v>Medium</x:v>
      </x:c>
      <x:c r="G13" s="217" t="str">
        <x:v>25</x:v>
      </x:c>
      <x:c r="H13" s="217" t="str">
        <x:v>Deployment</x:v>
      </x:c>
      <x:c r="I13" s="217" t="str">
        <x:v>Deferred</x:v>
      </x:c>
    </x:row>
    <x:row r="14">
      <x:c r="A14" s="217" t="str">
        <x:v>X-10</x:v>
      </x:c>
      <x:c r="B14" s="217" t="str">
        <x:v>Governance</x:v>
      </x:c>
      <x:c r="C14" s="217" t="str">
        <x:v>System card, risk register, data policy, incident playbook</x:v>
      </x:c>
      <x:c r="D14" s="217" t="str">
        <x:v>Full governance pack is excessive before a working system.</x:v>
      </x:c>
      <x:c r="E14" s="217" t="str">
        <x:v>MVP behaviour and risks are evidenced.</x:v>
      </x:c>
      <x:c r="F14" s="217" t="str">
        <x:v>Medium</x:v>
      </x:c>
      <x:c r="G14" s="217" t="str">
        <x:v>20</x:v>
      </x:c>
      <x:c r="H14" s="217" t="str">
        <x:v>Governance</x:v>
      </x:c>
      <x:c r="I14" s="217" t="str">
        <x:v>Deferred</x:v>
      </x:c>
    </x:row>
    <x:row r="15">
      <x:c r="A15" s="217" t="str">
        <x:v>X-11</x:v>
      </x:c>
      <x:c r="B15" s="217" t="str">
        <x:v>Adaptation</x:v>
      </x:c>
      <x:c r="C15" s="217" t="str">
        <x:v>Offline process-reward dataset and calibration</x:v>
      </x:c>
      <x:c r="D15" s="217" t="str">
        <x:v>Requires traces, labels, and evaluator stability.</x:v>
      </x:c>
      <x:c r="E15" s="217" t="str">
        <x:v>Process evaluation dataset exists.</x:v>
      </x:c>
      <x:c r="F15" s="217" t="str">
        <x:v>Low</x:v>
      </x:c>
      <x:c r="G15" s="217" t="str">
        <x:v>40</x:v>
      </x:c>
      <x:c r="H15" s="217" t="str">
        <x:v>OpenClaw-RL / RLAnything</x:v>
      </x:c>
      <x:c r="I15" s="217" t="str">
        <x:v>Deferred</x:v>
      </x:c>
    </x:row>
    <x:row r="16">
      <x:c r="A16" s="217" t="str">
        <x:v>X-12</x:v>
      </x:c>
      <x:c r="B16" s="217" t="str">
        <x:v>RL research</x:v>
      </x:c>
      <x:c r="C16" s="217" t="str">
        <x:v>LoRA or selected agentic-RL experiments</x:v>
      </x:c>
      <x:c r="D16" s="217" t="str">
        <x:v>High compute and dependency burden; weak early portfolio ROI.</x:v>
      </x:c>
      <x:c r="E16" s="217" t="str">
        <x:v>Python/PyTorch/statistics competence and calibrated reward system exist.</x:v>
      </x:c>
      <x:c r="F16" s="217" t="str">
        <x:v>Low</x:v>
      </x:c>
      <x:c r="G16" s="217" t="str">
        <x:v>80+</x:v>
      </x:c>
      <x:c r="H16" s="217" t="str">
        <x:v>RL research</x:v>
      </x:c>
      <x:c r="I16" s="217" t="str">
        <x:v>Deferred</x:v>
      </x:c>
    </x:row>
    <x:row r="17">
      <x:c r="A17" s="217"/>
      <x:c r="B17" s="217"/>
      <x:c r="C17" s="217"/>
      <x:c r="D17" s="217"/>
      <x:c r="E17" s="217"/>
      <x:c r="F17" s="217"/>
      <x:c r="G17" s="217"/>
      <x:c r="H17" s="217"/>
      <x:c r="I17" s="217"/>
    </x:row>
    <x:row r="18">
      <x:c r="A18" s="217"/>
      <x:c r="B18" s="217"/>
      <x:c r="C18" s="217"/>
      <x:c r="D18" s="217"/>
      <x:c r="E18" s="217"/>
      <x:c r="F18" s="217"/>
      <x:c r="G18" s="217"/>
      <x:c r="H18" s="217"/>
      <x:c r="I18" s="217"/>
    </x:row>
    <x:row r="19">
      <x:c r="A19" s="217"/>
      <x:c r="B19" s="217"/>
      <x:c r="C19" s="217"/>
      <x:c r="D19" s="217"/>
      <x:c r="E19" s="217"/>
      <x:c r="F19" s="217"/>
      <x:c r="G19" s="217"/>
      <x:c r="H19" s="217"/>
      <x:c r="I19" s="217"/>
    </x:row>
    <x:row r="20">
      <x:c r="A20" s="217"/>
      <x:c r="B20" s="217"/>
      <x:c r="C20" s="217"/>
      <x:c r="D20" s="217"/>
      <x:c r="E20" s="217"/>
      <x:c r="F20" s="217"/>
      <x:c r="G20" s="217"/>
      <x:c r="H20" s="217"/>
      <x:c r="I20" s="217"/>
    </x:row>
    <x:row r="21">
      <x:c r="A21" s="217"/>
      <x:c r="B21" s="217"/>
      <x:c r="C21" s="217"/>
      <x:c r="D21" s="217"/>
      <x:c r="E21" s="217"/>
      <x:c r="F21" s="217"/>
      <x:c r="G21" s="217"/>
      <x:c r="H21" s="217"/>
      <x:c r="I21" s="217"/>
    </x:row>
    <x:row r="22">
      <x:c r="A22" s="217"/>
      <x:c r="B22" s="217"/>
      <x:c r="C22" s="217"/>
      <x:c r="D22" s="217"/>
      <x:c r="E22" s="217"/>
      <x:c r="F22" s="217"/>
      <x:c r="G22" s="217"/>
      <x:c r="H22" s="217"/>
      <x:c r="I22" s="217"/>
    </x:row>
    <x:row r="23">
      <x:c r="A23" s="217"/>
      <x:c r="B23" s="217"/>
      <x:c r="C23" s="217"/>
      <x:c r="D23" s="217"/>
      <x:c r="E23" s="217"/>
      <x:c r="F23" s="217"/>
      <x:c r="G23" s="217"/>
      <x:c r="H23" s="217"/>
      <x:c r="I23" s="217"/>
    </x:row>
    <x:row r="24">
      <x:c r="A24" s="217"/>
      <x:c r="B24" s="217"/>
      <x:c r="C24" s="217"/>
      <x:c r="D24" s="217"/>
      <x:c r="E24" s="217"/>
      <x:c r="F24" s="217"/>
      <x:c r="G24" s="217"/>
      <x:c r="H24" s="217"/>
      <x:c r="I24" s="217"/>
    </x:row>
    <x:row r="25">
      <x:c r="A25" s="217"/>
      <x:c r="B25" s="217"/>
      <x:c r="C25" s="217"/>
      <x:c r="D25" s="217"/>
      <x:c r="E25" s="217"/>
      <x:c r="F25" s="217"/>
      <x:c r="G25" s="217"/>
      <x:c r="H25" s="217"/>
      <x:c r="I25" s="217"/>
    </x:row>
    <x:row r="26">
      <x:c r="A26" s="217"/>
      <x:c r="B26" s="217"/>
      <x:c r="C26" s="217"/>
      <x:c r="D26" s="217"/>
      <x:c r="E26" s="217"/>
      <x:c r="F26" s="217"/>
      <x:c r="G26" s="217"/>
      <x:c r="H26" s="217"/>
      <x:c r="I26" s="217"/>
    </x:row>
    <x:row r="27">
      <x:c r="A27" s="217"/>
      <x:c r="B27" s="217"/>
      <x:c r="C27" s="217"/>
      <x:c r="D27" s="217"/>
      <x:c r="E27" s="217"/>
      <x:c r="F27" s="217"/>
      <x:c r="G27" s="217"/>
      <x:c r="H27" s="217"/>
      <x:c r="I27" s="217"/>
    </x:row>
    <x:row r="28">
      <x:c r="A28" s="217"/>
      <x:c r="B28" s="217"/>
      <x:c r="C28" s="217"/>
      <x:c r="D28" s="217"/>
      <x:c r="E28" s="217"/>
      <x:c r="F28" s="217"/>
      <x:c r="G28" s="217"/>
      <x:c r="H28" s="217"/>
      <x:c r="I28" s="217"/>
    </x:row>
    <x:row r="29">
      <x:c r="A29" s="217"/>
      <x:c r="B29" s="217"/>
      <x:c r="C29" s="217"/>
      <x:c r="D29" s="217"/>
      <x:c r="E29" s="217"/>
      <x:c r="F29" s="217"/>
      <x:c r="G29" s="217"/>
      <x:c r="H29" s="217"/>
      <x:c r="I29" s="217"/>
    </x:row>
    <x:row r="30">
      <x:c r="A30" s="217"/>
      <x:c r="B30" s="217"/>
      <x:c r="C30" s="217"/>
      <x:c r="D30" s="217"/>
      <x:c r="E30" s="217"/>
      <x:c r="F30" s="217"/>
      <x:c r="G30" s="217"/>
      <x:c r="H30" s="217"/>
      <x:c r="I30" s="217"/>
    </x:row>
    <x:row r="31">
      <x:c r="A31" s="217"/>
      <x:c r="B31" s="217"/>
      <x:c r="C31" s="217"/>
      <x:c r="D31" s="217"/>
      <x:c r="E31" s="217"/>
      <x:c r="F31" s="217"/>
      <x:c r="G31" s="217"/>
      <x:c r="H31" s="217"/>
      <x:c r="I31" s="217"/>
    </x:row>
    <x:row r="32">
      <x:c r="A32" s="217"/>
      <x:c r="B32" s="217"/>
      <x:c r="C32" s="217"/>
      <x:c r="D32" s="217"/>
      <x:c r="E32" s="217"/>
      <x:c r="F32" s="217"/>
      <x:c r="G32" s="217"/>
      <x:c r="H32" s="217"/>
      <x:c r="I32" s="217"/>
    </x:row>
    <x:row r="33">
      <x:c r="A33" s="217"/>
      <x:c r="B33" s="217"/>
      <x:c r="C33" s="217"/>
      <x:c r="D33" s="217"/>
      <x:c r="E33" s="217"/>
      <x:c r="F33" s="217"/>
      <x:c r="G33" s="217"/>
      <x:c r="H33" s="217"/>
      <x:c r="I33" s="217"/>
    </x:row>
    <x:row r="34">
      <x:c r="A34" s="217"/>
      <x:c r="B34" s="217"/>
      <x:c r="C34" s="217"/>
      <x:c r="D34" s="217"/>
      <x:c r="E34" s="217"/>
      <x:c r="F34" s="217"/>
      <x:c r="G34" s="217"/>
      <x:c r="H34" s="217"/>
      <x:c r="I34" s="217"/>
    </x:row>
    <x:row r="35">
      <x:c r="A35" s="217"/>
      <x:c r="B35" s="217"/>
      <x:c r="C35" s="217"/>
      <x:c r="D35" s="217"/>
      <x:c r="E35" s="217"/>
      <x:c r="F35" s="217"/>
      <x:c r="G35" s="217"/>
      <x:c r="H35" s="217"/>
      <x:c r="I35" s="217"/>
    </x:row>
    <x:row r="36">
      <x:c r="A36" s="217"/>
      <x:c r="B36" s="217"/>
      <x:c r="C36" s="217"/>
      <x:c r="D36" s="217"/>
      <x:c r="E36" s="217"/>
      <x:c r="F36" s="217"/>
      <x:c r="G36" s="217"/>
      <x:c r="H36" s="217"/>
      <x:c r="I36" s="217"/>
    </x:row>
    <x:row r="37">
      <x:c r="A37" s="217"/>
      <x:c r="B37" s="217"/>
      <x:c r="C37" s="217"/>
      <x:c r="D37" s="217"/>
      <x:c r="E37" s="217"/>
      <x:c r="F37" s="217"/>
      <x:c r="G37" s="217"/>
      <x:c r="H37" s="217"/>
      <x:c r="I37" s="217"/>
    </x:row>
    <x:row r="38">
      <x:c r="A38" s="217"/>
      <x:c r="B38" s="217"/>
      <x:c r="C38" s="217"/>
      <x:c r="D38" s="217"/>
      <x:c r="E38" s="217"/>
      <x:c r="F38" s="217"/>
      <x:c r="G38" s="217"/>
      <x:c r="H38" s="217"/>
      <x:c r="I38" s="217"/>
    </x:row>
    <x:row r="39">
      <x:c r="A39" s="217"/>
      <x:c r="B39" s="217"/>
      <x:c r="C39" s="217"/>
      <x:c r="D39" s="217"/>
      <x:c r="E39" s="217"/>
      <x:c r="F39" s="217"/>
      <x:c r="G39" s="217"/>
      <x:c r="H39" s="217"/>
      <x:c r="I39" s="217"/>
    </x:row>
    <x:row r="40">
      <x:c r="A40" s="217"/>
      <x:c r="B40" s="217"/>
      <x:c r="C40" s="217"/>
      <x:c r="D40" s="217"/>
      <x:c r="E40" s="217"/>
      <x:c r="F40" s="217"/>
      <x:c r="G40" s="217"/>
      <x:c r="H40" s="217"/>
      <x:c r="I40" s="217"/>
    </x:row>
    <x:row r="41">
      <x:c r="A41" s="217"/>
      <x:c r="B41" s="217"/>
      <x:c r="C41" s="217"/>
      <x:c r="D41" s="217"/>
      <x:c r="E41" s="217"/>
      <x:c r="F41" s="217"/>
      <x:c r="G41" s="217"/>
      <x:c r="H41" s="217"/>
      <x:c r="I41" s="217"/>
    </x:row>
    <x:row r="42">
      <x:c r="A42" s="217"/>
      <x:c r="B42" s="217"/>
      <x:c r="C42" s="217"/>
      <x:c r="D42" s="217"/>
      <x:c r="E42" s="217"/>
      <x:c r="F42" s="217"/>
      <x:c r="G42" s="217"/>
      <x:c r="H42" s="217"/>
      <x:c r="I42" s="217"/>
    </x:row>
    <x:row r="43">
      <x:c r="A43" s="217"/>
      <x:c r="B43" s="217"/>
      <x:c r="C43" s="217"/>
      <x:c r="D43" s="217"/>
      <x:c r="E43" s="217"/>
      <x:c r="F43" s="217"/>
      <x:c r="G43" s="217"/>
      <x:c r="H43" s="217"/>
      <x:c r="I43" s="217"/>
    </x:row>
    <x:row r="44">
      <x:c r="A44" s="217"/>
      <x:c r="B44" s="217"/>
      <x:c r="C44" s="217"/>
      <x:c r="D44" s="217"/>
      <x:c r="E44" s="217"/>
      <x:c r="F44" s="217"/>
      <x:c r="G44" s="217"/>
      <x:c r="H44" s="217"/>
      <x:c r="I44" s="217"/>
    </x:row>
    <x:row r="45">
      <x:c r="A45" s="217"/>
      <x:c r="B45" s="217"/>
      <x:c r="C45" s="217"/>
      <x:c r="D45" s="217"/>
      <x:c r="E45" s="217"/>
      <x:c r="F45" s="217"/>
      <x:c r="G45" s="217"/>
      <x:c r="H45" s="217"/>
      <x:c r="I45" s="217"/>
    </x:row>
    <x:row r="46">
      <x:c r="A46" s="217"/>
      <x:c r="B46" s="217"/>
      <x:c r="C46" s="217"/>
      <x:c r="D46" s="217"/>
      <x:c r="E46" s="217"/>
      <x:c r="F46" s="217"/>
      <x:c r="G46" s="217"/>
      <x:c r="H46" s="217"/>
      <x:c r="I46" s="217"/>
    </x:row>
    <x:row r="47">
      <x:c r="A47" s="217"/>
      <x:c r="B47" s="217"/>
      <x:c r="C47" s="217"/>
      <x:c r="D47" s="217"/>
      <x:c r="E47" s="217"/>
      <x:c r="F47" s="217"/>
      <x:c r="G47" s="217"/>
      <x:c r="H47" s="217"/>
      <x:c r="I47" s="217"/>
    </x:row>
    <x:row r="48">
      <x:c r="A48" s="217"/>
      <x:c r="B48" s="217"/>
      <x:c r="C48" s="217"/>
      <x:c r="D48" s="217"/>
      <x:c r="E48" s="217"/>
      <x:c r="F48" s="217"/>
      <x:c r="G48" s="217"/>
      <x:c r="H48" s="217"/>
      <x:c r="I48" s="217"/>
    </x:row>
    <x:row r="49">
      <x:c r="A49" s="217"/>
      <x:c r="B49" s="217"/>
      <x:c r="C49" s="217"/>
      <x:c r="D49" s="217"/>
      <x:c r="E49" s="217"/>
      <x:c r="F49" s="217"/>
      <x:c r="G49" s="217"/>
      <x:c r="H49" s="217"/>
      <x:c r="I49" s="217"/>
    </x:row>
    <x:row r="50">
      <x:c r="A50" s="217"/>
      <x:c r="B50" s="217"/>
      <x:c r="C50" s="217"/>
      <x:c r="D50" s="217"/>
      <x:c r="E50" s="217"/>
      <x:c r="F50" s="217"/>
      <x:c r="G50" s="217"/>
      <x:c r="H50" s="217"/>
      <x:c r="I50" s="217"/>
    </x:row>
    <x:row r="51">
      <x:c r="A51" s="217"/>
      <x:c r="B51" s="217"/>
      <x:c r="C51" s="217"/>
      <x:c r="D51" s="217"/>
      <x:c r="E51" s="217"/>
      <x:c r="F51" s="217"/>
      <x:c r="G51" s="217"/>
      <x:c r="H51" s="217"/>
      <x:c r="I51" s="217"/>
    </x:row>
    <x:row r="52">
      <x:c r="A52" s="217"/>
      <x:c r="B52" s="217"/>
      <x:c r="C52" s="217"/>
      <x:c r="D52" s="217"/>
      <x:c r="E52" s="217"/>
      <x:c r="F52" s="217"/>
      <x:c r="G52" s="217"/>
      <x:c r="H52" s="217"/>
      <x:c r="I52" s="217"/>
    </x:row>
    <x:row r="53">
      <x:c r="A53" s="217"/>
      <x:c r="B53" s="217"/>
      <x:c r="C53" s="217"/>
      <x:c r="D53" s="217"/>
      <x:c r="E53" s="217"/>
      <x:c r="F53" s="217"/>
      <x:c r="G53" s="217"/>
      <x:c r="H53" s="217"/>
      <x:c r="I53" s="217"/>
    </x:row>
    <x:row r="54">
      <x:c r="A54" s="217"/>
      <x:c r="B54" s="217"/>
      <x:c r="C54" s="217"/>
      <x:c r="D54" s="217"/>
      <x:c r="E54" s="217"/>
      <x:c r="F54" s="217"/>
      <x:c r="G54" s="217"/>
      <x:c r="H54" s="217"/>
      <x:c r="I54" s="217"/>
    </x:row>
    <x:row r="55">
      <x:c r="A55" s="217"/>
      <x:c r="B55" s="217"/>
      <x:c r="C55" s="217"/>
      <x:c r="D55" s="217"/>
      <x:c r="E55" s="217"/>
      <x:c r="F55" s="217"/>
      <x:c r="G55" s="217"/>
      <x:c r="H55" s="217"/>
      <x:c r="I55" s="217"/>
    </x:row>
    <x:row r="56">
      <x:c r="A56" s="217"/>
      <x:c r="B56" s="217"/>
      <x:c r="C56" s="217"/>
      <x:c r="D56" s="217"/>
      <x:c r="E56" s="217"/>
      <x:c r="F56" s="217"/>
      <x:c r="G56" s="217"/>
      <x:c r="H56" s="217"/>
      <x:c r="I56" s="217"/>
    </x:row>
    <x:row r="57">
      <x:c r="A57" s="217"/>
      <x:c r="B57" s="217"/>
      <x:c r="C57" s="217"/>
      <x:c r="D57" s="217"/>
      <x:c r="E57" s="217"/>
      <x:c r="F57" s="217"/>
      <x:c r="G57" s="217"/>
      <x:c r="H57" s="217"/>
      <x:c r="I57" s="217"/>
    </x:row>
    <x:row r="58">
      <x:c r="A58" s="217"/>
      <x:c r="B58" s="217"/>
      <x:c r="C58" s="217"/>
      <x:c r="D58" s="217"/>
      <x:c r="E58" s="217"/>
      <x:c r="F58" s="217"/>
      <x:c r="G58" s="217"/>
      <x:c r="H58" s="217"/>
      <x:c r="I58" s="217"/>
    </x:row>
    <x:row r="59">
      <x:c r="A59" s="217"/>
      <x:c r="B59" s="217"/>
      <x:c r="C59" s="217"/>
      <x:c r="D59" s="217"/>
      <x:c r="E59" s="217"/>
      <x:c r="F59" s="217"/>
      <x:c r="G59" s="217"/>
      <x:c r="H59" s="217"/>
      <x:c r="I59" s="217"/>
    </x:row>
    <x:row r="60">
      <x:c r="A60" s="217"/>
      <x:c r="B60" s="217"/>
      <x:c r="C60" s="217"/>
      <x:c r="D60" s="217"/>
      <x:c r="E60" s="217"/>
      <x:c r="F60" s="217"/>
      <x:c r="G60" s="217"/>
      <x:c r="H60" s="217"/>
      <x:c r="I60" s="217"/>
    </x:row>
    <x:row r="61">
      <x:c r="A61" s="217"/>
      <x:c r="B61" s="217"/>
      <x:c r="C61" s="217"/>
      <x:c r="D61" s="217"/>
      <x:c r="E61" s="217"/>
      <x:c r="F61" s="217"/>
      <x:c r="G61" s="217"/>
      <x:c r="H61" s="217"/>
      <x:c r="I61" s="217"/>
    </x:row>
    <x:row r="62">
      <x:c r="A62" s="217"/>
      <x:c r="B62" s="217"/>
      <x:c r="C62" s="217"/>
      <x:c r="D62" s="217"/>
      <x:c r="E62" s="217"/>
      <x:c r="F62" s="217"/>
      <x:c r="G62" s="217"/>
      <x:c r="H62" s="217"/>
      <x:c r="I62" s="217"/>
    </x:row>
    <x:row r="63">
      <x:c r="A63" s="217"/>
      <x:c r="B63" s="217"/>
      <x:c r="C63" s="217"/>
      <x:c r="D63" s="217"/>
      <x:c r="E63" s="217"/>
      <x:c r="F63" s="217"/>
      <x:c r="G63" s="217"/>
      <x:c r="H63" s="217"/>
      <x:c r="I63" s="217"/>
    </x:row>
    <x:row r="64">
      <x:c r="A64" s="217"/>
      <x:c r="B64" s="217"/>
      <x:c r="C64" s="217"/>
      <x:c r="D64" s="217"/>
      <x:c r="E64" s="217"/>
      <x:c r="F64" s="217"/>
      <x:c r="G64" s="217"/>
      <x:c r="H64" s="217"/>
      <x:c r="I64" s="217"/>
    </x:row>
    <x:row r="65">
      <x:c r="A65" s="217"/>
      <x:c r="B65" s="217"/>
      <x:c r="C65" s="217"/>
      <x:c r="D65" s="217"/>
      <x:c r="E65" s="217"/>
      <x:c r="F65" s="217"/>
      <x:c r="G65" s="217"/>
      <x:c r="H65" s="217"/>
      <x:c r="I65" s="217"/>
    </x:row>
    <x:row r="66">
      <x:c r="A66" s="217"/>
      <x:c r="B66" s="217"/>
      <x:c r="C66" s="217"/>
      <x:c r="D66" s="217"/>
      <x:c r="E66" s="217"/>
      <x:c r="F66" s="217"/>
      <x:c r="G66" s="217"/>
      <x:c r="H66" s="217"/>
      <x:c r="I66" s="217"/>
    </x:row>
    <x:row r="67">
      <x:c r="A67" s="217"/>
      <x:c r="B67" s="217"/>
      <x:c r="C67" s="217"/>
      <x:c r="D67" s="217"/>
      <x:c r="E67" s="217"/>
      <x:c r="F67" s="217"/>
      <x:c r="G67" s="217"/>
      <x:c r="H67" s="217"/>
      <x:c r="I67" s="217"/>
    </x:row>
    <x:row r="68">
      <x:c r="A68" s="217"/>
      <x:c r="B68" s="217"/>
      <x:c r="C68" s="217"/>
      <x:c r="D68" s="217"/>
      <x:c r="E68" s="217"/>
      <x:c r="F68" s="217"/>
      <x:c r="G68" s="217"/>
      <x:c r="H68" s="217"/>
      <x:c r="I68" s="217"/>
    </x:row>
    <x:row r="69">
      <x:c r="A69" s="217"/>
      <x:c r="B69" s="217"/>
      <x:c r="C69" s="217"/>
      <x:c r="D69" s="217"/>
      <x:c r="E69" s="217"/>
      <x:c r="F69" s="217"/>
      <x:c r="G69" s="217"/>
      <x:c r="H69" s="217"/>
      <x:c r="I69" s="217"/>
    </x:row>
    <x:row r="70">
      <x:c r="A70" s="217"/>
      <x:c r="B70" s="217"/>
      <x:c r="C70" s="217"/>
      <x:c r="D70" s="217"/>
      <x:c r="E70" s="217"/>
      <x:c r="F70" s="217"/>
      <x:c r="G70" s="217"/>
      <x:c r="H70" s="217"/>
      <x:c r="I70" s="217"/>
    </x:row>
    <x:row r="71">
      <x:c r="A71" s="217"/>
      <x:c r="B71" s="217"/>
      <x:c r="C71" s="217"/>
      <x:c r="D71" s="217"/>
      <x:c r="E71" s="217"/>
      <x:c r="F71" s="217"/>
      <x:c r="G71" s="217"/>
      <x:c r="H71" s="217"/>
      <x:c r="I71" s="217"/>
    </x:row>
    <x:row r="72">
      <x:c r="A72" s="217"/>
      <x:c r="B72" s="217"/>
      <x:c r="C72" s="217"/>
      <x:c r="D72" s="217"/>
      <x:c r="E72" s="217"/>
      <x:c r="F72" s="217"/>
      <x:c r="G72" s="217"/>
      <x:c r="H72" s="217"/>
      <x:c r="I72" s="217"/>
    </x:row>
    <x:row r="73">
      <x:c r="A73" s="217"/>
      <x:c r="B73" s="217"/>
      <x:c r="C73" s="217"/>
      <x:c r="D73" s="217"/>
      <x:c r="E73" s="217"/>
      <x:c r="F73" s="217"/>
      <x:c r="G73" s="217"/>
      <x:c r="H73" s="217"/>
      <x:c r="I73" s="217"/>
    </x:row>
    <x:row r="74">
      <x:c r="A74" s="217"/>
      <x:c r="B74" s="217"/>
      <x:c r="C74" s="217"/>
      <x:c r="D74" s="217"/>
      <x:c r="E74" s="217"/>
      <x:c r="F74" s="217"/>
      <x:c r="G74" s="217"/>
      <x:c r="H74" s="217"/>
      <x:c r="I74" s="217"/>
    </x:row>
    <x:row r="75">
      <x:c r="A75" s="217"/>
      <x:c r="B75" s="217"/>
      <x:c r="C75" s="217"/>
      <x:c r="D75" s="217"/>
      <x:c r="E75" s="217"/>
      <x:c r="F75" s="217"/>
      <x:c r="G75" s="217"/>
      <x:c r="H75" s="217"/>
      <x:c r="I75" s="217"/>
    </x:row>
    <x:row r="76">
      <x:c r="A76" s="217"/>
      <x:c r="B76" s="217"/>
      <x:c r="C76" s="217"/>
      <x:c r="D76" s="217"/>
      <x:c r="E76" s="217"/>
      <x:c r="F76" s="217"/>
      <x:c r="G76" s="217"/>
      <x:c r="H76" s="217"/>
      <x:c r="I76" s="217"/>
    </x:row>
    <x:row r="77">
      <x:c r="A77" s="217"/>
      <x:c r="B77" s="217"/>
      <x:c r="C77" s="217"/>
      <x:c r="D77" s="217"/>
      <x:c r="E77" s="217"/>
      <x:c r="F77" s="217"/>
      <x:c r="G77" s="217"/>
      <x:c r="H77" s="217"/>
      <x:c r="I77" s="217"/>
    </x:row>
    <x:row r="78">
      <x:c r="A78" s="217"/>
      <x:c r="B78" s="217"/>
      <x:c r="C78" s="217"/>
      <x:c r="D78" s="217"/>
      <x:c r="E78" s="217"/>
      <x:c r="F78" s="217"/>
      <x:c r="G78" s="217"/>
      <x:c r="H78" s="217"/>
      <x:c r="I78" s="217"/>
    </x:row>
    <x:row r="79">
      <x:c r="A79" s="217"/>
      <x:c r="B79" s="217"/>
      <x:c r="C79" s="217"/>
      <x:c r="D79" s="217"/>
      <x:c r="E79" s="217"/>
      <x:c r="F79" s="217"/>
      <x:c r="G79" s="217"/>
      <x:c r="H79" s="217"/>
      <x:c r="I79" s="217"/>
    </x:row>
    <x:row r="80">
      <x:c r="A80" s="217"/>
      <x:c r="B80" s="217"/>
      <x:c r="C80" s="217"/>
      <x:c r="D80" s="217"/>
      <x:c r="E80" s="217"/>
      <x:c r="F80" s="217"/>
      <x:c r="G80" s="217"/>
      <x:c r="H80" s="217"/>
      <x:c r="I80" s="217"/>
    </x:row>
    <x:row r="81">
      <x:c r="A81" s="217"/>
      <x:c r="B81" s="217"/>
      <x:c r="C81" s="217"/>
      <x:c r="D81" s="217"/>
      <x:c r="E81" s="217"/>
      <x:c r="F81" s="217"/>
      <x:c r="G81" s="217"/>
      <x:c r="H81" s="217"/>
      <x:c r="I81" s="217"/>
    </x:row>
    <x:row r="82">
      <x:c r="A82" s="217"/>
      <x:c r="B82" s="217"/>
      <x:c r="C82" s="217"/>
      <x:c r="D82" s="217"/>
      <x:c r="E82" s="217"/>
      <x:c r="F82" s="217"/>
      <x:c r="G82" s="217"/>
      <x:c r="H82" s="217"/>
      <x:c r="I82" s="217"/>
    </x:row>
    <x:row r="83">
      <x:c r="A83" s="217"/>
      <x:c r="B83" s="217"/>
      <x:c r="C83" s="217"/>
      <x:c r="D83" s="217"/>
      <x:c r="E83" s="217"/>
      <x:c r="F83" s="217"/>
      <x:c r="G83" s="217"/>
      <x:c r="H83" s="217"/>
      <x:c r="I83" s="217"/>
    </x:row>
    <x:row r="84">
      <x:c r="A84" s="217"/>
      <x:c r="B84" s="217"/>
      <x:c r="C84" s="217"/>
      <x:c r="D84" s="217"/>
      <x:c r="E84" s="217"/>
      <x:c r="F84" s="217"/>
      <x:c r="G84" s="217"/>
      <x:c r="H84" s="217"/>
      <x:c r="I84" s="217"/>
    </x:row>
    <x:row r="85">
      <x:c r="A85" s="217"/>
      <x:c r="B85" s="217"/>
      <x:c r="C85" s="217"/>
      <x:c r="D85" s="217"/>
      <x:c r="E85" s="217"/>
      <x:c r="F85" s="217"/>
      <x:c r="G85" s="217"/>
      <x:c r="H85" s="217"/>
      <x:c r="I85" s="217"/>
    </x:row>
    <x:row r="86">
      <x:c r="A86" s="217"/>
      <x:c r="B86" s="217"/>
      <x:c r="C86" s="217"/>
      <x:c r="D86" s="217"/>
      <x:c r="E86" s="217"/>
      <x:c r="F86" s="217"/>
      <x:c r="G86" s="217"/>
      <x:c r="H86" s="217"/>
      <x:c r="I86" s="217"/>
    </x:row>
    <x:row r="87">
      <x:c r="A87" s="217"/>
      <x:c r="B87" s="217"/>
      <x:c r="C87" s="217"/>
      <x:c r="D87" s="217"/>
      <x:c r="E87" s="217"/>
      <x:c r="F87" s="217"/>
      <x:c r="G87" s="217"/>
      <x:c r="H87" s="217"/>
      <x:c r="I87" s="217"/>
    </x:row>
    <x:row r="88">
      <x:c r="A88" s="217"/>
      <x:c r="B88" s="217"/>
      <x:c r="C88" s="217"/>
      <x:c r="D88" s="217"/>
      <x:c r="E88" s="217"/>
      <x:c r="F88" s="217"/>
      <x:c r="G88" s="217"/>
      <x:c r="H88" s="217"/>
      <x:c r="I88" s="217"/>
    </x:row>
    <x:row r="89">
      <x:c r="A89" s="217"/>
      <x:c r="B89" s="217"/>
      <x:c r="C89" s="217"/>
      <x:c r="D89" s="217"/>
      <x:c r="E89" s="217"/>
      <x:c r="F89" s="217"/>
      <x:c r="G89" s="217"/>
      <x:c r="H89" s="217"/>
      <x:c r="I89" s="217"/>
    </x:row>
    <x:row r="90">
      <x:c r="A90" s="217"/>
      <x:c r="B90" s="217"/>
      <x:c r="C90" s="217"/>
      <x:c r="D90" s="217"/>
      <x:c r="E90" s="217"/>
      <x:c r="F90" s="217"/>
      <x:c r="G90" s="217"/>
      <x:c r="H90" s="217"/>
      <x:c r="I90" s="217"/>
    </x:row>
    <x:row r="91">
      <x:c r="A91" s="217"/>
      <x:c r="B91" s="217"/>
      <x:c r="C91" s="217"/>
      <x:c r="D91" s="217"/>
      <x:c r="E91" s="217"/>
      <x:c r="F91" s="217"/>
      <x:c r="G91" s="217"/>
      <x:c r="H91" s="217"/>
      <x:c r="I91" s="217"/>
    </x:row>
    <x:row r="92">
      <x:c r="A92" s="217"/>
      <x:c r="B92" s="217"/>
      <x:c r="C92" s="217"/>
      <x:c r="D92" s="217"/>
      <x:c r="E92" s="217"/>
      <x:c r="F92" s="217"/>
      <x:c r="G92" s="217"/>
      <x:c r="H92" s="217"/>
      <x:c r="I92" s="217"/>
    </x:row>
    <x:row r="93">
      <x:c r="A93" s="217"/>
      <x:c r="B93" s="217"/>
      <x:c r="C93" s="217"/>
      <x:c r="D93" s="217"/>
      <x:c r="E93" s="217"/>
      <x:c r="F93" s="217"/>
      <x:c r="G93" s="217"/>
      <x:c r="H93" s="217"/>
      <x:c r="I93" s="217"/>
    </x:row>
    <x:row r="94">
      <x:c r="A94" s="217"/>
      <x:c r="B94" s="217"/>
      <x:c r="C94" s="217"/>
      <x:c r="D94" s="217"/>
      <x:c r="E94" s="217"/>
      <x:c r="F94" s="217"/>
      <x:c r="G94" s="217"/>
      <x:c r="H94" s="217"/>
      <x:c r="I94" s="217"/>
    </x:row>
    <x:row r="95">
      <x:c r="A95" s="217"/>
      <x:c r="B95" s="217"/>
      <x:c r="C95" s="217"/>
      <x:c r="D95" s="217"/>
      <x:c r="E95" s="217"/>
      <x:c r="F95" s="217"/>
      <x:c r="G95" s="217"/>
      <x:c r="H95" s="217"/>
      <x:c r="I95" s="217"/>
    </x:row>
    <x:row r="96">
      <x:c r="A96" s="217"/>
      <x:c r="B96" s="217"/>
      <x:c r="C96" s="217"/>
      <x:c r="D96" s="217"/>
      <x:c r="E96" s="217"/>
      <x:c r="F96" s="217"/>
      <x:c r="G96" s="217"/>
      <x:c r="H96" s="217"/>
      <x:c r="I96" s="217"/>
    </x:row>
    <x:row r="97">
      <x:c r="A97" s="217"/>
      <x:c r="B97" s="217"/>
      <x:c r="C97" s="217"/>
      <x:c r="D97" s="217"/>
      <x:c r="E97" s="217"/>
      <x:c r="F97" s="217"/>
      <x:c r="G97" s="217"/>
      <x:c r="H97" s="217"/>
      <x:c r="I97" s="217"/>
    </x:row>
    <x:row r="98">
      <x:c r="A98" s="217"/>
      <x:c r="B98" s="217"/>
      <x:c r="C98" s="217"/>
      <x:c r="D98" s="217"/>
      <x:c r="E98" s="217"/>
      <x:c r="F98" s="217"/>
      <x:c r="G98" s="217"/>
      <x:c r="H98" s="217"/>
      <x:c r="I98" s="217"/>
    </x:row>
    <x:row r="99">
      <x:c r="A99" s="217"/>
      <x:c r="B99" s="217"/>
      <x:c r="C99" s="217"/>
      <x:c r="D99" s="217"/>
      <x:c r="E99" s="217"/>
      <x:c r="F99" s="217"/>
      <x:c r="G99" s="217"/>
      <x:c r="H99" s="217"/>
      <x:c r="I99" s="217"/>
    </x:row>
    <x:row r="100">
      <x:c r="A100" s="217"/>
      <x:c r="B100" s="217"/>
      <x:c r="C100" s="217"/>
      <x:c r="D100" s="217"/>
      <x:c r="E100" s="217"/>
      <x:c r="F100" s="217"/>
      <x:c r="G100" s="217"/>
      <x:c r="H100" s="217"/>
      <x:c r="I100" s="217"/>
    </x:row>
  </x:sheetData>
  <x:mergeCells>
    <x:mergeCell ref="A1:I1"/>
    <x:mergeCell ref="A2:I2"/>
  </x:mergeCells>
  <x:dataValidations count="2">
    <x:dataValidation type="list" sqref="F5:F100">
      <x:formula1>"Next,High,Medium,Low"</x:formula1>
    </x:dataValidation>
    <x:dataValidation type="list" sqref="I5:I100">
      <x:formula1>"Deferred,Candidate,Approved,In Progress,Complete"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6" hidden="0" customWidth="1"/>
    <x:col min="5" max="5" width="18" hidden="0" customWidth="1"/>
    <x:col min="6" max="6" width="28" hidden="0" customWidth="1"/>
    <x:col min="7" max="7" width="18" hidden="0" customWidth="1"/>
    <x:col min="8" max="8" width="22" hidden="0" customWidth="1"/>
  </x:cols>
  <x:sheetData>
    <x:row r="1" ht="28" customHeight="1">
      <x:c r="A1" s="205" t="str">
        <x:v>AI Project Context — Read at the Start of Every Work Block</x:v>
      </x:c>
    </x:row>
    <x:row r="2">
      <x:c r="A2" s="222" t="str">
        <x:v>This sheet is a compact machine-readable and human-readable handoff. The controlling operational detail remains in Detailed Gantt, Work Block Log, Decision Register, Risks &amp; Issues, and Evidence Register.</x:v>
      </x:c>
      <x:c r="B2" s="222"/>
      <x:c r="C2" s="222"/>
      <x:c r="D2" s="222"/>
      <x:c r="E2" s="222"/>
      <x:c r="F2" s="222"/>
      <x:c r="G2" s="222"/>
      <x:c r="H2" s="222"/>
    </x:row>
    <x:row r="4">
      <x:c r="A4" s="487" t="str">
        <x:v>Current State</x:v>
      </x:c>
    </x:row>
    <x:row r="5" ht="42" customHeight="1">
      <x:c r="A5" s="492" t="str">
        <x:v>Last updated</x:v>
      </x:c>
      <x:c r="B5" s="217" t="str">
        <x:v>2026-07-04</x:v>
      </x:c>
      <x:c r="C5" s="492" t="str">
        <x:v>Control baseline</x:v>
      </x:c>
      <x:c r="D5" s="217" t="str">
        <x:v>MVP v1.0 — 8 weeks</x:v>
      </x:c>
      <x:c r="E5" s="492" t="str">
        <x:v>Target finish</x:v>
      </x:c>
      <x:c r="F5" s="217" t="str">
        <x:v>2026-08-23</x:v>
      </x:c>
      <x:c r="G5" s="492" t="str">
        <x:v>Planned hours</x:v>
      </x:c>
      <x:c r="H5" s="217" t="str">
        <x:v>76</x:v>
      </x:c>
    </x:row>
    <x:row r="6" ht="42" customHeight="1">
      <x:c r="A6" s="492" t="str">
        <x:v>Repository state</x:v>
      </x:c>
      <x:c r="B6" s="217" t="str">
        <x:v>main @ c71676d</x:v>
      </x:c>
      <x:c r="C6" s="492" t="str">
        <x:v>Tests</x:v>
      </x:c>
      <x:c r="D6" s="217" t="str">
        <x:v>25 passing</x:v>
      </x:c>
      <x:c r="E6" s="492" t="str">
        <x:v>Seed cases</x:v>
      </x:c>
      <x:c r="F6" s="217" t="str">
        <x:v>MECH-001 to MECH-003</x:v>
      </x:c>
      <x:c r="G6" s="492" t="str">
        <x:v>PRs merged</x:v>
      </x:c>
      <x:c r="H6" s="217" t="str">
        <x:v>#1 to #5</x:v>
      </x:c>
    </x:row>
    <x:row r="7" ht="42" customHeight="1">
      <x:c r="A7" s="492" t="str">
        <x:v>Current capability</x:v>
      </x:c>
      <x:c r="B7" s="217" t="str">
        <x:v>Validated case-definition layer with CLI validate/list/inspect.</x:v>
      </x:c>
      <x:c r="C7" s="492" t="str">
        <x:v>Not implemented</x:v>
      </x:c>
      <x:c r="D7" s="217" t="str">
        <x:v>Candidate scoring, gates/checks, result records, benchmark, CI, demo.</x:v>
      </x:c>
      <x:c r="E7" s="492" t="str">
        <x:v>Active WBS</x:v>
      </x:c>
      <x:c r="F7" s="217" t="str">
        <x:v>1.1</x:v>
      </x:c>
      <x:c r="G7" s="492" t="str">
        <x:v>Next WBS</x:v>
      </x:c>
      <x:c r="H7" s="217" t="str">
        <x:v>1.2</x:v>
      </x:c>
    </x:row>
    <x:row r="8" ht="42" customHeight="1">
      <x:c r="A8" s="492" t="str">
        <x:v>Immediate next action</x:v>
      </x:c>
      <x:c r="B8" s="217" t="str">
        <x:v>Next work block: create feature/candidate-artifact-contract; define the MECH-002 candidate JSON contract and loader with controlled missing/malformed errors.</x:v>
      </x:c>
      <x:c r="C8" s="492" t="str">
        <x:v>Do not do next</x:v>
      </x:c>
      <x:c r="D8" s="217" t="str">
        <x:v>More isolated validator tests, API/database, multimodal, OpenClaw, observability, deployment, RL.</x:v>
      </x:c>
      <x:c r="E8" s="492" t="str">
        <x:v>MVP interface</x:v>
      </x:c>
      <x:c r="F8" s="217" t="str">
        <x:v>CLI</x:v>
      </x:c>
      <x:c r="G8" s="492" t="str">
        <x:v>Candidate type</x:v>
      </x:c>
      <x:c r="H8" s="217" t="str">
        <x:v>JSON</x:v>
      </x:c>
    </x:row>
    <x:row r="10">
      <x:c r="A10" s="487" t="str">
        <x:v>Required Start-of-Block Protocol</x:v>
      </x:c>
      <x:c r="D10" s="487" t="str">
        <x:v>Required End-of-Block Protocol</x:v>
      </x:c>
    </x:row>
    <x:row r="11" ht="30" customHeight="1">
      <x:c r="A11" s="496" t="str">
        <x:v>1</x:v>
      </x:c>
      <x:c r="B11" s="217" t="str">
        <x:v>Read Start Here and the current/next rows in Detailed Gantt.</x:v>
      </x:c>
      <x:c r="D11" s="496" t="str">
        <x:v>1</x:v>
      </x:c>
      <x:c r="E11" s="217" t="str">
        <x:v>Add one Work Block Log row with actual hours only if known.</x:v>
      </x:c>
    </x:row>
    <x:row r="12" ht="30" customHeight="1">
      <x:c r="A12" s="496" t="str">
        <x:v>2</x:v>
      </x:c>
      <x:c r="B12" s="217" t="str">
        <x:v>Read the last three Work Block Log rows.</x:v>
      </x:c>
      <x:c r="D12" s="496" t="str">
        <x:v>2</x:v>
      </x:c>
      <x:c r="E12" s="217" t="str">
        <x:v>Update Detailed Gantt status, percent complete, evidence, notes, and next action.</x:v>
      </x:c>
    </x:row>
    <x:row r="13" ht="30" customHeight="1">
      <x:c r="A13" s="496" t="str">
        <x:v>3</x:v>
      </x:c>
      <x:c r="B13" s="217" t="str">
        <x:v>Check open decisions, risks/issues, and pending evidence.</x:v>
      </x:c>
      <x:c r="D13" s="496" t="str">
        <x:v>3</x:v>
      </x:c>
      <x:c r="E13" s="217" t="str">
        <x:v>Add or update Evidence Register entries.</x:v>
      </x:c>
    </x:row>
    <x:row r="14" ht="30" customHeight="1">
      <x:c r="A14" s="496" t="str">
        <x:v>4</x:v>
      </x:c>
      <x:c r="B14" s="217" t="str">
        <x:v>State the active WBS, objective, expected duration, and definition of done.</x:v>
      </x:c>
      <x:c r="D14" s="496" t="str">
        <x:v>4</x:v>
      </x:c>
      <x:c r="E14" s="217" t="str">
        <x:v>Record material decisions, blockers, risks, or scope changes.</x:v>
      </x:c>
    </x:row>
    <x:row r="15" ht="30" customHeight="1">
      <x:c r="A15" s="496" t="str">
        <x:v>5</x:v>
      </x:c>
      <x:c r="B15" s="217" t="str">
        <x:v>Reject work that does not directly advance the MVP unless a recorded decision changes scope.</x:v>
      </x:c>
      <x:c r="D15" s="496" t="str">
        <x:v>5</x:v>
      </x:c>
      <x:c r="E15" s="217" t="str">
        <x:v>Confirm branch/commit/test state and identify the exact next action.</x:v>
      </x:c>
    </x:row>
    <x:row r="17">
      <x:c r="A17" s="487" t="str">
        <x:v>Architecture and Product Boundaries</x:v>
      </x:c>
      <x:c r="D17" s="487" t="str">
        <x:v>MVP Definition of Done</x:v>
      </x:c>
    </x:row>
    <x:row r="18" ht="28" customHeight="1">
      <x:c r="A18" s="496" t="str">
        <x:v>Task</x:v>
      </x:c>
      <x:c r="B18" s="217" t="str">
        <x:v>Instructions, inputs, deliverable, constraints, evaluation intent.</x:v>
      </x:c>
      <x:c r="D18" s="496" t="str">
        <x:v>1</x:v>
      </x:c>
      <x:c r="E18" s="217" t="str">
        <x:v>Valid engineering cases and candidate JSON artifacts.</x:v>
      </x:c>
    </x:row>
    <x:row r="19" ht="28" customHeight="1">
      <x:c r="A19" s="496" t="str">
        <x:v>Agent</x:v>
      </x:c>
      <x:c r="B19" s="217" t="str">
        <x:v>Direct model, OpenClaw, another harness, or human-created candidate.</x:v>
      </x:c>
      <x:c r="D19" s="496" t="str">
        <x:v>2</x:v>
      </x:c>
      <x:c r="E19" s="217" t="str">
        <x:v>Mandatory gates and deterministic checks.</x:v>
      </x:c>
    </x:row>
    <x:row r="20" ht="28" customHeight="1">
      <x:c r="A20" s="496" t="str">
        <x:v>Environment</x:v>
      </x:c>
      <x:c r="B20" s="217" t="str">
        <x:v>Files, tools, permissions, shell/GUI conditions.</x:v>
      </x:c>
      <x:c r="D20" s="496" t="str">
        <x:v>3</x:v>
      </x:c>
      <x:c r="E20" s="217" t="str">
        <x:v>Weighted score, pass/fail, failure modes, and evidence.</x:v>
      </x:c>
    </x:row>
    <x:row r="21" ht="28" customHeight="1">
      <x:c r="A21" s="496" t="str">
        <x:v>Trace / Artifacts</x:v>
      </x:c>
      <x:c r="B21" s="217" t="str">
        <x:v>Actions, tool calls, state changes, errors, corrections, outputs.</x:v>
      </x:c>
      <x:c r="D21" s="496" t="str">
        <x:v>4</x:v>
      </x:c>
      <x:c r="E21" s="217" t="str">
        <x:v>evaluate CLI command with stable exit codes.</x:v>
      </x:c>
    </x:row>
    <x:row r="22" ht="28" customHeight="1">
      <x:c r="A22" s="496" t="str">
        <x:v>Evaluator</x:v>
      </x:c>
      <x:c r="B22" s="217" t="str">
        <x:v>Gates, deterministic checks, tolerances, scoring, failure evidence.</x:v>
      </x:c>
      <x:c r="D22" s="496" t="str">
        <x:v>5</x:v>
      </x:c>
      <x:c r="E22" s="217" t="str">
        <x:v>Immutable structured result records.</x:v>
      </x:c>
    </x:row>
    <x:row r="23" ht="28" customHeight="1">
      <x:c r="A23" s="496" t="str">
        <x:v>Results</x:v>
      </x:c>
      <x:c r="B23" s="217" t="str">
        <x:v>Immutable score, pass/fail, evidence, versions, artifact locations.</x:v>
      </x:c>
      <x:c r="D23" s="496" t="str">
        <x:v>6</x:v>
      </x:c>
      <x:c r="E23" s="217" t="str">
        <x:v>Five reviewed cases with at least one held-out case.</x:v>
      </x:c>
    </x:row>
    <x:row r="24" ht="28" customHeight="1">
      <x:c r="A24" s="496" t="str">
        <x:v>Separation rule</x:v>
      </x:c>
      <x:c r="B24" s="217" t="str">
        <x:v>Case definitions are versioned benchmark inputs; run data is generated evidence. Do not mix them.</x:v>
      </x:c>
      <x:c r="D24" s="496" t="str">
        <x:v>7</x:v>
      </x:c>
      <x:c r="E24" s="217" t="str">
        <x:v>Small reproducible benchmark and representative failure summary.</x:v>
      </x:c>
    </x:row>
    <x:row r="25" ht="28" customHeight="1">
      <x:c r="A25" s="496" t="str">
        <x:v>Engineering boundary</x:v>
      </x:c>
      <x:c r="B25" s="217" t="str">
        <x:v>No engineering sign-off, stamped deliverables, autonomous release, or final safety-critical decisions.</x:v>
      </x:c>
      <x:c r="D25" s="496" t="str">
        <x:v>8</x:v>
      </x:c>
      <x:c r="E25" s="217" t="str">
        <x:v>CI, README, architecture docs, one portfolio demo, and v0.1.0 tag.</x:v>
      </x:c>
    </x:row>
    <x:row r="27">
      <x:c r="A27" s="487" t="str">
        <x:v>Current Evidence and Known Gaps</x:v>
      </x:c>
    </x:row>
    <x:row r="28" ht="38" customHeight="1">
      <x:c r="A28" s="492" t="str">
        <x:v>Evidence</x:v>
      </x:c>
      <x:c r="B28" s="217" t="str">
        <x:v>PR #1–#5 merged; 25 tests pass; seed cases validate; targeted inspect and key validator defects covered.</x:v>
      </x:c>
      <x:c r="C28" s="492" t="str">
        <x:v>Gap</x:v>
      </x:c>
      <x:c r="D28" s="217" t="str">
        <x:v>No candidate evaluation engine exists.</x:v>
      </x:c>
      <x:c r="E28" s="492" t="str">
        <x:v>Response</x:v>
      </x:c>
      <x:c r="F28" s="217" t="str">
        <x:v>Build WBS 1.1–1.5 next.</x:v>
      </x:c>
      <x:c r="G28" s="492" t="str">
        <x:v>Owner</x:v>
      </x:c>
      <x:c r="H28" s="217" t="str">
        <x:v>Jason</x:v>
      </x:c>
    </x:row>
    <x:row r="29" ht="38" customHeight="1">
      <x:c r="A29" s="492" t="str">
        <x:v>Evidence</x:v>
      </x:c>
      <x:c r="B29" s="217" t="str">
        <x:v>Architecture and controlling Gantt workbook committed in c71676d.</x:v>
      </x:c>
      <x:c r="C29" s="492" t="str">
        <x:v>Gap</x:v>
      </x:c>
      <x:c r="D29" s="217" t="str">
        <x:v>No open commit gap.</x:v>
      </x:c>
      <x:c r="E29" s="492" t="str">
        <x:v>Response</x:v>
      </x:c>
      <x:c r="F29" s="217" t="str">
        <x:v>Begin WBS 1.1 in the next work block.</x:v>
      </x:c>
      <x:c r="G29" s="492" t="str">
        <x:v>Owner</x:v>
      </x:c>
      <x:c r="H29" s="217" t="str">
        <x:v>Jason</x:v>
      </x:c>
    </x:row>
    <x:row r="30" ht="38" customHeight="1">
      <x:c r="A30" s="492" t="str">
        <x:v>Evidence</x:v>
      </x:c>
      <x:c r="B30" s="217" t="str">
        <x:v>Known logged time is 4.62 hours.</x:v>
      </x:c>
      <x:c r="C30" s="492" t="str">
        <x:v>Gap</x:v>
      </x:c>
      <x:c r="D30" s="217" t="str">
        <x:v>Later July 4 work duration is unknown.</x:v>
      </x:c>
      <x:c r="E30" s="492" t="str">
        <x:v>Response</x:v>
      </x:c>
      <x:c r="F30" s="217" t="str">
        <x:v>Leave blank; do not invent time.</x:v>
      </x:c>
      <x:c r="G30" s="492" t="str">
        <x:v>Owner</x:v>
      </x:c>
      <x:c r="H30" s="217" t="str">
        <x:v>Jason</x:v>
      </x:c>
    </x:row>
    <x:row r="31" ht="38" customHeight="1">
      <x:c r="A31" s="492" t="str">
        <x:v>Evidence</x:v>
      </x:c>
      <x:c r="B31" s="217" t="str">
        <x:v>Long-term roadmap retained in Legacy Baseline and Expansion Backlog.</x:v>
      </x:c>
      <x:c r="C31" s="492" t="str">
        <x:v>Gap</x:v>
      </x:c>
      <x:c r="D31" s="217" t="str">
        <x:v>Expansion priority not selected.</x:v>
      </x:c>
      <x:c r="E31" s="492" t="str">
        <x:v>Response</x:v>
      </x:c>
      <x:c r="F31" s="217" t="str">
        <x:v>Select only after MVP Gate 6.</x:v>
      </x:c>
      <x:c r="G31" s="492" t="str">
        <x:v>Owner</x:v>
      </x:c>
      <x:c r="H31" s="217" t="str">
        <x:v>Jason</x:v>
      </x:c>
    </x:row>
    <x:row r="32" ht="38" customHeight="1">
      <x:c r="A32" s="492" t="str">
        <x:v>Control rule</x:v>
      </x:c>
      <x:c r="B32" s="217" t="str">
        <x:v>One branch per coherent capability; tests support product.</x:v>
      </x:c>
      <x:c r="C32" s="492" t="str">
        <x:v>Risk</x:v>
      </x:c>
      <x:c r="D32" s="217" t="str">
        <x:v>Planning or test-building may displace implementation.</x:v>
      </x:c>
      <x:c r="E32" s="492" t="str">
        <x:v>Response</x:v>
      </x:c>
      <x:c r="F32" s="217" t="str">
        <x:v>Every block must close a WBS deliverable.</x:v>
      </x:c>
      <x:c r="G32" s="492" t="str">
        <x:v>Owner</x:v>
      </x:c>
      <x:c r="H32" s="217" t="str">
        <x:v>Jason</x:v>
      </x:c>
    </x:row>
  </x:sheetData>
  <x:mergeCells>
    <x:mergeCell ref="A1:H1"/>
    <x:mergeCell ref="A2:H2"/>
    <x:mergeCell ref="A4:H4"/>
    <x:mergeCell ref="A10:H10"/>
    <x:mergeCell ref="D10:H10"/>
    <x:mergeCell ref="A17:H17"/>
    <x:mergeCell ref="D17:H17"/>
    <x:mergeCell ref="A27:H2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20" hidden="0" customWidth="1"/>
    <x:col min="4" max="4" width="46" hidden="0" customWidth="1"/>
    <x:col min="5" max="5" width="18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28" customHeight="1">
      <x:c r="A1" s="205" t="str">
        <x:v>MVP Dashboard — Status as of 2026-07-04</x:v>
      </x:c>
    </x:row>
    <x:row r="3">
      <x:c r="A3" s="487" t="str">
        <x:v>Key Metrics</x:v>
      </x:c>
      <x:c r="F3" s="487" t="str">
        <x:v>Current Focus</x:v>
      </x:c>
    </x:row>
    <x:row r="4" ht="30" customHeight="1">
      <x:c r="A4" s="226" t="str">
        <x:v>Target Finish</x:v>
      </x:c>
      <x:c r="B4" s="542" t="n">
        <x:v>46257</x:v>
      </x:c>
      <x:c r="F4" s="492" t="str">
        <x:v>Active WBS</x:v>
      </x:c>
      <x:c r="G4" s="562" t="str">
        <x:v>1.1 — Candidate artifact contract and loader</x:v>
      </x:c>
      <x:c r="H4" s="562"/>
      <x:c r="I4" s="563"/>
      <x:c r="J4" s="562"/>
      <x:c r="K4" s="562"/>
      <x:c r="L4" s="563"/>
      <x:c r="M4" s="562"/>
      <x:c r="N4" s="562"/>
    </x:row>
    <x:row r="5" ht="30" customHeight="1">
      <x:c r="A5" s="226" t="str">
        <x:v>Planned Hours</x:v>
      </x:c>
      <x:c r="B5" s="543" t="n">
        <x:v>76</x:v>
      </x:c>
      <x:c r="F5" s="492" t="str">
        <x:v>Next Build WBS</x:v>
      </x:c>
      <x:c r="G5" s="562" t="str">
        <x:v>1.2 — Mandatory gate engine</x:v>
      </x:c>
      <x:c r="H5" s="562"/>
      <x:c r="I5" s="563"/>
      <x:c r="J5" s="562"/>
      <x:c r="K5" s="562"/>
      <x:c r="L5" s="563"/>
      <x:c r="M5" s="562"/>
      <x:c r="N5" s="562"/>
    </x:row>
    <x:row r="6" ht="30" customHeight="1">
      <x:c r="A6" s="226" t="str">
        <x:v>Known Logged Hours</x:v>
      </x:c>
      <x:c r="B6" s="544" t="n">
        <x:f>SUM('Work Block Log'!F5:F200)</x:f>
        <x:v>4.69</x:v>
      </x:c>
      <x:c r="F6" s="492" t="str">
        <x:v>Current product state</x:v>
      </x:c>
      <x:c r="G6" s="562" t="str">
        <x:v>Validated case-definition layer; no candidate evaluation engine yet.</x:v>
      </x:c>
      <x:c r="H6" s="562"/>
      <x:c r="I6" s="563"/>
      <x:c r="J6" s="562"/>
      <x:c r="K6" s="562"/>
      <x:c r="L6" s="563"/>
      <x:c r="M6" s="562"/>
      <x:c r="N6" s="562"/>
    </x:row>
    <x:row r="7" ht="30" customHeight="1">
      <x:c r="A7" s="226" t="str">
        <x:v>Weighted Progress</x:v>
      </x:c>
      <x:c r="B7" s="545" t="n">
        <x:f>SUMPRODUCT('Detailed Gantt'!F6:F27,'Detailed Gantt'!L6:L27)/SUM('Detailed Gantt'!F6:F27)</x:f>
        <x:v>0.1328947368421053</x:v>
      </x:c>
      <x:c r="F7" s="492" t="str">
        <x:v>Immediate next action</x:v>
      </x:c>
      <x:c r="G7" s="562" t="str">
        <x:v>Next work block: create feature/candidate-artifact-contract and define/load a MECH-002 candidate JSON artifact.</x:v>
      </x:c>
      <x:c r="H7" s="562"/>
      <x:c r="I7" s="563"/>
      <x:c r="J7" s="562"/>
      <x:c r="K7" s="562"/>
      <x:c r="L7" s="563"/>
      <x:c r="M7" s="562"/>
      <x:c r="N7" s="562"/>
    </x:row>
    <x:row r="8" ht="30" customHeight="1">
      <x:c r="A8" s="226" t="str">
        <x:v>Tests Passing</x:v>
      </x:c>
      <x:c r="B8" s="543" t="n">
        <x:v>25</x:v>
      </x:c>
      <x:c r="F8" s="492" t="str">
        <x:v>Primary risk</x:v>
      </x:c>
      <x:c r="G8" s="562" t="str">
        <x:v>Planning or test activity displaces implementation.</x:v>
      </x:c>
      <x:c r="H8" s="562"/>
      <x:c r="I8" s="563"/>
      <x:c r="J8" s="562"/>
      <x:c r="K8" s="562"/>
      <x:c r="L8" s="563"/>
      <x:c r="M8" s="562"/>
      <x:c r="N8" s="562"/>
    </x:row>
    <x:row r="9" ht="30" customHeight="1">
      <x:c r="A9" s="226" t="str">
        <x:v>Seed Cases</x:v>
      </x:c>
      <x:c r="B9" s="543" t="n">
        <x:v>3</x:v>
      </x:c>
      <x:c r="F9" s="492" t="str">
        <x:v>Deferred</x:v>
      </x:c>
      <x:c r="G9" s="562" t="str">
        <x:v>OpenClaw, multimodal, API/database, observability, deployment, governance pack, and RL.</x:v>
      </x:c>
      <x:c r="H9" s="562"/>
      <x:c r="I9" s="563"/>
      <x:c r="J9" s="562"/>
      <x:c r="K9" s="562"/>
      <x:c r="L9" s="563"/>
      <x:c r="M9" s="562"/>
      <x:c r="N9" s="562"/>
    </x:row>
    <x:row r="10" ht="30" customHeight="1">
      <x:c r="A10" s="226" t="str">
        <x:v>Merged PRs</x:v>
      </x:c>
      <x:c r="B10" s="543" t="n">
        <x:v>5</x:v>
      </x:c>
      <x:c r="F10" s="492" t="str">
        <x:v>Data boundary</x:v>
      </x:c>
      <x:c r="G10" s="562" t="str">
        <x:v>Public, synthetic, self-authored, or authorized data only.</x:v>
      </x:c>
      <x:c r="H10" s="562"/>
      <x:c r="I10" s="562"/>
      <x:c r="J10" s="562"/>
      <x:c r="K10" s="562"/>
      <x:c r="L10" s="562"/>
      <x:c r="M10" s="562"/>
      <x:c r="N10" s="562"/>
    </x:row>
    <x:row r="11">
      <x:c r="A11" s="226" t="str">
        <x:v>Current Main</x:v>
      </x:c>
      <x:c r="B11" s="543" t="str">
        <x:v>c71676d</x:v>
      </x:c>
    </x:row>
    <x:row r="13">
      <x:c r="A13" s="487" t="str">
        <x:v>Phase Progress</x:v>
      </x:c>
    </x:row>
    <x:row r="14">
      <x:c r="A14" s="229" t="str">
        <x:v>Phase</x:v>
      </x:c>
      <x:c r="B14" s="229" t="str">
        <x:v>Planned Hours</x:v>
      </x:c>
      <x:c r="C14" s="229" t="str">
        <x:v>Actual Hours</x:v>
      </x:c>
      <x:c r="D14" s="229" t="str">
        <x:v>% Complete</x:v>
      </x:c>
      <x:c r="E14" s="229" t="str">
        <x:v>Gate</x:v>
      </x:c>
    </x:row>
    <x:row r="15">
      <x:c r="A15" s="217" t="str">
        <x:v>0 Control &amp; Foundation</x:v>
      </x:c>
      <x:c r="B15" s="239" t="n">
        <x:v>8</x:v>
      </x:c>
      <x:c r="C15" s="239" t="n">
        <x:f>SUMIF('Detailed Gantt'!$B$6:$B$27,A15,'Detailed Gantt'!$M$6:$M$27)</x:f>
        <x:v>4.69</x:v>
      </x:c>
      <x:c r="D15" s="550" t="n">
        <x:f>IF(B15=0,0,SUMPRODUCT(('Detailed Gantt'!$B$6:$B$27=A15)*'Detailed Gantt'!$F$6:$F$27*'Detailed Gantt'!$L$6:$L$27)/B15)</x:f>
        <x:v>1</x:v>
      </x:c>
      <x:c r="E15" s="217" t="str">
        <x:v>Gate 0 — control baseline accepted</x:v>
      </x:c>
    </x:row>
    <x:row r="16">
      <x:c r="A16" s="217" t="str">
        <x:v>1 Evaluation Core</x:v>
      </x:c>
      <x:c r="B16" s="239" t="n">
        <x:v>24</x:v>
      </x:c>
      <x:c r="C16" s="239" t="n">
        <x:f>SUMIF('Detailed Gantt'!$B$6:$B$27,A16,'Detailed Gantt'!$M$6:$M$27)</x:f>
        <x:v>0</x:v>
      </x:c>
      <x:c r="D16" s="550" t="n">
        <x:f>IF(B16=0,0,SUMPRODUCT(('Detailed Gantt'!$B$6:$B$27=A16)*'Detailed Gantt'!$F$6:$F$27*'Detailed Gantt'!$L$6:$L$27)/B16)</x:f>
        <x:v>0</x:v>
      </x:c>
      <x:c r="E16" s="217" t="str">
        <x:v>Gate 2 — deterministic evaluation core</x:v>
      </x:c>
    </x:row>
    <x:row r="17">
      <x:c r="A17" s="217" t="str">
        <x:v>2 CLI &amp; Results</x:v>
      </x:c>
      <x:c r="B17" s="239" t="n">
        <x:v>14</x:v>
      </x:c>
      <x:c r="C17" s="239" t="n">
        <x:f>SUMIF('Detailed Gantt'!$B$6:$B$27,A17,'Detailed Gantt'!$M$6:$M$27)</x:f>
        <x:v>0</x:v>
      </x:c>
      <x:c r="D17" s="550" t="n">
        <x:f>IF(B17=0,0,SUMPRODUCT(('Detailed Gantt'!$B$6:$B$27=A17)*'Detailed Gantt'!$F$6:$F$27*'Detailed Gantt'!$L$6:$L$27)/B17)</x:f>
        <x:v>0</x:v>
      </x:c>
      <x:c r="E17" s="217" t="str">
        <x:v>Gate 3 — end-to-end local evaluation</x:v>
      </x:c>
    </x:row>
    <x:row r="18">
      <x:c r="A18" s="217" t="str">
        <x:v>3 Cases &amp; Benchmark</x:v>
      </x:c>
      <x:c r="B18" s="239" t="n">
        <x:v>14</x:v>
      </x:c>
      <x:c r="C18" s="239" t="n">
        <x:f>SUMIF('Detailed Gantt'!$B$6:$B$27,A18,'Detailed Gantt'!$M$6:$M$27)</x:f>
        <x:v>0</x:v>
      </x:c>
      <x:c r="D18" s="550" t="n">
        <x:f>IF(B18=0,0,SUMPRODUCT(('Detailed Gantt'!$B$6:$B$27=A18)*'Detailed Gantt'!$F$6:$F$27*'Detailed Gantt'!$L$6:$L$27)/B18)</x:f>
        <x:v>0</x:v>
      </x:c>
      <x:c r="E18" s="217" t="str">
        <x:v>Gate 4 — benchmark ready</x:v>
      </x:c>
    </x:row>
    <x:row r="19">
      <x:c r="A19" s="217" t="str">
        <x:v>4 Quality &amp; Reproducibility</x:v>
      </x:c>
      <x:c r="B19" s="239" t="n">
        <x:v>8</x:v>
      </x:c>
      <x:c r="C19" s="239" t="n">
        <x:f>SUMIF('Detailed Gantt'!$B$6:$B$27,A19,'Detailed Gantt'!$M$6:$M$27)</x:f>
        <x:v>0</x:v>
      </x:c>
      <x:c r="D19" s="550" t="n">
        <x:f>IF(B19=0,0,SUMPRODUCT(('Detailed Gantt'!$B$6:$B$27=A19)*'Detailed Gantt'!$F$6:$F$27*'Detailed Gantt'!$L$6:$L$27)/B19)</x:f>
        <x:v>0.26249999999999996</x:v>
      </x:c>
      <x:c r="E19" s="217" t="str">
        <x:v>Gate 5 — reproducible quality baseline</x:v>
      </x:c>
    </x:row>
    <x:row r="20">
      <x:c r="A20" s="217" t="str">
        <x:v>5 Demo &amp; Release</x:v>
      </x:c>
      <x:c r="B20" s="239" t="n">
        <x:v>8</x:v>
      </x:c>
      <x:c r="C20" s="239" t="n">
        <x:f>SUMIF('Detailed Gantt'!$B$6:$B$27,A20,'Detailed Gantt'!$M$6:$M$27)</x:f>
        <x:v>0</x:v>
      </x:c>
      <x:c r="D20" s="550" t="n">
        <x:f>IF(B20=0,0,SUMPRODUCT(('Detailed Gantt'!$B$6:$B$27=A20)*'Detailed Gantt'!$F$6:$F$27*'Detailed Gantt'!$L$6:$L$27)/B20)</x:f>
        <x:v>0</x:v>
      </x:c>
      <x:c r="E20" s="217" t="str">
        <x:v>Gate 6 — MVP v0.1.0 release</x:v>
      </x:c>
    </x:row>
    <x:row r="23">
      <x:c r="A23" s="487" t="str">
        <x:v>Next Three Deliverables</x:v>
      </x:c>
    </x:row>
    <x:row r="24" ht="30" customHeight="1">
      <x:c r="A24" s="568" t="str">
        <x:v>Priority</x:v>
      </x:c>
      <x:c r="B24" s="568" t="str">
        <x:v>WBS</x:v>
      </x:c>
      <x:c r="C24" s="568" t="str">
        <x:v>Deliverable</x:v>
      </x:c>
      <x:c r="D24" s="568" t="str">
        <x:v>Definition of Done</x:v>
      </x:c>
      <x:c r="E24" s="568" t="str">
        <x:v>Target Week</x:v>
      </x:c>
      <x:c r="F24" s="568" t="str">
        <x:v>Branch</x:v>
      </x:c>
      <x:c r="G24" s="568" t="str">
        <x:v>Evidence</x:v>
      </x:c>
      <x:c r="H24" s="568" t="str">
        <x:v>Owner</x:v>
      </x:c>
      <x:c r="I24" t="str"/>
      <x:c r="J24" t="str"/>
      <x:c r="K24" t="str"/>
      <x:c r="L24" t="str"/>
      <x:c r="M24" t="str"/>
      <x:c r="N24" t="str"/>
    </x:row>
    <x:row r="25" ht="54" customHeight="1">
      <x:c r="A25" s="578" t="n">
        <x:v>1</x:v>
      </x:c>
      <x:c r="B25" s="578" t="str">
        <x:v>0.2</x:v>
      </x:c>
      <x:c r="C25" s="242" t="str">
        <x:v>Architecture and control baseline</x:v>
      </x:c>
      <x:c r="D25" s="242" t="str">
        <x:v>docs/architecture.md and gantt.xlsx committed; Gate 0 evidence accepted.</x:v>
      </x:c>
      <x:c r="E25" s="578" t="n">
        <x:v>2</x:v>
      </x:c>
      <x:c r="F25" s="242" t="str">
        <x:v>docs/control update</x:v>
      </x:c>
      <x:c r="G25" s="242" t="str">
        <x:v>Commit + evidence register</x:v>
      </x:c>
      <x:c r="H25" s="578" t="str">
        <x:v>Jason</x:v>
      </x:c>
      <x:c r="I25" t="str"/>
      <x:c r="J25" t="str"/>
      <x:c r="K25" t="str"/>
      <x:c r="L25" t="str"/>
      <x:c r="M25" t="str"/>
      <x:c r="N25" t="str"/>
    </x:row>
    <x:row r="26" ht="54" customHeight="1">
      <x:c r="A26" s="578" t="n">
        <x:v>2</x:v>
      </x:c>
      <x:c r="B26" s="578" t="str">
        <x:v>1.1</x:v>
      </x:c>
      <x:c r="C26" s="242" t="str">
        <x:v>Candidate artifact contract and loader</x:v>
      </x:c>
      <x:c r="D26" s="242" t="str">
        <x:v>MECH-002 candidate JSON loads; missing/malformed candidates fail clearly.</x:v>
      </x:c>
      <x:c r="E26" s="578" t="n">
        <x:v>2</x:v>
      </x:c>
      <x:c r="F26" s="242" t="str">
        <x:v>feature/candidate-artifact-contract</x:v>
      </x:c>
      <x:c r="G26" s="242" t="str">
        <x:v>Tests + manual load</x:v>
      </x:c>
      <x:c r="H26" s="578" t="str">
        <x:v>Jason</x:v>
      </x:c>
      <x:c r="I26" t="str"/>
      <x:c r="J26" t="str"/>
      <x:c r="K26" t="str"/>
      <x:c r="L26" t="str"/>
      <x:c r="M26" t="str"/>
      <x:c r="N26" t="str"/>
    </x:row>
    <x:row r="27" ht="54" customHeight="1">
      <x:c r="A27" s="578" t="n">
        <x:v>3</x:v>
      </x:c>
      <x:c r="B27" s="578" t="str">
        <x:v>1.2</x:v>
      </x:c>
      <x:c r="C27" s="242" t="str">
        <x:v>Mandatory gate engine</x:v>
      </x:c>
      <x:c r="D27" s="242" t="str">
        <x:v>Required gates execute before checks and return structured evidence.</x:v>
      </x:c>
      <x:c r="E27" s="578" t="n">
        <x:v>3</x:v>
      </x:c>
      <x:c r="F27" s="242" t="str">
        <x:v>feature/gate-engine</x:v>
      </x:c>
      <x:c r="G27" s="242" t="str">
        <x:v>Engine tests + example artifacts</x:v>
      </x:c>
      <x:c r="H27" s="578" t="str">
        <x:v>Jason</x:v>
      </x:c>
      <x:c r="I27" t="str"/>
      <x:c r="J27" t="str"/>
      <x:c r="K27" t="str"/>
      <x:c r="L27" t="str"/>
      <x:c r="M27" t="str"/>
      <x:c r="N27" t="str"/>
    </x:row>
  </x:sheetData>
  <x:mergeCells>
    <x:mergeCell ref="A1:N1"/>
    <x:mergeCell ref="A3:D3"/>
    <x:mergeCell ref="F3:N3"/>
    <x:mergeCell ref="A13:E13"/>
    <x:mergeCell ref="A23:N23"/>
    <x:mergeCell ref="G4:N4"/>
    <x:mergeCell ref="G5:N5"/>
    <x:mergeCell ref="G6:N6"/>
    <x:mergeCell ref="G7:N7"/>
    <x:mergeCell ref="G8:N8"/>
    <x:mergeCell ref="G9:N9"/>
    <x:mergeCell ref="G10:N10"/>
  </x:mergeCells>
  <x:conditionalFormatting sqref="D15:D20">
    <x:cfRule type="dataBar" priority="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{D1214ACC-5D14-E3A4-5673-BCFD96F7FC1E}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5f4fa484132d407a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1214ACC-5D14-E3A4-5673-BCFD96F7FC1E}">
            <x14:dataBar gradient="1">
              <x14:cfvo type="min"/>
              <x14:cfvo type="max"/>
              <x14:fillColor rgb="FF2F75B5"/>
            </x14:dataBar>
          </x14:cfRule>
          <xm:sqref>D15:D20</xm:sqref>
        </x14:conditionalFormatting>
      </x14:conditionalFormattings>
    </x:ext>
  </x:extLst>
</x:worksheet>
</file>