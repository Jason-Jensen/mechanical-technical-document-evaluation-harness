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2bf0e7e6c14055" /></Relationships>
</file>

<file path=xl/workbook.xml><?xml version="1.0" encoding="utf-8"?>
<x:workbook xmlns:x="http://schemas.openxmlformats.org/spreadsheetml/2006/main">
  <x:sheets>
    <x:sheet xmlns:r="http://schemas.openxmlformats.org/officeDocument/2006/relationships" name="Start Here" sheetId="1" r:id="R1ed37f6d43e0416a"/>
    <x:sheet xmlns:r="http://schemas.openxmlformats.org/officeDocument/2006/relationships" name="Executive Gantt" sheetId="2" r:id="Rb3924f4228dc4845"/>
    <x:sheet xmlns:r="http://schemas.openxmlformats.org/officeDocument/2006/relationships" name="Detailed Gantt" sheetId="3" r:id="Rbf76c3e26090456e"/>
    <x:sheet xmlns:r="http://schemas.openxmlformats.org/officeDocument/2006/relationships" name="Weekly Control" sheetId="4" r:id="Rbe8c8481b029459c"/>
    <x:sheet xmlns:r="http://schemas.openxmlformats.org/officeDocument/2006/relationships" name="Phase Summary" sheetId="5" r:id="Rb70fc5dc947a4eed"/>
    <x:sheet xmlns:r="http://schemas.openxmlformats.org/officeDocument/2006/relationships" name="Assumptions &amp; Gates" sheetId="6" r:id="Re41b69f436fa4eb1"/>
    <x:sheet xmlns:r="http://schemas.openxmlformats.org/officeDocument/2006/relationships" name="Sources" sheetId="7" r:id="R8e41c875db6a4f45"/>
    <x:sheet xmlns:r="http://schemas.openxmlformats.org/officeDocument/2006/relationships" name="Legacy Baseline" sheetId="8" r:id="Rd61d8e3b748a4424"/>
    <x:sheet xmlns:r="http://schemas.openxmlformats.org/officeDocument/2006/relationships" name="Work Block Log" sheetId="9" r:id="Rdba2dedae2ad4d1d"/>
    <x:sheet xmlns:r="http://schemas.openxmlformats.org/officeDocument/2006/relationships" name="Decision Register" sheetId="10" r:id="Rf1f9e0d3dd6448ae"/>
    <x:sheet xmlns:r="http://schemas.openxmlformats.org/officeDocument/2006/relationships" name="Risks &amp; Issues" sheetId="11" r:id="R3d094d52abb74467"/>
    <x:sheet xmlns:r="http://schemas.openxmlformats.org/officeDocument/2006/relationships" name="Evidence Register" sheetId="12" r:id="R1424679ce2fb4020"/>
    <x:sheet xmlns:r="http://schemas.openxmlformats.org/officeDocument/2006/relationships" name="Expansion Backlog" sheetId="13" r:id="R6d923b181991407e"/>
    <x:sheet xmlns:r="http://schemas.openxmlformats.org/officeDocument/2006/relationships" name="AI Context" sheetId="14" r:id="R4bacaa7620174ef8"/>
    <x:sheet xmlns:r="http://schemas.openxmlformats.org/officeDocument/2006/relationships" name="MVP Dashboard" sheetId="15" r:id="Rbf72a2f5f826439c"/>
    <x:sheet xmlns:r="http://schemas.openxmlformats.org/officeDocument/2006/relationships" name="Product Vision" sheetId="16" r:id="R1c9c19a45bac4dfd"/>
    <x:sheet xmlns:r="http://schemas.openxmlformats.org/officeDocument/2006/relationships" name="Pilot Gantt" sheetId="17" r:id="R46bf4d732ea04e61"/>
    <x:sheet xmlns:r="http://schemas.openxmlformats.org/officeDocument/2006/relationships" name="Pilot Dashboard" sheetId="18" r:id="R0444193673ff40c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<x:sst xmlns:x="http://schemas.openxmlformats.org/spreadsheetml/2006/main">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</x:sst>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9">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49231cb7c964cb4" /><Relationship Type="http://schemas.openxmlformats.org/officeDocument/2006/relationships/theme" Target="/xl/theme/theme1.xml" Id="R505b63618aaf42ff" /><Relationship Type="http://schemas.openxmlformats.org/officeDocument/2006/relationships/sharedStrings" Target="/xl/sharedStrings.xml" Id="R9187b214936344fe" /><Relationship Type="http://schemas.openxmlformats.org/officeDocument/2006/relationships/worksheet" Target="/xl/worksheets/sheet1.xml" Id="R1ed37f6d43e0416a" /><Relationship Type="http://schemas.openxmlformats.org/officeDocument/2006/relationships/worksheet" Target="/xl/worksheets/sheet2.xml" Id="Rb3924f4228dc4845" /><Relationship Type="http://schemas.openxmlformats.org/officeDocument/2006/relationships/worksheet" Target="/xl/worksheets/sheet3.xml" Id="Rbf76c3e26090456e" /><Relationship Type="http://schemas.openxmlformats.org/officeDocument/2006/relationships/worksheet" Target="/xl/worksheets/sheet4.xml" Id="Rbe8c8481b029459c" /><Relationship Type="http://schemas.openxmlformats.org/officeDocument/2006/relationships/worksheet" Target="/xl/worksheets/sheet5.xml" Id="Rb70fc5dc947a4eed" /><Relationship Type="http://schemas.openxmlformats.org/officeDocument/2006/relationships/worksheet" Target="/xl/worksheets/sheet6.xml" Id="Re41b69f436fa4eb1" /><Relationship Type="http://schemas.openxmlformats.org/officeDocument/2006/relationships/worksheet" Target="/xl/worksheets/sheet7.xml" Id="R8e41c875db6a4f45" /><Relationship Type="http://schemas.openxmlformats.org/officeDocument/2006/relationships/worksheet" Target="/xl/worksheets/sheet8.xml" Id="Rd61d8e3b748a4424" /><Relationship Type="http://schemas.openxmlformats.org/officeDocument/2006/relationships/worksheet" Target="/xl/worksheets/sheet9.xml" Id="Rdba2dedae2ad4d1d" /><Relationship Type="http://schemas.openxmlformats.org/officeDocument/2006/relationships/worksheet" Target="/xl/worksheets/sheet10.xml" Id="Rf1f9e0d3dd6448ae" /><Relationship Type="http://schemas.openxmlformats.org/officeDocument/2006/relationships/worksheet" Target="/xl/worksheets/sheet11.xml" Id="R3d094d52abb74467" /><Relationship Type="http://schemas.openxmlformats.org/officeDocument/2006/relationships/worksheet" Target="/xl/worksheets/sheet12.xml" Id="R1424679ce2fb4020" /><Relationship Type="http://schemas.openxmlformats.org/officeDocument/2006/relationships/worksheet" Target="/xl/worksheets/sheet13.xml" Id="R6d923b181991407e" /><Relationship Type="http://schemas.openxmlformats.org/officeDocument/2006/relationships/worksheet" Target="/xl/worksheets/sheet14.xml" Id="R4bacaa7620174ef8" /><Relationship Type="http://schemas.openxmlformats.org/officeDocument/2006/relationships/worksheet" Target="/xl/worksheets/sheet15.xml" Id="Rbf72a2f5f826439c" /><Relationship Type="http://schemas.openxmlformats.org/officeDocument/2006/relationships/worksheet" Target="/xl/worksheets/sheet16.xml" Id="R1c9c19a45bac4dfd" /><Relationship Type="http://schemas.openxmlformats.org/officeDocument/2006/relationships/worksheet" Target="/xl/worksheets/sheet17.xml" Id="R46bf4d732ea04e61" /><Relationship Type="http://schemas.openxmlformats.org/officeDocument/2006/relationships/worksheet" Target="/xl/worksheets/sheet18.xml" Id="R0444193673ff40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7e62f24247c4377" /></Relationships>
</file>

<file path=xl/drawings/_rels/drawing2.xml.rels>&#65279;<?xml version="1.0" encoding="utf-8"?><Relationships xmlns="http://schemas.openxmlformats.org/package/2006/relationships"><Relationship Type="http://schemas.openxmlformats.org/officeDocument/2006/relationships/chart" Target="/xl/drawings/charts/chart2.xml" Id="R72f05f814fd64237" /></Relationships>
</file>

<file path=xl/drawings/_rels/drawing3.xml.rels>&#65279;<?xml version="1.0" encoding="utf-8"?><Relationships xmlns="http://schemas.openxmlformats.org/package/2006/relationships"><Relationship Type="http://schemas.openxmlformats.org/officeDocument/2006/relationships/chart" Target="/xl/drawings/charts/chart3.xml" Id="R7f86362593c247b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7e62f24247c437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f05f814fd64237"/>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f86362593c247b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d88abe1f7a4a4de8" /></Relationships>
</file>

<file path=xl/worksheets/_rels/sheet5.xml.rels>&#65279;<?xml version="1.0" encoding="utf-8"?><Relationships xmlns="http://schemas.openxmlformats.org/package/2006/relationships"><Relationship Type="http://schemas.openxmlformats.org/officeDocument/2006/relationships/drawing" Target="/xl/drawings/drawing2.xml" Id="R3131a247b5f241a1" /></Relationships>
</file>

<file path=xl/worksheets/_rels/sheet15.xml.rels>&#65279;<?xml version="1.0" encoding="utf-8"?><Relationships xmlns="http://schemas.openxmlformats.org/package/2006/relationships"><Relationship Type="http://schemas.openxmlformats.org/officeDocument/2006/relationships/drawing" Target="/xl/drawings/drawing3.xml" Id="R4b6735e8b16d4f1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D-114 publication stabilization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D-114 corrected and verified; D-116 owner review; product release held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D-114 publication stabilization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and integrate D-114; D-116 remains a separate pending decision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#67 integrated D-115 governance at exact main 540a1f6. The owner accepted D-114 and authorized development-only publication stabilization. A bounded child using the development package reproduced exit 70 without protected access. The exact root cause was the former run-ID-bearing temporary directory: at a 193-character runs root, the first legacy staged output reached 263-264 characters and Python returned FileNotFoundError / errno 2. The correction uses short internal staging and failed-evidence names, preserves immutable final run IDs and all semantic behavior, records exact stage/error diagnostics, and writes a short fallback marker when nested evidence cannot be created. The production-equivalent sentinel stages 46 read-only files, excludes expected assets and inherited PATH/credentials/proxies, preserves exact pre/post hash, and publishes four schema-valid outputs at the same 193-character root. Focused tests pass 50/50 with publication coverage 91% and governance coverage 84%; protected-safe full regression passes 337 with one expected skip at 88.48%; validation 5/5, Ruff, P4.1-DEV-1 22/22, baseline 9/9, and demo 2/2 pass. NC-001 is closed and AIR-010 is controlled. Release remains held by AIR-003 and pending D-116. The consumed D-113 family remains immutable, outside Git, and prohibited from rerun or reuse. EV-171-EV-177, R-018, IMP-028, IMP-030-IMP-031, D-114, and proposed D-116 preserve the decisions and proof.</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d88abe1f7a4a4de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131a247b5f241a1"/>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46225</x:v>
      </x:c>
      <x:c r="D28" s="485" t="str">
        <x:v>Active / Release Held</x:v>
      </x:c>
      <x:c r="E28" s="485" t="str">
        <x:v>Binding policy, inventory, impact and risk assessment, minimum controls, evidence, audit, management review, and exact release-hold alignment are valid. Release-ready mode must pass before release.</x:v>
      </x:c>
      <x:c r="F28" s="485" t="str">
        <x:v>PR #67 exact main 540a1f6; D-115; governance/ai_management_system.json; AIMS-POL-001; 22 governance focused; validator coverage 84%; D-114; publication sentinel; full 337/1; coverage 88.48%; CI gate</x:v>
      </x:c>
      <x:c r="G28" s="485" t="str">
        <x:v>G0.1 is integrated. D-114 closed NC-001 and controls AIR-010. Preserve AIR-003 and pending D-116;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t="str">
        <x:v>P4.2 Recovery Gate / Hold Point</x:v>
      </x:c>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t="str">
        <x:v>P4.2 Recovery Gate</x:v>
      </x:c>
      <x:c r="B31" s="1" t="str">
        <x:v>Owner review</x:v>
      </x:c>
      <x:c r="C31" s="1" t="n">
        <x:v>46225</x:v>
      </x:c>
      <x:c r="D31" s="1" t="str">
        <x:v>D-116 Proposed / Release Held</x:v>
      </x:c>
      <x:c r="E31" s="1" t="str">
        <x:v>D-114 correction is integrated and the sentinel passes locally and in hosted CI. A new external family may be prepared only after D-116; semantic execution requires a separate verified freeze decision.</x:v>
      </x:c>
      <x:c r="F31" s="1" t="str">
        <x:v>D-114; EV-172-EV-177; docs/package_assurance/p4_2_publication_stabilization_review_v0.3.0.md; docs/package_assurance/p4_2_external_benchmark_recovery_definition_v0.3.0.md; AIR-003</x:v>
      </x:c>
      <x:c r="G31" s="1" t="str">
        <x:v>Accept or revise D-116. Do not begin family preparation, semantic execution, P4.3, or release work before the corresponding owner gate.</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Local proof: 50 focused, publication coverage 91%, governance 84%, full 337/1 at 88.48%, validation 5/5, Ruff, development benchmark 22/22, baseline 9/9, demo 2/2.</x:v>
      </x:c>
      <x:c r="K30" s="83" t="str">
        <x:v>D-114 accepted and implemented. NC-001 is closed and AIR-010 controlled without clearing AIR-003. No protected family path was opened or listed and semantic execution count remains zero. D-116 remains pending.</x:v>
      </x:c>
      <x:c r="L30" s="83" t="str">
        <x:v>Review and integrate D-114. Accept or revise D-116 before any new external family preparation; require a separate freeze decision before semantic execution.</x:v>
      </x:c>
      <x:c r="M30" s="83" t="str">
        <x:v>codex/p4.2-publication-stabilization; D-114; proposed D-116; EV-171-EV-177; I-009; R-018; IMP-028; IMP-030-IMP-031</x:v>
      </x:c>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EV-171-EV-177; I-009; IMP-028; IMP-031</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x:c r="A119" t="str">
        <x:v>D-116</x:v>
      </x:c>
      <x:c r="B119" t="n">
        <x:v>46225</x:v>
      </x:c>
      <x:c r="C119" t="str">
        <x:v>Accept the D-114 publication correction and authorize preparation of one new, materially distinct external held-out family and one oracle-blind runner under independent custody. Require a separate owner freeze decision before semantic execution.</x:v>
      </x:c>
      <x:c r="D119" t="str">
        <x:v>The publication defect is corrected, but D-113 produced no semantic evidence and its family is consumed. A fresh zero-run family and runner with the passing in-bundle sentinel are required before one controlled external execution can be considered.</x:v>
      </x:c>
      <x:c r="E119" t="str">
        <x:v>Proposed / Owner Review</x:v>
      </x:c>
      <x:c r="F119" t="str">
        <x:v>P4.2 external benchmark recovery preparation gate</x:v>
      </x:c>
      <x:c r="G119" t="str">
        <x:v>docs/package_assurance/p4_2_publication_stabilization_review_v0.3.0.md; docs/package_assurance/p4_2_publication_stabilization_evidence_v0.3.0.json; docs/package_assurance/p4_2_external_benchmark_recovery_definition_v0.3.0.md; EV-173-EV-177; AIR-003; IMP-028; IMP-031</x:v>
      </x:c>
      <x:c r="H119" t="str">
        <x:v>D-116 would authorize preparation and independent zero-run freeze only. It would not authorize semantic execution, D-113 reuse, repository import of protected assets, semantic changes, P4.3, public reruns, or release claims. A separate proposed D-117 must return before execution.</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x:c r="A174" t="str">
        <x:v>EV-171</x:v>
      </x:c>
      <x:c r="B174" t="n">
        <x:v>46225</x:v>
      </x:c>
      <x:c r="C174" t="str">
        <x:v>D-115 governance integration</x:v>
      </x:c>
      <x:c r="D174" t="str">
        <x:v>PR #67 passed both hosted CI checks and merged the complete AI management and quality-control system to main at exact 540a1f6. Local main was fast-forwarded cleanly before D-114 work began.</x:v>
      </x:c>
      <x:c r="E174" t="str">
        <x:v>Merge / Exact-main verification / Governance integration</x:v>
      </x:c>
      <x:c r="F174" t="str">
        <x:v>PR #67; main 540a1f6; codex/iso-42001-ai-quality-system</x:v>
      </x:c>
      <x:c r="G174" t="str">
        <x:v>G0.1 integration evidence</x:v>
      </x:c>
      <x:c r="H174" t="str">
        <x:v>Accepted Evidence</x:v>
      </x:c>
      <x:c r="I174" t="str">
        <x:v>D-115 remains the continuous governance overlay; this merge did not itself accept D-114.</x:v>
      </x:c>
    </x:row>
    <x:row r="175">
      <x:c r="A175" t="str">
        <x:v>EV-172</x:v>
      </x:c>
      <x:c r="B175" t="n">
        <x:v>46225</x:v>
      </x:c>
      <x:c r="C175" t="str">
        <x:v>D-114 owner acceptance and scope authority</x:v>
      </x:c>
      <x:c r="D175"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t="str">
        <x:v>Owner instruction / Corrective-action authority / Scope boundary</x:v>
      </x:c>
      <x:c r="F175" t="str">
        <x:v>Owner instruction 2026-07-22; D-114; codex/p4.2-publication-stabilization</x:v>
      </x:c>
      <x:c r="G175" t="str">
        <x:v>P4.2 corrective-action authority</x:v>
      </x:c>
      <x:c r="H175" t="str">
        <x:v>Accepted</x:v>
      </x:c>
      <x:c r="I175" t="str">
        <x:v>No held-out rerun/reuse, new family, protected change, semantic change, P4.3, public rerun, import, or release claim was authorized.</x:v>
      </x:c>
    </x:row>
    <x:row r="176">
      <x:c r="A176" t="str">
        <x:v>EV-173</x:v>
      </x:c>
      <x:c r="B176" t="n">
        <x:v>46225</x:v>
      </x:c>
      <x:c r="C176" t="str">
        <x:v>Development-only publication reproduction and exact root cause</x:v>
      </x:c>
      <x:c r="D176"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t="str">
        <x:v>Controlled reproduction / Root-cause evidence / Negative proof</x:v>
      </x:c>
      <x:c r="F176" t="str">
        <x:v>runs/p4.2-d114-reproduction; docs/package_assurance/p4_2_publication_stabilization_review_v0.3.0.md; IMP-031</x:v>
      </x:c>
      <x:c r="G176" t="str">
        <x:v>D-114 reproduction evidence</x:v>
      </x:c>
      <x:c r="H176" t="str">
        <x:v>Accepted Evidence</x:v>
      </x:c>
      <x:c r="I176" t="str">
        <x:v>No protected fixture test or release-eligible family directory was opened, listed, imported, changed, or executed.</x:v>
      </x:c>
    </x:row>
    <x:row r="177">
      <x:c r="A177" t="str">
        <x:v>EV-174</x:v>
      </x:c>
      <x:c r="B177" t="n">
        <x:v>46225</x:v>
      </x:c>
      <x:c r="C177" t="str">
        <x:v>Minimal publication correction and exact failure diagnostics</x:v>
      </x:c>
      <x:c r="D177" t="str">
        <x:v>Internal staging now uses .tmp-&lt;8 hex&gt;; failed evidence uses .failed-&lt;8 hex&gt;; the immutable final run ID and output contract are unchanged. Failure evidence records stage, run ID, error type, errno, and winerror when available, with a short parent fallback marker.</x:v>
      </x:c>
      <x:c r="E177" t="str">
        <x:v>Corrective implementation / Failure evidence / Regression prevention</x:v>
      </x:c>
      <x:c r="F177" t="str">
        <x:v>src/mech_eval_harness/package_assurance/publication.py; tests/test_package_audit_publication.py; tests/test_cli_audit_package.py; IMP-028; IMP-031</x:v>
      </x:c>
      <x:c r="G177" t="str">
        <x:v>D-114 corrective-action evidence</x:v>
      </x:c>
      <x:c r="H177" t="str">
        <x:v>Accepted Evidence</x:v>
      </x:c>
      <x:c r="I177" t="str">
        <x:v>Existing final-rename retry and collision/overwrite behavior are unchanged; no semantic gate, check, state, schema, or fixture changed.</x:v>
      </x:c>
    </x:row>
    <x:row r="178">
      <x:c r="A178" t="str">
        <x:v>EV-175</x:v>
      </x:c>
      <x:c r="B178" t="n">
        <x:v>46225</x:v>
      </x:c>
      <x:c r="C178" t="str">
        <x:v>Production-equivalent four-output publication sentinel</x:v>
      </x:c>
      <x:c r="D178"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t="str">
        <x:v>End-to-end sentinel / Bounded environment / Hash and schema proof</x:v>
      </x:c>
      <x:c r="F178" t="str">
        <x:v>scripts/run_package_assurance_publication_sentinel.py; .github/workflows/ci.yml; runs/p4.2-d114-final-20260722/publication-sentinel/SENTINEL-20260723T043500Z-4af53646/sentinel_summary.json; summary SHA-256 0c8f9511...37cf</x:v>
      </x:c>
      <x:c r="G178" t="str">
        <x:v>D-114 preventive-control evidence</x:v>
      </x:c>
      <x:c r="H178" t="str">
        <x:v>Accepted Evidence</x:v>
      </x:c>
      <x:c r="I178" t="str">
        <x:v>The sentinel is non-held-out and must pass before any future one-shot runner can be frozen.</x:v>
      </x:c>
    </x:row>
    <x:row r="179">
      <x:c r="A179" t="str">
        <x:v>EV-176</x:v>
      </x:c>
      <x:c r="B179" t="n">
        <x:v>46225</x:v>
      </x:c>
      <x:c r="C179" t="str">
        <x:v>D-114 regression, benchmark, baseline, demo, and governance proof</x:v>
      </x:c>
      <x:c r="D179" t="str">
        <x:v>Focused publication/CLI/governance tests passed 50/50 with publication coverage 91% and governance coverage 84%. Protected-safe full regression passed 337 with one expected skip at 88.48%; validation 5/5 and Ruff passed. P4.1-DEV-1 passed 22/22, frozen baseline 9/9, and demo 2/2. Governance normal mode passes while strict mode exits 2 on AIR-003 and pending D-116.</x:v>
      </x:c>
      <x:c r="E179" t="str">
        <x:v>Focused and full regression / Development benchmark / Frozen baseline / Governance</x:v>
      </x:c>
      <x:c r="F179" t="str">
        <x:v>runs/p4.2-d114-final-20260722; docs/package_assurance/p4_2_publication_stabilization_evidence_v0.3.0.json</x:v>
      </x:c>
      <x:c r="G179" t="str">
        <x:v>D-114 verification evidence</x:v>
      </x:c>
      <x:c r="H179" t="str">
        <x:v>Accepted Evidence</x:v>
      </x:c>
      <x:c r="I179" t="str">
        <x:v>The protected fixture module remained excluded. No held-out performance claim is made.</x:v>
      </x:c>
    </x:row>
    <x:row r="180">
      <x:c r="A180" t="str">
        <x:v>EV-177</x:v>
      </x:c>
      <x:c r="B180" t="n">
        <x:v>46225</x:v>
      </x:c>
      <x:c r="C180" t="str">
        <x:v>D-114 closeout and proposed external recovery gate</x:v>
      </x:c>
      <x:c r="D180"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t="str">
        <x:v>Corrective-action review / Recovery definition / Governance update</x:v>
      </x:c>
      <x:c r="F180" t="str">
        <x:v>docs/package_assurance/p4_2_publication_stabilization_review_v0.3.0.md; docs/package_assurance/p4_2_publication_stabilization_evidence_v0.3.0.json; docs/package_assurance/p4_2_external_benchmark_recovery_definition_v0.3.0.md; governance/ai_management_system.json; D-114; proposed D-116</x:v>
      </x:c>
      <x:c r="G180" t="str">
        <x:v>P4.2 recovery handoff</x:v>
      </x:c>
      <x:c r="H180" t="str">
        <x:v>Owner Review Required</x:v>
      </x:c>
      <x:c r="I180" t="str">
        <x:v>Release remains held by AIR-003 and pending D-116. The D-113 family remains consumed and prohibited from rerun or reuse.</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D-114 publication stabilization</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D-114 corrected the atomic publication path-length defect with development-only evidence and a bounded four-output sentinel. The D-113 semantic benchmark remains not evaluable; D-116 is pending.</x:v>
      </x:c>
      <x:c r="E7" s="765" t="str">
        <x:v>Product interpretation</x:v>
      </x:c>
      <x:c r="F7" s="431" t="str">
        <x:v>Successful kernel; not yet a complete economically useful workflow.</x:v>
      </x:c>
      <x:c r="G7" s="765" t="str">
        <x:v>Response</x:v>
      </x:c>
      <x:c r="H7" s="431" t="str">
        <x:v>Integrate the D-114 correction. Then accept or revise D-116 before any external benchmark recovery preparation.</x:v>
      </x:c>
    </x:row>
    <x:row r="8" ht="153" hidden="0" customHeight="1">
      <x:c r="A8" s="765" t="str">
        <x:v>Immediate next action</x:v>
      </x:c>
      <x:c r="B8" s="431" t="str">
        <x:v>Review and integrate D-114. Preserve AIR-003 and the no-rerun boundary; do not begin external recovery before D-116.</x:v>
      </x:c>
      <x:c r="C8" s="765" t="str">
        <x:v>Selected vertical</x:v>
      </x:c>
      <x:c r="D8" s="431" t="str">
        <x:v>D-114 correction review -&gt; D-116 recovery preparation decision -&gt; independently verified zero-run freeze -&gt; separate execution decision.</x:v>
      </x:c>
      <x:c r="E8" s="765" t="str">
        <x:v>Primary deliverable</x:v>
      </x:c>
      <x:c r="F8" s="431" t="str">
        <x:v>Evidence-linked issue register plus release-readiness summary.</x:v>
      </x:c>
      <x:c r="G8" s="765" t="str">
        <x:v>Scope rule</x:v>
      </x:c>
      <x:c r="H8" s="431" t="str">
        <x:v>No held-out rerun/reuse, new family, semantic change, P4.3, public rerun, import, or release claim under D-114.</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D-115 is integrated at main 540a1f6. D-114 is accepted and implemented on codex/p4.2-publication-stabilization. The exact pre-fix development reproduction returned exit 70 at write_package_result because the legacy staged output path reached 263-264 characters. Short internal publication names, exact sanitized diagnostics, fallback markers, and the CI sentinel correct and prevent recurrence without semantic change. Local proof: 50 focused, publication coverage 91%, governance coverage 84%, full 337/1 at 88.48%, validation 5/5, Ruff, development benchmark 22/22, baseline 9/9, demo 2/2. AIR-010 is controlled and NC-001 is closed. AIR-003 and proposed D-116 keep release held. The D-113 family and raw evidence remain outside Git and cannot be rerun or reused.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b6735e8b16d4f1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Stabilization Complete / D-116 Owner Review</x:v>
      </x:c>
      <x:c r="L19" s="664" t="n">
        <x:v>0.92</x:v>
      </x:c>
      <x:c r="M19" s="662" t="n">
        <x:f>SUMIF('Work Block Log'!$E$5:$E$200,A19,'Work Block Log'!$F$5:$F$200)</x:f>
        <x:v>0</x:v>
      </x:c>
      <x:c r="N19" s="662" t="n">
        <x:f>MAX(F19*(1-L19),0)</x:f>
        <x:v>0.23999999999999988</x:v>
      </x:c>
      <x:c r="O19" s="662" t="n">
        <x:f>M19-F19</x:f>
        <x:v>-3</x:v>
      </x:c>
      <x:c r="P19" s="431" t="str">
        <x:v>D-114 accepted; codex/p4.2-publication-stabilization; root cause FileNotFoundError/errno 2 at write_package_result; short staging/failure names; exact diagnostics; bounded sentinel; EV-171-EV-177; IMP-028; IMP-031; focused 50; publication coverage 91%; governance 84%; full 337/1; coverage 88.48%; validation 5/5; Ruff; dev benchmark 22/22; baseline 9/9; demo 2/2</x:v>
      </x:c>
      <x:c r="Q19" s="431" t="str">
        <x:v>Review and integrate D-114. Accept or revise proposed D-116 before any new external held-out family preparation.</x:v>
      </x:c>
      <x:c r="R19" s="431" t="str">
        <x:v>The publication defect is corrected with non-held-out proof; the D-113 semantic benchmark remains not evaluable. No held-out rerun/reuse, new family, semantic change, P4.3, public rerun, import,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alignment only. D-114 subsequently closed NC-001; AIR-003 and D-116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0.8643478260869565</x:v>
      </x:c>
      <x:c r="M24" s="683" t="n">
        <x:f>SUM(M6:M22)</x:f>
        <x:v>0</x:v>
      </x:c>
      <x:c r="N24" s="683" t="n">
        <x:f>SUM(N6:N22)</x:f>
        <x:v>6.24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D-114 Publication Stabilization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D-114 complete; D-116 owner review</x:v>
      </x:c>
      <x:c r="H4" s="697"/>
    </x:row>
    <x:row r="5" ht="72" customHeight="1">
      <x:c r="A5" s="688" t="str">
        <x:v>Schedule Baseline</x:v>
      </x:c>
      <x:c r="B5" s="693" t="str">
        <x:v>Legacy only; not controlling</x:v>
      </x:c>
      <x:c r="C5" s="691"/>
      <x:c r="D5" s="691"/>
      <x:c r="F5" s="696" t="str">
        <x:v>Objective</x:v>
      </x:c>
      <x:c r="G5" s="697" t="str">
        <x:v>Correct the atomic publication defect with development-only proof, exact diagnostics, and a production-equivalent four-output sentinel without changing semantic behavior.</x:v>
      </x:c>
      <x:c r="H5" s="697"/>
    </x:row>
    <x:row r="6" ht="63" customHeight="1">
      <x:c r="A6" s="688" t="str">
        <x:v>Time Tracking</x:v>
      </x:c>
      <x:c r="B6" s="693" t="str">
        <x:v>Waived prospectively</x:v>
      </x:c>
      <x:c r="C6" s="691"/>
      <x:c r="D6" s="691"/>
      <x:c r="F6" s="696" t="str">
        <x:v>Gate Status</x:v>
      </x:c>
      <x:c r="G6" s="697" t="str">
        <x:v>50 focused; publication coverage 91%; governance 84%; full 337/1 at 88.48%; validation 5/5; Ruff; sentinel pass; development benchmark 22/22; baseline 9/9; demo 2/2.</x:v>
      </x:c>
      <x:c r="H6" s="697"/>
    </x:row>
    <x:row r="7" ht="81" customHeight="1">
      <x:c r="A7" s="688" t="str">
        <x:v>Current Gate</x:v>
      </x:c>
      <x:c r="B7" s="694" t="str">
        <x:v>D-114 verified; AIR-003 holds release; D-116 pending</x:v>
      </x:c>
      <x:c r="C7" s="691"/>
      <x:c r="D7" s="691"/>
      <x:c r="F7" s="696" t="str">
        <x:v>Definition of Done</x:v>
      </x:c>
      <x:c r="G7" s="697" t="str">
        <x:v>Pre-fix failure reproduced; exact stage/cause recorded; minimal correction and fallback evidence implemented; bounded sentinel publishes four valid outputs; recovery definition returns for review.</x:v>
      </x:c>
      <x:c r="H7" s="697"/>
    </x:row>
    <x:row r="8" ht="63" customHeight="1">
      <x:c r="A8" s="688" t="str">
        <x:v>Released Kernel</x:v>
      </x:c>
      <x:c r="B8" s="691" t="str">
        <x:v>v0.2.0 / commit 45336a2</x:v>
      </x:c>
      <x:c r="C8" s="691"/>
      <x:c r="D8" s="691"/>
      <x:c r="F8" s="696" t="str">
        <x:v>Immediate Next Action</x:v>
      </x:c>
      <x:c r="G8" s="697" t="str">
        <x:v>Review and integrate D-114, then accept or revise D-116 separately.</x:v>
      </x:c>
      <x:c r="H8" s="697"/>
    </x:row>
    <x:row r="9" ht="72" customHeight="1">
      <x:c r="A9" s="688" t="str">
        <x:v>Release Target</x:v>
      </x:c>
      <x:c r="B9" s="691" t="str">
        <x:v>v0.3.0</x:v>
      </x:c>
      <x:c r="C9" s="691"/>
      <x:c r="D9" s="691"/>
      <x:c r="F9" s="696" t="str">
        <x:v>Primary Risk</x:v>
      </x:c>
      <x:c r="G9" s="697" t="str">
        <x:v>Primary risk: treating corrected publication mechanics as independent semantic benchmark proof. D-113 remains not evaluable.</x:v>
      </x:c>
      <x:c r="H9" s="697"/>
    </x:row>
    <x:row r="10" ht="81" customHeight="1">
      <x:c r="A10" s="688" t="str">
        <x:v>Baseline Test Count</x:v>
      </x:c>
      <x:c r="B10" s="691" t="n">
        <x:v>121</x:v>
      </x:c>
      <x:c r="C10" s="691"/>
      <x:c r="D10" s="691"/>
      <x:c r="F10" s="696" t="str">
        <x:v>Deferred</x:v>
      </x:c>
      <x:c r="G10" s="697" t="str">
        <x:v>Held-out rerun/reuse, new family before D-116, semantic changes, P4.3, public reruns, imports, and release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Stabilization Complete / D-116 Owner Review</x:v>
      </x:c>
      <x:c r="C19" s="699" t="str">
        <x:v>Publication correction verified; independent benchmark still not evaluable</x:v>
      </x:c>
      <x:c r="D19" s="700" t="n">
        <x:v>0.92</x:v>
      </x:c>
      <x:c r="E19" s="698" t="str">
        <x:v>Gate P4 - AIR-003 release hold; D-116 preparation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integrated at main 540a1f6; governance valid; release held</x:v>
      </x:c>
      <x:c r="D21" s="664" t="n">
        <x:v>1</x:v>
      </x:c>
      <x:c r="E21" s="431" t="str">
        <x:v>Gate G0 - NC-001 closed; AIR-003 and D-116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x:c r="A57" t="n">
        <x:v>34</x:v>
      </x:c>
      <x:c r="B57" t="str">
        <x:v>P4.2</x:v>
      </x:c>
      <x:c r="C57" t="str">
        <x:v>D-114 publication stabilization and recovery definition</x:v>
      </x:c>
      <x:c r="D57" t="str">
        <x:v>Reproduce the publication failure without protected access, identify the exact stage/cause, implement the smallest mechanical correction, preserve exact diagnostics, and pass the bounded four-output sentinel.</x:v>
      </x:c>
      <x:c r="E57" t="str">
        <x:v>Complete / D-116 Owner Review</x:v>
      </x:c>
      <x:c r="F57" t="str">
        <x:v>codex/p4.2-publication-stabilization</x:v>
      </x:c>
      <x:c r="G57" t="str">
        <x:v>D-114; proposed D-116; EV-172-EV-177; I-009; IMP-028; IMP-031; focused 50; publication coverage 91%; governance 84%; full 337/1; coverage 88.48%; validation 5/5; Ruff; sentinel pass; development benchmark 22/22; baseline 9/9; demo 2/2</x:v>
      </x:c>
      <x:c r="H57"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