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b1d05524624fbc" /></Relationships>
</file>

<file path=xl/workbook.xml><?xml version="1.0" encoding="utf-8"?>
<x:workbook xmlns:x="http://schemas.openxmlformats.org/spreadsheetml/2006/main">
  <x:sheets>
    <x:sheet xmlns:r="http://schemas.openxmlformats.org/officeDocument/2006/relationships" name="Start Here" sheetId="1" r:id="R0f7a034d40e3414a"/>
    <x:sheet xmlns:r="http://schemas.openxmlformats.org/officeDocument/2006/relationships" name="Executive Gantt" sheetId="2" r:id="Rfa290f9de9ee4890"/>
    <x:sheet xmlns:r="http://schemas.openxmlformats.org/officeDocument/2006/relationships" name="Detailed Gantt" sheetId="3" r:id="R48133941530140a5"/>
    <x:sheet xmlns:r="http://schemas.openxmlformats.org/officeDocument/2006/relationships" name="Weekly Control" sheetId="4" r:id="Rca63baafffb148c6"/>
    <x:sheet xmlns:r="http://schemas.openxmlformats.org/officeDocument/2006/relationships" name="Phase Summary" sheetId="5" r:id="R4d8d67be15b543eb"/>
    <x:sheet xmlns:r="http://schemas.openxmlformats.org/officeDocument/2006/relationships" name="Assumptions &amp; Gates" sheetId="6" r:id="R15dd3528400c4f3e"/>
    <x:sheet xmlns:r="http://schemas.openxmlformats.org/officeDocument/2006/relationships" name="Sources" sheetId="7" r:id="R1e134d131ab84f17"/>
    <x:sheet xmlns:r="http://schemas.openxmlformats.org/officeDocument/2006/relationships" name="Legacy Baseline" sheetId="8" r:id="R82f787c7db4c48e1"/>
    <x:sheet xmlns:r="http://schemas.openxmlformats.org/officeDocument/2006/relationships" name="Work Block Log" sheetId="9" r:id="R05bcd667603b4a85"/>
    <x:sheet xmlns:r="http://schemas.openxmlformats.org/officeDocument/2006/relationships" name="Decision Register" sheetId="10" r:id="Rf44f0f71f6734575"/>
    <x:sheet xmlns:r="http://schemas.openxmlformats.org/officeDocument/2006/relationships" name="Risks &amp; Issues" sheetId="11" r:id="Rcd4f44a0ea3d4d60"/>
    <x:sheet xmlns:r="http://schemas.openxmlformats.org/officeDocument/2006/relationships" name="Evidence Register" sheetId="12" r:id="Rdd49a9d2aa3e465f"/>
    <x:sheet xmlns:r="http://schemas.openxmlformats.org/officeDocument/2006/relationships" name="Expansion Backlog" sheetId="13" r:id="R9a89b8e67b574644"/>
    <x:sheet xmlns:r="http://schemas.openxmlformats.org/officeDocument/2006/relationships" name="AI Context" sheetId="14" r:id="R0df31d7f9ea049c4"/>
    <x:sheet xmlns:r="http://schemas.openxmlformats.org/officeDocument/2006/relationships" name="MVP Dashboard" sheetId="15" r:id="Rc072163d87ac4b9a"/>
    <x:sheet xmlns:r="http://schemas.openxmlformats.org/officeDocument/2006/relationships" name="Product Vision" sheetId="16" r:id="R162d26a92b414d02"/>
    <x:sheet xmlns:r="http://schemas.openxmlformats.org/officeDocument/2006/relationships" name="Pilot Gantt" sheetId="17" r:id="R6fed8e1bd58049f4"/>
    <x:sheet xmlns:r="http://schemas.openxmlformats.org/officeDocument/2006/relationships" name="Pilot Dashboard" sheetId="18" r:id="R2c9d6cb9ab8c490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<x:sst xmlns:x="http://schemas.openxmlformats.org/spreadsheetml/2006/main">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</x:sst>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f69815f5e414c3f" /><Relationship Type="http://schemas.openxmlformats.org/officeDocument/2006/relationships/theme" Target="/xl/theme/theme1.xml" Id="R3c199c02e5384702" /><Relationship Type="http://schemas.openxmlformats.org/officeDocument/2006/relationships/sharedStrings" Target="/xl/sharedStrings.xml" Id="R57e88ac1f33a4bf1" /><Relationship Type="http://schemas.openxmlformats.org/officeDocument/2006/relationships/worksheet" Target="/xl/worksheets/sheet1.xml" Id="R0f7a034d40e3414a" /><Relationship Type="http://schemas.openxmlformats.org/officeDocument/2006/relationships/worksheet" Target="/xl/worksheets/sheet2.xml" Id="Rfa290f9de9ee4890" /><Relationship Type="http://schemas.openxmlformats.org/officeDocument/2006/relationships/worksheet" Target="/xl/worksheets/sheet3.xml" Id="R48133941530140a5" /><Relationship Type="http://schemas.openxmlformats.org/officeDocument/2006/relationships/worksheet" Target="/xl/worksheets/sheet4.xml" Id="Rca63baafffb148c6" /><Relationship Type="http://schemas.openxmlformats.org/officeDocument/2006/relationships/worksheet" Target="/xl/worksheets/sheet5.xml" Id="R4d8d67be15b543eb" /><Relationship Type="http://schemas.openxmlformats.org/officeDocument/2006/relationships/worksheet" Target="/xl/worksheets/sheet6.xml" Id="R15dd3528400c4f3e" /><Relationship Type="http://schemas.openxmlformats.org/officeDocument/2006/relationships/worksheet" Target="/xl/worksheets/sheet7.xml" Id="R1e134d131ab84f17" /><Relationship Type="http://schemas.openxmlformats.org/officeDocument/2006/relationships/worksheet" Target="/xl/worksheets/sheet8.xml" Id="R82f787c7db4c48e1" /><Relationship Type="http://schemas.openxmlformats.org/officeDocument/2006/relationships/worksheet" Target="/xl/worksheets/sheet9.xml" Id="R05bcd667603b4a85" /><Relationship Type="http://schemas.openxmlformats.org/officeDocument/2006/relationships/worksheet" Target="/xl/worksheets/sheet10.xml" Id="Rf44f0f71f6734575" /><Relationship Type="http://schemas.openxmlformats.org/officeDocument/2006/relationships/worksheet" Target="/xl/worksheets/sheet11.xml" Id="Rcd4f44a0ea3d4d60" /><Relationship Type="http://schemas.openxmlformats.org/officeDocument/2006/relationships/worksheet" Target="/xl/worksheets/sheet12.xml" Id="Rdd49a9d2aa3e465f" /><Relationship Type="http://schemas.openxmlformats.org/officeDocument/2006/relationships/worksheet" Target="/xl/worksheets/sheet13.xml" Id="R9a89b8e67b574644" /><Relationship Type="http://schemas.openxmlformats.org/officeDocument/2006/relationships/worksheet" Target="/xl/worksheets/sheet14.xml" Id="R0df31d7f9ea049c4" /><Relationship Type="http://schemas.openxmlformats.org/officeDocument/2006/relationships/worksheet" Target="/xl/worksheets/sheet15.xml" Id="Rc072163d87ac4b9a" /><Relationship Type="http://schemas.openxmlformats.org/officeDocument/2006/relationships/worksheet" Target="/xl/worksheets/sheet16.xml" Id="R162d26a92b414d02" /><Relationship Type="http://schemas.openxmlformats.org/officeDocument/2006/relationships/worksheet" Target="/xl/worksheets/sheet17.xml" Id="R6fed8e1bd58049f4" /><Relationship Type="http://schemas.openxmlformats.org/officeDocument/2006/relationships/worksheet" Target="/xl/worksheets/sheet18.xml" Id="R2c9d6cb9ab8c4901" /></Relationships>
</file>

<file path=xl/drawings/_rels/drawing1.xml.rels>&#65279;<?xml version="1.0" encoding="utf-8"?><Relationships xmlns="http://schemas.openxmlformats.org/package/2006/relationships"><Relationship Type="http://schemas.openxmlformats.org/officeDocument/2006/relationships/chart" Target="/xl/drawings/charts/chart1.xml" Id="R73b2d502972e422a" /></Relationships>
</file>

<file path=xl/drawings/_rels/drawing2.xml.rels>&#65279;<?xml version="1.0" encoding="utf-8"?><Relationships xmlns="http://schemas.openxmlformats.org/package/2006/relationships"><Relationship Type="http://schemas.openxmlformats.org/officeDocument/2006/relationships/chart" Target="/xl/drawings/charts/chart2.xml" Id="Rd2e49ed46dc3481b" /></Relationships>
</file>

<file path=xl/drawings/_rels/drawing3.xml.rels>&#65279;<?xml version="1.0" encoding="utf-8"?><Relationships xmlns="http://schemas.openxmlformats.org/package/2006/relationships"><Relationship Type="http://schemas.openxmlformats.org/officeDocument/2006/relationships/chart" Target="/xl/drawings/charts/chart3.xml" Id="Ra70cb901448e42a2"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3b2d502972e422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2e49ed46dc3481b"/>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0cb901448e42a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fe92cd8ddd44a76" /></Relationships>
</file>

<file path=xl/worksheets/_rels/sheet5.xml.rels>&#65279;<?xml version="1.0" encoding="utf-8"?><Relationships xmlns="http://schemas.openxmlformats.org/package/2006/relationships"><Relationship Type="http://schemas.openxmlformats.org/officeDocument/2006/relationships/drawing" Target="/xl/drawings/drawing2.xml" Id="R4262136a5c934ba8" /></Relationships>
</file>

<file path=xl/worksheets/_rels/sheet15.xml.rels>&#65279;<?xml version="1.0" encoding="utf-8"?><Relationships xmlns="http://schemas.openxmlformats.org/package/2006/relationships"><Relationship Type="http://schemas.openxmlformats.org/officeDocument/2006/relationships/drawing" Target="/xl/drawings/drawing3.xml" Id="Rac7a826e7ed44f28"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fourth P2.2 drawing check accepted; PR #35 integration pending 2026-07-19</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 file-reference implementation integration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Integrate accepted fourth drawing file-reference agreement check</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Finalize green PR #35, merge, and verify exact main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225" hidden="0" customHeight="1">
      <x:c r="A28" s="704" t="str">
        <x:v>The user accepted drawing_register_metadata_file_reference v0.3.0 implementation 74970c3 on 2026-07-19 after review of its exact AUTH-DWG-002 behavior, four-locator wrong-valid evidence, deterministic ordering, authority-substitution defense, 19 relationship tests, 45 focused tests, 216 full-suite tests with one expected skip, validation 5/5, Ruff, 85.47% coverage, and green draft PR #35 CI. Acceptance does not expand scope: undeclared source references, full manifest reciprocity, routing, reports, CLI, and held-out semantics remain blocked. Merge and verify PR #35 before another work block.</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fe92cd8ddd44a7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4262136a5c934ba8"/>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Active</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Ready for explicit user acceptance. Do not integrate or begin another relationship, declaration/reciprocity control, package-state router, report, CLI, semantic held-out evaluation, protected-asset change, or deferred capability before acceptance.</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Ready for acceptance</x:v>
      </x:c>
      <x:c r="I69" s="78" t="str">
        <x:v>Relationship tests: 19 passed. Focused package models, gates, and relationships: 45 passed. Full frozen regression: 216 passed, 1 expected Windows symlink skip. Repository validation: 5/5. Ruff: passed. Coverage: 85.47%. Both GitHub CI runs passed.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 file-reference implementation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accepted fourth AUTH-DWG-002 file-reference agreement definition is integrated through exact main 12c45dd. The user accepted implementation 74970c3 on 2026-07-19 after local and green draft PR #35 verification. Integration and exact merged-tree verification are pending. Undeclared source references, manifest reciprocity, remaining relationships,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Finalize green PR #35, merge it, and verify exact main.</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98" hidden="0" customHeight="1">
      <x:c r="A41" s="604" t="str">
        <x:v>Immediate implication</x:v>
      </x:c>
      <x:c r="B41" s="605"/>
      <x:c r="C41" s="606" t="str">
        <x:v>Accepted implementation 74970c3 enforces drawing_register_metadata_file_reference v0.3.0 for exact drawing pairs under the exact AUTH-DWG-002 rule. Register file_ref_id is expected and metadata file_ref_id is actual. A mismatch routes to automatic_fail, high severity, release_hold true, document_control, with both field locators and both manifest file-resolution locators. The first three checks retain their accepted behavior. Shared undeclared references and full manifest reciprocity remain deferred.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c7a826e7ed44f28"/>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207"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0.5</x:v>
      </x:c>
      <x:c r="M12" s="662" t="n">
        <x:f>SUMIF('Work Block Log'!$E$5:$E$200,A12,'Work Block Log'!$F$5:$F$200)</x:f>
        <x:v>0</x:v>
      </x:c>
      <x:c r="N12" s="662" t="n">
        <x:f>MAX(F12*(1-L12),0)</x:f>
        <x:v>2</x:v>
      </x:c>
      <x:c r="O12" s="662" t="n">
        <x:f>M12-F12</x:f>
        <x:v>-4</x:v>
      </x:c>
      <x:c r="P12" s="431" t="str">
        <x:v>fourth definition integrated through PR #34 at exact main 12c45dd; implementation 74970c3 and evidence cce416e accepted 2026-07-19 on green PR #35; codex/p2.2-drawing-file-reference-implementation; D-049-D-070; EV-046-EV-067; relationship 19; focused 45; full 216/1; validation 5/5; Ruff; coverage 85.47%; wrong-valid fault passes 8/8 gates and first 3 checks before exact fourth-check hold</x:v>
      </x:c>
      <x:c r="Q12" s="431" t="str">
        <x:v>Finalize PR #35 checks, merge the accepted implementation, and verify exact main before another control begins.</x:v>
      </x:c>
      <x:c r="R12" s="431" t="str">
        <x:v>Four drawing checks are accepted; the fourth remains on PR #35 until integration. P2.2 remains 50%; undeclared references and manifest reciprocity remain open.</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0.3695652173913043</x:v>
      </x:c>
      <x:c r="M24" s="683" t="n">
        <x:f>SUM(M6:M22)</x:f>
        <x:v>0</x:v>
      </x:c>
      <x:c r="N24" s="683" t="n">
        <x:f>SUM(N6:N22)</x:f>
        <x:v>29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Fourth Drawing Check Accepted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file-reference implementation integration</x:v>
      </x:c>
      <x:c r="H4" s="697"/>
    </x:row>
    <x:row r="5" ht="54" customHeight="1">
      <x:c r="A5" s="688" t="str">
        <x:v>Schedule Baseline</x:v>
      </x:c>
      <x:c r="B5" s="693" t="str">
        <x:v>Legacy only; not controlling</x:v>
      </x:c>
      <x:c r="C5" s="691"/>
      <x:c r="D5" s="691"/>
      <x:c r="F5" s="696" t="str">
        <x:v>Objective</x:v>
      </x:c>
      <x:c r="G5" s="697" t="str">
        <x:v>Integrate the accepted fourth exact-pair drawing file-reference agreement check under AUTH-DWG-002.</x:v>
      </x:c>
      <x:c r="H5" s="697"/>
    </x:row>
    <x:row r="6" ht="54" customHeight="1">
      <x:c r="A6" s="688" t="str">
        <x:v>Time Tracking</x:v>
      </x:c>
      <x:c r="B6" s="693" t="str">
        <x:v>Waived prospectively</x:v>
      </x:c>
      <x:c r="C6" s="691"/>
      <x:c r="D6" s="691"/>
      <x:c r="F6" s="696" t="str">
        <x:v>Gate Status</x:v>
      </x:c>
      <x:c r="G6" s="697" t="str">
        <x:v>Definition is on main 12c45dd; implementation 74970c3 was accepted 2026-07-19 on green PR #35.</x:v>
      </x:c>
      <x:c r="H6" s="697"/>
    </x:row>
    <x:row r="7" ht="54" customHeight="1">
      <x:c r="A7" s="688" t="str">
        <x:v>Current Gate</x:v>
      </x:c>
      <x:c r="B7" s="694" t="str">
        <x:v>P2.2 drawing file-reference implementation integration</x:v>
      </x:c>
      <x:c r="C7" s="691"/>
      <x:c r="D7" s="691"/>
      <x:c r="F7" s="696" t="str">
        <x:v>Definition of Done</x:v>
      </x:c>
      <x:c r="G7" s="697" t="str">
        <x:v>User acceptance, clean and wrong-valid behavior, four-locator evidence, stable identity/order, exact authority, and regressions are recorded.</x:v>
      </x:c>
      <x:c r="H7" s="697"/>
    </x:row>
    <x:row r="8" ht="63" customHeight="1">
      <x:c r="A8" s="688" t="str">
        <x:v>Released Kernel</x:v>
      </x:c>
      <x:c r="B8" s="691" t="str">
        <x:v>v0.2.0 / commit 45336a2</x:v>
      </x:c>
      <x:c r="C8" s="691"/>
      <x:c r="D8" s="691"/>
      <x:c r="F8" s="696" t="str">
        <x:v>Immediate Next Action</x:v>
      </x:c>
      <x:c r="G8" s="697" t="str">
        <x:v>Finalize PR #35, merge it, and verify exact main.</x:v>
      </x:c>
      <x:c r="H8" s="697"/>
    </x:row>
    <x:row r="9" ht="63" customHeight="1">
      <x:c r="A9" s="688" t="str">
        <x:v>Release Target</x:v>
      </x:c>
      <x:c r="B9" s="691" t="str">
        <x:v>v0.3.0</x:v>
      </x:c>
      <x:c r="C9" s="691"/>
      <x:c r="D9" s="691"/>
      <x:c r="F9" s="696" t="str">
        <x:v>Primary Risk</x:v>
      </x:c>
      <x:c r="G9" s="697" t="str">
        <x:v>Primary risk remains treating source agreement as complete file assurance while declaration and reciprocity gaps remain.</x:v>
      </x:c>
      <x:c r="H9" s="697"/>
    </x:row>
    <x:row r="10" ht="63" customHeight="1">
      <x:c r="A10" s="688" t="str">
        <x:v>Baseline Test Count</x:v>
      </x:c>
      <x:c r="B10" s="691" t="n">
        <x:v>121</x:v>
      </x:c>
      <x:c r="C10" s="691"/>
      <x:c r="D10" s="691"/>
      <x:c r="F10" s="696" t="str">
        <x:v>Deferred</x:v>
      </x:c>
      <x:c r="G10" s="697" t="str">
        <x:v>Undeclared source references, manifest reciprocity, other relationships,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Four checks accepted; fourth check integration pending</x:v>
      </x:c>
      <x:c r="D17" s="700" t="n">
        <x:f>AVERAGE('Pilot Gantt'!L11:L14)</x:f>
        <x:v>0.375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Drawing file-reference implementation integration</x:v>
      </x:c>
      <x:c r="D27" s="431" t="str">
        <x:v>Integrate the accepted fourth ordered AUTH-DWG-002 exact-pair agreement check and verify exact main.</x:v>
      </x:c>
      <x:c r="E27" s="431" t="str">
        <x:v>Accepted / Integration</x:v>
      </x:c>
      <x:c r="F27" s="431" t="str">
        <x:v>codex/p2.2-drawing-file-reference-implementation</x:v>
      </x:c>
      <x:c r="G27" s="431" t="str">
        <x:v>PR #34 main 12c45dd; implementation 74970c3; evidence cce416e; user accepted 2026-07-19; green PR #35; D-065-D-070; EV-062-EV-067; relationship 19; focused 45; full 216/1; validation 5/5; Ruff; coverage 85.47%; protected assets unchanged; adjacent declaration and reciprocity gaps remain open</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