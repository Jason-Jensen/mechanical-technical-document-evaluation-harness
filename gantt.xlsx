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9d1c916e104046" /></Relationships>
</file>

<file path=xl/workbook.xml><?xml version="1.0" encoding="utf-8"?>
<x:workbook xmlns:x="http://schemas.openxmlformats.org/spreadsheetml/2006/main">
  <x:sheets>
    <x:sheet xmlns:r="http://schemas.openxmlformats.org/officeDocument/2006/relationships" name="Start Here" sheetId="1" r:id="Rf60c98a64a704f8b"/>
    <x:sheet xmlns:r="http://schemas.openxmlformats.org/officeDocument/2006/relationships" name="Executive Gantt" sheetId="2" r:id="R5f6c678f727241e6"/>
    <x:sheet xmlns:r="http://schemas.openxmlformats.org/officeDocument/2006/relationships" name="Detailed Gantt" sheetId="3" r:id="Rf82ab735179347a5"/>
    <x:sheet xmlns:r="http://schemas.openxmlformats.org/officeDocument/2006/relationships" name="Weekly Control" sheetId="4" r:id="Ra2af53220b754c0a"/>
    <x:sheet xmlns:r="http://schemas.openxmlformats.org/officeDocument/2006/relationships" name="Phase Summary" sheetId="5" r:id="R81f63ebc5f88432a"/>
    <x:sheet xmlns:r="http://schemas.openxmlformats.org/officeDocument/2006/relationships" name="Assumptions &amp; Gates" sheetId="6" r:id="R1eec5bee23914304"/>
    <x:sheet xmlns:r="http://schemas.openxmlformats.org/officeDocument/2006/relationships" name="Sources" sheetId="7" r:id="Ra4377dfd46e14af0"/>
    <x:sheet xmlns:r="http://schemas.openxmlformats.org/officeDocument/2006/relationships" name="Legacy Baseline" sheetId="8" r:id="R67ed85ef33684982"/>
    <x:sheet xmlns:r="http://schemas.openxmlformats.org/officeDocument/2006/relationships" name="Work Block Log" sheetId="9" r:id="R35fcb82dfb3e43d8"/>
    <x:sheet xmlns:r="http://schemas.openxmlformats.org/officeDocument/2006/relationships" name="Decision Register" sheetId="10" r:id="R335ac1adb5264469"/>
    <x:sheet xmlns:r="http://schemas.openxmlformats.org/officeDocument/2006/relationships" name="Risks &amp; Issues" sheetId="11" r:id="Rbc7878c002b143ed"/>
    <x:sheet xmlns:r="http://schemas.openxmlformats.org/officeDocument/2006/relationships" name="Evidence Register" sheetId="12" r:id="R84c48713a07c4e1c"/>
    <x:sheet xmlns:r="http://schemas.openxmlformats.org/officeDocument/2006/relationships" name="Expansion Backlog" sheetId="13" r:id="Rd8151027b59948dd"/>
    <x:sheet xmlns:r="http://schemas.openxmlformats.org/officeDocument/2006/relationships" name="AI Context" sheetId="14" r:id="Rd33dfb8f46f8456f"/>
    <x:sheet xmlns:r="http://schemas.openxmlformats.org/officeDocument/2006/relationships" name="MVP Dashboard" sheetId="15" r:id="Raa7c4db7e9a64be8"/>
    <x:sheet xmlns:r="http://schemas.openxmlformats.org/officeDocument/2006/relationships" name="Product Vision" sheetId="16" r:id="Rc9f890e1cb174df8"/>
    <x:sheet xmlns:r="http://schemas.openxmlformats.org/officeDocument/2006/relationships" name="Pilot Gantt" sheetId="17" r:id="R0fd1e4016f0b4f49"/>
    <x:sheet xmlns:r="http://schemas.openxmlformats.org/officeDocument/2006/relationships" name="Pilot Dashboard" sheetId="18" r:id="Rb52bd5f4b21e4060"/>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<x:sst xmlns:x="http://schemas.openxmlformats.org/spreadsheetml/2006/main">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</x:sst>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7eaee015fe4258" /><Relationship Type="http://schemas.openxmlformats.org/officeDocument/2006/relationships/theme" Target="/xl/theme/theme1.xml" Id="Rd3fb6c6f18f24ca6" /><Relationship Type="http://schemas.openxmlformats.org/officeDocument/2006/relationships/sharedStrings" Target="/xl/sharedStrings.xml" Id="R18139dbb53364cf3" /><Relationship Type="http://schemas.openxmlformats.org/officeDocument/2006/relationships/worksheet" Target="/xl/worksheets/sheet1.xml" Id="Rf60c98a64a704f8b" /><Relationship Type="http://schemas.openxmlformats.org/officeDocument/2006/relationships/worksheet" Target="/xl/worksheets/sheet2.xml" Id="R5f6c678f727241e6" /><Relationship Type="http://schemas.openxmlformats.org/officeDocument/2006/relationships/worksheet" Target="/xl/worksheets/sheet3.xml" Id="Rf82ab735179347a5" /><Relationship Type="http://schemas.openxmlformats.org/officeDocument/2006/relationships/worksheet" Target="/xl/worksheets/sheet4.xml" Id="Ra2af53220b754c0a" /><Relationship Type="http://schemas.openxmlformats.org/officeDocument/2006/relationships/worksheet" Target="/xl/worksheets/sheet5.xml" Id="R81f63ebc5f88432a" /><Relationship Type="http://schemas.openxmlformats.org/officeDocument/2006/relationships/worksheet" Target="/xl/worksheets/sheet6.xml" Id="R1eec5bee23914304" /><Relationship Type="http://schemas.openxmlformats.org/officeDocument/2006/relationships/worksheet" Target="/xl/worksheets/sheet7.xml" Id="Ra4377dfd46e14af0" /><Relationship Type="http://schemas.openxmlformats.org/officeDocument/2006/relationships/worksheet" Target="/xl/worksheets/sheet8.xml" Id="R67ed85ef33684982" /><Relationship Type="http://schemas.openxmlformats.org/officeDocument/2006/relationships/worksheet" Target="/xl/worksheets/sheet9.xml" Id="R35fcb82dfb3e43d8" /><Relationship Type="http://schemas.openxmlformats.org/officeDocument/2006/relationships/worksheet" Target="/xl/worksheets/sheet10.xml" Id="R335ac1adb5264469" /><Relationship Type="http://schemas.openxmlformats.org/officeDocument/2006/relationships/worksheet" Target="/xl/worksheets/sheet11.xml" Id="Rbc7878c002b143ed" /><Relationship Type="http://schemas.openxmlformats.org/officeDocument/2006/relationships/worksheet" Target="/xl/worksheets/sheet12.xml" Id="R84c48713a07c4e1c" /><Relationship Type="http://schemas.openxmlformats.org/officeDocument/2006/relationships/worksheet" Target="/xl/worksheets/sheet13.xml" Id="Rd8151027b59948dd" /><Relationship Type="http://schemas.openxmlformats.org/officeDocument/2006/relationships/worksheet" Target="/xl/worksheets/sheet14.xml" Id="Rd33dfb8f46f8456f" /><Relationship Type="http://schemas.openxmlformats.org/officeDocument/2006/relationships/worksheet" Target="/xl/worksheets/sheet15.xml" Id="Raa7c4db7e9a64be8" /><Relationship Type="http://schemas.openxmlformats.org/officeDocument/2006/relationships/worksheet" Target="/xl/worksheets/sheet16.xml" Id="Rc9f890e1cb174df8" /><Relationship Type="http://schemas.openxmlformats.org/officeDocument/2006/relationships/worksheet" Target="/xl/worksheets/sheet17.xml" Id="R0fd1e4016f0b4f49" /><Relationship Type="http://schemas.openxmlformats.org/officeDocument/2006/relationships/worksheet" Target="/xl/worksheets/sheet18.xml" Id="Rb52bd5f4b21e4060" /></Relationships>
</file>

<file path=xl/drawings/_rels/drawing1.xml.rels>&#65279;<?xml version="1.0" encoding="utf-8"?><Relationships xmlns="http://schemas.openxmlformats.org/package/2006/relationships"><Relationship Type="http://schemas.openxmlformats.org/officeDocument/2006/relationships/chart" Target="/xl/drawings/charts/chart1.xml" Id="R125913271bbf4ddd" /></Relationships>
</file>

<file path=xl/drawings/_rels/drawing2.xml.rels>&#65279;<?xml version="1.0" encoding="utf-8"?><Relationships xmlns="http://schemas.openxmlformats.org/package/2006/relationships"><Relationship Type="http://schemas.openxmlformats.org/officeDocument/2006/relationships/chart" Target="/xl/drawings/charts/chart2.xml" Id="Rf95c19b832b24ba8" /></Relationships>
</file>

<file path=xl/drawings/_rels/drawing3.xml.rels>&#65279;<?xml version="1.0" encoding="utf-8"?><Relationships xmlns="http://schemas.openxmlformats.org/package/2006/relationships"><Relationship Type="http://schemas.openxmlformats.org/officeDocument/2006/relationships/chart" Target="/xl/drawings/charts/chart3.xml" Id="R6e271f560d624cc5"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5913271bbf4dd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95c19b832b24ba8"/>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e271f560d624cc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62d85236ed143be" /></Relationships>
</file>

<file path=xl/worksheets/_rels/sheet5.xml.rels>&#65279;<?xml version="1.0" encoding="utf-8"?><Relationships xmlns="http://schemas.openxmlformats.org/package/2006/relationships"><Relationship Type="http://schemas.openxmlformats.org/officeDocument/2006/relationships/drawing" Target="/xl/drawings/drawing2.xml" Id="R55f65e60634c4b88" /></Relationships>
</file>

<file path=xl/worksheets/_rels/sheet15.xml.rels>&#65279;<?xml version="1.0" encoding="utf-8"?><Relationships xmlns="http://schemas.openxmlformats.org/package/2006/relationships"><Relationship Type="http://schemas.openxmlformats.org/officeDocument/2006/relationships/drawing" Target="/xl/drawings/drawing3.xml" Id="R70efabe229874fa9"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second contamination and external-custody gate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D-111 integrated but stopped unused; D-112 owner review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second contamination and external-custody gate</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Owner accepts or rejects D-112 before another replacement is authored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810" hidden="0" customHeight="1">
      <x:c r="A28" s="597" t="str">
        <x:v>PR #63 integrated D-111 at exact main 4d2c0f5. The evaluator source tree remains byte-identical to frozen behavior 4cf9fe8 at tree d0c3f128ee13898cdcd6fc12c6d6ad5877649551. During the local fast-forward, Git printed release-family paths and comparative per-file insertion statistics before first execution. No family file was deliberately opened, no semantic audit ran, no oracle comparison occurred, and semantic execution count remains zero. A fresh independent governance review classified the metadata side channel as contamination under D-110 and IMP-023. FAM-HO-CONVEYOR-DRIVE-042 is preserved unchanged and unexecuted but is ineligible for v0.3.0 held-out release claims; D-111 authority stopped unused. Proposed D-112 authorizes, after owner acceptance only, a materially distinct replacement that remains outside the ordinary repository through authoring, verification, oracle-blind execution, raw-evidence freeze, and separate comparison. Repository import may occur only after a reviewed post-run decision. EV-150-EV-151, I-007, and IMP-025 preserve the event and prevention. No replacement authoring, semantic execution, protected comparison, evaluator change, P4.3 work, or release claim is authorized before D-112 acceptance.</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62d85236ed143be"/>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55f65e60634c4b8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Proposed / Owner Review</x:v>
      </x:c>
      <x:c r="F115" s="431" t="str">
        <x:v>P4.2 second contamination and external-custody gate</x:v>
      </x:c>
      <x:c r="G115" s="431" t="str">
        <x:v>User D-111 acceptance 2026-07-21; PR #63 exact main 4d2c0f5; docs/package_assurance/p4_2_second_contamination_and_external_custody_gate_v0.3.0.md; D-110-D-111; EV-149-EV-151; I-006-I-007; IMP-023-IMP-025</x:v>
      </x:c>
      <x:c r="H115" s="431" t="str">
        <x:v>Acceptance authorizes isolated replacement authoring, structural/hash verification, oracle-blind staging, and a new freeze review only. It does not authorize semantic execution or pre-run repository import; both require later reviewed decisions.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Pending</x:v>
      </x:c>
      <x:c r="I26" s="431" t="n">
        <x:v>46224</x:v>
      </x:c>
      <x:c r="J26" s="431" t="str">
        <x:v>Exact main is 4d2c0f5; frozen evaluator source remains unchanged; semantic execution count is zero. A fresh independent review confirmed contamination and the external-custody recovery.</x:v>
      </x:c>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D-112 external-custody recovery owner review</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PR #63 exact main 4d2c0f5 exposed release-family path and file-statistics metadata during integration. Semantic execution count remains zero; both exposed families are release-ineligible.</x:v>
      </x:c>
      <x:c r="E7" s="765" t="str">
        <x:v>Product interpretation</x:v>
      </x:c>
      <x:c r="F7" s="431" t="str">
        <x:v>Successful kernel; not yet a complete economically useful workflow.</x:v>
      </x:c>
      <x:c r="G7" s="765" t="str">
        <x:v>Response</x:v>
      </x:c>
      <x:c r="H7" s="431" t="str">
        <x:v>Owner accepts or rejects D-112 before a materially distinct external-custody replacement is authored.</x:v>
      </x:c>
    </x:row>
    <x:row r="8" ht="153" hidden="0" customHeight="1">
      <x:c r="A8" s="765" t="str">
        <x:v>Immediate next action</x:v>
      </x:c>
      <x:c r="B8" s="431" t="str">
        <x:v>Record the second zero-run contamination and freeze an external-custody architecture that removes repository metadata from the pre-run boundary.</x:v>
      </x:c>
      <x:c r="C8" s="765" t="str">
        <x:v>Selected vertical</x:v>
      </x:c>
      <x:c r="D8" s="431" t="str">
        <x:v>D-112 owner decision -&gt; isolated external authoring -&gt; independent hash verification -&gt; oracle-blind single run -&gt; raw freeze -&gt; separate comparison -&gt; reviewed post-run import.</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765" hidden="0" customHeight="1">
      <x:c r="A41" s="604" t="str">
        <x:v>Immediate implication</x:v>
      </x:c>
      <x:c r="B41" s="605"/>
      <x:c r="C41" s="606" t="str">
        <x:v>D-111 was accepted and PR #63 merged at exact main 4d2c0f5. Evaluator source tree d0c3f128ee13898cdcd6fc12c6d6ad5877649551 still matches frozen behavior 4cf9fe8. Git's integration summary printed recursive replacement-family paths and comparative per-file statistics before execution. A fresh independent governance review classified that metadata side channel as contamination under D-110 and IMP-023. No semantic run, oracle comparison, retry, tuning, evaluator change, or fixture change occurred; run count remains zero. Preserve both release-ineligible families unchanged. Proposed D-112 requires the next materially distinct family to remain outside the repository and implementation worktree through first-run evidence freeze and protected comparison. Do not author or import a replacement, restore protected-fixture CI, execute a scenario, compare an oracle, begin P4.3, or make held-out release claims before owner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70efabe229874fa9"/>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72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Stopped / D-112 Owner Review</x:v>
      </x:c>
      <x:c r="L19" s="664" t="n">
        <x:v>0.73</x:v>
      </x:c>
      <x:c r="M19" s="662" t="n">
        <x:f>SUMIF('Work Block Log'!$E$5:$E$200,A19,'Work Block Log'!$F$5:$F$200)</x:f>
        <x:v>0</x:v>
      </x:c>
      <x:c r="N19" s="662" t="n">
        <x:f>MAX(F19*(1-L19),0)</x:f>
        <x:v>0.81</x:v>
      </x:c>
      <x:c r="O19" s="662" t="n">
        <x:f>M19-F19</x:f>
        <x:v>-3</x:v>
      </x:c>
      <x:c r="P19" s="431" t="str">
        <x:v>PR #63 exact main 4d2c0f5; D-111 integrated but authority unused; source tree d0c3f128...9551 matches 4cf9fe8; semantic runs 0; fresh governance review: contaminated; D-112 proposed; EV-150-EV-151; I-007; IMP-025</x:v>
      </x:c>
      <x:c r="Q19" s="431" t="str">
        <x:v>Owner accepts or rejects D-112 before another materially distinct replacement is authored in external custody.</x:v>
      </x:c>
      <x:c r="R19" s="431" t="str">
        <x:v>Preserve both exposed families unchanged and unexecuted. No authoring/import, semantic run, oracle comparison, evaluator change, P4.3 work, or release claim is authorized.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0.8519565217391304</x:v>
      </x:c>
      <x:c r="M24" s="683" t="n">
        <x:f>SUM(M6:M22)</x:f>
        <x:v>0</x:v>
      </x:c>
      <x:c r="N24" s="683" t="n">
        <x:f>SUM(N6:N22)</x:f>
        <x:v>6.8100000000000005</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P4.2 External-Custody Recovery Gate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second contamination and external-custody gate</x:v>
      </x:c>
      <x:c r="H4" s="697"/>
    </x:row>
    <x:row r="5" ht="72" customHeight="1">
      <x:c r="A5" s="688" t="str">
        <x:v>Schedule Baseline</x:v>
      </x:c>
      <x:c r="B5" s="693" t="str">
        <x:v>Legacy only; not controlling</x:v>
      </x:c>
      <x:c r="C5" s="691"/>
      <x:c r="D5" s="691"/>
      <x:c r="F5" s="696" t="str">
        <x:v>Objective</x:v>
      </x:c>
      <x:c r="G5" s="697" t="str">
        <x:v>Preserve the zero-run incident and remove repository metadata from the next first-run boundary.</x:v>
      </x:c>
      <x:c r="H5" s="697"/>
    </x:row>
    <x:row r="6" ht="63" customHeight="1">
      <x:c r="A6" s="688" t="str">
        <x:v>Time Tracking</x:v>
      </x:c>
      <x:c r="B6" s="693" t="str">
        <x:v>Waived prospectively</x:v>
      </x:c>
      <x:c r="C6" s="691"/>
      <x:c r="D6" s="691"/>
      <x:c r="F6" s="696" t="str">
        <x:v>Gate Status</x:v>
      </x:c>
      <x:c r="G6" s="697" t="str">
        <x:v>PR #63 exact main 4d2c0f5; evaluator source unchanged; semantic runs 0; D-111 authority unused.</x:v>
      </x:c>
      <x:c r="H6" s="697"/>
    </x:row>
    <x:row r="7" ht="81" customHeight="1">
      <x:c r="A7" s="688" t="str">
        <x:v>Current Gate</x:v>
      </x:c>
      <x:c r="B7" s="694" t="str">
        <x:v>Zero-run metadata exposure recorded; D-112 owner review pending</x:v>
      </x:c>
      <x:c r="C7" s="691"/>
      <x:c r="D7" s="691"/>
      <x:c r="F7" s="696" t="str">
        <x:v>Definition of Done</x:v>
      </x:c>
      <x:c r="G7" s="697" t="str">
        <x:v>D-112 accepted or rejected with external custody, execution, comparison, and post-run import boundaries explicit.</x:v>
      </x:c>
      <x:c r="H7" s="697"/>
    </x:row>
    <x:row r="8" ht="63" customHeight="1">
      <x:c r="A8" s="688" t="str">
        <x:v>Released Kernel</x:v>
      </x:c>
      <x:c r="B8" s="691" t="str">
        <x:v>v0.2.0 / commit 45336a2</x:v>
      </x:c>
      <x:c r="C8" s="691"/>
      <x:c r="D8" s="691"/>
      <x:c r="F8" s="696" t="str">
        <x:v>Immediate Next Action</x:v>
      </x:c>
      <x:c r="G8" s="697" t="str">
        <x:v>Owner reviews D-112 before another materially distinct replacement is authored.</x:v>
      </x:c>
      <x:c r="H8" s="697"/>
    </x:row>
    <x:row r="9" ht="72" customHeight="1">
      <x:c r="A9" s="688" t="str">
        <x:v>Release Target</x:v>
      </x:c>
      <x:c r="B9" s="691" t="str">
        <x:v>v0.3.0</x:v>
      </x:c>
      <x:c r="C9" s="691"/>
      <x:c r="D9" s="691"/>
      <x:c r="F9" s="696" t="str">
        <x:v>Primary Risk</x:v>
      </x:c>
      <x:c r="G9" s="697" t="str">
        <x:v>Primary risk: repository paths, diffs, checkout summaries, tooling, or CI leak scenario structure before execution.</x:v>
      </x:c>
      <x:c r="H9" s="697"/>
    </x:row>
    <x:row r="10" ht="81" customHeight="1">
      <x:c r="A10" s="688" t="str">
        <x:v>Baseline Test Count</x:v>
      </x:c>
      <x:c r="B10" s="691" t="n">
        <x:v>121</x:v>
      </x:c>
      <x:c r="C10" s="691"/>
      <x:c r="D10" s="691"/>
      <x:c r="F10" s="696" t="str">
        <x:v>Deferred</x:v>
      </x:c>
      <x:c r="G10" s="697" t="str">
        <x:v>Replacement authoring/import, semantic execution, protected comparison, evaluator changes, P4.3, and release claims.</x:v>
      </x:c>
      <x:c r="H10" s="697"/>
    </x:row>
    <x:row r="11" ht="63" customHeight="1">
      <x:c r="A11" s="688" t="str">
        <x:v>Fixture Package Families</x:v>
      </x:c>
      <x:c r="B11" s="691" t="n">
        <x:v>2</x:v>
      </x:c>
      <x:c r="C11" s="691"/>
      <x:c r="D11" s="691"/>
      <x:c r="F11" s="696" t="str">
        <x:v>Data Boundary</x:v>
      </x:c>
      <x:c r="G11" s="697" t="str">
        <x:v>Both exposed families unchanged and unexecuted; external custody required through raw first-run freeze.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Stopped / Owner Review</x:v>
      </x:c>
      <x:c r="C19" s="699" t="str">
        <x:v>D-112 pending; semantic execution 0</x:v>
      </x:c>
      <x:c r="D19" s="700" t="n">
        <x:v>0.73</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Second contamination and external-custody gate</x:v>
      </x:c>
      <x:c r="D52" s="431" t="str">
        <x:v>Record the PR #63 metadata side channel, preserve the family unchanged and unexecuted, and require a materially distinct replacement to remain outside the repository through raw first-run evidence freeze and separate comparison.</x:v>
      </x:c>
      <x:c r="E52" s="431" t="str">
        <x:v>D-112 Owner Review</x:v>
      </x:c>
      <x:c r="F52" s="431" t="str">
        <x:v>codex/p4.2-held-out-second-recovery</x:v>
      </x:c>
      <x:c r="G52" s="431" t="str">
        <x:v>PR #63 exact main 4d2c0f5; D-111 authority unused; source tree d0c3f128...9551; semantic runs 0; EV-150-EV-151; I-007; IMP-025; D-112 proposed</x:v>
      </x:c>
      <x:c r="H52"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