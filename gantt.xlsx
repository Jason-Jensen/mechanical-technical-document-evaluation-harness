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4623d9ba8e410e" /></Relationships>
</file>

<file path=xl/workbook.xml><?xml version="1.0" encoding="utf-8"?>
<x:workbook xmlns:x="http://schemas.openxmlformats.org/spreadsheetml/2006/main">
  <x:sheets>
    <x:sheet xmlns:r="http://schemas.openxmlformats.org/officeDocument/2006/relationships" name="Start Here" sheetId="1" r:id="Ra5cb3312a35a4fe7"/>
    <x:sheet xmlns:r="http://schemas.openxmlformats.org/officeDocument/2006/relationships" name="Executive Gantt" sheetId="2" r:id="Rb1ad9646e38d425d"/>
    <x:sheet xmlns:r="http://schemas.openxmlformats.org/officeDocument/2006/relationships" name="Detailed Gantt" sheetId="3" r:id="Rf11903593f954e98"/>
    <x:sheet xmlns:r="http://schemas.openxmlformats.org/officeDocument/2006/relationships" name="Weekly Control" sheetId="4" r:id="R50af7f9a2c164bb5"/>
    <x:sheet xmlns:r="http://schemas.openxmlformats.org/officeDocument/2006/relationships" name="Phase Summary" sheetId="5" r:id="Rbd91cc7882e14148"/>
    <x:sheet xmlns:r="http://schemas.openxmlformats.org/officeDocument/2006/relationships" name="Assumptions &amp; Gates" sheetId="6" r:id="R89ed8640ba3a462f"/>
    <x:sheet xmlns:r="http://schemas.openxmlformats.org/officeDocument/2006/relationships" name="Sources" sheetId="7" r:id="Re1ea7401a9da40c4"/>
    <x:sheet xmlns:r="http://schemas.openxmlformats.org/officeDocument/2006/relationships" name="Legacy Baseline" sheetId="8" r:id="Ra06eb9c7c05e4c66"/>
    <x:sheet xmlns:r="http://schemas.openxmlformats.org/officeDocument/2006/relationships" name="Work Block Log" sheetId="9" r:id="R168cdcb54b444ccc"/>
    <x:sheet xmlns:r="http://schemas.openxmlformats.org/officeDocument/2006/relationships" name="Decision Register" sheetId="10" r:id="R722612f83b474bcd"/>
    <x:sheet xmlns:r="http://schemas.openxmlformats.org/officeDocument/2006/relationships" name="Risks &amp; Issues" sheetId="11" r:id="R182b5bcb92254e58"/>
    <x:sheet xmlns:r="http://schemas.openxmlformats.org/officeDocument/2006/relationships" name="Evidence Register" sheetId="12" r:id="R040e2df8b5e94475"/>
    <x:sheet xmlns:r="http://schemas.openxmlformats.org/officeDocument/2006/relationships" name="Expansion Backlog" sheetId="13" r:id="R97157a8ddef1484b"/>
    <x:sheet xmlns:r="http://schemas.openxmlformats.org/officeDocument/2006/relationships" name="AI Context" sheetId="14" r:id="Rdd3cb46f6dc64373"/>
    <x:sheet xmlns:r="http://schemas.openxmlformats.org/officeDocument/2006/relationships" name="MVP Dashboard" sheetId="15" r:id="R43c4dd7fdc0f4e87"/>
    <x:sheet xmlns:r="http://schemas.openxmlformats.org/officeDocument/2006/relationships" name="Product Vision" sheetId="16" r:id="R0b47c5f70d1d4cb4"/>
    <x:sheet xmlns:r="http://schemas.openxmlformats.org/officeDocument/2006/relationships" name="Pilot Gantt" sheetId="17" r:id="R37fa96096478434a"/>
    <x:sheet xmlns:r="http://schemas.openxmlformats.org/officeDocument/2006/relationships" name="Pilot Dashboard" sheetId="18" r:id="Rc2b4325f93a24b04"/>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<x:sst xmlns:x="http://schemas.openxmlformats.org/spreadsheetml/2006/main">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</x:sst>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2cdea35e61047fe" /><Relationship Type="http://schemas.openxmlformats.org/officeDocument/2006/relationships/theme" Target="/xl/theme/theme1.xml" Id="R40a7f08fdb394ae7" /><Relationship Type="http://schemas.openxmlformats.org/officeDocument/2006/relationships/sharedStrings" Target="/xl/sharedStrings.xml" Id="Ra0da804d87444437" /><Relationship Type="http://schemas.openxmlformats.org/officeDocument/2006/relationships/worksheet" Target="/xl/worksheets/sheet1.xml" Id="Ra5cb3312a35a4fe7" /><Relationship Type="http://schemas.openxmlformats.org/officeDocument/2006/relationships/worksheet" Target="/xl/worksheets/sheet2.xml" Id="Rb1ad9646e38d425d" /><Relationship Type="http://schemas.openxmlformats.org/officeDocument/2006/relationships/worksheet" Target="/xl/worksheets/sheet3.xml" Id="Rf11903593f954e98" /><Relationship Type="http://schemas.openxmlformats.org/officeDocument/2006/relationships/worksheet" Target="/xl/worksheets/sheet4.xml" Id="R50af7f9a2c164bb5" /><Relationship Type="http://schemas.openxmlformats.org/officeDocument/2006/relationships/worksheet" Target="/xl/worksheets/sheet5.xml" Id="Rbd91cc7882e14148" /><Relationship Type="http://schemas.openxmlformats.org/officeDocument/2006/relationships/worksheet" Target="/xl/worksheets/sheet6.xml" Id="R89ed8640ba3a462f" /><Relationship Type="http://schemas.openxmlformats.org/officeDocument/2006/relationships/worksheet" Target="/xl/worksheets/sheet7.xml" Id="Re1ea7401a9da40c4" /><Relationship Type="http://schemas.openxmlformats.org/officeDocument/2006/relationships/worksheet" Target="/xl/worksheets/sheet8.xml" Id="Ra06eb9c7c05e4c66" /><Relationship Type="http://schemas.openxmlformats.org/officeDocument/2006/relationships/worksheet" Target="/xl/worksheets/sheet9.xml" Id="R168cdcb54b444ccc" /><Relationship Type="http://schemas.openxmlformats.org/officeDocument/2006/relationships/worksheet" Target="/xl/worksheets/sheet10.xml" Id="R722612f83b474bcd" /><Relationship Type="http://schemas.openxmlformats.org/officeDocument/2006/relationships/worksheet" Target="/xl/worksheets/sheet11.xml" Id="R182b5bcb92254e58" /><Relationship Type="http://schemas.openxmlformats.org/officeDocument/2006/relationships/worksheet" Target="/xl/worksheets/sheet12.xml" Id="R040e2df8b5e94475" /><Relationship Type="http://schemas.openxmlformats.org/officeDocument/2006/relationships/worksheet" Target="/xl/worksheets/sheet13.xml" Id="R97157a8ddef1484b" /><Relationship Type="http://schemas.openxmlformats.org/officeDocument/2006/relationships/worksheet" Target="/xl/worksheets/sheet14.xml" Id="Rdd3cb46f6dc64373" /><Relationship Type="http://schemas.openxmlformats.org/officeDocument/2006/relationships/worksheet" Target="/xl/worksheets/sheet15.xml" Id="R43c4dd7fdc0f4e87" /><Relationship Type="http://schemas.openxmlformats.org/officeDocument/2006/relationships/worksheet" Target="/xl/worksheets/sheet16.xml" Id="R0b47c5f70d1d4cb4" /><Relationship Type="http://schemas.openxmlformats.org/officeDocument/2006/relationships/worksheet" Target="/xl/worksheets/sheet17.xml" Id="R37fa96096478434a" /><Relationship Type="http://schemas.openxmlformats.org/officeDocument/2006/relationships/worksheet" Target="/xl/worksheets/sheet18.xml" Id="Rc2b4325f93a24b04" /></Relationships>
</file>

<file path=xl/drawings/_rels/drawing1.xml.rels>&#65279;<?xml version="1.0" encoding="utf-8"?><Relationships xmlns="http://schemas.openxmlformats.org/package/2006/relationships"><Relationship Type="http://schemas.openxmlformats.org/officeDocument/2006/relationships/chart" Target="/xl/drawings/charts/chart1.xml" Id="R78cb13c88aea4c18" /></Relationships>
</file>

<file path=xl/drawings/_rels/drawing2.xml.rels>&#65279;<?xml version="1.0" encoding="utf-8"?><Relationships xmlns="http://schemas.openxmlformats.org/package/2006/relationships"><Relationship Type="http://schemas.openxmlformats.org/officeDocument/2006/relationships/chart" Target="/xl/drawings/charts/chart2.xml" Id="R6fa45e32a00b4f31" /></Relationships>
</file>

<file path=xl/drawings/_rels/drawing3.xml.rels>&#65279;<?xml version="1.0" encoding="utf-8"?><Relationships xmlns="http://schemas.openxmlformats.org/package/2006/relationships"><Relationship Type="http://schemas.openxmlformats.org/officeDocument/2006/relationships/chart" Target="/xl/drawings/charts/chart3.xml" Id="Rb0af609b4fd642e1"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8cb13c88aea4c1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fa45e32a00b4f31"/>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af609b4fd642e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00fc6bb981e44ec" /></Relationships>
</file>

<file path=xl/worksheets/_rels/sheet5.xml.rels>&#65279;<?xml version="1.0" encoding="utf-8"?><Relationships xmlns="http://schemas.openxmlformats.org/package/2006/relationships"><Relationship Type="http://schemas.openxmlformats.org/officeDocument/2006/relationships/drawing" Target="/xl/drawings/drawing2.xml" Id="R79da53bd451a4714" /></Relationships>
</file>

<file path=xl/worksheets/_rels/sheet15.xml.rels>&#65279;<?xml version="1.0" encoding="utf-8"?><Relationships xmlns="http://schemas.openxmlformats.org/package/2006/relationships"><Relationship Type="http://schemas.openxmlformats.org/officeDocument/2006/relationships/drawing" Target="/xl/drawings/drawing3.xml" Id="Rb97b72b6eccd444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check 6 implementation ready for review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check 6 implementation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Review BOM item/equipment manifest reciprocity</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Accept, revise, or reject implementation c1dcc4a before integration</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P2.3 check 6 implementation c1dcc4a is ready for explicit review on codex/p2.3-bom-item-equipment-reciprocity. It appends bom_item_equipment_manifest_reciprocity under exact AUTH-BOM-002 after the five accepted drawing checks. Verification passes 31 relationship tests, 75 focused tests, 278 full-suite tests with one expected skip, repository validation 5/5, Ruff, and 87.02% coverage. Inspected clean evidence is automatic_pass with gates 8/8, checks 6/6, zero findings, and exit 0. The isolated wrong-valid target is automatic_fail with gates 8/8, checks 5/6, one BOM_ITEM_EQUIPMENT_RECIPROCITY_FAILED hold, and exit 1. D-087 and EV-084 record the review package. Checks 7-11, authority gaps, held-out semantics, protected changes,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00fc6bb981e44ec"/>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79da53bd451a471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Proposed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Review and explicitly accept, revise, or reject implementation c1dcc4a. If accepted, integrate only this branch and select the next bounded definition/implementation action separately. Checks 7-11, authority gaps, held-out semantics, and deferred capabilities remain blocked.</x:v>
      </x:c>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Ready for review</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6 implementation ready for explicit review</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Check 6 now proves BOM item/equipment manifest reciprocity; checks 7-11 and six unsupported claims remain blocked.</x:v>
      </x:c>
      <x:c r="E7" s="765" t="str">
        <x:v>Product interpretation</x:v>
      </x:c>
      <x:c r="F7" s="431" t="str">
        <x:v>Successful kernel; not yet a complete economically useful workflow.</x:v>
      </x:c>
      <x:c r="G7" s="765" t="str">
        <x:v>Response</x:v>
      </x:c>
      <x:c r="H7" s="431" t="str">
        <x:v>Review exact AUTH-BOM-002 dependency, one-finding-per-item behavior, stable evidence, and clean/fault end-to-end outputs.</x:v>
      </x:c>
    </x:row>
    <x:row r="8" ht="99" hidden="0" customHeight="1">
      <x:c r="A8" s="765" t="str">
        <x:v>Immediate next action</x:v>
      </x:c>
      <x:c r="B8" s="431" t="str">
        <x:v>Accept, revise, or reject implementation c1dcc4a. Do not integrate or begin check 7 before explicit acceptance.</x:v>
      </x:c>
      <x:c r="C8" s="765" t="str">
        <x:v>Selected vertical</x:v>
      </x:c>
      <x:c r="D8" s="431" t="str">
        <x:v>Accepted audit path -&gt; accepted P2.3 definition -&gt; check 6 implementation/review -&gt; later individually accepted slices -&gt; benchmark gate.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P2.3 check 6 implementation c1dcc4a appends BOM item/equipment manifest reciprocity under exact AUTH-BOM-002 while preserving all eight gates and five accepted drawing checks. It covers clean, missing, extra, wrong, multiple, exact-authority, unrelated-authority, ordering, repeatability, result, report, publication, and CLI behavior. Final proof is relationship 31; focused 75; full 278/1; validation 5/5; Ruff; coverage 87.02%; inspected clean and wrong-target four-output runs. D-087 and EV-084 are ready for review. No integration before explicit acceptance; checks 7-11 and all blocked scope remain unchanged.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b97b72b6eccd444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16"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0.45</x:v>
      </x:c>
      <x:c r="M13" s="662" t="n">
        <x:f>SUMIF('Work Block Log'!$E$5:$E$200,A13,'Work Block Log'!$F$5:$F$200)</x:f>
        <x:v>0</x:v>
      </x:c>
      <x:c r="N13" s="662" t="n">
        <x:f>MAX(F13*(1-L13),0)</x:f>
        <x:v>2.2</x:v>
      </x:c>
      <x:c r="O13" s="662" t="n">
        <x:f>M13-F13</x:f>
        <x:v>-4</x:v>
      </x:c>
      <x:c r="P13" s="431" t="str">
        <x:v>implementation c1dcc4a; branch codex/p2.3-bom-item-equipment-reciprocity; D-085-D-087; EV-082-EV-084; IMP-013-IMP-014; relationship 31; focused 75; full 278/1; validation 5/5; Ruff; coverage 87.02%; inspected clean/fault outputs</x:v>
      </x:c>
      <x:c r="Q13" s="431" t="str">
        <x:v>Review and explicitly accept, revise, or reject check 6 implementation c1dcc4a. Do not integrate or begin check 7 before acceptance.</x:v>
      </x:c>
      <x:c r="R13" s="431" t="str">
        <x:v>Ready for implementation review. Clean 8/8 gates, 6/6 checks, exit 0; wrong target 8/8 gates, 5/6 checks, one exact AUTH-BOM-002 hold, exit 1. No schema, fixture, golden, authority-map, held-out, or deferred change.</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0.691304347826087</x:v>
      </x:c>
      <x:c r="M24" s="683" t="n">
        <x:f>SUM(M6:M22)</x:f>
        <x:v>0</x:v>
      </x:c>
      <x:c r="N24" s="683" t="n">
        <x:f>SUM(N6:N22)</x:f>
        <x:v>14.2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P2.3 Check 6</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Review check 6 BOM item/equipment manifest reciprocity</x:v>
      </x:c>
      <x:c r="H4" s="697"/>
    </x:row>
    <x:row r="5" ht="72" customHeight="1">
      <x:c r="A5" s="688" t="str">
        <x:v>Schedule Baseline</x:v>
      </x:c>
      <x:c r="B5" s="693" t="str">
        <x:v>Legacy only; not controlling</x:v>
      </x:c>
      <x:c r="C5" s="691"/>
      <x:c r="D5" s="691"/>
      <x:c r="F5" s="696" t="str">
        <x:v>Objective</x:v>
      </x:c>
      <x:c r="G5" s="697" t="str">
        <x:v>Confirm one evidence-backed reciprocity check under exact AUTH-BOM-002 without broader claims.</x:v>
      </x:c>
      <x:c r="H5" s="697"/>
    </x:row>
    <x:row r="6" ht="63" customHeight="1">
      <x:c r="A6" s="688" t="str">
        <x:v>Time Tracking</x:v>
      </x:c>
      <x:c r="B6" s="693" t="str">
        <x:v>Waived prospectively</x:v>
      </x:c>
      <x:c r="C6" s="691"/>
      <x:c r="D6" s="691"/>
      <x:c r="F6" s="696" t="str">
        <x:v>Gate Status</x:v>
      </x:c>
      <x:c r="G6" s="697" t="str">
        <x:v>Implementation c1dcc4a and EV-084 are complete and ready for explicit review.</x:v>
      </x:c>
      <x:c r="H6" s="697"/>
    </x:row>
    <x:row r="7" ht="81" customHeight="1">
      <x:c r="A7" s="688" t="str">
        <x:v>Current Gate</x:v>
      </x:c>
      <x:c r="B7" s="694" t="str">
        <x:v>P2.3 check 6 implementation review</x:v>
      </x:c>
      <x:c r="C7" s="691"/>
      <x:c r="D7" s="691"/>
      <x:c r="F7" s="696" t="str">
        <x:v>Definition of Done</x:v>
      </x:c>
      <x:c r="G7" s="697" t="str">
        <x:v>Check 6 passes clean and isolated-fault proof; checks 7-11 and six unsupported claims remain blocked.</x:v>
      </x:c>
      <x:c r="H7" s="697"/>
    </x:row>
    <x:row r="8" ht="63" customHeight="1">
      <x:c r="A8" s="688" t="str">
        <x:v>Released Kernel</x:v>
      </x:c>
      <x:c r="B8" s="691" t="str">
        <x:v>v0.2.0 / commit 45336a2</x:v>
      </x:c>
      <x:c r="C8" s="691"/>
      <x:c r="D8" s="691"/>
      <x:c r="F8" s="696" t="str">
        <x:v>Immediate Next Action</x:v>
      </x:c>
      <x:c r="G8" s="697" t="str">
        <x:v>Accept, revise, or reject D-087 before integration or check 7.</x:v>
      </x:c>
      <x:c r="H8" s="697"/>
    </x:row>
    <x:row r="9" ht="72" customHeight="1">
      <x:c r="A9" s="688" t="str">
        <x:v>Release Target</x:v>
      </x:c>
      <x:c r="B9" s="691" t="str">
        <x:v>v0.3.0</x:v>
      </x:c>
      <x:c r="C9" s="691"/>
      <x:c r="D9" s="691"/>
      <x:c r="F9" s="696" t="str">
        <x:v>Primary Risk</x:v>
      </x:c>
      <x:c r="G9" s="697" t="str">
        <x:v>Primary risk is accepting structurally valid but incorrect item-to-equipment declarations.</x:v>
      </x:c>
      <x:c r="H9" s="697"/>
    </x:row>
    <x:row r="10" ht="81" customHeight="1">
      <x:c r="A10" s="688" t="str">
        <x:v>Baseline Test Count</x:v>
      </x:c>
      <x:c r="B10" s="691" t="n">
        <x:v>121</x:v>
      </x:c>
      <x:c r="C10" s="691"/>
      <x:c r="D10" s="691"/>
      <x:c r="F10" s="696" t="str">
        <x:v>Deferred</x:v>
      </x:c>
      <x:c r="G10" s="697" t="str">
        <x:v>No schema, fixture, golden, authority-map, held-out semantic, or deferred-capability change is authorized.</x:v>
      </x:c>
      <x:c r="H10" s="697"/>
    </x:row>
    <x:row r="11" ht="63" customHeight="1">
      <x:c r="A11" s="688" t="str">
        <x:v>Fixture Package Families</x:v>
      </x:c>
      <x:c r="B11" s="691" t="n">
        <x:v>2</x:v>
      </x:c>
      <x:c r="C11" s="691"/>
      <x:c r="D11" s="691"/>
      <x:c r="F11" s="696" t="str">
        <x:v>Data Boundary</x:v>
      </x:c>
      <x:c r="G11" s="697" t="str">
        <x:v>Do not merge the implementation without explicit user acceptance.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P2.3 check 6 ready for review</x:v>
      </x:c>
      <x:c r="D17" s="700" t="n">
        <x:v>0.45</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198"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Ready for Review</x:v>
      </x:c>
      <x:c r="F32" s="431" t="str">
        <x:v>codex/p2.3-bom-item-equipment-reciprocity</x:v>
      </x:c>
      <x:c r="G32" s="431" t="str">
        <x:v>implementation c1dcc4a; D-085-D-087; EV-082-EV-084; IMP-013-IMP-014; relationship 31; focused 75; full 278/1; validation 5/5; Ruff; coverage 87.02%; inspected clean/fault outputs; no protected change</x:v>
      </x:c>
      <x:c r="H3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