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f778df912444ae9" /></Relationships>
</file>

<file path=xl/workbook.xml><?xml version="1.0" encoding="utf-8"?>
<x:workbook xmlns:x="http://schemas.openxmlformats.org/spreadsheetml/2006/main">
  <x:sheets>
    <x:sheet xmlns:r="http://schemas.openxmlformats.org/officeDocument/2006/relationships" name="Start Here" sheetId="1" r:id="R5824f5239b694d59"/>
    <x:sheet xmlns:r="http://schemas.openxmlformats.org/officeDocument/2006/relationships" name="Executive Gantt" sheetId="2" r:id="R15fa98dff51e48d5"/>
    <x:sheet xmlns:r="http://schemas.openxmlformats.org/officeDocument/2006/relationships" name="Detailed Gantt" sheetId="3" r:id="R3b3d0928359d41c9"/>
    <x:sheet xmlns:r="http://schemas.openxmlformats.org/officeDocument/2006/relationships" name="Weekly Control" sheetId="4" r:id="R41dcd6ada70d46c4"/>
    <x:sheet xmlns:r="http://schemas.openxmlformats.org/officeDocument/2006/relationships" name="Phase Summary" sheetId="5" r:id="R0801aeeb05414ff6"/>
    <x:sheet xmlns:r="http://schemas.openxmlformats.org/officeDocument/2006/relationships" name="Assumptions &amp; Gates" sheetId="6" r:id="Rdf5c925a8f7a444b"/>
    <x:sheet xmlns:r="http://schemas.openxmlformats.org/officeDocument/2006/relationships" name="Sources" sheetId="7" r:id="Rf06b692112a14b70"/>
    <x:sheet xmlns:r="http://schemas.openxmlformats.org/officeDocument/2006/relationships" name="Legacy Baseline" sheetId="8" r:id="R39de7303f01f4423"/>
    <x:sheet xmlns:r="http://schemas.openxmlformats.org/officeDocument/2006/relationships" name="Work Block Log" sheetId="9" r:id="Rbc5d12e2784d4c56"/>
    <x:sheet xmlns:r="http://schemas.openxmlformats.org/officeDocument/2006/relationships" name="Decision Register" sheetId="10" r:id="R201e3778b2df4dfd"/>
    <x:sheet xmlns:r="http://schemas.openxmlformats.org/officeDocument/2006/relationships" name="Risks &amp; Issues" sheetId="11" r:id="R2ee9572033824403"/>
    <x:sheet xmlns:r="http://schemas.openxmlformats.org/officeDocument/2006/relationships" name="Evidence Register" sheetId="12" r:id="R5624aefa584440ae"/>
    <x:sheet xmlns:r="http://schemas.openxmlformats.org/officeDocument/2006/relationships" name="Expansion Backlog" sheetId="13" r:id="R576fabb1b6734099"/>
    <x:sheet xmlns:r="http://schemas.openxmlformats.org/officeDocument/2006/relationships" name="AI Context" sheetId="14" r:id="R9ea74a2e35b54da3"/>
    <x:sheet xmlns:r="http://schemas.openxmlformats.org/officeDocument/2006/relationships" name="MVP Dashboard" sheetId="15" r:id="R952d597e8c864c17"/>
    <x:sheet xmlns:r="http://schemas.openxmlformats.org/officeDocument/2006/relationships" name="Product Vision" sheetId="16" r:id="R172bd46cee674e75"/>
    <x:sheet xmlns:r="http://schemas.openxmlformats.org/officeDocument/2006/relationships" name="Pilot Gantt" sheetId="17" r:id="Re32ea9ae13c546a9"/>
    <x:sheet xmlns:r="http://schemas.openxmlformats.org/officeDocument/2006/relationships" name="Pilot Dashboard" sheetId="18" r:id="Rc2e16d945cbf4af6"/>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<x:sst xmlns:x="http://schemas.openxmlformats.org/spreadsheetml/2006/main">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</x:sst>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71">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xf numFmtId="164" fontId="23" fillId="52" borderId="0" xfId="0" applyNumberFormat="1" applyFont="1" applyFill="1" applyBorder="1" applyAlignment="1">
      <x:alignment vertical="top" wrapText="1"/>
    </x:xf>
    <x:xf numFmtId="0" fontId="24" fillId="33" borderId="0" xfId="0" applyNumberFormat="1" applyFont="1" applyFill="1" applyBorder="1" applyAlignment="1">
      <x:alignment horizontal="center" vertical="top" wrapText="1"/>
    </x:xf>
    <x:xf numFmtId="202" fontId="23" fillId="52" borderId="0" xfId="0" applyNumberFormat="1" applyFont="1" applyFill="1" applyBorder="1" applyAlignment="1">
      <x:alignment vertical="top" wrapText="1"/>
    </x:xf>
    <x:xf numFmtId="0" fontId="23" fillId="52" borderId="0" xfId="0" applyNumberFormat="1" applyFont="1" applyFill="1" applyBorder="1" applyAlignment="1">
      <x:alignment vertical="top"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d7dfa9919cb439b" /><Relationship Type="http://schemas.openxmlformats.org/officeDocument/2006/relationships/theme" Target="/xl/theme/theme1.xml" Id="R5f7a7dfc891148d3" /><Relationship Type="http://schemas.openxmlformats.org/officeDocument/2006/relationships/sharedStrings" Target="/xl/sharedStrings.xml" Id="Ra020099ee6474ac0" /><Relationship Type="http://schemas.openxmlformats.org/officeDocument/2006/relationships/worksheet" Target="/xl/worksheets/sheet1.xml" Id="R5824f5239b694d59" /><Relationship Type="http://schemas.openxmlformats.org/officeDocument/2006/relationships/worksheet" Target="/xl/worksheets/sheet2.xml" Id="R15fa98dff51e48d5" /><Relationship Type="http://schemas.openxmlformats.org/officeDocument/2006/relationships/worksheet" Target="/xl/worksheets/sheet3.xml" Id="R3b3d0928359d41c9" /><Relationship Type="http://schemas.openxmlformats.org/officeDocument/2006/relationships/worksheet" Target="/xl/worksheets/sheet4.xml" Id="R41dcd6ada70d46c4" /><Relationship Type="http://schemas.openxmlformats.org/officeDocument/2006/relationships/worksheet" Target="/xl/worksheets/sheet5.xml" Id="R0801aeeb05414ff6" /><Relationship Type="http://schemas.openxmlformats.org/officeDocument/2006/relationships/worksheet" Target="/xl/worksheets/sheet6.xml" Id="Rdf5c925a8f7a444b" /><Relationship Type="http://schemas.openxmlformats.org/officeDocument/2006/relationships/worksheet" Target="/xl/worksheets/sheet7.xml" Id="Rf06b692112a14b70" /><Relationship Type="http://schemas.openxmlformats.org/officeDocument/2006/relationships/worksheet" Target="/xl/worksheets/sheet8.xml" Id="R39de7303f01f4423" /><Relationship Type="http://schemas.openxmlformats.org/officeDocument/2006/relationships/worksheet" Target="/xl/worksheets/sheet9.xml" Id="Rbc5d12e2784d4c56" /><Relationship Type="http://schemas.openxmlformats.org/officeDocument/2006/relationships/worksheet" Target="/xl/worksheets/sheet10.xml" Id="R201e3778b2df4dfd" /><Relationship Type="http://schemas.openxmlformats.org/officeDocument/2006/relationships/worksheet" Target="/xl/worksheets/sheet11.xml" Id="R2ee9572033824403" /><Relationship Type="http://schemas.openxmlformats.org/officeDocument/2006/relationships/worksheet" Target="/xl/worksheets/sheet12.xml" Id="R5624aefa584440ae" /><Relationship Type="http://schemas.openxmlformats.org/officeDocument/2006/relationships/worksheet" Target="/xl/worksheets/sheet13.xml" Id="R576fabb1b6734099" /><Relationship Type="http://schemas.openxmlformats.org/officeDocument/2006/relationships/worksheet" Target="/xl/worksheets/sheet14.xml" Id="R9ea74a2e35b54da3" /><Relationship Type="http://schemas.openxmlformats.org/officeDocument/2006/relationships/worksheet" Target="/xl/worksheets/sheet15.xml" Id="R952d597e8c864c17" /><Relationship Type="http://schemas.openxmlformats.org/officeDocument/2006/relationships/worksheet" Target="/xl/worksheets/sheet16.xml" Id="R172bd46cee674e75" /><Relationship Type="http://schemas.openxmlformats.org/officeDocument/2006/relationships/worksheet" Target="/xl/worksheets/sheet17.xml" Id="Re32ea9ae13c546a9" /><Relationship Type="http://schemas.openxmlformats.org/officeDocument/2006/relationships/worksheet" Target="/xl/worksheets/sheet18.xml" Id="Rc2e16d945cbf4af6" /></Relationships>
</file>

<file path=xl/drawings/_rels/drawing1.xml.rels>&#65279;<?xml version="1.0" encoding="utf-8"?><Relationships xmlns="http://schemas.openxmlformats.org/package/2006/relationships"><Relationship Type="http://schemas.openxmlformats.org/officeDocument/2006/relationships/chart" Target="/xl/drawings/charts/chart1.xml" Id="Rbb8662b1776946e0" /></Relationships>
</file>

<file path=xl/drawings/_rels/drawing2.xml.rels>&#65279;<?xml version="1.0" encoding="utf-8"?><Relationships xmlns="http://schemas.openxmlformats.org/package/2006/relationships"><Relationship Type="http://schemas.openxmlformats.org/officeDocument/2006/relationships/chart" Target="/xl/drawings/charts/chart2.xml" Id="R63457a49fb454849" /></Relationships>
</file>

<file path=xl/drawings/_rels/drawing3.xml.rels>&#65279;<?xml version="1.0" encoding="utf-8"?><Relationships xmlns="http://schemas.openxmlformats.org/package/2006/relationships"><Relationship Type="http://schemas.openxmlformats.org/officeDocument/2006/relationships/chart" Target="/xl/drawings/charts/chart3.xml" Id="Re0daf39c02ea4394"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b8662b1776946e0"/>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3457a49fb454849"/>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0daf39c02ea4394"/>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317f14f04a734167" /></Relationships>
</file>

<file path=xl/worksheets/_rels/sheet5.xml.rels>&#65279;<?xml version="1.0" encoding="utf-8"?><Relationships xmlns="http://schemas.openxmlformats.org/package/2006/relationships"><Relationship Type="http://schemas.openxmlformats.org/officeDocument/2006/relationships/drawing" Target="/xl/drawings/drawing2.xml" Id="Rb30ecba3cc3f455b" /></Relationships>
</file>

<file path=xl/worksheets/_rels/sheet15.xml.rels>&#65279;<?xml version="1.0" encoding="utf-8"?><Relationships xmlns="http://schemas.openxmlformats.org/package/2006/relationships"><Relationship Type="http://schemas.openxmlformats.org/officeDocument/2006/relationships/drawing" Target="/xl/drawings/drawing3.xml" Id="Rc2fa8b58c4cd4807"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9.5" customHeight="1">
      <x:c r="A4" s="495" t="str">
        <x:v>Control revision</x:v>
      </x:c>
      <x:c r="B4" s="767" t="str">
        <x:v>Program v3.0 - P4.1 development benchmark review 2026-07-21</x:v>
      </x:c>
      <x:c r="C4" s="438"/>
      <x:c r="D4" s="768" t="n">
        <x:v>1</x:v>
      </x:c>
      <x:c r="E4" s="754"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63" customHeight="1">
      <x:c r="A10" s="495" t="str">
        <x:v>Current gate</x:v>
      </x:c>
      <x:c r="B10" s="769" t="str">
        <x:v>P4.1 implementation complete; D-109 scope decision required</x:v>
      </x:c>
      <x:c r="C10" s="438"/>
      <x:c r="D10" s="768" t="n">
        <x:v>7</x:v>
      </x:c>
      <x:c r="E10" s="754"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9.5" hidden="0" customHeight="1">
      <x:c r="A12" s="495" t="str">
        <x:v>Active WBS</x:v>
      </x:c>
      <x:c r="B12" s="770" t="str">
        <x:v>P4.1 - development benchmark and fault-injection review</x:v>
      </x:c>
      <x:c r="C12" s="438"/>
      <x:c r="D12" s="438"/>
      <x:c r="E12" s="438"/>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67.5" hidden="0" customHeight="1">
      <x:c r="A13" s="495" t="str">
        <x:v>Next build WBS</x:v>
      </x:c>
      <x:c r="B13" s="770" t="str">
        <x:v>Accept or revise D-109 before P4.1 freeze or P4.2</x:v>
      </x:c>
      <x:c r="C13" s="438"/>
      <x:c r="D13" s="438"/>
      <x:c r="E13" s="438"/>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file-reference, and supported revision relationship checks with evidence; explicitly deferred claims remain excluded.</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603" hidden="0" customHeight="1">
      <x:c r="A28" s="597" t="str">
        <x:v>P4.1 revision P4.1-DEV-1 is implemented from exact main b439974 on codex/p4.1-development-benchmark at implementation commit 4cf9fe8. The runner verifies the accepted a4b278e5... clean package hash, excludes hidden expected assets, generates 22 controlled development scenarios, executes each twice through the real four-output audit, preserves raw packages and runs outside versioned benchmark definitions, and compares exact normalized publication hashes. The exact-commit acceptance run passed 22/22 scenarios, 44/44 publications, all eight gate-failure cases, all eleven relationship-failure cases, 22/22 repeatability pairs, and 22/22 exact oracles. Full regression passed 319/1 at 88.57% coverage; validation 5/5, Ruff, frozen baseline 9/9, demo 2/2, and both hosted Linux CI jobs passed. IMP-022 records the red-to-green portable-path correction. D-109 is required because four states have genuine full-package paths while engineering_review_required and evaluator_uncertainty currently have router/exit coverage only. P4.2 held-out semantic execution remains blocked.</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317f14f04a734167"/>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b30ecba3cc3f455b"/>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ht="369" customHeight="1">
      <x:c r="A85" s="431" t="str">
        <x:v>D-082</x:v>
      </x:c>
      <x:c r="B85" s="431" t="n">
        <x:v>46222</x:v>
      </x:c>
      <x:c r="C85" s="431" t="str">
        <x:v>Accept P3.2 release-readiness implementation 7536bea and integrate the exact reviewed branch at exact main 4b848b9. Close P3.2 and authorize only P3.3 atomic publication of the canonical result and accepted report views through the bounded audit-package CLI contract.</x:v>
      </x:c>
      <x:c r="D85" s="431" t="str">
        <x:v>The user explicitly accepted P3.2. Exact-main verification reproduced all reviewed behavior and evidence without changing evaluator meaning, protected assets, or frozen v0.2 behavior. P3.3 is the remaining bounded step to make the accepted vertical slice runnable end to end.</x:v>
      </x:c>
      <x:c r="E85" s="431" t="str">
        <x:v>Accepted</x:v>
      </x:c>
      <x:c r="F85" s="431" t="str">
        <x:v>P3.2 acceptance and P3.3 authorization</x:v>
      </x:c>
      <x:c r="G85" s="431" t="str">
        <x:v>User instruction 2026-07-19; implementation 7536bea; review evidence/main 4b848b9; focused result/report 36; full 258/1; validation 5/5; Ruff; coverage 86.75%; EV-079; IMP-012</x:v>
      </x:c>
      <x:c r="H85" s="431" t="str">
        <x:v>Create codex/p3.3-audit-package-cli from exact main 4b848b9. Implement only atomic report publication, stable accepted exits, controlled-failure preservation, and existing-command compatibility. P2.3, held-out semantics, protected changes, and deferred capabilities remain blocked.</x:v>
      </x:c>
    </x:row>
    <x:row r="86" ht="369" customHeight="1">
      <x:c r="A86" s="431" t="str">
        <x:v>D-083</x:v>
      </x:c>
      <x:c r="B86" s="431" t="n">
        <x:v>46222</x:v>
      </x:c>
      <x:c r="C86" s="431" t="str">
        <x:v>Propose acceptance of P3.3 implementation b5f0fcd as the bounded first runnable package audit. Require exact reuse of the accepted gates, checks, result router, and report views; atomic immutable publication of the exact four-output set; package-state exits 0-5; usage exit 64; internal exit 70; controlled-failure preservation; and unchanged v0.2 commands.</x:v>
      </x:c>
      <x:c r="D86" s="431" t="str">
        <x:v>The implementation adds one package-specific workflow and a hidden staging directory that is exposed only by a final rename after strict result validation and report preparation. Focused/full verification and inspected clean/fifth-check-fault evidence match the frozen contract without P2.3, held-out, or deferred scope.</x:v>
      </x:c>
      <x:c r="E86" s="431" t="str">
        <x:v>Proposed</x:v>
      </x:c>
      <x:c r="F86" s="431" t="str">
        <x:v>P3.3 audit-package implementation review</x:v>
      </x:c>
      <x:c r="G86" s="431" t="str">
        <x:v>Implementation b5f0fcd; accepted predecessor main 441e521; new P3.3 13; focused result/report/CLI 49; full 271/1; validation 5/5; Ruff; coverage 86.76%; EV-080; IMP-012</x:v>
      </x:c>
      <x:c r="H86" s="431" t="str">
        <x:v>Review and explicitly accept or reject P3.3. If accepted, integrate the exact reviewed branch and then define the next bounded P2.3 relationship block. Held-out semantics, protected content, and deferred capabilities remain blocked.</x:v>
      </x:c>
    </x:row>
    <x:row r="87" ht="369" customHeight="1">
      <x:c r="A87" s="431" t="str">
        <x:v>D-084</x:v>
      </x:c>
      <x:c r="B87" s="431" t="n">
        <x:v>46223</x:v>
      </x:c>
      <x:c r="C87" s="431" t="str">
        <x:v>Accept P3.3 implementation b5f0fcd and review evidence 411928e as the bounded first runnable package audit, integrated through PR #40 at exact main e4080fd. Close P3.3 and authorize only a definition block for the remaining P2.3 BOM, equipment, datasheet, specification, and revision relationships.</x:v>
      </x:c>
      <x:c r="D87" s="431" t="str">
        <x:v>The user explicitly accepted P3.3 and instructed the project to begin P2.3. Both GitHub Actions checks passed before merge, and exact-main verification reproduced the reviewed focused/full tests, validation, Ruff, and coverage. A definition gate is required because P2.3 contains several authority relationships and single-source fields that must not be conflated into one broad implementation.</x:v>
      </x:c>
      <x:c r="E87" s="431" t="str">
        <x:v>Accepted</x:v>
      </x:c>
      <x:c r="F87" s="431" t="str">
        <x:v>P3.3 acceptance and P2.3 definition authorization</x:v>
      </x:c>
      <x:c r="G87" s="431" t="str">
        <x:v>User instruction 2026-07-20; PR #40; implementation b5f0fcd; review evidence 411928e; exact main e4080fd; focused 49; full 271/1; validation 5/5; Ruff; coverage 86.76%; EV-081; IMP-012</x:v>
      </x:c>
      <x:c r="H87" s="431" t="str">
        <x:v>Create codex/p2.3-relationship-expansion-definition from the P3.3 integration closeout. Freeze ordered checks, authority dependencies, evidence, state/hold routing, prerequisites, tests, and exclusions. No P2.3 implementation or held-out semantic execution before definition acceptance.</x:v>
      </x:c>
    </x:row>
    <x:row r="88" ht="369" customHeight="1">
      <x:c r="A88" s="431" t="str">
        <x:v>D-085</x:v>
      </x:c>
      <x:c r="B88" s="431" t="n">
        <x:v>46223</x:v>
      </x:c>
      <x:c r="C88" s="431" t="str">
        <x:v>Propose the P2.3 relationship-expansion definition with six ordered existing-authority checks and six explicit authority/source gaps. Require one check per implementation and acceptance slice, beginning with BOM item/equipment manifest reciprocity under exact AUTH-BOM-002. Do not represent single-source structural validation as cross-document reconciliation.</x:v>
      </x:c>
      <x:c r="D88" s="431" t="str">
        <x:v>The accepted package can support deterministic BOM item/equipment reciprocity, equipment drawing presence, datasheet authority presence and agreement, datasheet manifest reciprocity, and specification revision-history checks. Quantity, part/material, item/drawing, specification association, datasheet revision, and technical-value claims lack an exact comparison source or authority rule. Separating them prevents false assurance while allowing useful P2.3 work to proceed.</x:v>
      </x:c>
      <x:c r="E88" s="431" t="str">
        <x:v>Proposed</x:v>
      </x:c>
      <x:c r="F88" s="431" t="str">
        <x:v>P2.3 relationship-expansion definition review</x:v>
      </x:c>
      <x:c r="G88" s="431" t="str">
        <x:v>docs/package_assurance/p2_3_relationship_expansion_definition_v0.3.0.md; baseline 26b7aa2; exact authority rules AUTH-BOM-002, AUTH-SPEC-001, AUTH-SPEC-003; EV-082; IMP-013</x:v>
      </x:c>
      <x:c r="H88" s="431" t="str">
        <x:v>Review and explicitly accept, revise, or reject the definition. If accepted, create codex/p2.3-bom-item-equipment-reciprocity and implement only check 6. Authority-gap claims and held-out semantics remain blocked.</x:v>
      </x:c>
    </x:row>
    <x:row r="89" ht="369" customHeight="1">
      <x:c r="A89" s="431" t="str">
        <x:v>D-086</x:v>
      </x:c>
      <x:c r="B89" s="431" t="n">
        <x:v>46223</x:v>
      </x:c>
      <x:c r="C89" s="431" t="str">
        <x:v>Accept the P2.3 relationship-expansion definition integrated through PR #41 at exact main a855d99. Authorize only check 6, bom_item_equipment_manifest_reciprocity v0.3.0, under exact AUTH-BOM-002 on its dedicated branch. Require separate explicit acceptance before implementation integration.</x:v>
      </x:c>
      <x:c r="D89" s="431" t="str">
        <x:v>The user explicitly accepted the definition and directed implementation of check 6. The reviewed definition proves six uncovered relationship conditions, freezes one-check-per-slice delivery, and keeps six unsupported claims visible as authority/source gaps rather than weak assurance claims.</x:v>
      </x:c>
      <x:c r="E89" s="431" t="str">
        <x:v>Accepted</x:v>
      </x:c>
      <x:c r="F89" s="431" t="str">
        <x:v>P2.3 definition acceptance and check 6 authorization</x:v>
      </x:c>
      <x:c r="G89" s="431" t="str">
        <x:v>User instruction 2026-07-20; PR #41; definition 5a48dcb; exact main a855d99; D-085; EV-082-EV-083; IMP-013</x:v>
      </x:c>
      <x:c r="H89" s="431" t="str">
        <x:v>Create codex/p2.3-bom-item-equipment-reciprocity from the accepted closeout. Implement only check 6 and prove it through relationships, canonical result, reports, publication, and CLI. Do not implement checks 7-11 or any blocked authority-gap claim.</x:v>
      </x:c>
    </x:row>
    <x:row r="90" ht="387" customHeight="1">
      <x:c r="A90" s="431" t="str">
        <x:v>D-087</x:v>
      </x:c>
      <x:c r="B90" s="431" t="n">
        <x:v>46223</x:v>
      </x:c>
      <x:c r="C90" s="431" t="str">
        <x:v>Propose acceptance of P2.3 check 6 implementation c1dcc4a as the bounded bom_item_equipment_manifest_reciprocity v0.3.0 control. Require exact AUTH-BOM-002, one stable high-severity automatic-fail release hold per affected item, independent authority prerequisites, and unchanged gates, checks 1-5, result routing, report meaning, publication, and exits.</x:v>
      </x:c>
      <x:c r="D90" s="431" t="str">
        <x:v>The implementation closes the accepted wrong-valid declaration gap without adding schemas, fixtures, authority rules, or broader reconciliation claims. Missing, extra, wrong, and multiple declarations are deterministic and evidence-linked; an unrelated drawing-authority failure does not block valid BOM evidence.</x:v>
      </x:c>
      <x:c r="E90" s="431" t="str">
        <x:v>Accepted</x:v>
      </x:c>
      <x:c r="F90" s="431" t="str">
        <x:v>P2.3 check 6 implementation review</x:v>
      </x:c>
      <x:c r="G90" s="431" t="str">
        <x:v>Implementation c1dcc4a; relationship 31; focused 75; full 278/1; validation 5/5; Ruff; coverage 87.02%; inspected scratch/p23-check6-review-evidence clean and wrong-target runs; EV-084; IMP-013-IMP-014</x:v>
      </x:c>
      <x:c r="H90" s="431" t="str">
        <x:v>Integrated through PR #42 at exact main 559bb81. Proceed with the approved bounded relationship-maintainability stabilization before implementing check 7. Checks 8-11, authority gaps, held-out semantics, and deferred capabilities retain their gates.</x:v>
      </x:c>
    </x:row>
    <x:row r="91" ht="387" customHeight="1">
      <x:c r="A91" s="431" t="str">
        <x:v>D-088</x:v>
      </x:c>
      <x:c r="B91" s="431" t="n">
        <x:v>46223</x:v>
      </x:c>
      <x:c r="C91" s="431" t="str">
        <x:v>Accept P2.3 check 6 and its integration through PR #42 at exact main 559bb81. Authorize a bounded behavior-preserving maintainability stabilization of the relationship implementation and focused-test structure before check 7, followed by only bom_equipment_drawing_presence under the already accepted P2.3 contract.</x:v>
      </x:c>
      <x:c r="D91" s="431" t="str">
        <x:v>The user accepted check 6 and approved the management-review sequence. The current relationship source and focused test modules exceed 1,700 lines before five additional checks. A small domain split now reduces review and regression risk without changing product behavior or creating a generic rule engine.</x:v>
      </x:c>
      <x:c r="E91" s="431" t="str">
        <x:v>Accepted</x:v>
      </x:c>
      <x:c r="F91" s="431" t="str">
        <x:v>Check 6 closeout and maintainability stabilization authorization</x:v>
      </x:c>
      <x:c r="G91" s="431" t="str">
        <x:v>User instruction 2026-07-20; PR #42; implementation c1dcc4a; review evidence 0386b7f; merge/main 559bb81; D-087; EV-084-EV-085; IMP-013-IMP-014</x:v>
      </x:c>
      <x:c r="H91" s="431" t="str">
        <x:v>Refactor only relationship implementation and tests into clear domain boundaries with exact behavior preservation. Run focused/full regression, validation, Ruff, and coverage. Then implement only accepted check 7. No protected, held-out, schema, authority, or deferred-capability change.</x:v>
      </x:c>
    </x:row>
    <x:row r="92" ht="369" customHeight="1">
      <x:c r="A92" s="431" t="str">
        <x:v>D-089</x:v>
      </x:c>
      <x:c r="B92" s="431" t="n">
        <x:v>46223</x:v>
      </x:c>
      <x:c r="C92" s="431" t="str">
        <x:v>Accept the behavior-preserving relationship maintainability stabilization integrated through PR #44 at exact main 56ac9d1 and authorize check 7, bom_equipment_drawing_presence, under the already accepted P2.3 contract and exact AUTH-BOM-002.</x:v>
      </x:c>
      <x:c r="D92" s="431" t="str">
        <x:v>The user approved the management sequence. The split preserves every prior function AST and all accepted behavior while making the BOM/equipment domain independently reviewable. Both GitHub CI runs passed. The accepted check 7 contract is already frozen and requires no new source, schema, or authority rule.</x:v>
      </x:c>
      <x:c r="E92" s="431" t="str">
        <x:v>Accepted</x:v>
      </x:c>
      <x:c r="F92" s="431" t="str">
        <x:v>Relationship stabilization acceptance and check 7 authorization</x:v>
      </x:c>
      <x:c r="G92" s="431" t="str">
        <x:v>User instruction 2026-07-20; PR #44; implementation 1f34781; merge/main 56ac9d1; EV-086; IMP-015</x:v>
      </x:c>
      <x:c r="H92" s="431" t="str">
        <x:v>Implement only bom_equipment_drawing_presence. Require exact AUTH-BOM-002, one evidence-linked hold per missing BOM equipment tag, stable order and identity, and unchanged prior checks/result/report/CLI behavior.</x:v>
      </x:c>
    </x:row>
    <x:row r="93" ht="387" customHeight="1">
      <x:c r="A93" s="431" t="str">
        <x:v>D-090</x:v>
      </x:c>
      <x:c r="B93" s="431" t="n">
        <x:v>46223</x:v>
      </x:c>
      <x:c r="C93" s="431" t="str">
        <x:v>Accept and integrate P2.3 check 7, bom_equipment_drawing_presence v0.3.0, through PR #45 at exact main 273c36a. Every release-required BOM equipment tag must appear in drawing metadata under exact AUTH-BOM-002 without treating the BOM drawing_number as authoritative.</x:v>
      </x:c>
      <x:c r="D93" s="431" t="str">
        <x:v>The user accepted check 7 and authorized the executive sequence. The implementation produces one deterministic high-severity automatic-fail release hold per missing BOM item/tag and preserves all predecessor, result, report, publication, and CLI contracts. Both GitHub checks passed before merge.</x:v>
      </x:c>
      <x:c r="E93" s="431" t="str">
        <x:v>Accepted</x:v>
      </x:c>
      <x:c r="F93" s="431" t="str">
        <x:v>P2.3 check 7 acceptance and integration</x:v>
      </x:c>
      <x:c r="G93" s="431" t="str">
        <x:v>User instruction 2026-07-20; implementation 01a70c2; PR #45; merge/main 273c36a; EV-087-EV-088; IMP-013-IMP-015</x:v>
      </x:c>
      <x:c r="H93" s="431" t="str">
        <x:v>Preserve check 7 as accepted. Open the authorized structured-package trial decision. Checks 8-11, authority gaps, held-out semantics, protected assets, and deferred capabilities remain blocked.</x:v>
      </x:c>
    </x:row>
    <x:row r="94" ht="360" customHeight="1">
      <x:c r="A94" s="431" t="str">
        <x:v>D-091</x:v>
      </x:c>
      <x:c r="B94" s="431" t="n">
        <x:v>46223</x:v>
      </x:c>
      <x:c r="C94" s="431" t="str">
        <x:v>Select and authorize one sanitized structured mechanical package for a development-only practical-use trial under authorized_structured_package_trial_v0.3.0.md.</x:v>
      </x:c>
      <x:c r="D94" s="431" t="str">
        <x:v>A realistic package is now more valuable than another isolated rule because it can expose preparation burden, evidence usability, false findings, missed conditions, and authority gaps. The trial is not benchmark evidence, engineering approval, or a production claim.</x:v>
      </x:c>
      <x:c r="E94" s="431" t="str">
        <x:v>Proposed</x:v>
      </x:c>
      <x:c r="F94" s="431" t="str">
        <x:v>Authorized structured-package trial entry decision</x:v>
      </x:c>
      <x:c r="G94" s="431" t="str">
        <x:v>codex/p2.3-real-package-structured-trial; docs/package_assurance/authorized_structured_package_trial_v0.3.0.md; EV-088-EV-089</x:v>
      </x:c>
      <x:c r="H94" s="431" t="str">
        <x:v>CEO identifies the package location, confirms permitted use and sanitization/retention boundaries, and names a qualified reviewer. Stop before package intake until all four inputs are recorded.</x:v>
      </x:c>
    </x:row>
    <x:row r="95" ht="387" customHeight="1">
      <x:c r="A95" s="431" t="str">
        <x:v>D-092</x:v>
      </x:c>
      <x:c r="B95" s="431" t="n">
        <x:v>46223</x:v>
      </x:c>
      <x:c r="C95" s="431" t="str">
        <x:v>Select Precious Plastic Shredder Basic 3.3 as the recommended first public practical-use trial package after comparing it with NASA/JPL Open Source Rover v4.0.0 and OpenFlexure Microscope v7.0.0-beta5.</x:v>
      </x:c>
      <x:c r="D95" s="431" t="str">
        <x:v>Precious Plastic most closely matches the target workflow because one bounded fabrication package is described as containing CAD, DXF, blueprint PDFs, schematics, a BOM, and supporting manufacturing material. Its likely revision and authority gaps are useful trial learning and must be reported rather than filled in.</x:v>
      </x:c>
      <x:c r="E95" s="431" t="str">
        <x:v>Accepted</x:v>
      </x:c>
      <x:c r="F95" s="431" t="str">
        <x:v>Public trial package selection</x:v>
      </x:c>
      <x:c r="G95" s="431" t="str">
        <x:v>docs/package_assurance/public_trial_package_shortlist_2026-07-20.md; official publisher sources; PR #46; exact main 361cc77; EV-090-EV-091</x:v>
      </x:c>
      <x:c r="H95" s="431" t="str">
        <x:v>Integrate the selection record, then perform official-source verification, local Git-ignored intake, hashing, inventory, and a fit-and-gap assessment for Precious Plastic before transformation or audit execution.</x:v>
      </x:c>
    </x:row>
    <x:row r="96" ht="387" customHeight="1">
      <x:c r="A96" s="431" t="str">
        <x:v>D-093</x:v>
      </x:c>
      <x:c r="B96" s="431" t="n">
        <x:v>46223</x:v>
      </x:c>
      <x:c r="C96" s="431" t="str">
        <x:v>Approve a sequential three-package practical-use program: Precious Plastic Shredder Basic 3.3 as trial 1, NASA/JPL Open Source Rover v4.0.0 as trial 2, and OpenFlexure Microscope v7.0.0-beta5 as trial 3. A later trial cannot begin until the preceding package is reviewed and accepted.</x:v>
      </x:c>
      <x:c r="D96" s="431" t="str">
        <x:v>Multiple independent packages are needed to distinguish package-specific friction from repeatable product behavior. Sequential gates preserve evidence independence, prevent premature rule changes from contaminating later trials, and keep the first real-package learning bounded.</x:v>
      </x:c>
      <x:c r="E96" s="431" t="str">
        <x:v>Accepted</x:v>
      </x:c>
      <x:c r="F96" s="431" t="str">
        <x:v>Sequential public-package trial program</x:v>
      </x:c>
      <x:c r="G96" s="431" t="str">
        <x:v>CEO instruction 2026-07-20; docs/package_assurance/public_trial_package_shortlist_2026-07-20.md; docs/package_assurance/authorized_structured_package_trial_v0.3.0.md; EV-091-EV-092</x:v>
      </x:c>
      <x:c r="H96" s="431" t="str">
        <x:v>Complete and review Precious Plastic intake and fit-gap assessment. Do not begin NASA/JPL until trial 1 is accepted; do not begin OpenFlexure until trial 2 is accepted.</x:v>
      </x:c>
    </x:row>
    <x:row r="97" ht="351" customHeight="1">
      <x:c r="A97" s="431" t="str">
        <x:v>D-094</x:v>
      </x:c>
      <x:c r="B97" s="431" t="n">
        <x:v>46223</x:v>
      </x:c>
      <x:c r="C97" s="431" t="str">
        <x:v>Stop the Precious Plastic Shredder Basic 3.3 trial because the official package source requires an account the user cannot create or access. Preserve the access-stop evidence and do not attempt an authentication workaround.</x:v>
      </x:c>
      <x:c r="D97" s="431" t="str">
        <x:v>A practical-use trial must use source material obtained through permitted, reproducible access. An unavailable official download cannot support preservation, hashing, inventory, or an independently repeatable review.</x:v>
      </x:c>
      <x:c r="E97" s="431" t="str">
        <x:v>Accepted</x:v>
      </x:c>
      <x:c r="F97" s="431" t="str">
        <x:v>Precious Plastic access-stop decision</x:v>
      </x:c>
      <x:c r="G97" s="431" t="str">
        <x:v>CEO instruction 2026-07-20; local Git-ignored intake state; docs/package_assurance/public_trial_package_shortlist_2026-07-20.md; EV-093</x:v>
      </x:c>
      <x:c r="H97" s="431" t="str">
        <x:v>Record that no files were downloaded, retain null archive evidence, and remove Precious Plastic from active execution without erasing the original selection history.</x:v>
      </x:c>
    </x:row>
    <x:row r="98" ht="387" customHeight="1">
      <x:c r="A98" s="431" t="str">
        <x:v>D-095</x:v>
      </x:c>
      <x:c r="B98" s="431" t="n">
        <x:v>46223</x:v>
      </x:c>
      <x:c r="C98" s="431" t="str">
        <x:v>Run NASA/JPL Open Source Rover v4.0.0 and OpenFlexure Microscope v7.0.0-beta5 as co-equal public-package intake and fit-gap trials under one evidence protocol.</x:v>
      </x:c>
      <x:c r="D98" s="431" t="str">
        <x:v>Using identical controls prevents package-specific convenience from becoming a hidden quality difference. Completing both before comparison provides broader product learning across a conventional assembly repository and a generated parametric release.</x:v>
      </x:c>
      <x:c r="E98" s="431" t="str">
        <x:v>Accepted</x:v>
      </x:c>
      <x:c r="F98" s="431" t="str">
        <x:v>Co-equal dual public-package trial</x:v>
      </x:c>
      <x:c r="G98" s="431" t="str">
        <x:v>CEO instruction 2026-07-20; D-093-D-094; docs/package_assurance/authorized_structured_package_trial_v0.3.0.md; docs/package_assurance/public_trial_package_shortlist_2026-07-20.md; EV-093-EV-094</x:v>
      </x:c>
      <x:c r="H98" s="431" t="str">
        <x:v>Verify official release source and license, preserve and hash each untouched archive, inventory files, assess source families and authority gaps, and return one combined fit-gap review before transformation or audit execution.</x:v>
      </x:c>
    </x:row>
    <x:row r="99" ht="387" customHeight="1">
      <x:c r="A99" s="431" t="str">
        <x:v>D-096</x:v>
      </x:c>
      <x:c r="B99" s="431" t="n">
        <x:v>46223</x:v>
      </x:c>
      <x:c r="C99" s="431" t="str">
        <x:v>Accept the completed NASA/JPL and OpenFlexure intakes and authorize one controlled manual source-to-audit mapping definition for each package under a shared transformation-and-assumption log.</x:v>
      </x:c>
      <x:c r="D99" s="431" t="str">
        <x:v>Both packages provide useful and complementary real-world structures, but neither can enter the accepted audit unchanged. Defining mappings before transformation prevents missing authority from being invented and tests preparation burden without weakening evaluator contracts.</x:v>
      </x:c>
      <x:c r="E99" s="431" t="str">
        <x:v>Accepted</x:v>
      </x:c>
      <x:c r="F99" s="431" t="str">
        <x:v>Dual controlled mapping-definition gate</x:v>
      </x:c>
      <x:c r="G99" s="431" t="str">
        <x:v>docs/package_assurance/dual_public_package_intake_fit_gap_2026-07-20.md; D-094-D-095; EV-093-EV-096</x:v>
      </x:c>
      <x:c r="H99" s="431" t="str">
        <x:v>Accepted by the CEO on 2026-07-20. PR #48 merged the reviewed dual intake and fit-gap at exact main 99d16b6. Mapping definitions are authorized; source conversion, working-package creation, and audit execution remain blocked.</x:v>
      </x:c>
    </x:row>
    <x:row r="100" ht="450" customHeight="1">
      <x:c r="A100" s="431" t="str">
        <x:v>D-097</x:v>
      </x:c>
      <x:c r="B100" s="431" t="n">
        <x:v>46223</x:v>
      </x:c>
      <x:c r="C100" s="431" t="str">
        <x:v>Accept the bounded NASA/JPL v4.0.0 mechanical-rover and OpenFlexure v7.0.0-beta5 high-resolution-microscope source-to-audit mappings plus the shared transformation-and-assumption log contract. Authorize controlled local working-copy preparation for both packages with populated logs, followed by review before audit execution.</x:v>
      </x:c>
      <x:c r="D100" s="431" t="str">
        <x:v>The mappings distinguish publisher facts, deterministic trial preparation, missing authority, and true non-applicability. Preparing both packages under one traceability contract tests real-world input burden without weakening accepted evaluator contracts or hiding expected missing-authority holds.</x:v>
      </x:c>
      <x:c r="E100" s="431" t="str">
        <x:v>Accepted</x:v>
      </x:c>
      <x:c r="F100" s="431" t="str">
        <x:v>Dual controlled preparation gate</x:v>
      </x:c>
      <x:c r="G100" s="431" t="str">
        <x:v>docs/package_assurance/nasa_jpl_open_source_rover_mapping_definition_v0.3.0.md; docs/package_assurance/openflexure_microscope_mapping_definition_v0.3.0.md; docs/package_assurance/transformation_and_assumption_log_contract_v0.3.0.md; D-096; EV-097-EV-098</x:v>
      </x:c>
      <x:c r="H100" s="431" t="str">
        <x:v>Accepted by the CEO on 2026-07-20. PR #49 merged the exact reviewed mappings at main 53e19ad. Separate Git-ignored package preparation with populated logs was authorized; audit execution remained blocked pending output review.</x:v>
      </x:c>
    </x:row>
    <x:row r="101" ht="495" customHeight="1">
      <x:c r="A101" s="431" t="str">
        <x:v>D-098</x:v>
      </x:c>
      <x:c r="B101" s="431" t="n">
        <x:v>46223</x:v>
      </x:c>
      <x:c r="C101" s="431" t="str">
        <x:v>Accept the exact prepared NASA/JPL and OpenFlexure package trees and their populated transformation-and-assumption logs. Authorize one controlled audit-package run per package, executed sequentially but treated as co-equal trials.</x:v>
      </x:c>
      <x:c r="D101" s="431" t="str">
        <x:v>The prepared packages are independently verified and retain known authority gaps. Controlled execution now tests actual evaluator behavior on realistic imperfect public sources without changing package definitions or evaluator policy during the observation block.</x:v>
      </x:c>
      <x:c r="E101" s="431" t="str">
        <x:v>Accepted</x:v>
      </x:c>
      <x:c r="F101" s="431" t="str">
        <x:v>Dual controlled audit-execution gate</x:v>
      </x:c>
      <x:c r="G101" s="431" t="str">
        <x:v>docs/package_assurance/dual_public_package_preparation_review_2026-07-20.md; D-097; EV-099-EV-100; package trees 52aedc3e... and 71656da7...</x:v>
      </x:c>
      <x:c r="H101" s="431" t="str">
        <x:v>Accepted by the user on 2026-07-20. PR #50 merged the preparation review at exact main 7009fe2. Both exact package trees and accepted logs were authorized for one sequential controlled audit each, with a mandatory stop on unexpected behavior.</x:v>
      </x:c>
    </x:row>
    <x:row r="102" ht="540" customHeight="1">
      <x:c r="A102" s="431" t="str">
        <x:v>D-099</x:v>
      </x:c>
      <x:c r="B102" s="431" t="n">
        <x:v>46223</x:v>
      </x:c>
      <x:c r="C102" s="431" t="str">
        <x:v>Accept the stopped NASA/JPL audit and cross-package diagnosis as valid learning evidence. Authorize a separate narrow identifier/result-contract stabilization before any public-package rerun.</x:v>
      </x:c>
      <x:c r="D102" s="431" t="str">
        <x:v>The strict result schema correctly blocked malformed evaluator findings. The defect is not bad public data: accepted optional BOM references were absent, but the identifier gate treated absence as malformed syntax and promoted the invalid blank value into a canonical result field. A narrow fix can preserve strict mandatory identifiers, authority holds, and result schemas without changing either package.</x:v>
      </x:c>
      <x:c r="E102" s="431" t="str">
        <x:v>Accepted</x:v>
      </x:c>
      <x:c r="F102" s="431" t="str">
        <x:v>Public-package audit stabilization gate</x:v>
      </x:c>
      <x:c r="G102" s="431" t="str">
        <x:v>docs/package_assurance/dual_public_package_audit_failure_review_2026-07-20.md; local ignored NASA/JPL failure evidence; EV-101-EV-103; IMP-017; D-098</x:v>
      </x:c>
      <x:c r="H102" s="431" t="str">
        <x:v>Accepted by the CEO on 2026-07-20. PR #51 merged the failure review at exact main 624acce. The separate stabilization changed only optional blank handling and invalid-finding representation, with synthetic full-CLI proof and no public-package rerun.</x:v>
      </x:c>
    </x:row>
    <x:row r="103" ht="558" customHeight="1">
      <x:c r="A103" s="431" t="str">
        <x:v>D-100</x:v>
      </x:c>
      <x:c r="B103" s="431" t="n">
        <x:v>46223</x:v>
      </x:c>
      <x:c r="C103" s="431" t="str">
        <x:v>Accept the D-099 identifier/result-contract stabilization and synthetic proof. Merge the fix, then authorize exactly one unchanged NASA/JPL rerun before any OpenFlexure audit.</x:v>
      </x:c>
      <x:c r="D103" s="431" t="str">
        <x:v>The fix preserves strict schemas and malformed-value holds while restoring the accepted missing-authority path. Synthetic full-CLI tests publish all four outputs at exit 3 and exit 1. A controlled NASA/JPL rerun is now the smallest real-world confirmation, but OpenFlexure should remain blocked until that result is inspected.</x:v>
      </x:c>
      <x:c r="E103" s="431" t="str">
        <x:v>Accepted</x:v>
      </x:c>
      <x:c r="F103" s="431" t="str">
        <x:v>NASA/JPL stabilization confirmation gate</x:v>
      </x:c>
      <x:c r="G103" s="431" t="str">
        <x:v>docs/package_assurance/identifier_result_contract_stabilization_review_2026-07-20.md; EV-104-EV-106; IMP-017; D-099; focused 47; full 289/1; coverage 87.57%; validation 5/5; Ruff; baseline 9/9; demo 2/2</x:v>
      </x:c>
      <x:c r="H103" s="431" t="str">
        <x:v>Accepted by the CEO on 2026-07-20. PR #52 merged the stabilization at exact main 0611d916. The accepted authority permitted exactly one unchanged NASA/JPL audit and required a stop before OpenFlexure.</x:v>
      </x:c>
    </x:row>
    <x:row r="104" ht="585" customHeight="1">
      <x:c r="A104" s="431" t="str">
        <x:v>D-101</x:v>
      </x:c>
      <x:c r="B104" s="431" t="n">
        <x:v>46223</x:v>
      </x:c>
      <x:c r="C104" s="431" t="str">
        <x:v>Accept the single D-100 NASA/JPL observation as matching its exact contract. Close I-004, retain IMP-017, and authorize exactly one unchanged OpenFlexure audit before check 8 or any deferred capability.</x:v>
      </x:c>
      <x:c r="D104" s="431" t="str">
        <x:v>NASA/JPL completed on its one authorized invocation with the expected missing_authoritative_information state, release hold true, exit 3, and four schema-valid outputs. Inputs remained exact and OpenFlexure was not run. One controlled OpenFlexure observation is now the smallest useful next proof.</x:v>
      </x:c>
      <x:c r="E104" s="431" t="str">
        <x:v>Accepted</x:v>
      </x:c>
      <x:c r="F104" s="431" t="str">
        <x:v>OpenFlexure controlled audit gate</x:v>
      </x:c>
      <x:c r="G104" s="431" t="str">
        <x:v>docs/package_assurance/nasa_jpl_public_audit_confirmation_review_2026-07-20.md; EV-107-EV-110; I-004; IMP-016-IMP-017; RUN-20260721T001431760486Z-4f1b9817; focused 53; full 289/1; coverage 87.57%; validation 5/5; Ruff; baseline 9/9; demo 2/2</x:v>
      </x:c>
      <x:c r="H104" s="431" t="str">
        <x:v>Accepted by the CEO on 2026-07-20. PR #53 merged the NASA/JPL confirmation at exact main 65c9699b. The accepted authority closed I-004, retained IMP-017, and permitted exactly one unchanged OpenFlexure audit with a mandatory stop before check 8.</x:v>
      </x:c>
    </x:row>
    <x:row r="105" ht="612" customHeight="1">
      <x:c r="A105" s="431" t="str">
        <x:v>D-102</x:v>
      </x:c>
      <x:c r="B105" s="431" t="n">
        <x:v>46223</x:v>
      </x:c>
      <x:c r="C105" s="431" t="str">
        <x:v>Accept the single D-101 OpenFlexure observation and close the dual public-package sequence. Adopt package-scoped finding identity for future aggregation and authorize only check 8, equipment_datasheet_authority_presence, next.</x:v>
      </x:c>
      <x:c r="D105" s="431" t="str">
        <x:v>OpenFlexure matched the exact missing-authority state, hold, exit, schema, and four-output contract from unchanged inputs. Both public packages now prove safe real-world intake and refusal, but not relationship-fault detection because authority blocked every check. Check 8 is the next accepted structured slice and the fastest controlled path back to product breadth.</x:v>
      </x:c>
      <x:c r="E105" s="431" t="str">
        <x:v>Accepted</x:v>
      </x:c>
      <x:c r="F105" s="431" t="str">
        <x:v>Dual public observation closeout and check 8 gate</x:v>
      </x:c>
      <x:c r="G105" s="431" t="str">
        <x:v>docs/package_assurance/openflexure_public_audit_confirmation_review_2026-07-20.md; EV-111-EV-115; I-004; IMP-016-IMP-018; RUN-20260721T004222043918Z-254a2eca; focused 53; full 289/1; coverage 87.57%; validation 5/5; Ruff; baseline 9/9; demo 2/2</x:v>
      </x:c>
      <x:c r="H105" s="431" t="str">
        <x:v>Accepted by the CEO on 2026-07-20. PR #54 merged the OpenFlexure confirmation at exact main b0b32bb. The accepted authority closed the dual public-package sequence, adopted package-scoped finding identity for future aggregation, and authorized check 8 only under exact AUTH-SPEC-001.</x:v>
      </x:c>
    </x:row>
    <x:row r="106" ht="612" customHeight="1">
      <x:c r="A106" s="431" t="str">
        <x:v>D-103</x:v>
      </x:c>
      <x:c r="B106" s="431" t="n">
        <x:v>46223</x:v>
      </x:c>
      <x:c r="C106" s="431" t="str">
        <x:v>Accept check 8, equipment_datasheet_authority_presence, as matching D-102. Merge the implementation and authorize only check 9, equipment_datasheet_association, next under exact AUTH-SPEC-001.</x:v>
      </x:c>
      <x:c r="D106" s="431" t="str">
        <x:v>Check 8 passes the clean package and detects zero or competing authoritative datasheet records with deterministic evidence, missing-authority state, release hold, exit 3, and four consistent outputs. Check 9 is the next bounded value step because it compares the BOM datasheet ID with the single authority record established by check 8.</x:v>
      </x:c>
      <x:c r="E106" s="431" t="str">
        <x:v>Accepted</x:v>
      </x:c>
      <x:c r="F106" s="431" t="str">
        <x:v>Equipment/datasheet association gate</x:v>
      </x:c>
      <x:c r="G106" s="431" t="str">
        <x:v>docs/package_assurance/equipment_datasheet_authority_presence_implementation_review_2026-07-20.md; EV-116-EV-119; IMP-013-IMP-015; clean RUN-20260721T025957813425Z-a7aee64f; fault RUN-20260721T025913235840Z-be4840eb; focused 111; full 295/1; coverage 87.71%; validation 5/5; Ruff; baseline 9/9; demo 2/2</x:v>
      </x:c>
      <x:c r="H106" s="431" t="str">
        <x:v>Accepted by the CEO on 2026-07-20. PR #55 passed both GitHub validation checks and merged check 8 at exact main fb0113d, authorizing only check 9 under exact AUTH-SPEC-001.</x:v>
      </x:c>
    </x:row>
    <x:row r="107" ht="648" customHeight="1">
      <x:c r="A107" s="431" t="str">
        <x:v>D-104</x:v>
      </x:c>
      <x:c r="B107" s="431" t="n">
        <x:v>46223</x:v>
      </x:c>
      <x:c r="C107" s="431" t="str">
        <x:v>Accept check 9, equipment_datasheet_association, as matching D-103. Merge the implementation and authorize one narrow Windows publication-resilience stabilization before check 10.</x:v>
      </x:c>
      <x:c r="D107" s="431" t="str">
        <x:v>Check 9 detects the accepted wrong-but-valid BOM datasheet reference through the complete result path. One transient PermissionError during the final atomic rename was preserved and then cleared on an unchanged invocation. Reliable publication should be stabilized before expanding to check 10.</x:v>
      </x:c>
      <x:c r="E107" s="431" t="str">
        <x:v>Accepted</x:v>
      </x:c>
      <x:c r="F107" s="431" t="str">
        <x:v>Check-9 acceptance and publication-resilience gate</x:v>
      </x:c>
      <x:c r="G107" s="431" t="str">
        <x:v>docs/package_assurance/equipment_datasheet_association_implementation_review_2026-07-20.md; EV-120-EV-124; I-005; IMP-019; clean RUN-20260721T034251280706Z-6efeff51; fault RUN-20260721T034329189347Z-dc3cd02a; preserved failed RUN-20260721T034252120538Z-fa89f942; focused 88; full 299/1; coverage 87.86%; validation 5/5; Ruff; baseline 9/9; demo 2/2</x:v>
      </x:c>
      <x:c r="H107" s="431" t="str">
        <x:v>Accepted by the CEO on 2026-07-21. PR #56 passed both GitHub validation checks and merged check 9 at exact main 7146b23. The accepted authority approved one narrow final-rename publication-resilience stabilization before check 10.</x:v>
      </x:c>
    </x:row>
    <x:row r="108" ht="639" customHeight="1">
      <x:c r="A108" s="431" t="str">
        <x:v>D-105</x:v>
      </x:c>
      <x:c r="B108" s="431" t="n">
        <x:v>46224</x:v>
      </x:c>
      <x:c r="C108" s="431" t="str">
        <x:v>Accept the bounded final-rename publication-resilience stabilization as matching D-104. Close I-005 as controlled, retain IMP-019 as a permanent regression rule, and authorize only check 10, equipment_datasheet_manifest_reciprocity, next.</x:v>
      </x:c>
      <x:c r="D108" s="431" t="str">
        <x:v>Only PermissionError during the final same-parent rename receives five total attempts over 0.75 seconds. Collisions and other errors never retry; exhaustion preserves failure evidence and exit 70. Injected tests and 20 consecutive Windows audits prove the intended boundary without changing audit semantics.</x:v>
      </x:c>
      <x:c r="E108" s="431" t="str">
        <x:v>Accepted</x:v>
      </x:c>
      <x:c r="F108" s="431" t="str">
        <x:v>Publication resilience acceptance and check-10 gate</x:v>
      </x:c>
      <x:c r="G108" s="431" t="str">
        <x:v>docs/package_assurance/publication_resilience_stabilization_review_2026-07-21.md; EV-125-EV-128; I-005; IMP-019; Windows audit 20/20; focused 24; full 304/1; coverage 88.08%; validation 5/5; Ruff; baseline 9/9; demo 2/2</x:v>
      </x:c>
      <x:c r="H108" s="431" t="str">
        <x:v>Accepted by the CEO on 2026-07-21. PR #57 passed both GitHub validation checks and merged the bounded publication stabilization at exact main dbcd242. I-005 closed as controlled, IMP-019 was retained, and check 10 was authorized under exact AUTH-SPEC-001.</x:v>
      </x:c>
    </x:row>
    <x:row r="109" ht="675" customHeight="1">
      <x:c r="A109" s="431" t="str">
        <x:v>D-106</x:v>
      </x:c>
      <x:c r="B109" s="431" t="n">
        <x:v>46224</x:v>
      </x:c>
      <x:c r="C109" s="431" t="str">
        <x:v>Accept check 10, equipment_datasheet_manifest_reciprocity, as matching D-105 and authorize only check 11, specification_revision_history, next.</x:v>
      </x:c>
      <x:c r="D109" s="431" t="str">
        <x:v>Check 10 compares required authoritative metadata and manifest equipment_to_datasheet mappings in both directions, preserves check 8 authority ownership, emits one stable automatic-fail hold for the isolated wrong-valid target, and reaches all four outputs without changing accepted contracts or protected assets.</x:v>
      </x:c>
      <x:c r="E109" s="431" t="str">
        <x:v>Accepted</x:v>
      </x:c>
      <x:c r="F109" s="431" t="str">
        <x:v>Check-10 acceptance and check-11 gate</x:v>
      </x:c>
      <x:c r="G109" s="431" t="str">
        <x:v>docs/package_assurance/equipment_datasheet_manifest_reciprocity_implementation_review_2026-07-21.md; EV-129-EV-132; clean RUN-20260721T161152356249Z-a4995c89; fault RUN-20260721T161152970951Z-ace6c987; focused 93; full 308/1; coverage 88.27%; validation 5/5; Ruff; baseline 9/9; demo 2/2</x:v>
      </x:c>
      <x:c r="H109" s="431" t="str">
        <x:v>Accepted by the CEO on 2026-07-21. PR #58 passed GitHub CI and merged check 10 at exact main 761ac76. The accepted authority authorized check 11 only under exact AUTH-SPEC-003.</x:v>
      </x:c>
    </x:row>
    <x:row r="110" ht="702" customHeight="1">
      <x:c r="A110" s="431" t="str">
        <x:v>D-107</x:v>
      </x:c>
      <x:c r="B110" s="431" t="n">
        <x:v>46224</x:v>
      </x:c>
      <x:c r="C110" s="431" t="str">
        <x:v>Accept check 11, specification_revision_history, as matching D-106 and authorize only a P2.3 authority-gap disposition and completion-definition block next.</x:v>
      </x:c>
      <x:c r="D110" s="431" t="str">
        <x:v>Check 11 requires every release-required specification revision to match exactly one current revision-history record under exact AUTH-SPEC-003. It emits stable automatic-fail holds for missing, multiple, or mismatched history and reaches all four outputs without changing accepted contracts or protected assets. All six checks supportable by current P2.3 authority are now implemented.</x:v>
      </x:c>
      <x:c r="E110" s="431" t="str">
        <x:v>Accepted</x:v>
      </x:c>
      <x:c r="F110" s="431" t="str">
        <x:v>Check-11 acceptance and P2.3 completion-definition gate</x:v>
      </x:c>
      <x:c r="G110" s="431" t="str">
        <x:v>docs/package_assurance/specification_revision_history_implementation_review_2026-07-21.md; EV-133-EV-136; clean RUN-20260721T164400783739Z-e5fdce3c; fault RUN-20260721T164405746563Z-8ccbbbf1; focused 99; full 314/1; coverage 88.48%; validation 5/5; Ruff; baseline 9/9; demo 2/2</x:v>
      </x:c>
      <x:c r="H110" s="431" t="str">
        <x:v>Accepted by the CEO on 2026-07-21. PR #59 passed both GitHub CI runs and merged check 11 at exact main 69c0d1b. The owner directed the six unsupported claims to be deferred, the v0.3.0 claim to be narrowed to the eleven proven checks, and P4 startup to begin.</x:v>
      </x:c>
    </x:row>
    <x:row r="111" ht="666" customHeight="1">
      <x:c r="A111" s="431" t="str">
        <x:v>D-108</x:v>
      </x:c>
      <x:c r="B111" s="431" t="n">
        <x:v>46224</x:v>
      </x:c>
      <x:c r="C111" s="431" t="str">
        <x:v>Complete P2.3 for the exact eight-gate and eleven-check scope. Explicitly defer the six unsupported authority/source claims, exclude them from v0.3.0 benchmark and release claims, and authorize P4.1 development benchmark regression only.</x:v>
      </x:c>
      <x:c r="D111" s="431" t="str">
        <x:v>All P2.3 checks supported by accepted sources and authority rules are integrated and independently fault-proved. Inventing authority would reduce trust. A narrow claim preserves evidence quality and permits benchmark work without implying unsupported engineering assurance.</x:v>
      </x:c>
      <x:c r="E111" s="431" t="str">
        <x:v>Accepted</x:v>
      </x:c>
      <x:c r="F111" s="431" t="str">
        <x:v>P2.3 completion, claim boundary, and P4.1 entry</x:v>
      </x:c>
      <x:c r="G111" s="431" t="str">
        <x:v>User instruction 2026-07-21; PR #59; exact main 69c0d1b; docs/package_assurance/p2_3_completion_and_claim_boundary_v0.3.0.md; D-107; EV-137-EV-138</x:v>
      </x:c>
      <x:c r="H111" s="431" t="str">
        <x:v>Accepted by the CEO on 2026-07-21. P4.1 may use the accepted development family and temporary/generated fault copies to freeze benchmark behavior. Protected held-out semantic execution remains a separate P4.2 gate after P4.1 acceptance.</x:v>
      </x:c>
    </x:row>
    <x:row r="112" ht="738" customHeight="1">
      <x:c r="A112" s="431" t="str">
        <x:v>D-109</x:v>
      </x:c>
      <x:c r="B112" s="431" t="n">
        <x:v>46224</x:v>
      </x:c>
      <x:c r="C112" s="431" t="str">
        <x:v>Accept P4.1-DEV-1 with genuine full-package development scenarios for the four reachable states, exhaustive router and CLI-exit regression for all six states, and explicit deferral of end-to-end engineering_review_required and evaluator_uncertainty semantic triggers.</x:v>
      </x:c>
      <x:c r="D112" s="431" t="str">
        <x:v>The accepted eight gates and eleven checks do not emit those two states. Manufacturing them through mocked evaluation or edited output would be false evidence; reopening P2 now would expand the accepted pilot after D-108. The bounded variance keeps v0.3.0 useful and honest while preserving future state capability.</x:v>
      </x:c>
      <x:c r="E112" s="431" t="str">
        <x:v>Proposed</x:v>
      </x:c>
      <x:c r="F112" s="431" t="str">
        <x:v>P4.1 acceptance-plan variance and freeze gate</x:v>
      </x:c>
      <x:c r="G112" s="431" t="str">
        <x:v>docs/package_assurance/p4_1_development_benchmark_definition_and_review_v0.3.0.md; P4.1-DEV-1; EV-139-EV-142; IMP-020; 22/22 scenarios; 44/44 publications; 8/8 gates; 11/11 checks; full 319/1; coverage 88.57%; hosted Linux CI 2/2</x:v>
      </x:c>
      <x:c r="H112" s="431" t="str">
        <x:v>CEO accepts or revises the bounded state-coverage interpretation. If accepted after PR integration, freeze the exact evaluator and runner commit and separately authorize P4.2. If rejected, reopen P0/P2 before any held-out execution; never manufacture benchmark states.</x:v>
      </x:c>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ht="297" customHeight="1">
      <x:c r="A22" s="431" t="str">
        <x:v>I-004</x:v>
      </x:c>
      <x:c r="B22" s="431" t="str">
        <x:v>Issue</x:v>
      </x:c>
      <x:c r="C22" s="431" t="str">
        <x:v>The first real public-package audit cannot publish a result when accepted optional BOM references are blank: invalid-value findings violate the canonical affected-identifier schema.</x:v>
      </x:c>
      <x:c r="D22" s="431" t="str">
        <x:v>N/A</x:v>
      </x:c>
      <x:c r="E22" s="431" t="str">
        <x:v>High</x:v>
      </x:c>
      <x:c r="F22" s="431" t="str">
        <x:v>Jason</x:v>
      </x:c>
      <x:c r="G22" s="431" t="str">
        <x:v>Retain the optional-blank and canonical-finding regression tests. Preserve both public run records and treat any recurrence as an immediate release stop.</x:v>
      </x:c>
      <x:c r="H22" s="431" t="str">
        <x:v>Closed</x:v>
      </x:c>
      <x:c r="I22" s="431" t="n">
        <x:v>46223</x:v>
      </x:c>
      <x:c r="J22" s="431" t="str">
        <x:v>Closed under accepted D-101. NASA/JPL and OpenFlexure each completed exactly once with the expected state, hold, exit, and four schema-valid outputs; neither produced a malformed-identifier finding.</x:v>
      </x:c>
    </x:row>
    <x:row r="23" ht="324" customHeight="1">
      <x:c r="A23" s="431" t="str">
        <x:v>R-016</x:v>
      </x:c>
      <x:c r="B23" s="431" t="str">
        <x:v>Risk</x:v>
      </x:c>
      <x:c r="C23" s="431" t="str">
        <x:v>Stable semantic finding IDs can repeat across package results, so a future multi-package report or storage layer could collide if it assumes finding_id is globally unique.</x:v>
      </x:c>
      <x:c r="D23" s="431" t="str">
        <x:v>Medium</x:v>
      </x:c>
      <x:c r="E23" s="431" t="str">
        <x:v>Medium</x:v>
      </x:c>
      <x:c r="F23" s="431" t="str">
        <x:v>Jason</x:v>
      </x:c>
      <x:c r="G23" s="431" t="str">
        <x:v>Use package_id plus finding_id as the identity in every future aggregation. Require a separate reviewed contract before changing the accepted per-package finding-ID algorithm.</x:v>
      </x:c>
      <x:c r="H23" s="431" t="str">
        <x:v>Open</x:v>
      </x:c>
      <x:c r="I23" s="431" t="n">
        <x:v>46223</x:v>
      </x:c>
      <x:c r="J23" s="431" t="str">
        <x:v>No current per-package ambiguity exists. NASA/JPL and OpenFlexure both produced FND-1704FCB7F45DFE73 for the same authority gap while retaining distinct package IDs; IMP-018 records the prevention before any aggregation layer exists.</x:v>
      </x:c>
    </x:row>
    <x:row r="24" ht="387" customHeight="1">
      <x:c r="A24" s="431" t="str">
        <x:v>R-017</x:v>
      </x:c>
      <x:c r="B24" s="431" t="str">
        <x:v>Risk</x:v>
      </x:c>
      <x:c r="C24" s="431" t="str">
        <x:v>P0.2 requires six end-to-end package states, while the accepted v0.3.0 evaluator has genuine semantic paths to four. Treating router-only coverage as package evidence would overstate benchmark completeness.</x:v>
      </x:c>
      <x:c r="D24" s="431" t="str">
        <x:v>High</x:v>
      </x:c>
      <x:c r="E24" s="431" t="str">
        <x:v>Medium</x:v>
      </x:c>
      <x:c r="F24" s="431" t="str">
        <x:v>Jason</x:v>
      </x:c>
      <x:c r="G24" s="431" t="str">
        <x:v>Use D-109 as a hard stop. Separate full-audit state coverage from contract-only router coverage in every report and claim. Reopen P0/P2 if six semantic paths remain mandatory.</x:v>
      </x:c>
      <x:c r="H24" s="431" t="str">
        <x:v>Open</x:v>
      </x:c>
      <x:c r="I24" s="431" t="n">
        <x:v>46224</x:v>
      </x:c>
      <x:c r="J24" s="431" t="str">
        <x:v>P4.1-DEV-1 passes all implemented gate/check scenarios without manufacturing the two missing states. IMP-020 and the P4.1 review preserve the variance before any P4.2 execution.</x:v>
      </x:c>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ht="351" customHeight="1">
      <x:c r="A82" s="431" t="str">
        <x:v>EV-079</x:v>
      </x:c>
      <x:c r="B82" s="431" t="n">
        <x:v>46222</x:v>
      </x:c>
      <x:c r="C82" s="431" t="str">
        <x:v>P3.2 acceptance, exact-main verification, and integration closeout</x:v>
      </x:c>
      <x:c r="D82" s="431" t="str">
        <x:v>The user accepted P3.2. The exact reviewed branch was fast-forwarded to main at 4b848b9 and pushed. Exact-main verification reproduced the accepted deterministic report behavior and preserved the frozen kernel and protected assets.</x:v>
      </x:c>
      <x:c r="E82" s="431" t="str">
        <x:v>User decision / Git / Tests / Project control</x:v>
      </x:c>
      <x:c r="F82" s="431" t="str">
        <x:v>User instruction 2026-07-19; implementation 7536bea; review evidence/main 4b848b9; exact origin/main 4b848b9; D-082; IMP-012</x:v>
      </x:c>
      <x:c r="G82" s="431" t="str">
        <x:v>P3.2 acceptance and integration closeout</x:v>
      </x:c>
      <x:c r="H82" s="431" t="str">
        <x:v>Accepted</x:v>
      </x:c>
      <x:c r="I82" s="431" t="str">
        <x:v>Focused package-result/report tests: 36 passed. Full frozen regression: 258 passed with 1 expected Windows symlink skip. Repository validation: 5/5. Ruff passed. Coverage: 86.75%. Local main exactly matched origin/main and was clean before the closeout branch. The inspected revision-conflict result and readiness summary agreed on package/run identity, automatic_fail state, release hold, blocking state, stored outcome counts, output name, limitation, and required qualified-human decision. No evaluator logic, accepted schema, fixture, authority map, golden, held-out asset, frozen v0.2 behavior, or historical evidence changed. P3.3 alone is authorized next.</x:v>
      </x:c>
    </x:row>
    <x:row r="83" ht="378" customHeight="1">
      <x:c r="A83" s="431" t="str">
        <x:v>EV-080</x:v>
      </x:c>
      <x:c r="B83" s="431" t="n">
        <x:v>46222</x:v>
      </x:c>
      <x:c r="C83" s="431" t="str">
        <x:v>P3.3 atomic audit-package implementation and end-to-end evidence</x:v>
      </x:c>
      <x:c r="D83" s="431" t="str">
        <x:v>Implementation b5f0fcd runs the accepted package pipeline and publishes package_result.json, issue_register.csv, issue_register.md, and release_readiness.md through one hidden staging directory and final atomic rename. Existing runs are not overwritten; failed publication cannot appear under a complete run name; controlled malformed-package results are retained when output remains usable.</x:v>
      </x:c>
      <x:c r="E83" s="431" t="str">
        <x:v>Source / Tests / CLI / Generated runs / Project control</x:v>
      </x:c>
      <x:c r="F83" s="431" t="str">
        <x:v>implementation b5f0fcd; src/mech_eval_harness/package_assurance/audit.py; publication.py; src/mech_eval_harness/cli.py; tests/test_cli_audit_package.py; tests/test_package_audit_publication.py; scratch/p33-evidence clean and removed-mapping fault runs; D-083; IMP-012</x:v>
      </x:c>
      <x:c r="G83" s="431" t="str">
        <x:v>P3.3 audit-package implementation</x:v>
      </x:c>
      <x:c r="H83" s="431" t="str">
        <x:v>Ready for review</x:v>
      </x:c>
      <x:c r="I83" s="431" t="str">
        <x:v>New P3.3 tests: 13 passed. Focused package-result/report/CLI tests: 49 passed. Full frozen regression: 271 passed with 1 expected Windows symlink skip. Repository validation: 5/5. Ruff passed. Coverage: 86.76%. The initial focused invocation used a missing workspace basetemp parent and failed before tests executed; the unchanged tests passed under the ignored scratch basetemp. Inspected clean run: package PKG-DEV-PUMP-SKID-001; automatic_pass; hold false; gates 8/0/0; checks 5/0/0; zero issues; exit 0. Inspected removed-mapping run: automatic_fail; hold true; gates 8/0/0; checks 4/1/0; one DRAWING_DOCUMENT_FILE_RECIPROCITY_FAILED under AUTH-DWG-002; exit 1. Both have exactly four outputs and zero absolute local paths. The v0.3 package-result schema retains its accepted singleton declaration and adds only the exact four-output P3.3 variant. Frozen v0.2 schemas/behavior, fixtures, authority map, goldens, held-out content, and historical evidence are unchanged.</x:v>
      </x:c>
    </x:row>
    <x:row r="84" ht="369" customHeight="1">
      <x:c r="A84" s="431" t="str">
        <x:v>EV-081</x:v>
      </x:c>
      <x:c r="B84" s="431" t="n">
        <x:v>46223</x:v>
      </x:c>
      <x:c r="C84" s="431" t="str">
        <x:v>P3.3 acceptance, PR #40 integration, and exact-main verification</x:v>
      </x:c>
      <x:c r="D84" s="431" t="str">
        <x:v>The user explicitly accepted P3.3. GitHub merged the exact reviewed branch through PR #40 at main e4080fd after two passing CI runs. Exact-main local verification reproduced the accepted package-result, reports, CLI, regression, validation, lint, and coverage evidence.</x:v>
      </x:c>
      <x:c r="E84" s="431" t="str">
        <x:v>User decision / GitHub / Git / Tests / Project control</x:v>
      </x:c>
      <x:c r="F84" s="431" t="str">
        <x:v>User instruction 2026-07-20; PR #40; implementation b5f0fcd; review evidence 411928e; merge/main e4080fd; D-084; IMP-012</x:v>
      </x:c>
      <x:c r="G84" s="431" t="str">
        <x:v>P3.3 acceptance and integration closeout</x:v>
      </x:c>
      <x:c r="H84" s="431" t="str">
        <x:v>Accepted</x:v>
      </x:c>
      <x:c r="I84" s="431" t="str">
        <x:v>PR #40 checks: 2 passed. Focused package-result/report/CLI tests: 49 passed. Full frozen regression: 271 passed with 1 expected Windows symlink skip. Repository validation: 5/5. Ruff passed. Coverage: 86.76%. Local main exactly matched origin/main and was clean before the closeout branch. Pytest emitted the known non-blocking cache warning because the pre-existing .pytest_cache cache path is unusable on Windows; all tests executed and passed. Frozen v0.2 behavior, fixtures, authority map, goldens, held-out content, and historical evidence are unchanged. P2.3 definition alone is authorized next.</x:v>
      </x:c>
    </x:row>
    <x:row r="85" ht="369" customHeight="1">
      <x:c r="A85" s="431" t="str">
        <x:v>EV-082</x:v>
      </x:c>
      <x:c r="B85" s="431" t="n">
        <x:v>46223</x:v>
      </x:c>
      <x:c r="C85" s="431" t="str">
        <x:v>P2.3 bounded relationship-expansion definition review package</x:v>
      </x:c>
      <x:c r="D85" s="431" t="str">
        <x:v>The definition reviews the accepted workflow, authority map, source layouts, manifest relationship declarations, current gates/checks, and end-to-end result/report/CLI path. It freezes six append-only checks with exact sources, authority, evidence, state/hold, faults, and order, and records six unsupported release claims as gaps rather than weak checks.</x:v>
      </x:c>
      <x:c r="E85" s="431" t="str">
        <x:v>Definition / Source review / Project control</x:v>
      </x:c>
      <x:c r="F85" s="431" t="str">
        <x:v>docs/package_assurance/p2_3_relationship_expansion_definition_v0.3.0.md; authority_map_example_v0.3.0.json; accepted development source layouts and manifest declarations; relationships.py; result_core.py; D-085; IMP-013</x:v>
      </x:c>
      <x:c r="G85" s="431" t="str">
        <x:v>P2.3 relationship-expansion definition</x:v>
      </x:c>
      <x:c r="H85" s="431" t="str">
        <x:v>Ready for review</x:v>
      </x:c>
      <x:c r="I85" s="431" t="str">
        <x:v>Six supported checks: item/equipment manifest reciprocity; equipment drawing presence; datasheet authority presence; equipment/datasheet agreement; equipment/datasheet manifest reciprocity; specification revision history. Six temporary isolated fault probes each passed all current eight gates and five checks with zero findings. Six blocked gaps: quantity reconciliation; part/material agreement; item/drawing agreement; equipment/specification association; datasheet revision history; controlled technical values. First proposed implementation is check 6 under exact AUTH-BOM-002. Repository validation 5/5; document consistency and diff checks pass. No executable code, schema, adapter, fixture, golden, authority map, held-out content, frozen v0.2 behavior, or historical evidence changed.</x:v>
      </x:c>
    </x:row>
    <x:row r="86" ht="369" customHeight="1">
      <x:c r="A86" s="431" t="str">
        <x:v>EV-083</x:v>
      </x:c>
      <x:c r="B86" s="431" t="n">
        <x:v>46223</x:v>
      </x:c>
      <x:c r="C86" s="431" t="str">
        <x:v>P2.3 definition acceptance and PR #41 integration</x:v>
      </x:c>
      <x:c r="D86" s="431" t="str">
        <x:v>The user accepted the six-check P2.3 definition and its six explicit authority/source gaps. GitHub merged the exact reviewed definition through PR #41 at main a855d99 after both CI runs passed. Only check 6 is authorized for implementation.</x:v>
      </x:c>
      <x:c r="E86" s="431" t="str">
        <x:v>User decision / GitHub / Git / Project control</x:v>
      </x:c>
      <x:c r="F86" s="431" t="str">
        <x:v>User instruction 2026-07-20; PR #41; definition 5a48dcb; merge/main a855d99; D-086; IMP-013</x:v>
      </x:c>
      <x:c r="G86" s="431" t="str">
        <x:v>P2.3 definition acceptance and integration closeout</x:v>
      </x:c>
      <x:c r="H86" s="431" t="str">
        <x:v>Accepted</x:v>
      </x:c>
      <x:c r="I86" s="431" t="str">
        <x:v>PR #41 checks: 2 passed. Local main exactly matched origin/main and was clean before the closeout branch. The accepted definition retains six supported checks and six blocked authority/source gaps. Check 6 must append after five accepted drawing checks and use exact AUTH-BOM-002; its implementation requires focused/full regression evidence and inspected clean/fault outputs before separate acceptance. No executable code, schema, adapter, fixture, golden, authority map, held-out content, frozen v0.2 behavior, or historical evidence changed in the definition merge.</x:v>
      </x:c>
    </x:row>
    <x:row r="87" ht="414" customHeight="1">
      <x:c r="A87" s="431" t="str">
        <x:v>EV-084</x:v>
      </x:c>
      <x:c r="B87" s="431" t="n">
        <x:v>46223</x:v>
      </x:c>
      <x:c r="C87" s="431" t="str">
        <x:v>P2.3 check 6 implementation and end-to-end review evidence</x:v>
      </x:c>
      <x:c r="D87" s="431" t="str">
        <x:v>Implementation c1dcc4a appends bom_item_equipment_manifest_reciprocity after the five accepted drawing checks. It reconciles every release-required BOM item with required manifest item_to_equipment declarations under exact AUTH-BOM-002 and emits one deterministic evidence-linked hold per affected item.</x:v>
      </x:c>
      <x:c r="E87" s="431" t="str">
        <x:v>Source / Tests / CLI / Generated runs / Project control</x:v>
      </x:c>
      <x:c r="F87" s="431" t="str">
        <x:v>implementation c1dcc4a; relationships.py; tests/test_package_relationships.py; tests/test_cli_audit_package.py; scratch/p23-check6-review-evidence clean and wrong-target runs; D-087; IMP-013-IMP-014</x:v>
      </x:c>
      <x:c r="G87" s="431" t="str">
        <x:v>P2.3 check 6 implementation</x:v>
      </x:c>
      <x:c r="H87" s="431" t="str">
        <x:v>Accepted</x:v>
      </x:c>
      <x:c r="I87" s="431" t="str">
        <x:v>Relationship tests: 31 passed. Focused relationship/result/report/CLI tests: 75 passed. Full frozen regression: 278 passed with 1 expected Windows symlink skip. Repository validation: 5/5. Ruff passed. Coverage: 87.02%. Clean run: package PKG-DEV-PUMP-SKID-001; automatic_pass; hold false; gates 8/8; checks 6/6; zero findings; exit 0. Wrong-valid REL-ITEM-EQ-001 target run: automatic_fail; hold true; gates 8/8; checks 5/6; one BOM_ITEM_EQUIPMENT_RECIPROCITY_FAILED under AUTH-BOM-002 for ITEM-PUMP-001, expected P-101A, actual M-101A; exit 1. Both publish exactly package_result.json, issue_register.csv, issue_register.md, and release_readiness.md with zero absolute local paths. Missing, extra, multiple, repeatability, exact authority, and unrelated authority behavior are tested. The known non-blocking Windows pytest cache warning remains. No accepted fixture, schema, authority map, golden, held-out content, frozen v0.2 behavior, or historical evidence changed.</x:v>
      </x:c>
    </x:row>
    <x:row r="88" ht="387" customHeight="1">
      <x:c r="A88" s="431" t="str">
        <x:v>EV-085</x:v>
      </x:c>
      <x:c r="B88" s="431" t="n">
        <x:v>46223</x:v>
      </x:c>
      <x:c r="C88" s="431" t="str">
        <x:v>P2.3 check 6 acceptance and PR #42 integration closeout</x:v>
      </x:c>
      <x:c r="D88" s="431" t="str">
        <x:v>The user accepted check 6. GitHub merged the exact reviewed branch through PR #42 at main 559bb81. Local main was synchronized and clean before the closeout branch. The accepted check expands the runnable audit to six ordered relationship checks without changing protected assets or deferred scope.</x:v>
      </x:c>
      <x:c r="E88" s="431" t="str">
        <x:v>User decision / GitHub / Git / Project control</x:v>
      </x:c>
      <x:c r="F88" s="431" t="str">
        <x:v>User instruction 2026-07-20; PR #42; implementation c1dcc4a; review evidence 0386b7f; merge/main 559bb81; D-087-D-088; IMP-013-IMP-014</x:v>
      </x:c>
      <x:c r="G88" s="431" t="str">
        <x:v>P2.3 check 6 acceptance and integration closeout</x:v>
      </x:c>
      <x:c r="H88" s="431" t="str">
        <x:v>Accepted</x:v>
      </x:c>
      <x:c r="I88" s="431" t="str">
        <x:v>PR #42 is merged at exact main 559bb81. Accepted review evidence remains relationship 31; focused 75; full 278 passed with one expected Windows symlink skip; repository validation 5/5; Ruff; coverage 87.02%; inspected clean automatic_pass and wrong-target automatic_fail runs with exactly four outputs and package-relative evidence. No schema, fixture, authority map, golden, held-out content, frozen v0.2 behavior, or historical evidence changed. The approved next action is behavior-preserving relationship maintainability stabilization before check 7.</x:v>
      </x:c>
    </x:row>
    <x:row r="89" ht="369" customHeight="1">
      <x:c r="A89" s="431" t="str">
        <x:v>EV-086</x:v>
      </x:c>
      <x:c r="B89" s="431" t="n">
        <x:v>46223</x:v>
      </x:c>
      <x:c r="C89" s="431" t="str">
        <x:v>Relationship maintainability stabilization and PR #44 integration</x:v>
      </x:c>
      <x:c r="D89" s="431" t="str">
        <x:v>The accepted relationship implementation was split into one small public coordinator, shared deterministic primitives, and separate drawing and BOM/equipment modules and focused tests. No evaluator behavior changed. GitHub merged PR #44 at exact main 56ac9d1 after both CI runs passed.</x:v>
      </x:c>
      <x:c r="E89" s="431" t="str">
        <x:v>Source / AST comparison / Tests / GitHub / Git / Project control</x:v>
      </x:c>
      <x:c r="F89" s="431" t="str">
        <x:v>implementation 1f34781; PR #44; merge/main 56ac9d1; relationships.py; drawing_relationships.py; bom_relationships.py; test_package_relationships.py; test_package_bom_relationships.py; D-089; IMP-015</x:v>
      </x:c>
      <x:c r="G89" s="431" t="str">
        <x:v>Relationship maintainability stabilization</x:v>
      </x:c>
      <x:c r="H89" s="431" t="str">
        <x:v>Accepted</x:v>
      </x:c>
      <x:c r="I89" s="431" t="str">
        <x:v>All 40 prior relationship function ASTs are identical after the split. Relationship tests: 31 passed. Focused tests: 75 passed. Full frozen regression: 278 passed with one expected Windows symlink skip. Repository validation: 5/5. Ruff passed. Coverage: 87.10%. Both GitHub CI runs passed. No schema, fixture, authority map, golden, held-out content, frozen v0.2 behavior, or historical evidence changed.</x:v>
      </x:c>
    </x:row>
    <x:row r="90" ht="405" customHeight="1">
      <x:c r="A90" s="431" t="str">
        <x:v>EV-087</x:v>
      </x:c>
      <x:c r="B90" s="431" t="n">
        <x:v>46223</x:v>
      </x:c>
      <x:c r="C90" s="431" t="str">
        <x:v>P2.3 check 7 implementation and end-to-end review evidence</x:v>
      </x:c>
      <x:c r="D90" s="431" t="str">
        <x:v>Check 7 requires every release-required BOM equipment tag to appear in drawing metadata under exact AUTH-BOM-002. The isolated removal of M-101A from DWMETA-001 produces one deterministic release hold for ITEM-MOTOR-001/M-101A while all predecessor checks pass.</x:v>
      </x:c>
      <x:c r="E90" s="431" t="str">
        <x:v>Source / Tests / CLI / Generated runs / Project control</x:v>
      </x:c>
      <x:c r="F90" s="431" t="str">
        <x:v>codex/p2.3-bom-equipment-drawing-presence; bom_relationships.py; relationships.py; tests/test_package_bom_relationships.py; tests/test_cli_audit_package.py; scratch/p23-check7-review-evidence; D-090; IMP-013-IMP-015</x:v>
      </x:c>
      <x:c r="G90" s="431" t="str">
        <x:v>P2.3 check 7 implementation</x:v>
      </x:c>
      <x:c r="H90" s="431" t="str">
        <x:v>Accepted</x:v>
      </x:c>
      <x:c r="I90" s="431" t="str">
        <x:v>Relationship tests: 35 passed. Focused relationship/result/report/CLI tests: 80 passed. Full frozen regression: 283 passed with one expected Windows symlink skip. Repository validation: 5/5. Ruff passed. Coverage: 87.25%. Clean and isolated-fault four-output runs were inspected. Implementation 01a70c2 was merged through PR #45 at exact main 273c36a after both GitHub checks passed. No accepted fixture, schema, authority map, golden, held-out content, frozen v0.2 behavior, or historical evidence changed.</x:v>
      </x:c>
    </x:row>
    <x:row r="91" ht="279" customHeight="1">
      <x:c r="A91" s="431" t="str">
        <x:v>EV-088</x:v>
      </x:c>
      <x:c r="B91" s="431" t="n">
        <x:v>46223</x:v>
      </x:c>
      <x:c r="C91" s="431" t="str">
        <x:v>P2.3 check 7 GitHub integration evidence</x:v>
      </x:c>
      <x:c r="D91" s="431" t="str">
        <x:v>GitHub independently ran both required validation-and-test workflows for PR #45. Both passed before the pull request was merged at exact main 273c36a.</x:v>
      </x:c>
      <x:c r="E91" s="431" t="str">
        <x:v>GitHub / Git / Project control</x:v>
      </x:c>
      <x:c r="F91" s="431" t="str">
        <x:v>PR #45; implementation 01a70c2; merge/main 273c36a; D-090; EV-087</x:v>
      </x:c>
      <x:c r="G91" s="431" t="str">
        <x:v>P2.3 check 7 integration</x:v>
      </x:c>
      <x:c r="H91" s="431" t="str">
        <x:v>Accepted</x:v>
      </x:c>
      <x:c r="I91" s="431" t="str">
        <x:v>Both required GitHub checks passed: one in 42 seconds and one in 32 seconds. PR #45 merged without changing the reviewed implementation. Local main was fast-forwarded and clean at 273c36a.</x:v>
      </x:c>
    </x:row>
    <x:row r="92" ht="315" customHeight="1">
      <x:c r="A92" s="431" t="str">
        <x:v>EV-089</x:v>
      </x:c>
      <x:c r="B92" s="431" t="n">
        <x:v>46223</x:v>
      </x:c>
      <x:c r="C92" s="431" t="str">
        <x:v>Authorized structured-package trial decision package</x:v>
      </x:c>
      <x:c r="D92" s="431" t="str">
        <x:v>The trial charter freezes the CEO decision, permitted data sources, default privacy and retention boundary, structured-data limits, sequence, non-time success measures, stop conditions, outputs, and improvement-loop handoff.</x:v>
      </x:c>
      <x:c r="E92" s="431" t="str">
        <x:v>Document / Project control</x:v>
      </x:c>
      <x:c r="F92" s="431" t="str">
        <x:v>docs/package_assurance/authorized_structured_package_trial_v0.3.0.md; codex/p2.3-real-package-structured-trial; D-091</x:v>
      </x:c>
      <x:c r="G92" s="431" t="str">
        <x:v>Practical-use trial entry gate</x:v>
      </x:c>
      <x:c r="H92" s="431" t="str">
        <x:v>Ready for CEO review</x:v>
      </x:c>
      <x:c r="I92" s="431" t="str">
        <x:v>No package content was accessed or changed. Original material remains outside Git by default. The CEO must identify the package, confirm permitted use and sanitization/retention boundaries, and name a qualified reviewer. Checks 8-11 and all deferred capabilities remain blocked.</x:v>
      </x:c>
    </x:row>
    <x:row r="93" ht="279" customHeight="1">
      <x:c r="A93" s="431" t="str">
        <x:v>EV-090</x:v>
      </x:c>
      <x:c r="B93" s="431" t="n">
        <x:v>46223</x:v>
      </x:c>
      <x:c r="C93" s="431" t="str">
        <x:v>P2.3 trial-charter GitHub integration evidence</x:v>
      </x:c>
      <x:c r="D93" s="431" t="str">
        <x:v>PR #46 integrated the reviewed structured-package trial charter and project-control update. Both required GitHub validation-and-test workflows passed before merge.</x:v>
      </x:c>
      <x:c r="E93" s="431" t="str">
        <x:v>GitHub / Git / Project control</x:v>
      </x:c>
      <x:c r="F93" s="431" t="str">
        <x:v>PR #46; implementation d4e530f; merge/main 361cc77; D-091; EV-089</x:v>
      </x:c>
      <x:c r="G93" s="431" t="str">
        <x:v>P2.3 practical-use trial entry gate</x:v>
      </x:c>
      <x:c r="H93" s="431" t="str">
        <x:v>Accepted</x:v>
      </x:c>
      <x:c r="I93" s="431" t="str">
        <x:v>Both required GitHub checks passed in 33 seconds and 34 seconds. PR #46 merged at exact main 361cc77. Local main was fast-forwarded and clean before the public-package research branch was created.</x:v>
      </x:c>
    </x:row>
    <x:row r="94" ht="342" customHeight="1">
      <x:c r="A94" s="431" t="str">
        <x:v>EV-091</x:v>
      </x:c>
      <x:c r="B94" s="431" t="n">
        <x:v>46223</x:v>
      </x:c>
      <x:c r="C94" s="431" t="str">
        <x:v>Public structured-package trial shortlist</x:v>
      </x:c>
      <x:c r="D94" s="431" t="str">
        <x:v>Official publisher and repository sources were reviewed for three public mechanical packages. The comparison records workflow fit, provenance, licensing, preparation burden, limitations, and the recommended candidate without downloading source files.</x:v>
      </x:c>
      <x:c r="E94" s="431" t="str">
        <x:v>Official public sources / Document / Project control</x:v>
      </x:c>
      <x:c r="F94" s="431" t="str">
        <x:v>docs/package_assurance/public_trial_package_shortlist_2026-07-20.md; Precious Plastic package and license pages; NASA/JPL repository and v4.0.0 release; OpenFlexure repository and v7 release documentation; D-092</x:v>
      </x:c>
      <x:c r="G94" s="431" t="str">
        <x:v>Public trial package selection</x:v>
      </x:c>
      <x:c r="H94" s="431" t="str">
        <x:v>Ready for CEO review</x:v>
      </x:c>
      <x:c r="I94" s="431" t="str">
        <x:v>Precious Plastic Shredder Basic 3.3 is recommended. NASA/JPL Open Source Rover v4.0.0 and OpenFlexure Microscope v7.0.0-beta5 remain viable alternatives. No files were downloaded or transformed. Current verification: 27 repository tests passed; full regression 283 passed with one expected Windows symlink skip; repository validation 5/5; workbook formula errors 0; all six control sheets visually inspected. The recommendation is not engineering approval, a safety conclusion, or a legal opinion.</x:v>
      </x:c>
    </x:row>
    <x:row r="95" ht="342" customHeight="1">
      <x:c r="A95" s="431" t="str">
        <x:v>EV-092</x:v>
      </x:c>
      <x:c r="B95" s="431" t="n">
        <x:v>46223</x:v>
      </x:c>
      <x:c r="C95" s="431" t="str">
        <x:v>CEO public-package selection and sequential-trial authorization</x:v>
      </x:c>
      <x:c r="D95" s="431" t="str">
        <x:v>The CEO selected Precious Plastic Shredder Basic 3.3 and authorized controlled intake and fit-gap assessment. The CEO also approved NASA/JPL Open Source Rover v4.0.0 and OpenFlexure Microscope v7.0.0-beta5 as later sequential trials subject to independent acceptance gates.</x:v>
      </x:c>
      <x:c r="E95" s="431" t="str">
        <x:v>User instruction / Project control</x:v>
      </x:c>
      <x:c r="F95" s="431" t="str">
        <x:v>CEO instruction 2026-07-20; D-092-D-093; EV-091; docs/package_assurance/authorized_structured_package_trial_v0.3.0.md; docs/package_assurance/public_trial_package_shortlist_2026-07-20.md</x:v>
      </x:c>
      <x:c r="G95" s="431" t="str">
        <x:v>Public trial authorization</x:v>
      </x:c>
      <x:c r="H95" s="431" t="str">
        <x:v>Accepted</x:v>
      </x:c>
      <x:c r="I95" s="431" t="str">
        <x:v>Trial 1 is limited to official-source and license verification, local Git-ignored download, preservation, hashing, inventory, and fit-gap reporting. Trial 2 cannot begin until trial 1 is reviewed and accepted; trial 3 cannot begin until trial 2 is reviewed and accepted. No transformation or audit execution is authorized by this decision.</x:v>
      </x:c>
    </x:row>
    <x:row r="96" ht="342" customHeight="1">
      <x:c r="A96" s="431" t="str">
        <x:v>EV-093</x:v>
      </x:c>
      <x:c r="B96" s="431" t="n">
        <x:v>46223</x:v>
      </x:c>
      <x:c r="C96" s="431" t="str">
        <x:v>Precious Plastic official-access stop evidence</x:v>
      </x:c>
      <x:c r="D96" s="431" t="str">
        <x:v>The official source requires a signed-in Precious Plastic Community account. The user cannot create or access an account, so the trial stopped without downloading or transforming any package file.</x:v>
      </x:c>
      <x:c r="E96" s="431" t="str">
        <x:v>User instruction / Official public source / Local intake state</x:v>
      </x:c>
      <x:c r="F96" s="431" t="str">
        <x:v>CEO instruction 2026-07-20; https://community.preciousplastic.com/library/shr---33-; scratch/public-package-intake/precious-plastic-shredder-3.3/intake_state.json; D-094</x:v>
      </x:c>
      <x:c r="G96" s="431" t="str">
        <x:v>Public trial access control</x:v>
      </x:c>
      <x:c r="H96" s="431" t="str">
        <x:v>Accepted</x:v>
      </x:c>
      <x:c r="I96" s="431" t="str">
        <x:v>The Git-ignored source directory is empty. Download filename, timestamp, SHA-256, size, and source-file count remain null. No login workaround or publisher-control bypass was attempted.</x:v>
      </x:c>
    </x:row>
    <x:row r="97" ht="342" customHeight="1">
      <x:c r="A97" s="431" t="str">
        <x:v>EV-094</x:v>
      </x:c>
      <x:c r="B97" s="431" t="n">
        <x:v>46223</x:v>
      </x:c>
      <x:c r="C97" s="431" t="str">
        <x:v>Co-equal dual public-package intake authorization</x:v>
      </x:c>
      <x:c r="D97" s="431" t="str">
        <x:v>The CEO authorized NASA/JPL Open Source Rover v4.0.0 and OpenFlexure Microscope v7.0.0-beta5 to proceed together under identical official-source, license, preservation, hashing, inventory, source-family, authority-gap, and evidence controls.</x:v>
      </x:c>
      <x:c r="E97" s="431" t="str">
        <x:v>User instruction / Project control</x:v>
      </x:c>
      <x:c r="F97" s="431" t="str">
        <x:v>CEO instruction 2026-07-20; D-095; docs/package_assurance/authorized_structured_package_trial_v0.3.0.md; docs/package_assurance/public_trial_package_shortlist_2026-07-20.md</x:v>
      </x:c>
      <x:c r="G97" s="431" t="str">
        <x:v>Dual public-package trial authorization</x:v>
      </x:c>
      <x:c r="H97" s="431" t="str">
        <x:v>Accepted</x:v>
      </x:c>
      <x:c r="I97" s="431" t="str">
        <x:v>Each source remains separate and Git-ignored. Complete both fit-gap assessments before comparison. No transformation, audit run, PDF/CAD engineering-content extraction, schema or rule change, held-out execution, or protected-asset change is authorized.</x:v>
      </x:c>
    </x:row>
    <x:row r="98" ht="414" customHeight="1">
      <x:c r="A98" s="431" t="str">
        <x:v>EV-095</x:v>
      </x:c>
      <x:c r="B98" s="431" t="n">
        <x:v>46223</x:v>
      </x:c>
      <x:c r="C98" s="431" t="str">
        <x:v>Dual public-package preserved intake evidence</x:v>
      </x:c>
      <x:c r="D98" s="431" t="str">
        <x:v>Both official version-specific archives were downloaded to separate Git-ignored areas, kept unchanged, SHA-256 hashed, ZIP-validated, and inventoried from central-directory metadata without opening PDF or CAD engineering content.</x:v>
      </x:c>
      <x:c r="E98" s="431" t="str">
        <x:v>Official public sources / Local generated evidence</x:v>
      </x:c>
      <x:c r="F98" s="431" t="str">
        <x:v>NASA/JPL v4.0.0 release and archive; OpenFlexure v7.0.0-beta5 release and source.zip; ignored intake_state.json and inventory.csv files; D-095</x:v>
      </x:c>
      <x:c r="G98" s="431" t="str">
        <x:v>Dual source preservation and inventory</x:v>
      </x:c>
      <x:c r="H98" s="431" t="str">
        <x:v>Accepted</x:v>
      </x:c>
      <x:c r="I98" s="431" t="str">
        <x:v>Accepted by the CEO on 2026-07-20. Both archive hashes and ZIP-native inventories remain the controlling source evidence; raw materials stay separate and Git-ignored.</x:v>
      </x:c>
    </x:row>
    <x:row r="99" ht="360" customHeight="1">
      <x:c r="A99" s="431" t="str">
        <x:v>EV-096</x:v>
      </x:c>
      <x:c r="B99" s="431" t="n">
        <x:v>46223</x:v>
      </x:c>
      <x:c r="C99" s="431" t="str">
        <x:v>Dual public-package combined fit-gap assessment</x:v>
      </x:c>
      <x:c r="D99" s="431" t="str">
        <x:v>The balanced assessment compares the same required source families, authority signals, revision evidence, preparation blockers, and current-audit gaps for NASA/JPL and OpenFlexure without ranking either package.</x:v>
      </x:c>
      <x:c r="E99" s="431" t="str">
        <x:v>Reviewed document / Project control</x:v>
      </x:c>
      <x:c r="F99" s="431" t="str">
        <x:v>docs/package_assurance/dual_public_package_intake_fit_gap_2026-07-20.md; EV-095; D-096</x:v>
      </x:c>
      <x:c r="G99" s="431" t="str">
        <x:v>Dual public-package fit-gap review</x:v>
      </x:c>
      <x:c r="H99" s="431" t="str">
        <x:v>Accepted</x:v>
      </x:c>
      <x:c r="I99" s="431" t="str">
        <x:v>Accepted by the CEO on 2026-07-20 and integrated through PR #48 at exact main 99d16b6. The acceptance authorizes mapping definitions only, not transformation or audit execution.</x:v>
      </x:c>
    </x:row>
    <x:row r="100" ht="324" customHeight="1">
      <x:c r="A100" s="431" t="str">
        <x:v>EV-097</x:v>
      </x:c>
      <x:c r="B100" s="431" t="n">
        <x:v>46223</x:v>
      </x:c>
      <x:c r="C100" s="431" t="str">
        <x:v>Dual intake acceptance and integration evidence</x:v>
      </x:c>
      <x:c r="D100" s="431" t="str">
        <x:v>The CEO accepted D-096. PR #48 merged the exact reviewed NASA/JPL and OpenFlexure intake, preservation, inventory, and combined fit-gap evidence to main.</x:v>
      </x:c>
      <x:c r="E100" s="431" t="str">
        <x:v>User instruction / GitHub integration / Project control</x:v>
      </x:c>
      <x:c r="F100" s="431" t="str">
        <x:v>CEO instruction 2026-07-20; PR #48; exact main 99d16b6; docs/package_assurance/dual_public_package_intake_fit_gap_2026-07-20.md; D-096</x:v>
      </x:c>
      <x:c r="G100" s="431" t="str">
        <x:v>Dual intake gate closeout</x:v>
      </x:c>
      <x:c r="H100" s="431" t="str">
        <x:v>Accepted</x:v>
      </x:c>
      <x:c r="I100" s="431" t="str">
        <x:v>The accepted boundary authorizes two manual mapping definitions and one shared traceability-log contract. It does not authorize source conversion, working-package creation, or audit execution.</x:v>
      </x:c>
    </x:row>
    <x:row r="101" ht="423" customHeight="1">
      <x:c r="A101" s="431" t="str">
        <x:v>EV-098</x:v>
      </x:c>
      <x:c r="B101" s="431" t="n">
        <x:v>46223</x:v>
      </x:c>
      <x:c r="C101" s="431" t="str">
        <x:v>Dual source-to-audit mapping definitions and traceability-log contract</x:v>
      </x:c>
      <x:c r="D101" s="431" t="str">
        <x:v>The NASA/JPL mechanical-rover and OpenFlexure high-resolution-microscope mappings freeze exact trial boundaries, source hierarchies, direct/derived/missing/not-applicable classifications, canonical-ID rules, expected holds, preparation checks, and one shared append-only transformation-and-assumption log format.</x:v>
      </x:c>
      <x:c r="E101" s="431" t="str">
        <x:v>Reviewed documents / Official public sources / Project control</x:v>
      </x:c>
      <x:c r="F101" s="431" t="str">
        <x:v>docs/package_assurance/nasa_jpl_open_source_rover_mapping_definition_v0.3.0.md; docs/package_assurance/openflexure_microscope_mapping_definition_v0.3.0.md; docs/package_assurance/transformation_and_assumption_log_contract_v0.3.0.md; docs/package_assurance/transformation_and_assumption_log_template_v0.3.0.csv; D-097</x:v>
      </x:c>
      <x:c r="G101" s="431" t="str">
        <x:v>Dual public-package mapping review</x:v>
      </x:c>
      <x:c r="H101" s="431" t="str">
        <x:v>Accepted</x:v>
      </x:c>
      <x:c r="I101" s="431" t="str">
        <x:v>Accepted through D-097 and merged through PR #49 at exact main 53e19ad. The acceptance authorized controlled preparation, not audit execution.</x:v>
      </x:c>
    </x:row>
    <x:row r="102" ht="369" customHeight="1">
      <x:c r="A102" s="431" t="str">
        <x:v>EV-099</x:v>
      </x:c>
      <x:c r="B102" s="431" t="n">
        <x:v>46223</x:v>
      </x:c>
      <x:c r="C102" s="431" t="str">
        <x:v>Dual mapping acceptance and integration evidence</x:v>
      </x:c>
      <x:c r="D102" s="431" t="str">
        <x:v>The CEO accepted D-097. PR #49 merged the exact reviewed NASA/JPL and OpenFlexure mappings, shared transformation contract, template, and IMP-016 control evidence to main.</x:v>
      </x:c>
      <x:c r="E102" s="431" t="str">
        <x:v>User instruction / GitHub integration / Project control</x:v>
      </x:c>
      <x:c r="F102" s="431" t="str">
        <x:v>CEO instruction 2026-07-20; PR #49; exact main 53e19ad; docs/package_assurance/nasa_jpl_open_source_rover_mapping_definition_v0.3.0.md; docs/package_assurance/openflexure_microscope_mapping_definition_v0.3.0.md; docs/package_assurance/transformation_and_assumption_log_contract_v0.3.0.md; D-097</x:v>
      </x:c>
      <x:c r="G102" s="431" t="str">
        <x:v>Dual mapping gate closeout</x:v>
      </x:c>
      <x:c r="H102" s="431" t="str">
        <x:v>Accepted</x:v>
      </x:c>
      <x:c r="I102" s="431" t="str">
        <x:v>The accepted boundary authorized separate Git-ignored working-package preparation and populated logs. Audit execution remained blocked pending independent preparation review.</x:v>
      </x:c>
    </x:row>
    <x:row r="103" ht="486" customHeight="1">
      <x:c r="A103" s="431" t="str">
        <x:v>EV-100</x:v>
      </x:c>
      <x:c r="B103" s="431" t="n">
        <x:v>46223</x:v>
      </x:c>
      <x:c r="C103" s="431" t="str">
        <x:v>Dual public-package preparation and independent verification</x:v>
      </x:c>
      <x:c r="D103" s="431" t="str">
        <x:v>Separate Git-ignored NASA/JPL and OpenFlexure working packages were prepared under the accepted mappings. The evidence includes exact package tree hashes, source-copy indices, populated logs, valid structured sources, required item relationships, and a separate verification record.</x:v>
      </x:c>
      <x:c r="E103" s="431" t="str">
        <x:v>Generated local evidence / Reviewed document / Deterministic verification</x:v>
      </x:c>
      <x:c r="F103" s="431" t="str">
        <x:v>docs/package_assurance/dual_public_package_preparation_review_2026-07-20.md; scratch/prep/dual_preparation_summary.json; scratch/prep/independent_preparation_verification.json; scratch/prep/osr-v4; scratch/prep/ofm-beta5-high-res; D-097-D-098</x:v>
      </x:c>
      <x:c r="G103" s="431" t="str">
        <x:v>Dual public-package preparation review</x:v>
      </x:c>
      <x:c r="H103" s="431" t="str">
        <x:v>Accepted</x:v>
      </x:c>
      <x:c r="I103" s="431" t="str">
        <x:v>Accepted through D-098 and merged through PR #50 at exact main 7009fe2. Both exact preparations were authorized for controlled sequential execution with a mandatory stop on unexpected behavior.</x:v>
      </x:c>
    </x:row>
    <x:row r="104" ht="382.5" customHeight="1">
      <x:c r="A104" s="431" t="str">
        <x:v>EV-101</x:v>
      </x:c>
      <x:c r="B104" s="431" t="n">
        <x:v>46223</x:v>
      </x:c>
      <x:c r="C104" s="431" t="str">
        <x:v>Dual preparation acceptance and integration evidence</x:v>
      </x:c>
      <x:c r="D104" s="431" t="str">
        <x:v>The user accepted D-098. PR #50 merged the exact reviewed preparation report and controls. Both 1,764-row logs were marked accepted with before/after hashes, and both package trees were reverified unchanged before execution.</x:v>
      </x:c>
      <x:c r="E104" s="431" t="str">
        <x:v>User instruction / GitHub integration / Local deterministic evidence</x:v>
      </x:c>
      <x:c r="F104" s="431" t="str">
        <x:v>User instruction 2026-07-20; PR #50; exact main 7009fe2; scratch/prep/pre_audit_acceptance.json; docs/package_assurance/dual_public_package_preparation_review_2026-07-20.md; D-098</x:v>
      </x:c>
      <x:c r="G104" s="431" t="str">
        <x:v>Dual audit gate closeout</x:v>
      </x:c>
      <x:c r="H104" s="431" t="str">
        <x:v>Accepted</x:v>
      </x:c>
      <x:c r="I104" s="431" t="str">
        <x:v>Accepted NASA/JPL tree 52aedc3e... and log d1d910f0...; accepted OpenFlexure tree 71656da7... and log a8ba53e5.... Execution remained sequential and stop-controlled.</x:v>
      </x:c>
    </x:row>
    <x:row r="105" ht="468" customHeight="1">
      <x:c r="A105" s="431" t="str">
        <x:v>EV-102</x:v>
      </x:c>
      <x:c r="B105" s="431" t="n">
        <x:v>46223</x:v>
      </x:c>
      <x:c r="C105" s="431" t="str">
        <x:v>NASA/JPL first audit stopped before publication</x:v>
      </x:c>
      <x:c r="D105" s="431" t="str">
        <x:v>The accepted NASA/JPL package tree was reverified immediately before audit-package. The command returned internal exit 70 because result-schema validation rejected blank affected identifiers. Atomic publication created zero outputs, and the OpenFlexure audit was stopped.</x:v>
      </x:c>
      <x:c r="E105" s="431" t="str">
        <x:v>CLI execution / Local ignored failure evidence / Deterministic diagnosis</x:v>
      </x:c>
      <x:c r="F105" s="431" t="str">
        <x:v>scratch/public-package-audit-runs/osr-v4-failed-20260720/failure_evidence.json; package tree 52aedc3eaf6753305dbf29d01366f324dd959fe57e14ace6295e62f3801fd8ce; accepted log d1d910f02a89830f551e9daf949e48931471320e3764551fe3718a441125a9ec; D-098</x:v>
      </x:c>
      <x:c r="G105" s="431" t="str">
        <x:v>First public-package execution failure</x:v>
      </x:c>
      <x:c r="H105" s="431" t="str">
        <x:v>Accepted failure evidence</x:v>
      </x:c>
      <x:c r="I105" s="431" t="str">
        <x:v>Expected missing_authoritative_information/exit 3/four outputs. Actual internal exit 70/zero outputs. Gate diagnostic: authority missing 1 expected finding; identifier gate 174 blank-value findings; all seven relationship checks skipped. Both package and Git tree remained unchanged.</x:v>
      </x:c>
    </x:row>
    <x:row r="106" ht="513" customHeight="1">
      <x:c r="A106" s="431" t="str">
        <x:v>EV-103</x:v>
      </x:c>
      <x:c r="B106" s="431" t="n">
        <x:v>46223</x:v>
      </x:c>
      <x:c r="C106" s="431" t="str">
        <x:v>Cross-package identifier/result-contract root-cause review</x:v>
      </x:c>
      <x:c r="D106" s="431" t="str">
        <x:v>The accepted mappings require unavailable BOM drawing, datasheet, and specification references to remain blank. The identifier gate conflates absence with malformed syntax, then uses the invalid raw value as a canonical affected identifier. A read-only OpenFlexure diagnostic confirms 99 equivalent findings without executing its audit.</x:v>
      </x:c>
      <x:c r="E106" s="431" t="str">
        <x:v>Reviewed source and contracts / Read-only gate diagnostic / Project control</x:v>
      </x:c>
      <x:c r="F106" s="431" t="str">
        <x:v>docs/package_assurance/dual_public_package_audit_failure_review_2026-07-20.md; docs/package_assurance/nasa_jpl_open_source_rover_mapping_definition_v0.3.0.md; docs/package_assurance/openflexure_microscope_mapping_definition_v0.3.0.md; src/mech_eval_harness/package_assurance/gates.py; schemas/package_result.schema.json; IMP-017; D-099</x:v>
      </x:c>
      <x:c r="G106" s="431" t="str">
        <x:v>Public-package audit stabilization review</x:v>
      </x:c>
      <x:c r="H106" s="431" t="str">
        <x:v>Ready for CEO review</x:v>
      </x:c>
      <x:c r="I106" s="431" t="str">
        <x:v>Recommended fix keeps the strict result schema, skips syntax checks only for exactly blank optional BOM references, keeps mandatory/nonblank identifiers strict, retains raw invalid values in evidence, adds synthetic full-output CLI proof, and forbids public-package changes or reruns before fix review.</x:v>
      </x:c>
    </x:row>
    <x:row r="107" ht="459" customHeight="1">
      <x:c r="A107" s="431" t="str">
        <x:v>EV-104</x:v>
      </x:c>
      <x:c r="B107" s="431" t="n">
        <x:v>46223</x:v>
      </x:c>
      <x:c r="C107" s="431" t="str">
        <x:v>D-099 acceptance and failure-review integration</x:v>
      </x:c>
      <x:c r="D107" s="431" t="str">
        <x:v>The CEO accepted D-099. PR #51 merged the exact failure review and controls at main 624acce, authorizing only the narrow identifier/result-contract stabilization and synthetic proof before public reruns.</x:v>
      </x:c>
      <x:c r="E107" s="431" t="str">
        <x:v>User instruction / GitHub integration / Project control</x:v>
      </x:c>
      <x:c r="F107" s="431" t="str">
        <x:v>User instruction 2026-07-20; PR #51; exact main 624acce; docs/package_assurance/dual_public_package_audit_failure_review_2026-07-20.md; D-099</x:v>
      </x:c>
      <x:c r="G107" s="431" t="str">
        <x:v>Stabilization authority</x:v>
      </x:c>
      <x:c r="H107" s="431" t="str">
        <x:v>Accepted</x:v>
      </x:c>
      <x:c r="I107" s="431" t="str">
        <x:v>No schema weakening, package change, public rerun, check 8, held-out execution, or deferred capability was authorized.</x:v>
      </x:c>
    </x:row>
    <x:row r="108" ht="540" customHeight="1">
      <x:c r="A108" s="431" t="str">
        <x:v>EV-105</x:v>
      </x:c>
      <x:c r="B108" s="431" t="n">
        <x:v>46223</x:v>
      </x:c>
      <x:c r="C108" s="431" t="str">
        <x:v>Identifier/result-contract stabilization and synthetic CLI proof</x:v>
      </x:c>
      <x:c r="D108" s="431" t="str">
        <x:v>The identifier gate now skips syntax only for exact blanks in three approved optional equipment-item reference fields. Malformed present and required identifiers remain automatic holds. Invalid raw values stay in evidence and canonical findings use a valid parent identifier or an empty list. Synthetic full-CLI cases publish exactly four outputs at missing-authority exit 3 and automatic-fail exit 1.</x:v>
      </x:c>
      <x:c r="E108" s="431" t="str">
        <x:v>Reviewed implementation / Synthetic end-to-end tests / Generated temporary outputs</x:v>
      </x:c>
      <x:c r="F108" s="431" t="str">
        <x:v>src/mech_eval_harness/package_assurance/gates.py; tests/test_package_gates.py; tests/test_cli_audit_package.py; docs/package_assurance/identifier_result_contract_stabilization_review_2026-07-20.md; IMP-017; D-099</x:v>
      </x:c>
      <x:c r="G108" s="431" t="str">
        <x:v>D-099 stabilization implementation</x:v>
      </x:c>
      <x:c r="H108" s="431" t="str">
        <x:v>Accepted</x:v>
      </x:c>
      <x:c r="I108" s="431" t="str">
        <x:v>No package schema, result schema, authority map, fixture, golden, held-out asset, relationship check, state precedence, exit mapping, or publication contract changed.</x:v>
      </x:c>
    </x:row>
    <x:row r="109" ht="513" customHeight="1">
      <x:c r="A109" s="431" t="str">
        <x:v>EV-106</x:v>
      </x:c>
      <x:c r="B109" s="431" t="n">
        <x:v>46223</x:v>
      </x:c>
      <x:c r="C109" s="431" t="str">
        <x:v>Stabilization regression and public-package integrity verification</x:v>
      </x:c>
      <x:c r="D109" s="431" t="str">
        <x:v>Focused gates/result/publication/CLI tests passed 47. The full suite passed 289 with one expected Windows skip at 87.57% coverage. Repository validation passed 5/5; Ruff, baseline 9/9, and demo 2/2 passed. Both accepted public package trees and all 1,764 accepted log rows remain exact, and no public rerun directory exists.</x:v>
      </x:c>
      <x:c r="E109" s="431" t="str">
        <x:v>Local deterministic verification / Hash reconciliation / Frozen baseline replay</x:v>
      </x:c>
      <x:c r="F109" s="431" t="str">
        <x:v>docs/package_assurance/identifier_result_contract_stabilization_review_2026-07-20.md; scratch/verification/identifier-stabilization-20260720; package trees 52aedc3e... and 71656da7...; accepted logs d1d910f0... and a8ba53e5...; D-100</x:v>
      </x:c>
      <x:c r="G109" s="431" t="str">
        <x:v>Stabilization review evidence</x:v>
      </x:c>
      <x:c r="H109" s="431" t="str">
        <x:v>Accepted</x:v>
      </x:c>
      <x:c r="I109" s="431" t="str">
        <x:v>Real-world confirmation remains open. D-100 proposes exactly one NASA/JPL rerun after integration and requires review before OpenFlexure.</x:v>
      </x:c>
    </x:row>
    <x:row r="110" ht="486" customHeight="1">
      <x:c r="A110" s="431" t="str">
        <x:v>EV-107</x:v>
      </x:c>
      <x:c r="B110" s="431" t="n">
        <x:v>46223</x:v>
      </x:c>
      <x:c r="C110" s="431" t="str">
        <x:v>D-100 acceptance and stabilization integration</x:v>
      </x:c>
      <x:c r="D110" s="431" t="str">
        <x:v>The CEO accepted D-100. PR #52 passed both GitHub validation checks and merged the narrow identifier/result-contract stabilization at exact main 0611d916, authorizing exactly one unchanged NASA/JPL observation and a mandatory stop before OpenFlexure.</x:v>
      </x:c>
      <x:c r="E110" s="431" t="str">
        <x:v>User instruction / GitHub checks and merge / Project control</x:v>
      </x:c>
      <x:c r="F110" s="431" t="str">
        <x:v>User instruction 2026-07-20; PR #52; exact main 0611d916; docs/package_assurance/identifier_result_contract_stabilization_review_2026-07-20.md; D-100</x:v>
      </x:c>
      <x:c r="G110" s="431" t="str">
        <x:v>NASA/JPL one-run authority</x:v>
      </x:c>
      <x:c r="H110" s="431" t="str">
        <x:v>Accepted</x:v>
      </x:c>
      <x:c r="I110" s="431" t="str">
        <x:v>No evaluator, package, authority-map, expected-state, schema, check 8, held-out, or deferred-capability change was authorized during observation.</x:v>
      </x:c>
    </x:row>
    <x:row r="111" ht="540" customHeight="1">
      <x:c r="A111" s="431" t="str">
        <x:v>EV-108</x:v>
      </x:c>
      <x:c r="B111" s="431" t="n">
        <x:v>46223</x:v>
      </x:c>
      <x:c r="C111" s="431" t="str">
        <x:v>NASA/JPL exact-input and single-execution proof</x:v>
      </x:c>
      <x:c r="D111" s="431" t="str">
        <x:v>Before and after the one authorized run, the package remained 133 files at tree SHA-256 52aedc3e... and the accepted mapping log remained 1,144 rows at d1d910f0.... Run RUN-20260721T001431760486Z-4f1b9817 was the only invocation and returned exit 3. OpenFlexure remained unexecuted and unchanged.</x:v>
      </x:c>
      <x:c r="E111" s="431" t="str">
        <x:v>Read-only hash reconciliation / Controlled CLI execution / Execution record</x:v>
      </x:c>
      <x:c r="F111" s="431" t="str">
        <x:v>scratch/public-package-audit-runs/osr-v4-control-20260720/execution_record.json; scratch/public-package-audit-runs/osr-v4-control-20260720/post_audit_integrity.json; docs/package_assurance/nasa_jpl_public_audit_confirmation_review_2026-07-20.md; D-100</x:v>
      </x:c>
      <x:c r="G111" s="431" t="str">
        <x:v>NASA/JPL observation integrity</x:v>
      </x:c>
      <x:c r="H111" s="431" t="str">
        <x:v>Accepted</x:v>
      </x:c>
      <x:c r="I111" s="431" t="str">
        <x:v>The accepted OpenFlexure tree 71656da7... and log a8ba53e5... also remained exact; no OpenFlexure audit root exists.</x:v>
      </x:c>
    </x:row>
    <x:row r="112" ht="576" customHeight="1">
      <x:c r="A112" s="431" t="str">
        <x:v>EV-109</x:v>
      </x:c>
      <x:c r="B112" s="431" t="n">
        <x:v>46223</x:v>
      </x:c>
      <x:c r="C112" s="431" t="str">
        <x:v>NASA/JPL four-output result and consistency review</x:v>
      </x:c>
      <x:c r="D112"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three report views reproduce from the canonical result without absolute local paths or approval claims.</x:v>
      </x:c>
      <x:c r="E112" s="431" t="str">
        <x:v>Schema validation / Deterministic report reproduction / Output hash review</x:v>
      </x:c>
      <x:c r="F112" s="431" t="str">
        <x:v>scratch/public-package-audit-runs/osr-v4/RUN-20260721T001431760486Z-4f1b9817; scratch/public-package-audit-runs/osr-v4-control-20260720/verification_summary.json; docs/package_assurance/nasa_jpl_public_audit_confirmation_review_2026-07-20.md; D-101</x:v>
      </x:c>
      <x:c r="G112" s="431" t="str">
        <x:v>NASA/JPL result review</x:v>
      </x:c>
      <x:c r="H112" s="431" t="str">
        <x:v>Accepted</x:v>
      </x:c>
      <x:c r="I112" s="431" t="str">
        <x:v>Output SHA-256 values are recorded in the tracked review. This evidence is a correct hold and not engineering sign-off or release approval.</x:v>
      </x:c>
    </x:row>
    <x:row r="113" ht="522" customHeight="1">
      <x:c r="A113" s="431" t="str">
        <x:v>EV-110</x:v>
      </x:c>
      <x:c r="B113" s="431" t="n">
        <x:v>46223</x:v>
      </x:c>
      <x:c r="C113" s="431" t="str">
        <x:v>NASA/JPL confirmation regression and frozen-baseline verification</x:v>
      </x:c>
      <x:c r="D113" s="431" t="str">
        <x:v>Focused gate/result/publication/CLI tests passed 53. The full suite passed 289 with one expected Windows skip at 87.57% coverage. Repository validation passed 5/5; Ruff, frozen baseline 9/9, and portfolio demo 2/2 passed. PR #52 had two green GitHub validation checks before merge.</x:v>
      </x:c>
      <x:c r="E113" s="431" t="str">
        <x:v>Local deterministic verification / Frozen baseline replay / GitHub CI</x:v>
      </x:c>
      <x:c r="F113" s="431" t="str">
        <x:v>scratch/verification/nasa-confirmation-20260720; docs/package_assurance/nasa_jpl_public_audit_confirmation_review_2026-07-20.md; PR #52; exact main 0611d916; D-101</x:v>
      </x:c>
      <x:c r="G113" s="431" t="str">
        <x:v>NASA/JPL confirmation closeout</x:v>
      </x:c>
      <x:c r="H113" s="431" t="str">
        <x:v>Accepted</x:v>
      </x:c>
      <x:c r="I113" s="431" t="str">
        <x:v>Only documentation and project-control records changed on the confirmation branch. No product code, public package, schema, fixture, golden, held-out asset, or acceptance criterion changed.</x:v>
      </x:c>
    </x:row>
    <x:row r="114" ht="504" customHeight="1">
      <x:c r="A114" s="431" t="str">
        <x:v>EV-111</x:v>
      </x:c>
      <x:c r="B114" s="431" t="n">
        <x:v>46223</x:v>
      </x:c>
      <x:c r="C114" s="431" t="str">
        <x:v>D-101 acceptance and NASA/JPL confirmation integration</x:v>
      </x:c>
      <x:c r="D114" s="431" t="str">
        <x:v>The CEO accepted D-101. PR #53 passed both GitHub validation checks and merged the NASA/JPL confirmation at exact main 65c9699b, closing I-004, retaining IMP-017, and authorizing exactly one unchanged OpenFlexure observation before check 8.</x:v>
      </x:c>
      <x:c r="E114" s="431" t="str">
        <x:v>User instruction / GitHub checks and merge / Project control</x:v>
      </x:c>
      <x:c r="F114" s="431" t="str">
        <x:v>User instruction 2026-07-20; PR #53; exact main 65c9699b; docs/package_assurance/nasa_jpl_public_audit_confirmation_review_2026-07-20.md; D-101</x:v>
      </x:c>
      <x:c r="G114" s="431" t="str">
        <x:v>OpenFlexure one-run authority</x:v>
      </x:c>
      <x:c r="H114" s="431" t="str">
        <x:v>Accepted</x:v>
      </x:c>
      <x:c r="I114" s="431" t="str">
        <x:v>No evaluator, package, authority-map, expected-state, schema, check 8, held-out, or deferred-capability change was authorized during observation.</x:v>
      </x:c>
    </x:row>
    <x:row r="115" ht="558" customHeight="1">
      <x:c r="A115" s="431" t="str">
        <x:v>EV-112</x:v>
      </x:c>
      <x:c r="B115" s="431" t="n">
        <x:v>46223</x:v>
      </x:c>
      <x:c r="C115" s="431" t="str">
        <x:v>OpenFlexure exact-input and single-execution proof</x:v>
      </x:c>
      <x:c r="D115" s="431" t="str">
        <x:v>Before and after the one authorized run, OpenFlexure remained 58 files at tree SHA-256 71656da7... and its accepted mapping log remained 620 rows at a8ba53e5.... Run RUN-20260721T004222043918Z-254a2eca was the only invocation and returned exit 3. NASA/JPL also remained unchanged with one run.</x:v>
      </x:c>
      <x:c r="E115" s="431" t="str">
        <x:v>Read-only hash reconciliation / Controlled CLI execution / Execution record</x:v>
      </x:c>
      <x:c r="F115" s="431" t="str">
        <x:v>scratch/public-package-audit-runs/ofm-beta5-high-res-control-20260720/execution_record.json; scratch/public-package-audit-runs/ofm-beta5-high-res-control-20260720/post_audit_integrity.json; docs/package_assurance/openflexure_public_audit_confirmation_review_2026-07-20.md; D-101</x:v>
      </x:c>
      <x:c r="G115" s="431" t="str">
        <x:v>OpenFlexure observation integrity</x:v>
      </x:c>
      <x:c r="H115" s="431" t="str">
        <x:v>Ready for CEO review</x:v>
      </x:c>
      <x:c r="I115" s="431" t="str">
        <x:v>Both package trees and all 1,764 accepted log rows remain exact after one authorized audit each; no unexpected additional public audit exists.</x:v>
      </x:c>
    </x:row>
    <x:row r="116" ht="576" customHeight="1">
      <x:c r="A116" s="431" t="str">
        <x:v>EV-113</x:v>
      </x:c>
      <x:c r="B116" s="431" t="n">
        <x:v>46223</x:v>
      </x:c>
      <x:c r="C116" s="431" t="str">
        <x:v>OpenFlexure four-output result and consistency review</x:v>
      </x:c>
      <x:c r="D116"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report views reproduce from the canonical result without absolute paths or approval claims.</x:v>
      </x:c>
      <x:c r="E116" s="431" t="str">
        <x:v>Schema validation / Deterministic report reproduction / Output hash review</x:v>
      </x:c>
      <x:c r="F116" s="431" t="str">
        <x:v>scratch/public-package-audit-runs/ofm-beta5-high-res/RUN-20260721T004222043918Z-254a2eca; scratch/public-package-audit-runs/ofm-beta5-high-res-control-20260720/verification_summary.json; docs/package_assurance/openflexure_public_audit_confirmation_review_2026-07-20.md; D-102</x:v>
      </x:c>
      <x:c r="G116" s="431" t="str">
        <x:v>OpenFlexure result review</x:v>
      </x:c>
      <x:c r="H116" s="431" t="str">
        <x:v>Ready for CEO review</x:v>
      </x:c>
      <x:c r="I116" s="431" t="str">
        <x:v>Output SHA-256 values are recorded in the tracked review. This is a correct hold, not engineering sign-off or package approval.</x:v>
      </x:c>
    </x:row>
    <x:row r="117" ht="603" customHeight="1">
      <x:c r="A117" s="431" t="str">
        <x:v>EV-114</x:v>
      </x:c>
      <x:c r="B117" s="431" t="n">
        <x:v>46223</x:v>
      </x:c>
      <x:c r="C117" s="431" t="str">
        <x:v>Dual public-package comparison and improvement-loop closeout</x:v>
      </x:c>
      <x:c r="D117" s="431" t="str">
        <x:v>NASA/JPL and OpenFlexure differ in size and source structure but both produced the exact expected safety result. This proves real-world intake and refusal, not real-world relationship-fault detection because authority skipped all seven checks. I-004 closes; IMP-017 is retained; IMP-016 remains open. The repeated semantic finding ID establishes IMP-018 and package-scoped identity before aggregation.</x:v>
      </x:c>
      <x:c r="E117" s="431" t="str">
        <x:v>Cross-package result comparison / Management review / Improvement loop</x:v>
      </x:c>
      <x:c r="F117" s="431" t="str">
        <x:v>scratch/public-package-audit-runs/ofm-beta5-high-res-control-20260720/cross_package_comparison.json; docs/package_assurance/openflexure_public_audit_confirmation_review_2026-07-20.md; I-004; IMP-016-IMP-018; D-102</x:v>
      </x:c>
      <x:c r="G117" s="431" t="str">
        <x:v>Dual public observation closeout</x:v>
      </x:c>
      <x:c r="H117" s="431" t="str">
        <x:v>Ready for CEO review</x:v>
      </x:c>
      <x:c r="I117" s="431" t="str">
        <x:v>The fastest controlled next step is check 8. Inventing authority for the public repositories is explicitly rejected.</x:v>
      </x:c>
    </x:row>
    <x:row r="118" ht="540" customHeight="1">
      <x:c r="A118" s="431" t="str">
        <x:v>EV-115</x:v>
      </x:c>
      <x:c r="B118" s="431" t="n">
        <x:v>46223</x:v>
      </x:c>
      <x:c r="C118" s="431" t="str">
        <x:v>OpenFlexure confirmation regression and frozen-baseline verification</x:v>
      </x:c>
      <x:c r="D118" s="431" t="str">
        <x:v>Focused gate/result/publication/CLI tests passed 53. The full suite passed 289 with one expected Windows skip at 87.57% coverage. Repository validation passed 5/5; Ruff, frozen baseline 9/9, and portfolio demo 2/2 passed. PR #53 had two green GitHub validation checks before merge.</x:v>
      </x:c>
      <x:c r="E118" s="431" t="str">
        <x:v>Local deterministic verification / Frozen baseline replay / GitHub CI</x:v>
      </x:c>
      <x:c r="F118" s="431" t="str">
        <x:v>scratch/verification/openflexure-confirmation-20260720; docs/package_assurance/openflexure_public_audit_confirmation_review_2026-07-20.md; PR #53; exact main 65c9699b; D-102</x:v>
      </x:c>
      <x:c r="G118" s="431" t="str">
        <x:v>OpenFlexure confirmation closeout</x:v>
      </x:c>
      <x:c r="H118" s="431" t="str">
        <x:v>Ready for CEO review</x:v>
      </x:c>
      <x:c r="I118" s="431" t="str">
        <x:v>Only documentation and project-control records changed on the confirmation branch. No product code, public package, schema, fixture, golden, held-out asset, or acceptance criterion changed.</x:v>
      </x:c>
    </x:row>
    <x:row r="119" ht="486" customHeight="1">
      <x:c r="A119" s="431" t="str">
        <x:v>EV-116</x:v>
      </x:c>
      <x:c r="B119" s="431" t="n">
        <x:v>46223</x:v>
      </x:c>
      <x:c r="C119" s="431" t="str">
        <x:v>D-102 acceptance and OpenFlexure confirmation integration</x:v>
      </x:c>
      <x:c r="D119" s="431" t="str">
        <x:v>The CEO accepted D-102. PR #54 passed both GitHub validation checks and merged the OpenFlexure confirmation at exact main b0b32bb, closing the dual public-package observation sequence, adopting package-scoped finding identity, and authorizing check 8 only.</x:v>
      </x:c>
      <x:c r="E119" s="431" t="str">
        <x:v>User instruction / GitHub checks and merge / Project control</x:v>
      </x:c>
      <x:c r="F119" s="431" t="str">
        <x:v>User instruction 2026-07-20; PR #54; exact main b0b32bb; docs/package_assurance/openflexure_public_audit_confirmation_review_2026-07-20.md; D-102</x:v>
      </x:c>
      <x:c r="G119" s="431" t="str">
        <x:v>Check-8 implementation authority</x:v>
      </x:c>
      <x:c r="H119" s="431" t="str">
        <x:v>Accepted</x:v>
      </x:c>
      <x:c r="I119" s="431" t="str">
        <x:v>No check 9-11, public rerun, held-out execution, protected-asset change, or deferred capability was authorized.</x:v>
      </x:c>
    </x:row>
    <x:row r="120" ht="567" customHeight="1">
      <x:c r="A120" s="431" t="str">
        <x:v>EV-117</x:v>
      </x:c>
      <x:c r="B120" s="431" t="n">
        <x:v>46223</x:v>
      </x:c>
      <x:c r="C120" s="431" t="str">
        <x:v>Equipment datasheet authority presence implementation proof</x:v>
      </x:c>
      <x:c r="D120" s="431" t="str">
        <x:v>Check 8 is appended after checks 1-7 in a separate datasheet-domain module. It requires exactly one release-required datasheet record per release-required BOM equipment tag under exact AUTH-SPEC-001. Missing and competing records produce stable high-severity missing-authority holds; source reordering preserves semantic identity; unrelated drawing and BOM authority gaps do not suppress the check.</x:v>
      </x:c>
      <x:c r="E120" s="431" t="str">
        <x:v>Code review / Deterministic relationship tests / Authority isolation tests</x:v>
      </x:c>
      <x:c r="F120" s="431" t="str">
        <x:v>src/mech_eval_harness/package_assurance/datasheet_relationships.py; tests/test_package_datasheet_relationships.py; docs/package_assurance/equipment_datasheet_authority_presence_implementation_review_2026-07-20.md; D-102-D-103</x:v>
      </x:c>
      <x:c r="G120" s="431" t="str">
        <x:v>Check-8 contract evidence</x:v>
      </x:c>
      <x:c r="H120" s="431" t="str">
        <x:v>Accepted</x:v>
      </x:c>
      <x:c r="I120" s="431" t="str">
        <x:v>Check 9 association, checks 10-11, and all six authority-gap claims remain unimplemented.</x:v>
      </x:c>
    </x:row>
    <x:row r="121" ht="603" customHeight="1">
      <x:c r="A121" s="431" t="str">
        <x:v>EV-118</x:v>
      </x:c>
      <x:c r="B121" s="431" t="n">
        <x:v>46223</x:v>
      </x:c>
      <x:c r="C121" s="431" t="str">
        <x:v>Check-8 clean and isolated-fault four-output inspection</x:v>
      </x:c>
      <x:c r="D121" s="431" t="str">
        <x:v>Clean run RUN-20260721T025957813425Z-a7aee64f returned automatic_pass, hold false, exit 0, eight passed checks, and four exact outputs. Fault run RUN-20260721T025913235840Z-be4840eb returned missing_authoritative_information, hold true, exit 3, seven passed and one failed check, one FND-55D33CACFBF70823 finding, and four exact outputs. Both results pass the strict schema and all report views reproduce exactly.</x:v>
      </x:c>
      <x:c r="E121" s="431" t="str">
        <x:v>Controlled CLI execution / Schema validation / Deterministic report reproduction</x:v>
      </x:c>
      <x:c r="F121" s="431" t="str">
        <x:v>scratch/verification/check8-implementation-20260720/check8-clean-runs; scratch/verification/check8-implementation-20260720/check8-fault-runs-bomfree; docs/package_assurance/equipment_datasheet_authority_presence_implementation_review_2026-07-20.md</x:v>
      </x:c>
      <x:c r="G121" s="431" t="str">
        <x:v>Check-8 output evidence</x:v>
      </x:c>
      <x:c r="H121" s="431" t="str">
        <x:v>Accepted</x:v>
      </x:c>
      <x:c r="I121" s="431" t="str">
        <x:v>The first manual fault copy used BOM-encoded UTF-8, correctly failed closed at parsing with exit 4, and remains preserved separately; accepted inputs were untouched.</x:v>
      </x:c>
    </x:row>
    <x:row r="122" ht="540" customHeight="1">
      <x:c r="A122" s="431" t="str">
        <x:v>EV-119</x:v>
      </x:c>
      <x:c r="B122" s="431" t="n">
        <x:v>46223</x:v>
      </x:c>
      <x:c r="C122" s="431" t="str">
        <x:v>Check-8 regression and frozen-baseline verification</x:v>
      </x:c>
      <x:c r="D122" s="431" t="str">
        <x:v>Focused gate/relationship/result/report/CLI tests passed 111. The full suite passed 295 with one expected Windows skip at 87.71% coverage. Repository validation passed 5/5; Ruff, frozen baseline 9/9, and portfolio demo 2/2 passed. The tracked diff changes only check-8 code, tests, documentation, and project controls.</x:v>
      </x:c>
      <x:c r="E122" s="431" t="str">
        <x:v>Local deterministic verification / Frozen baseline replay / Diff review</x:v>
      </x:c>
      <x:c r="F122" s="431" t="str">
        <x:v>scratch/verification/check8-implementation-20260720; docs/package_assurance/equipment_datasheet_authority_presence_implementation_review_2026-07-20.md; D-103</x:v>
      </x:c>
      <x:c r="G122" s="431" t="str">
        <x:v>Check-8 implementation closeout</x:v>
      </x:c>
      <x:c r="H122" s="431" t="str">
        <x:v>Accepted</x:v>
      </x:c>
      <x:c r="I122" s="431" t="str">
        <x:v>No accepted fixture, authority map, schema, golden, held-out asset, historical result, v0.2 behavior, or acceptance criterion changed.</x:v>
      </x:c>
    </x:row>
    <x:row r="123" ht="504" customHeight="1">
      <x:c r="A123" s="431" t="str">
        <x:v>EV-120</x:v>
      </x:c>
      <x:c r="B123" s="431" t="n">
        <x:v>46223</x:v>
      </x:c>
      <x:c r="C123" s="431" t="str">
        <x:v>D-103 acceptance and check-8 integration</x:v>
      </x:c>
      <x:c r="D123" s="431" t="str">
        <x:v>The CEO accepted D-103. PR #55 passed both GitHub validation checks and merged check 8 at exact main fb0113d, authorizing check 9 only under exact AUTH-SPEC-001.</x:v>
      </x:c>
      <x:c r="E123" s="431" t="str">
        <x:v>User instruction / GitHub checks and merge / Project control</x:v>
      </x:c>
      <x:c r="F123" s="431" t="str">
        <x:v>User instruction 2026-07-20; PR #55; exact main fb0113d; docs/package_assurance/equipment_datasheet_authority_presence_implementation_review_2026-07-20.md; D-103</x:v>
      </x:c>
      <x:c r="G123" s="431" t="str">
        <x:v>Check-9 implementation authority</x:v>
      </x:c>
      <x:c r="H123" s="431" t="str">
        <x:v>Accepted</x:v>
      </x:c>
      <x:c r="I123" s="431" t="str">
        <x:v>No check 10-11, public rerun, held-out execution, protected-asset change, publication behavior change, or deferred capability was authorized.</x:v>
      </x:c>
    </x:row>
    <x:row r="124" ht="585" customHeight="1">
      <x:c r="A124" s="431" t="str">
        <x:v>EV-121</x:v>
      </x:c>
      <x:c r="B124" s="431" t="n">
        <x:v>46223</x:v>
      </x:c>
      <x:c r="C124" s="431" t="str">
        <x:v>Equipment/datasheet association implementation proof</x:v>
      </x:c>
      <x:c r="D124" s="431" t="str">
        <x:v>Check 9 is appended after checks 1-8 in the datasheet-domain module. Under exact AUTH-SPEC-001 it compares BOM datasheet_id with the single authoritative metadata datasheet_id for the same equipment tag. Wrong-but-valid IDs produce stable automatic-fail holds; missing or ambiguous authority remains owned by check 8; source reordering preserves semantic identity.</x:v>
      </x:c>
      <x:c r="E124" s="431" t="str">
        <x:v>Code review / Deterministic relationship tests / Authority and ownership tests</x:v>
      </x:c>
      <x:c r="F124" s="431" t="str">
        <x:v>src/mech_eval_harness/package_assurance/datasheet_relationships.py; tests/test_package_datasheet_relationships.py; docs/package_assurance/equipment_datasheet_association_implementation_review_2026-07-20.md; D-103-D-104</x:v>
      </x:c>
      <x:c r="G124" s="431" t="str">
        <x:v>Check-9 contract evidence</x:v>
      </x:c>
      <x:c r="H124" s="431" t="str">
        <x:v>Accepted</x:v>
      </x:c>
      <x:c r="I124" s="431" t="str">
        <x:v>Check 10 manifest reciprocity, check 11, and all six authority-gap claims remain unimplemented.</x:v>
      </x:c>
    </x:row>
    <x:row r="125" ht="603" customHeight="1">
      <x:c r="A125" s="431" t="str">
        <x:v>EV-122</x:v>
      </x:c>
      <x:c r="B125" s="431" t="n">
        <x:v>46223</x:v>
      </x:c>
      <x:c r="C125" s="431" t="str">
        <x:v>Check-9 clean and wrong-ID four-output inspection</x:v>
      </x:c>
      <x:c r="D125" s="431" t="str">
        <x:v>Clean run RUN-20260721T034251280706Z-6efeff51 returned automatic_pass, hold false, exit 0, nine passed checks, and four exact outputs. Wrong-ID run RUN-20260721T034329189347Z-dc3cd02a returned automatic_fail, hold true, exit 1, eight passed and one failed check, one FND-91304712BCB20CEE finding, and four exact outputs. Both results pass the strict schema and all report views reproduce exactly.</x:v>
      </x:c>
      <x:c r="E125" s="431" t="str">
        <x:v>Controlled CLI execution / Schema validation / Deterministic report reproduction</x:v>
      </x:c>
      <x:c r="F125" s="431" t="str">
        <x:v>scratch/verification/check9-implementation-20260720/verification_summary.json; docs/package_assurance/equipment_datasheet_association_implementation_review_2026-07-20.md</x:v>
      </x:c>
      <x:c r="G125" s="431" t="str">
        <x:v>Check-9 output evidence</x:v>
      </x:c>
      <x:c r="H125" s="431" t="str">
        <x:v>Accepted</x:v>
      </x:c>
      <x:c r="I125" s="431" t="str">
        <x:v>The wrong-ID fault changes only one temporary BOM value from DS-P-101 to existing valid DS-M-101; accepted inputs remain untouched.</x:v>
      </x:c>
    </x:row>
    <x:row r="126" ht="630" customHeight="1">
      <x:c r="A126" s="431" t="str">
        <x:v>EV-123</x:v>
      </x:c>
      <x:c r="B126" s="431" t="n">
        <x:v>46223</x:v>
      </x:c>
      <x:c r="C126" s="431" t="str">
        <x:v>Preserved Windows publication-finalization failure</x:v>
      </x:c>
      <x:c r="D126" s="431" t="str">
        <x:v>The first wrong-ID invocation generated the correct result and three reports, then the final staging-directory rename failed with PermissionError. The workflow returned exit 70, published no complete final run, and preserved all staged files plus its failure marker. An immediate unchanged invocation succeeded. I-005 and IMP-019 retain the reliability gap for a separate stabilization block.</x:v>
      </x:c>
      <x:c r="E126" s="431" t="str">
        <x:v>Preserved failed run / Failure review / Improvement loop</x:v>
      </x:c>
      <x:c r="F126" s="431" t="str">
        <x:v>scratch/verification/check9-implementation-20260720/wrong-id-runs/.RUN-20260721T034252120538Z-fa89f942.publication-failed-2f10bb08; docs/package_assurance/equipment_datasheet_association_implementation_review_2026-07-20.md; I-005; IMP-019</x:v>
      </x:c>
      <x:c r="G126" s="431" t="str">
        <x:v>Publication reliability evidence</x:v>
      </x:c>
      <x:c r="H126" s="431" t="str">
        <x:v>Accepted</x:v>
      </x:c>
      <x:c r="I126" s="431" t="str">
        <x:v>This is a transient Windows publication risk, not a check-9 evaluator defect. No publication retry behavior changed on this branch.</x:v>
      </x:c>
    </x:row>
    <x:row r="127" ht="558" customHeight="1">
      <x:c r="A127" s="431" t="str">
        <x:v>EV-124</x:v>
      </x:c>
      <x:c r="B127" s="431" t="n">
        <x:v>46223</x:v>
      </x:c>
      <x:c r="C127" s="431" t="str">
        <x:v>Check-9 regression and frozen-baseline verification</x:v>
      </x:c>
      <x:c r="D127" s="431" t="str">
        <x:v>Focused relationship/result/report/CLI tests passed 88. The full suite passed 299 with one expected Windows skip at 87.86% coverage. Repository validation passed 5/5; Ruff, frozen baseline 9/9, and portfolio demo 2/2 passed. The tracked diff changes only check-9 code, tests, documentation, and project controls.</x:v>
      </x:c>
      <x:c r="E127" s="431" t="str">
        <x:v>Local deterministic verification / Frozen baseline replay / Diff review</x:v>
      </x:c>
      <x:c r="F127" s="431" t="str">
        <x:v>scratch/verification/check9-implementation-20260720; docs/package_assurance/equipment_datasheet_association_implementation_review_2026-07-20.md; D-104</x:v>
      </x:c>
      <x:c r="G127" s="431" t="str">
        <x:v>Check-9 implementation closeout</x:v>
      </x:c>
      <x:c r="H127" s="431" t="str">
        <x:v>Accepted</x:v>
      </x:c>
      <x:c r="I127" s="431" t="str">
        <x:v>No accepted fixture, authority map, schema, golden, held-out asset, public package, historical result, v0.2 behavior, or acceptance criterion changed.</x:v>
      </x:c>
    </x:row>
    <x:row r="128" ht="504" customHeight="1">
      <x:c r="A128" s="431" t="str">
        <x:v>EV-125</x:v>
      </x:c>
      <x:c r="B128" s="431" t="n">
        <x:v>46224</x:v>
      </x:c>
      <x:c r="C128" s="431" t="str">
        <x:v>D-104 acceptance and check-9 integration</x:v>
      </x:c>
      <x:c r="D128" s="431" t="str">
        <x:v>The CEO accepted D-104. PR #56 passed both GitHub validation checks and merged check 9 at exact main 7146b23, authorizing one narrow final-rename publication-resilience stabilization before check 10.</x:v>
      </x:c>
      <x:c r="E128" s="431" t="str">
        <x:v>User instruction / GitHub checks and merge / Project control</x:v>
      </x:c>
      <x:c r="F128" s="431" t="str">
        <x:v>User instruction 2026-07-21; PR #56; exact main 7146b23; docs/package_assurance/equipment_datasheet_association_implementation_review_2026-07-20.md; D-104</x:v>
      </x:c>
      <x:c r="G128" s="431" t="str">
        <x:v>Publication stabilization authority</x:v>
      </x:c>
      <x:c r="H128" s="431" t="str">
        <x:v>Accepted</x:v>
      </x:c>
      <x:c r="I128" s="431" t="str">
        <x:v>No check 10-11, public rerun, held-out execution, protected-asset change, or deferred capability was authorized.</x:v>
      </x:c>
    </x:row>
    <x:row r="129" ht="603" customHeight="1">
      <x:c r="A129" s="431" t="str">
        <x:v>EV-126</x:v>
      </x:c>
      <x:c r="B129" s="431" t="n">
        <x:v>46224</x:v>
      </x:c>
      <x:c r="C129" s="431" t="str">
        <x:v>Bounded final-rename retry implementation proof</x:v>
      </x:c>
      <x:c r="D129" s="431" t="str">
        <x:v>Final publication makes five total attempts with fixed 50/100/200/400 ms waits only after PermissionError. A final-directory collision or other OSError never retries. Exhaustion follows the existing failed-publication path. Four injected publication tests plus one CLI test prove recovery, exact delays, exhaustion, no-overwrite collision behavior, other-error behavior, four staged outputs, failure marker, and exit 70.</x:v>
      </x:c>
      <x:c r="E129" s="431" t="str">
        <x:v>Code review / Injected deterministic tests / CLI failure proof</x:v>
      </x:c>
      <x:c r="F129" s="431" t="str">
        <x:v>src/mech_eval_harness/package_assurance/publication.py; tests/test_package_audit_publication.py; tests/test_cli_audit_package.py; docs/package_assurance/publication_resilience_stabilization_review_2026-07-21.md; D-104-D-105</x:v>
      </x:c>
      <x:c r="G129" s="431" t="str">
        <x:v>Publication resilience contract evidence</x:v>
      </x:c>
      <x:c r="H129" s="431" t="str">
        <x:v>Accepted</x:v>
      </x:c>
      <x:c r="I129" s="431" t="str">
        <x:v>The retry is limited to the final same-parent rename. No loader, evaluator, result, report, schema, fixture, authority, or protected asset changed.</x:v>
      </x:c>
    </x:row>
    <x:row r="130" ht="576" customHeight="1">
      <x:c r="A130" s="431" t="str">
        <x:v>EV-127</x:v>
      </x:c>
      <x:c r="B130" s="431" t="n">
        <x:v>46224</x:v>
      </x:c>
      <x:c r="C130" s="431" t="str">
        <x:v>Repeated Windows publication execution proof</x:v>
      </x:c>
      <x:c r="D130" s="431" t="str">
        <x:v>Twenty consecutive real audit-package commands on Microsoft Windows returned exit 0, automatic_pass, hold false, eight passed gates, nine passed relationship checks, zero findings, and exactly four outputs. No hidden staging or failed-publication directory remained. First run RUN-20260721T153603113434Z-ab8f3cbd; last run RUN-20260721T153614063468Z-b74ed8fd.</x:v>
      </x:c>
      <x:c r="E130" s="431" t="str">
        <x:v>Controlled Windows CLI execution / Output inspection</x:v>
      </x:c>
      <x:c r="F130" s="431" t="str">
        <x:v>scratch/verification/publication-resilience-20260721/repeated_windows_audit_summary.json; scratch/verification/publication-resilience-20260721/repeated-runs; docs/package_assurance/publication_resilience_stabilization_review_2026-07-21.md</x:v>
      </x:c>
      <x:c r="G130" s="431" t="str">
        <x:v>Windows publication reliability evidence</x:v>
      </x:c>
      <x:c r="H130" s="431" t="str">
        <x:v>Accepted</x:v>
      </x:c>
      <x:c r="I130" s="431" t="str">
        <x:v>The real execution proves a stable normal path. Injected tests, not this repeated run, prove the transient PermissionError branches.</x:v>
      </x:c>
    </x:row>
    <x:row r="131" ht="558" customHeight="1">
      <x:c r="A131" s="431" t="str">
        <x:v>EV-128</x:v>
      </x:c>
      <x:c r="B131" s="431" t="n">
        <x:v>46224</x:v>
      </x:c>
      <x:c r="C131" s="431" t="str">
        <x:v>Publication stabilization regression and frozen-baseline verification</x:v>
      </x:c>
      <x:c r="D131" s="431" t="str">
        <x:v>Publication and CLI focused tests passed 24. The full suite passed 304 with one expected Windows skip at 88.08% coverage. Repository validation passed 5/5; Ruff, frozen baseline 9/9, and portfolio demo 2/2 passed. The tracked diff changes only final publication resilience, tests, documentation, and project controls.</x:v>
      </x:c>
      <x:c r="E131" s="431" t="str">
        <x:v>Local deterministic verification / Frozen baseline replay / Diff review</x:v>
      </x:c>
      <x:c r="F131" s="431" t="str">
        <x:v>scratch/verification/publication-resilience-20260721; docs/package_assurance/publication_resilience_stabilization_review_2026-07-21.md; D-105</x:v>
      </x:c>
      <x:c r="G131" s="431" t="str">
        <x:v>Publication stabilization closeout</x:v>
      </x:c>
      <x:c r="H131" s="431" t="str">
        <x:v>Accepted</x:v>
      </x:c>
      <x:c r="I131" s="431" t="str">
        <x:v>No accepted fixture, authority map, schema, golden, held-out asset, public package, historical result, v0.2 behavior, check behavior, or acceptance criterion changed.</x:v>
      </x:c>
    </x:row>
    <x:row r="132" ht="540" customHeight="1">
      <x:c r="A132" s="431" t="str">
        <x:v>EV-129</x:v>
      </x:c>
      <x:c r="B132" s="431" t="n">
        <x:v>46224</x:v>
      </x:c>
      <x:c r="C132" s="431" t="str">
        <x:v>D-105 acceptance and publication-stabilization integration</x:v>
      </x:c>
      <x:c r="D132" s="431" t="str">
        <x:v>The CEO accepted D-105. PR #57 passed both GitHub validation checks and merged the bounded publication stabilization at exact main dbcd242. I-005 closed as controlled, IMP-019 was retained, and check 10 was authorized under exact AUTH-SPEC-001.</x:v>
      </x:c>
      <x:c r="E132" s="431" t="str">
        <x:v>User instruction / GitHub checks and merge / Project control</x:v>
      </x:c>
      <x:c r="F132" s="431" t="str">
        <x:v>User instruction 2026-07-21; PR #57; exact main dbcd242; docs/package_assurance/publication_resilience_stabilization_review_2026-07-21.md; D-105; I-005; IMP-019</x:v>
      </x:c>
      <x:c r="G132" s="431" t="str">
        <x:v>Check-10 implementation authority</x:v>
      </x:c>
      <x:c r="H132" s="431" t="str">
        <x:v>Accepted</x:v>
      </x:c>
      <x:c r="I132" s="431" t="str">
        <x:v>No check 11, authority-gap claim, public rerun, held-out execution, protected-asset change, or deferred capability was authorized.</x:v>
      </x:c>
    </x:row>
    <x:row r="133" ht="612" customHeight="1">
      <x:c r="A133" s="431" t="str">
        <x:v>EV-130</x:v>
      </x:c>
      <x:c r="B133" s="431" t="n">
        <x:v>46224</x:v>
      </x:c>
      <x:c r="C133" s="431" t="str">
        <x:v>Check-10 deterministic implementation proof</x:v>
      </x:c>
      <x:c r="D133" s="431" t="str">
        <x:v>Check 10 is tenth in RELATIONSHIP_CHECK_ORDER. Exact AUTH-SPEC-001, semantic sorting, bidirectional metadata/manifest reciprocity, check-8 ownership, stable finding identity, package-relative evidence, and missing/multiple declaration behavior are covered. The exact wrong-valid REL-EQ-DS-001 target produces one automatic-fail high-severity hold for P-101A.</x:v>
      </x:c>
      <x:c r="E133" s="431" t="str">
        <x:v>Code review / Deterministic tests / Fault injection</x:v>
      </x:c>
      <x:c r="F133" s="431" t="str">
        <x:v>src/mech_eval_harness/package_assurance/datasheet_relationships.py; src/mech_eval_harness/package_assurance/relationships.py; tests/test_package_datasheet_relationships.py; docs/package_assurance/equipment_datasheet_manifest_reciprocity_implementation_review_2026-07-21.md</x:v>
      </x:c>
      <x:c r="G133" s="431" t="str">
        <x:v>Check-10 contract evidence</x:v>
      </x:c>
      <x:c r="H133" s="431" t="str">
        <x:v>Accepted</x:v>
      </x:c>
      <x:c r="I133" s="431" t="str">
        <x:v>No schema, fixture, authority map, generic rule engine, result state, output path, or earlier check changed.</x:v>
      </x:c>
    </x:row>
    <x:row r="134" ht="612" customHeight="1">
      <x:c r="A134" s="431" t="str">
        <x:v>EV-131</x:v>
      </x:c>
      <x:c r="B134" s="431" t="n">
        <x:v>46224</x:v>
      </x:c>
      <x:c r="C134" s="431" t="str">
        <x:v>Check-10 clean and wrong-manifest four-output inspection</x:v>
      </x:c>
      <x:c r="D134" s="431" t="str">
        <x:v>Clean run RUN-20260721T161152356249Z-a4995c89 returned automatic_pass, hold false, exit 0, 8/8 gates, 10/10 checks, zero findings, and four exact outputs. Fault run RUN-20260721T161152970951Z-ace6c987 returned automatic_fail, hold true, exit 1, 9 passed and one failed check, one FND-7D92758E4EE968AE finding, and the same four outputs. Canonical result, issue views, readiness summary, and terminal behavior agree.</x:v>
      </x:c>
      <x:c r="E134" s="431" t="str">
        <x:v>Controlled CLI execution / Output inspection / Report reconciliation</x:v>
      </x:c>
      <x:c r="F134" s="431" t="str">
        <x:v>scratch/verification/check10-implementation-20260721/clean-runs; scratch/verification/check10-implementation-20260721/fault-runs; docs/package_assurance/equipment_datasheet_manifest_reciprocity_implementation_review_2026-07-21.md</x:v>
      </x:c>
      <x:c r="G134" s="431" t="str">
        <x:v>Check-10 output evidence</x:v>
      </x:c>
      <x:c r="H134" s="431" t="str">
        <x:v>Accepted</x:v>
      </x:c>
      <x:c r="I134" s="431" t="str">
        <x:v>The fault changes only one temporary manifest target from DS-P-101 to existing valid DS-M-101; accepted development content remains untouched.</x:v>
      </x:c>
    </x:row>
    <x:row r="135" ht="576" customHeight="1">
      <x:c r="A135" s="431" t="str">
        <x:v>EV-132</x:v>
      </x:c>
      <x:c r="B135" s="431" t="n">
        <x:v>46224</x:v>
      </x:c>
      <x:c r="C135" s="431" t="str">
        <x:v>Check-10 regression and frozen-baseline verification</x:v>
      </x:c>
      <x:c r="D135" s="431" t="str">
        <x:v>Relationship/result/report/CLI focused tests passed 93. The full suite passed 308 with one expected Windows skip at 88.27% coverage. Repository validation passed 5/5; Ruff, frozen baseline 9/9, and portfolio demo 2/2 passed. The tracked diff changes only check-10 code, tests, documentation, and project controls.</x:v>
      </x:c>
      <x:c r="E135" s="431" t="str">
        <x:v>Local deterministic verification / Frozen baseline replay / Diff review</x:v>
      </x:c>
      <x:c r="F135" s="431" t="str">
        <x:v>scratch/verification/check10-implementation-20260721; docs/package_assurance/equipment_datasheet_manifest_reciprocity_implementation_review_2026-07-21.md; D-106</x:v>
      </x:c>
      <x:c r="G135" s="431" t="str">
        <x:v>Check-10 implementation closeout</x:v>
      </x:c>
      <x:c r="H135" s="431" t="str">
        <x:v>Accepted</x:v>
      </x:c>
      <x:c r="I135" s="431" t="str">
        <x:v>No accepted fixture, authority map, schema, golden, held-out asset, public package, historical result, v0.2 behavior, or acceptance criterion changed.</x:v>
      </x:c>
    </x:row>
    <x:row r="136" ht="522" customHeight="1">
      <x:c r="A136" s="431" t="str">
        <x:v>EV-133</x:v>
      </x:c>
      <x:c r="B136" s="431" t="n">
        <x:v>46224</x:v>
      </x:c>
      <x:c r="C136" s="431" t="str">
        <x:v>D-106 acceptance and check-10 integration</x:v>
      </x:c>
      <x:c r="D136" s="431" t="str">
        <x:v>The CEO accepted D-106. PR #58 passed GitHub CI and merged check 10 at exact main 761ac76, authorizing only check 11 under exact AUTH-SPEC-003.</x:v>
      </x:c>
      <x:c r="E136" s="431" t="str">
        <x:v>User instruction / GitHub checks and merge / Project control</x:v>
      </x:c>
      <x:c r="F136" s="431" t="str">
        <x:v>User instruction 2026-07-21; PR #58; exact main 761ac76; docs/package_assurance/equipment_datasheet_manifest_reciprocity_implementation_review_2026-07-21.md; D-106</x:v>
      </x:c>
      <x:c r="G136" s="431" t="str">
        <x:v>Check-11 implementation authority</x:v>
      </x:c>
      <x:c r="H136" s="431" t="str">
        <x:v>Accepted</x:v>
      </x:c>
      <x:c r="I136" s="431" t="str">
        <x:v>No authority-gap claim, public rerun, held-out execution, protected-asset change, P4 execution, or deferred capability was authorized.</x:v>
      </x:c>
    </x:row>
    <x:row r="137" ht="612" customHeight="1">
      <x:c r="A137" s="431" t="str">
        <x:v>EV-134</x:v>
      </x:c>
      <x:c r="B137" s="431" t="n">
        <x:v>46224</x:v>
      </x:c>
      <x:c r="C137" s="431" t="str">
        <x:v>Check-11 deterministic implementation proof</x:v>
      </x:c>
      <x:c r="D137" s="431" t="str">
        <x:v>Check 11 is eleventh in RELATIONSHIP_CHECK_ORDER. Exact AUTH-SPEC-003, normalized specification_id joins, exactly-one-current cardinality, missing/multiple/mismatch behavior, semantic sorting, stable finding identity, and package-relative evidence are covered. The accepted wrong-valid metadata revision produces one automatic-fail high-severity hold for SPEC-PUMP-001.</x:v>
      </x:c>
      <x:c r="E137" s="431" t="str">
        <x:v>Code review / Deterministic tests / Fault injection</x:v>
      </x:c>
      <x:c r="F137" s="431" t="str">
        <x:v>src/mech_eval_harness/package_assurance/specification_relationships.py; src/mech_eval_harness/package_assurance/relationships.py; tests/test_package_specification_relationships.py; docs/package_assurance/specification_revision_history_implementation_review_2026-07-21.md</x:v>
      </x:c>
      <x:c r="G137" s="431" t="str">
        <x:v>Check-11 contract evidence</x:v>
      </x:c>
      <x:c r="H137" s="431" t="str">
        <x:v>Accepted</x:v>
      </x:c>
      <x:c r="I137" s="431" t="str">
        <x:v>No loader, adapter, schema, fixture, authority map, generic rule engine, result state, output path, or earlier check changed.</x:v>
      </x:c>
    </x:row>
    <x:row r="138" ht="612" customHeight="1">
      <x:c r="A138" s="431" t="str">
        <x:v>EV-135</x:v>
      </x:c>
      <x:c r="B138" s="431" t="n">
        <x:v>46224</x:v>
      </x:c>
      <x:c r="C138" s="431" t="str">
        <x:v>Check-11 clean and wrong-revision four-output inspection</x:v>
      </x:c>
      <x:c r="D138" s="431" t="str">
        <x:v>Clean run RUN-20260721T164400783739Z-e5fdce3c returned automatic_pass, hold false, exit 0, 8/8 gates, 11/11 checks, zero findings, and four exact outputs. Fault run RUN-20260721T164405746563Z-8ccbbbf1 returned automatic_fail, hold true, exit 1, 10 passed and one failed check, one FND-C74035C8B9E5C4E7 finding with expected B and actual A, and the same four outputs. Canonical result, issue views, readiness summary, and terminal behavior agree.</x:v>
      </x:c>
      <x:c r="E138" s="431" t="str">
        <x:v>Controlled CLI execution / Output inspection / Report reconciliation</x:v>
      </x:c>
      <x:c r="F138" s="431" t="str">
        <x:v>scratch/verification/check11-implementation-20260721/clean-runs; scratch/verification/check11-implementation-20260721/fault-runs; docs/package_assurance/specification_revision_history_implementation_review_2026-07-21.md</x:v>
      </x:c>
      <x:c r="G138" s="431" t="str">
        <x:v>Check-11 output evidence</x:v>
      </x:c>
      <x:c r="H138" s="431" t="str">
        <x:v>Accepted</x:v>
      </x:c>
      <x:c r="I138" s="431" t="str">
        <x:v>The fault changes only one temporary specification-metadata revision from A to valid B; accepted development content remains untouched.</x:v>
      </x:c>
    </x:row>
    <x:row r="139" ht="576" customHeight="1">
      <x:c r="A139" s="431" t="str">
        <x:v>EV-136</x:v>
      </x:c>
      <x:c r="B139" s="431" t="n">
        <x:v>46224</x:v>
      </x:c>
      <x:c r="C139" s="431" t="str">
        <x:v>Check-11 regression and frozen-baseline verification</x:v>
      </x:c>
      <x:c r="D139" s="431" t="str">
        <x:v>Relationship/result/report/CLI focused tests passed 99. The full suite passed 314 with one expected Windows skip at 88.48% coverage. Repository validation passed 5/5; Ruff, frozen baseline 9/9, and portfolio demo 2/2 passed. The tracked diff changes only check-11 code, tests, documentation, and project controls.</x:v>
      </x:c>
      <x:c r="E139" s="431" t="str">
        <x:v>Local deterministic verification / Frozen baseline replay / Diff review</x:v>
      </x:c>
      <x:c r="F139" s="431" t="str">
        <x:v>scratch/verification/check11-implementation-20260721; docs/package_assurance/specification_revision_history_implementation_review_2026-07-21.md; D-107</x:v>
      </x:c>
      <x:c r="G139" s="431" t="str">
        <x:v>Check-11 implementation closeout</x:v>
      </x:c>
      <x:c r="H139" s="431" t="str">
        <x:v>Accepted</x:v>
      </x:c>
      <x:c r="I139" s="431" t="str">
        <x:v>No accepted fixture, authority map, schema, golden, held-out asset, public package, historical result, v0.2 behavior, or acceptance criterion changed.</x:v>
      </x:c>
    </x:row>
    <x:row r="140" ht="522" customHeight="1">
      <x:c r="A140" s="431" t="str">
        <x:v>EV-137</x:v>
      </x:c>
      <x:c r="B140" s="431" t="n">
        <x:v>46224</x:v>
      </x:c>
      <x:c r="C140" s="431" t="str">
        <x:v>D-107 acceptance and check-11 integration</x:v>
      </x:c>
      <x:c r="D140" s="431" t="str">
        <x:v>The CEO accepted D-107. PR #59 passed both GitHub CI runs and merged check 11 at exact main 69c0d1b. The owner then authorized the P2.3 authority-gap disposition and P4 startup.</x:v>
      </x:c>
      <x:c r="E140" s="431" t="str">
        <x:v>User instruction / GitHub checks and merge / Project control</x:v>
      </x:c>
      <x:c r="F140" s="431" t="str">
        <x:v>User instruction 2026-07-21; PR #59; exact main 69c0d1b; docs/package_assurance/specification_revision_history_implementation_review_2026-07-21.md; D-107</x:v>
      </x:c>
      <x:c r="G140" s="431" t="str">
        <x:v>P2.3 completion authority</x:v>
      </x:c>
      <x:c r="H140" s="431" t="str">
        <x:v>Accepted</x:v>
      </x:c>
      <x:c r="I140" s="431" t="str">
        <x:v>No protected held-out semantic execution, public rerun, schema, authority map, fixture, golden, or deferred capability changed during integration.</x:v>
      </x:c>
    </x:row>
    <x:row r="141" ht="567" customHeight="1">
      <x:c r="A141" s="431" t="str">
        <x:v>EV-138</x:v>
      </x:c>
      <x:c r="B141" s="431" t="n">
        <x:v>46224</x:v>
      </x:c>
      <x:c r="C141" s="431" t="str">
        <x:v>P2.3 completion and v0.3.0 claim-boundary decision</x:v>
      </x:c>
      <x:c r="D141" s="431" t="str">
        <x:v>D-108 completes P2.3 for eight gates and eleven relationship checks, explicitly defers six unsupported authority/source claims, excludes those claims from v0.3.0 benchmark/release language, and opens P4.1 development benchmark regression only.</x:v>
      </x:c>
      <x:c r="E141" s="431" t="str">
        <x:v>Reviewed scope disposition / Claim control / P4 entry gate</x:v>
      </x:c>
      <x:c r="F141" s="431" t="str">
        <x:v>docs/package_assurance/p2_3_completion_and_claim_boundary_v0.3.0.md; D-107-D-108; accepted P2.3 definition; acceptance_plan_v0.3.0.md</x:v>
      </x:c>
      <x:c r="G141" s="431" t="str">
        <x:v>P2.3 claim boundary and P4.1 authorization</x:v>
      </x:c>
      <x:c r="H141" s="431" t="str">
        <x:v>Accepted</x:v>
      </x:c>
      <x:c r="I141" s="431" t="str">
        <x:v>The six gaps remain visible limitations, not passes. P4.2 held-out execution remains blocked until the P4.1 evaluator/runner baseline is frozen.</x:v>
      </x:c>
    </x:row>
    <x:row r="142" ht="648" customHeight="1">
      <x:c r="A142" s="431" t="str">
        <x:v>EV-139</x:v>
      </x:c>
      <x:c r="B142" s="431" t="n">
        <x:v>46224</x:v>
      </x:c>
      <x:c r="C142" s="431" t="str">
        <x:v>P4.1 development benchmark definition and safety controls</x:v>
      </x:c>
      <x:c r="D142" s="431" t="str">
        <x:v>P4.1-DEV-1 at implementation commit 4cf9fe8 freezes 22 development scenarios, unique package/scenario IDs, 21 named mutations, exact state/exit/hold/control/finding expectations, two executions, and exact normalized four-output SHA-256 oracles. The runner verifies the accepted baseline hash, excludes expected assets, rejects benchmark-tree output and overwrites, and prevents subset acceptance claims.</x:v>
      </x:c>
      <x:c r="E142" s="431" t="str">
        <x:v>Reviewed definition / Runner implementation / Focused tests</x:v>
      </x:c>
      <x:c r="F142" s="431" t="str">
        <x:v>benchmarks/package_assurance/development/pump_skid_clean_v1/development_benchmark_v1.json; src/mech_eval_harness/package_assurance/development_benchmark.py; scripts/run_package_assurance_development_benchmark.py; tests/test_package_development_benchmark.py; docs/package_assurance/p4_1_development_benchmark_definition_and_review_v0.3.0.md</x:v>
      </x:c>
      <x:c r="G142" s="431" t="str">
        <x:v>P4.1 benchmark contract</x:v>
      </x:c>
      <x:c r="H142" s="431" t="str">
        <x:v>Ready for CEO review</x:v>
      </x:c>
      <x:c r="I142" s="431" t="str">
        <x:v>No accepted clean fixture, hidden expected asset, held-out content, authority map, schema, public package, historical result, or v0.2 behavior changed.</x:v>
      </x:c>
    </x:row>
    <x:row r="143" ht="612" customHeight="1">
      <x:c r="A143" s="431" t="str">
        <x:v>EV-140</x:v>
      </x:c>
      <x:c r="B143" s="431" t="n">
        <x:v>46224</x:v>
      </x:c>
      <x:c r="C143" s="431" t="str">
        <x:v>P4.1 exact development benchmark acceptance execution</x:v>
      </x:c>
      <x:c r="D143" s="431" t="str">
        <x:v>The acceptance execution passed 22/22 scenarios and 44/44 complete four-output audits. All eight gate-failure families and all eleven relationship-failure families were covered; all 22 run pairs were identical after removing only run ID and run metadata; all 22 exact normalized publication hashes matched; no staged package contained expected/.</x:v>
      </x:c>
      <x:c r="E143" s="431" t="str">
        <x:v>Controlled benchmark execution / Exact oracle comparison / Output inspection</x:v>
      </x:c>
      <x:c r="F143" s="431" t="str">
        <x:v>runs/p4.1-development-acceptance-4cf9fe8-final/benchmark_report.json; runs/p4.1-development-acceptance-4cf9fe8-final/benchmark_report.md; implementation 4cf9fe8; P4.1-DEV-1; EV-139</x:v>
      </x:c>
      <x:c r="G143" s="431" t="str">
        <x:v>P4.1 execution evidence</x:v>
      </x:c>
      <x:c r="H143" s="431" t="str">
        <x:v>Ready for CEO review</x:v>
      </x:c>
      <x:c r="I143" s="431" t="str">
        <x:v>Generated evidence is ignored runtime data outside versioned benchmark definitions. Protected held-out semantics were not executed or opened for tuning.</x:v>
      </x:c>
    </x:row>
    <x:row r="144" ht="648" customHeight="1">
      <x:c r="A144" s="431" t="str">
        <x:v>EV-141</x:v>
      </x:c>
      <x:c r="B144" s="431" t="n">
        <x:v>46224</x:v>
      </x:c>
      <x:c r="C144" s="431" t="str">
        <x:v>P4.1 regression, frozen-baseline, and improvement-loop proof</x:v>
      </x:c>
      <x:c r="D144" s="431" t="str">
        <x:v>Focused benchmark tests passed 5. The full suite passed 319 with one expected Windows skip at 88.57% coverage. Repository validation passed 5/5; Ruff, frozen v0.2 baseline 9/9, portfolio demo 2/2, and both hosted Linux CI jobs passed. An unsafe default baseline evidence path was detected, its timestamp-only tracked changes were restored, and IMP-021 plus AGENTS.md now require generated evidence paths.</x:v>
      </x:c>
      <x:c r="E144" s="431" t="str">
        <x:v>Local deterministic verification / Protected-diff check / Improvement loop</x:v>
      </x:c>
      <x:c r="F144" s="431" t="str">
        <x:v>docs/package_assurance/p4_1_development_benchmark_definition_and_review_v0.3.0.md; docs/quality/improvement_register.md; AGENTS.md; runs/p4.1-mvp-baseline-safe; runs/p4.1-portfolio-demo; D-109</x:v>
      </x:c>
      <x:c r="G144" s="431" t="str">
        <x:v>P4.1 verification closeout</x:v>
      </x:c>
      <x:c r="H144" s="431" t="str">
        <x:v>Ready for CEO review</x:v>
      </x:c>
      <x:c r="I144" s="431" t="str">
        <x:v>D-109 remains the only management decision before integration and freeze. P4.2 held-out execution and all D-108 deferred capabilities remain blocked.</x:v>
      </x:c>
    </x:row>
    <x:row r="145" ht="612" customHeight="1">
      <x:c r="A145" s="431" t="str">
        <x:v>EV-142</x:v>
      </x:c>
      <x:c r="B145" s="431" t="n">
        <x:v>46224</x:v>
      </x:c>
      <x:c r="C145" s="431" t="str">
        <x:v>P4.1 cross-platform exact-oracle stabilization</x:v>
      </x:c>
      <x:c r="D145" s="431" t="str">
        <x:v>The first hosted Linux run failed only the malformed-manifest publication because a sanitized path used a Windows backslash locally and a POSIX slash in CI. Commit 4cf9fe8 canonicalizes stable error paths, adds direct missing/malformed-manifest assertions, changes only the affected oracle, and passes the complete exact matrix locally plus both hosted jobs.</x:v>
      </x:c>
      <x:c r="E145" s="431" t="str">
        <x:v>Hosted red/green CI / Cross-platform differential / Exact-oracle review</x:v>
      </x:c>
      <x:c r="F145" s="431" t="str">
        <x:v>src/mech_eval_harness/package_assurance/gates.py; tests/test_package_gates.py; benchmarks/package_assurance/development/pump_skid_clean_v1/development_benchmark_v1.json; PR #61 checks; IMP-022</x:v>
      </x:c>
      <x:c r="G145" s="431" t="str">
        <x:v>P4.1 portability evidence</x:v>
      </x:c>
      <x:c r="H145" s="431" t="str">
        <x:v>Ready for CEO review</x:v>
      </x:c>
      <x:c r="I145" s="431" t="str">
        <x:v>No engineering outcome, state, hold, finding code, control status, evidence locator, fixture, held-out asset, or deferred claim changed. Stable path rendering and the derived finding ID are now operating-system independent.</x:v>
      </x:c>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46224</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67.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P4.1 implemented and green; D-109 review required</x:v>
      </x:c>
    </x:row>
    <x:row r="7" ht="130.5"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P4.1-DEV-1 proves the accepted eight gates and eleven checks with 22 development scenarios run twice. Four states are reachable end to end; two remain router/exit contract only.</x:v>
      </x:c>
      <x:c r="E7" s="765" t="str">
        <x:v>Product interpretation</x:v>
      </x:c>
      <x:c r="F7" s="431" t="str">
        <x:v>Successful kernel; not yet a complete economically useful workflow.</x:v>
      </x:c>
      <x:c r="G7" s="765" t="str">
        <x:v>Response</x:v>
      </x:c>
      <x:c r="H7" s="431" t="str">
        <x:v>Accept or revise D-109 before freezing P4.1 or opening P4.2.</x:v>
      </x:c>
    </x:row>
    <x:row r="8" ht="153" hidden="0" customHeight="1">
      <x:c r="A8" s="765" t="str">
        <x:v>Immediate next action</x:v>
      </x:c>
      <x:c r="B8" s="431" t="str">
        <x:v>Review D-109: accept the bounded four-state full-audit matrix plus six-state router coverage, or reopen P0/P2 for genuine new semantic triggers.</x:v>
      </x:c>
      <x:c r="C8" s="765" t="str">
        <x:v>Selected vertical</x:v>
      </x:c>
      <x:c r="D8" s="431" t="str">
        <x:v>D-109 review -&gt; P4.1 integration and evaluator/runner freeze -&gt; separately authorized P4.2 held-out execution -&gt; P4.3 clean-clone acceptance.</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585" hidden="0" customHeight="1">
      <x:c r="A41" s="604" t="str">
        <x:v>Immediate implication</x:v>
      </x:c>
      <x:c r="B41" s="605"/>
      <x:c r="C41" s="606" t="str">
        <x:v>P4.1 revision P4.1-DEV-1 implements a controlled development-only benchmark at exact implementation commit 4cf9fe8. It verifies the accepted clean package-tree hash before mutation, stages no expected/ assets, applies only 21 named reviewed faults, executes 22 scenarios twice, preserves all generated packages and 44 immutable four-output publications, compares exact normalized publications, rejects output under benchmarks/, refuses overwrites, and prevents scenario subsets from claiming acceptance. The exact-commit acceptance execution passed 22/22 scenarios, all eight mandatory-gate failure families, all eleven relationship-check failure families, 22/22 repeated-run pairs, and 22/22 exact publication hashes. Focused 5, full 319/1, coverage 88.57%, validation 5/5, Ruff, frozen baseline 9/9, demo 2/2, and both hosted Linux CI jobs pass. The first hosted run exposed one Windows/Linux separator difference in a sanitized manifest error; 4cf9fe8 canonicalizes the stable path, changes only the affected oracle, and IMP-022 retains the cross-platform rule. The v0.2 replay path issue remains controlled by IMP-021 and AGENTS.md. D-109 is the stop decision: accept four genuine package-level states plus six-state router/exit coverage and defer two semantic triggers, or reopen P0/P2. No protected held-out semantics were executed.</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c2fa8b58c4cd4807"/>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603" customHeight="1">
      <x:c r="A13" s="431" t="str">
        <x:v>P2.3</x:v>
      </x:c>
      <x:c r="B13" s="431" t="str">
        <x:v>P2 Consistency Rules</x:v>
      </x:c>
      <x:c r="C13" s="431" t="str">
        <x:v>Implement BOM, equipment-list, and datasheet checks</x:v>
      </x:c>
      <x:c r="D13" s="431" t="str">
        <x:v>The accepted structured audit implements six P2.3 checks for BOM/equipment, drawing presence, datasheet authority/association/manifest reciprocity, and specification revision history. Six unsupported claims are explicitly deferred.</x:v>
      </x:c>
      <x:c r="E13" s="431" t="str">
        <x:v>P3.3</x:v>
      </x:c>
      <x:c r="F13" s="662" t="n">
        <x:v>4</x:v>
      </x:c>
      <x:c r="G13" s="431" t="n">
        <x:v>3</x:v>
      </x:c>
      <x:c r="H13" s="431" t="n">
        <x:v>4</x:v>
      </x:c>
      <x:c r="I13" s="429" t="n">
        <x:f>$B$1+(G13-1)*7</x:f>
        <x:v>46230</x:v>
      </x:c>
      <x:c r="J13" s="429" t="n">
        <x:f>$B$1+H13*7-1</x:f>
        <x:v>46243</x:v>
      </x:c>
      <x:c r="K13" s="431" t="str">
        <x:v>Complete</x:v>
      </x:c>
      <x:c r="L13" s="664" t="n">
        <x:v>1</x:v>
      </x:c>
      <x:c r="M13" s="662" t="n">
        <x:f>SUMIF('Work Block Log'!$E$5:$E$200,A13,'Work Block Log'!$F$5:$F$200)</x:f>
        <x:v>0</x:v>
      </x:c>
      <x:c r="N13" s="662" t="n">
        <x:f>MAX(F13*(1-L13),0)</x:f>
        <x:v>0</x:v>
      </x:c>
      <x:c r="O13" s="662" t="n">
        <x:f>M13-F13</x:f>
        <x:v>-4</x:v>
      </x:c>
      <x:c r="P13" s="431" t="str">
        <x:v>checks 6-11 integrated; PR #59 exact main 69c0d1b; D-085-D-108; EV-082-EV-138; eight gates; eleven checks; clean 11/11; isolated fault proofs; six unsupported claims explicitly deferred; v0.3 claim boundary frozen</x:v>
      </x:c>
      <x:c r="Q13" s="431" t="str">
        <x:v>P2.3 is complete. Begin P4.1 development benchmark regression and fault-injection coverage on a separate branch.</x:v>
      </x:c>
      <x:c r="R13" s="431" t="str">
        <x:v>v0.3.0 claims are limited to the eight gates, eleven checks, state router, and four outputs. Quantity, part/material, BOM-item/drawing, equipment/specification, datasheet-revision, and controlled technical-value reconciliation are deferred.</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Complete</x:v>
      </x:c>
      <x:c r="L16" s="664" t="n">
        <x:v>1</x:v>
      </x:c>
      <x:c r="M16" s="662" t="n">
        <x:f>SUMIF('Work Block Log'!$E$5:$E$200,A16,'Work Block Log'!$F$5:$F$200)</x:f>
        <x:v>0</x:v>
      </x:c>
      <x:c r="N16" s="662" t="n">
        <x:f>MAX(F16*(1-L16),0)</x:f>
        <x:v>0</x:v>
      </x:c>
      <x:c r="O16" s="662" t="n">
        <x:f>M16-F16</x:f>
        <x:v>-2</x:v>
      </x:c>
      <x:c r="P16" s="431" t="str">
        <x:v>accepted implementation 7536bea; review evidence/main 4b848b9; exact main 4b848b9; D-081-D-082; EV-078-EV-079; readiness 10; focused result/report 36; full 258/1; validation 5/5; Ruff; coverage 86.75%; inspected fault summary; IMP-012</x:v>
      </x:c>
      <x:c r="Q16" s="431" t="str">
        <x:v>P3.2 is accepted and closed. Preserve its strict result loading and pure non-approving view as an input to P3.3 publication.</x:v>
      </x:c>
      <x:c r="R16" s="431" t="str">
        <x:v>Exact merged-tree behavior matches reviewed evidence. Frozen v0.2 behavior and protected assets are unchanged.</x:v>
      </x:c>
      <x:c r="S16" s="669"/>
      <x:c r="T16" s="669"/>
      <x:c r="U16" s="669"/>
      <x:c r="V16" s="669" t="str">
        <x:v>■</x:v>
      </x:c>
      <x:c r="W16" s="669"/>
      <x:c r="X16" s="669"/>
    </x:row>
    <x:row r="17" ht="216"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Complete</x:v>
      </x:c>
      <x:c r="L17" s="664" t="n">
        <x:v>1</x:v>
      </x:c>
      <x:c r="M17" s="662" t="n">
        <x:f>SUMIF('Work Block Log'!$E$5:$E$200,A17,'Work Block Log'!$F$5:$F$200)</x:f>
        <x:v>0</x:v>
      </x:c>
      <x:c r="N17" s="662" t="n">
        <x:f>MAX(F17*(1-L17),0)</x:f>
        <x:v>0</x:v>
      </x:c>
      <x:c r="O17" s="662" t="n">
        <x:f>M17-F17</x:f>
        <x:v>-2</x:v>
      </x:c>
      <x:c r="P17" s="431" t="str">
        <x:v>accepted implementation b5f0fcd; review evidence 411928e; PR #40 exact main e4080fd; D-083-D-084; EV-080-EV-081; focused result/report/CLI 49; full 271/1; validation 5/5; Ruff; coverage 86.76%; inspected clean/fifth-check fault; IMP-012</x:v>
      </x:c>
      <x:c r="Q17" s="431" t="str">
        <x:v>P3.3 is accepted and closed. Preserve atomic four-output publication, stable exits, controlled-failure evidence, and unchanged v0.2 commands as the P2.3 execution path.</x:v>
      </x:c>
      <x:c r="R17" s="431" t="str">
        <x:v>Exact merged-tree behavior matches reviewed evidence. P2.3 definition is authorized; semantic held-out execution and deferred capabilities remain blocked.</x:v>
      </x:c>
      <x:c r="S17" s="669"/>
      <x:c r="T17" s="669"/>
      <x:c r="U17" s="669"/>
      <x:c r="V17" s="669"/>
      <x:c r="W17" s="669" t="str">
        <x:v>■</x:v>
      </x:c>
      <x:c r="X17" s="669"/>
    </x:row>
    <x:row r="18" ht="603"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Ready for Review</x:v>
      </x:c>
      <x:c r="L18" s="664" t="n">
        <x:v>0.9</x:v>
      </x:c>
      <x:c r="M18" s="662" t="n">
        <x:f>SUMIF('Work Block Log'!$E$5:$E$200,A18,'Work Block Log'!$F$5:$F$200)</x:f>
        <x:v>0</x:v>
      </x:c>
      <x:c r="N18" s="662" t="n">
        <x:f>MAX(F18*(1-L18),0)</x:f>
        <x:v>0.29999999999999993</x:v>
      </x:c>
      <x:c r="O18" s="662" t="n">
        <x:f>M18-F18</x:f>
        <x:v>-3</x:v>
      </x:c>
      <x:c r="P18" s="431" t="str">
        <x:v>codex/p4.1-development-benchmark; implementation 4cf9fe8; P4.1-DEV-1; D-109 proposed; EV-139-EV-142; IMP-020-IMP-022; 22 scenarios; 44 publications; 8/8 gate faults; 11/11 check faults; 22/22 repeatability; 22/22 exact oracles; focused 5; full 319/1; coverage 88.57%; validation 5/5; Ruff; baseline 9/9; demo 2/2; hosted Linux CI 2/2</x:v>
      </x:c>
      <x:c r="Q18" s="431" t="str">
        <x:v>CEO reviews p4_1_development_benchmark_definition_and_review_v0.3.0.md and accepts or revises D-109.</x:v>
      </x:c>
      <x:c r="R18" s="431" t="str">
        <x:v>Do not freeze P4.1 or execute protected held-out semantics until D-109 is accepted and the exact evaluator/runner commit is integrated. Two result states remain contract-only, not full-package evidence.</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0.7978260869565218</x:v>
      </x:c>
      <x:c r="M24" s="683" t="n">
        <x:f>SUM(M6:M22)</x:f>
        <x:v>0</x:v>
      </x:c>
      <x:c r="N24" s="683" t="n">
        <x:f>SUM(N6:N22)</x:f>
        <x:v>9.3</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P4.1 Development Benchmark Review</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P4.1 - development benchmark implementation review</x:v>
      </x:c>
      <x:c r="H4" s="697"/>
    </x:row>
    <x:row r="5" ht="72" customHeight="1">
      <x:c r="A5" s="688" t="str">
        <x:v>Schedule Baseline</x:v>
      </x:c>
      <x:c r="B5" s="693" t="str">
        <x:v>Legacy only; not controlling</x:v>
      </x:c>
      <x:c r="C5" s="691"/>
      <x:c r="D5" s="691"/>
      <x:c r="F5" s="696" t="str">
        <x:v>Objective</x:v>
      </x:c>
      <x:c r="G5" s="697" t="str">
        <x:v>Freeze exact development fault coverage and repeatable four-output behavior before protected held-out execution.</x:v>
      </x:c>
      <x:c r="H5" s="697"/>
    </x:row>
    <x:row r="6" ht="63" customHeight="1">
      <x:c r="A6" s="688" t="str">
        <x:v>Time Tracking</x:v>
      </x:c>
      <x:c r="B6" s="693" t="str">
        <x:v>Waived prospectively</x:v>
      </x:c>
      <x:c r="C6" s="691"/>
      <x:c r="D6" s="691"/>
      <x:c r="F6" s="696" t="str">
        <x:v>Gate Status</x:v>
      </x:c>
      <x:c r="G6" s="697" t="str">
        <x:v>22/22 scenarios, 44/44 publications, 8/8 gate faults, 11/11 check faults, and 22/22 exact oracles pass.</x:v>
      </x:c>
      <x:c r="H6" s="697"/>
    </x:row>
    <x:row r="7" ht="81" customHeight="1">
      <x:c r="A7" s="688" t="str">
        <x:v>Current Gate</x:v>
      </x:c>
      <x:c r="B7" s="694" t="str">
        <x:v>P4.1 implemented and green; D-109 decision required</x:v>
      </x:c>
      <x:c r="C7" s="691"/>
      <x:c r="D7" s="691"/>
      <x:c r="F7" s="696" t="str">
        <x:v>Definition of Done</x:v>
      </x:c>
      <x:c r="G7" s="697" t="str">
        <x:v>CEO accepts or revises D-109.</x:v>
      </x:c>
      <x:c r="H7" s="697"/>
    </x:row>
    <x:row r="8" ht="63" customHeight="1">
      <x:c r="A8" s="688" t="str">
        <x:v>Released Kernel</x:v>
      </x:c>
      <x:c r="B8" s="691" t="str">
        <x:v>v0.2.0 / commit 45336a2</x:v>
      </x:c>
      <x:c r="C8" s="691"/>
      <x:c r="D8" s="691"/>
      <x:c r="F8" s="696" t="str">
        <x:v>Immediate Next Action</x:v>
      </x:c>
      <x:c r="G8" s="697" t="str">
        <x:v>Review p4_1_development_benchmark_definition_and_review_v0.3.0.md.</x:v>
      </x:c>
      <x:c r="H8" s="697"/>
    </x:row>
    <x:row r="9" ht="72" customHeight="1">
      <x:c r="A9" s="688" t="str">
        <x:v>Release Target</x:v>
      </x:c>
      <x:c r="B9" s="691" t="str">
        <x:v>v0.3.0</x:v>
      </x:c>
      <x:c r="C9" s="691"/>
      <x:c r="D9" s="691"/>
      <x:c r="F9" s="696" t="str">
        <x:v>Primary Risk</x:v>
      </x:c>
      <x:c r="G9" s="697" t="str">
        <x:v>Primary risk is overstating router-only state support as full-package semantic evidence.</x:v>
      </x:c>
      <x:c r="H9" s="697"/>
    </x:row>
    <x:row r="10" ht="81" customHeight="1">
      <x:c r="A10" s="688" t="str">
        <x:v>Baseline Test Count</x:v>
      </x:c>
      <x:c r="B10" s="691" t="n">
        <x:v>121</x:v>
      </x:c>
      <x:c r="C10" s="691"/>
      <x:c r="D10" s="691"/>
      <x:c r="F10" s="696" t="str">
        <x:v>Deferred</x:v>
      </x:c>
      <x:c r="G10" s="697" t="str">
        <x:v>P4.2 held-out execution and D-108 deferred capabilities remain blocked.</x:v>
      </x:c>
      <x:c r="H10" s="697"/>
    </x:row>
    <x:row r="11" ht="63" customHeight="1">
      <x:c r="A11" s="688" t="str">
        <x:v>Fixture Package Families</x:v>
      </x:c>
      <x:c r="B11" s="691" t="n">
        <x:v>2</x:v>
      </x:c>
      <x:c r="C11" s="691"/>
      <x:c r="D11" s="691"/>
      <x:c r="F11" s="696" t="str">
        <x:v>Data Boundary</x:v>
      </x:c>
      <x:c r="G11" s="697" t="str">
        <x:v>Accepted clean, held-out, public-package, schema, golden, historical, and v0.2 assets remain unchanged.</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Accepted</x:v>
      </x:c>
      <x:c r="C17" s="699" t="str">
        <x:v>P2.3 complete at D-108</x:v>
      </x:c>
      <x:c r="D17" s="700" t="n">
        <x:v>1</x:v>
      </x:c>
      <x:c r="E17" s="698" t="str">
        <x:v>Gate P2 - deterministic audit core and result-state routing</x:v>
      </x:c>
    </x:row>
    <x:row r="18" ht="36" customHeight="1">
      <x:c r="A18" s="698" t="str">
        <x:v>P3 Issue Register &amp; CLI</x:v>
      </x:c>
      <x:c r="B18" s="699" t="str">
        <x:v>Complete</x:v>
      </x:c>
      <x:c r="C18" s="699" t="str">
        <x:v>P3.3 accepted and integrated</x:v>
      </x:c>
      <x:c r="D18" s="700" t="n">
        <x:v>1</x:v>
      </x:c>
      <x:c r="E18" s="698" t="str">
        <x:v>Gate P3 - reproducible issue register and audit-package command</x:v>
      </x:c>
    </x:row>
    <x:row r="19" ht="36" customHeight="1">
      <x:c r="A19" s="698" t="str">
        <x:v>P4 Benchmark &amp; Reliability</x:v>
      </x:c>
      <x:c r="B19" s="699" t="str">
        <x:v>Ready for Review</x:v>
      </x:c>
      <x:c r="C19" s="699" t="str">
        <x:v>D-109 decision required</x:v>
      </x:c>
      <x:c r="D19" s="700" t="n">
        <x:v>0.9</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Accepted</x:v>
      </x:c>
      <x:c r="F30" s="431" t="str">
        <x:v>codex/p3.2-release-readiness-summary</x:v>
      </x:c>
      <x:c r="G30" s="431" t="str">
        <x:v>implementation 7536bea; exact main 4b848b9; D-081-D-082; EV-078-EV-079; readiness 10; focused 36; full 258/1; validation 5/5; Ruff; coverage 86.75%; inspected fault summary</x:v>
      </x:c>
      <x:c r="H30" s="431" t="str">
        <x:v>Jason</x:v>
      </x:c>
    </x:row>
    <x:row r="31" ht="198" customHeight="1">
      <x:c r="A31" s="431" t="n">
        <x:v>8</x:v>
      </x:c>
      <x:c r="B31" s="431" t="str">
        <x:v>P3.3</x:v>
      </x:c>
      <x:c r="C31" s="431" t="str">
        <x:v>Runnable audit-package workflow</x:v>
      </x:c>
      <x:c r="D31" s="431" t="str">
        <x:v>Run the accepted audit and atomically publish the immutable result, issue registers, and readiness summary with stable exits.</x:v>
      </x:c>
      <x:c r="E31" s="431" t="str">
        <x:v>Accepted</x:v>
      </x:c>
      <x:c r="F31" s="431" t="str">
        <x:v>codex/p3.3-audit-package-cli</x:v>
      </x:c>
      <x:c r="G31" s="431" t="str">
        <x:v>implementation b5f0fcd; review evidence 411928e; PR #40 main e4080fd; D-083-D-084; EV-080-EV-081; focused 49; full 271/1; validation 5/5; Ruff; coverage 86.76%; inspected clean/fault runs; IMP-012</x:v>
      </x:c>
      <x:c r="H31" s="431" t="str">
        <x:v>Jason</x:v>
      </x:c>
    </x:row>
    <x:row r="32" ht="207" customHeight="1">
      <x:c r="A32" s="431" t="n">
        <x:v>9</x:v>
      </x:c>
      <x:c r="B32" s="431" t="str">
        <x:v>P2.3</x:v>
      </x:c>
      <x:c r="C32" s="431" t="str">
        <x:v>Relationship expansion - check 6</x:v>
      </x:c>
      <x:c r="D32" s="431" t="str">
        <x:v>Append BOM item/equipment manifest reciprocity under exact AUTH-BOM-002 and prove it through the accepted audit outputs.</x:v>
      </x:c>
      <x:c r="E32" s="431" t="str">
        <x:v>Accepted</x:v>
      </x:c>
      <x:c r="F32" s="431" t="str">
        <x:v>codex/p2.3-bom-item-equipment-reciprocity</x:v>
      </x:c>
      <x:c r="G32" s="431" t="str">
        <x:v>implementation c1dcc4a; review 0386b7f; PR #42 main 559bb81; D-085-D-088; EV-082-EV-085; relationship 31; focused 75; full 278/1; validation 5/5; Ruff; coverage 87.02%</x:v>
      </x:c>
      <x:c r="H32" s="431" t="str">
        <x:v>Jason</x:v>
      </x:c>
    </x:row>
    <x:row r="33" ht="216" customHeight="1">
      <x:c r="A33" s="431" t="n">
        <x:v>10</x:v>
      </x:c>
      <x:c r="B33" s="431" t="str">
        <x:v>P2.3</x:v>
      </x:c>
      <x:c r="C33" s="431" t="str">
        <x:v>Relationship maintainability stabilization</x:v>
      </x:c>
      <x:c r="D33" s="431" t="str">
        <x:v>Split accepted relationship code and tests by engineering domain without changing behavior.</x:v>
      </x:c>
      <x:c r="E33" s="431" t="str">
        <x:v>Accepted</x:v>
      </x:c>
      <x:c r="F33" s="431" t="str">
        <x:v>codex/p2.3-relationship-maintainability</x:v>
      </x:c>
      <x:c r="G33" s="431" t="str">
        <x:v>implementation 1f34781; PR #44 main 56ac9d1; D-088-D-089; EV-086; IMP-015; AST 40/40; focused 75; full 278/1; validation 5/5; Ruff; coverage 87.10%</x:v>
      </x:c>
      <x:c r="H33" s="431" t="str">
        <x:v>Jason</x:v>
      </x:c>
    </x:row>
    <x:row r="34" ht="220.5" customHeight="1">
      <x:c r="A34" s="431" t="n">
        <x:v>11</x:v>
      </x:c>
      <x:c r="B34" s="431" t="str">
        <x:v>P2.3</x:v>
      </x:c>
      <x:c r="C34" s="431" t="str">
        <x:v>Relationship expansion - check 7</x:v>
      </x:c>
      <x:c r="D34" s="431" t="str">
        <x:v>Require each release-required BOM equipment tag to appear in drawing metadata under exact AUTH-BOM-002.</x:v>
      </x:c>
      <x:c r="E34" s="431" t="str">
        <x:v>Accepted</x:v>
      </x:c>
      <x:c r="F34" s="431" t="str">
        <x:v>codex/p2.3-bom-equipment-drawing-presence</x:v>
      </x:c>
      <x:c r="G34" s="431" t="str">
        <x:v>implementation 01a70c2; PR #45 main 273c36a; D-089-D-090; EV-087-EV-088; relationship 35; focused 80; full 283/1; validation 5/5; Ruff; coverage 87.25%; both GitHub checks passed</x:v>
      </x:c>
      <x:c r="H34" s="431" t="str">
        <x:v>Jason</x:v>
      </x:c>
    </x:row>
    <x:row r="35" ht="216" customHeight="1">
      <x:c r="A35" s="431" t="n">
        <x:v>12</x:v>
      </x:c>
      <x:c r="B35" s="431" t="str">
        <x:v>P2.3</x:v>
      </x:c>
      <x:c r="C35" s="431" t="str">
        <x:v>Authorized structured-package trial gate</x:v>
      </x:c>
      <x:c r="D35" s="431" t="str">
        <x:v>Freeze permitted sources, privacy, preparation, reviewer, and learning boundaries before intake.</x:v>
      </x:c>
      <x:c r="E35" s="431" t="str">
        <x:v>Integrated / Selection Pending</x:v>
      </x:c>
      <x:c r="F35" s="431" t="str">
        <x:v>codex/p2.3-real-package-structured-trial</x:v>
      </x:c>
      <x:c r="G35" s="431" t="str">
        <x:v>implementation d4e530f; PR #46 exact main 361cc77; D-091; EV-089-EV-090; both GitHub checks passed; no package content accessed</x:v>
      </x:c>
      <x:c r="H35" s="431" t="str">
        <x:v>Jason</x:v>
      </x:c>
    </x:row>
    <x:row r="36" ht="229.5" customHeight="1">
      <x:c r="A36" s="431" t="n">
        <x:v>13</x:v>
      </x:c>
      <x:c r="B36" s="431" t="str">
        <x:v>P2.3</x:v>
      </x:c>
      <x:c r="C36" s="431" t="str">
        <x:v>Public trial package shortlist</x:v>
      </x:c>
      <x:c r="D36" s="431" t="str">
        <x:v>Compare three public mechanical packages and recommend the best first practical-use trial input before any download.</x:v>
      </x:c>
      <x:c r="E36" s="431" t="str">
        <x:v>Accepted</x:v>
      </x:c>
      <x:c r="F36" s="431" t="str">
        <x:v>codex/p2.3-public-trial-package-shortlist</x:v>
      </x:c>
      <x:c r="G36" s="431" t="str">
        <x:v>implementation 2dccf7c; PR #47; D-092-D-093; EV-090-EV-092; Precious Plastic selected; NASA/JPL and OpenFlexure approved sequentially; no candidate files downloaded at selection closeout</x:v>
      </x:c>
      <x:c r="H36" s="431" t="str">
        <x:v>Jason</x:v>
      </x:c>
    </x:row>
    <x:row r="37" ht="229.5" customHeight="1">
      <x:c r="A37" s="431" t="n">
        <x:v>14</x:v>
      </x:c>
      <x:c r="B37" s="431" t="str">
        <x:v>P2.3</x:v>
      </x:c>
      <x:c r="C37" s="431" t="str">
        <x:v>Precious Plastic controlled intake</x:v>
      </x:c>
      <x:c r="D37" s="431" t="str">
        <x:v>Verify source and license, preserve and hash untouched files, inventory contents, and produce a fit-gap assessment before transformation or audit execution.</x:v>
      </x:c>
      <x:c r="E37" s="431" t="str">
        <x:v>Stopped - Access Unavailable</x:v>
      </x:c>
      <x:c r="F37" s="431" t="str">
        <x:v>codex/p2.3-precious-plastic-intake</x:v>
      </x:c>
      <x:c r="G37" s="431" t="str">
        <x:v>D-092-D-094; EV-091-EV-093; official source required an inaccessible account; no files downloaded and no bypass attempted</x:v>
      </x:c>
      <x:c r="H37" s="431" t="str">
        <x:v>Jason</x:v>
      </x:c>
    </x:row>
    <x:row r="38" ht="229.5" customHeight="1">
      <x:c r="A38" s="431" t="n">
        <x:v>15</x:v>
      </x:c>
      <x:c r="B38" s="431" t="str">
        <x:v>P2.3</x:v>
      </x:c>
      <x:c r="C38" s="431" t="str">
        <x:v>Dual public-package intake</x:v>
      </x:c>
      <x:c r="D38" s="431" t="str">
        <x:v>Apply one controlled intake and fit-gap protocol equally to NASA/JPL Open Source Rover v4.0.0 and OpenFlexure Microscope v7.0.0-beta5.</x:v>
      </x:c>
      <x:c r="E38" s="431" t="str">
        <x:v>Accepted</x:v>
      </x:c>
      <x:c r="F38" s="431" t="str">
        <x:v>codex/p2.3-dual-public-package-intake</x:v>
      </x:c>
      <x:c r="G38" s="431" t="str">
        <x:v>D-095-D-096; EV-094-EV-097; PR #48 exact main 99d16b6; both source archives preserved and fit-assessed; mapping definitions authorized; no source conversion or audit execution</x:v>
      </x:c>
      <x:c r="H38" s="431" t="str">
        <x:v>Jason</x:v>
      </x:c>
    </x:row>
    <x:row r="39" ht="247.5" customHeight="1">
      <x:c r="A39" s="431" t="n">
        <x:v>16</x:v>
      </x:c>
      <x:c r="B39" s="431" t="str">
        <x:v>P2.3</x:v>
      </x:c>
      <x:c r="C39" s="431" t="str">
        <x:v>Dual public-package mapping definitions</x:v>
      </x:c>
      <x:c r="D39" s="431" t="str">
        <x:v>Freeze bounded NASA/JPL and OpenFlexure mappings plus one shared transformation-and-assumption log before controlled preparation.</x:v>
      </x:c>
      <x:c r="E39" s="431" t="str">
        <x:v>Accepted</x:v>
      </x:c>
      <x:c r="F39" s="431" t="str">
        <x:v>codex/p2.3-dual-public-package-mapping-definition</x:v>
      </x:c>
      <x:c r="G39" s="431" t="str">
        <x:v>D-096-D-097; EV-097-EV-099; PR #49 exact main 53e19ad; two mapping definitions and shared log contract accepted; preparation authorized; audit remained blocked</x:v>
      </x:c>
      <x:c r="H39" s="431" t="str">
        <x:v>Jason</x:v>
      </x:c>
    </x:row>
    <x:row r="40" ht="270" customHeight="1">
      <x:c r="A40" s="431" t="n">
        <x:v>17</x:v>
      </x:c>
      <x:c r="B40" s="431" t="str">
        <x:v>P2.3</x:v>
      </x:c>
      <x:c r="C40" s="431" t="str">
        <x:v>Dual public-package preparation</x:v>
      </x:c>
      <x:c r="D40" s="431" t="str">
        <x:v>Prepare and independently verify both real-world working packages and populated logs without running the audit.</x:v>
      </x:c>
      <x:c r="E40" s="431" t="str">
        <x:v>Accepted</x:v>
      </x:c>
      <x:c r="F40" s="431" t="str">
        <x:v>codex/p2.3-dual-public-package-preparation</x:v>
      </x:c>
      <x:c r="G40" s="431" t="str">
        <x:v>D-097-D-098; EV-099-EV-101; PR #50 exact main 7009fe2; two exact package trees and 1,764 accepted log rows; controlled audit execution authorized with mandatory unexpected-behavior stop</x:v>
      </x:c>
      <x:c r="H40" s="431" t="str">
        <x:v>Jason</x:v>
      </x:c>
    </x:row>
    <x:row r="41" ht="288" customHeight="1">
      <x:c r="A41" s="431" t="n">
        <x:v>18</x:v>
      </x:c>
      <x:c r="B41" s="431" t="str">
        <x:v>P2.3</x:v>
      </x:c>
      <x:c r="C41" s="431" t="str">
        <x:v>First public-package audit and stabilization review</x:v>
      </x:c>
      <x:c r="D41" s="431" t="str">
        <x:v>Execute NASA/JPL under D-098, stop on unexpected behavior, preserve failure evidence, confirm cross-package scope, and define a narrow reviewed fix before rerun.</x:v>
      </x:c>
      <x:c r="E41" s="431" t="str">
        <x:v>Accepted</x:v>
      </x:c>
      <x:c r="F41" s="431" t="str">
        <x:v>codex/p2.3-dual-public-package-audit-execution</x:v>
      </x:c>
      <x:c r="G41" s="431" t="str">
        <x:v>D-098-D-099; EV-101-EV-104; IMP-017; PR #51 exact main 624acce; NASA/JPL exit 70/zero outputs preserved; OpenFlexure not audited; narrow stabilization authorized</x:v>
      </x:c>
      <x:c r="H41" s="431" t="str">
        <x:v>Jason</x:v>
      </x:c>
    </x:row>
    <x:row r="42" ht="315" customHeight="1">
      <x:c r="A42" s="431" t="n">
        <x:v>19</x:v>
      </x:c>
      <x:c r="B42" s="431" t="str">
        <x:v>P2.3</x:v>
      </x:c>
      <x:c r="C42" s="431" t="str">
        <x:v>Identifier/result-contract stabilization review</x:v>
      </x:c>
      <x:c r="D42" s="431" t="str">
        <x:v>Implement D-099 narrowly, prove schema-valid full-CLI behavior for optional blanks and malformed present identifiers, preserve both public packages, and define the one-run confirmation gate.</x:v>
      </x:c>
      <x:c r="E42" s="431" t="str">
        <x:v>Accepted</x:v>
      </x:c>
      <x:c r="F42" s="431" t="str">
        <x:v>codex/p2.3-identifier-result-stabilization</x:v>
      </x:c>
      <x:c r="G42" s="431" t="str">
        <x:v>D-099-D-100; EV-104-EV-107; IMP-017; PR #52 exact main 0611d916; focused 47; full 289/1; coverage 87.57%; validation 5/5; Ruff; baseline 9/9; demo 2/2; exit 3/four outputs; exit 1/four outputs; public trees/logs unchanged before observation</x:v>
      </x:c>
      <x:c r="H42" s="431" t="str">
        <x:v>Jason</x:v>
      </x:c>
    </x:row>
    <x:row r="43" ht="360" customHeight="1">
      <x:c r="A43" s="431" t="n">
        <x:v>20</x:v>
      </x:c>
      <x:c r="B43" s="431" t="str">
        <x:v>P2.3</x:v>
      </x:c>
      <x:c r="C43" s="431" t="str">
        <x:v>NASA/JPL public-audit confirmation review</x:v>
      </x:c>
      <x:c r="D43" s="431" t="str">
        <x:v>Execute exactly one unchanged NASA/JPL audit under D-100, inspect the state, hold, exit, all four outputs, schema and report consistency, reverify both public input sets, and stop before OpenFlexure.</x:v>
      </x:c>
      <x:c r="E43" s="431" t="str">
        <x:v>Accepted</x:v>
      </x:c>
      <x:c r="F43" s="431" t="str">
        <x:v>codex/p2.3-nasa-public-audit-confirmation</x:v>
      </x:c>
      <x:c r="G43" s="431" t="str">
        <x:v>D-100-D-101; EV-107-EV-111; I-004; IMP-016-IMP-017; PR #53 exact main 65c9699b; run RUN-20260721T001431760486Z-4f1b9817; state missing_authoritative_information; hold true; exit 3; four schema-valid outputs; one authority finding; source hashes exact; focused 53; full 289/1; coverage 87.57%; validation 5/5; Ruff; baseline 9/9; demo 2/2</x:v>
      </x:c>
      <x:c r="H43" s="431" t="str">
        <x:v>Jason</x:v>
      </x:c>
    </x:row>
    <x:row r="44" ht="387" customHeight="1">
      <x:c r="A44" s="431" t="n">
        <x:v>21</x:v>
      </x:c>
      <x:c r="B44" s="431" t="str">
        <x:v>P2.3</x:v>
      </x:c>
      <x:c r="C44" s="431" t="str">
        <x:v>OpenFlexure public-audit confirmation review</x:v>
      </x:c>
      <x:c r="D44" s="431" t="str">
        <x:v>Execute exactly one unchanged OpenFlexure audit under D-101, inspect every output, reconcile both public packages, close the original execution defect, capture cross-package learning, and stop before check 8.</x:v>
      </x:c>
      <x:c r="E44" s="431" t="str">
        <x:v>Accepted</x:v>
      </x:c>
      <x:c r="F44" s="431" t="str">
        <x:v>codex/p2.3-openflexure-public-audit-confirmation</x:v>
      </x:c>
      <x:c r="G44" s="431" t="str">
        <x:v>D-101-D-102; EV-111-EV-116; I-004 closed; IMP-016-IMP-018; PR #54 exact main b0b32bb; one authorized run per public package; both expected holds and all source hashes exact</x:v>
      </x:c>
      <x:c r="H44" s="431" t="str">
        <x:v>Jason</x:v>
      </x:c>
    </x:row>
    <x:row r="45" ht="387" customHeight="1">
      <x:c r="A45" s="431" t="n">
        <x:v>22</x:v>
      </x:c>
      <x:c r="B45" s="431" t="str">
        <x:v>P2.3</x:v>
      </x:c>
      <x:c r="C45" s="431" t="str">
        <x:v>Equipment datasheet authority presence - check 8</x:v>
      </x:c>
      <x:c r="D45" s="431" t="str">
        <x:v>Append check 8 under exact AUTH-SPEC-001; require one release-required datasheet record per release-required BOM equipment tag; prove clean, missing, ambiguous, authority, ordering, canonical result, reports, CLI exit, and four-output behavior.</x:v>
      </x:c>
      <x:c r="E45" s="431" t="str">
        <x:v>Accepted</x:v>
      </x:c>
      <x:c r="F45" s="431" t="str">
        <x:v>codex/p2.3-equipment-datasheet-authority-presence</x:v>
      </x:c>
      <x:c r="G45" s="431" t="str">
        <x:v>D-102-D-103; EV-116-EV-120; IMP-013-IMP-015; PR #55 exact main fb0113d; clean 8/8; missing-authority exit 3/four outputs; focused 111; full 295/1; coverage 87.71%; validation 5/5; Ruff; baseline 9/9; demo 2/2</x:v>
      </x:c>
      <x:c r="H45" s="431" t="str">
        <x:v>Jason</x:v>
      </x:c>
    </x:row>
    <x:row r="46" ht="423" customHeight="1">
      <x:c r="A46" s="431" t="n">
        <x:v>23</x:v>
      </x:c>
      <x:c r="B46" s="431" t="str">
        <x:v>P2.3</x:v>
      </x:c>
      <x:c r="C46" s="431" t="str">
        <x:v>Equipment/datasheet association - check 9</x:v>
      </x:c>
      <x:c r="D46" s="431" t="str">
        <x:v>Append check 9 under exact AUTH-SPEC-001; compare BOM and authoritative metadata datasheet IDs only after check 8 establishes one record; prove clean, wrong-valid, ownership, authority, ordering, result, reports, CLI exit, and four-output behavior.</x:v>
      </x:c>
      <x:c r="E46" s="431" t="str">
        <x:v>Accepted</x:v>
      </x:c>
      <x:c r="F46" s="431" t="str">
        <x:v>codex/p2.3-equipment-datasheet-association</x:v>
      </x:c>
      <x:c r="G46" s="431" t="str">
        <x:v>D-103-D-104; EV-120-EV-125; I-005; IMP-013-IMP-015; IMP-019; PR #56 exact main 7146b23; clean 9/9; wrong-ID automatic_fail/hold/exit-1/four outputs; full 299/1; coverage 87.86%</x:v>
      </x:c>
      <x:c r="H46" s="431" t="str">
        <x:v>Jason</x:v>
      </x:c>
    </x:row>
    <x:row r="47" ht="432" customHeight="1">
      <x:c r="A47" s="431" t="n">
        <x:v>24</x:v>
      </x:c>
      <x:c r="B47" s="431" t="str">
        <x:v>P2.3</x:v>
      </x:c>
      <x:c r="C47" s="431" t="str">
        <x:v>Publication resilience stabilization</x:v>
      </x:c>
      <x:c r="D47" s="431" t="str">
        <x:v>Retry only final same-parent rename PermissionError using five total attempts over 0.75 seconds; never retry collisions or other errors; preserve failure evidence and exit 70 after exhaustion; prove injected and repeated Windows behavior.</x:v>
      </x:c>
      <x:c r="E47" s="431" t="str">
        <x:v>Accepted</x:v>
      </x:c>
      <x:c r="F47" s="431" t="str">
        <x:v>codex/p2.3-publication-resilience</x:v>
      </x:c>
      <x:c r="G47" s="431" t="str">
        <x:v>D-104-D-105; EV-125-EV-129; I-005 closed; IMP-019 retained; PR #57 exact main dbcd242; focused 24; full 304/1; coverage 88.08%; validation 5/5; Ruff; Windows audit 20/20</x:v>
      </x:c>
      <x:c r="H47" s="431" t="str">
        <x:v>Jason</x:v>
      </x:c>
    </x:row>
    <x:row r="48" ht="495" customHeight="1">
      <x:c r="A48" s="431" t="n">
        <x:v>25</x:v>
      </x:c>
      <x:c r="B48" s="431" t="str">
        <x:v>P2.3</x:v>
      </x:c>
      <x:c r="C48" s="431" t="str">
        <x:v>Equipment/datasheet manifest reciprocity - check 10</x:v>
      </x:c>
      <x:c r="D48" s="431" t="str">
        <x:v>Append check 10 under exact AUTH-SPEC-001; compare authoritative metadata with required manifest equipment_to_datasheet declarations in both directions; preserve check-8 ownership; prove clean, wrong-valid, authority, ordering, result, reports, CLI exit, and four-output behavior.</x:v>
      </x:c>
      <x:c r="E48" s="431" t="str">
        <x:v>Accepted</x:v>
      </x:c>
      <x:c r="F48" s="431" t="str">
        <x:v>codex/p2.3-equipment-datasheet-manifest-reciprocity</x:v>
      </x:c>
      <x:c r="G48" s="431" t="str">
        <x:v>D-105-D-106; EV-129-EV-133; PR #58 exact main 761ac76; clean 10/10; wrong-manifest automatic_fail/hold/exit-1/four outputs; focused 93; full 308/1; coverage 88.27%</x:v>
      </x:c>
      <x:c r="H48" s="431" t="str">
        <x:v>Jason</x:v>
      </x:c>
    </x:row>
    <x:row r="49" ht="522" customHeight="1">
      <x:c r="A49" s="431" t="n">
        <x:v>26</x:v>
      </x:c>
      <x:c r="B49" s="431" t="str">
        <x:v>P2.3</x:v>
      </x:c>
      <x:c r="C49" s="431" t="str">
        <x:v>Specification revision history - check 11</x:v>
      </x:c>
      <x:c r="D49" s="431" t="str">
        <x:v>Append check 11 under exact AUTH-SPEC-003; require every release-required specification metadata revision to match exactly one current revision-history record by normalized specification_id; prove clean, wrong-valid, missing, multiple, authority, ordering, result, reports, CLI exit, and four-output behavior.</x:v>
      </x:c>
      <x:c r="E49" s="431" t="str">
        <x:v>Accepted</x:v>
      </x:c>
      <x:c r="F49" s="431" t="str">
        <x:v>codex/p2.3-specification-revision-history</x:v>
      </x:c>
      <x:c r="G49" s="431" t="str">
        <x:v>D-106-D-107; EV-133-EV-137; PR #59 exact main 69c0d1b; clean 11/11; wrong-spec automatic_fail/hold/exit-1/four outputs; focused 99; full 314/1; coverage 88.48%</x:v>
      </x:c>
      <x:c r="H49" s="431" t="str">
        <x:v>Jason</x:v>
      </x:c>
    </x:row>
    <x:row r="50" ht="450" customHeight="1">
      <x:c r="A50" s="431" t="n">
        <x:v>27</x:v>
      </x:c>
      <x:c r="B50" s="431" t="str">
        <x:v>P2.3 / P4.1</x:v>
      </x:c>
      <x:c r="C50" s="431" t="str">
        <x:v>P2.3 completion and benchmark entry</x:v>
      </x:c>
      <x:c r="D50" s="431" t="str">
        <x:v>Close P2.3 for the exact eight-gate and eleven-check scope; defer six unsupported claims; freeze bounded v0.3.0 language; authorize development benchmark regression without protected held-out semantic execution.</x:v>
      </x:c>
      <x:c r="E50" s="431" t="str">
        <x:v>Accepted / P4.1 Active</x:v>
      </x:c>
      <x:c r="F50" s="431" t="str">
        <x:v>codex/p2.3-completion-claim-boundary</x:v>
      </x:c>
      <x:c r="G50" s="431" t="str">
        <x:v>D-107-D-108; EV-137-EV-138; PR #59 exact main 69c0d1b; p2_3_completion_and_claim_boundary_v0.3.0.md; six gaps deferred; P4.1 authorized; P4.2 blocked</x:v>
      </x:c>
      <x:c r="H50" s="431" t="str">
        <x:v>Jason</x:v>
      </x:c>
    </x:row>
    <x:row r="51" ht="540" customHeight="1">
      <x:c r="A51" s="431" t="n">
        <x:v>28</x:v>
      </x:c>
      <x:c r="B51" s="431" t="str">
        <x:v>P4.1</x:v>
      </x:c>
      <x:c r="C51" s="431" t="str">
        <x:v>Development benchmark and fault injection</x:v>
      </x:c>
      <x:c r="D51" s="431" t="str">
        <x:v>Verify the accepted clean baseline; generate 21 controlled faults; execute all 22 development scenarios twice; compare exact normalized four-output oracles; preserve evidence; separate genuine full-audit state coverage from router-only capability.</x:v>
      </x:c>
      <x:c r="E51" s="431" t="str">
        <x:v>Ready for Review</x:v>
      </x:c>
      <x:c r="F51" s="431" t="str">
        <x:v>codex/p4.1-development-benchmark</x:v>
      </x:c>
      <x:c r="G51" s="431" t="str">
        <x:v>implementation 4cf9fe8; P4.1-DEV-1; D-109 proposed; EV-139-EV-142; IMP-020-IMP-022; 22/22 scenarios; 44/44 publications; 8/8 gate faults; 11/11 check faults; 22/22 repeatability; full 319/1; coverage 88.57%; validation 5/5; Ruff; baseline 9/9; demo 2/2; hosted Linux CI 2/2; P4.2 blocked</x:v>
      </x:c>
      <x:c r="H51"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