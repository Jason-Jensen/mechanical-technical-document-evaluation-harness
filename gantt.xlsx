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110c77032043a3" /></Relationships>
</file>

<file path=xl/workbook.xml><?xml version="1.0" encoding="utf-8"?>
<x:workbook xmlns:x="http://schemas.openxmlformats.org/spreadsheetml/2006/main">
  <x:sheets>
    <x:sheet xmlns:r="http://schemas.openxmlformats.org/officeDocument/2006/relationships" name="Start Here" sheetId="1" r:id="Rb7d6972d86394226"/>
    <x:sheet xmlns:r="http://schemas.openxmlformats.org/officeDocument/2006/relationships" name="Executive Gantt" sheetId="2" r:id="R8c6aa7df053a4556"/>
    <x:sheet xmlns:r="http://schemas.openxmlformats.org/officeDocument/2006/relationships" name="Detailed Gantt" sheetId="3" r:id="R7c18fc467e2747b8"/>
    <x:sheet xmlns:r="http://schemas.openxmlformats.org/officeDocument/2006/relationships" name="Weekly Control" sheetId="4" r:id="R1d597c73a47f4aa5"/>
    <x:sheet xmlns:r="http://schemas.openxmlformats.org/officeDocument/2006/relationships" name="Phase Summary" sheetId="5" r:id="Re27b058620b7456d"/>
    <x:sheet xmlns:r="http://schemas.openxmlformats.org/officeDocument/2006/relationships" name="Assumptions &amp; Gates" sheetId="6" r:id="Rc8531fee9414479b"/>
    <x:sheet xmlns:r="http://schemas.openxmlformats.org/officeDocument/2006/relationships" name="Sources" sheetId="7" r:id="R3f2348a3585c4497"/>
    <x:sheet xmlns:r="http://schemas.openxmlformats.org/officeDocument/2006/relationships" name="Legacy Baseline" sheetId="8" r:id="R8c10c6f5b67244e3"/>
    <x:sheet xmlns:r="http://schemas.openxmlformats.org/officeDocument/2006/relationships" name="Work Block Log" sheetId="9" r:id="R2f9cd2375708442b"/>
    <x:sheet xmlns:r="http://schemas.openxmlformats.org/officeDocument/2006/relationships" name="Decision Register" sheetId="10" r:id="Rb3a0c2b78e424959"/>
    <x:sheet xmlns:r="http://schemas.openxmlformats.org/officeDocument/2006/relationships" name="Risks &amp; Issues" sheetId="11" r:id="R3699443df21e496b"/>
    <x:sheet xmlns:r="http://schemas.openxmlformats.org/officeDocument/2006/relationships" name="Evidence Register" sheetId="12" r:id="R5c3d3965412e42c8"/>
    <x:sheet xmlns:r="http://schemas.openxmlformats.org/officeDocument/2006/relationships" name="Expansion Backlog" sheetId="13" r:id="R5ba5d6c7340044db"/>
    <x:sheet xmlns:r="http://schemas.openxmlformats.org/officeDocument/2006/relationships" name="AI Context" sheetId="14" r:id="R3db3d3f5f8064af2"/>
    <x:sheet xmlns:r="http://schemas.openxmlformats.org/officeDocument/2006/relationships" name="MVP Dashboard" sheetId="15" r:id="Rb1612a47b3014188"/>
    <x:sheet xmlns:r="http://schemas.openxmlformats.org/officeDocument/2006/relationships" name="Product Vision" sheetId="16" r:id="Re805a53247464bd0"/>
    <x:sheet xmlns:r="http://schemas.openxmlformats.org/officeDocument/2006/relationships" name="Pilot Gantt" sheetId="17" r:id="Rd75132e452c64911"/>
    <x:sheet xmlns:r="http://schemas.openxmlformats.org/officeDocument/2006/relationships" name="Pilot Dashboard" sheetId="18" r:id="R24d10b208c8b4c13"/>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<x:sst xmlns:x="http://schemas.openxmlformats.org/spreadsheetml/2006/main">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</x:sst>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c40d1aa0e3a4654" /><Relationship Type="http://schemas.openxmlformats.org/officeDocument/2006/relationships/theme" Target="/xl/theme/theme1.xml" Id="R73cfdfcf98744111" /><Relationship Type="http://schemas.openxmlformats.org/officeDocument/2006/relationships/sharedStrings" Target="/xl/sharedStrings.xml" Id="R601b7a908b85460f" /><Relationship Type="http://schemas.openxmlformats.org/officeDocument/2006/relationships/worksheet" Target="/xl/worksheets/sheet1.xml" Id="Rb7d6972d86394226" /><Relationship Type="http://schemas.openxmlformats.org/officeDocument/2006/relationships/worksheet" Target="/xl/worksheets/sheet2.xml" Id="R8c6aa7df053a4556" /><Relationship Type="http://schemas.openxmlformats.org/officeDocument/2006/relationships/worksheet" Target="/xl/worksheets/sheet3.xml" Id="R7c18fc467e2747b8" /><Relationship Type="http://schemas.openxmlformats.org/officeDocument/2006/relationships/worksheet" Target="/xl/worksheets/sheet4.xml" Id="R1d597c73a47f4aa5" /><Relationship Type="http://schemas.openxmlformats.org/officeDocument/2006/relationships/worksheet" Target="/xl/worksheets/sheet5.xml" Id="Re27b058620b7456d" /><Relationship Type="http://schemas.openxmlformats.org/officeDocument/2006/relationships/worksheet" Target="/xl/worksheets/sheet6.xml" Id="Rc8531fee9414479b" /><Relationship Type="http://schemas.openxmlformats.org/officeDocument/2006/relationships/worksheet" Target="/xl/worksheets/sheet7.xml" Id="R3f2348a3585c4497" /><Relationship Type="http://schemas.openxmlformats.org/officeDocument/2006/relationships/worksheet" Target="/xl/worksheets/sheet8.xml" Id="R8c10c6f5b67244e3" /><Relationship Type="http://schemas.openxmlformats.org/officeDocument/2006/relationships/worksheet" Target="/xl/worksheets/sheet9.xml" Id="R2f9cd2375708442b" /><Relationship Type="http://schemas.openxmlformats.org/officeDocument/2006/relationships/worksheet" Target="/xl/worksheets/sheet10.xml" Id="Rb3a0c2b78e424959" /><Relationship Type="http://schemas.openxmlformats.org/officeDocument/2006/relationships/worksheet" Target="/xl/worksheets/sheet11.xml" Id="R3699443df21e496b" /><Relationship Type="http://schemas.openxmlformats.org/officeDocument/2006/relationships/worksheet" Target="/xl/worksheets/sheet12.xml" Id="R5c3d3965412e42c8" /><Relationship Type="http://schemas.openxmlformats.org/officeDocument/2006/relationships/worksheet" Target="/xl/worksheets/sheet13.xml" Id="R5ba5d6c7340044db" /><Relationship Type="http://schemas.openxmlformats.org/officeDocument/2006/relationships/worksheet" Target="/xl/worksheets/sheet14.xml" Id="R3db3d3f5f8064af2" /><Relationship Type="http://schemas.openxmlformats.org/officeDocument/2006/relationships/worksheet" Target="/xl/worksheets/sheet15.xml" Id="Rb1612a47b3014188" /><Relationship Type="http://schemas.openxmlformats.org/officeDocument/2006/relationships/worksheet" Target="/xl/worksheets/sheet16.xml" Id="Re805a53247464bd0" /><Relationship Type="http://schemas.openxmlformats.org/officeDocument/2006/relationships/worksheet" Target="/xl/worksheets/sheet17.xml" Id="Rd75132e452c64911" /><Relationship Type="http://schemas.openxmlformats.org/officeDocument/2006/relationships/worksheet" Target="/xl/worksheets/sheet18.xml" Id="R24d10b208c8b4c13" /></Relationships>
</file>

<file path=xl/drawings/_rels/drawing1.xml.rels>&#65279;<?xml version="1.0" encoding="utf-8"?><Relationships xmlns="http://schemas.openxmlformats.org/package/2006/relationships"><Relationship Type="http://schemas.openxmlformats.org/officeDocument/2006/relationships/chart" Target="/xl/drawings/charts/chart1.xml" Id="Rde976d809a694a31" /></Relationships>
</file>

<file path=xl/drawings/_rels/drawing2.xml.rels>&#65279;<?xml version="1.0" encoding="utf-8"?><Relationships xmlns="http://schemas.openxmlformats.org/package/2006/relationships"><Relationship Type="http://schemas.openxmlformats.org/officeDocument/2006/relationships/chart" Target="/xl/drawings/charts/chart2.xml" Id="Rea29d1cd8e9c45a6" /></Relationships>
</file>

<file path=xl/drawings/_rels/drawing3.xml.rels>&#65279;<?xml version="1.0" encoding="utf-8"?><Relationships xmlns="http://schemas.openxmlformats.org/package/2006/relationships"><Relationship Type="http://schemas.openxmlformats.org/officeDocument/2006/relationships/chart" Target="/xl/drawings/charts/chart3.xml" Id="Rc4fca8b8d2cb4973"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e976d809a694a3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29d1cd8e9c45a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fca8b8d2cb497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c3282b7e6e894c67" /></Relationships>
</file>

<file path=xl/worksheets/_rels/sheet5.xml.rels>&#65279;<?xml version="1.0" encoding="utf-8"?><Relationships xmlns="http://schemas.openxmlformats.org/package/2006/relationships"><Relationship Type="http://schemas.openxmlformats.org/officeDocument/2006/relationships/drawing" Target="/xl/drawings/drawing2.xml" Id="Rc7824a71c0154829" /></Relationships>
</file>

<file path=xl/worksheets/_rels/sheet15.xml.rels>&#65279;<?xml version="1.0" encoding="utf-8"?><Relationships xmlns="http://schemas.openxmlformats.org/package/2006/relationships"><Relationship Type="http://schemas.openxmlformats.org/officeDocument/2006/relationships/drawing" Target="/xl/drawings/drawing3.xml" Id="R4b7089087fd3416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P3.1 accepted and integrated; P3.2 release summary active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P3.2 non-approving release-readiness summary</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P3.2 - Pure Markdown readiness view of package_result.json</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Implement the summary view only; publishing and CLI remain blocked</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The user accepted P3.1 and authorized merge on 2026-07-19. The exact reviewed branch was fast-forwarded to main 8f66b12. Exact-main verification: 26 focused package-result/report tests; full 248 passed / 1 expected Windows symlink skip; repository validation 5/5; Ruff passed; coverage 86.49%. P3.1 is complete. P3.2 is authorized only for one concise, non-approving Markdown release-readiness view of package_result.json. It must show stored identity, state, hold, blocking states, gate/check counts, finding counts by state, known output names, the exact limitation, and the required qualified-human decision without approving release, compliance, or engineering correctness. Report publishing, P3.3 CLI, P2.3 expansion, semantic held-out execution, protected changes,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c3282b7e6e894c67"/>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c7824a71c015482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P3.2 non-approving release-readiness summary</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P3.1 issue-register views are accepted and integrated. The package result still lacks one concise readiness view, report publishing, audit-package CLI, broad P2.3 relationships, and semantic held-out execution.</x:v>
      </x:c>
      <x:c r="E7" s="765" t="str">
        <x:v>Product interpretation</x:v>
      </x:c>
      <x:c r="F7" s="431" t="str">
        <x:v>Successful kernel; not yet a complete economically useful workflow.</x:v>
      </x:c>
      <x:c r="G7" s="765" t="str">
        <x:v>Response</x:v>
      </x:c>
      <x:c r="H7" s="431" t="str">
        <x:v>Render one concise Markdown readiness summary from the accepted package result without recomputing or approving evaluator meaning.</x:v>
      </x:c>
    </x:row>
    <x:row r="8" ht="99" hidden="0" customHeight="1">
      <x:c r="A8" s="765" t="str">
        <x:v>Immediate next action</x:v>
      </x:c>
      <x:c r="B8" s="431" t="str">
        <x:v>Create codex/p3.2-release-readiness-summary from exact main after this closeout. Implement a pure Markdown renderer plus focused tests only.</x:v>
      </x:c>
      <x:c r="C8" s="765" t="str">
        <x:v>Selected vertical</x:v>
      </x:c>
      <x:c r="D8" s="431" t="str">
        <x:v>Eight gates -&gt; five checks -&gt; canonical result -&gt; accepted P3.1 issue views -&gt; pure P3.2 readiness view.</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P3.1 is accepted and integrated at exact main 8f66b12. Exact-main proof: focused result/report 26; full 248/1; validation 5/5; Ruff; coverage 86.49%. P3.2 is active. The Markdown readiness summary must use only package_result.json and show package/run identity, stored package state and release hold, stored blocking states, passed/failed/skipped gate and check counts, issue counts by stored state, known output names, the exact engineering-review limitation, and an explicit qualified-human decision requirement. It may describe readiness to proceed to human review but cannot approve release, compliance, or engineering correctness. It cannot rerun evaluator logic or publish files. P3.3, P2.3, held-out semantics, protected changes,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b7089087fd3416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In Progress</x:v>
      </x:c>
      <x:c r="L16" s="664" t="n">
        <x:v>0</x:v>
      </x:c>
      <x:c r="M16" s="662" t="n">
        <x:f>SUMIF('Work Block Log'!$E$5:$E$200,A16,'Work Block Log'!$F$5:$F$200)</x:f>
        <x:v>0</x:v>
      </x:c>
      <x:c r="N16" s="662" t="n">
        <x:f>MAX(F16*(1-L16),0)</x:f>
        <x:v>2</x:v>
      </x:c>
      <x:c r="O16" s="662" t="n">
        <x:f>M16-F16</x:f>
        <x:v>-2</x:v>
      </x:c>
      <x:c r="P16" s="431" t="str">
        <x:v>codex/p3.2-release-readiness-summary; accepted P3.1 exact main 8f66b12; D-080; EV-077; first usable audit definition; IMP-012</x:v>
      </x:c>
      <x:c r="Q16" s="431" t="str">
        <x:v>Implement one concise non-approving Markdown release-readiness view from package_result.json, with focused tests and inspected clean/fault output.</x:v>
      </x:c>
      <x:c r="R16" s="431" t="str">
        <x:v>Pure view only. No report publishing, CLI dispatch, P2.3 relationships, semantic held-out execution, protected changes, or deferred capabilities.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0.5652173913043478</x:v>
      </x:c>
      <x:c r="M24" s="683" t="n">
        <x:f>SUM(M6:M22)</x:f>
        <x:v>0</x:v>
      </x:c>
      <x:c r="N24" s="683" t="n">
        <x:f>SUM(N6:N22)</x:f>
        <x:v>20</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P3.2 Release Summary</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P3.2 - Pure Markdown readiness view of package_result.json</x:v>
      </x:c>
      <x:c r="H4" s="697"/>
    </x:row>
    <x:row r="5" ht="72" customHeight="1">
      <x:c r="A5" s="688" t="str">
        <x:v>Schedule Baseline</x:v>
      </x:c>
      <x:c r="B5" s="693" t="str">
        <x:v>Legacy only; not controlling</x:v>
      </x:c>
      <x:c r="C5" s="691"/>
      <x:c r="D5" s="691"/>
      <x:c r="F5" s="696" t="str">
        <x:v>Objective</x:v>
      </x:c>
      <x:c r="G5" s="697" t="str">
        <x:v>Turn the accepted machine result into a concise human review summary without changing its meaning.</x:v>
      </x:c>
      <x:c r="H5" s="697"/>
    </x:row>
    <x:row r="6" ht="63" customHeight="1">
      <x:c r="A6" s="688" t="str">
        <x:v>Time Tracking</x:v>
      </x:c>
      <x:c r="B6" s="693" t="str">
        <x:v>Waived prospectively</x:v>
      </x:c>
      <x:c r="C6" s="691"/>
      <x:c r="D6" s="691"/>
      <x:c r="F6" s="696" t="str">
        <x:v>Gate Status</x:v>
      </x:c>
      <x:c r="G6" s="697" t="str">
        <x:v>P3.1 is accepted at exact main 8f66b12; P3.2 summary rendering is authorized and active.</x:v>
      </x:c>
      <x:c r="H6" s="697"/>
    </x:row>
    <x:row r="7" ht="81" customHeight="1">
      <x:c r="A7" s="688" t="str">
        <x:v>Current Gate</x:v>
      </x:c>
      <x:c r="B7" s="694" t="str">
        <x:v>P3.2 non-approving release-readiness summary</x:v>
      </x:c>
      <x:c r="C7" s="691"/>
      <x:c r="D7" s="691"/>
      <x:c r="F7" s="696" t="str">
        <x:v>Definition of Done</x:v>
      </x:c>
      <x:c r="G7" s="697" t="str">
        <x:v>Identity, state, hold, blocking states, stored outcome counts, issue counts, outputs, limitation, and human-decision requirement are visible.</x:v>
      </x:c>
      <x:c r="H7" s="697"/>
    </x:row>
    <x:row r="8" ht="63" customHeight="1">
      <x:c r="A8" s="688" t="str">
        <x:v>Released Kernel</x:v>
      </x:c>
      <x:c r="B8" s="691" t="str">
        <x:v>v0.2.0 / commit 45336a2</x:v>
      </x:c>
      <x:c r="C8" s="691"/>
      <x:c r="D8" s="691"/>
      <x:c r="F8" s="696" t="str">
        <x:v>Immediate Next Action</x:v>
      </x:c>
      <x:c r="G8" s="697" t="str">
        <x:v>Implement and test the bounded P3.2 renderer on codex/p3.2-release-readiness-summary.</x:v>
      </x:c>
      <x:c r="H8" s="697"/>
    </x:row>
    <x:row r="9" ht="72" customHeight="1">
      <x:c r="A9" s="688" t="str">
        <x:v>Release Target</x:v>
      </x:c>
      <x:c r="B9" s="691" t="str">
        <x:v>v0.3.0</x:v>
      </x:c>
      <x:c r="C9" s="691"/>
      <x:c r="D9" s="691"/>
      <x:c r="F9" s="696" t="str">
        <x:v>Primary Risk</x:v>
      </x:c>
      <x:c r="G9" s="697" t="str">
        <x:v>Primary risk is wording that implies release approval or silently derives a different state from the canonical result.</x:v>
      </x:c>
      <x:c r="H9" s="697"/>
    </x:row>
    <x:row r="10" ht="81" customHeight="1">
      <x:c r="A10" s="688" t="str">
        <x:v>Baseline Test Count</x:v>
      </x:c>
      <x:c r="B10" s="691" t="n">
        <x:v>121</x:v>
      </x:c>
      <x:c r="C10" s="691"/>
      <x:c r="D10" s="691"/>
      <x:c r="F10" s="696" t="str">
        <x:v>Deferred</x:v>
      </x:c>
      <x:c r="G10" s="697" t="str">
        <x:v>Publishing, CLI, P2.3 expansion, semantic held-out execution, protected changes, and deferred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accepted; P2.3 intentionally sequenced later</x:v>
      </x:c>
      <x:c r="D17" s="700" t="n">
        <x:v>0.75</x:v>
      </x:c>
      <x:c r="E17" s="698" t="str">
        <x:v>Gate P2 - deterministic audit core and result-state routing</x:v>
      </x:c>
    </x:row>
    <x:row r="18" ht="36" customHeight="1">
      <x:c r="A18" s="698" t="str">
        <x:v>P3 Issue Register &amp; CLI</x:v>
      </x:c>
      <x:c r="B18" s="699" t="str">
        <x:v>In Progress</x:v>
      </x:c>
      <x:c r="C18" s="699" t="str">
        <x:v>P3.1 accepted; P3.2 summary active</x:v>
      </x:c>
      <x:c r="D18" s="700" t="n">
        <x:v>0.5</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Authorized / In Progress</x:v>
      </x:c>
      <x:c r="F30" s="431" t="str">
        <x:v>codex/p3.2-release-readiness-summary</x:v>
      </x:c>
      <x:c r="G30" s="431" t="str">
        <x:v>accepted predecessor main 8f66b12; D-080; EV-077; first usable audit definition; publishing and CLI remain blocked</x:v>
      </x:c>
      <x:c r="H30"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