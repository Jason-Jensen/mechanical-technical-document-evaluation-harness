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210a4b978774c0d" /></Relationships>
</file>

<file path=xl/workbook.xml><?xml version="1.0" encoding="utf-8"?>
<x:workbook xmlns:x="http://schemas.openxmlformats.org/spreadsheetml/2006/main">
  <x:sheets>
    <x:sheet xmlns:r="http://schemas.openxmlformats.org/officeDocument/2006/relationships" name="Start Here" sheetId="1" r:id="Rc9b0d67bf3d441cd"/>
    <x:sheet xmlns:r="http://schemas.openxmlformats.org/officeDocument/2006/relationships" name="Executive Gantt" sheetId="2" r:id="R784f0c8ad2dd4b53"/>
    <x:sheet xmlns:r="http://schemas.openxmlformats.org/officeDocument/2006/relationships" name="Detailed Gantt" sheetId="3" r:id="Rdc0cae5266ad4933"/>
    <x:sheet xmlns:r="http://schemas.openxmlformats.org/officeDocument/2006/relationships" name="Weekly Control" sheetId="4" r:id="Rd279f8de00ce4623"/>
    <x:sheet xmlns:r="http://schemas.openxmlformats.org/officeDocument/2006/relationships" name="Phase Summary" sheetId="5" r:id="Rf24031d4e6ba410d"/>
    <x:sheet xmlns:r="http://schemas.openxmlformats.org/officeDocument/2006/relationships" name="Assumptions &amp; Gates" sheetId="6" r:id="R41d5febe038d4bca"/>
    <x:sheet xmlns:r="http://schemas.openxmlformats.org/officeDocument/2006/relationships" name="Sources" sheetId="7" r:id="Rc8e2f48ce58942ec"/>
    <x:sheet xmlns:r="http://schemas.openxmlformats.org/officeDocument/2006/relationships" name="Legacy Baseline" sheetId="8" r:id="R9b0b4a2608ef42aa"/>
    <x:sheet xmlns:r="http://schemas.openxmlformats.org/officeDocument/2006/relationships" name="Work Block Log" sheetId="9" r:id="R8a169fe43ec041fc"/>
    <x:sheet xmlns:r="http://schemas.openxmlformats.org/officeDocument/2006/relationships" name="Decision Register" sheetId="10" r:id="R17df03de483741e0"/>
    <x:sheet xmlns:r="http://schemas.openxmlformats.org/officeDocument/2006/relationships" name="Risks &amp; Issues" sheetId="11" r:id="R6257b3d14e734210"/>
    <x:sheet xmlns:r="http://schemas.openxmlformats.org/officeDocument/2006/relationships" name="Evidence Register" sheetId="12" r:id="Rad17ebdd60674831"/>
    <x:sheet xmlns:r="http://schemas.openxmlformats.org/officeDocument/2006/relationships" name="Expansion Backlog" sheetId="13" r:id="Rfd70464672194263"/>
    <x:sheet xmlns:r="http://schemas.openxmlformats.org/officeDocument/2006/relationships" name="AI Context" sheetId="14" r:id="R7a23f35c5a02426a"/>
    <x:sheet xmlns:r="http://schemas.openxmlformats.org/officeDocument/2006/relationships" name="MVP Dashboard" sheetId="15" r:id="Rd5dae8e27bc54027"/>
    <x:sheet xmlns:r="http://schemas.openxmlformats.org/officeDocument/2006/relationships" name="Product Vision" sheetId="16" r:id="R6850e3c7bae44fc8"/>
    <x:sheet xmlns:r="http://schemas.openxmlformats.org/officeDocument/2006/relationships" name="Pilot Gantt" sheetId="17" r:id="R837073d5cb6044f5"/>
    <x:sheet xmlns:r="http://schemas.openxmlformats.org/officeDocument/2006/relationships" name="Pilot Dashboard" sheetId="18" r:id="R6e700cc3fe41471c"/>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<x:sst xmlns:x="http://schemas.openxmlformats.org/spreadsheetml/2006/main">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</x:sst>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6a36c26b554921" /><Relationship Type="http://schemas.openxmlformats.org/officeDocument/2006/relationships/theme" Target="/xl/theme/theme1.xml" Id="Rbf9751af262f4e9e" /><Relationship Type="http://schemas.openxmlformats.org/officeDocument/2006/relationships/sharedStrings" Target="/xl/sharedStrings.xml" Id="Rcb3b662763704b88" /><Relationship Type="http://schemas.openxmlformats.org/officeDocument/2006/relationships/worksheet" Target="/xl/worksheets/sheet1.xml" Id="Rc9b0d67bf3d441cd" /><Relationship Type="http://schemas.openxmlformats.org/officeDocument/2006/relationships/worksheet" Target="/xl/worksheets/sheet2.xml" Id="R784f0c8ad2dd4b53" /><Relationship Type="http://schemas.openxmlformats.org/officeDocument/2006/relationships/worksheet" Target="/xl/worksheets/sheet3.xml" Id="Rdc0cae5266ad4933" /><Relationship Type="http://schemas.openxmlformats.org/officeDocument/2006/relationships/worksheet" Target="/xl/worksheets/sheet4.xml" Id="Rd279f8de00ce4623" /><Relationship Type="http://schemas.openxmlformats.org/officeDocument/2006/relationships/worksheet" Target="/xl/worksheets/sheet5.xml" Id="Rf24031d4e6ba410d" /><Relationship Type="http://schemas.openxmlformats.org/officeDocument/2006/relationships/worksheet" Target="/xl/worksheets/sheet6.xml" Id="R41d5febe038d4bca" /><Relationship Type="http://schemas.openxmlformats.org/officeDocument/2006/relationships/worksheet" Target="/xl/worksheets/sheet7.xml" Id="Rc8e2f48ce58942ec" /><Relationship Type="http://schemas.openxmlformats.org/officeDocument/2006/relationships/worksheet" Target="/xl/worksheets/sheet8.xml" Id="R9b0b4a2608ef42aa" /><Relationship Type="http://schemas.openxmlformats.org/officeDocument/2006/relationships/worksheet" Target="/xl/worksheets/sheet9.xml" Id="R8a169fe43ec041fc" /><Relationship Type="http://schemas.openxmlformats.org/officeDocument/2006/relationships/worksheet" Target="/xl/worksheets/sheet10.xml" Id="R17df03de483741e0" /><Relationship Type="http://schemas.openxmlformats.org/officeDocument/2006/relationships/worksheet" Target="/xl/worksheets/sheet11.xml" Id="R6257b3d14e734210" /><Relationship Type="http://schemas.openxmlformats.org/officeDocument/2006/relationships/worksheet" Target="/xl/worksheets/sheet12.xml" Id="Rad17ebdd60674831" /><Relationship Type="http://schemas.openxmlformats.org/officeDocument/2006/relationships/worksheet" Target="/xl/worksheets/sheet13.xml" Id="Rfd70464672194263" /><Relationship Type="http://schemas.openxmlformats.org/officeDocument/2006/relationships/worksheet" Target="/xl/worksheets/sheet14.xml" Id="R7a23f35c5a02426a" /><Relationship Type="http://schemas.openxmlformats.org/officeDocument/2006/relationships/worksheet" Target="/xl/worksheets/sheet15.xml" Id="Rd5dae8e27bc54027" /><Relationship Type="http://schemas.openxmlformats.org/officeDocument/2006/relationships/worksheet" Target="/xl/worksheets/sheet16.xml" Id="R6850e3c7bae44fc8" /><Relationship Type="http://schemas.openxmlformats.org/officeDocument/2006/relationships/worksheet" Target="/xl/worksheets/sheet17.xml" Id="R837073d5cb6044f5" /><Relationship Type="http://schemas.openxmlformats.org/officeDocument/2006/relationships/worksheet" Target="/xl/worksheets/sheet18.xml" Id="R6e700cc3fe41471c"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769d83df0d4e92" /></Relationships>
</file>

<file path=xl/drawings/_rels/drawing2.xml.rels>&#65279;<?xml version="1.0" encoding="utf-8"?><Relationships xmlns="http://schemas.openxmlformats.org/package/2006/relationships"><Relationship Type="http://schemas.openxmlformats.org/officeDocument/2006/relationships/chart" Target="/xl/drawings/charts/chart2.xml" Id="Rf6a8bf6019774fc3" /></Relationships>
</file>

<file path=xl/drawings/_rels/drawing3.xml.rels>&#65279;<?xml version="1.0" encoding="utf-8"?><Relationships xmlns="http://schemas.openxmlformats.org/package/2006/relationships"><Relationship Type="http://schemas.openxmlformats.org/officeDocument/2006/relationships/chart" Target="/xl/drawings/charts/chart3.xml" Id="R4e5ba0cd4fbe47bd"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769d83df0d4e92"/>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a8bf6019774fc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5ba0cd4fbe47b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ed25fc1483ac4598" /></Relationships>
</file>

<file path=xl/worksheets/_rels/sheet5.xml.rels>&#65279;<?xml version="1.0" encoding="utf-8"?><Relationships xmlns="http://schemas.openxmlformats.org/package/2006/relationships"><Relationship Type="http://schemas.openxmlformats.org/officeDocument/2006/relationships/drawing" Target="/xl/drawings/drawing2.xml" Id="R24fae4df72fd4482" /></Relationships>
</file>

<file path=xl/worksheets/_rels/sheet15.xml.rels>&#65279;<?xml version="1.0" encoding="utf-8"?><Relationships xmlns="http://schemas.openxmlformats.org/package/2006/relationships"><Relationship Type="http://schemas.openxmlformats.org/officeDocument/2006/relationships/drawing" Target="/xl/drawings/drawing3.xml" Id="R9ce7357796a84891"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v2.2 - P0 accepted / P1.1 authorized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P0.2 accepted; P1.1 authorized</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P1.1 - Implement package manifest schema and loader</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P1.2 - Author development synthetic package (blocked pending P1.1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8" hidden="0" customHeight="1">
      <x:c r="A28" s="704" t="str">
        <x:v>P0.2 accepted. Integrate the P0 branch and begin only P1.1 on feature/package-manifest.</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ed25fc1483ac459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4fae4df72fd448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v2.1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P1.1 - package manifest schema and loader</x:v>
      </x:c>
    </x:row>
    <x:row r="7" ht="48"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No package-level data model, authority hierarchy, cross-document relationship engine, issue register, release-readiness states, or true unseen package benchmark.</x:v>
      </x:c>
      <x:c r="E7" s="449" t="str">
        <x:v>Product interpretation</x:v>
      </x:c>
      <x:c r="F7" s="447" t="str">
        <x:v>Successful kernel; not yet a complete economically useful workflow.</x:v>
      </x:c>
      <x:c r="G7" s="449" t="str">
        <x:v>Response</x:v>
      </x:c>
      <x:c r="H7" s="447" t="str">
        <x:v>Build one vertical end-to-end without restarting the repository.</x:v>
      </x:c>
    </x:row>
    <x:row r="8" ht="48" hidden="0" customHeight="1">
      <x:c r="A8" s="449" t="str">
        <x:v>Immediate next action</x:v>
      </x:c>
      <x:c r="B8" s="447" t="str">
        <x:v>Integrate the accepted P0 branch, create feature/package-manifest, and implement the P1.1 schema and loader without beginning fixtures or rules.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45"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Accept P0.2, then complete P1.1 through P4 in sequence; defer everything else.</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0" hidden="0" customHeight="1">
      <x:c r="A41" s="604" t="str">
        <x:v>Immediate implication</x:v>
      </x:c>
      <x:c r="B41" s="605"/>
      <x:c r="C41" s="606" t="str">
        <x:v>P0.2 is accepted. P1.1 is authorized on a dedicated package-manifest branch; P1.2 and all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9ce7357796a84891"/>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accepted and closed. Integrate the P0 branch, then begin P1.1 on feature/package-manifest.</x:v>
      </x:c>
      <x:c r="R7" s="431" t="str">
        <x:v>The user accepted P0.2 on 2026-07-16 and authorized the next gate. Benchmark policy is frozen; P1.1 only is authorized.</x:v>
      </x:c>
      <x:c r="S7" s="669" t="str">
        <x:v>■</x:v>
      </x:c>
      <x:c r="T7" s="669"/>
      <x:c r="U7" s="669"/>
      <x:c r="V7" s="669"/>
      <x:c r="W7" s="669"/>
      <x:c r="X7" s="669"/>
    </x:row>
    <x:row r="8" ht="64"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Not Started</x:v>
      </x:c>
      <x:c r="L8" s="664" t="n">
        <x:v>0</x:v>
      </x:c>
      <x:c r="M8" s="662" t="n">
        <x:f>SUMIF('Work Block Log'!$E$5:$E$200,A8,'Work Block Log'!$F$5:$F$200)</x:f>
        <x:v>0</x:v>
      </x:c>
      <x:c r="N8" s="662" t="n">
        <x:f>MAX(F8*(1-L8),0)</x:f>
        <x:v>3</x:v>
      </x:c>
      <x:c r="O8" s="662" t="n">
        <x:f>M8-F8</x:f>
        <x:v>-3</x:v>
      </x:c>
      <x:c r="P8" s="431" t="str">
        <x:v>feature/package-manifest; P0.2 acceptance D-037; EV-034</x:v>
      </x:c>
      <x:c r="Q8" s="431" t="str">
        <x:v>After P0 integration, create feature/package-manifest and implement the schema and loader with focused tests.</x:v>
      </x:c>
      <x:c r="R8" s="431" t="str">
        <x:v>P1.2 fixtures and P2 rules remain blocked. Extend existing kernel patterns; do not create a parallel framework.</x:v>
      </x:c>
      <x:c r="S8" s="669" t="str">
        <x:v>■</x:v>
      </x:c>
      <x:c r="T8" s="669" t="str">
        <x:v>■</x:v>
      </x:c>
      <x:c r="U8" s="669"/>
      <x:c r="V8" s="669"/>
      <x:c r="W8" s="669"/>
      <x:c r="X8" s="669"/>
    </x:row>
    <x:row r="9" ht="64"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Not Started</x:v>
      </x:c>
      <x:c r="L9" s="664" t="n">
        <x:v>0</x:v>
      </x:c>
      <x:c r="M9" s="662" t="n">
        <x:f>SUMIF('Work Block Log'!$E$5:$E$200,A9,'Work Block Log'!$F$5:$F$200)</x:f>
        <x:v>0</x:v>
      </x:c>
      <x:c r="N9" s="662" t="n">
        <x:f>MAX(F9*(1-L9),0)</x:f>
        <x:v>3</x:v>
      </x:c>
      <x:c r="O9" s="662" t="n">
        <x:f>M9-F9</x:f>
        <x:v>-3</x:v>
      </x:c>
      <x:c r="P9" s="431" t="str">
        <x:v>feature/package-fixtures</x:v>
      </x:c>
      <x:c r="Q9" s="431" t="str">
        <x:v>Build one clean package and a controlled corruption matrix.</x:v>
      </x:c>
      <x:c r="R9" s="431" t="str">
        <x:v>Use synthetic/self-authored data only.</x:v>
      </x:c>
      <x:c r="S9" s="669"/>
      <x:c r="T9" s="669" t="str">
        <x:v>■</x:v>
      </x:c>
      <x:c r="U9" s="669"/>
      <x:c r="V9" s="669"/>
      <x:c r="W9" s="669"/>
      <x:c r="X9" s="669"/>
    </x:row>
    <x:row r="10" ht="64"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P1.1</x:v>
      </x:c>
      <x:c r="F10" s="662" t="n">
        <x:v>2</x:v>
      </x:c>
      <x:c r="G10" s="431" t="n">
        <x:v>2</x:v>
      </x:c>
      <x:c r="H10" s="431" t="n">
        <x:v>2</x:v>
      </x:c>
      <x:c r="I10" s="429" t="n">
        <x:f>$B$1+(G10-1)*7</x:f>
        <x:v>46223</x:v>
      </x:c>
      <x:c r="J10" s="429" t="n">
        <x:f>$B$1+H10*7-1</x:f>
        <x:v>46229</x:v>
      </x:c>
      <x:c r="K10" s="431" t="str">
        <x:v>Not Started</x:v>
      </x:c>
      <x:c r="L10" s="664" t="n">
        <x:v>0</x:v>
      </x:c>
      <x:c r="M10" s="662" t="n">
        <x:f>SUMIF('Work Block Log'!$E$5:$E$200,A10,'Work Block Log'!$F$5:$F$200)</x:f>
        <x:v>0</x:v>
      </x:c>
      <x:c r="N10" s="662" t="n">
        <x:f>MAX(F10*(1-L10),0)</x:f>
        <x:v>2</x:v>
      </x:c>
      <x:c r="O10" s="662" t="n">
        <x:f>M10-F10</x:f>
        <x:v>-2</x:v>
      </x:c>
      <x:c r="P10" s="431" t="str">
        <x:v>feature/package-fixtures</x:v>
      </x:c>
      <x:c r="Q10" s="431" t="str">
        <x:v>Freeze split and review checklist before evaluator tuning.</x:v>
      </x:c>
      <x:c r="R10" s="431" t="str">
        <x:v>Held-out package must be materially distinct, not a renamed copy.</x:v>
      </x:c>
      <x:c r="S10" s="669"/>
      <x:c r="T10" s="669" t="str">
        <x:v>■</x:v>
      </x:c>
      <x:c r="U10" s="669"/>
      <x:c r="V10" s="669"/>
      <x:c r="W10" s="669"/>
      <x:c r="X10" s="669"/>
    </x:row>
    <x:row r="11" ht="6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P1.2</x:v>
      </x:c>
      <x:c r="F11" s="662" t="n">
        <x:v>3</x:v>
      </x:c>
      <x:c r="G11" s="431" t="n">
        <x:v>2</x:v>
      </x:c>
      <x:c r="H11" s="431" t="n">
        <x:v>3</x:v>
      </x:c>
      <x:c r="I11" s="429" t="n">
        <x:f>$B$1+(G11-1)*7</x:f>
        <x:v>46223</x:v>
      </x:c>
      <x:c r="J11" s="429" t="n">
        <x:f>$B$1+H11*7-1</x:f>
        <x:v>46236</x:v>
      </x:c>
      <x:c r="K11" s="431" t="str">
        <x:v>Not Started</x:v>
      </x:c>
      <x:c r="L11" s="664" t="n">
        <x:v>0</x:v>
      </x:c>
      <x:c r="M11" s="662" t="n">
        <x:f>SUMIF('Work Block Log'!$E$5:$E$200,A11,'Work Block Log'!$F$5:$F$200)</x:f>
        <x:v>0</x:v>
      </x:c>
      <x:c r="N11" s="662" t="n">
        <x:f>MAX(F11*(1-L11),0)</x:f>
        <x:v>3</x:v>
      </x:c>
      <x:c r="O11" s="662" t="n">
        <x:f>M11-F11</x:f>
        <x:v>-3</x:v>
      </x:c>
      <x:c r="P11" s="431" t="str">
        <x:v>feature/package-inventory-gates</x:v>
      </x:c>
      <x:c r="Q11" s="431" t="str">
        <x:v>Implement gates before any scored consistency rules.</x:v>
      </x:c>
      <x:c r="R11" s="431" t="str">
        <x:v>Gate failures must preserve expected/actual evidence and source location.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0.08695652173913043</x:v>
      </x:c>
      <x:c r="M24" s="683" t="n">
        <x:f>SUM(M6:M22)</x:f>
        <x:v>0</x:v>
      </x:c>
      <x:c r="N24" s="683" t="n">
        <x:f>SUM(N6:N22)</x:f>
        <x:v>42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P0 Accepted / P1.1 Authorized 2026-07-16</x:v>
      </x:c>
      <x:c r="B1" s="686"/>
      <x:c r="C1" s="686"/>
      <x:c r="D1" s="686"/>
      <x:c r="E1" s="686"/>
      <x:c r="F1" s="686"/>
      <x:c r="G1" s="686"/>
      <x:c r="H1" s="686"/>
    </x:row>
    <x:row r="3">
      <x:c r="A3" s="687" t="str">
        <x:v>Key Metrics</x:v>
      </x:c>
      <x:c r="B3" s="687"/>
      <x:c r="C3" s="687"/>
      <x:c r="D3" s="687"/>
      <x:c r="F3" s="687" t="str">
        <x:v>Current Focus</x:v>
      </x:c>
      <x:c r="G3" s="687"/>
      <x:c r="H3" s="687"/>
    </x:row>
    <x:row r="4" ht="48" customHeight="1">
      <x:c r="A4" s="688" t="str">
        <x:v>Control Basis</x:v>
      </x:c>
      <x:c r="B4" s="692" t="str">
        <x:v>Gate and evidence based</x:v>
      </x:c>
      <x:c r="C4" s="691"/>
      <x:c r="D4" s="691"/>
      <x:c r="F4" s="696" t="str">
        <x:v>Active WBS</x:v>
      </x:c>
      <x:c r="G4" s="697" t="str">
        <x:v>P1.1 - Implement package manifest schema and loader</x:v>
      </x:c>
      <x:c r="H4" s="697"/>
    </x:row>
    <x:row r="5" ht="48" customHeight="1">
      <x:c r="A5" s="688" t="str">
        <x:v>Schedule Baseline</x:v>
      </x:c>
      <x:c r="B5" s="693" t="str">
        <x:v>Legacy only; not controlling</x:v>
      </x:c>
      <x:c r="C5" s="691"/>
      <x:c r="D5" s="691"/>
      <x:c r="F5" s="696" t="str">
        <x:v>Objective</x:v>
      </x:c>
      <x:c r="G5" s="697" t="str">
        <x:v>Establish the versioned package boundary and controlled loader behavior.</x:v>
      </x:c>
      <x:c r="H5" s="697"/>
    </x:row>
    <x:row r="6" ht="48" customHeight="1">
      <x:c r="A6" s="688" t="str">
        <x:v>Time Tracking</x:v>
      </x:c>
      <x:c r="B6" s="693" t="str">
        <x:v>Waived prospectively</x:v>
      </x:c>
      <x:c r="C6" s="691"/>
      <x:c r="D6" s="691"/>
      <x:c r="F6" s="696" t="str">
        <x:v>Gate Status</x:v>
      </x:c>
      <x:c r="G6" s="697" t="str">
        <x:v>P0.2 accepted on 2026-07-16; P1.1 authorized after P0 integration.</x:v>
      </x:c>
      <x:c r="H6" s="697"/>
    </x:row>
    <x:row r="7" ht="48" customHeight="1">
      <x:c r="A7" s="688" t="str">
        <x:v>Current Gate</x:v>
      </x:c>
      <x:c r="B7" s="694" t="str">
        <x:v>P0 accepted; P1.1 authorized</x:v>
      </x:c>
      <x:c r="C7" s="691"/>
      <x:c r="D7" s="691"/>
      <x:c r="F7" s="696" t="str">
        <x:v>Definition of Done</x:v>
      </x:c>
      <x:c r="G7" s="697" t="str">
        <x:v>Manifest metadata, source inventory, identifiers, revisions, relationships, authority declarations, controlled paths, and stable missing or malformed errors are validated.</x:v>
      </x:c>
      <x:c r="H7" s="697"/>
    </x:row>
    <x:row r="8" ht="48" customHeight="1">
      <x:c r="A8" s="688" t="str">
        <x:v>Released Kernel</x:v>
      </x:c>
      <x:c r="B8" s="691" t="str">
        <x:v>v0.2.0 / commit 45336a2</x:v>
      </x:c>
      <x:c r="C8" s="691"/>
      <x:c r="D8" s="691"/>
      <x:c r="F8" s="696" t="str">
        <x:v>Immediate Next Action</x:v>
      </x:c>
      <x:c r="G8" s="697" t="str">
        <x:v>Merge the accepted P0 branch, create feature/package-manifest, and implement P1.1 only.</x:v>
      </x:c>
      <x:c r="H8" s="697"/>
    </x:row>
    <x:row r="9" ht="48" customHeight="1">
      <x:c r="A9" s="688" t="str">
        <x:v>Release Target</x:v>
      </x:c>
      <x:c r="B9" s="691" t="str">
        <x:v>v0.3.0</x:v>
      </x:c>
      <x:c r="C9" s="691"/>
      <x:c r="D9" s="691"/>
      <x:c r="F9" s="696" t="str">
        <x:v>Primary Risk</x:v>
      </x:c>
      <x:c r="G9" s="697" t="str">
        <x:v>The schema could encode rule-engine behavior or package-specific assumptions before fixture evidence exists.</x:v>
      </x:c>
      <x:c r="H9" s="697"/>
    </x:row>
    <x:row r="10" ht="48" customHeight="1">
      <x:c r="A10" s="688" t="str">
        <x:v>Baseline Test Count</x:v>
      </x:c>
      <x:c r="B10" s="691" t="n">
        <x:v>121</x:v>
      </x:c>
      <x:c r="C10" s="691"/>
      <x:c r="D10" s="691"/>
      <x:c r="F10" s="696" t="str">
        <x:v>Deferred</x:v>
      </x:c>
      <x:c r="G10" s="697" t="str">
        <x:v>P1.2 fixtures, consistency rules, PDF/CAD extraction, agents, APIs/databases, product dashboards, RAG, hosting, and RL.</x:v>
      </x:c>
      <x:c r="H10" s="697"/>
    </x:row>
    <x:row r="11" ht="48" customHeight="1">
      <x:c r="A11" s="688" t="str">
        <x:v>Implemented Package Families</x:v>
      </x:c>
      <x:c r="B11" s="691" t="n">
        <x:v>0</x:v>
      </x:c>
      <x:c r="C11" s="691"/>
      <x:c r="D11" s="691"/>
      <x:c r="F11" s="696" t="str">
        <x:v>Data Boundary</x:v>
      </x:c>
      <x:c r="G11" s="697" t="str">
        <x:v>Public, synthetic, self-authored, or authorized data only.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Authorized</x:v>
      </x:c>
      <x:c r="C16" s="699" t="str">
        <x:v>P1.1 only</x:v>
      </x:c>
      <x:c r="D16" s="700" t="n">
        <x:v>0</x:v>
      </x:c>
      <x:c r="E16" s="698" t="str">
        <x:v>Gate P1 - two validated packages and frozen held-out split</x:v>
      </x:c>
    </x:row>
    <x:row r="17" ht="36" customHeight="1">
      <x:c r="A17" s="698" t="str">
        <x:v>P2 Consistency Rules</x:v>
      </x:c>
      <x:c r="B17" s="699" t="str">
        <x:v>Not Started</x:v>
      </x:c>
      <x:c r="C17" s="699" t="str">
        <x:v>Blocked by P1</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78.75" customHeight="1">
      <x:c r="A24" s="431" t="n">
        <x:v>1</x:v>
      </x:c>
      <x:c r="B24" s="431" t="str">
        <x:v>P0.1</x:v>
      </x:c>
      <x:c r="C24" s="431" t="str">
        <x:v>Workflow contract and authority map</x:v>
      </x:c>
      <x:c r="D24" s="431" t="str">
        <x:v>Source types, canonical identifiers, precedence rules, result states, exclusions, and human-review boundaries are frozen.</x:v>
      </x:c>
      <x:c r="E24" s="431" t="str">
        <x:v>Accepted</x:v>
      </x:c>
      <x:c r="F24" s="431" t="str">
        <x:v>feature/package-assurance-contract</x:v>
      </x:c>
      <x:c r="G24" s="431" t="str">
        <x:v>03f102e; D-033; EV-030</x:v>
      </x:c>
      <x:c r="H24" s="431" t="str">
        <x:v>Jason</x:v>
      </x:c>
    </x:row>
    <x:row r="25" ht="97.5" customHeight="1">
      <x:c r="A25" s="431" t="n">
        <x:v>2</x:v>
      </x:c>
      <x:c r="B25" s="431" t="str">
        <x:v>P0.2</x:v>
      </x:c>
      <x:c r="C25" s="431" t="str">
        <x:v>Acceptance plan and benchmark protocol</x:v>
      </x:c>
      <x:c r="D25" s="431" t="str">
        <x:v>Benchmark split, scenario matrix, exact oracle rules, state routing, reproducibility, contamination handling, claims, and stop conditions are frozen.</x:v>
      </x:c>
      <x:c r="E25" s="431" t="str">
        <x:v>Accepted</x:v>
      </x:c>
      <x:c r="F25" s="431" t="str">
        <x:v>feature/package-assurance-contract</x:v>
      </x:c>
      <x:c r="G25" s="431" t="str">
        <x:v>234b196; D-035; D-037; EV-032; EV-034</x:v>
      </x:c>
      <x:c r="H25" s="431" t="str">
        <x:v>Jason</x:v>
      </x:c>
    </x:row>
    <x:row r="26" ht="90" customHeight="1">
      <x:c r="A26" s="431" t="n">
        <x:v>3</x:v>
      </x:c>
      <x:c r="B26" s="431" t="str">
        <x:v>P1.1</x:v>
      </x:c>
      <x:c r="C26" s="431" t="str">
        <x:v>Package manifest schema and loader</x:v>
      </x:c>
      <x:c r="D26" s="431" t="str">
        <x:v>Versioned manifest validates source inventory, relationships, revisions, authority declarations, file references, and controlled errors.</x:v>
      </x:c>
      <x:c r="E26" s="431" t="str">
        <x:v>Authorized</x:v>
      </x:c>
      <x:c r="F26" s="431" t="str">
        <x:v>feature/package-manifest</x:v>
      </x:c>
      <x:c r="G26" s="431" t="str">
        <x:v>P0.2 accepted; P1.1 branch required</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