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5f831f0153435d" /></Relationships>
</file>

<file path=xl/workbook.xml><?xml version="1.0" encoding="utf-8"?>
<x:workbook xmlns:x="http://schemas.openxmlformats.org/spreadsheetml/2006/main">
  <x:sheets>
    <x:sheet xmlns:r="http://schemas.openxmlformats.org/officeDocument/2006/relationships" name="Start Here" sheetId="1" r:id="R344a93794cc443b5"/>
    <x:sheet xmlns:r="http://schemas.openxmlformats.org/officeDocument/2006/relationships" name="Executive Gantt" sheetId="2" r:id="R4199101668074cbd"/>
    <x:sheet xmlns:r="http://schemas.openxmlformats.org/officeDocument/2006/relationships" name="Detailed Gantt" sheetId="3" r:id="R25c28756fcee4d45"/>
    <x:sheet xmlns:r="http://schemas.openxmlformats.org/officeDocument/2006/relationships" name="Weekly Control" sheetId="4" r:id="R81db2487a20d458a"/>
    <x:sheet xmlns:r="http://schemas.openxmlformats.org/officeDocument/2006/relationships" name="Phase Summary" sheetId="5" r:id="R02071a73ded24d8d"/>
    <x:sheet xmlns:r="http://schemas.openxmlformats.org/officeDocument/2006/relationships" name="Assumptions &amp; Gates" sheetId="6" r:id="Rbc8e2e1bd57a4dfb"/>
    <x:sheet xmlns:r="http://schemas.openxmlformats.org/officeDocument/2006/relationships" name="Sources" sheetId="7" r:id="Rf05b1068526f4c3f"/>
    <x:sheet xmlns:r="http://schemas.openxmlformats.org/officeDocument/2006/relationships" name="Legacy Baseline" sheetId="8" r:id="R745ed80ff4314e78"/>
    <x:sheet xmlns:r="http://schemas.openxmlformats.org/officeDocument/2006/relationships" name="Work Block Log" sheetId="9" r:id="R4e94a8863baf463f"/>
    <x:sheet xmlns:r="http://schemas.openxmlformats.org/officeDocument/2006/relationships" name="Decision Register" sheetId="10" r:id="R4a880d07c17541e0"/>
    <x:sheet xmlns:r="http://schemas.openxmlformats.org/officeDocument/2006/relationships" name="Risks &amp; Issues" sheetId="11" r:id="R5d52b9bb1a29421e"/>
    <x:sheet xmlns:r="http://schemas.openxmlformats.org/officeDocument/2006/relationships" name="Evidence Register" sheetId="12" r:id="R3e645659fbba43dc"/>
    <x:sheet xmlns:r="http://schemas.openxmlformats.org/officeDocument/2006/relationships" name="Expansion Backlog" sheetId="13" r:id="Rfc9fa1d236fb4b15"/>
    <x:sheet xmlns:r="http://schemas.openxmlformats.org/officeDocument/2006/relationships" name="AI Context" sheetId="14" r:id="R202e8da78c3442d0"/>
    <x:sheet xmlns:r="http://schemas.openxmlformats.org/officeDocument/2006/relationships" name="MVP Dashboard" sheetId="15" r:id="Rbca19c5f29cc4da6"/>
    <x:sheet xmlns:r="http://schemas.openxmlformats.org/officeDocument/2006/relationships" name="Product Vision" sheetId="16" r:id="R89d5a80785734549"/>
    <x:sheet xmlns:r="http://schemas.openxmlformats.org/officeDocument/2006/relationships" name="Pilot Gantt" sheetId="17" r:id="Rf137799f84284d6d"/>
    <x:sheet xmlns:r="http://schemas.openxmlformats.org/officeDocument/2006/relationships" name="Pilot Dashboard" sheetId="18" r:id="R46f1ad93718440f7"/>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<x:sst xmlns:x="http://schemas.openxmlformats.org/spreadsheetml/2006/main">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</x:sst>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553b0c70d24004" /><Relationship Type="http://schemas.openxmlformats.org/officeDocument/2006/relationships/theme" Target="/xl/theme/theme1.xml" Id="Rbb4cb9fc0c28436d" /><Relationship Type="http://schemas.openxmlformats.org/officeDocument/2006/relationships/sharedStrings" Target="/xl/sharedStrings.xml" Id="R7db8b3173b4d47b9" /><Relationship Type="http://schemas.openxmlformats.org/officeDocument/2006/relationships/worksheet" Target="/xl/worksheets/sheet1.xml" Id="R344a93794cc443b5" /><Relationship Type="http://schemas.openxmlformats.org/officeDocument/2006/relationships/worksheet" Target="/xl/worksheets/sheet2.xml" Id="R4199101668074cbd" /><Relationship Type="http://schemas.openxmlformats.org/officeDocument/2006/relationships/worksheet" Target="/xl/worksheets/sheet3.xml" Id="R25c28756fcee4d45" /><Relationship Type="http://schemas.openxmlformats.org/officeDocument/2006/relationships/worksheet" Target="/xl/worksheets/sheet4.xml" Id="R81db2487a20d458a" /><Relationship Type="http://schemas.openxmlformats.org/officeDocument/2006/relationships/worksheet" Target="/xl/worksheets/sheet5.xml" Id="R02071a73ded24d8d" /><Relationship Type="http://schemas.openxmlformats.org/officeDocument/2006/relationships/worksheet" Target="/xl/worksheets/sheet6.xml" Id="Rbc8e2e1bd57a4dfb" /><Relationship Type="http://schemas.openxmlformats.org/officeDocument/2006/relationships/worksheet" Target="/xl/worksheets/sheet7.xml" Id="Rf05b1068526f4c3f" /><Relationship Type="http://schemas.openxmlformats.org/officeDocument/2006/relationships/worksheet" Target="/xl/worksheets/sheet8.xml" Id="R745ed80ff4314e78" /><Relationship Type="http://schemas.openxmlformats.org/officeDocument/2006/relationships/worksheet" Target="/xl/worksheets/sheet9.xml" Id="R4e94a8863baf463f" /><Relationship Type="http://schemas.openxmlformats.org/officeDocument/2006/relationships/worksheet" Target="/xl/worksheets/sheet10.xml" Id="R4a880d07c17541e0" /><Relationship Type="http://schemas.openxmlformats.org/officeDocument/2006/relationships/worksheet" Target="/xl/worksheets/sheet11.xml" Id="R5d52b9bb1a29421e" /><Relationship Type="http://schemas.openxmlformats.org/officeDocument/2006/relationships/worksheet" Target="/xl/worksheets/sheet12.xml" Id="R3e645659fbba43dc" /><Relationship Type="http://schemas.openxmlformats.org/officeDocument/2006/relationships/worksheet" Target="/xl/worksheets/sheet13.xml" Id="Rfc9fa1d236fb4b15" /><Relationship Type="http://schemas.openxmlformats.org/officeDocument/2006/relationships/worksheet" Target="/xl/worksheets/sheet14.xml" Id="R202e8da78c3442d0" /><Relationship Type="http://schemas.openxmlformats.org/officeDocument/2006/relationships/worksheet" Target="/xl/worksheets/sheet15.xml" Id="Rbca19c5f29cc4da6" /><Relationship Type="http://schemas.openxmlformats.org/officeDocument/2006/relationships/worksheet" Target="/xl/worksheets/sheet16.xml" Id="R89d5a80785734549" /><Relationship Type="http://schemas.openxmlformats.org/officeDocument/2006/relationships/worksheet" Target="/xl/worksheets/sheet17.xml" Id="Rf137799f84284d6d" /><Relationship Type="http://schemas.openxmlformats.org/officeDocument/2006/relationships/worksheet" Target="/xl/worksheets/sheet18.xml" Id="R46f1ad93718440f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646d56053f44d01" /></Relationships>
</file>

<file path=xl/drawings/_rels/drawing2.xml.rels>&#65279;<?xml version="1.0" encoding="utf-8"?><Relationships xmlns="http://schemas.openxmlformats.org/package/2006/relationships"><Relationship Type="http://schemas.openxmlformats.org/officeDocument/2006/relationships/chart" Target="/xl/drawings/charts/chart2.xml" Id="R7d7aac7b01444861" /></Relationships>
</file>

<file path=xl/drawings/_rels/drawing3.xml.rels>&#65279;<?xml version="1.0" encoding="utf-8"?><Relationships xmlns="http://schemas.openxmlformats.org/package/2006/relationships"><Relationship Type="http://schemas.openxmlformats.org/officeDocument/2006/relationships/chart" Target="/xl/drawings/charts/chart3.xml" Id="Rbadb9efa632b4fd3"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646d56053f44d0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7aac7b0144486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db9efa632b4fd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067935b62114de7" /></Relationships>
</file>

<file path=xl/worksheets/_rels/sheet5.xml.rels>&#65279;<?xml version="1.0" encoding="utf-8"?><Relationships xmlns="http://schemas.openxmlformats.org/package/2006/relationships"><Relationship Type="http://schemas.openxmlformats.org/officeDocument/2006/relationships/drawing" Target="/xl/drawings/drawing2.xml" Id="R66b74e2476124525" /></Relationships>
</file>

<file path=xl/worksheets/_rels/sheet15.xml.rels>&#65279;<?xml version="1.0" encoding="utf-8"?><Relationships xmlns="http://schemas.openxmlformats.org/package/2006/relationships"><Relationship Type="http://schemas.openxmlformats.org/officeDocument/2006/relationships/drawing" Target="/xl/drawings/drawing3.xml" Id="Rdc758e2535c74418"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OpenFlexure public-audit confirmation review 2026-07-20</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D-101 OpenFlexure confirmation and check 8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OpenFlexure public-audit confirmation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D-102; check 8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324" hidden="0" customHeight="1">
      <x:c r="A28" s="597" t="str">
        <x:v>D-101 is accepted and PR #53 merged the NASA/JPL confirmation at exact main 65c9699b. The unchanged OpenFlexure package was then audited exactly once. Run RUN-20260721T004222043918Z-254a2eca returned missing_authoritative_information, release hold true, exit 3, and exactly four schema-valid outputs. Four gates passed, the authority gate produced the one expected finding, three gates and all seven relationship checks skipped correctly, and no malformed-identifier finding remained. Both public package trees and all 1,764 accepted log rows remain exact after one authorized run each. I-004 is closed; IMP-017 is retained; IMP-016 remains open; IMP-018 requires package-scoped finding identity before aggregation. EV-111-EV-115 preserve the authority, execution, output, comparison, and regression proof. D-102 proposes accepting the result and authorizing check 8 only.</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067935b62114de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66b74e247612452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Proposed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CEO accepts or revises the OpenFlexure result, dual-package learning, package-scoped finding identity, and check 8 authorization. If accepted, merge this review and implement check 8 only under exact AUTH-SPEC-001. Keep checks 9-11, public reruns, held-out semantics, and deferred capabilities blocked.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dual public observation complete; D-102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are implemented. Both real public packages complete through all four outputs and correctly hold for missing authority; real relationship-fault detection remains unproven because authority blocked every check.</x:v>
      </x:c>
      <x:c r="E7" s="765" t="str">
        <x:v>Product interpretation</x:v>
      </x:c>
      <x:c r="F7" s="431" t="str">
        <x:v>Successful kernel; not yet a complete economically useful workflow.</x:v>
      </x:c>
      <x:c r="G7" s="765" t="str">
        <x:v>Response</x:v>
      </x:c>
      <x:c r="H7" s="431" t="str">
        <x:v>Review D-102 before check 8 or any new capability.</x:v>
      </x:c>
    </x:row>
    <x:row r="8" ht="153" hidden="0" customHeight="1">
      <x:c r="A8" s="765" t="str">
        <x:v>Immediate next action</x:v>
      </x:c>
      <x:c r="B8" s="431" t="str">
        <x:v>Accept or revise D-102: accept OpenFlexure, close the public observation sequence, adopt package-scoped finding identity, and authorize check 8 only.</x:v>
      </x:c>
      <x:c r="C8" s="765" t="str">
        <x:v>Selected vertical</x:v>
      </x:c>
      <x:c r="D8" s="431" t="str">
        <x:v>OpenFlexure result review -&gt; D-102 -&gt; check 8 -&gt; checks 9-11 one reviewed slice each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15" hidden="0" customHeight="1">
      <x:c r="A41" s="604" t="str">
        <x:v>Immediate implication</x:v>
      </x:c>
      <x:c r="B41" s="605"/>
      <x:c r="C41" s="606" t="str">
        <x:v>D-101 was accepted and PR #53 merged the NASA/JPL confirmation at exact main 65c9699b. OpenFlexure was then audited exactly once from its unchanged accepted tree and log. Run RUN-20260721T004222043918Z-254a2eca returned missing_authoritative_information, release hold true, exit 3, one expected AUTHORITY_REQUIRED_RULE_MISSING finding, and exactly four schema-valid outputs. The identifier gate passed; four gates passed, three dependent gates skipped, and all seven relationship checks skipped against the authority prerequisite. Reports reproduce exactly from package_result.json and contain no absolute local path or approval claim. Both accepted package trees and all 1,764 mapping-log rows remain exact after one authorized run each. Focused 53, full 289/1, coverage 87.57%, validation 5/5, Ruff, baseline 9/9, and demo 2/2 pass. I-004 is closed; IMP-017 is retained; IMP-016 remains open; IMP-018 requires package_id plus finding_id for future aggregation. D-102 proposes check 8 next. Real-world relationship detection, checks 8-11,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c758e2535c74418"/>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48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0.78</x:v>
      </x:c>
      <x:c r="M13" s="662" t="n">
        <x:f>SUMIF('Work Block Log'!$E$5:$E$200,A13,'Work Block Log'!$F$5:$F$200)</x:f>
        <x:v>0</x:v>
      </x:c>
      <x:c r="N13" s="662" t="n">
        <x:f>MAX(F13*(1-L13),0)</x:f>
        <x:v>0.8799999999999999</x:v>
      </x:c>
      <x:c r="O13" s="662" t="n">
        <x:f>M13-F13</x:f>
        <x:v>-4</x:v>
      </x:c>
      <x:c r="P13" s="431" t="str">
        <x:v>checks 6-7 integrated; PR #53 exact main 65c9699b; D-085-D-102; EV-082-EV-115; IMP-016-IMP-018; D-101 accepted; OpenFlexure run once at RUN-20260721T004222043918Z-254a2eca; expected state/hold/exit/four-output contract exact; both public trees/logs unchanged after one run each; I-004 closed; focused 53; full 289/1; coverage 87.57%; validation 5/5; Ruff; baseline 9/9; demo 2/2</x:v>
      </x:c>
      <x:c r="Q13" s="431" t="str">
        <x:v>CEO reviews openflexure_public_audit_confirmation_review_2026-07-20.md and accepts or revises D-102.</x:v>
      </x:c>
      <x:c r="R13" s="431" t="str">
        <x:v>D-102 may authorize check 8 only. Both public trials proved safe intake and refusal, not real-world relationship detection. Keep checks 9-11,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0.7200000000000001</x:v>
      </x:c>
      <x:c r="M24" s="683" t="n">
        <x:f>SUM(M6:M22)</x:f>
        <x:v>0</x:v>
      </x:c>
      <x:c r="N24" s="683" t="n">
        <x:f>SUM(N6:N22)</x:f>
        <x:v>12.879999999999999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OpenFlexure Confirmation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OpenFlexure public-audit confirmation review</x:v>
      </x:c>
      <x:c r="H4" s="697"/>
    </x:row>
    <x:row r="5" ht="72" customHeight="1">
      <x:c r="A5" s="688" t="str">
        <x:v>Schedule Baseline</x:v>
      </x:c>
      <x:c r="B5" s="693" t="str">
        <x:v>Legacy only; not controlling</x:v>
      </x:c>
      <x:c r="C5" s="691"/>
      <x:c r="D5" s="691"/>
      <x:c r="F5" s="696" t="str">
        <x:v>Objective</x:v>
      </x:c>
      <x:c r="G5" s="697" t="str">
        <x:v>Review the second controlled result, close the public sequence, and select the next useful slice.</x:v>
      </x:c>
      <x:c r="H5" s="697"/>
    </x:row>
    <x:row r="6" ht="63" customHeight="1">
      <x:c r="A6" s="688" t="str">
        <x:v>Time Tracking</x:v>
      </x:c>
      <x:c r="B6" s="693" t="str">
        <x:v>Waived prospectively</x:v>
      </x:c>
      <x:c r="C6" s="691"/>
      <x:c r="D6" s="691"/>
      <x:c r="F6" s="696" t="str">
        <x:v>Gate Status</x:v>
      </x:c>
      <x:c r="G6" s="697" t="str">
        <x:v>Both public packages matched state, hold, exit, schema, and four-output expectations exactly.</x:v>
      </x:c>
      <x:c r="H6" s="697"/>
    </x:row>
    <x:row r="7" ht="81" customHeight="1">
      <x:c r="A7" s="688" t="str">
        <x:v>Current Gate</x:v>
      </x:c>
      <x:c r="B7" s="694" t="str">
        <x:v>P2.3 D-101 OpenFlexure confirmation and check 8 gate</x:v>
      </x:c>
      <x:c r="C7" s="691"/>
      <x:c r="D7" s="691"/>
      <x:c r="F7" s="696" t="str">
        <x:v>Definition of Done</x:v>
      </x:c>
      <x:c r="G7" s="697" t="str">
        <x:v>CEO accepts or revises D-102.</x:v>
      </x:c>
      <x:c r="H7" s="697"/>
    </x:row>
    <x:row r="8" ht="63" customHeight="1">
      <x:c r="A8" s="688" t="str">
        <x:v>Released Kernel</x:v>
      </x:c>
      <x:c r="B8" s="691" t="str">
        <x:v>v0.2.0 / commit 45336a2</x:v>
      </x:c>
      <x:c r="C8" s="691"/>
      <x:c r="D8" s="691"/>
      <x:c r="F8" s="696" t="str">
        <x:v>Immediate Next Action</x:v>
      </x:c>
      <x:c r="G8" s="697" t="str">
        <x:v>Review openflexure_public_audit_confirmation_review_2026-07-20.md.</x:v>
      </x:c>
      <x:c r="H8" s="697"/>
    </x:row>
    <x:row r="9" ht="72" customHeight="1">
      <x:c r="A9" s="688" t="str">
        <x:v>Release Target</x:v>
      </x:c>
      <x:c r="B9" s="691" t="str">
        <x:v>v0.3.0</x:v>
      </x:c>
      <x:c r="C9" s="691"/>
      <x:c r="D9" s="691"/>
      <x:c r="F9" s="696" t="str">
        <x:v>Primary Risk</x:v>
      </x:c>
      <x:c r="G9" s="697" t="str">
        <x:v>Primary risk is overstating safe refusal evidence as real relationship-fault detection.</x:v>
      </x:c>
      <x:c r="H9" s="697"/>
    </x:row>
    <x:row r="10" ht="81" customHeight="1">
      <x:c r="A10" s="688" t="str">
        <x:v>Baseline Test Count</x:v>
      </x:c>
      <x:c r="B10" s="691" t="n">
        <x:v>121</x:v>
      </x:c>
      <x:c r="C10" s="691"/>
      <x:c r="D10" s="691"/>
      <x:c r="F10" s="696" t="str">
        <x:v>Deferred</x:v>
      </x:c>
      <x:c r="G10" s="697" t="str">
        <x:v>Check 8, checks 9-11, held-out semantics, and deferred capabilities remain blocked.</x:v>
      </x:c>
      <x:c r="H10" s="697"/>
    </x:row>
    <x:row r="11" ht="63" customHeight="1">
      <x:c r="A11" s="688" t="str">
        <x:v>Fixture Package Families</x:v>
      </x:c>
      <x:c r="B11" s="691" t="n">
        <x:v>2</x:v>
      </x:c>
      <x:c r="C11" s="691"/>
      <x:c r="D11" s="691"/>
      <x:c r="F11" s="696" t="str">
        <x:v>Data Boundary</x:v>
      </x:c>
      <x:c r="G11" s="697" t="str">
        <x:v>Both accepted package trees and all 1,764 accepted log rows remain exact.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D-102 review required</x:v>
      </x:c>
      <x:c r="D17" s="700" t="n">
        <x:v>0.78</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Ready for Review</x:v>
      </x:c>
      <x:c r="F44" s="431" t="str">
        <x:v>codex/p2.3-openflexure-public-audit-confirmation</x:v>
      </x:c>
      <x:c r="G44" s="431" t="str">
        <x:v>D-101-D-102; EV-111-EV-115; I-004 closed; IMP-016-IMP-018; run RUN-20260721T004222043918Z-254a2eca; state missing_authoritative_information; hold true; exit 3; exactly four schema-valid outputs; one expected authority finding; one authorized run per public package; source hashes exact; focused 53; full 289/1; coverage 87.57%; validation 5/5; Ruff; baseline 9/9; demo 2/2; check 8 proposed next</x:v>
      </x:c>
      <x:c r="H44"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