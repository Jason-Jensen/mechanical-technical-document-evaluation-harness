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228b835d9b4071" /></Relationships>
</file>

<file path=xl/workbook.xml><?xml version="1.0" encoding="utf-8"?>
<x:workbook xmlns:x="http://schemas.openxmlformats.org/spreadsheetml/2006/main">
  <x:sheets>
    <x:sheet xmlns:r="http://schemas.openxmlformats.org/officeDocument/2006/relationships" name="Start Here" sheetId="1" r:id="R5e216b50f3e34f3f"/>
    <x:sheet xmlns:r="http://schemas.openxmlformats.org/officeDocument/2006/relationships" name="Executive Gantt" sheetId="2" r:id="Re15b382be9604034"/>
    <x:sheet xmlns:r="http://schemas.openxmlformats.org/officeDocument/2006/relationships" name="Detailed Gantt" sheetId="3" r:id="R91a7228d5cfe4df0"/>
    <x:sheet xmlns:r="http://schemas.openxmlformats.org/officeDocument/2006/relationships" name="Weekly Control" sheetId="4" r:id="Rce801b1aaaa34cc0"/>
    <x:sheet xmlns:r="http://schemas.openxmlformats.org/officeDocument/2006/relationships" name="Phase Summary" sheetId="5" r:id="R5e4cb57fd33f49e7"/>
    <x:sheet xmlns:r="http://schemas.openxmlformats.org/officeDocument/2006/relationships" name="Assumptions &amp; Gates" sheetId="6" r:id="R0e5cdddffd1e41dc"/>
    <x:sheet xmlns:r="http://schemas.openxmlformats.org/officeDocument/2006/relationships" name="Sources" sheetId="7" r:id="R8e91634cab524bff"/>
    <x:sheet xmlns:r="http://schemas.openxmlformats.org/officeDocument/2006/relationships" name="Legacy Baseline" sheetId="8" r:id="Rdf7cb28101954dae"/>
    <x:sheet xmlns:r="http://schemas.openxmlformats.org/officeDocument/2006/relationships" name="Work Block Log" sheetId="9" r:id="R5511779250784fe3"/>
    <x:sheet xmlns:r="http://schemas.openxmlformats.org/officeDocument/2006/relationships" name="Decision Register" sheetId="10" r:id="R0273fc58e2b040c9"/>
    <x:sheet xmlns:r="http://schemas.openxmlformats.org/officeDocument/2006/relationships" name="Risks &amp; Issues" sheetId="11" r:id="R379e732f9f2544ea"/>
    <x:sheet xmlns:r="http://schemas.openxmlformats.org/officeDocument/2006/relationships" name="Evidence Register" sheetId="12" r:id="R6538c917acd24397"/>
    <x:sheet xmlns:r="http://schemas.openxmlformats.org/officeDocument/2006/relationships" name="Expansion Backlog" sheetId="13" r:id="R2daf55861506425d"/>
    <x:sheet xmlns:r="http://schemas.openxmlformats.org/officeDocument/2006/relationships" name="AI Context" sheetId="14" r:id="Ra1dfd9f84ccd4480"/>
    <x:sheet xmlns:r="http://schemas.openxmlformats.org/officeDocument/2006/relationships" name="MVP Dashboard" sheetId="15" r:id="Rfae87c14439a43bd"/>
    <x:sheet xmlns:r="http://schemas.openxmlformats.org/officeDocument/2006/relationships" name="Product Vision" sheetId="16" r:id="R4c970c1daa694f87"/>
    <x:sheet xmlns:r="http://schemas.openxmlformats.org/officeDocument/2006/relationships" name="Pilot Gantt" sheetId="17" r:id="Rfce8eecf60584ff0"/>
    <x:sheet xmlns:r="http://schemas.openxmlformats.org/officeDocument/2006/relationships" name="Pilot Dashboard" sheetId="18" r:id="R4412002b6caa403c"/>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<x:sst xmlns:x="http://schemas.openxmlformats.org/spreadsheetml/2006/main">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</x:sst>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69dfbd9bbd426d" /><Relationship Type="http://schemas.openxmlformats.org/officeDocument/2006/relationships/theme" Target="/xl/theme/theme1.xml" Id="Raaa3bcc9efc34e6e" /><Relationship Type="http://schemas.openxmlformats.org/officeDocument/2006/relationships/sharedStrings" Target="/xl/sharedStrings.xml" Id="R2df89d1f90b5457c" /><Relationship Type="http://schemas.openxmlformats.org/officeDocument/2006/relationships/worksheet" Target="/xl/worksheets/sheet1.xml" Id="R5e216b50f3e34f3f" /><Relationship Type="http://schemas.openxmlformats.org/officeDocument/2006/relationships/worksheet" Target="/xl/worksheets/sheet2.xml" Id="Re15b382be9604034" /><Relationship Type="http://schemas.openxmlformats.org/officeDocument/2006/relationships/worksheet" Target="/xl/worksheets/sheet3.xml" Id="R91a7228d5cfe4df0" /><Relationship Type="http://schemas.openxmlformats.org/officeDocument/2006/relationships/worksheet" Target="/xl/worksheets/sheet4.xml" Id="Rce801b1aaaa34cc0" /><Relationship Type="http://schemas.openxmlformats.org/officeDocument/2006/relationships/worksheet" Target="/xl/worksheets/sheet5.xml" Id="R5e4cb57fd33f49e7" /><Relationship Type="http://schemas.openxmlformats.org/officeDocument/2006/relationships/worksheet" Target="/xl/worksheets/sheet6.xml" Id="R0e5cdddffd1e41dc" /><Relationship Type="http://schemas.openxmlformats.org/officeDocument/2006/relationships/worksheet" Target="/xl/worksheets/sheet7.xml" Id="R8e91634cab524bff" /><Relationship Type="http://schemas.openxmlformats.org/officeDocument/2006/relationships/worksheet" Target="/xl/worksheets/sheet8.xml" Id="Rdf7cb28101954dae" /><Relationship Type="http://schemas.openxmlformats.org/officeDocument/2006/relationships/worksheet" Target="/xl/worksheets/sheet9.xml" Id="R5511779250784fe3" /><Relationship Type="http://schemas.openxmlformats.org/officeDocument/2006/relationships/worksheet" Target="/xl/worksheets/sheet10.xml" Id="R0273fc58e2b040c9" /><Relationship Type="http://schemas.openxmlformats.org/officeDocument/2006/relationships/worksheet" Target="/xl/worksheets/sheet11.xml" Id="R379e732f9f2544ea" /><Relationship Type="http://schemas.openxmlformats.org/officeDocument/2006/relationships/worksheet" Target="/xl/worksheets/sheet12.xml" Id="R6538c917acd24397" /><Relationship Type="http://schemas.openxmlformats.org/officeDocument/2006/relationships/worksheet" Target="/xl/worksheets/sheet13.xml" Id="R2daf55861506425d" /><Relationship Type="http://schemas.openxmlformats.org/officeDocument/2006/relationships/worksheet" Target="/xl/worksheets/sheet14.xml" Id="Ra1dfd9f84ccd4480" /><Relationship Type="http://schemas.openxmlformats.org/officeDocument/2006/relationships/worksheet" Target="/xl/worksheets/sheet15.xml" Id="Rfae87c14439a43bd" /><Relationship Type="http://schemas.openxmlformats.org/officeDocument/2006/relationships/worksheet" Target="/xl/worksheets/sheet16.xml" Id="R4c970c1daa694f87" /><Relationship Type="http://schemas.openxmlformats.org/officeDocument/2006/relationships/worksheet" Target="/xl/worksheets/sheet17.xml" Id="Rfce8eecf60584ff0" /><Relationship Type="http://schemas.openxmlformats.org/officeDocument/2006/relationships/worksheet" Target="/xl/worksheets/sheet18.xml" Id="R4412002b6caa403c" /></Relationships>
</file>

<file path=xl/drawings/_rels/drawing1.xml.rels>&#65279;<?xml version="1.0" encoding="utf-8"?><Relationships xmlns="http://schemas.openxmlformats.org/package/2006/relationships"><Relationship Type="http://schemas.openxmlformats.org/officeDocument/2006/relationships/chart" Target="/xl/drawings/charts/chart1.xml" Id="R6069537fb745465a" /></Relationships>
</file>

<file path=xl/drawings/_rels/drawing2.xml.rels>&#65279;<?xml version="1.0" encoding="utf-8"?><Relationships xmlns="http://schemas.openxmlformats.org/package/2006/relationships"><Relationship Type="http://schemas.openxmlformats.org/officeDocument/2006/relationships/chart" Target="/xl/drawings/charts/chart2.xml" Id="Rb1b878d0bc764d04" /></Relationships>
</file>

<file path=xl/drawings/_rels/drawing3.xml.rels>&#65279;<?xml version="1.0" encoding="utf-8"?><Relationships xmlns="http://schemas.openxmlformats.org/package/2006/relationships"><Relationship Type="http://schemas.openxmlformats.org/officeDocument/2006/relationships/chart" Target="/xl/drawings/charts/chart3.xml" Id="R98400cbd2afb46ee"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069537fb745465a"/>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1b878d0bc764d0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8400cbd2afb46e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04450c13e7f74759" /></Relationships>
</file>

<file path=xl/worksheets/_rels/sheet5.xml.rels>&#65279;<?xml version="1.0" encoding="utf-8"?><Relationships xmlns="http://schemas.openxmlformats.org/package/2006/relationships"><Relationship Type="http://schemas.openxmlformats.org/officeDocument/2006/relationships/drawing" Target="/xl/drawings/drawing2.xml" Id="Rfc5e288a93ee440c" /></Relationships>
</file>

<file path=xl/worksheets/_rels/sheet15.xml.rels>&#65279;<?xml version="1.0" encoding="utf-8"?><Relationships xmlns="http://schemas.openxmlformats.org/package/2006/relationships"><Relationship Type="http://schemas.openxmlformats.org/officeDocument/2006/relationships/drawing" Target="/xl/drawings/drawing3.xml" Id="R5201a3ee7dd14fc7"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P2.3 equipment datasheet association implementation review 2026-07-20</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P2.3 D-103 check 9 implementation and D-104 review gate</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P2.3 - equipment/datasheet association implementation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D-104; publication stabilization and check 10 remain blocked</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369" hidden="0" customHeight="1">
      <x:c r="A28" s="597" t="str">
        <x:v>D-103 is accepted and PR #55 merged check 8 at exact main fb0113d. Check 9, equipment_datasheet_association, is implemented as the ninth ordered relationship check under exact AUTH-SPEC-001. The clean development package passes 9/9 checks. Changing only the pump BOM datasheet_id from DS-P-101 to existing valid DS-M-101 produces one high-severity automatic_fail hold for ITEM-PUMP-001 / P-101A, CLI exit 1, and four schema-valid outputs. Focused 88, full 299/1, coverage 87.86%, validation 5/5, Ruff, baseline 9/9, and demo 2/2 pass. The first manual fault invocation preserved a transient Windows final-rename PermissionError at exit 70; an unchanged retry succeeded. I-005 and IMP-019 retain that reliability gap. EV-120-EV-124 preserve acceptance, implementation, output, failure, and regression evidence. D-104 proposes accepting check 9 and authorizing a narrow publication-resilience stabilization before check 10.</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04450c13e7f7475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fc5e288a93ee440c"/>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Proposed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CEO accepts or revises check 9 and the stabilization-only authorization. If accepted, merge check 9 and add bounded retry behavior only for transient final-rename permission/sharing failures. Keep check 10 and all later capabilities blocked pending a separate review.</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60" customHeight="1">
      <x:c r="A24" s="431" t="str">
        <x:v>I-005</x:v>
      </x:c>
      <x:c r="B24" s="431" t="str">
        <x:v>Issue</x:v>
      </x:c>
      <x:c r="C24" s="431" t="str">
        <x:v>A valid package audit can generate all four staged outputs but fail the final Windows directory rename when a transient process holds the staging directory.</x:v>
      </x:c>
      <x:c r="D24" s="431" t="str">
        <x:v>N/A</x:v>
      </x:c>
      <x:c r="E24" s="431" t="str">
        <x:v>High</x:v>
      </x:c>
      <x:c r="F24" s="431" t="str">
        <x:v>Jason</x:v>
      </x:c>
      <x:c r="G24" s="431" t="str">
        <x:v>Before check 10, review a bounded retry around only the final same-volume rename. Never retry or overwrite a final-directory collision; preserve failure evidence and exit 70 after retry exhaustion.</x:v>
      </x:c>
      <x:c r="H24" s="431" t="str">
        <x:v>Open</x:v>
      </x:c>
      <x:c r="I24" s="431" t="n">
        <x:v>46223</x:v>
      </x:c>
      <x:c r="J24" s="431" t="str">
        <x:v>Observed once during the first check-9 wrong-ID manual run as PermissionError. The hidden failed publication was preserved and an immediate unchanged invocation succeeded. IMP-019 records the prevention contract.</x:v>
      </x:c>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Ready for CEO review</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Ready for CEO review</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Ready for CEO review</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Ready for CEO review</x:v>
      </x:c>
      <x:c r="I127" s="431" t="str">
        <x:v>No accepted fixture, authority map, schema, golden, held-out asset, public package, historical result, v0.2 behavior, or acceptance criterion changed.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check 9 implemented; D-104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Nine relationship checks are implemented. Check 9 detects a BOM that points to the wrong but still valid datasheet ID after check 8 establishes one authoritative record. One transient Windows final-rename failure remains open for stabilization before check 10.</x:v>
      </x:c>
      <x:c r="E7" s="765" t="str">
        <x:v>Product interpretation</x:v>
      </x:c>
      <x:c r="F7" s="431" t="str">
        <x:v>Successful kernel; not yet a complete economically useful workflow.</x:v>
      </x:c>
      <x:c r="G7" s="765" t="str">
        <x:v>Response</x:v>
      </x:c>
      <x:c r="H7" s="431" t="str">
        <x:v>Review D-104 before publication stabilization, check 10, or any new capability.</x:v>
      </x:c>
    </x:row>
    <x:row r="8" ht="153" hidden="0" customHeight="1">
      <x:c r="A8" s="765" t="str">
        <x:v>Immediate next action</x:v>
      </x:c>
      <x:c r="B8" s="431" t="str">
        <x:v>Accept or revise D-104: accept check 9 and authorize one bounded Windows publication-resilience block before check 10.</x:v>
      </x:c>
      <x:c r="C8" s="765" t="str">
        <x:v>Selected vertical</x:v>
      </x:c>
      <x:c r="D8" s="431" t="str">
        <x:v>Check 9 review -&gt; D-104 -&gt; publication resilience -&gt; separate check 10 gate -&gt; check 11 -&gt; authority-gap decision -&gt; P4 benchmark -&gt; terminal demo.</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78" hidden="0" customHeight="1">
      <x:c r="A41" s="604" t="str">
        <x:v>Immediate implication</x:v>
      </x:c>
      <x:c r="B41" s="605"/>
      <x:c r="C41" s="606" t="str">
        <x:v>D-103 was accepted and PR #55 merged check 8 at exact main fb0113d. Check 9 is implemented in the datasheet-domain module and appended after the eight accepted checks without changing their behavior. For every release-required BOM equipment tag with exactly one authoritative datasheet record, it compares normalized BOM and metadata datasheet IDs under exact AUTH-SPEC-001. Clean run RUN-20260721T034251280706Z-6efeff51 passes 9/9 with exit 0. Wrong-ID run RUN-20260721T034329189347Z-dc3cd02a returns exit 1, one FND-91304712BCB20CEE mismatch, and exactly four schema-valid outputs. The first fault invocation generated correct staged outputs but Windows denied the final rename with PermissionError; exit 70 and the hidden failure directory were preserved, and an unchanged retry succeeded. Focused 88, full 299/1, coverage 87.86%, validation 5/5, Ruff, baseline 9/9, and demo 2/2 pass. I-005 and IMP-019 require a bounded publication-resilience decision before check 10. No accepted package, authority map, schema, golden, held-out asset, public package, or v0.2 behavior changed. Checks 10-11, authority gaps, held-out semantics, public reruns, PDF/CAD extraction,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5201a3ee7dd14fc7"/>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540"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0.89</x:v>
      </x:c>
      <x:c r="M13" s="662" t="n">
        <x:f>SUMIF('Work Block Log'!$E$5:$E$200,A13,'Work Block Log'!$F$5:$F$200)</x:f>
        <x:v>0</x:v>
      </x:c>
      <x:c r="N13" s="662" t="n">
        <x:f>MAX(F13*(1-L13),0)</x:f>
        <x:v>0.43999999999999995</x:v>
      </x:c>
      <x:c r="O13" s="662" t="n">
        <x:f>M13-F13</x:f>
        <x:v>-4</x:v>
      </x:c>
      <x:c r="P13" s="431" t="str">
        <x:v>checks 6-8 integrated; PR #55 exact main fb0113d; D-085-D-104; EV-082-EV-124; I-005; IMP-013-IMP-019; D-103 accepted; check 9 implemented under exact AUTH-SPEC-001; clean 9/9; wrong-valid-ID automatic-fail/hold/exit-1/four-output contract exact; one transient Windows final-rename failure preserved; focused 88; full 299/1; coverage 87.86%; validation 5/5; Ruff; baseline 9/9; demo 2/2</x:v>
      </x:c>
      <x:c r="Q13" s="431" t="str">
        <x:v>CEO reviews equipment_datasheet_association_implementation_review_2026-07-20.md and accepts or revises D-104.</x:v>
      </x:c>
      <x:c r="R13" s="431" t="str">
        <x:v>D-104 may authorize a narrow final-rename resilience block before check 10. Keep checks 10-11, authority gaps, public reruns, held-out semantics, PDF/CAD extraction, and deferred capabilities blocked until their gates.</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0.7295652173913044</x:v>
      </x:c>
      <x:c r="M24" s="683" t="n">
        <x:f>SUM(M6:M22)</x:f>
        <x:v>0</x:v>
      </x:c>
      <x:c r="N24" s="683" t="n">
        <x:f>SUM(N6:N22)</x:f>
        <x:v>12.44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Check 9 Implementation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equipment/datasheet association implementation review</x:v>
      </x:c>
      <x:c r="H4" s="697"/>
    </x:row>
    <x:row r="5" ht="72" customHeight="1">
      <x:c r="A5" s="688" t="str">
        <x:v>Schedule Baseline</x:v>
      </x:c>
      <x:c r="B5" s="693" t="str">
        <x:v>Legacy only; not controlling</x:v>
      </x:c>
      <x:c r="C5" s="691"/>
      <x:c r="D5" s="691"/>
      <x:c r="F5" s="696" t="str">
        <x:v>Objective</x:v>
      </x:c>
      <x:c r="G5" s="697" t="str">
        <x:v>Compare eligible BOM datasheet IDs with the single authoritative metadata ID and prove the complete result path.</x:v>
      </x:c>
      <x:c r="H5" s="697"/>
    </x:row>
    <x:row r="6" ht="63" customHeight="1">
      <x:c r="A6" s="688" t="str">
        <x:v>Time Tracking</x:v>
      </x:c>
      <x:c r="B6" s="693" t="str">
        <x:v>Waived prospectively</x:v>
      </x:c>
      <x:c r="C6" s="691"/>
      <x:c r="D6" s="691"/>
      <x:c r="F6" s="696" t="str">
        <x:v>Gate Status</x:v>
      </x:c>
      <x:c r="G6" s="697" t="str">
        <x:v>Clean 9/9; wrong-valid ID routes to automatic fail, hold true, exit 1, and four exact outputs.</x:v>
      </x:c>
      <x:c r="H6" s="697"/>
    </x:row>
    <x:row r="7" ht="81" customHeight="1">
      <x:c r="A7" s="688" t="str">
        <x:v>Current Gate</x:v>
      </x:c>
      <x:c r="B7" s="694" t="str">
        <x:v>P2.3 D-103 check 9 implementation and D-104 review</x:v>
      </x:c>
      <x:c r="C7" s="691"/>
      <x:c r="D7" s="691"/>
      <x:c r="F7" s="696" t="str">
        <x:v>Definition of Done</x:v>
      </x:c>
      <x:c r="G7" s="697" t="str">
        <x:v>CEO accepts or revises D-104.</x:v>
      </x:c>
      <x:c r="H7" s="697"/>
    </x:row>
    <x:row r="8" ht="63" customHeight="1">
      <x:c r="A8" s="688" t="str">
        <x:v>Released Kernel</x:v>
      </x:c>
      <x:c r="B8" s="691" t="str">
        <x:v>v0.2.0 / commit 45336a2</x:v>
      </x:c>
      <x:c r="C8" s="691"/>
      <x:c r="D8" s="691"/>
      <x:c r="F8" s="696" t="str">
        <x:v>Immediate Next Action</x:v>
      </x:c>
      <x:c r="G8" s="697" t="str">
        <x:v>Review equipment_datasheet_association_implementation_review_2026-07-20.md.</x:v>
      </x:c>
      <x:c r="H8" s="697"/>
    </x:row>
    <x:row r="9" ht="72" customHeight="1">
      <x:c r="A9" s="688" t="str">
        <x:v>Release Target</x:v>
      </x:c>
      <x:c r="B9" s="691" t="str">
        <x:v>v0.3.0</x:v>
      </x:c>
      <x:c r="C9" s="691"/>
      <x:c r="D9" s="691"/>
      <x:c r="F9" s="696" t="str">
        <x:v>Primary Risk</x:v>
      </x:c>
      <x:c r="G9" s="697" t="str">
        <x:v>Primary risk is one observed transient Windows failure during the final atomic directory rename.</x:v>
      </x:c>
      <x:c r="H9" s="697"/>
    </x:row>
    <x:row r="10" ht="81" customHeight="1">
      <x:c r="A10" s="688" t="str">
        <x:v>Baseline Test Count</x:v>
      </x:c>
      <x:c r="B10" s="691" t="n">
        <x:v>121</x:v>
      </x:c>
      <x:c r="C10" s="691"/>
      <x:c r="D10" s="691"/>
      <x:c r="F10" s="696" t="str">
        <x:v>Deferred</x:v>
      </x:c>
      <x:c r="G10" s="697" t="str">
        <x:v>Publication stabilization, checks 10-11, authority gaps, public reruns, held-out semantics, and deferred capabilities remain blocked.</x:v>
      </x:c>
      <x:c r="H10" s="697"/>
    </x:row>
    <x:row r="11" ht="63" customHeight="1">
      <x:c r="A11" s="688" t="str">
        <x:v>Fixture Package Families</x:v>
      </x:c>
      <x:c r="B11" s="691" t="n">
        <x:v>2</x:v>
      </x:c>
      <x:c r="C11" s="691"/>
      <x:c r="D11" s="691"/>
      <x:c r="F11" s="696" t="str">
        <x:v>Data Boundary</x:v>
      </x:c>
      <x:c r="G11" s="697" t="str">
        <x:v>Accepted development, held-out, public-package, schema, golden, and v0.2 assets remain unchanged.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D-104 review required</x:v>
      </x:c>
      <x:c r="D17" s="700" t="n">
        <x:v>0.89</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Ready for Review</x:v>
      </x:c>
      <x:c r="F46" s="431" t="str">
        <x:v>codex/p2.3-equipment-datasheet-association</x:v>
      </x:c>
      <x:c r="G46" s="431" t="str">
        <x:v>D-103-D-104; EV-120-EV-124; I-005; IMP-013-IMP-015; IMP-019; clean RUN-20260721T034251280706Z-6efeff51; fault RUN-20260721T034329189347Z-dc3cd02a; preserved failed RUN-20260721T034252120538Z-fa89f942; automatic_fail; hold true; exit 1; one stable finding; exactly four outputs; focused 88; full 299/1; coverage 87.86%; validation 5/5; Ruff; baseline 9/9; demo 2/2; no protected asset changed</x:v>
      </x:c>
      <x:c r="H4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