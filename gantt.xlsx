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017813191644f3b" /></Relationships>
</file>

<file path=xl/workbook.xml><?xml version="1.0" encoding="utf-8"?>
<x:workbook xmlns:x="http://schemas.openxmlformats.org/spreadsheetml/2006/main">
  <x:sheets>
    <x:sheet xmlns:r="http://schemas.openxmlformats.org/officeDocument/2006/relationships" name="Start Here" sheetId="1" r:id="Rf1678dad61084cc6"/>
    <x:sheet xmlns:r="http://schemas.openxmlformats.org/officeDocument/2006/relationships" name="Executive Gantt" sheetId="2" r:id="R141ed978074a4331"/>
    <x:sheet xmlns:r="http://schemas.openxmlformats.org/officeDocument/2006/relationships" name="Detailed Gantt" sheetId="3" r:id="Reda18ce41f6b4377"/>
    <x:sheet xmlns:r="http://schemas.openxmlformats.org/officeDocument/2006/relationships" name="Weekly Control" sheetId="4" r:id="R446021a3bee94697"/>
    <x:sheet xmlns:r="http://schemas.openxmlformats.org/officeDocument/2006/relationships" name="Phase Summary" sheetId="5" r:id="R704ce46e480c42d3"/>
    <x:sheet xmlns:r="http://schemas.openxmlformats.org/officeDocument/2006/relationships" name="Assumptions &amp; Gates" sheetId="6" r:id="Rdf1f3897f0d84c31"/>
    <x:sheet xmlns:r="http://schemas.openxmlformats.org/officeDocument/2006/relationships" name="Sources" sheetId="7" r:id="R951611e868374888"/>
    <x:sheet xmlns:r="http://schemas.openxmlformats.org/officeDocument/2006/relationships" name="Legacy Baseline" sheetId="8" r:id="Rc710e00ab6254fe3"/>
    <x:sheet xmlns:r="http://schemas.openxmlformats.org/officeDocument/2006/relationships" name="Work Block Log" sheetId="9" r:id="Rf09baff5d42649cf"/>
    <x:sheet xmlns:r="http://schemas.openxmlformats.org/officeDocument/2006/relationships" name="Decision Register" sheetId="10" r:id="R5bb9af9fbe364006"/>
    <x:sheet xmlns:r="http://schemas.openxmlformats.org/officeDocument/2006/relationships" name="Risks &amp; Issues" sheetId="11" r:id="R35287b27ed6f49a5"/>
    <x:sheet xmlns:r="http://schemas.openxmlformats.org/officeDocument/2006/relationships" name="Evidence Register" sheetId="12" r:id="R9cc4ff92f3d14d83"/>
    <x:sheet xmlns:r="http://schemas.openxmlformats.org/officeDocument/2006/relationships" name="Expansion Backlog" sheetId="13" r:id="R9cd50b7709374812"/>
    <x:sheet xmlns:r="http://schemas.openxmlformats.org/officeDocument/2006/relationships" name="AI Context" sheetId="14" r:id="R6dedea7e139d4e9b"/>
    <x:sheet xmlns:r="http://schemas.openxmlformats.org/officeDocument/2006/relationships" name="MVP Dashboard" sheetId="15" r:id="R5337bffa7e8646fe"/>
    <x:sheet xmlns:r="http://schemas.openxmlformats.org/officeDocument/2006/relationships" name="Product Vision" sheetId="16" r:id="R8a741865a0bf4359"/>
    <x:sheet xmlns:r="http://schemas.openxmlformats.org/officeDocument/2006/relationships" name="Pilot Gantt" sheetId="17" r:id="R705e292d5a394bfe"/>
    <x:sheet xmlns:r="http://schemas.openxmlformats.org/officeDocument/2006/relationships" name="Pilot Dashboard" sheetId="18" r:id="R2e5e20fb88494577"/>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<x:sst xmlns:x="http://schemas.openxmlformats.org/spreadsheetml/2006/main">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</x:sst>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9c0c34e790e413e" /><Relationship Type="http://schemas.openxmlformats.org/officeDocument/2006/relationships/theme" Target="/xl/theme/theme1.xml" Id="Rbd34f7635a8f4fba" /><Relationship Type="http://schemas.openxmlformats.org/officeDocument/2006/relationships/sharedStrings" Target="/xl/sharedStrings.xml" Id="R24eba35745f44516" /><Relationship Type="http://schemas.openxmlformats.org/officeDocument/2006/relationships/worksheet" Target="/xl/worksheets/sheet1.xml" Id="Rf1678dad61084cc6" /><Relationship Type="http://schemas.openxmlformats.org/officeDocument/2006/relationships/worksheet" Target="/xl/worksheets/sheet2.xml" Id="R141ed978074a4331" /><Relationship Type="http://schemas.openxmlformats.org/officeDocument/2006/relationships/worksheet" Target="/xl/worksheets/sheet3.xml" Id="Reda18ce41f6b4377" /><Relationship Type="http://schemas.openxmlformats.org/officeDocument/2006/relationships/worksheet" Target="/xl/worksheets/sheet4.xml" Id="R446021a3bee94697" /><Relationship Type="http://schemas.openxmlformats.org/officeDocument/2006/relationships/worksheet" Target="/xl/worksheets/sheet5.xml" Id="R704ce46e480c42d3" /><Relationship Type="http://schemas.openxmlformats.org/officeDocument/2006/relationships/worksheet" Target="/xl/worksheets/sheet6.xml" Id="Rdf1f3897f0d84c31" /><Relationship Type="http://schemas.openxmlformats.org/officeDocument/2006/relationships/worksheet" Target="/xl/worksheets/sheet7.xml" Id="R951611e868374888" /><Relationship Type="http://schemas.openxmlformats.org/officeDocument/2006/relationships/worksheet" Target="/xl/worksheets/sheet8.xml" Id="Rc710e00ab6254fe3" /><Relationship Type="http://schemas.openxmlformats.org/officeDocument/2006/relationships/worksheet" Target="/xl/worksheets/sheet9.xml" Id="Rf09baff5d42649cf" /><Relationship Type="http://schemas.openxmlformats.org/officeDocument/2006/relationships/worksheet" Target="/xl/worksheets/sheet10.xml" Id="R5bb9af9fbe364006" /><Relationship Type="http://schemas.openxmlformats.org/officeDocument/2006/relationships/worksheet" Target="/xl/worksheets/sheet11.xml" Id="R35287b27ed6f49a5" /><Relationship Type="http://schemas.openxmlformats.org/officeDocument/2006/relationships/worksheet" Target="/xl/worksheets/sheet12.xml" Id="R9cc4ff92f3d14d83" /><Relationship Type="http://schemas.openxmlformats.org/officeDocument/2006/relationships/worksheet" Target="/xl/worksheets/sheet13.xml" Id="R9cd50b7709374812" /><Relationship Type="http://schemas.openxmlformats.org/officeDocument/2006/relationships/worksheet" Target="/xl/worksheets/sheet14.xml" Id="R6dedea7e139d4e9b" /><Relationship Type="http://schemas.openxmlformats.org/officeDocument/2006/relationships/worksheet" Target="/xl/worksheets/sheet15.xml" Id="R5337bffa7e8646fe" /><Relationship Type="http://schemas.openxmlformats.org/officeDocument/2006/relationships/worksheet" Target="/xl/worksheets/sheet16.xml" Id="R8a741865a0bf4359" /><Relationship Type="http://schemas.openxmlformats.org/officeDocument/2006/relationships/worksheet" Target="/xl/worksheets/sheet17.xml" Id="R705e292d5a394bfe" /><Relationship Type="http://schemas.openxmlformats.org/officeDocument/2006/relationships/worksheet" Target="/xl/worksheets/sheet18.xml" Id="R2e5e20fb88494577" /></Relationships>
</file>

<file path=xl/drawings/_rels/drawing1.xml.rels>&#65279;<?xml version="1.0" encoding="utf-8"?><Relationships xmlns="http://schemas.openxmlformats.org/package/2006/relationships"><Relationship Type="http://schemas.openxmlformats.org/officeDocument/2006/relationships/chart" Target="/xl/drawings/charts/chart1.xml" Id="Rea7a660b57a84526" /></Relationships>
</file>

<file path=xl/drawings/_rels/drawing2.xml.rels>&#65279;<?xml version="1.0" encoding="utf-8"?><Relationships xmlns="http://schemas.openxmlformats.org/package/2006/relationships"><Relationship Type="http://schemas.openxmlformats.org/officeDocument/2006/relationships/chart" Target="/xl/drawings/charts/chart2.xml" Id="R3b32b44d29b4459e" /></Relationships>
</file>

<file path=xl/drawings/_rels/drawing3.xml.rels>&#65279;<?xml version="1.0" encoding="utf-8"?><Relationships xmlns="http://schemas.openxmlformats.org/package/2006/relationships"><Relationship Type="http://schemas.openxmlformats.org/officeDocument/2006/relationships/chart" Target="/xl/drawings/charts/chart3.xml" Id="Ref99887f9d6147a4"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a7a660b57a8452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b32b44d29b4459e"/>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99887f9d6147a4"/>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abe8eb35e66346fb" /></Relationships>
</file>

<file path=xl/worksheets/_rels/sheet5.xml.rels>&#65279;<?xml version="1.0" encoding="utf-8"?><Relationships xmlns="http://schemas.openxmlformats.org/package/2006/relationships"><Relationship Type="http://schemas.openxmlformats.org/officeDocument/2006/relationships/drawing" Target="/xl/drawings/drawing2.xml" Id="Reec71542c9ea4144" /></Relationships>
</file>

<file path=xl/worksheets/_rels/sheet15.xml.rels>&#65279;<?xml version="1.0" encoding="utf-8"?><Relationships xmlns="http://schemas.openxmlformats.org/package/2006/relationships"><Relationship Type="http://schemas.openxmlformats.org/officeDocument/2006/relationships/drawing" Target="/xl/drawings/drawing3.xml" Id="Rcff10d10064c4fbb"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P4.1 development benchmark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D-109 and P4.1 accepted; PR #61 integration pending</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P4.1 - acceptance and integration closeout</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Merge PR #61; record exact main; define separate P4.2 gate</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603" hidden="0" customHeight="1">
      <x:c r="A28" s="597" t="str">
        <x:v>P4.1 revision P4.1-DEV-1 is implemented from exact main b439974 on codex/p4.1-development-benchmark at implementation commit 4cf9fe8. The runner verifies the accepted a4b278e5... clean package hash, excludes hidden expected assets, generates 22 controlled development scenarios, executes each twice through the real four-output audit, preserves raw packages and runs outside versioned benchmark definitions, and compares exact normalized publication hashes. The exact-commit acceptance run passed 22/22 scenarios, 44/44 publications, all eight gate-failure cases, all eleven relationship-failure cases, 22/22 repeatability pairs, and 22/22 exact oracles. Full regression passed 319/1 at 88.57% coverage; validation 5/5, Ruff, frozen baseline 9/9, demo 2/2, and both hosted Linux CI jobs passed. IMP-022 records the red-to-green portable-path correction. The project owner accepted D-109 on 2026-07-21: four states have genuine full-package paths, engineering_review_required and evaluator_uncertainty remain router/exit contract only, and their semantic triggers are deferred. P4.1 is accepted pending PR #61 integration. P4.2 held-out semantic execution remains blocked until separately authorized.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abe8eb35e66346fb"/>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eec71542c9ea414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D-109 and P4.1 accepted; PR #61 integration pending</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P4.1-DEV-1 proves the accepted eight gates and eleven checks with 22 development scenarios run twice. Four states are reachable end to end; two remain router/exit contract only.</x:v>
      </x:c>
      <x:c r="E7" s="765" t="str">
        <x:v>Product interpretation</x:v>
      </x:c>
      <x:c r="F7" s="431" t="str">
        <x:v>Successful kernel; not yet a complete economically useful workflow.</x:v>
      </x:c>
      <x:c r="G7" s="765" t="str">
        <x:v>Response</x:v>
      </x:c>
      <x:c r="H7" s="431" t="str">
        <x:v>Merge PR #61, record exact main, then define and review the separate P4.2 gate.</x:v>
      </x:c>
    </x:row>
    <x:row r="8" ht="153" hidden="0" customHeight="1">
      <x:c r="A8" s="765" t="str">
        <x:v>Immediate next action</x:v>
      </x:c>
      <x:c r="B8" s="431" t="str">
        <x:v>D-109 accepted: freeze four genuine full-audit states plus six-state router coverage and defer two semantic triggers.</x:v>
      </x:c>
      <x:c r="C8" s="765" t="str">
        <x:v>Selected vertical</x:v>
      </x:c>
      <x:c r="D8" s="431" t="str">
        <x:v>PR #61 integration -&gt; exact main freeze -&gt; P4.2 definition review -&gt; separately authorized held-out execution -&gt; P4.3 clean-clone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585" hidden="0" customHeight="1">
      <x:c r="A41" s="604" t="str">
        <x:v>Immediate implication</x:v>
      </x:c>
      <x:c r="B41" s="605"/>
      <x:c r="C41" s="606" t="str">
        <x:v>P4.1 revision P4.1-DEV-1 implements a controlled development-only benchmark at exact implementation commit 4cf9fe8. It verifies the accepted clean package-tree hash before mutation, stages no expected/ assets, applies only 21 named reviewed faults, executes 22 scenarios twice, preserves all generated packages and 44 immutable four-output publications, compares exact normalized publications, rejects output under benchmarks/, refuses overwrites, and prevents scenario subsets from claiming acceptance. The exact-commit acceptance execution passed 22/22 scenarios, all eight mandatory-gate failure families, all eleven relationship-check failure families, 22/22 repeated-run pairs, and 22/22 exact publication hashes. Focused 5, full 319/1, coverage 88.57%, validation 5/5, Ruff, frozen baseline 9/9, demo 2/2, and both hosted Linux CI jobs pass. The first hosted run exposed one Windows/Linux separator difference in a sanitized manifest error; 4cf9fe8 canonicalizes the stable path, changes only the affected oracle, and IMP-022 retains the cross-platform rule. The v0.2 replay path issue remains controlled by IMP-021 and AGENTS.md. D-109 was accepted on 2026-07-21: four genuine package-level states plus six-state router/exit coverage are frozen, and two semantic triggers are deferred. P4.1 is accepted pending PR #61 integration. No protected held-out semantics were executed.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ff10d10064c4fbb"/>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Accepted / Integration Pending</x:v>
      </x:c>
      <x:c r="L18" s="664" t="n">
        <x:v>1</x:v>
      </x:c>
      <x:c r="M18" s="662" t="n">
        <x:f>SUMIF('Work Block Log'!$E$5:$E$200,A18,'Work Block Log'!$F$5:$F$200)</x:f>
        <x:v>0</x:v>
      </x:c>
      <x:c r="N18" s="662" t="n">
        <x:f>MAX(F18*(1-L18),0)</x:f>
        <x:v>0</x:v>
      </x:c>
      <x:c r="O18" s="662" t="n">
        <x:f>M18-F18</x:f>
        <x:v>-3</x:v>
      </x:c>
      <x:c r="P18" s="431" t="str">
        <x:v>codex/p4.1-development-benchmark; implementation 4cf9fe8; P4.1-DEV-1; D-109 accepted 2026-07-21; EV-139-EV-142; IMP-020-IMP-022; 22 scenarios; 44 publications; 8/8 gate faults; 11/11 check faults; 22/22 repeatability; 22/22 exact oracles; focused 5; full 319/1; coverage 88.57%; validation 5/5; Ruff; baseline 9/9; demo 2/2; hosted Linux CI 2/2</x:v>
      </x:c>
      <x:c r="Q18" s="431" t="str">
        <x:v>Merge PR #61, record exact merged main, then define the separate P4.2 held-out execution gate.</x:v>
      </x:c>
      <x:c r="R18" s="431" t="str">
        <x:v>P4.1 and the bounded four-state claim are accepted. Do not execute protected held-out semantics until PR #61 is integrated and P4.2 is separately authorized.</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0.8043478260869565</x:v>
      </x:c>
      <x:c r="M24" s="683" t="n">
        <x:f>SUM(M6:M22)</x:f>
        <x:v>0</x:v>
      </x:c>
      <x:c r="N24" s="683" t="n">
        <x:f>SUM(N6:N22)</x:f>
        <x:v>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P4.1 Development Benchmark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P4.1 - development benchmark implementation review</x:v>
      </x:c>
      <x:c r="H4" s="697"/>
    </x:row>
    <x:row r="5" ht="72" customHeight="1">
      <x:c r="A5" s="688" t="str">
        <x:v>Schedule Baseline</x:v>
      </x:c>
      <x:c r="B5" s="693" t="str">
        <x:v>Legacy only; not controlling</x:v>
      </x:c>
      <x:c r="C5" s="691"/>
      <x:c r="D5" s="691"/>
      <x:c r="F5" s="696" t="str">
        <x:v>Objective</x:v>
      </x:c>
      <x:c r="G5" s="697" t="str">
        <x:v>Freeze exact development fault coverage and repeatable four-output behavior before protected held-out execution.</x:v>
      </x:c>
      <x:c r="H5" s="697"/>
    </x:row>
    <x:row r="6" ht="63" customHeight="1">
      <x:c r="A6" s="688" t="str">
        <x:v>Time Tracking</x:v>
      </x:c>
      <x:c r="B6" s="693" t="str">
        <x:v>Waived prospectively</x:v>
      </x:c>
      <x:c r="C6" s="691"/>
      <x:c r="D6" s="691"/>
      <x:c r="F6" s="696" t="str">
        <x:v>Gate Status</x:v>
      </x:c>
      <x:c r="G6" s="697" t="str">
        <x:v>22/22 scenarios, 44/44 publications, 8/8 gate faults, 11/11 check faults, and 22/22 exact oracles pass.</x:v>
      </x:c>
      <x:c r="H6" s="697"/>
    </x:row>
    <x:row r="7" ht="81" customHeight="1">
      <x:c r="A7" s="688" t="str">
        <x:v>Current Gate</x:v>
      </x:c>
      <x:c r="B7" s="694" t="str">
        <x:v>D-109 and P4.1 accepted; PR #61 integration pending</x:v>
      </x:c>
      <x:c r="C7" s="691"/>
      <x:c r="D7" s="691"/>
      <x:c r="F7" s="696" t="str">
        <x:v>Definition of Done</x:v>
      </x:c>
      <x:c r="G7" s="697" t="str">
        <x:v>PR #61 is integrated and exact main is recorded.</x:v>
      </x:c>
      <x:c r="H7" s="697"/>
    </x:row>
    <x:row r="8" ht="63" customHeight="1">
      <x:c r="A8" s="688" t="str">
        <x:v>Released Kernel</x:v>
      </x:c>
      <x:c r="B8" s="691" t="str">
        <x:v>v0.2.0 / commit 45336a2</x:v>
      </x:c>
      <x:c r="C8" s="691"/>
      <x:c r="D8" s="691"/>
      <x:c r="F8" s="696" t="str">
        <x:v>Immediate Next Action</x:v>
      </x:c>
      <x:c r="G8" s="697" t="str">
        <x:v>Merge PR #61, then define the separate P4.2 execution gate.</x:v>
      </x:c>
      <x:c r="H8" s="697"/>
    </x:row>
    <x:row r="9" ht="72" customHeight="1">
      <x:c r="A9" s="688" t="str">
        <x:v>Release Target</x:v>
      </x:c>
      <x:c r="B9" s="691" t="str">
        <x:v>v0.3.0</x:v>
      </x:c>
      <x:c r="C9" s="691"/>
      <x:c r="D9" s="691"/>
      <x:c r="F9" s="696" t="str">
        <x:v>Primary Risk</x:v>
      </x:c>
      <x:c r="G9" s="697" t="str">
        <x:v>D-109 controls the risk of overstating router-only states as semantic evidence.</x:v>
      </x:c>
      <x:c r="H9" s="697"/>
    </x:row>
    <x:row r="10" ht="81" customHeight="1">
      <x:c r="A10" s="688" t="str">
        <x:v>Baseline Test Count</x:v>
      </x:c>
      <x:c r="B10" s="691" t="n">
        <x:v>121</x:v>
      </x:c>
      <x:c r="C10" s="691"/>
      <x:c r="D10" s="691"/>
      <x:c r="F10" s="696" t="str">
        <x:v>Deferred</x:v>
      </x:c>
      <x:c r="G10" s="697" t="str">
        <x:v>P4.2 held-out execution and D-108 deferred capabilities remain blocked until separately authorized.</x:v>
      </x:c>
      <x:c r="H10" s="697"/>
    </x:row>
    <x:row r="11" ht="63" customHeight="1">
      <x:c r="A11" s="688" t="str">
        <x:v>Fixture Package Families</x:v>
      </x:c>
      <x:c r="B11" s="691" t="n">
        <x:v>2</x:v>
      </x:c>
      <x:c r="C11" s="691"/>
      <x:c r="D11" s="691"/>
      <x:c r="F11" s="696" t="str">
        <x:v>Data Boundary</x:v>
      </x:c>
      <x:c r="G11" s="697" t="str">
        <x:v>Accepted clean, held-out, public-package, schema, golden, historical,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Accepted / Integration Pending</x:v>
      </x:c>
      <x:c r="C19" s="699" t="str">
        <x:v>PR #61 merge pending</x:v>
      </x:c>
      <x:c r="D19" s="700" t="n">
        <x:v>1</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54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Accepted / Integration Pending</x:v>
      </x:c>
      <x:c r="F51" s="431" t="str">
        <x:v>codex/p4.1-development-benchmark</x:v>
      </x:c>
      <x:c r="G51" s="431" t="str">
        <x:v>implementation 4cf9fe8; P4.1-DEV-1; D-109 accepted; PR #61 integration pending; EV-139-EV-142; IMP-020-IMP-022; 22/22 scenarios; 44/44 publications; 8/8 gate faults; 11/11 check faults; 22/22 repeatability; full 319/1; coverage 88.57%; validation 5/5; Ruff; baseline 9/9; demo 2/2; hosted Linux CI 2/2; P4.2 blocked</x:v>
      </x:c>
      <x:c r="H5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