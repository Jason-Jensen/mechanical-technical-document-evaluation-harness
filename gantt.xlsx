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dd2968289e14b72" /></Relationships>
</file>

<file path=xl/workbook.xml><?xml version="1.0" encoding="utf-8"?>
<x:workbook xmlns:x="http://schemas.openxmlformats.org/spreadsheetml/2006/main">
  <x:sheets>
    <x:sheet xmlns:r="http://schemas.openxmlformats.org/officeDocument/2006/relationships" name="Start Here" sheetId="1" r:id="R8c24ab506e1c4e56"/>
    <x:sheet xmlns:r="http://schemas.openxmlformats.org/officeDocument/2006/relationships" name="Executive Gantt" sheetId="2" r:id="R255b7d53f7fd4641"/>
    <x:sheet xmlns:r="http://schemas.openxmlformats.org/officeDocument/2006/relationships" name="Detailed Gantt" sheetId="3" r:id="R66d5ff1d50724d0b"/>
    <x:sheet xmlns:r="http://schemas.openxmlformats.org/officeDocument/2006/relationships" name="Weekly Control" sheetId="4" r:id="Rcd09a5924556490a"/>
    <x:sheet xmlns:r="http://schemas.openxmlformats.org/officeDocument/2006/relationships" name="Phase Summary" sheetId="5" r:id="Rd8be57a9ba1f4c7a"/>
    <x:sheet xmlns:r="http://schemas.openxmlformats.org/officeDocument/2006/relationships" name="Assumptions &amp; Gates" sheetId="6" r:id="Ra682a238a69a46d5"/>
    <x:sheet xmlns:r="http://schemas.openxmlformats.org/officeDocument/2006/relationships" name="Sources" sheetId="7" r:id="R5b9f8fa08e514c07"/>
    <x:sheet xmlns:r="http://schemas.openxmlformats.org/officeDocument/2006/relationships" name="Legacy Baseline" sheetId="8" r:id="R7dc1b6b62f4d498f"/>
    <x:sheet xmlns:r="http://schemas.openxmlformats.org/officeDocument/2006/relationships" name="Work Block Log" sheetId="9" r:id="Rb8041409611a4228"/>
    <x:sheet xmlns:r="http://schemas.openxmlformats.org/officeDocument/2006/relationships" name="Decision Register" sheetId="10" r:id="R9ac90668ef7e4ef5"/>
    <x:sheet xmlns:r="http://schemas.openxmlformats.org/officeDocument/2006/relationships" name="Risks &amp; Issues" sheetId="11" r:id="R366cdf02b6e247d1"/>
    <x:sheet xmlns:r="http://schemas.openxmlformats.org/officeDocument/2006/relationships" name="Evidence Register" sheetId="12" r:id="R2677656ca23c45f8"/>
    <x:sheet xmlns:r="http://schemas.openxmlformats.org/officeDocument/2006/relationships" name="Expansion Backlog" sheetId="13" r:id="Rd4193d1935d241ff"/>
    <x:sheet xmlns:r="http://schemas.openxmlformats.org/officeDocument/2006/relationships" name="AI Context" sheetId="14" r:id="R5e0706d2fc204a83"/>
    <x:sheet xmlns:r="http://schemas.openxmlformats.org/officeDocument/2006/relationships" name="MVP Dashboard" sheetId="15" r:id="Rfe90b2ae37ca4fdf"/>
    <x:sheet xmlns:r="http://schemas.openxmlformats.org/officeDocument/2006/relationships" name="Product Vision" sheetId="16" r:id="R7c7ac2ddc05d472c"/>
    <x:sheet xmlns:r="http://schemas.openxmlformats.org/officeDocument/2006/relationships" name="Pilot Gantt" sheetId="17" r:id="R81c12c10905a4ead"/>
    <x:sheet xmlns:r="http://schemas.openxmlformats.org/officeDocument/2006/relationships" name="Pilot Dashboard" sheetId="18" r:id="Ra8dfd35490cd41ca"/>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<x:sst xmlns:x="http://schemas.openxmlformats.org/spreadsheetml/2006/main">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</x:sst>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ac6c4feec844dc" /><Relationship Type="http://schemas.openxmlformats.org/officeDocument/2006/relationships/theme" Target="/xl/theme/theme1.xml" Id="R3de7b993bd3b4c7a" /><Relationship Type="http://schemas.openxmlformats.org/officeDocument/2006/relationships/sharedStrings" Target="/xl/sharedStrings.xml" Id="Re27cb4ee3afd4390" /><Relationship Type="http://schemas.openxmlformats.org/officeDocument/2006/relationships/worksheet" Target="/xl/worksheets/sheet1.xml" Id="R8c24ab506e1c4e56" /><Relationship Type="http://schemas.openxmlformats.org/officeDocument/2006/relationships/worksheet" Target="/xl/worksheets/sheet2.xml" Id="R255b7d53f7fd4641" /><Relationship Type="http://schemas.openxmlformats.org/officeDocument/2006/relationships/worksheet" Target="/xl/worksheets/sheet3.xml" Id="R66d5ff1d50724d0b" /><Relationship Type="http://schemas.openxmlformats.org/officeDocument/2006/relationships/worksheet" Target="/xl/worksheets/sheet4.xml" Id="Rcd09a5924556490a" /><Relationship Type="http://schemas.openxmlformats.org/officeDocument/2006/relationships/worksheet" Target="/xl/worksheets/sheet5.xml" Id="Rd8be57a9ba1f4c7a" /><Relationship Type="http://schemas.openxmlformats.org/officeDocument/2006/relationships/worksheet" Target="/xl/worksheets/sheet6.xml" Id="Ra682a238a69a46d5" /><Relationship Type="http://schemas.openxmlformats.org/officeDocument/2006/relationships/worksheet" Target="/xl/worksheets/sheet7.xml" Id="R5b9f8fa08e514c07" /><Relationship Type="http://schemas.openxmlformats.org/officeDocument/2006/relationships/worksheet" Target="/xl/worksheets/sheet8.xml" Id="R7dc1b6b62f4d498f" /><Relationship Type="http://schemas.openxmlformats.org/officeDocument/2006/relationships/worksheet" Target="/xl/worksheets/sheet9.xml" Id="Rb8041409611a4228" /><Relationship Type="http://schemas.openxmlformats.org/officeDocument/2006/relationships/worksheet" Target="/xl/worksheets/sheet10.xml" Id="R9ac90668ef7e4ef5" /><Relationship Type="http://schemas.openxmlformats.org/officeDocument/2006/relationships/worksheet" Target="/xl/worksheets/sheet11.xml" Id="R366cdf02b6e247d1" /><Relationship Type="http://schemas.openxmlformats.org/officeDocument/2006/relationships/worksheet" Target="/xl/worksheets/sheet12.xml" Id="R2677656ca23c45f8" /><Relationship Type="http://schemas.openxmlformats.org/officeDocument/2006/relationships/worksheet" Target="/xl/worksheets/sheet13.xml" Id="Rd4193d1935d241ff" /><Relationship Type="http://schemas.openxmlformats.org/officeDocument/2006/relationships/worksheet" Target="/xl/worksheets/sheet14.xml" Id="R5e0706d2fc204a83" /><Relationship Type="http://schemas.openxmlformats.org/officeDocument/2006/relationships/worksheet" Target="/xl/worksheets/sheet15.xml" Id="Rfe90b2ae37ca4fdf" /><Relationship Type="http://schemas.openxmlformats.org/officeDocument/2006/relationships/worksheet" Target="/xl/worksheets/sheet16.xml" Id="R7c7ac2ddc05d472c" /><Relationship Type="http://schemas.openxmlformats.org/officeDocument/2006/relationships/worksheet" Target="/xl/worksheets/sheet17.xml" Id="R81c12c10905a4ead" /><Relationship Type="http://schemas.openxmlformats.org/officeDocument/2006/relationships/worksheet" Target="/xl/worksheets/sheet18.xml" Id="Ra8dfd35490cd41ca" /></Relationships>
</file>

<file path=xl/drawings/_rels/drawing1.xml.rels>&#65279;<?xml version="1.0" encoding="utf-8"?><Relationships xmlns="http://schemas.openxmlformats.org/package/2006/relationships"><Relationship Type="http://schemas.openxmlformats.org/officeDocument/2006/relationships/chart" Target="/xl/drawings/charts/chart1.xml" Id="Rfa2178df39494837" /></Relationships>
</file>

<file path=xl/drawings/_rels/drawing2.xml.rels>&#65279;<?xml version="1.0" encoding="utf-8"?><Relationships xmlns="http://schemas.openxmlformats.org/package/2006/relationships"><Relationship Type="http://schemas.openxmlformats.org/officeDocument/2006/relationships/chart" Target="/xl/drawings/charts/chart2.xml" Id="R9dd1c62bac8b4b3c" /></Relationships>
</file>

<file path=xl/drawings/_rels/drawing3.xml.rels>&#65279;<?xml version="1.0" encoding="utf-8"?><Relationships xmlns="http://schemas.openxmlformats.org/package/2006/relationships"><Relationship Type="http://schemas.openxmlformats.org/officeDocument/2006/relationships/chart" Target="/xl/drawings/charts/chart3.xml" Id="R54980deee9bc4fa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a2178df39494837"/>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dd1c62bac8b4b3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4980deee9bc4fa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dc09d81f77624c08" /></Relationships>
</file>

<file path=xl/worksheets/_rels/sheet5.xml.rels>&#65279;<?xml version="1.0" encoding="utf-8"?><Relationships xmlns="http://schemas.openxmlformats.org/package/2006/relationships"><Relationship Type="http://schemas.openxmlformats.org/officeDocument/2006/relationships/drawing" Target="/xl/drawings/drawing2.xml" Id="R2ff7db4d0de84ef7" /></Relationships>
</file>

<file path=xl/worksheets/_rels/sheet15.xml.rels>&#65279;<?xml version="1.0" encoding="utf-8"?><Relationships xmlns="http://schemas.openxmlformats.org/package/2006/relationships"><Relationship Type="http://schemas.openxmlformats.org/officeDocument/2006/relationships/drawing" Target="/xl/drawings/drawing3.xml" Id="R8249419317d241ea"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second P2.2 implementation ready for acceptance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second relationship-slice implementation acceptance</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 metadata presence implementation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Accept, revise, or reject PR #31 after evidence and diff review</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35" hidden="0" customHeight="1">
      <x:c r="A28" s="704" t="str">
        <x:v>Implementation commit b24ca65 adds only the accepted drawing_register_metadata_presence v0.3.0 check after the existing revision check. A clean package passes; temporary removal of one or both metadata records emits exact sorted DRAWING_METADATA_MISSING automatic-fail release holds with authoritative register-row and searched JSON collection evidence. Repeated runs and source reordering preserve semantic identity and normalized membership; failed P2.1 prerequisites skip both checks. Verification passes focused 35, full 206/1, validation 5/5, Ruff, 84.93% coverage, and two PR #31 CI runs. No protected asset or downstream behavior changed. User acceptance is pending.</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dc09d81f77624c08"/>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2ff7db4d0de84ef7"/>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second relationship-slice implementation acceptance</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P2.2 revision slice is integrated and verified. Commit b24ca65 implements the accepted second slice on PR #31: authoritative register drawings missing metadata counterparts produce deterministic release-hold findings with negative collection evidence. The implementation is ready for user acceptance. Reverse orphan detection,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PR #31 and accept, revise, or reject drawing_register_metadata_presence v0.3.0. Do not merge or start another relationship before explicit acceptance.</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The accepted first P2.2 slice remains drawing_register_metadata_revision v0.3.0. Commit b24ca65 appends drawing_register_metadata_presence v0.3.0 in relationships.py without changing P2.1 gates or revision-finding semantics. It emits DRAWING_METADATA_MISSING, exact drawing_number membership, automatic_fail and release-hold behavior under AUTH-DWG-001, authoritative row plus searched /records collection evidence, stable identity and ordering, and two-check prerequisite skips. Temporary-copy tests cover clean, one missing, both missing, repeated runs, and register/metadata reorder cases. Focused 35, full 206/1, validation 5/5, Ruff, 84.93% coverage, and two PR #31 CI runs pass. Reverse metadata-without-register authority remains separate.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8249419317d241ea"/>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0.2</x:v>
      </x:c>
      <x:c r="M12" s="662" t="n">
        <x:f>SUMIF('Work Block Log'!$E$5:$E$200,A12,'Work Block Log'!$F$5:$F$200)</x:f>
        <x:v>0</x:v>
      </x:c>
      <x:c r="N12" s="662" t="n">
        <x:f>MAX(F12*(1-L12),0)</x:f>
        <x:v>3.2</x:v>
      </x:c>
      <x:c r="O12" s="662" t="n">
        <x:f>M12-F12</x:f>
        <x:v>-4</x:v>
      </x:c>
      <x:c r="P12" s="431" t="str">
        <x:v>first slice integrated through PR #28 at main 5866212; second definition through PR #30 at main 551200b; implementation b24ca65; draft PR #31 green; focused 35; full 206/1; validation 5/5; Ruff; coverage 84.93%; docs/package_assurance/p2_2_drawing_metadata_presence_definition_v0.3.0.md; codex/p2.2-drawing-metadata-presence-implementation; D-049-D-057; EV-046-EV-054</x:v>
      </x:c>
      <x:c r="Q12" s="431" t="str">
        <x:v>Review PR #31 and accept, revise, or reject the implemented drawing_register_metadata_presence v0.3.0 behavior before merge or another slice.</x:v>
      </x:c>
      <x:c r="R12" s="431" t="str">
        <x:v>The accepted second slice is implemented and verified but not yet accepted or integrated. Reverse orphan metadata has different authority routing and remains separate. P2.2 stays at 20% until this outcome is accepted.</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0.34347826086956523</x:v>
      </x:c>
      <x:c r="M24" s="683" t="n">
        <x:f>SUM(M6:M22)</x:f>
        <x:v>0</x:v>
      </x:c>
      <x:c r="N24" s="683" t="n">
        <x:f>SUM(N6:N22)</x:f>
        <x:v>30.2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Second P2.2 Implementation Review</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presence implementation review</x:v>
      </x:c>
      <x:c r="H4" s="697"/>
    </x:row>
    <x:row r="5" ht="54" customHeight="1">
      <x:c r="A5" s="688" t="str">
        <x:v>Schedule Baseline</x:v>
      </x:c>
      <x:c r="B5" s="693" t="str">
        <x:v>Legacy only; not controlling</x:v>
      </x:c>
      <x:c r="C5" s="691"/>
      <x:c r="D5" s="691"/>
      <x:c r="F5" s="696" t="str">
        <x:v>Objective</x:v>
      </x:c>
      <x:c r="G5" s="697" t="str">
        <x:v>Review the implemented directional missing-counterpart rule against its accepted contract.</x:v>
      </x:c>
      <x:c r="H5" s="697"/>
    </x:row>
    <x:row r="6" ht="54" customHeight="1">
      <x:c r="A6" s="688" t="str">
        <x:v>Time Tracking</x:v>
      </x:c>
      <x:c r="B6" s="693" t="str">
        <x:v>Waived prospectively</x:v>
      </x:c>
      <x:c r="C6" s="691"/>
      <x:c r="D6" s="691"/>
      <x:c r="F6" s="696" t="str">
        <x:v>Gate Status</x:v>
      </x:c>
      <x:c r="G6" s="697" t="str">
        <x:v>Commit b24ca65 on PR #31; two GitHub CI runs and all local verification pass.</x:v>
      </x:c>
      <x:c r="H6" s="697"/>
    </x:row>
    <x:row r="7" ht="54" customHeight="1">
      <x:c r="A7" s="688" t="str">
        <x:v>Current Gate</x:v>
      </x:c>
      <x:c r="B7" s="694" t="str">
        <x:v>P2.2 second relationship-slice implementation acceptance</x:v>
      </x:c>
      <x:c r="C7" s="691"/>
      <x:c r="D7" s="691"/>
      <x:c r="F7" s="696" t="str">
        <x:v>Definition of Done</x:v>
      </x:c>
      <x:c r="G7" s="697" t="str">
        <x:v>Exact diff and evidence are reviewed and the user explicitly accepts, revises, or rejects the implementation.</x:v>
      </x:c>
      <x:c r="H7" s="697"/>
    </x:row>
    <x:row r="8" ht="63" customHeight="1">
      <x:c r="A8" s="688" t="str">
        <x:v>Released Kernel</x:v>
      </x:c>
      <x:c r="B8" s="691" t="str">
        <x:v>v0.2.0 / commit 45336a2</x:v>
      </x:c>
      <x:c r="C8" s="691"/>
      <x:c r="D8" s="691"/>
      <x:c r="F8" s="696" t="str">
        <x:v>Immediate Next Action</x:v>
      </x:c>
      <x:c r="G8" s="697" t="str">
        <x:v>Review PR #31; do not merge or begin another relationship before explicit acceptance.</x:v>
      </x:c>
      <x:c r="H8" s="697"/>
    </x:row>
    <x:row r="9" ht="63" customHeight="1">
      <x:c r="A9" s="688" t="str">
        <x:v>Release Target</x:v>
      </x:c>
      <x:c r="B9" s="691" t="str">
        <x:v>v0.3.0</x:v>
      </x:c>
      <x:c r="C9" s="691"/>
      <x:c r="D9" s="691"/>
      <x:c r="F9" s="696" t="str">
        <x:v>Primary Risk</x:v>
      </x:c>
      <x:c r="G9" s="697" t="str">
        <x:v>Primary risk is approving absence evidence without confirming the searched collection and stable behavior.</x:v>
      </x:c>
      <x:c r="H9" s="697"/>
    </x:row>
    <x:row r="10" ht="63" customHeight="1">
      <x:c r="A10" s="688" t="str">
        <x:v>Baseline Test Count</x:v>
      </x:c>
      <x:c r="B10" s="691" t="n">
        <x:v>121</x:v>
      </x:c>
      <x:c r="C10" s="691"/>
      <x:c r="D10" s="691"/>
      <x:c r="F10" s="696" t="str">
        <x:v>Deferred</x:v>
      </x:c>
      <x:c r="G10" s="697" t="str">
        <x:v>Reverse orphan metadata, other P2.2 rules, routing, reports, CLI,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First P2.2 slice integrated; second directional implementation ready for acceptance; broader P2.2 remains open</x:v>
      </x:c>
      <x:c r="D17" s="700" t="n">
        <x:f>AVERAGE('Pilot Gantt'!L11:L14)</x:f>
        <x:v>0.3</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35" customHeight="1">
      <x:c r="A27" s="431" t="n">
        <x:v>4</x:v>
      </x:c>
      <x:c r="B27" s="431" t="str">
        <x:v>P2.2</x:v>
      </x:c>
      <x:c r="C27" s="431" t="str">
        <x:v>Drawing metadata presence implementation review</x:v>
      </x:c>
      <x:c r="D27" s="431" t="str">
        <x:v>Review the accepted authoritative register-to-metadata absence implementation, its negative evidence, stable identity, ordering, and prerequisite behavior.</x:v>
      </x:c>
      <x:c r="E27" s="431" t="str">
        <x:v>Ready for acceptance</x:v>
      </x:c>
      <x:c r="F27" s="431" t="str">
        <x:v>codex/p2.2-drawing-metadata-presence-implementation</x:v>
      </x:c>
      <x:c r="G27" s="431" t="str">
        <x:v>b24ca65; draft PR #31 green; D-053-D-057; EV-050-EV-054; IMP-009; focused 35; full 206/1; validation 5/5; Ruff; coverage 84.93%</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