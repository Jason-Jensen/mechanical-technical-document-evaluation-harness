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1257d2ec264b1f" /></Relationships>
</file>

<file path=xl/workbook.xml><?xml version="1.0" encoding="utf-8"?>
<x:workbook xmlns:x="http://schemas.openxmlformats.org/spreadsheetml/2006/main">
  <x:sheets>
    <x:sheet xmlns:r="http://schemas.openxmlformats.org/officeDocument/2006/relationships" name="Start Here" sheetId="1" r:id="R80143293ccc14580"/>
    <x:sheet xmlns:r="http://schemas.openxmlformats.org/officeDocument/2006/relationships" name="Executive Gantt" sheetId="2" r:id="Rc0e32ab890954f93"/>
    <x:sheet xmlns:r="http://schemas.openxmlformats.org/officeDocument/2006/relationships" name="Detailed Gantt" sheetId="3" r:id="R3e0dae5b762e49d6"/>
    <x:sheet xmlns:r="http://schemas.openxmlformats.org/officeDocument/2006/relationships" name="Weekly Control" sheetId="4" r:id="R8b666a0efb174bd7"/>
    <x:sheet xmlns:r="http://schemas.openxmlformats.org/officeDocument/2006/relationships" name="Phase Summary" sheetId="5" r:id="R05312ab0513c4dab"/>
    <x:sheet xmlns:r="http://schemas.openxmlformats.org/officeDocument/2006/relationships" name="Assumptions &amp; Gates" sheetId="6" r:id="R610f6d1d03b5402c"/>
    <x:sheet xmlns:r="http://schemas.openxmlformats.org/officeDocument/2006/relationships" name="Sources" sheetId="7" r:id="R43bd0c8f24d94614"/>
    <x:sheet xmlns:r="http://schemas.openxmlformats.org/officeDocument/2006/relationships" name="Legacy Baseline" sheetId="8" r:id="R28e0ec481b1842fb"/>
    <x:sheet xmlns:r="http://schemas.openxmlformats.org/officeDocument/2006/relationships" name="Work Block Log" sheetId="9" r:id="Rd0a4079db78745c2"/>
    <x:sheet xmlns:r="http://schemas.openxmlformats.org/officeDocument/2006/relationships" name="Decision Register" sheetId="10" r:id="Rdac41a9d6c004ed4"/>
    <x:sheet xmlns:r="http://schemas.openxmlformats.org/officeDocument/2006/relationships" name="Risks &amp; Issues" sheetId="11" r:id="R9ad972a546084c07"/>
    <x:sheet xmlns:r="http://schemas.openxmlformats.org/officeDocument/2006/relationships" name="Evidence Register" sheetId="12" r:id="Ra3d5479485354950"/>
    <x:sheet xmlns:r="http://schemas.openxmlformats.org/officeDocument/2006/relationships" name="Expansion Backlog" sheetId="13" r:id="Rc6a15dd62561427a"/>
    <x:sheet xmlns:r="http://schemas.openxmlformats.org/officeDocument/2006/relationships" name="AI Context" sheetId="14" r:id="Re6decdde419d4c1d"/>
    <x:sheet xmlns:r="http://schemas.openxmlformats.org/officeDocument/2006/relationships" name="MVP Dashboard" sheetId="15" r:id="R785ef93c8d9743a2"/>
    <x:sheet xmlns:r="http://schemas.openxmlformats.org/officeDocument/2006/relationships" name="Product Vision" sheetId="16" r:id="Ra60f8be7a4d7416a"/>
    <x:sheet xmlns:r="http://schemas.openxmlformats.org/officeDocument/2006/relationships" name="Pilot Gantt" sheetId="17" r:id="Rc7cc70d66eac41f6"/>
    <x:sheet xmlns:r="http://schemas.openxmlformats.org/officeDocument/2006/relationships" name="Pilot Dashboard" sheetId="18" r:id="Rf6643705af5e467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<x:sst xmlns:x="http://schemas.openxmlformats.org/spreadsheetml/2006/main">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</x:sst>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8e372b944e4388" /><Relationship Type="http://schemas.openxmlformats.org/officeDocument/2006/relationships/theme" Target="/xl/theme/theme1.xml" Id="R045165bb70494058" /><Relationship Type="http://schemas.openxmlformats.org/officeDocument/2006/relationships/sharedStrings" Target="/xl/sharedStrings.xml" Id="R67c5a1db9d764930" /><Relationship Type="http://schemas.openxmlformats.org/officeDocument/2006/relationships/worksheet" Target="/xl/worksheets/sheet1.xml" Id="R80143293ccc14580" /><Relationship Type="http://schemas.openxmlformats.org/officeDocument/2006/relationships/worksheet" Target="/xl/worksheets/sheet2.xml" Id="Rc0e32ab890954f93" /><Relationship Type="http://schemas.openxmlformats.org/officeDocument/2006/relationships/worksheet" Target="/xl/worksheets/sheet3.xml" Id="R3e0dae5b762e49d6" /><Relationship Type="http://schemas.openxmlformats.org/officeDocument/2006/relationships/worksheet" Target="/xl/worksheets/sheet4.xml" Id="R8b666a0efb174bd7" /><Relationship Type="http://schemas.openxmlformats.org/officeDocument/2006/relationships/worksheet" Target="/xl/worksheets/sheet5.xml" Id="R05312ab0513c4dab" /><Relationship Type="http://schemas.openxmlformats.org/officeDocument/2006/relationships/worksheet" Target="/xl/worksheets/sheet6.xml" Id="R610f6d1d03b5402c" /><Relationship Type="http://schemas.openxmlformats.org/officeDocument/2006/relationships/worksheet" Target="/xl/worksheets/sheet7.xml" Id="R43bd0c8f24d94614" /><Relationship Type="http://schemas.openxmlformats.org/officeDocument/2006/relationships/worksheet" Target="/xl/worksheets/sheet8.xml" Id="R28e0ec481b1842fb" /><Relationship Type="http://schemas.openxmlformats.org/officeDocument/2006/relationships/worksheet" Target="/xl/worksheets/sheet9.xml" Id="Rd0a4079db78745c2" /><Relationship Type="http://schemas.openxmlformats.org/officeDocument/2006/relationships/worksheet" Target="/xl/worksheets/sheet10.xml" Id="Rdac41a9d6c004ed4" /><Relationship Type="http://schemas.openxmlformats.org/officeDocument/2006/relationships/worksheet" Target="/xl/worksheets/sheet11.xml" Id="R9ad972a546084c07" /><Relationship Type="http://schemas.openxmlformats.org/officeDocument/2006/relationships/worksheet" Target="/xl/worksheets/sheet12.xml" Id="Ra3d5479485354950" /><Relationship Type="http://schemas.openxmlformats.org/officeDocument/2006/relationships/worksheet" Target="/xl/worksheets/sheet13.xml" Id="Rc6a15dd62561427a" /><Relationship Type="http://schemas.openxmlformats.org/officeDocument/2006/relationships/worksheet" Target="/xl/worksheets/sheet14.xml" Id="Re6decdde419d4c1d" /><Relationship Type="http://schemas.openxmlformats.org/officeDocument/2006/relationships/worksheet" Target="/xl/worksheets/sheet15.xml" Id="R785ef93c8d9743a2" /><Relationship Type="http://schemas.openxmlformats.org/officeDocument/2006/relationships/worksheet" Target="/xl/worksheets/sheet16.xml" Id="Ra60f8be7a4d7416a" /><Relationship Type="http://schemas.openxmlformats.org/officeDocument/2006/relationships/worksheet" Target="/xl/worksheets/sheet17.xml" Id="Rc7cc70d66eac41f6" /><Relationship Type="http://schemas.openxmlformats.org/officeDocument/2006/relationships/worksheet" Target="/xl/worksheets/sheet18.xml" Id="Rf6643705af5e4672" /></Relationships>
</file>

<file path=xl/drawings/_rels/drawing1.xml.rels>&#65279;<?xml version="1.0" encoding="utf-8"?><Relationships xmlns="http://schemas.openxmlformats.org/package/2006/relationships"><Relationship Type="http://schemas.openxmlformats.org/officeDocument/2006/relationships/chart" Target="/xl/drawings/charts/chart1.xml" Id="Ref8914e3139447cc" /></Relationships>
</file>

<file path=xl/drawings/_rels/drawing2.xml.rels>&#65279;<?xml version="1.0" encoding="utf-8"?><Relationships xmlns="http://schemas.openxmlformats.org/package/2006/relationships"><Relationship Type="http://schemas.openxmlformats.org/officeDocument/2006/relationships/chart" Target="/xl/drawings/charts/chart2.xml" Id="R238cd5e631d641ff" /></Relationships>
</file>

<file path=xl/drawings/_rels/drawing3.xml.rels>&#65279;<?xml version="1.0" encoding="utf-8"?><Relationships xmlns="http://schemas.openxmlformats.org/package/2006/relationships"><Relationship Type="http://schemas.openxmlformats.org/officeDocument/2006/relationships/chart" Target="/xl/drawings/charts/chart3.xml" Id="R96a8c97cc7284ef5"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8914e3139447c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38cd5e631d641f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6a8c97cc7284ef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5fdb5e1911e14b77" /></Relationships>
</file>

<file path=xl/worksheets/_rels/sheet5.xml.rels>&#65279;<?xml version="1.0" encoding="utf-8"?><Relationships xmlns="http://schemas.openxmlformats.org/package/2006/relationships"><Relationship Type="http://schemas.openxmlformats.org/officeDocument/2006/relationships/drawing" Target="/xl/drawings/drawing2.xml" Id="Rd8c7f342e2b8465e" /></Relationships>
</file>

<file path=xl/worksheets/_rels/sheet15.xml.rels>&#65279;<?xml version="1.0" encoding="utf-8"?><Relationships xmlns="http://schemas.openxmlformats.org/package/2006/relationships"><Relationship Type="http://schemas.openxmlformats.org/officeDocument/2006/relationships/drawing" Target="/xl/drawings/drawing3.xml" Id="R735fed924a434ff0"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v2.9 - P2.1 verified and awaiting acceptance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P2.1 package gates implementation complete; user acceptance pending</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P2.1 - Review and accept package inventory gates</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 Document and tag relationship checks (blocked pending P2.1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81" hidden="0" customHeight="1">
      <x:c r="A28" s="704" t="str">
        <x:v>P2.1 is implementation-complete at commit e1ada72 and regression-verified on feature/package-inventory-gates: focused 60 passed/1 skipped and full 187 passed/1 skipped. User acceptance is pending and P2.2 remains blocked. A metadata-only held-out path enumeration and the approved EOL reproducibility repair are disclosed in D-046/EV-043; no protected source or oracle content was used to tune behavior.</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5fdb5e1911e14b77"/>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d8c7f342e2b8465e"/>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v2.9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P2.1 - verified; acceptance pending</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now provides structured JSON/CSV adapters, deterministic evidence models, and eight ordered package gates. P2.2 relationships,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and accept P2.1. Do not begin P2.2 until acceptance is recorded. Preserve the eight-gate boundary and do not add relationship, routing, report, or deferred capabilities on this branch.</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17" hidden="0" customHeight="1">
      <x:c r="A41" s="604" t="str">
        <x:v>Immediate implication</x:v>
      </x:c>
      <x:c r="B41" s="605"/>
      <x:c r="C41" s="606" t="str">
        <x:v>P2.1 implementation is committed at e1ada72 on feature/package-inventory-gates. Eight fail-closed gates cover manifest, mandatory source load/parse, authority declarations, controlled file boundaries, identifiers, duplicates, revisions, and evidence locators. Focused verification passed 60 tests with one expected Windows symlink skip; the full suite passed 187 with the same skip. The approved EOL-only repair preserves benchmark raw bytes through .gitattributes without changing fixture values, oracles, expected states, or hashes. Stop for user acceptance before P2.2.</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735fed924a434ff0"/>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44"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In Progress</x:v>
      </x:c>
      <x:c r="L11" s="664" t="n">
        <x:v>1</x:v>
      </x:c>
      <x:c r="M11" s="662" t="n">
        <x:f>SUMIF('Work Block Log'!$E$5:$E$200,A11,'Work Block Log'!$F$5:$F$200)</x:f>
        <x:v>0</x:v>
      </x:c>
      <x:c r="N11" s="662" t="n">
        <x:f>MAX(F11*(1-L11),0)</x:f>
        <x:v>0</x:v>
      </x:c>
      <x:c r="O11" s="662" t="n">
        <x:f>M11-F11</x:f>
        <x:v>-3</x:v>
      </x:c>
      <x:c r="P11" s="431" t="str">
        <x:v>feature/package-inventory-gates; implementation e1ada72; baseline 4b7516e; 16 gate tests passed; focused 60 passed/1 skipped; full 187 passed/1 skipped; D-044; D-045; D-046; EV-041; EV-042; EV-043</x:v>
      </x:c>
      <x:c r="Q11" s="431" t="str">
        <x:v>Review and accept the verified P2.1 implementation. After acceptance, authorize P2.2 document/tag relationship checks as a separate work block.</x:v>
      </x:c>
      <x:c r="R11" s="431" t="str">
        <x:v>Implementation is complete but status remains In Progress until user acceptance. Eight deterministic gates emit evidence and prerequisite skips without package-state routing. Approved byte-preservation repair changed no semantic fixture or oracle value. Metadata-only held-out access is disclosed; no semantic held-out evaluation or tuning occurred.</x:v>
      </x:c>
      <x:c r="S11" s="669"/>
      <x:c r="T11" s="669" t="str">
        <x:v>■</x:v>
      </x:c>
      <x:c r="U11" s="669" t="str">
        <x:v>■</x:v>
      </x:c>
      <x:c r="V11" s="669"/>
      <x:c r="W11" s="669"/>
      <x:c r="X11" s="669"/>
    </x:row>
    <x:row r="12" ht="8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Blocked by P2.1 user acceptance; no P2.2 implementation present</x:v>
      </x:c>
      <x:c r="Q12" s="431" t="str">
        <x:v>Do not begin until P2.1 is accepted and P2.2 is explicitly authorized.</x:v>
      </x:c>
      <x:c r="R12" s="431" t="str">
        <x:v>P2.2 will add document and equipment-tag relationship checks only; BOM/datasheet consistency and package-state routing remain later gates.</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0.32608695652173914</x:v>
      </x:c>
      <x:c r="M24" s="683" t="n">
        <x:f>SUM(M6:M22)</x:f>
        <x:v>0</x:v>
      </x:c>
      <x:c r="N24" s="683" t="n">
        <x:f>SUM(N6:N22)</x:f>
        <x:v>31</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P2.1 Verified / Acceptance Pending</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P2.1 - Verified; acceptance pending</x:v>
      </x:c>
      <x:c r="H4" s="697"/>
    </x:row>
    <x:row r="5" ht="54" customHeight="1">
      <x:c r="A5" s="688" t="str">
        <x:v>Schedule Baseline</x:v>
      </x:c>
      <x:c r="B5" s="693" t="str">
        <x:v>Legacy only; not controlling</x:v>
      </x:c>
      <x:c r="C5" s="691"/>
      <x:c r="D5" s="691"/>
      <x:c r="F5" s="696" t="str">
        <x:v>Objective</x:v>
      </x:c>
      <x:c r="G5" s="697" t="str">
        <x:v>Eight fail-closed package gates are implemented with deterministic findings, evidence locators, and prerequisite skips.</x:v>
      </x:c>
      <x:c r="H5" s="697"/>
    </x:row>
    <x:row r="6" ht="45" customHeight="1">
      <x:c r="A6" s="688" t="str">
        <x:v>Time Tracking</x:v>
      </x:c>
      <x:c r="B6" s="693" t="str">
        <x:v>Waived prospectively</x:v>
      </x:c>
      <x:c r="C6" s="691"/>
      <x:c r="D6" s="691"/>
      <x:c r="F6" s="696" t="str">
        <x:v>Gate Status</x:v>
      </x:c>
      <x:c r="G6" s="697" t="str">
        <x:v>Focused verification: 60 passed/1 skipped. Full regression: 187 passed/1 skipped.</x:v>
      </x:c>
      <x:c r="H6" s="697"/>
    </x:row>
    <x:row r="7" ht="54" customHeight="1">
      <x:c r="A7" s="688" t="str">
        <x:v>Current Gate</x:v>
      </x:c>
      <x:c r="B7" s="694" t="str">
        <x:v>P2.1 review and acceptance</x:v>
      </x:c>
      <x:c r="C7" s="691"/>
      <x:c r="D7" s="691"/>
      <x:c r="F7" s="696" t="str">
        <x:v>Definition of Done</x:v>
      </x:c>
      <x:c r="G7" s="697" t="str">
        <x:v>Review P2.1 behavior and scope. Accept before opening P2.2.</x:v>
      </x:c>
      <x:c r="H7" s="697"/>
    </x:row>
    <x:row r="8" ht="45" customHeight="1">
      <x:c r="A8" s="688" t="str">
        <x:v>Released Kernel</x:v>
      </x:c>
      <x:c r="B8" s="691" t="str">
        <x:v>v0.2.0 / commit 45336a2</x:v>
      </x:c>
      <x:c r="C8" s="691"/>
      <x:c r="D8" s="691"/>
      <x:c r="F8" s="696" t="str">
        <x:v>Immediate Next Action</x:v>
      </x:c>
      <x:c r="G8" s="697" t="str">
        <x:v>P2.2 remains blocked; no document/tag relationship checks are implemented.</x:v>
      </x:c>
      <x:c r="H8" s="697"/>
    </x:row>
    <x:row r="9" ht="54" customHeight="1">
      <x:c r="A9" s="688" t="str">
        <x:v>Release Target</x:v>
      </x:c>
      <x:c r="B9" s="691" t="str">
        <x:v>v0.3.0</x:v>
      </x:c>
      <x:c r="C9" s="691"/>
      <x:c r="D9" s="691"/>
      <x:c r="F9" s="696" t="str">
        <x:v>Primary Risk</x:v>
      </x:c>
      <x:c r="G9" s="697" t="str">
        <x:v>Metadata-only held-out access and the approved EOL repair are disclosed; no semantic held-out tuning occurred.</x:v>
      </x:c>
      <x:c r="H9" s="697"/>
    </x:row>
    <x:row r="10" ht="54" customHeight="1">
      <x:c r="A10" s="688" t="str">
        <x:v>Baseline Test Count</x:v>
      </x:c>
      <x:c r="B10" s="691" t="n">
        <x:v>121</x:v>
      </x:c>
      <x:c r="C10" s="691"/>
      <x:c r="D10" s="691"/>
      <x:c r="F10" s="696" t="str">
        <x:v>Deferred</x:v>
      </x:c>
      <x:c r="G10" s="697" t="str">
        <x:v>P2.2+ relationships/consistency/state routing, CLI/reporting, PDF/CAD, agents, APIs/databases, RAG, hosting, and RL.</x:v>
      </x:c>
      <x:c r="H10" s="697"/>
    </x:row>
    <x:row r="11" ht="45"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verified; acceptance pending</x:v>
      </x:c>
      <x:c r="D17" s="700" t="n">
        <x:v>1</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90" customHeight="1">
      <x:c r="A26" s="431" t="n">
        <x:v>3</x:v>
      </x:c>
      <x:c r="B26" s="431" t="str">
        <x:v>P2.1</x:v>
      </x:c>
      <x:c r="C26" s="431" t="str">
        <x:v>Package inventory gates</x:v>
      </x:c>
      <x:c r="D26" s="431" t="str">
        <x:v>Eight fail-closed package gates produce deterministic evidence and explicit prerequisite skips; implementation and regression verification are complete.</x:v>
      </x:c>
      <x:c r="E26" s="431" t="str">
        <x:v>Review Ready</x:v>
      </x:c>
      <x:c r="F26" s="431" t="str">
        <x:v>feature/package-inventory-gates</x:v>
      </x:c>
      <x:c r="G26" s="431" t="str">
        <x:v>commit e1ada72; D-045; D-046; EV-042; EV-043; focused 60/1; full 187/1</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