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89eab61dd649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132bbbf86784148"/>
    <x:sheet xmlns:r="http://schemas.openxmlformats.org/officeDocument/2006/relationships" name="Executive Gantt" sheetId="2" r:id="Re326b670016940c0"/>
    <x:sheet xmlns:r="http://schemas.openxmlformats.org/officeDocument/2006/relationships" name="Detailed Gantt" sheetId="3" r:id="Rc57fbc2f384245b5"/>
    <x:sheet xmlns:r="http://schemas.openxmlformats.org/officeDocument/2006/relationships" name="Weekly Control" sheetId="4" r:id="R13e6db1e6bfe4047"/>
    <x:sheet xmlns:r="http://schemas.openxmlformats.org/officeDocument/2006/relationships" name="Phase Summary" sheetId="5" r:id="Rbac3ae9f58f74e39"/>
    <x:sheet xmlns:r="http://schemas.openxmlformats.org/officeDocument/2006/relationships" name="Assumptions &amp; Gates" sheetId="6" r:id="R34ec567b435a4c54"/>
    <x:sheet xmlns:r="http://schemas.openxmlformats.org/officeDocument/2006/relationships" name="Sources" sheetId="7" r:id="Rf8fb01cab32e48d0"/>
    <x:sheet xmlns:r="http://schemas.openxmlformats.org/officeDocument/2006/relationships" name="Legacy Baseline" sheetId="8" r:id="R7773a2f6792c4d7b"/>
    <x:sheet xmlns:r="http://schemas.openxmlformats.org/officeDocument/2006/relationships" name="Work Block Log" sheetId="9" r:id="R2b63d3f5d9854bb9"/>
    <x:sheet xmlns:r="http://schemas.openxmlformats.org/officeDocument/2006/relationships" name="Decision Register" sheetId="10" r:id="R8f2d1a71fdea4ee7"/>
    <x:sheet xmlns:r="http://schemas.openxmlformats.org/officeDocument/2006/relationships" name="Risks &amp; Issues" sheetId="11" r:id="Ra9340edf92f645e0"/>
    <x:sheet xmlns:r="http://schemas.openxmlformats.org/officeDocument/2006/relationships" name="Evidence Register" sheetId="12" r:id="Rc8bf7836b9774794"/>
    <x:sheet xmlns:r="http://schemas.openxmlformats.org/officeDocument/2006/relationships" name="Expansion Backlog" sheetId="13" r:id="Rfb2109e78d6b41d1"/>
    <x:sheet xmlns:r="http://schemas.openxmlformats.org/officeDocument/2006/relationships" name="AI Context" sheetId="14" r:id="R75bad63ba3a14d33"/>
    <x:sheet xmlns:r="http://schemas.openxmlformats.org/officeDocument/2006/relationships" name="MVP Dashboard" sheetId="15" r:id="R585834a0855e45bf"/>
    <x:sheet xmlns:r="http://schemas.openxmlformats.org/officeDocument/2006/relationships" name="Product Vision" sheetId="16" r:id="Rdafeef826a754207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<x:sst xmlns:x="http://schemas.openxmlformats.org/spreadsheetml/2006/main">
  <x:si>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</x:si>
  <x:si>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</x:si>
  <x:si>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</x:si>
  <x:si>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</x:si>
  <x:si>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</x:si>
  <x:si>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</x:si>
  <x:si>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</x:si>
  <x:si>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</x:si>
  <x:si>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</x:si>
  <x:si>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</x:si>
  <x:si>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</x:si>
  <x:si>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</x:si>
  <x:si>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</x:si>
  <x:si>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</x:si>
  <x:si>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</x:si>
  <x:si>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</x:si>
  <x:si>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</x:si>
  <x:si>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</x:si>
  <x:si>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</x:si>
  <x:si>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</x:si>
  <x:si>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</x:si>
  <x:si>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</x:si>
  <x:si>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</x:si>
  <x:si>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</x:si>
  <x:si>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</x:si>
  <x:si>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</x:si>
  <x:si>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</x:si>
  <x:si>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</x:si>
  <x:si>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</x:si>
  <x:si>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</x:si>
  <x:si>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</x:si>
  <x:si>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</x:si>
  <x:si>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</x:si>
  <x:si>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</x:si>
  <x:si>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</x:si>
  <x:si>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</x:si>
  <x:si>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</x:si>
  <x:si>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</x:si>
  <x:si>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</x:si>
  <x:si>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</x:si>
  <x:si>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</x:si>
  <x:si>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</x:si>
  <x:si>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</x:si>
  <x:si>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</x:si>
  <x:si>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</x:si>
  <x:si>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</x:si>
  <x:si>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</x:si>
  <x:si>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</x:si>
  <x:si>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</x:si>
  <x:si>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</x:si>
  <x:si>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</x:si>
  <x:si>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</x:si>
  <x:si>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</x:si>
  <x:si>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</x:si>
  <x:si>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</x:si>
  <x:si>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</x:si>
  <x:si>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</x:si>
  <x:si>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</x:si>
  <x:si>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</x:si>
  <x:si>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</x:si>
  <x:si>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</x:si>
  <x:si>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</x:si>
  <x:si>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</x:si>
  <x:si>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</x:si>
  <x:si>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</x:si>
  <x:si>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</x:si>
  <x:si>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</x:si>
  <x:si>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</x:si>
  <x:si>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</x:si>
  <x:si>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</x:si>
  <x:si>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</x:si>
  <x:si>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</x:si>
  <x:si>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</x:si>
  <x:si>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</x:si>
  <x:si>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</x:si>
  <x:si>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</x:si>
  <x:si>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</x:si>
  <x:si>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</x:si>
  <x:si>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</x:si>
  <x:si>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</x:si>
  <x:si>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</x:si>
  <x:si>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</x:si>
  <x:si>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</x:si>
  <x:si>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</x:si>
  <x:si>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</x:si>
  <x:si>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</x:si>
  <x:si>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</x:si>
  <x:si>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</x:si>
  <x:si>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</x:si>
  <x:si>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</x:si>
  <x:si>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</x:si>
  <x:si>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</x:si>
  <x:si>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</x:si>
  <x:si>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</x:si>
  <x:si>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</x:si>
  <x:si>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</x:si>
  <x:si>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</x:si>
  <x:si>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</x:si>
  <x:si>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</x:si>
  <x:si>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</x:si>
  <x:si>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</x:si>
  <x:si>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</x:si>
  <x:si>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</x:si>
  <x:si>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</x:si>
  <x:si>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</x:si>
  <x:si>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</x:si>
  <x:si>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</x:si>
  <x:si>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</x:si>
  <x:si>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</x:si>
  <x:si>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</x:si>
  <x:si>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</x:si>
  <x:si>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</x:si>
  <x:si>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</x:si>
  <x:si>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</x:si>
  <x:si>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</x:si>
  <x:si>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</x:si>
  <x:si>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</x:si>
  <x:si>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</x:si>
  <x:si>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</x:si>
  <x:si>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</x:si>
  <x:si>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</x:si>
  <x:si>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</x:si>
  <x:si>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</x:si>
  <x:si>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</x:si>
  <x:si>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</x:si>
  <x:si>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</x:si>
  <x:si>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</x:si>
  <x:si>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</x:si>
  <x:si>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</x:si>
  <x:si>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</x:si>
  <x:si>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</x:si>
  <x:si>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</x:si>
  <x:si>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</x:si>
  <x:si>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</x:si>
  <x:si>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</x:si>
  <x:si>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</x:si>
  <x:si>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</x:si>
  <x:si>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</x:si>
  <x:si>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</x:si>
  <x:si>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</x:si>
  <x:si>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</x:si>
  <x:si>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</x:si>
  <x:si>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</x:si>
  <x:si>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</x:si>
  <x:si>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</x:si>
  <x:si>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</x:si>
  <x:si>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</x:si>
  <x:si>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</x:si>
  <x:si>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</x:si>
  <x:si>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</x:si>
  <x:si>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</x:si>
  <x:si>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</x:si>
  <x:si>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</x:si>
  <x:si>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</x:si>
  <x:si>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</x:si>
  <x:si>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</x:si>
  <x:si>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</x:si>
  <x:si>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</x:si>
  <x:si>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</x:si>
  <x:si>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</x:si>
  <x:si>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</x:si>
  <x:si>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</x:si>
  <x:si>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</x:si>
  <x:si>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</x:si>
  <x:si>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</x:si>
  <x:si>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</x:si>
  <x:si>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</x:si>
  <x:si>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</x:si>
  <x:si>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</x:si>
  <x:si>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</x:si>
  <x:si>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</x:si>
  <x:si>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</x:si>
  <x:si>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</x:si>
  <x:si>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</x:si>
  <x:si>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</x:si>
  <x:si>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</x:si>
  <x:si>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</x:si>
  <x:si>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</x:si>
  <x:si>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</x:si>
  <x:si>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</x:si>
  <x:si>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</x:si>
  <x:si>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</x:si>
  <x:si>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</x:si>
  <x:si>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</x:si>
  <x:si>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</x:si>
  <x:si>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</x:si>
  <x:si>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</x:si>
  <x:si>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</x:si>
  <x:si>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</x:si>
  <x:si>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</x:si>
  <x:si>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</x:si>
  <x:si>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</x:si>
  <x:si>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</x:si>
  <x:si>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</x:si>
  <x:si>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</x:si>
  <x:si>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</x:si>
  <x:si>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</x:si>
  <x:si>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</x:si>
  <x:si>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</x:si>
  <x:si>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</x:si>
  <x:si>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</x:si>
  <x:si>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</x:si>
  <x:si>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</x:si>
  <x:si>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</x:si>
  <x:si>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</x:si>
  <x:si>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</x:si>
  <x:si>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</x:si>
  <x:si>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</x:si>
  <x:si>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</x:si>
  <x:si>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</x:si>
  <x:si>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</x:si>
  <x:si>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</x:si>
  <x:si>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</x:si>
  <x:si>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</x:si>
  <x:si>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</x:si>
  <x:si>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</x:si>
  <x:si>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</x:si>
  <x:si>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</x:si>
  <x:si>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</x:si>
  <x:si>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</x:si>
  <x:si>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</x:si>
  <x:si>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</x:si>
  <x:si>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</x:si>
  <x:si>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</x:si>
  <x:si>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</x:si>
  <x:si>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</x:si>
  <x:si>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</x:si>
  <x:si>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</x:si>
  <x:si>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</x:si>
  <x:si>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</x:si>
  <x:si>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</x:si>
  <x:si>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</x:si>
  <x:si>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</x:si>
  <x:si>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</x:si>
  <x:si>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</x:si>
  <x:si>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</x:si>
  <x:si>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</x:si>
  <x:si>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</x:si>
  <x:si>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</x:si>
  <x:si>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</x:si>
  <x:si>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</x:si>
  <x:si>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</x:si>
  <x:si>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</x:si>
  <x:si>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</x:si>
  <x:si>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</x:si>
  <x:si>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</x:si>
  <x:si>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</x:si>
  <x:si>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</x:si>
  <x:si>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</x:si>
  <x:si>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</x:si>
  <x:si>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</x:si>
  <x:si>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</x:si>
  <x:si>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</x:si>
  <x:si>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</x:si>
  <x:si>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</x:si>
  <x:si>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</x:si>
  <x:si>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</x:si>
  <x:si>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</x:si>
  <x:si>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</x:si>
  <x:si>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</x:si>
  <x:si>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</x:si>
  <x:si>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</x:si>
  <x:si>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</x:si>
  <x:si>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</x:si>
  <x:si>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</x:si>
  <x:si>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</x:si>
  <x:si>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</x:si>
  <x:si>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</x:si>
  <x:si>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</x:si>
  <x:si>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</x:si>
  <x:si>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</x:si>
  <x:si>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</x:si>
  <x:si>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</x:si>
  <x:si>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</x:si>
  <x:si>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</x:si>
  <x:si>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</x:si>
  <x:si>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</x:si>
  <x:si>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</x:si>
  <x:si>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</x:si>
  <x:si>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</x:si>
  <x:si>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</x:si>
  <x:si>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</x:si>
  <x:si>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</x:si>
  <x:si>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Gate 2</x:t>
  </x:si>
  <x:si>
    <x:t xml:space="preserve">Gate 3</x:t>
  </x:si>
  <x:si>
    <x:t xml:space="preserve">Planned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</x:si>
  <x:si>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</x:si>
  <x:si>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</x:si>
  <x:si>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</x:si>
  <x:si>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</x:si>
  <x:si>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</x:si>
  <x:si>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</x:si>
  <x:si>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</x:si>
  <x:si>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</x:si>
  <x:si>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</x:si>
  <x:si>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</x:si>
  <x:si>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</x:si>
  <x:si>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</x:si>
  <x:si>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</x:si>
  <x:si>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</x:si>
  <x:si>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</x:si>
  <x:si>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</x:si>
  <x:si>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</x:si>
  <x:si>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</x:si>
  <x:si>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</x:si>
  <x:si>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</x:si>
  <x:si>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</x:si>
  <x:si>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</x:si>
  <x:si>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</x:si>
  <x:si>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</x:si>
  <x:si>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</x:si>
  <x:si>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</x:si>
  <x:si>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</x:si>
  <x:si>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</x:si>
  <x:si>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</x:si>
  <x:si>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</x:si>
  <x:si>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</x:si>
  <x:si>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</x:si>
  <x:si>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</x:si>
  <x:si>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</x:si>
  <x:si>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</x:si>
  <x:si>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</x:si>
  <x:si>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</x:si>
  <x:si>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</x:si>
  <x:si>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</x:si>
  <x:si>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</x:si>
  <x:si>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</x:si>
  <x:si>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</x:si>
  <x:si>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</x:si>
  <x:si>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</x:si>
  <x:si>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</x:si>
  <x:si>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</x:si>
  <x:si>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</x:si>
  <x:si>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</x:si>
  <x:si>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</x:si>
  <x:si>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</x:si>
  <x:si>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</x:si>
  <x:si>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</x:si>
  <x:si>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</x:si>
  <x:si>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</x:si>
  <x:si>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</x:si>
  <x:si>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</x:si>
  <x:si>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</x:si>
  <x:si>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</x:si>
  <x:si>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</x:si>
  <x:si>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</x:si>
  <x:si>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</x:si>
  <x:si>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</x:si>
  <x:si>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</x:si>
  <x:si>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</x:si>
  <x:si>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</x:si>
  <x:si>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</x:si>
  <x:si>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</x:si>
  <x:si>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</x:si>
  <x:si>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</x:si>
  <x:si>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</x:si>
  <x:si>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</x:si>
  <x:si>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</x:si>
  <x:si>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</x:si>
  <x:si>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</x:si>
  <x:si>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</x:si>
  <x:si>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</x:si>
  <x:si>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</x:si>
  <x:si>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</x:si>
  <x:si>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</x:si>
  <x:si>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</x:si>
  <x:si>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</x:si>
  <x:si>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</x:si>
  <x:si>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</x:si>
  <x:si>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</x:si>
  <x:si>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</x:si>
  <x:si>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</x:si>
  <x:si>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</x:si>
  <x:si>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</x:si>
  <x:si>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</x:si>
  <x:si>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</x:si>
  <x:si>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</x:si>
  <x:si>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</x:si>
  <x:si>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</x:si>
  <x:si>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</x:si>
  <x:si>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</x:si>
  <x:si>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</x:si>
  <x:si>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</x:si>
  <x:si>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</x:si>
  <x:si>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</x:si>
  <x:si>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</x:si>
  <x:si>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</x:si>
  <x:si>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</x:si>
  <x:si>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</x:si>
  <x:si>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</x:si>
  <x:si>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</x:si>
  <x:si>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</x:si>
  <x:si>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</x:si>
  <x:si>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</x:si>
  <x:si>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</x:si>
  <x:si>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</x:si>
  <x:si>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</x:si>
  <x:si>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</x:si>
  <x:si>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</x:si>
  <x:si>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</x:si>
  <x:si>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</x:si>
  <x:si>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</x:si>
  <x:si>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</x:si>
  <x:si>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</x:si>
  <x:si>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</x:si>
  <x:si>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</x:si>
  <x:si>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</x:si>
  <x:si>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</x:si>
  <x:si>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</x:si>
  <x:si>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</x:si>
  <x:si>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</x:si>
  <x:si>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</x:si>
  <x:si>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</x:si>
  <x:si>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</x:si>
  <x:si>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</x:si>
  <x:si>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</x:si>
  <x:si>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</x:si>
  <x:si>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</x:si>
  <x:si>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</x:si>
  <x:si>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</x:si>
  <x:si>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</x:si>
  <x:si>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</x:si>
  <x:si>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</x:si>
  <x:si>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</x:si>
  <x:si>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</x:si>
  <x:si>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</x:si>
  <x:si>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</x:si>
  <x:si>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</x:si>
  <x:si>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</x:si>
  <x:si>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</x:si>
  <x:si>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</x:si>
  <x:si>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</x:si>
  <x:si>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</x:si>
  <x:si>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</x:si>
  <x:si>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</x:si>
  <x:si>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</x:si>
  <x:si>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</x:si>
  <x:si>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</x:si>
  <x:si>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</x:si>
  <x:si>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</x:si>
  <x:si>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</x:si>
  <x:si>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</x:si>
  <x:si>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</x:si>
  <x:si>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</x:si>
  <x:si>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</x:si>
  <x:si>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</x:si>
  <x:si>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</x:si>
  <x:si>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</x:si>
  <x:si>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</x:si>
  <x:si>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</x:si>
  <x:si>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</x:si>
  <x:si>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</x:si>
  <x:si>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</x:si>
  <x:si>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</x:si>
  <x:si>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</x:si>
  <x:si>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</x:si>
  <x:si>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</x:si>
  <x:si>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</x:si>
  <x:si>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</x:si>
  <x:si>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</x:si>
  <x:si>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</x:si>
  <x:si>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</x:si>
  <x:si>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</x:si>
  <x:si>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</x:si>
  <x:si>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</x:si>
  <x:si>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</x:si>
  <x:si>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</x:si>
  <x:si>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</x:si>
  <x:si>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</x:si>
  <x:si>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</x:si>
  <x:si>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</x:si>
  <x:si>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</x:si>
  <x:si>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</x:si>
  <x:si>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</x:si>
  <x:si>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</x:si>
  <x:si>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</x:si>
  <x:si>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</x:si>
  <x:si>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</x:si>
  <x:si>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</x:si>
  <x:si>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</x:si>
  <x:si>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</x:si>
  <x:si>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</x:si>
  <x:si>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</x:si>
  <x:si>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</x:si>
  <x:si>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</x:si>
  <x:si>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</x:si>
  <x:si>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</x:si>
  <x:si>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</x:si>
  <x:si>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</x:si>
  <x:si>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</x:si>
  <x:si>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</x:si>
  <x:si>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</x:si>
  <x:si>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</x:si>
  <x:si>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</x:si>
  <x:si>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</x:si>
  <x:si>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</x:si>
  <x:si>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</x:si>
  <x:si>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</x:si>
  <x:si>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</x:si>
  <x:si>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</x:si>
  <x:si>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</x:si>
  <x:si>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</x:si>
  <x:si>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</x:si>
  <x:si>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</x:si>
  <x:si>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</x:si>
  <x:si>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</x:si>
  <x:si>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</x:si>
  <x:si>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</x:si>
  <x:si>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</x:si>
  <x:si>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</x:si>
  <x:si>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</x:si>
  <x:si>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</x:si>
  <x:si>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</x:si>
  <x:si>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</x:si>
  <x:si>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</x:si>
  <x:si>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</x:si>
  <x:si>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</x:si>
  <x:si>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</x:si>
  <x:si>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</x:si>
  <x:si>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</x:si>
  <x:si>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</x:si>
  <x:si>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</x:si>
  <x:si>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</x:si>
  <x:si>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</x:si>
  <x:si>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</x:si>
  <x:si>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</x:si>
  <x:si>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</x:si>
  <x:si>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</x:si>
  <x:si>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</x:si>
  <x:si>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</x:si>
  <x:si>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</x:si>
  <x:si>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</x:si>
  <x:si>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</x:si>
  <x:si>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</x:si>
  <x:si>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</x:si>
  <x:si>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</x:si>
  <x:si>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</x:si>
  <x:si>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</x:si>
  <x:si>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</x:si>
  <x:si>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</x:si>
  <x:si>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</x:si>
  <x:si>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</x:si>
  <x:si>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</x:si>
  <x:si>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</x:si>
  <x:si>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</x:si>
  <x:si>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</x:si>
  <x:si>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</x:si>
  <x:si>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</x:si>
  <x:si>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</x:si>
  <x:si>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</x:si>
  <x:si>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</x:si>
  <x:si>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</x:si>
  <x:si>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</x:si>
  <x:si>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</x:si>
  <x:si>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</x:si>
  <x:si>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</x:si>
  <x:si>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</x:si>
  <x:si>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</x:si>
  <x:si>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</x:si>
  <x:si>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</x:si>
  <x:si>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</x:si>
  <x:si>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</x:si>
  <x:si>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</x:si>
  <x:si>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</x:si>
  <x:si>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</x:si>
  <x:si>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</x:si>
  <x:si>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</x:si>
  <x:si>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</x:si>
  <x:si>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</x:si>
  <x:si>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</x:si>
  <x:si>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</x:si>
  <x:si>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</x:si>
  <x:si>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</x:si>
  <x:si>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</x:si>
  <x:si>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</x:si>
  <x:si>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</x:si>
  <x:si>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</x:si>
  <x:si>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</x:si>
  <x:si>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</x:si>
  <x:si>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</x:si>
  <x:si>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</x:si>
  <x:si>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</x:si>
  <x:si>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</x:si>
  <x:si>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</x:si>
  <x:si>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</x:si>
  <x:si>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</x:si>
  <x:si>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</x:si>
  <x:si>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</x:si>
  <x:si>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</x:si>
  <x:si>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</x:si>
  <x:si>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</x:si>
  <x:si>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</x:si>
  <x:si>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</x:si>
  <x:si>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</x:si>
  <x:si>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</x:si>
  <x:si>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</x:si>
  <x:si>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</x:si>
  <x:si>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</x:si>
  <x:si>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</x:si>
  <x:si>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</x:si>
  <x:si>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</x:si>
  <x:si>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</x:si>
  <x:si>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</x:si>
  <x:si>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</x:si>
  <x:si>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</x:si>
  <x:si>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</x:si>
  <x:si>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</x:si>
  <x:si>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</x:si>
  <x:si>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</x:si>
  <x:si>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</x:si>
  <x:si>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</x:si>
  <x:si>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</x:si>
  <x:si>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</x:si>
  <x:si>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</x:si>
  <x:si>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</x:si>
  <x:si>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</x:si>
  <x:si>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</x:si>
  <x:si>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</x:si>
  <x:si>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</x:si>
  <x:si>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</x:si>
  <x:si>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</x:si>
  <x:si>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</x:si>
  <x:si>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</x:si>
  <x:si>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</x:si>
  <x:si>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</x:si>
  <x:si>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</x:si>
  <x:si>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</x:si>
  <x:si>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</x:si>
  <x:si>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</x:si>
  <x:si>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</x:si>
  <x:si>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</x:si>
  <x:si>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</x:si>
  <x:si>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</x:si>
  <x:si>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</x:si>
  <x:si>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</x:si>
  <x:si>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</x:si>
  <x:si>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</x:si>
  <x:si>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</x:si>
  <x:si>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</x:si>
  <x:si>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</x:si>
  <x:si>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</x:si>
  <x:si>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</x:si>
  <x:si>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</x:si>
  <x:si>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</x:si>
  <x:si>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</x:si>
  <x:si>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</x:si>
  <x:si>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</x:si>
  <x:si>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</x:si>
  <x:si>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</x:si>
  <x:si>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</x:si>
  <x:si>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</x:si>
  <x:si>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</x:si>
  <x:si>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</x:si>
  <x:si>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</x:si>
  <x:si>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</x:si>
  <x:si>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</x:si>
  <x:si>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</x:si>
  <x:si>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</x:si>
  <x:si>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</x:si>
  <x:si>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</x:si>
  <x:si>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</x:si>
  <x:si>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</x:si>
  <x:si>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</x:si>
  <x:si>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</x:si>
  <x:si>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</x:si>
  <x:si>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</x:si>
  <x:si>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</x:si>
  <x:si>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</x:si>
  <x:si>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</x:si>
  <x:si>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</x:si>
  <x:si>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</x:si>
  <x:si>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</x:si>
  <x:si>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</x:si>
  <x:si>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</x:si>
  <x:si>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</x:si>
  <x:si>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</x:si>
  <x:si>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</x:si>
  <x:si>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</x:si>
  <x:si>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</x:si>
  <x:si>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</x:si>
  <x:si>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</x:si>
  <x:si>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</x:si>
  <x:si>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</x:si>
  <x:si>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</x:si>
  <x:si>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</x:si>
  <x:si>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</x:si>
  <x:si>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</x:si>
  <x:si>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</x:si>
  <x:si>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</x:si>
  <x:si>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</x:si>
  <x:si>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</x:si>
  <x:si>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</x:si>
  <x:si>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</x:si>
  <x:si>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</x:si>
  <x:si>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</x:si>
  <x:si>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</x:si>
  <x:si>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</x:si>
  <x:si>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</x:si>
  <x:si>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</x:si>
  <x:si>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</x:si>
  <x:si>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</x:si>
  <x:si>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</x:si>
  <x:si>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</x:si>
  <x:si>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</x:si>
  <x:si>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</x:si>
  <x:si>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</x:si>
  <x:si>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</x:si>
  <x:si>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</x:si>
  <x:si>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</x:si>
  <x:si>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</x:si>
  <x:si>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</x:si>
  <x:si>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</x:si>
  <x:si>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</x:si>
  <x:si>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</x:si>
  <x:si>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</x:si>
  <x:si>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</x:si>
  <x:si>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</x:si>
  <x:si>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</x:si>
  <x:si>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</x:si>
  <x:si>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</x:si>
  <x:si>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</x:si>
  <x:si>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</x:si>
  <x:si>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</x:si>
  <x:si>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</x:si>
  <x:si>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</x:si>
  <x:si>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</x:si>
  <x:si>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</x:si>
  <x:si>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</x:si>
  <x:si>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</x:si>
  <x:si>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</x:si>
  <x:si>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</x:si>
  <x:si>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</x:si>
  <x:si>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</x:si>
  <x:si>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</x:si>
  <x:si>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</x:si>
  <x:si>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</x:si>
  <x:si>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</x:si>
  <x:si>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</x:si>
  <x:si>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</x:si>
  <x:si>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</x:si>
  <x:si>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</x:si>
  <x:si>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</x:si>
  <x:si>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</x:si>
  <x:si>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</x:si>
  <x:si>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</x:si>
  <x:si>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</x:si>
  <x:si>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</x:si>
  <x:si>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</x:si>
  <x:si>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</x:si>
  <x:si>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</x:si>
  <x:si>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</x:si>
  <x:si>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</x:si>
  <x:si>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</x:si>
  <x:si>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</x:si>
  <x:si>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</x:si>
  <x:si>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</x:si>
  <x:si>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</x:si>
  <x:si>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</x:si>
  <x:si>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</x:si>
  <x:si>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</x:si>
  <x:si>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</x:si>
  <x:si>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</x:si>
  <x:si>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</x:si>
  <x:si>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</x:si>
  <x:si>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</x:si>
  <x:si>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</x:si>
  <x:si>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</x:si>
  <x:si>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</x:si>
  <x:si>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</x:si>
  <x:si>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</x:si>
  <x:si>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</x:si>
  <x:si>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</x:si>
  <x:si>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</x:si>
  <x:si>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</x:si>
  <x:si>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</x:si>
  <x:si>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</x:si>
  <x:si>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</x:si>
  <x:si>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</x:si>
  <x:si>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</x:si>
  <x:si>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</x:si>
  <x:si>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</x:si>
  <x:si>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</x:si>
  <x:si>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</x:si>
  <x:si>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</x:si>
  <x:si>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</x:si>
  <x:si>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</x:si>
  <x:si>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</x:si>
  <x:si>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</x:si>
  <x:si>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</x:si>
  <x:si>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</x:si>
  <x:si>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</x:si>
  <x:si>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</x:si>
  <x:si>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</x:si>
  <x:si>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</x:si>
  <x:si>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</x:si>
  <x:si>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</x:si>
  <x:si>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</x:si>
  <x:si>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</x:si>
  <x:si>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</x:si>
  <x:si>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</x:si>
  <x:si>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</x:si>
  <x:si>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</x:si>
  <x:si>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</x:si>
  <x:si>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</x:si>
  <x:si>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</x:si>
  <x:si>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</x:si>
  <x:si>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</x:si>
  <x:si>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</x:si>
  <x:si>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</x:si>
  <x:si>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</x:si>
  <x:si>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</x:si>
  <x:si>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</x:si>
  <x:si>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</x:si>
  <x:si>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</x:si>
  <x:si>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</x:si>
  <x:si>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</x:si>
  <x:si>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</x:si>
  <x:si>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</x:si>
  <x:si>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</x:si>
  <x:si>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</x:si>
  <x:si>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</x:si>
  <x:si>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</x:si>
  <x:si>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</x:si>
  <x:si>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</x:si>
  <x:si>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</x:si>
  <x:si>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</x:si>
  <x:si>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</x:si>
  <x:si>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</x:si>
  <x:si>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</x:si>
  <x:si>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</x:si>
  <x:si>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</x:si>
  <x:si>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</x:si>
  <x:si>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</x:si>
  <x:si>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</x:si>
  <x:si>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</x:si>
  <x:si>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</x:si>
  <x:si>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</x:si>
  <x:si>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</x:si>
  <x:si>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</x:si>
  <x:si>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</x:si>
  <x:si>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</x:si>
  <x:si>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</x:si>
  <x:si>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</x:si>
  <x:si>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</x:si>
  <x:si>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</x:si>
  <x:si>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</x:si>
  <x:si>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</x:si>
  <x:si>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</x:si>
  <x:si>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</x:si>
  <x:si>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</x:si>
  <x:si>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</x:si>
  <x:si>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</x:si>
  <x:si>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</x:si>
  <x:si>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</x:si>
  <x:si>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</x:si>
  <x:si>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</x:si>
  <x:si>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</x:si>
  <x:si>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</x:si>
  <x:si>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</x:si>
  <x:si>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</x:si>
  <x:si>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</x:si>
  <x:si>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</x:si>
  <x:si>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</x:si>
  <x:si>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</x:si>
  <x:si>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</x:si>
  <x:si>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</x:si>
  <x:si>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</x:si>
  <x:si>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</x:si>
  <x:si>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</x:si>
  <x:si>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</x:si>
  <x:si>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</x:si>
  <x:si>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</x:si>
  <x:si>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</x:si>
  <x:si>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</x:si>
  <x:si>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</x:si>
  <x:si>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</x:si>
  <x:si>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</x:si>
  <x:si>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</x:si>
  <x:si>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</x:si>
  <x:si>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</x:si>
  <x:si>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</x:si>
  <x:si>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</x:si>
  <x:si>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</x:si>
  <x:si>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</x:si>
  <x:si>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</x:si>
  <x:si>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</x:si>
  <x:si>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</x:si>
  <x:si>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</x:si>
  <x:si>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</x:si>
  <x:si>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</x:si>
  <x:si>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</x:si>
  <x:si>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</x:si>
  <x:si>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</x:si>
  <x:si>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</x:si>
  <x:si>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</x:si>
  <x:si>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</x:si>
  <x:si>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</x:si>
  <x:si>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</x:si>
  <x:si>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</x:si>
  <x:si>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</x:si>
  <x:si>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</x:si>
  <x:si>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</x:si>
  <x:si>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</x:si>
  <x:si>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</x:si>
  <x:si>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</x:si>
  <x:si>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</x:si>
  <x:si>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</x:si>
  <x:si>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</x:si>
  <x:si>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</x:si>
  <x:si>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</x:si>
  <x:si>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</x:si>
  <x:si>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</x:si>
  <x:si>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</x:si>
  <x:si>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</x:si>
  <x:si>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</x:si>
  <x:si>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</x:si>
  <x:si>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</x:si>
  <x:si>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</x:si>
  <x:si>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</x:si>
  <x:si>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</x:si>
  <x:si>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</x:si>
  <x:si>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</x:si>
  <x:si>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</x:si>
  <x:si>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</x:si>
  <x:si>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</x:si>
  <x:si>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</x:si>
  <x:si>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</x:si>
  <x:si>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</x:si>
  <x:si>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</x:si>
  <x:si>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Strategic platform direction is recorded in Product Vision, Decision Register, AI Context, and Expansion Backlog.</x:t>
  </x:si>
  <x:si>
    <x:t xml:space="preserve">Gap</x:t>
  </x:si>
  <x:si>
    <x:t xml:space="preserve">Post-MVP expansion sequence is intentionally unselected.</x:t>
  </x:si>
  <x:si>
    <x:t xml:space="preserve">Response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</x:si>
  <x:si>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</x:si>
  <x:si>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</x:si>
  <x:si>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</x:si>
  <x:si>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</x:si>
  <x:si>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</x:si>
  <x:si>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</x:si>
  <x:si>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</x:si>
  <x:si>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</x:si>
  <x:si>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</x:si>
  <x:si>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</x:si>
  <x:si>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</x:si>
  <x:si>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</x:si>
  <x:si>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</x:si>
  <x:si>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</x:si>
  <x:si>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</x:si>
  <x:si>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</x:si>
  <x:si>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</x:si>
  <x:si>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</x:si>
  <x:si>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</x:si>
  <x:si>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</x:si>
  <x:si>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</x:si>
  <x:si>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</x:si>
  <x:si>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</x:si>
  <x:si>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</x:si>
  <x:si>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</x:si>
  <x:si>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Immediate next action</x:t>
  </x:si>
  <x:si>
    <x:t xml:space="preserve">Tests Passing</x:t>
  </x:si>
  <x:si>
    <x:t xml:space="preserve">Primary risk</x:t>
  </x:si>
  <x:si>
    <x:t xml:space="preserve">Seed Cases</x:t>
  </x:si>
  <x:si>
    <x:t xml:space="preserve">Merged PRs</x:t>
  </x:si>
  <x:si>
    <x:t xml:space="preserve">Data boundary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</x:si>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</x:sst>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26ccd7454428d" /><Relationship Type="http://schemas.openxmlformats.org/officeDocument/2006/relationships/theme" Target="/xl/theme/theme1.xml" Id="Rcb0467740f194f46" /><Relationship Type="http://schemas.openxmlformats.org/officeDocument/2006/relationships/sharedStrings" Target="/xl/sharedStrings.xml" Id="Re76df39a3447453b" /><Relationship Type="http://schemas.openxmlformats.org/officeDocument/2006/relationships/worksheet" Target="/xl/worksheets/sheet1.xml" Id="R8132bbbf86784148" /><Relationship Type="http://schemas.openxmlformats.org/officeDocument/2006/relationships/worksheet" Target="/xl/worksheets/sheet2.xml" Id="Re326b670016940c0" /><Relationship Type="http://schemas.openxmlformats.org/officeDocument/2006/relationships/worksheet" Target="/xl/worksheets/sheet3.xml" Id="Rc57fbc2f384245b5" /><Relationship Type="http://schemas.openxmlformats.org/officeDocument/2006/relationships/worksheet" Target="/xl/worksheets/sheet4.xml" Id="R13e6db1e6bfe4047" /><Relationship Type="http://schemas.openxmlformats.org/officeDocument/2006/relationships/worksheet" Target="/xl/worksheets/sheet5.xml" Id="Rbac3ae9f58f74e39" /><Relationship Type="http://schemas.openxmlformats.org/officeDocument/2006/relationships/worksheet" Target="/xl/worksheets/sheet6.xml" Id="R34ec567b435a4c54" /><Relationship Type="http://schemas.openxmlformats.org/officeDocument/2006/relationships/worksheet" Target="/xl/worksheets/sheet7.xml" Id="Rf8fb01cab32e48d0" /><Relationship Type="http://schemas.openxmlformats.org/officeDocument/2006/relationships/worksheet" Target="/xl/worksheets/sheet8.xml" Id="R7773a2f6792c4d7b" /><Relationship Type="http://schemas.openxmlformats.org/officeDocument/2006/relationships/worksheet" Target="/xl/worksheets/sheet9.xml" Id="R2b63d3f5d9854bb9" /><Relationship Type="http://schemas.openxmlformats.org/officeDocument/2006/relationships/worksheet" Target="/xl/worksheets/sheet10.xml" Id="R8f2d1a71fdea4ee7" /><Relationship Type="http://schemas.openxmlformats.org/officeDocument/2006/relationships/worksheet" Target="/xl/worksheets/sheet11.xml" Id="Ra9340edf92f645e0" /><Relationship Type="http://schemas.openxmlformats.org/officeDocument/2006/relationships/worksheet" Target="/xl/worksheets/sheet12.xml" Id="Rc8bf7836b9774794" /><Relationship Type="http://schemas.openxmlformats.org/officeDocument/2006/relationships/worksheet" Target="/xl/worksheets/sheet13.xml" Id="Rfb2109e78d6b41d1" /><Relationship Type="http://schemas.openxmlformats.org/officeDocument/2006/relationships/worksheet" Target="/xl/worksheets/sheet14.xml" Id="R75bad63ba3a14d33" /><Relationship Type="http://schemas.openxmlformats.org/officeDocument/2006/relationships/worksheet" Target="/xl/worksheets/sheet15.xml" Id="R585834a0855e45bf" /><Relationship Type="http://schemas.openxmlformats.org/officeDocument/2006/relationships/worksheet" Target="/xl/worksheets/sheet16.xml" Id="Rdafeef826a7542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b9ef3ea2414dd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87adc3fb1bf4a5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72b51efbefda4f31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b9ef3ea2414dd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7adc3fb1bf4a5f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b51efbefda4f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a48cbf2aa7347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448c59fc5f7043f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8ddbfc79909542fc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v>12.45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v>0.4486842105263158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synchronized through 27a8e59; WBS 1.5 merged; 77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2.1 — Evaluate CLI command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2.2 — Structured result schema and model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deterministic evaluation core is complete: candidate loading, mandatory pre-scoring gates, exact/Boolean/set/contains/numeric checks, weighted scoring, threshold-based pass/fail, and structured failure evidence are merged. The active milestone is WBS 2.1 evaluate CLI integration, followed by the structured result contract. Do not start persistence or deferred multimodal/agent capabilities until the CLI orchestration contract is stable.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4.9</x:v>
      </x:c>
      <x:c r="E5" s="122" t="n">
        <x:f>IF(C5=0,0,SUMPRODUCT(('Detailed Gantt'!$B$6:$B$27=B5)*'Detailed Gantt'!$F$6:$F$27*'Detailed Gantt'!$L$6:$L$27)/C5)</x:f>
        <x:v>1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12.450000000000001</x:v>
      </x:c>
      <x:c r="E10" s="123" t="n">
        <x:f>SUMPRODUCT(C4:C9,E4:E9)/C10</x:f>
        <x:v>0.4486842105263158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n">
        <x:f t="shared" ref="K6:K37" si="2">$C$1+H6*7-1</x:f>
        <x:v>6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>
        <x:f t="shared" si="2"/>
        <x:v>13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>
        <x:f t="shared" si="2"/>
        <x:v>6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Complete</x:v>
      </x:c>
      <x:c r="L11" s="626" t="n">
        <x:v>1</x:v>
      </x:c>
      <x:c r="M11" s="627" t="n">
        <x:f>SUMIF('Work Block Log'!$E$5:$E$200,A11,'Work Block Log'!$F$5:$F$200)</x:f>
        <x:v>2.85</x:v>
      </x:c>
      <x:c r="N11" s="627" t="n">
        <x:f t="shared" si="3">MAX(F11*(1-L11),0)</x:f>
        <x:v>0</x:v>
      </x:c>
      <x:c r="O11" s="627" t="n">
        <x:f t="shared" si="4">M11-F11</x:f>
        <x:v>-2.15</x:v>
      </x:c>
      <x:c r="P11" s="624" t="str">
        <x:f t="shared" si="5"/>
        <x:v>PR #8 merged in 7222c81; feature commit 53f96cc; Gantt progress commit 269a070; 12 focused tests and 50 total tests passed.</x:v>
      </x:c>
      <x:c r="Q11" s="621" t="str">
        <x:v>Begin WBS 1.4: create feature/numeric-tolerance-checks and implement numeric_close with absolute-tolerance boundary evidence.</x:v>
      </x:c>
      <x:c r="R11" s="641" t="str">
        <x:v>Completed 2026-07-05. Logged implementation time remains 2.85 h (10:04 AM–12:55 PM); no additional closeout time was added because a later end time was not explicitly provided.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 t="str">
        <x:f t="shared" si="2"/>
        <x:v>Complete</x:v>
      </x:c>
      <x:c r="L12" s="618" t="n">
        <x:v>1</x:v>
      </x:c>
      <x:c r="M12" s="619" t="n">
        <x:f>SUMIF('Work Block Log'!$E$5:$E$200,A12,'Work Block Log'!$F$5:$F$200)</x:f>
        <x:v>0.5</x:v>
      </x:c>
      <x:c r="N12" s="619" t="n">
        <x:f t="shared" si="3">MAX(F12*(1-L12),0)</x:f>
        <x:v>0</x:v>
      </x:c>
      <x:c r="O12" s="619" t="n">
        <x:f t="shared" si="4">M12-F12</x:f>
        <x:v>-3.5</x:v>
      </x:c>
      <x:c r="P12" s="616" t="str">
        <x:f t="shared" si="5"/>
        <x:v>PR #9 merged in 1fbb45d; feature commit 31015c9; 11 focused numeric tests, 11 deterministic-check tests, and 60 total tests passed.</x:v>
      </x:c>
      <x:c r="Q12" s="613" t="str">
        <x:v>Begin WBS 1.5: create feature/weighted-scoring and compose mandatory gate results plus weighted check results into one evaluation outcome.</x:v>
      </x:c>
      <x:c r="R12" s="641" t="str">
        <x:v>Completed 2026-07-05. Logged 0.50 h for the 12:55 PM–1:29 PM block using the agreed rounded estimate. Absolute-tolerance boundaries are inclusive; invalid evaluator/reference numeric configuration fails closed.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151</x:v>
      </x:c>
      <x:c r="B13" s="635" t="s">
        <x:v>87</x:v>
      </x:c>
      <x:c r="C13" s="621" t="s">
        <x:v>152</x:v>
      </x:c>
      <x:c r="D13" s="621" t="s">
        <x:v>153</x:v>
      </x:c>
      <x:c r="E13" s="621" t="s">
        <x:v>154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 t="str">
        <x:f t="shared" si="2"/>
        <x:v>Complete</x:v>
      </x:c>
      <x:c r="L13" s="626" t="n">
        <x:v>1</x:v>
      </x:c>
      <x:c r="M13" s="627" t="n">
        <x:f>SUMIF('Work Block Log'!$E$5:$E$200,A13,'Work Block Log'!$F$5:$F$200)</x:f>
        <x:v>0.32</x:v>
      </x:c>
      <x:c r="N13" s="627" t="n">
        <x:f t="shared" si="3">MAX(F13*(1-L13),0)</x:f>
        <x:v>0</x:v>
      </x:c>
      <x:c r="O13" s="627" t="n">
        <x:f t="shared" si="4">M13-F13</x:f>
        <x:v>-5.68</x:v>
      </x:c>
      <x:c r="P13" s="624" t="str">
        <x:f t="shared" si="5"/>
        <x:v>PR #10 merged in 27a8e59; feature commit bd34af8; 17 focused weighted-scoring tests and 77 total tests passed.</x:v>
      </x:c>
      <x:c r="Q13" s="621" t="str">
        <x:v>Begin WBS 2.1: create feature/evaluate-cli and integrate the existing candidate loader, gate engine, deterministic checks, and scoring result into one CLI execution path.</x:v>
      </x:c>
      <x:c r="R13" s="641" t="str">
        <x:v>Completed 2026-07-05. Duration calculated from 1:29 PM–1:48 PM (19 minutes) and rounded to 0.32 h. Gate failures force score 0.0; otherwise the score is the sum of passed check weights and passes at the inclusive evaluator threshold. Structured failure evidence is retained.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155</x:v>
      </x:c>
      <x:c r="B14" s="636" t="s">
        <x:v>90</x:v>
      </x:c>
      <x:c r="C14" s="613" t="s">
        <x:v>156</x:v>
      </x:c>
      <x:c r="D14" s="613" t="s">
        <x:v>157</x:v>
      </x:c>
      <x:c r="E14" s="613" t="s">
        <x:v>151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 t="str">
        <x:f t="shared" si="2"/>
        <x:v>Not Started</x:v>
      </x:c>
      <x:c r="L14" s="618" t="n">
        <x:v>0</x:v>
      </x:c>
      <x:c r="M14" s="619" t="n">
        <x:f>SUMIF('Work Block Log'!$E$5:$E$200,A14,'Work Block Log'!$F$5:$F$200)</x:f>
        <x:v>0</x:v>
      </x:c>
      <x:c r="N14" s="619">
        <x:f t="shared" si="3"/>
        <x:v>4</x:v>
      </x:c>
      <x:c r="O14" s="619">
        <x:f t="shared" si="4"/>
        <x:v>-4</x:v>
      </x:c>
      <x:c r="P14" s="616" t="str">
        <x:f t="shared" si="5"/>
        <x:v>feature/evaluate-cli</x:v>
      </x:c>
      <x:c r="Q14" s="613" t="str">
        <x:v>Define the evaluate command contract and stable exit codes, then wire loading, gates, checks, and scoring without adding result persistence yet.</x:v>
      </x:c>
      <x:c r="R14" s="641" t="str">
        <x:v>CLI remains the MVP interface. Keep orchestration separate from scoring and preserve controlled errors for invalid case, candidate, evaluator, and reference inputs.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158</x:v>
      </x:c>
      <x:c r="B15" s="636" t="s">
        <x:v>90</x:v>
      </x:c>
      <x:c r="C15" s="621" t="s">
        <x:v>159</x:v>
      </x:c>
      <x:c r="D15" s="621" t="s">
        <x:v>160</x:v>
      </x:c>
      <x:c r="E15" s="621" t="s">
        <x:v>151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>
        <x:f t="shared" si="2"/>
        <x:v>34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161</x:v>
      </x:c>
      <x:c r="R15" s="641" t="s">
        <x:v>162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163</x:v>
      </x:c>
      <x:c r="B16" s="636" t="s">
        <x:v>90</x:v>
      </x:c>
      <x:c r="C16" s="613" t="s">
        <x:v>164</x:v>
      </x:c>
      <x:c r="D16" s="613" t="s">
        <x:v>165</x:v>
      </x:c>
      <x:c r="E16" s="613" t="s">
        <x:v>158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>
        <x:f t="shared" si="2"/>
        <x:v>34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166</x:v>
      </x:c>
      <x:c r="R16" s="641" t="s">
        <x:v>167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168</x:v>
      </x:c>
      <x:c r="B17" s="636" t="s">
        <x:v>90</x:v>
      </x:c>
      <x:c r="C17" s="621" t="s">
        <x:v>169</x:v>
      </x:c>
      <x:c r="D17" s="621" t="s">
        <x:v>170</x:v>
      </x:c>
      <x:c r="E17" s="621" t="s">
        <x:v>171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>
        <x:f t="shared" si="2"/>
        <x:v>34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172</x:v>
      </x:c>
      <x:c r="R17" s="641" t="s">
        <x:v>173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174</x:v>
      </x:c>
      <x:c r="B18" s="637" t="s">
        <x:v>93</x:v>
      </x:c>
      <x:c r="C18" s="613" t="s">
        <x:v>175</x:v>
      </x:c>
      <x:c r="D18" s="613" t="s">
        <x:v>176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>
        <x:f t="shared" si="2"/>
        <x:v>20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177</x:v>
      </x:c>
      <x:c r="R18" s="641" t="s">
        <x:v>178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179</x:v>
      </x:c>
      <x:c r="B19" s="637" t="s">
        <x:v>93</x:v>
      </x:c>
      <x:c r="C19" s="621" t="s">
        <x:v>180</x:v>
      </x:c>
      <x:c r="D19" s="621" t="s">
        <x:v>181</x:v>
      </x:c>
      <x:c r="E19" s="621" t="s">
        <x:v>182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>
        <x:f t="shared" si="2"/>
        <x:v>41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183</x:v>
      </x:c>
      <x:c r="R19" s="641" t="s">
        <x:v>184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185</x:v>
      </x:c>
      <x:c r="B20" s="637" t="s">
        <x:v>93</x:v>
      </x:c>
      <x:c r="C20" s="613" t="s">
        <x:v>186</x:v>
      </x:c>
      <x:c r="D20" s="613" t="s">
        <x:v>187</x:v>
      </x:c>
      <x:c r="E20" s="613" t="s">
        <x:v>179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>
        <x:f t="shared" si="2"/>
        <x:v>41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188</x:v>
      </x:c>
      <x:c r="R20" s="641" t="s">
        <x:v>189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190</x:v>
      </x:c>
      <x:c r="B21" s="637" t="s">
        <x:v>93</x:v>
      </x:c>
      <x:c r="C21" s="621" t="s">
        <x:v>191</x:v>
      </x:c>
      <x:c r="D21" s="621" t="s">
        <x:v>192</x:v>
      </x:c>
      <x:c r="E21" s="621" t="s">
        <x:v>193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>
        <x:f t="shared" si="2"/>
        <x:v>41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194</x:v>
      </x:c>
      <x:c r="R21" s="641" t="s">
        <x:v>195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196</x:v>
      </x:c>
      <x:c r="B22" s="638" t="s">
        <x:v>96</x:v>
      </x:c>
      <x:c r="C22" s="613" t="s">
        <x:v>197</x:v>
      </x:c>
      <x:c r="D22" s="613" t="s">
        <x:v>198</x:v>
      </x:c>
      <x:c r="E22" s="613" t="s">
        <x:v>151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>
        <x:f t="shared" si="2"/>
        <x:v>41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199</x:v>
      </x:c>
      <x:c r="R22" s="641" t="s">
        <x:v>200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201</x:v>
      </x:c>
      <x:c r="B23" s="638" t="s">
        <x:v>96</x:v>
      </x:c>
      <x:c r="C23" s="621" t="s">
        <x:v>202</x:v>
      </x:c>
      <x:c r="D23" s="621" t="s">
        <x:v>203</x:v>
      </x:c>
      <x:c r="E23" s="621" t="s">
        <x:v>196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>
        <x:f t="shared" si="2"/>
        <x:v>48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204</x:v>
      </x:c>
      <x:c r="R23" s="641" t="s">
        <x:v>205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206</x:v>
      </x:c>
      <x:c r="B24" s="638" t="s">
        <x:v>96</x:v>
      </x:c>
      <x:c r="C24" s="613" t="s">
        <x:v>207</x:v>
      </x:c>
      <x:c r="D24" s="613" t="s">
        <x:v>208</x:v>
      </x:c>
      <x:c r="E24" s="613" t="s">
        <x:v>209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>
        <x:f t="shared" si="2"/>
        <x:v>48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210</x:v>
      </x:c>
      <x:c r="R24" s="641" t="s">
        <x:v>211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212</x:v>
      </x:c>
      <x:c r="B25" s="639" t="s">
        <x:v>99</x:v>
      </x:c>
      <x:c r="C25" s="621" t="s">
        <x:v>213</x:v>
      </x:c>
      <x:c r="D25" s="621" t="s">
        <x:v>214</x:v>
      </x:c>
      <x:c r="E25" s="621" t="s">
        <x:v>215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>
        <x:f t="shared" si="2"/>
        <x:v>48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216</x:v>
      </x:c>
      <x:c r="R25" s="641" t="s">
        <x:v>217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218</x:v>
      </x:c>
      <x:c r="B26" s="639" t="s">
        <x:v>99</x:v>
      </x:c>
      <x:c r="C26" s="613" t="s">
        <x:v>219</x:v>
      </x:c>
      <x:c r="D26" s="613" t="s">
        <x:v>220</x:v>
      </x:c>
      <x:c r="E26" s="613" t="s">
        <x:v>212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>
        <x:f t="shared" si="2"/>
        <x:v>55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221</x:v>
      </x:c>
      <x:c r="R26" s="641" t="s">
        <x:v>222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223</x:v>
      </x:c>
      <x:c r="B27" s="639" t="s">
        <x:v>99</x:v>
      </x:c>
      <x:c r="C27" s="621" t="s">
        <x:v>224</x:v>
      </x:c>
      <x:c r="D27" s="621" t="s">
        <x:v>225</x:v>
      </x:c>
      <x:c r="E27" s="621" t="s">
        <x:v>226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>
        <x:f t="shared" si="2"/>
        <x:v>55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227</x:v>
      </x:c>
      <x:c r="R27" s="641" t="s">
        <x:v>228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0.44868421052631574</x:v>
      </x:c>
      <x:c r="M29" s="96" t="n">
        <x:f>SUM(M6:M27)</x:f>
        <x:v>12.450000000000001</x:v>
      </x:c>
      <x:c r="N29" s="96" t="n">
        <x:f>SUM(N6:N27)</x:f>
        <x:v>41.9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229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230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tr">
        <x:v>Week</x:v>
      </x:c>
      <x:c r="B4" s="118" t="str">
        <x:v>Week Start</x:v>
      </x:c>
      <x:c r="C4" s="118" t="str">
        <x:v>Week Finish</x:v>
      </x:c>
      <x:c r="D4" s="88" t="str">
        <x:v>Planned Hours</x:v>
      </x:c>
      <x:c r="E4" s="137" t="str">
        <x:v>Actual Hours</x:v>
      </x:c>
      <x:c r="F4" s="137" t="str">
        <x:f t="shared" ref="F4:F35" si="0">IF(E4="","",E4-D4)</x:f>
        <x:v>Weekly Variance</x:v>
      </x:c>
      <x:c r="G4" s="88" t="str">
        <x:v>Cumulative Planned</x:v>
      </x:c>
      <x:c r="H4" s="88" t="str">
        <x:v>Cumulative Actual</x:v>
      </x:c>
      <x:c r="I4" s="88" t="str">
        <x:f t="shared" ref="I4:I35" si="1">MAX(576-G4,0)</x:f>
        <x:v>Remaining Hours</x:v>
      </x:c>
      <x:c r="J4" s="88" t="str">
        <x:v>Primary Focus</x:v>
      </x:c>
      <x:c r="K4" s="88" t="str">
        <x:v>Status</x:v>
      </x:c>
      <x:c r="L4" s="8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12.450000000000001</x:v>
      </x:c>
      <x:c r="F5" s="68" t="n">
        <x:f t="shared" si="0">IF(E5="","",E5-D5)</x:f>
        <x:v>4.450000000000001</x:v>
      </x:c>
      <x:c r="G5" s="68" t="n">
        <x:f t="shared" ref="G5:G36" si="2">SUM($D$5:D5)</x:f>
        <x:v>8</x:v>
      </x:c>
      <x:c r="H5" s="68" t="n">
        <x:f t="shared" ref="H5:H36" si="3">SUM($E$5:E5)</x:f>
        <x:v>12.450000000000001</x:v>
      </x:c>
      <x:c r="I5" s="68" t="n">
        <x:f t="shared" si="1">MAX($G$13-H5,0)</x:f>
        <x:v>63.55</x:v>
      </x:c>
      <x:c r="J5" s="141" t="s">
        <x:v>231</x:v>
      </x:c>
      <x:c r="K5" s="141" t="str">
        <x:v>Complete</x:v>
      </x:c>
      <x:c r="L5" s="448" t="str">
        <x:v>Known logged time through WB-012: 12.45 h. WBS 1.1–1.5 are complete and Gate 2 passed. PR #10 merged weighted scoring and failure evidence in 27a8e59; 17 focused tests and 77 total tests passed. Next: create feature/evaluate-cli and begin WBS 2.1. No blocker.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12.450000000000001</x:v>
      </x:c>
      <x:c r="I6" s="68" t="n">
        <x:f t="shared" si="1">MAX($G$13-H6,0)</x:f>
        <x:v>63.55</x:v>
      </x:c>
      <x:c r="J6" s="141" t="s">
        <x:v>232</x:v>
      </x:c>
      <x:c r="K6" s="141" t="s">
        <x:v>233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12.450000000000001</x:v>
      </x:c>
      <x:c r="I7" s="68" t="n">
        <x:f t="shared" si="1">MAX($G$13-H7,0)</x:f>
        <x:v>63.55</x:v>
      </x:c>
      <x:c r="J7" s="141" t="s">
        <x:v>234</x:v>
      </x:c>
      <x:c r="K7" s="141" t="s">
        <x:v>233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12.450000000000001</x:v>
      </x:c>
      <x:c r="I8" s="68" t="n">
        <x:f t="shared" si="1">MAX($G$13-H8,0)</x:f>
        <x:v>63.55</x:v>
      </x:c>
      <x:c r="J8" s="141" t="s">
        <x:v>235</x:v>
      </x:c>
      <x:c r="K8" s="141" t="s">
        <x:v>233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12.450000000000001</x:v>
      </x:c>
      <x:c r="I9" s="68" t="n">
        <x:f t="shared" si="1">MAX($G$13-H9,0)</x:f>
        <x:v>63.55</x:v>
      </x:c>
      <x:c r="J9" s="141" t="s">
        <x:v>236</x:v>
      </x:c>
      <x:c r="K9" s="141" t="s">
        <x:v>233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12.450000000000001</x:v>
      </x:c>
      <x:c r="I10" s="68" t="n">
        <x:f t="shared" si="1">MAX($G$13-H10,0)</x:f>
        <x:v>63.55</x:v>
      </x:c>
      <x:c r="J10" s="141" t="s">
        <x:v>237</x:v>
      </x:c>
      <x:c r="K10" s="141" t="s">
        <x:v>233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12.450000000000001</x:v>
      </x:c>
      <x:c r="I11" s="68" t="n">
        <x:f t="shared" si="1">MAX($G$13-H11,0)</x:f>
        <x:v>63.55</x:v>
      </x:c>
      <x:c r="J11" s="141" t="s">
        <x:v>238</x:v>
      </x:c>
      <x:c r="K11" s="141" t="s">
        <x:v>233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12.450000000000001</x:v>
      </x:c>
      <x:c r="I12" s="140" t="n">
        <x:f t="shared" si="1">MAX($G$13-H12,0)</x:f>
        <x:v>63.55</x:v>
      </x:c>
      <x:c r="J12" s="142" t="s">
        <x:v>239</x:v>
      </x:c>
      <x:c r="K12" s="142" t="s">
        <x:v>233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aa48cbf2aa73473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240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241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4.9</x:v>
      </x:c>
      <x:c r="E5" s="143" t="n">
        <x:f>IF(C5=0,0,SUMPRODUCT(('Detailed Gantt'!$B$6:$B$27=B5)*'Detailed Gantt'!$F$6:$F$27*'Detailed Gantt'!$L$6:$L$27)/C5)</x:f>
        <x:v>1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242</x:v>
      </x:c>
      <x:c r="B10" s="134"/>
      <x:c r="C10" s="136" t="n">
        <x:f>SUM(C4:C9)</x:f>
        <x:v>76</x:v>
      </x:c>
      <x:c r="D10" s="136" t="n">
        <x:f>SUM(D4:D9)</x:f>
        <x:v>12.450000000000001</x:v>
      </x:c>
      <x:c r="E10" s="144" t="n">
        <x:f>SUMPRODUCT(C4:C9,E4:E9)/C10</x:f>
        <x:v>0.4486842105263158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448c59fc5f7043f5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243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244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245</x:v>
      </x:c>
      <x:c r="B4" s="3" t="s">
        <x:v>246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247</x:v>
      </x:c>
      <x:c r="B5" s="3" t="s">
        <x:v>248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249</x:v>
      </x:c>
      <x:c r="B6" s="3" t="s">
        <x:v>250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251</x:v>
      </x:c>
      <x:c r="B7" s="3" t="s">
        <x:v>252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253</x:v>
      </x:c>
      <x:c r="B8" s="3" t="s">
        <x:v>254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255</x:v>
      </x:c>
      <x:c r="B9" s="3" t="s">
        <x:v>256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257</x:v>
      </x:c>
      <x:c r="B10" s="3" t="s">
        <x:v>258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259</x:v>
      </x:c>
      <x:c r="B11" s="3" t="s">
        <x:v>260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261</x:v>
      </x:c>
      <x:c r="B12" s="141" t="s">
        <x:v>262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263</x:v>
      </x:c>
      <x:c r="B13" s="141" t="s">
        <x:v>264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265</x:v>
      </x:c>
      <x:c r="B14" s="4" t="s">
        <x:v>266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267</x:v>
      </x:c>
      <x:c r="B15" s="194" t="s">
        <x:v>268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269</x:v>
      </x:c>
      <x:c r="B16" s="195" t="s">
        <x:v>270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271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241</x:v>
      </x:c>
      <x:c r="B18" s="88" t="s">
        <x:v>272</x:v>
      </x:c>
      <x:c r="C18" s="118" t="s">
        <x:v>273</x:v>
      </x:c>
      <x:c r="D18" s="88" t="s">
        <x:v>117</x:v>
      </x:c>
      <x:c r="E18" s="88" t="s">
        <x:v>274</x:v>
      </x:c>
      <x:c r="F18" s="88" t="s">
        <x:v>275</x:v>
      </x:c>
      <x:c r="G18" s="88" t="s">
        <x:v>276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277</x:v>
      </x:c>
      <x:c r="B19" s="3">
        <x:v>2</x:v>
      </x:c>
      <x:c r="C19" s="124">
        <x:v>46215</x:v>
      </x:c>
      <x:c r="D19" s="3" t="s">
        <x:v>278</x:v>
      </x:c>
      <x:c r="E19" s="3" t="s">
        <x:v>279</x:v>
      </x:c>
      <x:c r="F19" s="141" t="s">
        <x:v>280</x:v>
      </x:c>
      <x:c r="G19" s="141" t="s">
        <x:v>281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282</x:v>
      </x:c>
      <x:c r="B20" s="3">
        <x:v>2</x:v>
      </x:c>
      <x:c r="C20" s="124">
        <x:v>46215</x:v>
      </x:c>
      <x:c r="D20" s="3" t="str">
        <x:v>Passed</x:v>
      </x:c>
      <x:c r="E20" s="3" t="str">
        <x:v>Candidate artifact contract and loader work for MECH-002 with controlled errors.</x:v>
      </x:c>
      <x:c r="F20" s="141" t="str">
        <x:v>PR #6 / merge c419dc3; 31 tests</x:v>
      </x:c>
      <x:c r="G20" s="141" t="str">
        <x:v>Gate accepted. Mandatory gates and deterministic checks followed.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283</x:v>
      </x:c>
      <x:c r="B21" s="3">
        <x:v>4</x:v>
      </x:c>
      <x:c r="C21" s="124">
        <x:v>46229</x:v>
      </x:c>
      <x:c r="D21" s="3" t="str">
        <x:v>Passed</x:v>
      </x:c>
      <x:c r="E21" s="3" t="str">
        <x:v>Mandatory gates, deterministic checks, weighted score, failure modes, and evidence work end-to-end.</x:v>
      </x:c>
      <x:c r="F21" s="141" t="str">
        <x:v>WBS 1.1–1.5 merged; PR #10 / merge 27a8e59; 77 tests; src/mech_eval_harness/scoring.py</x:v>
      </x:c>
      <x:c r="G21" s="141" t="str">
        <x:v>Gate accepted. Authorize WBS 2.1 evaluate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284</x:v>
      </x:c>
      <x:c r="B22" s="3">
        <x:v>5</x:v>
      </x:c>
      <x:c r="C22" s="124">
        <x:v>46236</x:v>
      </x:c>
      <x:c r="D22" s="3" t="s">
        <x:v>285</x:v>
      </x:c>
      <x:c r="E22" s="3" t="s">
        <x:v>286</x:v>
      </x:c>
      <x:c r="F22" s="141" t="s">
        <x:v>287</x:v>
      </x:c>
      <x:c r="G22" s="141" t="s">
        <x:v>288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289</x:v>
      </x:c>
      <x:c r="B23" s="141">
        <x:v>6</x:v>
      </x:c>
      <x:c r="C23" s="138">
        <x:v>46243</x:v>
      </x:c>
      <x:c r="D23" s="141" t="s">
        <x:v>285</x:v>
      </x:c>
      <x:c r="E23" s="141" t="s">
        <x:v>290</x:v>
      </x:c>
      <x:c r="F23" s="141" t="s">
        <x:v>291</x:v>
      </x:c>
      <x:c r="G23" s="141" t="s">
        <x:v>292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293</x:v>
      </x:c>
      <x:c r="B24" s="141">
        <x:v>7</x:v>
      </x:c>
      <x:c r="C24" s="138">
        <x:v>46250</x:v>
      </x:c>
      <x:c r="D24" s="141" t="s">
        <x:v>285</x:v>
      </x:c>
      <x:c r="E24" s="141" t="s">
        <x:v>294</x:v>
      </x:c>
      <x:c r="F24" s="141" t="s">
        <x:v>295</x:v>
      </x:c>
      <x:c r="G24" s="141" t="s">
        <x:v>296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297</x:v>
      </x:c>
      <x:c r="B25" s="141">
        <x:v>8</x:v>
      </x:c>
      <x:c r="C25" s="138">
        <x:v>46257</x:v>
      </x:c>
      <x:c r="D25" s="141" t="s">
        <x:v>285</x:v>
      </x:c>
      <x:c r="E25" s="141" t="s">
        <x:v>298</x:v>
      </x:c>
      <x:c r="F25" s="141" t="s">
        <x:v>299</x:v>
      </x:c>
      <x:c r="G25" s="141" t="s">
        <x:v>300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301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302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303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304</x:v>
      </x:c>
      <x:c r="B3" s="88" t="s">
        <x:v>305</x:v>
      </x:c>
      <x:c r="C3" s="88" t="s">
        <x:v>306</x:v>
      </x:c>
      <x:c r="D3" s="88" t="s">
        <x:v>307</x:v>
      </x:c>
      <x:c r="E3" s="88" t="s">
        <x:v>308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309</x:v>
      </x:c>
      <x:c r="B4" s="3" t="s">
        <x:v>310</x:v>
      </x:c>
      <x:c r="C4" s="3" t="s">
        <x:v>311</x:v>
      </x:c>
      <x:c r="D4" s="3" t="s">
        <x:v>312</x:v>
      </x:c>
      <x:c r="E4" s="141" t="s">
        <x:v>313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314</x:v>
      </x:c>
      <x:c r="B5" s="3" t="s">
        <x:v>315</x:v>
      </x:c>
      <x:c r="C5" s="3" t="s">
        <x:v>311</x:v>
      </x:c>
      <x:c r="D5" s="3" t="s">
        <x:v>316</x:v>
      </x:c>
      <x:c r="E5" s="141" t="s">
        <x:v>317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318</x:v>
      </x:c>
      <x:c r="B6" s="3" t="s">
        <x:v>319</x:v>
      </x:c>
      <x:c r="C6" s="3" t="s">
        <x:v>320</x:v>
      </x:c>
      <x:c r="D6" s="3" t="s">
        <x:v>321</x:v>
      </x:c>
      <x:c r="E6" s="141" t="s">
        <x:v>322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323</x:v>
      </x:c>
      <x:c r="B7" s="3" t="s">
        <x:v>324</x:v>
      </x:c>
      <x:c r="C7" s="3" t="s">
        <x:v>325</x:v>
      </x:c>
      <x:c r="D7" s="3" t="s">
        <x:v>326</x:v>
      </x:c>
      <x:c r="E7" s="141" t="s">
        <x:v>327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328</x:v>
      </x:c>
      <x:c r="B8" s="3" t="s">
        <x:v>329</x:v>
      </x:c>
      <x:c r="C8" s="3" t="s">
        <x:v>325</x:v>
      </x:c>
      <x:c r="D8" s="3" t="s">
        <x:v>326</x:v>
      </x:c>
      <x:c r="E8" s="141" t="s">
        <x:v>330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331</x:v>
      </x:c>
      <x:c r="B9" s="3" t="s">
        <x:v>332</x:v>
      </x:c>
      <x:c r="C9" s="3" t="s">
        <x:v>333</x:v>
      </x:c>
      <x:c r="D9" s="3" t="s">
        <x:v>334</x:v>
      </x:c>
      <x:c r="E9" s="141" t="s">
        <x:v>335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336</x:v>
      </x:c>
      <x:c r="B10" s="141" t="s">
        <x:v>337</x:v>
      </x:c>
      <x:c r="C10" s="141" t="s">
        <x:v>333</x:v>
      </x:c>
      <x:c r="D10" s="141" t="s">
        <x:v>338</x:v>
      </x:c>
      <x:c r="E10" s="141" t="s">
        <x:v>339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340</x:v>
      </x:c>
      <x:c r="B11" s="141" t="s">
        <x:v>341</x:v>
      </x:c>
      <x:c r="C11" s="141" t="s">
        <x:v>333</x:v>
      </x:c>
      <x:c r="D11" s="141" t="s">
        <x:v>342</x:v>
      </x:c>
      <x:c r="E11" s="141" t="s">
        <x:v>339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343</x:v>
      </x:c>
      <x:c r="B12" s="141" t="s">
        <x:v>344</x:v>
      </x:c>
      <x:c r="C12" s="141" t="s">
        <x:v>325</x:v>
      </x:c>
      <x:c r="D12" s="141" t="s">
        <x:v>326</x:v>
      </x:c>
      <x:c r="E12" s="141" t="s">
        <x:v>345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346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347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348</x:v>
      </x:c>
      <x:c r="L4" t="s">
        <x:v>349</x:v>
      </x:c>
    </x:row>
    <x:row r="6">
      <x:c r="A6" t="s">
        <x:v>350</x:v>
      </x:c>
      <x:c r="C6" t="s">
        <x:v>351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352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353</x:v>
      </x:c>
      <x:c r="C9" t="s">
        <x:v>354</x:v>
      </x:c>
      <x:c r="D9" t="s">
        <x:v>355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356</x:v>
      </x:c>
      <x:c r="M9">
        <x:v>1</x:v>
      </x:c>
      <x:c r="N9">
        <x:v>1.5</x:v>
      </x:c>
      <x:c r="O9">
        <x:v>-2.5</x:v>
      </x:c>
      <x:c r="P9">
        <x:v>0</x:v>
      </x:c>
      <x:c r="Q9" t="s">
        <x:v>357</x:v>
      </x:c>
    </x:row>
    <x:row r="10">
      <x:c r="A10" t="s">
        <x:v>129</x:v>
      </x:c>
      <x:c r="B10" t="s">
        <x:v>353</x:v>
      </x:c>
      <x:c r="C10" t="s">
        <x:v>358</x:v>
      </x:c>
      <x:c r="D10" t="s">
        <x:v>359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356</x:v>
      </x:c>
      <x:c r="M10">
        <x:v>1</x:v>
      </x:c>
      <x:c r="P10">
        <x:v>0</x:v>
      </x:c>
      <x:c r="Q10" t="s">
        <x:v>360</x:v>
      </x:c>
    </x:row>
    <x:row r="11">
      <x:c r="A11" t="s">
        <x:v>134</x:v>
      </x:c>
      <x:c r="B11" t="s">
        <x:v>353</x:v>
      </x:c>
      <x:c r="C11" t="s">
        <x:v>361</x:v>
      </x:c>
      <x:c r="D11" t="s">
        <x:v>362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363</x:v>
      </x:c>
      <x:c r="M11">
        <x:v>0.5</x:v>
      </x:c>
      <x:c r="P11">
        <x:v>2</x:v>
      </x:c>
      <x:c r="Q11" t="s">
        <x:v>364</x:v>
      </x:c>
    </x:row>
    <x:row r="12">
      <x:c r="A12" t="s">
        <x:v>365</x:v>
      </x:c>
      <x:c r="B12" t="s">
        <x:v>353</x:v>
      </x:c>
      <x:c r="C12" t="s">
        <x:v>366</x:v>
      </x:c>
      <x:c r="D12" t="s">
        <x:v>367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233</x:v>
      </x:c>
      <x:c r="M12">
        <x:v>0</x:v>
      </x:c>
      <x:c r="P12">
        <x:v>4</x:v>
      </x:c>
    </x:row>
    <x:row r="13">
      <x:c r="A13" t="s">
        <x:v>368</x:v>
      </x:c>
      <x:c r="B13" t="s">
        <x:v>353</x:v>
      </x:c>
      <x:c r="C13" t="s">
        <x:v>369</x:v>
      </x:c>
      <x:c r="D13" t="s">
        <x:v>370</x:v>
      </x:c>
      <x:c r="E13" t="s">
        <x:v>365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363</x:v>
      </x:c>
      <x:c r="M13">
        <x:v>0.02</x:v>
      </x:c>
      <x:c r="P13">
        <x:v>11.76</x:v>
      </x:c>
      <x:c r="Q13" t="s">
        <x:v>371</x:v>
      </x:c>
    </x:row>
    <x:row r="14">
      <x:c r="A14" t="s">
        <x:v>372</x:v>
      </x:c>
      <x:c r="B14" t="s">
        <x:v>353</x:v>
      </x:c>
      <x:c r="C14" t="s">
        <x:v>373</x:v>
      </x:c>
      <x:c r="D14" t="s">
        <x:v>374</x:v>
      </x:c>
      <x:c r="E14" t="s">
        <x:v>365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233</x:v>
      </x:c>
      <x:c r="M14">
        <x:v>0</x:v>
      </x:c>
      <x:c r="P14">
        <x:v>6</x:v>
      </x:c>
    </x:row>
    <x:row r="15">
      <x:c r="A15" t="s">
        <x:v>375</x:v>
      </x:c>
      <x:c r="B15" t="s">
        <x:v>353</x:v>
      </x:c>
      <x:c r="C15" t="s">
        <x:v>376</x:v>
      </x:c>
      <x:c r="D15" t="s">
        <x:v>377</x:v>
      </x:c>
      <x:c r="E15" t="s">
        <x:v>365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233</x:v>
      </x:c>
      <x:c r="M15">
        <x:v>0</x:v>
      </x:c>
      <x:c r="P15">
        <x:v>6</x:v>
      </x:c>
    </x:row>
    <x:row r="16">
      <x:c r="A16" t="s">
        <x:v>139</x:v>
      </x:c>
      <x:c r="B16" t="s">
        <x:v>378</x:v>
      </x:c>
      <x:c r="C16" t="s">
        <x:v>379</x:v>
      </x:c>
      <x:c r="D16" t="s">
        <x:v>380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233</x:v>
      </x:c>
      <x:c r="M16">
        <x:v>0</x:v>
      </x:c>
      <x:c r="P16">
        <x:v>8</x:v>
      </x:c>
    </x:row>
    <x:row r="17">
      <x:c r="A17" t="s">
        <x:v>142</x:v>
      </x:c>
      <x:c r="B17" t="s">
        <x:v>378</x:v>
      </x:c>
      <x:c r="C17" t="s">
        <x:v>381</x:v>
      </x:c>
      <x:c r="D17" t="s">
        <x:v>382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233</x:v>
      </x:c>
      <x:c r="M17">
        <x:v>0</x:v>
      </x:c>
      <x:c r="P17">
        <x:v>6</x:v>
      </x:c>
    </x:row>
    <x:row r="18">
      <x:c r="A18" t="s">
        <x:v>145</x:v>
      </x:c>
      <x:c r="B18" t="s">
        <x:v>378</x:v>
      </x:c>
      <x:c r="C18" t="s">
        <x:v>383</x:v>
      </x:c>
      <x:c r="D18" t="s">
        <x:v>384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233</x:v>
      </x:c>
      <x:c r="M18">
        <x:v>0</x:v>
      </x:c>
      <x:c r="P18">
        <x:v>14</x:v>
      </x:c>
    </x:row>
    <x:row r="19">
      <x:c r="A19" t="s">
        <x:v>148</x:v>
      </x:c>
      <x:c r="B19" t="s">
        <x:v>378</x:v>
      </x:c>
      <x:c r="C19" t="s">
        <x:v>385</x:v>
      </x:c>
      <x:c r="D19" t="s">
        <x:v>386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233</x:v>
      </x:c>
      <x:c r="M19">
        <x:v>0</x:v>
      </x:c>
      <x:c r="P19">
        <x:v>18</x:v>
      </x:c>
    </x:row>
    <x:row r="20">
      <x:c r="A20" t="s">
        <x:v>151</x:v>
      </x:c>
      <x:c r="B20" t="s">
        <x:v>378</x:v>
      </x:c>
      <x:c r="C20" t="s">
        <x:v>387</x:v>
      </x:c>
      <x:c r="D20" t="s">
        <x:v>388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233</x:v>
      </x:c>
      <x:c r="M20">
        <x:v>0</x:v>
      </x:c>
      <x:c r="P20">
        <x:v>6</x:v>
      </x:c>
    </x:row>
    <x:row r="21">
      <x:c r="A21" t="s">
        <x:v>389</x:v>
      </x:c>
      <x:c r="B21" t="s">
        <x:v>378</x:v>
      </x:c>
      <x:c r="C21" t="s">
        <x:v>390</x:v>
      </x:c>
      <x:c r="D21" t="s">
        <x:v>391</x:v>
      </x:c>
      <x:c r="E21" t="s">
        <x:v>151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233</x:v>
      </x:c>
      <x:c r="M21">
        <x:v>0</x:v>
      </x:c>
      <x:c r="P21">
        <x:v>6</x:v>
      </x:c>
    </x:row>
    <x:row r="22">
      <x:c r="A22" t="s">
        <x:v>392</x:v>
      </x:c>
      <x:c r="B22" t="s">
        <x:v>378</x:v>
      </x:c>
      <x:c r="C22" t="s">
        <x:v>393</x:v>
      </x:c>
      <x:c r="D22" t="s">
        <x:v>394</x:v>
      </x:c>
      <x:c r="E22" t="s">
        <x:v>389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233</x:v>
      </x:c>
      <x:c r="M22">
        <x:v>0</x:v>
      </x:c>
      <x:c r="P22">
        <x:v>6</x:v>
      </x:c>
    </x:row>
    <x:row r="23">
      <x:c r="A23" t="s">
        <x:v>155</x:v>
      </x:c>
      <x:c r="B23" t="s">
        <x:v>395</x:v>
      </x:c>
      <x:c r="C23" t="s">
        <x:v>396</x:v>
      </x:c>
      <x:c r="D23" t="s">
        <x:v>397</x:v>
      </x:c>
      <x:c r="E23" t="s">
        <x:v>392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363</x:v>
      </x:c>
      <x:c r="M23">
        <x:v>0.2</x:v>
      </x:c>
      <x:c r="P23">
        <x:v>8</x:v>
      </x:c>
      <x:c r="Q23" t="s">
        <x:v>398</x:v>
      </x:c>
    </x:row>
    <x:row r="24">
      <x:c r="A24" t="s">
        <x:v>158</x:v>
      </x:c>
      <x:c r="B24" t="s">
        <x:v>395</x:v>
      </x:c>
      <x:c r="C24" t="s">
        <x:v>399</x:v>
      </x:c>
      <x:c r="D24" t="s">
        <x:v>400</x:v>
      </x:c>
      <x:c r="E24" t="s">
        <x:v>155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363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401</x:v>
      </x:c>
    </x:row>
    <x:row r="25">
      <x:c r="A25" t="s">
        <x:v>163</x:v>
      </x:c>
      <x:c r="B25" t="s">
        <x:v>395</x:v>
      </x:c>
      <x:c r="C25" t="s">
        <x:v>402</x:v>
      </x:c>
      <x:c r="D25" t="s">
        <x:v>403</x:v>
      </x:c>
      <x:c r="E25" t="s">
        <x:v>158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356</x:v>
      </x:c>
      <x:c r="M25">
        <x:v>1</x:v>
      </x:c>
      <x:c r="P25">
        <x:v>0</x:v>
      </x:c>
      <x:c r="Q25" t="s">
        <x:v>404</x:v>
      </x:c>
    </x:row>
    <x:row r="26">
      <x:c r="A26" t="s">
        <x:v>168</x:v>
      </x:c>
      <x:c r="B26" t="s">
        <x:v>395</x:v>
      </x:c>
      <x:c r="C26" t="s">
        <x:v>405</x:v>
      </x:c>
      <x:c r="D26" t="s">
        <x:v>406</x:v>
      </x:c>
      <x:c r="E26" t="s">
        <x:v>163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233</x:v>
      </x:c>
      <x:c r="M26">
        <x:v>0</x:v>
      </x:c>
      <x:c r="P26">
        <x:v>10</x:v>
      </x:c>
    </x:row>
    <x:row r="27">
      <x:c r="A27" t="s">
        <x:v>407</x:v>
      </x:c>
      <x:c r="B27" t="s">
        <x:v>395</x:v>
      </x:c>
      <x:c r="C27" t="s">
        <x:v>408</x:v>
      </x:c>
      <x:c r="D27" t="s">
        <x:v>409</x:v>
      </x:c>
      <x:c r="E27" t="s">
        <x:v>163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233</x:v>
      </x:c>
      <x:c r="M27">
        <x:v>0</x:v>
      </x:c>
      <x:c r="P27">
        <x:v>10</x:v>
      </x:c>
    </x:row>
    <x:row r="28">
      <x:c r="A28" t="s">
        <x:v>410</x:v>
      </x:c>
      <x:c r="B28" t="s">
        <x:v>395</x:v>
      </x:c>
      <x:c r="C28" t="s">
        <x:v>411</x:v>
      </x:c>
      <x:c r="D28" t="s">
        <x:v>412</x:v>
      </x:c>
      <x:c r="E28" t="s">
        <x:v>168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233</x:v>
      </x:c>
      <x:c r="M28">
        <x:v>0</x:v>
      </x:c>
      <x:c r="P28">
        <x:v>8</x:v>
      </x:c>
    </x:row>
    <x:row r="29">
      <x:c r="A29" t="s">
        <x:v>413</x:v>
      </x:c>
      <x:c r="B29" t="s">
        <x:v>395</x:v>
      </x:c>
      <x:c r="C29" t="s">
        <x:v>414</x:v>
      </x:c>
      <x:c r="D29" t="s">
        <x:v>415</x:v>
      </x:c>
      <x:c r="E29" t="s">
        <x:v>407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233</x:v>
      </x:c>
      <x:c r="M29">
        <x:v>0</x:v>
      </x:c>
      <x:c r="P29">
        <x:v>4</x:v>
      </x:c>
    </x:row>
    <x:row r="30">
      <x:c r="A30" t="s">
        <x:v>416</x:v>
      </x:c>
      <x:c r="B30" t="s">
        <x:v>395</x:v>
      </x:c>
      <x:c r="C30" t="s">
        <x:v>417</x:v>
      </x:c>
      <x:c r="D30" t="s">
        <x:v>418</x:v>
      </x:c>
      <x:c r="E30" t="s">
        <x:v>410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233</x:v>
      </x:c>
      <x:c r="M30">
        <x:v>0</x:v>
      </x:c>
      <x:c r="P30">
        <x:v>4</x:v>
      </x:c>
    </x:row>
    <x:row r="31">
      <x:c r="A31" t="s">
        <x:v>174</x:v>
      </x:c>
      <x:c r="B31" t="s">
        <x:v>419</x:v>
      </x:c>
      <x:c r="C31" t="s">
        <x:v>420</x:v>
      </x:c>
      <x:c r="D31" t="s">
        <x:v>421</x:v>
      </x:c>
      <x:c r="E31" t="s">
        <x:v>416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233</x:v>
      </x:c>
      <x:c r="M31">
        <x:v>0</x:v>
      </x:c>
      <x:c r="P31">
        <x:v>18</x:v>
      </x:c>
    </x:row>
    <x:row r="32">
      <x:c r="A32" t="s">
        <x:v>179</x:v>
      </x:c>
      <x:c r="B32" t="s">
        <x:v>419</x:v>
      </x:c>
      <x:c r="C32" t="s">
        <x:v>422</x:v>
      </x:c>
      <x:c r="D32" t="s">
        <x:v>423</x:v>
      </x:c>
      <x:c r="E32" t="s">
        <x:v>174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233</x:v>
      </x:c>
      <x:c r="M32">
        <x:v>0</x:v>
      </x:c>
      <x:c r="P32">
        <x:v>12</x:v>
      </x:c>
    </x:row>
    <x:row r="33">
      <x:c r="A33" t="s">
        <x:v>185</x:v>
      </x:c>
      <x:c r="B33" t="s">
        <x:v>419</x:v>
      </x:c>
      <x:c r="C33" t="s">
        <x:v>424</x:v>
      </x:c>
      <x:c r="D33" t="s">
        <x:v>425</x:v>
      </x:c>
      <x:c r="E33" t="s">
        <x:v>179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233</x:v>
      </x:c>
      <x:c r="M33">
        <x:v>0</x:v>
      </x:c>
      <x:c r="P33">
        <x:v>12</x:v>
      </x:c>
    </x:row>
    <x:row r="34">
      <x:c r="A34" t="s">
        <x:v>190</x:v>
      </x:c>
      <x:c r="B34" t="s">
        <x:v>419</x:v>
      </x:c>
      <x:c r="C34" t="s">
        <x:v>426</x:v>
      </x:c>
      <x:c r="D34" t="s">
        <x:v>427</x:v>
      </x:c>
      <x:c r="E34" t="s">
        <x:v>185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233</x:v>
      </x:c>
      <x:c r="M34">
        <x:v>0</x:v>
      </x:c>
      <x:c r="P34">
        <x:v>8</x:v>
      </x:c>
    </x:row>
    <x:row r="35">
      <x:c r="A35" t="s">
        <x:v>428</x:v>
      </x:c>
      <x:c r="B35" t="s">
        <x:v>419</x:v>
      </x:c>
      <x:c r="C35" t="s">
        <x:v>429</x:v>
      </x:c>
      <x:c r="D35" t="s">
        <x:v>430</x:v>
      </x:c>
      <x:c r="E35" t="s">
        <x:v>190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233</x:v>
      </x:c>
      <x:c r="M35">
        <x:v>0</x:v>
      </x:c>
      <x:c r="P35">
        <x:v>10</x:v>
      </x:c>
    </x:row>
    <x:row r="36">
      <x:c r="A36" t="s">
        <x:v>431</x:v>
      </x:c>
      <x:c r="B36" t="s">
        <x:v>419</x:v>
      </x:c>
      <x:c r="C36" t="s">
        <x:v>432</x:v>
      </x:c>
      <x:c r="D36" t="s">
        <x:v>433</x:v>
      </x:c>
      <x:c r="E36" t="s">
        <x:v>428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233</x:v>
      </x:c>
      <x:c r="M36">
        <x:v>0</x:v>
      </x:c>
      <x:c r="P36">
        <x:v>10</x:v>
      </x:c>
    </x:row>
    <x:row r="37">
      <x:c r="A37" t="s">
        <x:v>434</x:v>
      </x:c>
      <x:c r="B37" t="s">
        <x:v>419</x:v>
      </x:c>
      <x:c r="C37" t="s">
        <x:v>435</x:v>
      </x:c>
      <x:c r="D37" t="s">
        <x:v>436</x:v>
      </x:c>
      <x:c r="E37" t="s">
        <x:v>431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233</x:v>
      </x:c>
      <x:c r="M37">
        <x:v>0</x:v>
      </x:c>
      <x:c r="P37">
        <x:v>10</x:v>
      </x:c>
    </x:row>
    <x:row r="38">
      <x:c r="A38" t="s">
        <x:v>437</x:v>
      </x:c>
      <x:c r="B38" t="s">
        <x:v>419</x:v>
      </x:c>
      <x:c r="C38" t="s">
        <x:v>438</x:v>
      </x:c>
      <x:c r="D38" t="s">
        <x:v>439</x:v>
      </x:c>
      <x:c r="E38" t="s">
        <x:v>434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233</x:v>
      </x:c>
      <x:c r="M38">
        <x:v>0</x:v>
      </x:c>
      <x:c r="P38">
        <x:v>8</x:v>
      </x:c>
    </x:row>
    <x:row r="39">
      <x:c r="A39" t="s">
        <x:v>196</x:v>
      </x:c>
      <x:c r="B39" t="s">
        <x:v>440</x:v>
      </x:c>
      <x:c r="C39" t="s">
        <x:v>441</x:v>
      </x:c>
      <x:c r="D39" t="s">
        <x:v>442</x:v>
      </x:c>
      <x:c r="E39" t="s">
        <x:v>437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233</x:v>
      </x:c>
      <x:c r="M39">
        <x:v>0</x:v>
      </x:c>
      <x:c r="P39">
        <x:v>8</x:v>
      </x:c>
    </x:row>
    <x:row r="40">
      <x:c r="A40" t="s">
        <x:v>201</x:v>
      </x:c>
      <x:c r="B40" t="s">
        <x:v>440</x:v>
      </x:c>
      <x:c r="C40" t="s">
        <x:v>443</x:v>
      </x:c>
      <x:c r="D40" t="s">
        <x:v>444</x:v>
      </x:c>
      <x:c r="E40" t="s">
        <x:v>196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233</x:v>
      </x:c>
      <x:c r="M40">
        <x:v>0</x:v>
      </x:c>
      <x:c r="P40">
        <x:v>10</x:v>
      </x:c>
    </x:row>
    <x:row r="41">
      <x:c r="A41" t="s">
        <x:v>206</x:v>
      </x:c>
      <x:c r="B41" t="s">
        <x:v>440</x:v>
      </x:c>
      <x:c r="C41" t="s">
        <x:v>445</x:v>
      </x:c>
      <x:c r="D41" t="s">
        <x:v>446</x:v>
      </x:c>
      <x:c r="E41" t="s">
        <x:v>201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233</x:v>
      </x:c>
      <x:c r="M41">
        <x:v>0</x:v>
      </x:c>
      <x:c r="P41">
        <x:v>18</x:v>
      </x:c>
    </x:row>
    <x:row r="42">
      <x:c r="A42" t="s">
        <x:v>447</x:v>
      </x:c>
      <x:c r="B42" t="s">
        <x:v>440</x:v>
      </x:c>
      <x:c r="C42" t="s">
        <x:v>448</x:v>
      </x:c>
      <x:c r="D42" t="s">
        <x:v>449</x:v>
      </x:c>
      <x:c r="E42" t="s">
        <x:v>206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233</x:v>
      </x:c>
      <x:c r="M42">
        <x:v>0</x:v>
      </x:c>
      <x:c r="P42">
        <x:v>14</x:v>
      </x:c>
    </x:row>
    <x:row r="43">
      <x:c r="A43" t="s">
        <x:v>450</x:v>
      </x:c>
      <x:c r="B43" t="s">
        <x:v>440</x:v>
      </x:c>
      <x:c r="C43" t="s">
        <x:v>451</x:v>
      </x:c>
      <x:c r="D43" t="s">
        <x:v>452</x:v>
      </x:c>
      <x:c r="E43" t="s">
        <x:v>206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233</x:v>
      </x:c>
      <x:c r="M43">
        <x:v>0</x:v>
      </x:c>
      <x:c r="P43">
        <x:v>14</x:v>
      </x:c>
    </x:row>
    <x:row r="44">
      <x:c r="A44" t="s">
        <x:v>453</x:v>
      </x:c>
      <x:c r="B44" t="s">
        <x:v>440</x:v>
      </x:c>
      <x:c r="C44" t="s">
        <x:v>454</x:v>
      </x:c>
      <x:c r="D44" t="s">
        <x:v>455</x:v>
      </x:c>
      <x:c r="E44" t="s">
        <x:v>447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233</x:v>
      </x:c>
      <x:c r="M44">
        <x:v>0</x:v>
      </x:c>
      <x:c r="P44">
        <x:v>20</x:v>
      </x:c>
    </x:row>
    <x:row r="45">
      <x:c r="A45" t="s">
        <x:v>456</x:v>
      </x:c>
      <x:c r="B45" t="s">
        <x:v>440</x:v>
      </x:c>
      <x:c r="C45" t="s">
        <x:v>457</x:v>
      </x:c>
      <x:c r="D45" t="s">
        <x:v>458</x:v>
      </x:c>
      <x:c r="E45" t="s">
        <x:v>453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233</x:v>
      </x:c>
      <x:c r="M45">
        <x:v>0</x:v>
      </x:c>
      <x:c r="P45">
        <x:v>12</x:v>
      </x:c>
    </x:row>
    <x:row r="46">
      <x:c r="A46" t="s">
        <x:v>212</x:v>
      </x:c>
      <x:c r="B46" t="s">
        <x:v>459</x:v>
      </x:c>
      <x:c r="C46" t="s">
        <x:v>460</x:v>
      </x:c>
      <x:c r="D46" t="s">
        <x:v>461</x:v>
      </x:c>
      <x:c r="E46" t="s">
        <x:v>456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233</x:v>
      </x:c>
      <x:c r="M46">
        <x:v>0</x:v>
      </x:c>
      <x:c r="P46">
        <x:v>10</x:v>
      </x:c>
    </x:row>
    <x:row r="47">
      <x:c r="A47" t="s">
        <x:v>218</x:v>
      </x:c>
      <x:c r="B47" t="s">
        <x:v>459</x:v>
      </x:c>
      <x:c r="C47" t="s">
        <x:v>462</x:v>
      </x:c>
      <x:c r="D47" t="s">
        <x:v>463</x:v>
      </x:c>
      <x:c r="E47" t="s">
        <x:v>212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233</x:v>
      </x:c>
      <x:c r="M47">
        <x:v>0</x:v>
      </x:c>
      <x:c r="P47">
        <x:v>16</x:v>
      </x:c>
    </x:row>
    <x:row r="48">
      <x:c r="A48" t="s">
        <x:v>223</x:v>
      </x:c>
      <x:c r="B48" t="s">
        <x:v>459</x:v>
      </x:c>
      <x:c r="C48" t="s">
        <x:v>464</x:v>
      </x:c>
      <x:c r="D48" t="s">
        <x:v>465</x:v>
      </x:c>
      <x:c r="E48" t="s">
        <x:v>218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233</x:v>
      </x:c>
      <x:c r="M48">
        <x:v>0</x:v>
      </x:c>
      <x:c r="P48">
        <x:v>12</x:v>
      </x:c>
    </x:row>
    <x:row r="49">
      <x:c r="A49" t="s">
        <x:v>466</x:v>
      </x:c>
      <x:c r="B49" t="s">
        <x:v>459</x:v>
      </x:c>
      <x:c r="C49" t="s">
        <x:v>467</x:v>
      </x:c>
      <x:c r="D49" t="s">
        <x:v>468</x:v>
      </x:c>
      <x:c r="E49" t="s">
        <x:v>223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233</x:v>
      </x:c>
      <x:c r="M49">
        <x:v>0</x:v>
      </x:c>
      <x:c r="P49">
        <x:v>10</x:v>
      </x:c>
    </x:row>
    <x:row r="50">
      <x:c r="A50" t="s">
        <x:v>469</x:v>
      </x:c>
      <x:c r="B50" t="s">
        <x:v>459</x:v>
      </x:c>
      <x:c r="C50" t="s">
        <x:v>470</x:v>
      </x:c>
      <x:c r="D50" t="s">
        <x:v>471</x:v>
      </x:c>
      <x:c r="E50" t="s">
        <x:v>466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233</x:v>
      </x:c>
      <x:c r="M50">
        <x:v>0</x:v>
      </x:c>
      <x:c r="P50">
        <x:v>16</x:v>
      </x:c>
    </x:row>
    <x:row r="51">
      <x:c r="A51" t="s">
        <x:v>472</x:v>
      </x:c>
      <x:c r="B51" t="s">
        <x:v>459</x:v>
      </x:c>
      <x:c r="C51" t="s">
        <x:v>473</x:v>
      </x:c>
      <x:c r="D51" t="s">
        <x:v>474</x:v>
      </x:c>
      <x:c r="E51" t="s">
        <x:v>469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233</x:v>
      </x:c>
      <x:c r="M51">
        <x:v>0</x:v>
      </x:c>
      <x:c r="P51">
        <x:v>14</x:v>
      </x:c>
    </x:row>
    <x:row r="52">
      <x:c r="A52" t="s">
        <x:v>475</x:v>
      </x:c>
      <x:c r="B52" t="s">
        <x:v>459</x:v>
      </x:c>
      <x:c r="C52" t="s">
        <x:v>476</x:v>
      </x:c>
      <x:c r="D52" t="s">
        <x:v>477</x:v>
      </x:c>
      <x:c r="E52" t="s">
        <x:v>472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233</x:v>
      </x:c>
      <x:c r="M52">
        <x:v>0</x:v>
      </x:c>
      <x:c r="P52">
        <x:v>16</x:v>
      </x:c>
    </x:row>
    <x:row r="53">
      <x:c r="A53" t="s">
        <x:v>478</x:v>
      </x:c>
      <x:c r="B53" t="s">
        <x:v>459</x:v>
      </x:c>
      <x:c r="C53" t="s">
        <x:v>479</x:v>
      </x:c>
      <x:c r="D53" t="s">
        <x:v>480</x:v>
      </x:c>
      <x:c r="E53" t="s">
        <x:v>475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233</x:v>
      </x:c>
      <x:c r="M53">
        <x:v>0</x:v>
      </x:c>
      <x:c r="P53">
        <x:v>10</x:v>
      </x:c>
    </x:row>
    <x:row r="54">
      <x:c r="A54" t="s">
        <x:v>481</x:v>
      </x:c>
      <x:c r="B54" t="s">
        <x:v>482</x:v>
      </x:c>
      <x:c r="C54" t="s">
        <x:v>483</x:v>
      </x:c>
      <x:c r="D54" t="s">
        <x:v>484</x:v>
      </x:c>
      <x:c r="E54" t="s">
        <x:v>478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233</x:v>
      </x:c>
      <x:c r="M54">
        <x:v>0</x:v>
      </x:c>
      <x:c r="P54">
        <x:v>6</x:v>
      </x:c>
    </x:row>
    <x:row r="55">
      <x:c r="A55" t="s">
        <x:v>485</x:v>
      </x:c>
      <x:c r="B55" t="s">
        <x:v>482</x:v>
      </x:c>
      <x:c r="C55" t="s">
        <x:v>486</x:v>
      </x:c>
      <x:c r="D55" t="s">
        <x:v>487</x:v>
      </x:c>
      <x:c r="E55" t="s">
        <x:v>481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233</x:v>
      </x:c>
      <x:c r="M55">
        <x:v>0</x:v>
      </x:c>
      <x:c r="P55">
        <x:v>10</x:v>
      </x:c>
    </x:row>
    <x:row r="56">
      <x:c r="A56" t="s">
        <x:v>488</x:v>
      </x:c>
      <x:c r="B56" t="s">
        <x:v>482</x:v>
      </x:c>
      <x:c r="C56" t="s">
        <x:v>489</x:v>
      </x:c>
      <x:c r="D56" t="s">
        <x:v>490</x:v>
      </x:c>
      <x:c r="E56" t="s">
        <x:v>485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233</x:v>
      </x:c>
      <x:c r="M56">
        <x:v>0</x:v>
      </x:c>
      <x:c r="P56">
        <x:v>14</x:v>
      </x:c>
    </x:row>
    <x:row r="57">
      <x:c r="A57" t="s">
        <x:v>491</x:v>
      </x:c>
      <x:c r="B57" t="s">
        <x:v>482</x:v>
      </x:c>
      <x:c r="C57" t="s">
        <x:v>492</x:v>
      </x:c>
      <x:c r="D57" t="s">
        <x:v>493</x:v>
      </x:c>
      <x:c r="E57" t="s">
        <x:v>488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233</x:v>
      </x:c>
      <x:c r="M57">
        <x:v>0</x:v>
      </x:c>
      <x:c r="P57">
        <x:v>8</x:v>
      </x:c>
    </x:row>
    <x:row r="58">
      <x:c r="A58" t="s">
        <x:v>494</x:v>
      </x:c>
      <x:c r="B58" t="s">
        <x:v>482</x:v>
      </x:c>
      <x:c r="C58" t="s">
        <x:v>495</x:v>
      </x:c>
      <x:c r="D58" t="s">
        <x:v>496</x:v>
      </x:c>
      <x:c r="E58" t="s">
        <x:v>491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233</x:v>
      </x:c>
      <x:c r="M58">
        <x:v>0</x:v>
      </x:c>
      <x:c r="P58">
        <x:v>10</x:v>
      </x:c>
    </x:row>
    <x:row r="59">
      <x:c r="A59" t="s">
        <x:v>497</x:v>
      </x:c>
      <x:c r="B59" t="s">
        <x:v>482</x:v>
      </x:c>
      <x:c r="C59" t="s">
        <x:v>498</x:v>
      </x:c>
      <x:c r="D59" t="s">
        <x:v>499</x:v>
      </x:c>
      <x:c r="E59" t="s">
        <x:v>494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233</x:v>
      </x:c>
      <x:c r="M59">
        <x:v>0</x:v>
      </x:c>
      <x:c r="P59">
        <x:v>4</x:v>
      </x:c>
    </x:row>
    <x:row r="60">
      <x:c r="A60" t="s">
        <x:v>500</x:v>
      </x:c>
      <x:c r="B60" t="s">
        <x:v>501</x:v>
      </x:c>
      <x:c r="C60" t="s">
        <x:v>502</x:v>
      </x:c>
      <x:c r="D60" t="s">
        <x:v>503</x:v>
      </x:c>
      <x:c r="E60" t="s">
        <x:v>497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233</x:v>
      </x:c>
      <x:c r="M60">
        <x:v>0</x:v>
      </x:c>
      <x:c r="P60">
        <x:v>12</x:v>
      </x:c>
    </x:row>
    <x:row r="61">
      <x:c r="A61" t="s">
        <x:v>504</x:v>
      </x:c>
      <x:c r="B61" t="s">
        <x:v>501</x:v>
      </x:c>
      <x:c r="C61" t="s">
        <x:v>505</x:v>
      </x:c>
      <x:c r="D61" t="s">
        <x:v>506</x:v>
      </x:c>
      <x:c r="E61" t="s">
        <x:v>500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233</x:v>
      </x:c>
      <x:c r="M61">
        <x:v>0</x:v>
      </x:c>
      <x:c r="P61">
        <x:v>10</x:v>
      </x:c>
    </x:row>
    <x:row r="62">
      <x:c r="A62" t="s">
        <x:v>507</x:v>
      </x:c>
      <x:c r="B62" t="s">
        <x:v>501</x:v>
      </x:c>
      <x:c r="C62" t="s">
        <x:v>508</x:v>
      </x:c>
      <x:c r="D62" t="s">
        <x:v>509</x:v>
      </x:c>
      <x:c r="E62" t="s">
        <x:v>500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233</x:v>
      </x:c>
      <x:c r="M62">
        <x:v>0</x:v>
      </x:c>
      <x:c r="P62">
        <x:v>10</x:v>
      </x:c>
    </x:row>
    <x:row r="63">
      <x:c r="A63" t="s">
        <x:v>510</x:v>
      </x:c>
      <x:c r="B63" t="s">
        <x:v>501</x:v>
      </x:c>
      <x:c r="C63" t="s">
        <x:v>511</x:v>
      </x:c>
      <x:c r="D63" t="s">
        <x:v>512</x:v>
      </x:c>
      <x:c r="E63" t="s">
        <x:v>504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233</x:v>
      </x:c>
      <x:c r="M63">
        <x:v>0</x:v>
      </x:c>
      <x:c r="P63">
        <x:v>10</x:v>
      </x:c>
    </x:row>
    <x:row r="64">
      <x:c r="A64" t="s">
        <x:v>513</x:v>
      </x:c>
      <x:c r="B64" t="s">
        <x:v>501</x:v>
      </x:c>
      <x:c r="C64" t="s">
        <x:v>514</x:v>
      </x:c>
      <x:c r="D64" t="s">
        <x:v>515</x:v>
      </x:c>
      <x:c r="E64" t="s">
        <x:v>507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233</x:v>
      </x:c>
      <x:c r="M64">
        <x:v>0</x:v>
      </x:c>
      <x:c r="P64">
        <x:v>8</x:v>
      </x:c>
    </x:row>
    <x:row r="65">
      <x:c r="A65" t="s">
        <x:v>516</x:v>
      </x:c>
      <x:c r="B65" t="s">
        <x:v>501</x:v>
      </x:c>
      <x:c r="C65" t="s">
        <x:v>517</x:v>
      </x:c>
      <x:c r="D65" t="s">
        <x:v>518</x:v>
      </x:c>
      <x:c r="E65" t="s">
        <x:v>510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233</x:v>
      </x:c>
      <x:c r="M65">
        <x:v>0</x:v>
      </x:c>
      <x:c r="P65">
        <x:v>6</x:v>
      </x:c>
    </x:row>
    <x:row r="66">
      <x:c r="A66" t="s">
        <x:v>519</x:v>
      </x:c>
      <x:c r="B66" t="s">
        <x:v>501</x:v>
      </x:c>
      <x:c r="C66" t="s">
        <x:v>520</x:v>
      </x:c>
      <x:c r="D66" t="s">
        <x:v>521</x:v>
      </x:c>
      <x:c r="E66" t="s">
        <x:v>513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233</x:v>
      </x:c>
      <x:c r="M66">
        <x:v>0</x:v>
      </x:c>
      <x:c r="P66">
        <x:v>4</x:v>
      </x:c>
    </x:row>
    <x:row r="69">
      <x:c r="A69" t="s">
        <x:v>522</x:v>
      </x:c>
    </x:row>
    <x:row r="70">
      <x:c r="A70" t="s">
        <x:v>109</x:v>
      </x:c>
      <x:c r="B70" t="s">
        <x:v>66</x:v>
      </x:c>
      <x:c r="C70" t="s">
        <x:v>523</x:v>
      </x:c>
      <x:c r="D70" t="s">
        <x:v>524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525</x:v>
      </x:c>
      <x:c r="J70" t="s">
        <x:v>526</x:v>
      </x:c>
      <x:c r="K70" t="s">
        <x:v>527</x:v>
      </x:c>
      <x:c r="L70" t="s">
        <x:v>528</x:v>
      </x:c>
      <x:c r="M70" t="s">
        <x:v>529</x:v>
      </x:c>
      <x:c r="N70" t="s">
        <x:v>530</x:v>
      </x:c>
      <x:c r="O70" t="s">
        <x:v>531</x:v>
      </x:c>
      <x:c r="P70" t="s">
        <x:v>532</x:v>
      </x:c>
      <x:c r="Q70" t="s">
        <x:v>533</x:v>
      </x:c>
      <x:c r="R70" t="s">
        <x:v>534</x:v>
      </x:c>
      <x:c r="S70" t="s">
        <x:v>535</x:v>
      </x:c>
      <x:c r="T70" t="s">
        <x:v>536</x:v>
      </x:c>
    </x:row>
    <x:row r="71">
      <x:c r="A71" t="s">
        <x:v>82</x:v>
      </x:c>
      <x:c r="B71" t="s">
        <x:v>353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537</x:v>
      </x:c>
      <x:c r="H71" t="s">
        <x:v>538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378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539</x:v>
      </x:c>
      <x:c r="H72" t="s">
        <x:v>540</x:v>
      </x:c>
      <x:c r="I72" t="s">
        <x:v>86</x:v>
      </x:c>
      <x:c r="J72" t="s">
        <x:v>86</x:v>
      </x:c>
    </x:row>
    <x:row r="73">
      <x:c r="A73" t="s">
        <x:v>9</x:v>
      </x:c>
      <x:c r="B73" t="s">
        <x:v>395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541</x:v>
      </x:c>
      <x:c r="H73" t="s">
        <x:v>542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419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543</x:v>
      </x:c>
      <x:c r="H74" t="s">
        <x:v>544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440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545</x:v>
      </x:c>
      <x:c r="H75" t="s">
        <x:v>546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459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547</x:v>
      </x:c>
      <x:c r="H76" t="s">
        <x:v>548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482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549</x:v>
      </x:c>
      <x:c r="H77" t="s">
        <x:v>550</x:v>
      </x:c>
      <x:c r="R77" t="s">
        <x:v>86</x:v>
      </x:c>
      <x:c r="S77" t="s">
        <x:v>86</x:v>
      </x:c>
    </x:row>
    <x:row r="78">
      <x:c r="A78" t="s">
        <x:v>25</x:v>
      </x:c>
      <x:c r="B78" t="s">
        <x:v>501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551</x:v>
      </x:c>
      <x:c r="H78" t="s">
        <x:v>552</x:v>
      </x:c>
      <x:c r="S78" t="s">
        <x:v>86</x:v>
      </x:c>
      <x:c r="T78" t="s">
        <x:v>86</x:v>
      </x:c>
    </x:row>
    <x:row r="79">
      <x:c r="A79" t="s">
        <x:v>553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554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555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556</x:v>
      </x:c>
      <x:c r="B4" s="80" t="s">
        <x:v>557</x:v>
      </x:c>
      <x:c r="C4" s="80" t="s">
        <x:v>70</x:v>
      </x:c>
      <x:c r="D4" s="80" t="s">
        <x:v>558</x:v>
      </x:c>
      <x:c r="E4" s="80" t="s">
        <x:v>559</x:v>
      </x:c>
      <x:c r="F4" s="80" t="s">
        <x:v>68</x:v>
      </x:c>
      <x:c r="G4" s="80" t="s">
        <x:v>560</x:v>
      </x:c>
      <x:c r="H4" s="80" t="s">
        <x:v>117</x:v>
      </x:c>
      <x:c r="I4" s="80" t="s">
        <x:v>561</x:v>
      </x:c>
      <x:c r="J4" s="80" t="s">
        <x:v>562</x:v>
      </x:c>
      <x:c r="K4" s="80" t="s">
        <x:v>563</x:v>
      </x:c>
      <x:c r="L4" s="80" t="s">
        <x:v>121</x:v>
      </x:c>
      <x:c r="M4" s="80" t="s">
        <x:v>564</x:v>
      </x:c>
    </x:row>
    <x:row r="5" ht="42.75">
      <x:c r="A5" s="83" t="s">
        <x:v>565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356</x:v>
      </x:c>
      <x:c r="I5" s="83" t="s">
        <x:v>566</x:v>
      </x:c>
      <x:c r="J5" s="83" t="s">
        <x:v>567</x:v>
      </x:c>
      <x:c r="K5" s="83" t="s">
        <x:v>568</x:v>
      </x:c>
      <x:c r="L5" s="83" t="s">
        <x:v>569</x:v>
      </x:c>
      <x:c r="M5" s="83" t="s">
        <x:v>570</x:v>
      </x:c>
    </x:row>
    <x:row r="6" ht="42.75">
      <x:c r="A6" s="83" t="s">
        <x:v>571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356</x:v>
      </x:c>
      <x:c r="I6" s="83" t="s">
        <x:v>572</x:v>
      </x:c>
      <x:c r="J6" s="83" t="s">
        <x:v>573</x:v>
      </x:c>
      <x:c r="K6" s="83" t="s">
        <x:v>574</x:v>
      </x:c>
      <x:c r="L6" s="83" t="s">
        <x:v>575</x:v>
      </x:c>
      <x:c r="M6" s="83" t="s">
        <x:v>576</x:v>
      </x:c>
    </x:row>
    <x:row r="7" ht="42.75">
      <x:c r="A7" s="83" t="s">
        <x:v>577</x:v>
      </x:c>
      <x:c r="B7" s="84">
        <x:v>46207</x:v>
      </x:c>
      <x:c r="C7" s="83" t="s">
        <x:v>578</x:v>
      </x:c>
      <x:c r="D7" s="83" t="s">
        <x:v>579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356</x:v>
      </x:c>
      <x:c r="I7" s="83" t="s">
        <x:v>580</x:v>
      </x:c>
      <x:c r="J7" s="83" t="s">
        <x:v>581</x:v>
      </x:c>
      <x:c r="K7" s="83" t="s">
        <x:v>582</x:v>
      </x:c>
      <x:c r="L7" s="83" t="s">
        <x:v>583</x:v>
      </x:c>
      <x:c r="M7" s="83" t="s">
        <x:v>584</x:v>
      </x:c>
    </x:row>
    <x:row r="8" ht="57">
      <x:c r="A8" s="83" t="s">
        <x:v>585</x:v>
      </x:c>
      <x:c r="B8" s="84">
        <x:v>46207</x:v>
      </x:c>
      <x:c r="C8" s="83" t="s">
        <x:v>579</x:v>
      </x:c>
      <x:c r="D8" s="83" t="s">
        <x:v>586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356</x:v>
      </x:c>
      <x:c r="I8" s="83" t="s">
        <x:v>587</x:v>
      </x:c>
      <x:c r="J8" s="83" t="s">
        <x:v>588</x:v>
      </x:c>
      <x:c r="K8" s="83" t="s">
        <x:v>589</x:v>
      </x:c>
      <x:c r="L8" s="83" t="s">
        <x:v>590</x:v>
      </x:c>
      <x:c r="M8" s="83" t="s">
        <x:v>591</x:v>
      </x:c>
    </x:row>
    <x:row r="9" ht="42.75">
      <x:c r="A9" s="83" t="s">
        <x:v>592</x:v>
      </x:c>
      <x:c r="B9" s="84">
        <x:v>46207</x:v>
      </x:c>
      <x:c r="C9" s="83" t="s">
        <x:v>586</x:v>
      </x:c>
      <x:c r="D9" s="83" t="s">
        <x:v>593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356</x:v>
      </x:c>
      <x:c r="I9" s="83" t="s">
        <x:v>594</x:v>
      </x:c>
      <x:c r="J9" s="83" t="s">
        <x:v>595</x:v>
      </x:c>
      <x:c r="K9" s="83" t="s">
        <x:v>596</x:v>
      </x:c>
      <x:c r="L9" s="83" t="s">
        <x:v>597</x:v>
      </x:c>
      <x:c r="M9" s="83" t="s">
        <x:v>598</x:v>
      </x:c>
    </x:row>
    <x:row r="10" ht="42.75">
      <x:c r="A10" s="83" t="s">
        <x:v>599</x:v>
      </x:c>
      <x:c r="B10" s="84">
        <x:v>46207</x:v>
      </x:c>
      <x:c r="C10" s="83" t="s">
        <x:v>593</x:v>
      </x:c>
      <x:c r="D10" s="83" t="s">
        <x:v>600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356</x:v>
      </x:c>
      <x:c r="I10" s="83" t="s">
        <x:v>601</x:v>
      </x:c>
      <x:c r="J10" s="83" t="s">
        <x:v>602</x:v>
      </x:c>
      <x:c r="K10" s="83" t="s">
        <x:v>603</x:v>
      </x:c>
      <x:c r="L10" s="83" t="s">
        <x:v>604</x:v>
      </x:c>
      <x:c r="M10" s="83" t="s">
        <x:v>605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 t="str">
        <x:v>WB-010</x:v>
      </x:c>
      <x:c r="B14" s="84" t="n">
        <x:v>46208</x:v>
      </x:c>
      <x:c r="C14" s="83" t="str">
        <x:v>10:04 AM</x:v>
      </x:c>
      <x:c r="D14" s="83" t="str">
        <x:v>12:55 PM</x:v>
      </x:c>
      <x:c r="E14" s="83" t="str">
        <x:v>1.3</x:v>
      </x:c>
      <x:c r="F14" s="85" t="n">
        <x:v>2.85</x:v>
      </x:c>
      <x:c r="G14" s="178" t="n">
        <x:v>1</x:v>
      </x:c>
      <x:c r="H14" s="83" t="str">
        <x:v>Complete</x:v>
      </x:c>
      <x:c r="I14" s="83" t="str">
        <x:v>Implement, verify, merge, and operationally close the deterministic non-numeric check engine.</x:v>
      </x:c>
      <x:c r="J14" s="83" t="str">
        <x:v>CheckResult records and dispatch for exact_match, boolean_equals, set_equals, and contains_all were verified by 12 focused tests and 50 total tests; PR #8 merged to main in 7222c81.</x:v>
      </x:c>
      <x:c r="K14" s="83" t="str">
        <x:v>Comparison remains independent of loading. Exact matching is JSON-type-sensitive; set equality ignores order/duplicate count; missing candidate paths fail; invalid reference/configuration raises CheckConfigurationError. No blocker.</x:v>
      </x:c>
      <x:c r="L14" s="83" t="str">
        <x:v>Begin WBS 1.4 on feature/numeric-tolerance-checks; implement numeric_close and boundary/configuration tests.</x:v>
      </x:c>
      <x:c r="M14" s="83" t="str">
        <x:v>53f96cc — feature implementation; PR #8 / merge 7222c81; 269a070 — Gantt progress update</x:v>
      </x:c>
    </x:row>
    <x:row r="15">
      <x:c r="A15" s="83" t="str">
        <x:v>WB-011</x:v>
      </x:c>
      <x:c r="B15" s="84" t="n">
        <x:v>46208</x:v>
      </x:c>
      <x:c r="C15" s="83" t="str">
        <x:v>12:55 PM</x:v>
      </x:c>
      <x:c r="D15" s="83" t="str">
        <x:v>1:29 PM</x:v>
      </x:c>
      <x:c r="E15" s="83" t="str">
        <x:v>1.4</x:v>
      </x:c>
      <x:c r="F15" s="85" t="n">
        <x:v>0.5</x:v>
      </x:c>
      <x:c r="G15" s="178" t="n">
        <x:v>1</x:v>
      </x:c>
      <x:c r="H15" s="83" t="str">
        <x:v>Complete</x:v>
      </x:c>
      <x:c r="I15" s="83" t="str">
        <x:v>Implement, verify, merge, and operationally close numeric tolerance checks.</x:v>
      </x:c>
      <x:c r="J15" s="83" t="str">
        <x:v>numeric_close now supports evaluator-declared absolute tolerance, inclusive boundary behaviour, structured difference/tolerance evidence, and controlled numeric/configuration failures; 11 focused numeric tests, 11 deterministic-check tests, and 60 total tests passed.</x:v>
      </x:c>
      <x:c r="K15" s="83" t="str">
        <x:v>The exact tolerance boundary passes. Boolean and non-finite values are not valid numbers. Invalid candidate numeric values fail the check; invalid reference values or tolerance definitions raise CheckConfigurationError. No blocker.</x:v>
      </x:c>
      <x:c r="L15" s="83" t="str">
        <x:v>Begin WBS 1.5 on feature/weighted-scoring; combine gate and check results into score, pass/fail, failure modes, and structured evidence.</x:v>
      </x:c>
      <x:c r="M15" s="83" t="str">
        <x:v>31015c9 — feature implementation; PR #9 / merge 1fbb45d</x:v>
      </x:c>
    </x:row>
    <x:row r="16">
      <x:c r="A16" s="83" t="str">
        <x:v>WB-012</x:v>
      </x:c>
      <x:c r="B16" s="84" t="n">
        <x:v>46208</x:v>
      </x:c>
      <x:c r="C16" s="83" t="str">
        <x:v>1:29 PM</x:v>
      </x:c>
      <x:c r="D16" s="83" t="str">
        <x:v>1:48 PM</x:v>
      </x:c>
      <x:c r="E16" s="83" t="str">
        <x:v>1.5</x:v>
      </x:c>
      <x:c r="F16" s="85" t="n">
        <x:v>0.32</x:v>
      </x:c>
      <x:c r="G16" s="178" t="n">
        <x:v>1</x:v>
      </x:c>
      <x:c r="H16" s="83" t="str">
        <x:v>Complete</x:v>
      </x:c>
      <x:c r="I16" s="83" t="str">
        <x:v>Implement, verify, merge, and operationally close weighted scoring and structured failure evidence.</x:v>
      </x:c>
      <x:c r="J16" s="83" t="str">
        <x:v>Added a separate scoring module for gate_then_weighted_checks; failed gates force score 0.0; passed check weights determine score; evaluator pass_threshold determines overall pass/fail; gate/check failure evidence is preserved. Seventeen focused tests and 77 total tests passed.</x:v>
      </x:c>
      <x:c r="K16" s="83" t="str">
        <x:v>Use inclusive threshold comparison. Evaluator weights must sum to 1.0. Gate failure may terminate without check results; malformed scoring inputs fail with ScoringConfigurationError. No blocker.</x:v>
      </x:c>
      <x:c r="L16" s="83" t="str">
        <x:v>Begin WBS 2.1 on feature/evaluate-cli; integrate candidate loading, mandatory gates, deterministic checks, and weighted scoring into one stable CLI command.</x:v>
      </x:c>
      <x:c r="M16" s="83" t="str">
        <x:v>bd34af8 — feature implementation; PR #10 / merge 27a8e59</x:v>
      </x:c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606</x:v>
      </x:c>
      <x:c r="B3" s="80" t="s">
        <x:v>557</x:v>
      </x:c>
      <x:c r="C3" s="80" t="s">
        <x:v>607</x:v>
      </x:c>
      <x:c r="D3" s="80" t="s">
        <x:v>608</x:v>
      </x:c>
      <x:c r="E3" s="80" t="s">
        <x:v>117</x:v>
      </x:c>
      <x:c r="F3" s="80" t="s">
        <x:v>609</x:v>
      </x:c>
      <x:c r="G3" s="80" t="s">
        <x:v>610</x:v>
      </x:c>
      <x:c r="H3" s="80" t="s">
        <x:v>611</x:v>
      </x:c>
    </x:row>
    <x:row r="4" ht="28.5">
      <x:c r="A4" s="78" t="s">
        <x:v>612</x:v>
      </x:c>
      <x:c r="B4" s="81">
        <x:v>46200</x:v>
      </x:c>
      <x:c r="C4" s="78" t="s">
        <x:v>613</x:v>
      </x:c>
      <x:c r="D4" s="78" t="s">
        <x:v>614</x:v>
      </x:c>
      <x:c r="E4" s="78" t="s">
        <x:v>615</x:v>
      </x:c>
      <x:c r="F4" s="78" t="s">
        <x:v>616</x:v>
      </x:c>
      <x:c r="G4" s="78" t="s">
        <x:v>617</x:v>
      </x:c>
      <x:c r="H4" s="78" t="s">
        <x:v>618</x:v>
      </x:c>
    </x:row>
    <x:row r="5" ht="28.5">
      <x:c r="A5" s="78" t="s">
        <x:v>619</x:v>
      </x:c>
      <x:c r="B5" s="81">
        <x:v>46200</x:v>
      </x:c>
      <x:c r="C5" s="78" t="s">
        <x:v>620</x:v>
      </x:c>
      <x:c r="D5" s="78" t="s">
        <x:v>621</x:v>
      </x:c>
      <x:c r="E5" s="78" t="s">
        <x:v>615</x:v>
      </x:c>
      <x:c r="F5" s="78" t="s">
        <x:v>616</x:v>
      </x:c>
      <x:c r="G5" s="78" t="s">
        <x:v>318</x:v>
      </x:c>
      <x:c r="H5" s="78" t="s">
        <x:v>622</x:v>
      </x:c>
    </x:row>
    <x:row r="6" ht="28.5">
      <x:c r="A6" s="78" t="s">
        <x:v>623</x:v>
      </x:c>
      <x:c r="B6" s="81">
        <x:v>46207</x:v>
      </x:c>
      <x:c r="C6" s="78" t="s">
        <x:v>624</x:v>
      </x:c>
      <x:c r="D6" s="78" t="s">
        <x:v>625</x:v>
      </x:c>
      <x:c r="E6" s="78" t="s">
        <x:v>615</x:v>
      </x:c>
      <x:c r="F6" s="78" t="s">
        <x:v>129</x:v>
      </x:c>
      <x:c r="G6" s="78" t="s">
        <x:v>626</x:v>
      </x:c>
      <x:c r="H6" s="78" t="s">
        <x:v>627</x:v>
      </x:c>
    </x:row>
    <x:row r="7" ht="28.5">
      <x:c r="A7" s="78" t="s">
        <x:v>628</x:v>
      </x:c>
      <x:c r="B7" s="81">
        <x:v>46207</x:v>
      </x:c>
      <x:c r="C7" s="78" t="s">
        <x:v>629</x:v>
      </x:c>
      <x:c r="D7" s="78" t="s">
        <x:v>630</x:v>
      </x:c>
      <x:c r="E7" s="78" t="s">
        <x:v>615</x:v>
      </x:c>
      <x:c r="F7" s="78" t="s">
        <x:v>631</x:v>
      </x:c>
      <x:c r="G7" s="78" t="s">
        <x:v>632</x:v>
      </x:c>
      <x:c r="H7" s="78" t="s">
        <x:v>633</x:v>
      </x:c>
    </x:row>
    <x:row r="8" ht="28.5">
      <x:c r="A8" s="78" t="s">
        <x:v>634</x:v>
      </x:c>
      <x:c r="B8" s="81">
        <x:v>46207</x:v>
      </x:c>
      <x:c r="C8" s="78" t="s">
        <x:v>254</x:v>
      </x:c>
      <x:c r="D8" s="78" t="s">
        <x:v>635</x:v>
      </x:c>
      <x:c r="E8" s="78" t="s">
        <x:v>615</x:v>
      </x:c>
      <x:c r="F8" s="78" t="s">
        <x:v>636</x:v>
      </x:c>
      <x:c r="G8" s="78" t="s">
        <x:v>637</x:v>
      </x:c>
      <x:c r="H8" s="78" t="s">
        <x:v>638</x:v>
      </x:c>
    </x:row>
    <x:row r="9" ht="28.5">
      <x:c r="A9" s="78" t="s">
        <x:v>639</x:v>
      </x:c>
      <x:c r="B9" s="81">
        <x:v>46207</x:v>
      </x:c>
      <x:c r="C9" s="78" t="s">
        <x:v>640</x:v>
      </x:c>
      <x:c r="D9" s="78" t="s">
        <x:v>641</x:v>
      </x:c>
      <x:c r="E9" s="78" t="s">
        <x:v>615</x:v>
      </x:c>
      <x:c r="F9" s="78" t="s">
        <x:v>642</x:v>
      </x:c>
      <x:c r="G9" s="78" t="s">
        <x:v>643</x:v>
      </x:c>
      <x:c r="H9" s="78" t="s">
        <x:v>644</x:v>
      </x:c>
    </x:row>
    <x:row r="10" ht="28.5">
      <x:c r="A10" s="78" t="s">
        <x:v>645</x:v>
      </x:c>
      <x:c r="B10" s="81">
        <x:v>46207</x:v>
      </x:c>
      <x:c r="C10" s="78" t="s">
        <x:v>646</x:v>
      </x:c>
      <x:c r="D10" s="78" t="s">
        <x:v>647</x:v>
      </x:c>
      <x:c r="E10" s="78" t="s">
        <x:v>615</x:v>
      </x:c>
      <x:c r="F10" s="78" t="s">
        <x:v>648</x:v>
      </x:c>
      <x:c r="G10" s="78" t="s">
        <x:v>649</x:v>
      </x:c>
      <x:c r="H10" s="78" t="s">
        <x:v>650</x:v>
      </x:c>
    </x:row>
    <x:row r="11" ht="28.5">
      <x:c r="A11" s="78" t="s">
        <x:v>651</x:v>
      </x:c>
      <x:c r="B11" s="81">
        <x:v>46207</x:v>
      </x:c>
      <x:c r="C11" s="78" t="s">
        <x:v>652</x:v>
      </x:c>
      <x:c r="D11" s="78" t="s">
        <x:v>653</x:v>
      </x:c>
      <x:c r="E11" s="78" t="s">
        <x:v>615</x:v>
      </x:c>
      <x:c r="F11" s="78" t="s">
        <x:v>654</x:v>
      </x:c>
      <x:c r="G11" s="78" t="s">
        <x:v>312</x:v>
      </x:c>
      <x:c r="H11" s="78" t="s">
        <x:v>655</x:v>
      </x:c>
    </x:row>
    <x:row r="12" ht="62.099998474121094" customHeight="1">
      <x:c r="A12" s="182" t="s">
        <x:v>656</x:v>
      </x:c>
      <x:c r="B12" s="196">
        <x:v>46208</x:v>
      </x:c>
      <x:c r="C12" s="183" t="s">
        <x:v>657</x:v>
      </x:c>
      <x:c r="D12" s="183" t="s">
        <x:v>658</x:v>
      </x:c>
      <x:c r="E12" s="183" t="s">
        <x:v>615</x:v>
      </x:c>
      <x:c r="F12" s="183" t="s">
        <x:v>659</x:v>
      </x:c>
      <x:c r="G12" s="183" t="s">
        <x:v>660</x:v>
      </x:c>
      <x:c r="H12" s="184" t="s">
        <x:v>661</x:v>
      </x:c>
    </x:row>
    <x:row r="13" ht="62.099998474121094" customHeight="1">
      <x:c r="A13" s="187" t="s">
        <x:v>662</x:v>
      </x:c>
      <x:c r="B13" s="197">
        <x:v>46208</x:v>
      </x:c>
      <x:c r="C13" s="188" t="s">
        <x:v>663</x:v>
      </x:c>
      <x:c r="D13" s="188" t="s">
        <x:v>664</x:v>
      </x:c>
      <x:c r="E13" s="188" t="s">
        <x:v>615</x:v>
      </x:c>
      <x:c r="F13" s="188" t="s">
        <x:v>665</x:v>
      </x:c>
      <x:c r="G13" s="188" t="s">
        <x:v>666</x:v>
      </x:c>
      <x:c r="H13" s="189" t="s">
        <x:v>667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 t="str">
        <x:v>D-013</x:v>
      </x:c>
      <x:c r="B16" s="78" t="n">
        <x:v>46208</x:v>
      </x:c>
      <x:c r="C16" s="78" t="str">
        <x:v>Keep deterministic comparison logic pure: pass candidate payload, reference payload, and evaluator data rather than loader objects or file paths.</x:v>
      </x:c>
      <x:c r="D16" s="78" t="str">
        <x:v>Separating file loading/schema validation from comparison keeps the evaluator reusable across human-created, direct-model, scripted, and future agent artifacts.</x:v>
      </x:c>
      <x:c r="E16" s="78" t="str">
        <x:v>Active</x:v>
      </x:c>
      <x:c r="F16" s="78" t="str">
        <x:v>1.3–1.5</x:v>
      </x:c>
      <x:c r="G16" s="78" t="str">
        <x:v>53f96cc; src/mech_eval_harness/evaluation.py</x:v>
      </x:c>
      <x:c r="H16" s="78" t="str">
        <x:v>Revisit only if end-to-end orchestration exposes a concrete interface conflict.</x:v>
      </x:c>
    </x:row>
    <x:row r="17">
      <x:c r="A17" s="78" t="str">
        <x:v>D-014</x:v>
      </x:c>
      <x:c r="B17" s="78" t="n">
        <x:v>46208</x:v>
      </x:c>
      <x:c r="C17" s="78" t="str">
        <x:v>Use strict deterministic semantics: exact matching is JSON-type-sensitive; set equality ignores order and duplicate count; missing candidate paths fail the check; missing reference paths and unsupported kinds are configuration errors; numeric_close is deferred.</x:v>
      </x:c>
      <x:c r="D17" s="78" t="str">
        <x:v>These rules prevent Python type leakage and accidental success while keeping numeric tolerance work isolated to WBS 1.4.</x:v>
      </x:c>
      <x:c r="E17" s="78" t="str">
        <x:v>Superseded in part</x:v>
      </x:c>
      <x:c r="F17" s="78" t="str">
        <x:v>1.3–1.4</x:v>
      </x:c>
      <x:c r="G17" s="78" t="str">
        <x:v>53f96cc; 31015c9; PR #9 / merge 1fbb45d</x:v>
      </x:c>
      <x:c r="H17" s="78" t="str">
        <x:v>Non-numeric semantics remain active; numeric_close deferral was closed by D-015.</x:v>
      </x:c>
    </x:row>
    <x:row r="18">
      <x:c r="A18" s="78" t="str">
        <x:v>D-015</x:v>
      </x:c>
      <x:c r="B18" s="78" t="n">
        <x:v>46208</x:v>
      </x:c>
      <x:c r="C18" s="78" t="str">
        <x:v>Use evaluator-declared inclusive absolute tolerance for numeric_close; candidate numeric type failures are check failures, while invalid tolerance or reference numeric configuration raises CheckConfigurationError.</x:v>
      </x:c>
      <x:c r="D18" s="78" t="str">
        <x:v>This fails closed on evaluator defects, prevents Python Boolean/number leakage, and produces auditable expected/actual/difference/tolerance evidence.</x:v>
      </x:c>
      <x:c r="E18" s="78" t="str">
        <x:v>Active</x:v>
      </x:c>
      <x:c r="F18" s="78" t="str">
        <x:v>1.4–1.5</x:v>
      </x:c>
      <x:c r="G18" s="78" t="str">
        <x:v>31015c9; tests/test_numeric_tolerance.py; PR #9 / merge 1fbb45d</x:v>
      </x:c>
      <x:c r="H18" s="78" t="str">
        <x:v>Revisit only when real benchmark cases require relative tolerance, units conversion, or nested numeric schemas.</x:v>
      </x:c>
    </x:row>
    <x:row r="19">
      <x:c r="A19" s="78" t="str">
        <x:v>D-016</x:v>
      </x:c>
      <x:c r="B19" s="78" t="n">
        <x:v>46208</x:v>
      </x:c>
      <x:c r="C19" s="78" t="str">
        <x:v>Use gate_then_weighted_checks as the MVP scoring composition: a failed mandatory gate forces score 0.0; otherwise score equals the sum of passed check weights and overall pass uses the inclusive evaluator pass_threshold. Preserve failed gate/check evidence independently of overall pass/fail.</x:v>
      </x:c>
      <x:c r="D19" s="78" t="str">
        <x:v>This matches the existing evaluator schema and weight-sum validation, keeps component evidence auditable, permits low-weight failures when the declared threshold allows them, and fails closed on malformed scoring inputs.</x:v>
      </x:c>
      <x:c r="E19" s="78" t="str">
        <x:v>Active</x:v>
      </x:c>
      <x:c r="F19" s="78" t="str">
        <x:v>1.5–2.2</x:v>
      </x:c>
      <x:c r="G19" s="78" t="str">
        <x:v>bd34af8; PR #10 / merge 27a8e59; src/mech_eval_harness/scoring.py; tests/test_weighted_scoring.py</x:v>
      </x:c>
      <x:c r="H19" s="78" t="str">
        <x:v>Revisit only if real benchmark cases require another composition, partial gate scoring, severity-adjusted scoring, or non-binary check credit.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668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306</x:v>
      </x:c>
      <x:c r="C3" s="80" t="s">
        <x:v>669</x:v>
      </x:c>
      <x:c r="D3" s="80" t="s">
        <x:v>670</x:v>
      </x:c>
      <x:c r="E3" s="80" t="s">
        <x:v>671</x:v>
      </x:c>
      <x:c r="F3" s="80" t="s">
        <x:v>672</x:v>
      </x:c>
      <x:c r="G3" s="80" t="s">
        <x:v>673</x:v>
      </x:c>
      <x:c r="H3" s="80" t="s">
        <x:v>117</x:v>
      </x:c>
      <x:c r="I3" s="80" t="s">
        <x:v>674</x:v>
      </x:c>
      <x:c r="J3" s="80" t="s">
        <x:v>122</x:v>
      </x:c>
    </x:row>
    <x:row r="4" ht="28.5">
      <x:c r="A4" s="78" t="s">
        <x:v>675</x:v>
      </x:c>
      <x:c r="B4" s="78" t="s">
        <x:v>676</x:v>
      </x:c>
      <x:c r="C4" s="78" t="s">
        <x:v>677</x:v>
      </x:c>
      <x:c r="D4" s="78" t="s">
        <x:v>678</x:v>
      </x:c>
      <x:c r="E4" s="78" t="s">
        <x:v>678</x:v>
      </x:c>
      <x:c r="F4" s="78" t="s">
        <x:v>679</x:v>
      </x:c>
      <x:c r="G4" s="78" t="s">
        <x:v>680</x:v>
      </x:c>
      <x:c r="H4" s="78" t="s">
        <x:v>681</x:v>
      </x:c>
      <x:c r="I4" s="81">
        <x:v>46215</x:v>
      </x:c>
      <x:c r="J4" s="78" t="s">
        <x:v>682</x:v>
      </x:c>
    </x:row>
    <x:row r="5" ht="28.5">
      <x:c r="A5" s="78" t="s">
        <x:v>683</x:v>
      </x:c>
      <x:c r="B5" s="78" t="s">
        <x:v>676</x:v>
      </x:c>
      <x:c r="C5" s="78" t="s">
        <x:v>684</x:v>
      </x:c>
      <x:c r="D5" s="78" t="s">
        <x:v>678</x:v>
      </x:c>
      <x:c r="E5" s="78" t="s">
        <x:v>678</x:v>
      </x:c>
      <x:c r="F5" s="78" t="s">
        <x:v>679</x:v>
      </x:c>
      <x:c r="G5" s="78" t="s">
        <x:v>685</x:v>
      </x:c>
      <x:c r="H5" s="78" t="s">
        <x:v>686</x:v>
      </x:c>
      <x:c r="I5" s="81">
        <x:v>46215</x:v>
      </x:c>
      <x:c r="J5" s="78" t="s">
        <x:v>687</x:v>
      </x:c>
    </x:row>
    <x:row r="6" ht="28.5">
      <x:c r="A6" s="78" t="s">
        <x:v>688</x:v>
      </x:c>
      <x:c r="B6" s="78" t="s">
        <x:v>676</x:v>
      </x:c>
      <x:c r="C6" s="78" t="s">
        <x:v>689</x:v>
      </x:c>
      <x:c r="D6" s="78" t="s">
        <x:v>690</x:v>
      </x:c>
      <x:c r="E6" s="78" t="s">
        <x:v>678</x:v>
      </x:c>
      <x:c r="F6" s="78" t="s">
        <x:v>679</x:v>
      </x:c>
      <x:c r="G6" s="78" t="s">
        <x:v>691</x:v>
      </x:c>
      <x:c r="H6" s="78" t="s">
        <x:v>681</x:v>
      </x:c>
      <x:c r="I6" s="81">
        <x:v>46229</x:v>
      </x:c>
      <x:c r="J6" s="78" t="s">
        <x:v>692</x:v>
      </x:c>
    </x:row>
    <x:row r="7" ht="54" customHeight="1">
      <x:c r="A7" s="78" t="s">
        <x:v>693</x:v>
      </x:c>
      <x:c r="B7" s="78" t="s">
        <x:v>676</x:v>
      </x:c>
      <x:c r="C7" s="78" t="s">
        <x:v>694</x:v>
      </x:c>
      <x:c r="D7" s="78" t="s">
        <x:v>690</x:v>
      </x:c>
      <x:c r="E7" s="78" t="s">
        <x:v>678</x:v>
      </x:c>
      <x:c r="F7" s="78" t="s">
        <x:v>679</x:v>
      </x:c>
      <x:c r="G7" s="78" t="s">
        <x:v>695</x:v>
      </x:c>
      <x:c r="H7" s="78" t="s">
        <x:v>686</x:v>
      </x:c>
      <x:c r="I7" s="81">
        <x:v>46257</x:v>
      </x:c>
      <x:c r="J7" s="78" t="s">
        <x:v>696</x:v>
      </x:c>
    </x:row>
    <x:row r="8" ht="28.5">
      <x:c r="A8" s="78" t="s">
        <x:v>697</x:v>
      </x:c>
      <x:c r="B8" s="78" t="s">
        <x:v>676</x:v>
      </x:c>
      <x:c r="C8" s="78" t="s">
        <x:v>698</x:v>
      </x:c>
      <x:c r="D8" s="78" t="s">
        <x:v>690</x:v>
      </x:c>
      <x:c r="E8" s="78" t="s">
        <x:v>690</x:v>
      </x:c>
      <x:c r="F8" s="78" t="s">
        <x:v>679</x:v>
      </x:c>
      <x:c r="G8" s="78" t="s">
        <x:v>699</x:v>
      </x:c>
      <x:c r="H8" s="78" t="s">
        <x:v>681</x:v>
      </x:c>
      <x:c r="I8" s="81">
        <x:v>46222</x:v>
      </x:c>
      <x:c r="J8" s="78" t="s">
        <x:v>700</x:v>
      </x:c>
    </x:row>
    <x:row r="9" ht="28.5">
      <x:c r="A9" s="78" t="s">
        <x:v>701</x:v>
      </x:c>
      <x:c r="B9" s="78" t="s">
        <x:v>676</x:v>
      </x:c>
      <x:c r="C9" s="78" t="s">
        <x:v>702</x:v>
      </x:c>
      <x:c r="D9" s="78" t="s">
        <x:v>703</x:v>
      </x:c>
      <x:c r="E9" s="78" t="s">
        <x:v>678</x:v>
      </x:c>
      <x:c r="F9" s="78" t="s">
        <x:v>679</x:v>
      </x:c>
      <x:c r="G9" s="78" t="s">
        <x:v>704</x:v>
      </x:c>
      <x:c r="H9" s="78" t="s">
        <x:v>681</x:v>
      </x:c>
      <x:c r="I9" s="81">
        <x:v>46257</x:v>
      </x:c>
      <x:c r="J9" s="78" t="s">
        <x:v>705</x:v>
      </x:c>
    </x:row>
    <x:row r="10" ht="28.5">
      <x:c r="A10" s="78" t="s">
        <x:v>706</x:v>
      </x:c>
      <x:c r="B10" s="78" t="s">
        <x:v>707</x:v>
      </x:c>
      <x:c r="C10" s="78" t="s">
        <x:v>708</x:v>
      </x:c>
      <x:c r="D10" s="78" t="s">
        <x:v>709</x:v>
      </x:c>
      <x:c r="E10" s="78" t="s">
        <x:v>703</x:v>
      </x:c>
      <x:c r="F10" s="78" t="s">
        <x:v>679</x:v>
      </x:c>
      <x:c r="G10" s="78" t="s">
        <x:v>710</x:v>
      </x:c>
      <x:c r="H10" s="78" t="s">
        <x:v>711</x:v>
      </x:c>
      <x:c r="I10" s="81">
        <x:v>46208</x:v>
      </x:c>
      <x:c r="J10" s="78" t="s">
        <x:v>712</x:v>
      </x:c>
    </x:row>
    <x:row r="11" ht="28.5">
      <x:c r="A11" s="78" t="s">
        <x:v>713</x:v>
      </x:c>
      <x:c r="B11" s="78" t="s">
        <x:v>707</x:v>
      </x:c>
      <x:c r="C11" s="78" t="s">
        <x:v>714</x:v>
      </x:c>
      <x:c r="D11" s="78" t="s">
        <x:v>709</x:v>
      </x:c>
      <x:c r="E11" s="78" t="s">
        <x:v>690</x:v>
      </x:c>
      <x:c r="F11" s="78" t="s">
        <x:v>679</x:v>
      </x:c>
      <x:c r="G11" s="78" t="s">
        <x:v>715</x:v>
      </x:c>
      <x:c r="H11" s="78" t="s">
        <x:v>711</x:v>
      </x:c>
      <x:c r="I11" s="81">
        <x:v>46209</x:v>
      </x:c>
      <x:c r="J11" s="78" t="s">
        <x:v>716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717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718</x:v>
      </x:c>
      <x:c r="B3" s="80" t="s">
        <x:v>557</x:v>
      </x:c>
      <x:c r="C3" s="80" t="s">
        <x:v>109</x:v>
      </x:c>
      <x:c r="D3" s="80" t="s">
        <x:v>275</x:v>
      </x:c>
      <x:c r="E3" s="80" t="s">
        <x:v>306</x:v>
      </x:c>
      <x:c r="F3" s="80" t="s">
        <x:v>719</x:v>
      </x:c>
      <x:c r="G3" s="80" t="s">
        <x:v>720</x:v>
      </x:c>
      <x:c r="H3" s="80" t="s">
        <x:v>117</x:v>
      </x:c>
      <x:c r="I3" s="80" t="s">
        <x:v>122</x:v>
      </x:c>
    </x:row>
    <x:row r="4" ht="28.5">
      <x:c r="A4" s="78" t="s">
        <x:v>721</x:v>
      </x:c>
      <x:c r="B4" s="81">
        <x:v>46201</x:v>
      </x:c>
      <x:c r="C4" s="78" t="s">
        <x:v>123</x:v>
      </x:c>
      <x:c r="D4" s="78" t="s">
        <x:v>722</x:v>
      </x:c>
      <x:c r="E4" s="78" t="s">
        <x:v>723</x:v>
      </x:c>
      <x:c r="F4" s="78" t="s">
        <x:v>724</x:v>
      </x:c>
      <x:c r="G4" s="78" t="s">
        <x:v>725</x:v>
      </x:c>
      <x:c r="H4" s="78" t="s">
        <x:v>726</x:v>
      </x:c>
      <x:c r="I4" s="78" t="s">
        <x:v>727</x:v>
      </x:c>
    </x:row>
    <x:row r="5" ht="28.5">
      <x:c r="A5" s="78" t="s">
        <x:v>728</x:v>
      </x:c>
      <x:c r="B5" s="81">
        <x:v>46203</x:v>
      </x:c>
      <x:c r="C5" s="78" t="s">
        <x:v>129</x:v>
      </x:c>
      <x:c r="D5" s="78" t="s">
        <x:v>729</x:v>
      </x:c>
      <x:c r="E5" s="78" t="s">
        <x:v>730</x:v>
      </x:c>
      <x:c r="F5" s="78" t="s">
        <x:v>731</x:v>
      </x:c>
      <x:c r="G5" s="78" t="s">
        <x:v>732</x:v>
      </x:c>
      <x:c r="H5" s="78" t="s">
        <x:v>726</x:v>
      </x:c>
      <x:c r="I5" s="78" t="s">
        <x:v>733</x:v>
      </x:c>
    </x:row>
    <x:row r="6" ht="28.5">
      <x:c r="A6" s="78" t="s">
        <x:v>734</x:v>
      </x:c>
      <x:c r="B6" s="81">
        <x:v>46207</x:v>
      </x:c>
      <x:c r="C6" s="78" t="s">
        <x:v>134</x:v>
      </x:c>
      <x:c r="D6" s="78" t="s">
        <x:v>735</x:v>
      </x:c>
      <x:c r="E6" s="78" t="s">
        <x:v>736</x:v>
      </x:c>
      <x:c r="F6" s="78" t="s">
        <x:v>737</x:v>
      </x:c>
      <x:c r="G6" s="78" t="s">
        <x:v>738</x:v>
      </x:c>
      <x:c r="H6" s="78" t="s">
        <x:v>726</x:v>
      </x:c>
      <x:c r="I6" s="78" t="s">
        <x:v>739</x:v>
      </x:c>
    </x:row>
    <x:row r="7" ht="28.5">
      <x:c r="A7" s="78" t="s">
        <x:v>740</x:v>
      </x:c>
      <x:c r="B7" s="81">
        <x:v>46207</x:v>
      </x:c>
      <x:c r="C7" s="78" t="s">
        <x:v>134</x:v>
      </x:c>
      <x:c r="D7" s="78" t="s">
        <x:v>741</x:v>
      </x:c>
      <x:c r="E7" s="78" t="s">
        <x:v>742</x:v>
      </x:c>
      <x:c r="F7" s="78" t="s">
        <x:v>743</x:v>
      </x:c>
      <x:c r="G7" s="78" t="s">
        <x:v>744</x:v>
      </x:c>
      <x:c r="H7" s="78" t="s">
        <x:v>726</x:v>
      </x:c>
      <x:c r="I7" s="78" t="s">
        <x:v>745</x:v>
      </x:c>
    </x:row>
    <x:row r="8">
      <x:c r="A8" s="78" t="s">
        <x:v>746</x:v>
      </x:c>
      <x:c r="B8" s="81">
        <x:v>46207</x:v>
      </x:c>
      <x:c r="C8" s="78" t="s">
        <x:v>134</x:v>
      </x:c>
      <x:c r="D8" s="78" t="s">
        <x:v>747</x:v>
      </x:c>
      <x:c r="E8" s="78" t="s">
        <x:v>742</x:v>
      </x:c>
      <x:c r="F8" s="78" t="s">
        <x:v>748</x:v>
      </x:c>
      <x:c r="G8" s="78" t="s">
        <x:v>749</x:v>
      </x:c>
      <x:c r="H8" s="78" t="s">
        <x:v>726</x:v>
      </x:c>
      <x:c r="I8" s="78" t="s">
        <x:v>750</x:v>
      </x:c>
    </x:row>
    <x:row r="9">
      <x:c r="A9" s="78" t="s">
        <x:v>751</x:v>
      </x:c>
      <x:c r="B9" s="81">
        <x:v>46207</x:v>
      </x:c>
      <x:c r="C9" s="78" t="s">
        <x:v>134</x:v>
      </x:c>
      <x:c r="D9" s="78" t="s">
        <x:v>752</x:v>
      </x:c>
      <x:c r="E9" s="78" t="s">
        <x:v>742</x:v>
      </x:c>
      <x:c r="F9" s="78" t="s">
        <x:v>753</x:v>
      </x:c>
      <x:c r="G9" s="78" t="s">
        <x:v>754</x:v>
      </x:c>
      <x:c r="H9" s="78" t="s">
        <x:v>726</x:v>
      </x:c>
      <x:c r="I9" s="78" t="s">
        <x:v>755</x:v>
      </x:c>
    </x:row>
    <x:row r="10" ht="28.5">
      <x:c r="A10" s="78" t="s">
        <x:v>756</x:v>
      </x:c>
      <x:c r="B10" s="81">
        <x:v>46207</x:v>
      </x:c>
      <x:c r="C10" s="78" t="s">
        <x:v>129</x:v>
      </x:c>
      <x:c r="D10" s="78" t="s">
        <x:v>757</x:v>
      </x:c>
      <x:c r="E10" s="78" t="s">
        <x:v>758</x:v>
      </x:c>
      <x:c r="F10" s="78" t="s">
        <x:v>318</x:v>
      </x:c>
      <x:c r="G10" s="78" t="s">
        <x:v>759</x:v>
      </x:c>
      <x:c r="H10" s="78" t="s">
        <x:v>726</x:v>
      </x:c>
      <x:c r="I10" s="78" t="s">
        <x:v>760</x:v>
      </x:c>
    </x:row>
    <x:row r="11" ht="28.5">
      <x:c r="A11" s="78" t="s">
        <x:v>761</x:v>
      </x:c>
      <x:c r="B11" s="81">
        <x:v>46207</x:v>
      </x:c>
      <x:c r="C11" s="78" t="s">
        <x:v>129</x:v>
      </x:c>
      <x:c r="D11" s="78" t="s">
        <x:v>762</x:v>
      </x:c>
      <x:c r="E11" s="78" t="s">
        <x:v>311</x:v>
      </x:c>
      <x:c r="F11" s="78" t="s">
        <x:v>316</x:v>
      </x:c>
      <x:c r="G11" s="78" t="s">
        <x:v>763</x:v>
      </x:c>
      <x:c r="H11" s="78" t="s">
        <x:v>726</x:v>
      </x:c>
      <x:c r="I11" s="78" t="s">
        <x:v>764</x:v>
      </x:c>
    </x:row>
    <x:row r="12" ht="28.5">
      <x:c r="A12" s="78" t="s">
        <x:v>765</x:v>
      </x:c>
      <x:c r="B12" s="81">
        <x:v>46207</x:v>
      </x:c>
      <x:c r="C12" s="78" t="s">
        <x:v>129</x:v>
      </x:c>
      <x:c r="D12" s="78" t="s">
        <x:v>766</x:v>
      </x:c>
      <x:c r="E12" s="78" t="s">
        <x:v>767</x:v>
      </x:c>
      <x:c r="F12" s="78" t="s">
        <x:v>768</x:v>
      </x:c>
      <x:c r="G12" s="78" t="s">
        <x:v>84</x:v>
      </x:c>
      <x:c r="H12" s="78" t="s">
        <x:v>726</x:v>
      </x:c>
      <x:c r="I12" s="78" t="s">
        <x:v>769</x:v>
      </x:c>
    </x:row>
    <x:row r="13" ht="60" customHeight="1">
      <x:c r="A13" s="198" t="s">
        <x:v>770</x:v>
      </x:c>
      <x:c r="B13" s="199">
        <x:v>46208</x:v>
      </x:c>
      <x:c r="C13" s="200" t="s">
        <x:v>771</x:v>
      </x:c>
      <x:c r="D13" s="200" t="s">
        <x:v>772</x:v>
      </x:c>
      <x:c r="E13" s="200" t="s">
        <x:v>773</x:v>
      </x:c>
      <x:c r="F13" s="200" t="s">
        <x:v>774</x:v>
      </x:c>
      <x:c r="G13" s="200" t="s">
        <x:v>775</x:v>
      </x:c>
      <x:c r="H13" s="200" t="s">
        <x:v>726</x:v>
      </x:c>
      <x:c r="I13" s="201" t="s">
        <x:v>776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 t="str">
        <x:v>EV-013</x:v>
      </x:c>
      <x:c r="B16" s="78" t="n">
        <x:v>46208</x:v>
      </x:c>
      <x:c r="C16" s="78" t="str">
        <x:v>1.3</x:v>
      </x:c>
      <x:c r="D16" s="78" t="str">
        <x:v>Non-numeric deterministic check engine implemented with structured CheckResult records, JSON-type-sensitive exact matching, Boolean equality, set equality, contains-all logic, nested path resolution, failure evidence, and controlled configuration errors.</x:v>
      </x:c>
      <x:c r="E16" s="78" t="str">
        <x:v>Code / Test</x:v>
      </x:c>
      <x:c r="F16" s="78" t="str">
        <x:v>53f96cc; PR #8 / merge 7222c81; 269a070; src/mech_eval_harness/evaluation.py; tests/test_deterministic_checks.py</x:v>
      </x:c>
      <x:c r="G16" s="78" t="str">
        <x:v>WBS 1.3 — exact, Boolean, set, and contains checks</x:v>
      </x:c>
      <x:c r="H16" s="78" t="str">
        <x:v>Accepted</x:v>
      </x:c>
      <x:c r="I16" s="78" t="str">
        <x:v>Twelve focused tests and 50 total repository tests passed after merge. main and origin/main were synchronized through 269a070. No additional actual hours were added beyond the explicitly timed 2.85 h block.</x:v>
      </x:c>
    </x:row>
    <x:row r="17">
      <x:c r="A17" s="78" t="str">
        <x:v>EV-014</x:v>
      </x:c>
      <x:c r="B17" s="78" t="n">
        <x:v>46208</x:v>
      </x:c>
      <x:c r="C17" s="78" t="str">
        <x:v>1.4</x:v>
      </x:c>
      <x:c r="D17" s="78" t="str">
        <x:v>Numeric tolerance checks implemented with evaluator-declared absolute tolerance, inclusive exact-boundary behaviour, structured difference/tolerance evidence, numeric type enforcement, and controlled configuration errors.</x:v>
      </x:c>
      <x:c r="E17" s="78" t="str">
        <x:v>Code / Test</x:v>
      </x:c>
      <x:c r="F17" s="78" t="str">
        <x:v>31015c9; PR #9 / merge 1fbb45d; src/mech_eval_harness/evaluation.py; tests/test_numeric_tolerance.py</x:v>
      </x:c>
      <x:c r="G17" s="78" t="str">
        <x:v>WBS 1.4 — numeric tolerance checks</x:v>
      </x:c>
      <x:c r="H17" s="78" t="str">
        <x:v>Accepted</x:v>
      </x:c>
      <x:c r="I17" s="78" t="str">
        <x:v>Eleven focused numeric tests, eleven deterministic-check tests, and 60 total repository tests passed after merge. main and origin/main synchronized through 1fbb45d.</x:v>
      </x:c>
    </x:row>
    <x:row r="18">
      <x:c r="A18" s="78" t="str">
        <x:v>EV-015</x:v>
      </x:c>
      <x:c r="B18" s="78" t="n">
        <x:v>46208</x:v>
      </x:c>
      <x:c r="C18" s="78" t="str">
        <x:v>1.5</x:v>
      </x:c>
      <x:c r="D18" s="78" t="str">
        <x:v>Weighted scoring and structured failure-evidence aggregation implemented with gate-zeroing, passed-weight scoring, inclusive pass-threshold evaluation, configuration validation, and ordered gate/check failure evidence.</x:v>
      </x:c>
      <x:c r="E18" s="78" t="str">
        <x:v>Code / Test</x:v>
      </x:c>
      <x:c r="F18" s="78" t="str">
        <x:v>bd34af8; PR #10 / merge 27a8e59; src/mech_eval_harness/scoring.py; tests/test_weighted_scoring.py</x:v>
      </x:c>
      <x:c r="G18" s="78" t="str">
        <x:v>WBS 1.5 — weighted scoring and failure evidence; Gate 2</x:v>
      </x:c>
      <x:c r="H18" s="78" t="str">
        <x:v>Accepted</x:v>
      </x:c>
      <x:c r="I18" s="78" t="str">
        <x:v>Seventeen focused weighted-scoring tests and 77 total repository tests passed after merge. main and origin/main synchronized through 27a8e59.</x:v>
      </x:c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777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778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779</x:v>
      </x:c>
      <x:c r="C4" s="80" t="s">
        <x:v>780</x:v>
      </x:c>
      <x:c r="D4" s="80" t="s">
        <x:v>781</x:v>
      </x:c>
      <x:c r="E4" s="80" t="s">
        <x:v>782</x:v>
      </x:c>
      <x:c r="F4" s="80" t="s">
        <x:v>783</x:v>
      </x:c>
      <x:c r="G4" s="80" t="s">
        <x:v>784</x:v>
      </x:c>
      <x:c r="H4" s="80" t="s">
        <x:v>785</x:v>
      </x:c>
      <x:c r="I4" s="80" t="s">
        <x:v>117</x:v>
      </x:c>
    </x:row>
    <x:row r="5" ht="28.5">
      <x:c r="A5" s="78" t="s">
        <x:v>786</x:v>
      </x:c>
      <x:c r="B5" s="78" t="s">
        <x:v>787</x:v>
      </x:c>
      <x:c r="C5" s="78" t="s">
        <x:v>788</x:v>
      </x:c>
      <x:c r="D5" s="78" t="s">
        <x:v>789</x:v>
      </x:c>
      <x:c r="E5" s="78" t="s">
        <x:v>790</x:v>
      </x:c>
      <x:c r="F5" s="78" t="s">
        <x:v>791</x:v>
      </x:c>
      <x:c r="G5" s="78" t="s">
        <x:v>792</x:v>
      </x:c>
      <x:c r="H5" s="78" t="s">
        <x:v>793</x:v>
      </x:c>
      <x:c r="I5" s="78" t="s">
        <x:v>794</x:v>
      </x:c>
    </x:row>
    <x:row r="6" ht="57">
      <x:c r="A6" s="78" t="s">
        <x:v>795</x:v>
      </x:c>
      <x:c r="B6" s="78" t="s">
        <x:v>796</x:v>
      </x:c>
      <x:c r="C6" s="78" t="s">
        <x:v>797</x:v>
      </x:c>
      <x:c r="D6" s="78" t="s">
        <x:v>798</x:v>
      </x:c>
      <x:c r="E6" s="78" t="s">
        <x:v>799</x:v>
      </x:c>
      <x:c r="F6" s="78" t="s">
        <x:v>678</x:v>
      </x:c>
      <x:c r="G6" s="78" t="s">
        <x:v>800</x:v>
      </x:c>
      <x:c r="H6" s="78" t="s">
        <x:v>796</x:v>
      </x:c>
      <x:c r="I6" s="78" t="s">
        <x:v>794</x:v>
      </x:c>
    </x:row>
    <x:row r="7" ht="57">
      <x:c r="A7" s="78" t="s">
        <x:v>801</x:v>
      </x:c>
      <x:c r="B7" s="78" t="s">
        <x:v>802</x:v>
      </x:c>
      <x:c r="C7" s="78" t="s">
        <x:v>803</x:v>
      </x:c>
      <x:c r="D7" s="78" t="s">
        <x:v>804</x:v>
      </x:c>
      <x:c r="E7" s="78" t="s">
        <x:v>805</x:v>
      </x:c>
      <x:c r="F7" s="78" t="s">
        <x:v>678</x:v>
      </x:c>
      <x:c r="G7" s="78" t="s">
        <x:v>806</x:v>
      </x:c>
      <x:c r="H7" s="78" t="s">
        <x:v>807</x:v>
      </x:c>
      <x:c r="I7" s="78" t="s">
        <x:v>794</x:v>
      </x:c>
    </x:row>
    <x:row r="8" ht="57">
      <x:c r="A8" s="78" t="s">
        <x:v>808</x:v>
      </x:c>
      <x:c r="B8" s="78" t="s">
        <x:v>809</x:v>
      </x:c>
      <x:c r="C8" s="78" t="s">
        <x:v>810</x:v>
      </x:c>
      <x:c r="D8" s="78" t="s">
        <x:v>811</x:v>
      </x:c>
      <x:c r="E8" s="78" t="s">
        <x:v>812</x:v>
      </x:c>
      <x:c r="F8" s="78" t="s">
        <x:v>678</x:v>
      </x:c>
      <x:c r="G8" s="78" t="s">
        <x:v>792</x:v>
      </x:c>
      <x:c r="H8" s="78" t="s">
        <x:v>813</x:v>
      </x:c>
      <x:c r="I8" s="78" t="s">
        <x:v>794</x:v>
      </x:c>
    </x:row>
    <x:row r="9" ht="28.5">
      <x:c r="A9" s="78" t="s">
        <x:v>814</x:v>
      </x:c>
      <x:c r="B9" s="78" t="s">
        <x:v>815</x:v>
      </x:c>
      <x:c r="C9" s="78" t="s">
        <x:v>816</x:v>
      </x:c>
      <x:c r="D9" s="78" t="s">
        <x:v>817</x:v>
      </x:c>
      <x:c r="E9" s="78" t="s">
        <x:v>818</x:v>
      </x:c>
      <x:c r="F9" s="78" t="s">
        <x:v>690</x:v>
      </x:c>
      <x:c r="G9" s="78" t="s">
        <x:v>792</x:v>
      </x:c>
      <x:c r="H9" s="78" t="s">
        <x:v>819</x:v>
      </x:c>
      <x:c r="I9" s="78" t="s">
        <x:v>794</x:v>
      </x:c>
    </x:row>
    <x:row r="10" ht="28.5">
      <x:c r="A10" s="78" t="s">
        <x:v>820</x:v>
      </x:c>
      <x:c r="B10" s="78" t="s">
        <x:v>821</x:v>
      </x:c>
      <x:c r="C10" s="78" t="s">
        <x:v>822</x:v>
      </x:c>
      <x:c r="D10" s="78" t="s">
        <x:v>823</x:v>
      </x:c>
      <x:c r="E10" s="78" t="s">
        <x:v>824</x:v>
      </x:c>
      <x:c r="F10" s="78" t="s">
        <x:v>690</x:v>
      </x:c>
      <x:c r="G10" s="78" t="s">
        <x:v>825</x:v>
      </x:c>
      <x:c r="H10" s="78" t="s">
        <x:v>821</x:v>
      </x:c>
      <x:c r="I10" s="78" t="s">
        <x:v>794</x:v>
      </x:c>
    </x:row>
    <x:row r="11" ht="28.5">
      <x:c r="A11" s="78" t="s">
        <x:v>826</x:v>
      </x:c>
      <x:c r="B11" s="78" t="s">
        <x:v>827</x:v>
      </x:c>
      <x:c r="C11" s="78" t="s">
        <x:v>828</x:v>
      </x:c>
      <x:c r="D11" s="78" t="s">
        <x:v>829</x:v>
      </x:c>
      <x:c r="E11" s="78" t="s">
        <x:v>830</x:v>
      </x:c>
      <x:c r="F11" s="78" t="s">
        <x:v>690</x:v>
      </x:c>
      <x:c r="G11" s="78" t="s">
        <x:v>831</x:v>
      </x:c>
      <x:c r="H11" s="78" t="s">
        <x:v>832</x:v>
      </x:c>
      <x:c r="I11" s="78" t="s">
        <x:v>794</x:v>
      </x:c>
    </x:row>
    <x:row r="12" ht="28.5">
      <x:c r="A12" s="78" t="s">
        <x:v>833</x:v>
      </x:c>
      <x:c r="B12" s="78" t="s">
        <x:v>834</x:v>
      </x:c>
      <x:c r="C12" s="78" t="s">
        <x:v>835</x:v>
      </x:c>
      <x:c r="D12" s="78" t="s">
        <x:v>836</x:v>
      </x:c>
      <x:c r="E12" s="78" t="s">
        <x:v>837</x:v>
      </x:c>
      <x:c r="F12" s="78" t="s">
        <x:v>703</x:v>
      </x:c>
      <x:c r="G12" s="78" t="s">
        <x:v>806</x:v>
      </x:c>
      <x:c r="H12" s="78" t="s">
        <x:v>834</x:v>
      </x:c>
      <x:c r="I12" s="78" t="s">
        <x:v>794</x:v>
      </x:c>
    </x:row>
    <x:row r="13" ht="28.5">
      <x:c r="A13" s="78" t="s">
        <x:v>838</x:v>
      </x:c>
      <x:c r="B13" s="78" t="s">
        <x:v>832</x:v>
      </x:c>
      <x:c r="C13" s="78" t="s">
        <x:v>839</x:v>
      </x:c>
      <x:c r="D13" s="78" t="s">
        <x:v>840</x:v>
      </x:c>
      <x:c r="E13" s="78" t="s">
        <x:v>841</x:v>
      </x:c>
      <x:c r="F13" s="78" t="s">
        <x:v>690</x:v>
      </x:c>
      <x:c r="G13" s="78" t="s">
        <x:v>825</x:v>
      </x:c>
      <x:c r="H13" s="78" t="s">
        <x:v>832</x:v>
      </x:c>
      <x:c r="I13" s="78" t="s">
        <x:v>794</x:v>
      </x:c>
    </x:row>
    <x:row r="14" ht="28.5">
      <x:c r="A14" s="78" t="s">
        <x:v>842</x:v>
      </x:c>
      <x:c r="B14" s="78" t="s">
        <x:v>843</x:v>
      </x:c>
      <x:c r="C14" s="78" t="s">
        <x:v>844</x:v>
      </x:c>
      <x:c r="D14" s="78" t="s">
        <x:v>845</x:v>
      </x:c>
      <x:c r="E14" s="78" t="s">
        <x:v>846</x:v>
      </x:c>
      <x:c r="F14" s="78" t="s">
        <x:v>690</x:v>
      </x:c>
      <x:c r="G14" s="78" t="s">
        <x:v>847</x:v>
      </x:c>
      <x:c r="H14" s="78" t="s">
        <x:v>843</x:v>
      </x:c>
      <x:c r="I14" s="78" t="s">
        <x:v>794</x:v>
      </x:c>
    </x:row>
    <x:row r="15" ht="28.5">
      <x:c r="A15" s="78" t="s">
        <x:v>848</x:v>
      </x:c>
      <x:c r="B15" s="78" t="s">
        <x:v>849</x:v>
      </x:c>
      <x:c r="C15" s="78" t="s">
        <x:v>850</x:v>
      </x:c>
      <x:c r="D15" s="78" t="s">
        <x:v>851</x:v>
      </x:c>
      <x:c r="E15" s="78" t="s">
        <x:v>852</x:v>
      </x:c>
      <x:c r="F15" s="78" t="s">
        <x:v>703</x:v>
      </x:c>
      <x:c r="G15" s="78" t="s">
        <x:v>853</x:v>
      </x:c>
      <x:c r="H15" s="78" t="s">
        <x:v>854</x:v>
      </x:c>
      <x:c r="I15" s="78" t="s">
        <x:v>794</x:v>
      </x:c>
    </x:row>
    <x:row r="16" ht="28.5">
      <x:c r="A16" s="78" t="s">
        <x:v>855</x:v>
      </x:c>
      <x:c r="B16" s="78" t="s">
        <x:v>856</x:v>
      </x:c>
      <x:c r="C16" s="78" t="s">
        <x:v>857</x:v>
      </x:c>
      <x:c r="D16" s="78" t="s">
        <x:v>858</x:v>
      </x:c>
      <x:c r="E16" s="78" t="s">
        <x:v>859</x:v>
      </x:c>
      <x:c r="F16" s="78" t="s">
        <x:v>703</x:v>
      </x:c>
      <x:c r="G16" s="78" t="s">
        <x:v>860</x:v>
      </x:c>
      <x:c r="H16" s="78" t="s">
        <x:v>856</x:v>
      </x:c>
      <x:c r="I16" s="78" t="s">
        <x:v>794</x:v>
      </x:c>
    </x:row>
    <x:row r="17" ht="72" customHeight="1">
      <x:c r="A17" s="182" t="s">
        <x:v>861</x:v>
      </x:c>
      <x:c r="B17" s="183" t="s">
        <x:v>862</x:v>
      </x:c>
      <x:c r="C17" s="183" t="s">
        <x:v>863</x:v>
      </x:c>
      <x:c r="D17" s="183" t="s">
        <x:v>864</x:v>
      </x:c>
      <x:c r="E17" s="183" t="s">
        <x:v>865</x:v>
      </x:c>
      <x:c r="F17" s="183" t="s">
        <x:v>678</x:v>
      </x:c>
      <x:c r="G17" s="183" t="s">
        <x:v>806</x:v>
      </x:c>
      <x:c r="H17" s="183" t="s">
        <x:v>866</x:v>
      </x:c>
      <x:c r="I17" s="184" t="s">
        <x:v>794</x:v>
      </x:c>
    </x:row>
    <x:row r="18" ht="72" customHeight="1">
      <x:c r="A18" s="185" t="s">
        <x:v>867</x:v>
      </x:c>
      <x:c r="B18" s="83" t="s">
        <x:v>868</x:v>
      </x:c>
      <x:c r="C18" s="83" t="s">
        <x:v>869</x:v>
      </x:c>
      <x:c r="D18" s="83" t="s">
        <x:v>870</x:v>
      </x:c>
      <x:c r="E18" s="83" t="s">
        <x:v>871</x:v>
      </x:c>
      <x:c r="F18" s="83" t="s">
        <x:v>678</x:v>
      </x:c>
      <x:c r="G18" s="83" t="s">
        <x:v>872</x:v>
      </x:c>
      <x:c r="H18" s="83" t="s">
        <x:v>873</x:v>
      </x:c>
      <x:c r="I18" s="186" t="s">
        <x:v>794</x:v>
      </x:c>
    </x:row>
    <x:row r="19" ht="72" customHeight="1">
      <x:c r="A19" s="187" t="s">
        <x:v>874</x:v>
      </x:c>
      <x:c r="B19" s="188" t="s">
        <x:v>875</x:v>
      </x:c>
      <x:c r="C19" s="188" t="s">
        <x:v>876</x:v>
      </x:c>
      <x:c r="D19" s="188" t="s">
        <x:v>877</x:v>
      </x:c>
      <x:c r="E19" s="188" t="s">
        <x:v>878</x:v>
      </x:c>
      <x:c r="F19" s="188" t="s">
        <x:v>678</x:v>
      </x:c>
      <x:c r="G19" s="188" t="s">
        <x:v>860</x:v>
      </x:c>
      <x:c r="H19" s="188" t="s">
        <x:v>879</x:v>
      </x:c>
      <x:c r="I19" s="189" t="s">
        <x:v>794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880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881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882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tr">
        <x:v>Last updated</x:v>
      </x:c>
      <x:c r="B5" s="447" t="str">
        <x:v>2026-07-05</x:v>
      </x:c>
      <x:c r="C5" s="449" t="str">
        <x:v>Control baseline</x:v>
      </x:c>
      <x:c r="D5" s="447" t="str">
        <x:v>MVP v1.0 — 8 weeks</x:v>
      </x:c>
      <x:c r="E5" s="449" t="str">
        <x:v>Target finish</x:v>
      </x:c>
      <x:c r="F5" s="447" t="str">
        <x:v>2026-08-23</x:v>
      </x:c>
      <x:c r="G5" s="449" t="str">
        <x:v>Planned hours</x:v>
      </x:c>
      <x:c r="H5" s="447" t="str">
        <x:v>76</x:v>
      </x:c>
    </x:row>
    <x:row r="6" ht="58" customHeight="1">
      <x:c r="A6" s="449" t="str">
        <x:v>Repository state</x:v>
      </x:c>
      <x:c r="B6" s="447" t="str">
        <x:v>main synchronized through 27a8e59; WBS 1.5 merged</x:v>
      </x:c>
      <x:c r="C6" s="449" t="str">
        <x:v>Tests</x:v>
      </x:c>
      <x:c r="D6" s="447" t="str">
        <x:v>77 passing</x:v>
      </x:c>
      <x:c r="E6" s="449" t="str">
        <x:v>Seed cases</x:v>
      </x:c>
      <x:c r="F6" s="447" t="str">
        <x:v>MECH-001 to MECH-003</x:v>
      </x:c>
      <x:c r="G6" s="449" t="str">
        <x:v>PRs merged</x:v>
      </x:c>
      <x:c r="H6" s="447" t="str">
        <x:v>Ten merged PR capabilities; latest weighted scoring and failure evidence</x:v>
      </x:c>
    </x:row>
    <x:row r="7" ht="58" customHeight="1">
      <x:c r="A7" s="449" t="str">
        <x:v>Current capability</x:v>
      </x:c>
      <x:c r="B7" s="447" t="str">
        <x:v>Candidate artifact contract/loader, ordered mandatory gates, exact/Boolean/set/contains/numeric_close checks, weighted scoring, inclusive threshold pass/fail, and structured failure evidence.</x:v>
      </x:c>
      <x:c r="C7" s="449" t="str">
        <x:v>Not implemented</x:v>
      </x:c>
      <x:c r="D7" s="447" t="str">
        <x:v>Evaluate CLI, structured result records, benchmark, CI, and demo.</x:v>
      </x:c>
      <x:c r="E7" s="449" t="str">
        <x:v>Active WBS</x:v>
      </x:c>
      <x:c r="F7" s="447" t="str">
        <x:v>2.1</x:v>
      </x:c>
      <x:c r="G7" s="449" t="str">
        <x:v>Next WBS</x:v>
      </x:c>
      <x:c r="H7" s="447" t="str">
        <x:v>2.2</x:v>
      </x:c>
    </x:row>
    <x:row r="8" ht="58" customHeight="1">
      <x:c r="A8" s="449" t="str">
        <x:v>Immediate next action</x:v>
      </x:c>
      <x:c r="B8" s="447" t="str">
        <x:v>Create feature/evaluate-cli from synchronized main; define command arguments, human-readable output, stable exit codes, and orchestration across loading, gates, checks, and scoring.</x:v>
      </x:c>
      <x:c r="C8" s="449" t="str">
        <x:v>Do not do next</x:v>
      </x:c>
      <x:c r="D8" s="447" t="str">
        <x:v>Result persistence before the evaluate command contract is stable; more validator-only work; API/database; PDF/CAD parsing; redlining; standards/GD&amp;T; multimodal; OpenClaw/agents; observability; deployment; or RL.</x:v>
      </x:c>
      <x:c r="E8" s="449" t="str">
        <x:v>MVP interface</x:v>
      </x:c>
      <x:c r="F8" s="447" t="str">
        <x:v>CLI</x:v>
      </x:c>
      <x:c r="G8" s="449" t="str">
        <x:v>Candidate type</x:v>
      </x:c>
      <x:c r="H8" s="447" t="str">
        <x:v>JSON</x:v>
      </x:c>
    </x:row>
    <x:row r="9" ht="48" customHeight="1">
      <x:c r="A9" s="450" t="s">
        <x:v>883</x:v>
      </x:c>
      <x:c r="B9" s="451" t="s">
        <x:v>884</x:v>
      </x:c>
      <x:c r="C9" s="450" t="s">
        <x:v>885</x:v>
      </x:c>
      <x:c r="D9" s="451" t="s">
        <x:v>886</x:v>
      </x:c>
      <x:c r="E9" s="450" t="s">
        <x:v>887</x:v>
      </x:c>
      <x:c r="F9" s="451" t="s">
        <x:v>888</x:v>
      </x:c>
      <x:c r="G9" s="450" t="s">
        <x:v>889</x:v>
      </x:c>
      <x:c r="H9" s="451" t="s">
        <x:v>890</x:v>
      </x:c>
    </x:row>
    <x:row r="10" ht="15.75">
      <x:c r="A10" s="237" t="s">
        <x:v>891</x:v>
      </x:c>
      <x:c r="B10" s="235"/>
      <x:c r="D10" s="237" t="s">
        <x:v>892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893</x:v>
      </x:c>
      <x:c r="D11" s="157" t="s">
        <x:v>6</x:v>
      </x:c>
      <x:c r="E11" s="78" t="s">
        <x:v>894</x:v>
      </x:c>
    </x:row>
    <x:row r="12" ht="30" customHeight="1">
      <x:c r="A12" s="157" t="s">
        <x:v>9</x:v>
      </x:c>
      <x:c r="B12" s="78" t="s">
        <x:v>895</x:v>
      </x:c>
      <x:c r="D12" s="157" t="s">
        <x:v>9</x:v>
      </x:c>
      <x:c r="E12" s="78" t="s">
        <x:v>896</x:v>
      </x:c>
    </x:row>
    <x:row r="13" ht="30" customHeight="1">
      <x:c r="A13" s="157" t="s">
        <x:v>12</x:v>
      </x:c>
      <x:c r="B13" s="78" t="s">
        <x:v>897</x:v>
      </x:c>
      <x:c r="D13" s="157" t="s">
        <x:v>12</x:v>
      </x:c>
      <x:c r="E13" s="78" t="s">
        <x:v>898</x:v>
      </x:c>
    </x:row>
    <x:row r="14" ht="30" customHeight="1">
      <x:c r="A14" s="157" t="s">
        <x:v>16</x:v>
      </x:c>
      <x:c r="B14" s="78" t="s">
        <x:v>899</x:v>
      </x:c>
      <x:c r="D14" s="157" t="s">
        <x:v>16</x:v>
      </x:c>
      <x:c r="E14" s="78" t="s">
        <x:v>900</x:v>
      </x:c>
    </x:row>
    <x:row r="15" ht="30" customHeight="1">
      <x:c r="A15" s="157" t="s">
        <x:v>19</x:v>
      </x:c>
      <x:c r="B15" s="78" t="s">
        <x:v>901</x:v>
      </x:c>
      <x:c r="D15" s="157" t="s">
        <x:v>19</x:v>
      </x:c>
      <x:c r="E15" s="78" t="s">
        <x:v>902</x:v>
      </x:c>
    </x:row>
    <x:row r="17" ht="15.75">
      <x:c r="A17" s="237" t="s">
        <x:v>903</x:v>
      </x:c>
      <x:c r="B17" s="235"/>
      <x:c r="D17" s="237" t="s">
        <x:v>904</x:v>
      </x:c>
      <x:c r="E17" s="235"/>
      <x:c r="F17" s="235"/>
      <x:c r="G17" s="235"/>
      <x:c r="H17" s="235"/>
    </x:row>
    <x:row r="18" ht="27.950000762939453" customHeight="1">
      <x:c r="A18" s="157" t="s">
        <x:v>905</x:v>
      </x:c>
      <x:c r="B18" s="78" t="s">
        <x:v>906</x:v>
      </x:c>
      <x:c r="D18" s="157" t="s">
        <x:v>6</x:v>
      </x:c>
      <x:c r="E18" s="78" t="s">
        <x:v>907</x:v>
      </x:c>
    </x:row>
    <x:row r="19" ht="27.950000762939453" customHeight="1">
      <x:c r="A19" s="157" t="s">
        <x:v>908</x:v>
      </x:c>
      <x:c r="B19" s="78" t="s">
        <x:v>909</x:v>
      </x:c>
      <x:c r="D19" s="157" t="s">
        <x:v>9</x:v>
      </x:c>
      <x:c r="E19" s="78" t="s">
        <x:v>910</x:v>
      </x:c>
    </x:row>
    <x:row r="20" ht="27.950000762939453" customHeight="1">
      <x:c r="A20" s="157" t="s">
        <x:v>723</x:v>
      </x:c>
      <x:c r="B20" s="78" t="s">
        <x:v>911</x:v>
      </x:c>
      <x:c r="D20" s="157" t="s">
        <x:v>12</x:v>
      </x:c>
      <x:c r="E20" s="78" t="s">
        <x:v>912</x:v>
      </x:c>
    </x:row>
    <x:row r="21" ht="27.950000762939453" customHeight="1">
      <x:c r="A21" s="157" t="s">
        <x:v>913</x:v>
      </x:c>
      <x:c r="B21" s="78" t="s">
        <x:v>914</x:v>
      </x:c>
      <x:c r="D21" s="157" t="s">
        <x:v>16</x:v>
      </x:c>
      <x:c r="E21" s="78" t="s">
        <x:v>915</x:v>
      </x:c>
    </x:row>
    <x:row r="22" ht="27.950000762939453" customHeight="1">
      <x:c r="A22" s="157" t="s">
        <x:v>916</x:v>
      </x:c>
      <x:c r="B22" s="78" t="s">
        <x:v>917</x:v>
      </x:c>
      <x:c r="D22" s="157" t="s">
        <x:v>19</x:v>
      </x:c>
      <x:c r="E22" s="78" t="s">
        <x:v>918</x:v>
      </x:c>
    </x:row>
    <x:row r="23" ht="27.950000762939453" customHeight="1">
      <x:c r="A23" s="157" t="s">
        <x:v>919</x:v>
      </x:c>
      <x:c r="B23" s="78" t="s">
        <x:v>920</x:v>
      </x:c>
      <x:c r="D23" s="157" t="s">
        <x:v>22</x:v>
      </x:c>
      <x:c r="E23" s="78" t="s">
        <x:v>921</x:v>
      </x:c>
    </x:row>
    <x:row r="24" ht="27.950000762939453" customHeight="1">
      <x:c r="A24" s="157" t="s">
        <x:v>922</x:v>
      </x:c>
      <x:c r="B24" s="78" t="s">
        <x:v>923</x:v>
      </x:c>
      <x:c r="D24" s="157" t="s">
        <x:v>25</x:v>
      </x:c>
      <x:c r="E24" s="78" t="s">
        <x:v>924</x:v>
      </x:c>
    </x:row>
    <x:row r="25" ht="27.950000762939453" customHeight="1">
      <x:c r="A25" s="157" t="s">
        <x:v>925</x:v>
      </x:c>
      <x:c r="B25" s="78" t="s">
        <x:v>926</x:v>
      </x:c>
      <x:c r="D25" s="157" t="s">
        <x:v>53</x:v>
      </x:c>
      <x:c r="E25" s="78" t="s">
        <x:v>927</x:v>
      </x:c>
    </x:row>
    <x:row r="27" ht="15.75">
      <x:c r="A27" s="237" t="s">
        <x:v>928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tr">
        <x:v>Evidence</x:v>
      </x:c>
      <x:c r="B28" s="78" t="str">
        <x:v>PR #1–#10 merged; 77 tests pass; Gate 2 deterministic evaluation core accepted.</x:v>
      </x:c>
      <x:c r="C28" s="156" t="str">
        <x:v>Gap</x:v>
      </x:c>
      <x:c r="D28" s="78" t="str">
        <x:v>No end-to-end evaluate CLI command exists.</x:v>
      </x:c>
      <x:c r="E28" s="156" t="str">
        <x:v>Response</x:v>
      </x:c>
      <x:c r="F28" s="78" t="str">
        <x:v>Build WBS 2.1, then define the structured result contract.</x:v>
      </x:c>
      <x:c r="G28" s="156" t="str">
        <x:v>Owner</x:v>
      </x:c>
      <x:c r="H28" s="78" t="str">
        <x:v>Jason</x:v>
      </x:c>
    </x:row>
    <x:row r="29" ht="38.099998474121094" customHeight="1">
      <x:c r="A29" s="156" t="str">
        <x:v>Evidence</x:v>
      </x:c>
      <x:c r="B29" s="78" t="str">
        <x:v>Weighted scoring and failure evidence merged in 27a8e59; scoring contract recorded in D-016 and EV-015.</x:v>
      </x:c>
      <x:c r="C29" s="156" t="str">
        <x:v>Gap</x:v>
      </x:c>
      <x:c r="D29" s="78" t="str">
        <x:v>Orchestration is not yet exposed through the user-facing CLI.</x:v>
      </x:c>
      <x:c r="E29" s="156" t="str">
        <x:v>Response</x:v>
      </x:c>
      <x:c r="F29" s="78" t="str">
        <x:v>Keep CLI orchestration separate from scoring and defer persistence to WBS 2.3.</x:v>
      </x:c>
      <x:c r="G29" s="156" t="str">
        <x:v>Owner</x:v>
      </x:c>
      <x:c r="H29" s="78" t="str">
        <x:v>Jason</x:v>
      </x:c>
    </x:row>
    <x:row r="30" ht="38.099998474121094" customHeight="1">
      <x:c r="A30" s="156" t="str">
        <x:v>Evidence</x:v>
      </x:c>
      <x:c r="B30" s="78" t="str">
        <x:v>Known logged time is 12.45 hours through WB-012.</x:v>
      </x:c>
      <x:c r="C30" s="156" t="str">
        <x:v>Gap</x:v>
      </x:c>
      <x:c r="D30" s="78" t="str">
        <x:v>No known time-entry gap.</x:v>
      </x:c>
      <x:c r="E30" s="156" t="str">
        <x:v>Response</x:v>
      </x:c>
      <x:c r="F30" s="78" t="str">
        <x:v>Record future actuals only when explicitly known.</x:v>
      </x:c>
      <x:c r="G30" s="156" t="str">
        <x:v>Owner</x:v>
      </x:c>
      <x:c r="H30" s="78" t="str">
        <x:v>Jason</x:v>
      </x:c>
    </x:row>
    <x:row r="31" ht="38.099998474121094" customHeight="1">
      <x:c r="A31" s="156" t="s">
        <x:v>275</x:v>
      </x:c>
      <x:c r="B31" s="78" t="s">
        <x:v>929</x:v>
      </x:c>
      <x:c r="C31" s="156" t="s">
        <x:v>930</x:v>
      </x:c>
      <x:c r="D31" s="78" t="s">
        <x:v>931</x:v>
      </x:c>
      <x:c r="E31" s="156" t="s">
        <x:v>932</x:v>
      </x:c>
      <x:c r="F31" s="78" t="s">
        <x:v>933</x:v>
      </x:c>
      <x:c r="G31" s="156" t="s">
        <x:v>672</x:v>
      </x:c>
      <x:c r="H31" s="78" t="s">
        <x:v>679</x:v>
      </x:c>
    </x:row>
    <x:row r="32" ht="38.099998474121094" customHeight="1">
      <x:c r="A32" s="156" t="s">
        <x:v>934</x:v>
      </x:c>
      <x:c r="B32" s="78" t="s">
        <x:v>935</x:v>
      </x:c>
      <x:c r="C32" s="156" t="s">
        <x:v>676</x:v>
      </x:c>
      <x:c r="D32" s="78" t="s">
        <x:v>936</x:v>
      </x:c>
      <x:c r="E32" s="156" t="s">
        <x:v>932</x:v>
      </x:c>
      <x:c r="F32" s="78" t="s">
        <x:v>937</x:v>
      </x:c>
      <x:c r="G32" s="156" t="s">
        <x:v>672</x:v>
      </x:c>
      <x:c r="H32" s="78" t="s">
        <x:v>679</x:v>
      </x:c>
    </x:row>
    <x:row r="34" ht="15">
      <x:c r="A34" s="238" t="s">
        <x:v>938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939</x:v>
      </x:c>
      <x:c r="B35" s="240"/>
      <x:c r="C35" s="241" t="s">
        <x:v>940</x:v>
      </x:c>
      <x:c r="D35" s="242"/>
      <x:c r="E35" s="242"/>
      <x:c r="F35" s="242"/>
      <x:c r="G35" s="242"/>
      <x:c r="H35" s="243"/>
    </x:row>
    <x:row r="36" ht="42" customHeight="1">
      <x:c r="A36" s="239" t="s">
        <x:v>941</x:v>
      </x:c>
      <x:c r="B36" s="240"/>
      <x:c r="C36" s="241" t="s">
        <x:v>942</x:v>
      </x:c>
      <x:c r="D36" s="242"/>
      <x:c r="E36" s="242"/>
      <x:c r="F36" s="242"/>
      <x:c r="G36" s="242"/>
      <x:c r="H36" s="243"/>
    </x:row>
    <x:row r="37" ht="42" customHeight="1">
      <x:c r="A37" s="239" t="s">
        <x:v>943</x:v>
      </x:c>
      <x:c r="B37" s="240"/>
      <x:c r="C37" s="241" t="s">
        <x:v>944</x:v>
      </x:c>
      <x:c r="D37" s="242"/>
      <x:c r="E37" s="242"/>
      <x:c r="F37" s="242"/>
      <x:c r="G37" s="242"/>
      <x:c r="H37" s="243"/>
    </x:row>
    <x:row r="38" ht="42" customHeight="1">
      <x:c r="A38" s="239" t="s">
        <x:v>945</x:v>
      </x:c>
      <x:c r="B38" s="240"/>
      <x:c r="C38" s="241" t="s">
        <x:v>946</x:v>
      </x:c>
      <x:c r="D38" s="242"/>
      <x:c r="E38" s="242"/>
      <x:c r="F38" s="242"/>
      <x:c r="G38" s="242"/>
      <x:c r="H38" s="243"/>
    </x:row>
    <x:row r="39" ht="42" customHeight="1">
      <x:c r="A39" s="239" t="s">
        <x:v>947</x:v>
      </x:c>
      <x:c r="B39" s="240"/>
      <x:c r="C39" s="241" t="s">
        <x:v>948</x:v>
      </x:c>
      <x:c r="D39" s="242"/>
      <x:c r="E39" s="242"/>
      <x:c r="F39" s="242"/>
      <x:c r="G39" s="242"/>
      <x:c r="H39" s="243"/>
    </x:row>
    <x:row r="40" ht="42" customHeight="1">
      <x:c r="A40" s="239" t="s">
        <x:v>925</x:v>
      </x:c>
      <x:c r="B40" s="240"/>
      <x:c r="C40" s="241" t="s">
        <x:v>949</x:v>
      </x:c>
      <x:c r="D40" s="242"/>
      <x:c r="E40" s="242"/>
      <x:c r="F40" s="242"/>
      <x:c r="G40" s="242"/>
      <x:c r="H40" s="243"/>
    </x:row>
    <x:row r="41" ht="42" customHeight="1">
      <x:c r="A41" s="239" t="s">
        <x:v>950</x:v>
      </x:c>
      <x:c r="B41" s="240"/>
      <x:c r="C41" s="241" t="s">
        <x:v>951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952</x:v>
      </x:c>
      <x:c r="B3" s="235"/>
      <x:c r="C3" s="235"/>
      <x:c r="D3" s="235"/>
      <x:c r="F3" s="237" t="s">
        <x:v>953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2.1 — Evaluate CLI command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954</x:v>
      </x:c>
      <x:c r="G5" s="610" t="str">
        <x:v>2.2 — Structured result schema and model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955</x:v>
      </x:c>
      <x:c r="B6" s="168" t="n">
        <x:v>12.45</x:v>
      </x:c>
      <x:c r="F6" s="449" t="s">
        <x:v>956</x:v>
      </x:c>
      <x:c r="G6" s="610" t="str">
        <x:v>The full deterministic evaluation core is merged: candidate loading, mandatory gates, five deterministic check kinds, weighted scoring, pass/fail thresholding, and structured failure evidence.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957</x:v>
      </x:c>
      <x:c r="B7" s="169" t="n">
        <x:v>0.4486842105263158</x:v>
      </x:c>
      <x:c r="F7" s="449" t="s">
        <x:v>958</x:v>
      </x:c>
      <x:c r="G7" s="610" t="str">
        <x:v>Create feature/evaluate-cli from synchronized main; define command arguments and exit codes, then orchestrate loading, gates, checks, and scoring without adding persistence.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959</x:v>
      </x:c>
      <x:c r="B8" s="167" t="n">
        <x:v>77</x:v>
      </x:c>
      <x:c r="F8" s="449" t="s">
        <x:v>960</x:v>
      </x:c>
      <x:c r="G8" s="610" t="str">
        <x:v>Planning or test activity displaces implementation.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961</x:v>
      </x:c>
      <x:c r="B9" s="167" t="n">
        <x:v>3</x:v>
      </x:c>
      <x:c r="F9" s="449" t="s">
        <x:v>794</x:v>
      </x:c>
      <x:c r="G9" s="610" t="str">
        <x:v>OpenClaw, multimodal, API/database, observability, deployment, governance pack, and RL.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962</x:v>
      </x:c>
      <x:c r="B10" s="167" t="n">
        <x:v>10</x:v>
      </x:c>
      <x:c r="F10" s="156" t="s">
        <x:v>963</x:v>
      </x:c>
      <x:c r="G10" s="245" t="str">
        <x:v>Public, synthetic, self-authored, or authorized data only.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964</x:v>
      </x:c>
      <x:c r="B11" s="167" t="str">
        <x:v>27a8e59 (WBS 1.5 merge; Gantt closeout pending)</x:v>
      </x:c>
    </x:row>
    <x:row r="13" ht="15.75">
      <x:c r="A13" s="237" t="s">
        <x:v>965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241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v>4.9</x:v>
      </x:c>
      <x:c r="D16" s="170" t="n">
        <x:v>1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966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783</x:v>
      </x:c>
      <x:c r="B24" s="175" t="s">
        <x:v>109</x:v>
      </x:c>
      <x:c r="C24" s="175" t="s">
        <x:v>967</x:v>
      </x:c>
      <x:c r="D24" s="175" t="s">
        <x:v>968</x:v>
      </x:c>
      <x:c r="E24" s="175" t="s">
        <x:v>272</x:v>
      </x:c>
      <x:c r="F24" s="175" t="s">
        <x:v>969</x:v>
      </x:c>
      <x:c r="G24" s="175" t="s">
        <x:v>275</x:v>
      </x:c>
      <x:c r="H24" s="175" t="s">
        <x:v>672</x:v>
      </x:c>
    </x:row>
    <x:row r="25" ht="64" customHeight="1">
      <x:c r="A25" s="564" t="n">
        <x:v>1</x:v>
      </x:c>
      <x:c r="B25" s="564" t="str">
        <x:v>2.1</x:v>
      </x:c>
      <x:c r="C25" s="431" t="str">
        <x:v>Evaluate CLI command</x:v>
      </x:c>
      <x:c r="D25" s="431" t="str">
        <x:v>One command evaluates a candidate against a case and returns stable human-readable output and exit codes.</x:v>
      </x:c>
      <x:c r="E25" s="564" t="n">
        <x:v>5</x:v>
      </x:c>
      <x:c r="F25" s="431" t="str">
        <x:v>feature/evaluate-cli</x:v>
      </x:c>
      <x:c r="G25" s="431" t="str">
        <x:v>CLI integration tests + 77-test baseline</x:v>
      </x:c>
      <x:c r="H25" s="564" t="str">
        <x:v>Jason</x:v>
      </x:c>
    </x:row>
    <x:row r="26" ht="64" customHeight="1">
      <x:c r="A26" s="564" t="n">
        <x:v>2</x:v>
      </x:c>
      <x:c r="B26" s="564" t="str">
        <x:v>2.2</x:v>
      </x:c>
      <x:c r="C26" s="431" t="str">
        <x:v>Structured result schema and model</x:v>
      </x:c>
      <x:c r="D26" s="431" t="str">
        <x:v>Result records preserve versions, artifact references, gate/check evidence, expected/actual values, score, and pass/fail.</x:v>
      </x:c>
      <x:c r="E26" s="564" t="n">
        <x:v>5</x:v>
      </x:c>
      <x:c r="F26" s="431" t="str">
        <x:v>feature/result-schema</x:v>
      </x:c>
      <x:c r="G26" s="431" t="str">
        <x:v>Schema validation and result examples</x:v>
      </x:c>
      <x:c r="H26" s="564" t="str">
        <x:v>Jason</x:v>
      </x:c>
    </x:row>
    <x:row r="27" ht="64" customHeight="1">
      <x:c r="A27" s="564" t="n">
        <x:v>3</x:v>
      </x:c>
      <x:c r="B27" s="564" t="str">
        <x:v>2.3</x:v>
      </x:c>
      <x:c r="C27" s="431" t="str">
        <x:v>Immutable local result records</x:v>
      </x:c>
      <x:c r="D27" s="431" t="str">
        <x:v>Each evaluation writes a timestamped result record without overwriting prior evidence.</x:v>
      </x:c>
      <x:c r="E27" s="564" t="n">
        <x:v>5</x:v>
      </x:c>
      <x:c r="F27" s="431" t="str">
        <x:v>feature/result-persistence</x:v>
      </x:c>
      <x:c r="G27" s="431" t="str">
        <x:v>Run-directory and overwrite-protection tests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dbfc79909542f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970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971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972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973</x:v>
      </x:c>
      <x:c r="B5" s="240"/>
      <x:c r="C5" s="241" t="s">
        <x:v>974</x:v>
      </x:c>
      <x:c r="D5" s="242"/>
      <x:c r="E5" s="242"/>
      <x:c r="F5" s="242"/>
      <x:c r="G5" s="242"/>
      <x:c r="H5" s="243"/>
    </x:row>
    <x:row r="6" ht="33.95000076293945" customHeight="1">
      <x:c r="A6" s="239" t="s">
        <x:v>975</x:v>
      </x:c>
      <x:c r="B6" s="240"/>
      <x:c r="C6" s="241" t="s">
        <x:v>976</x:v>
      </x:c>
      <x:c r="D6" s="242"/>
      <x:c r="E6" s="242"/>
      <x:c r="F6" s="242"/>
      <x:c r="G6" s="242"/>
      <x:c r="H6" s="243"/>
    </x:row>
    <x:row r="7" ht="33.95000076293945" customHeight="1">
      <x:c r="A7" s="239" t="s">
        <x:v>977</x:v>
      </x:c>
      <x:c r="B7" s="240"/>
      <x:c r="C7" s="241" t="s">
        <x:v>978</x:v>
      </x:c>
      <x:c r="D7" s="242"/>
      <x:c r="E7" s="242"/>
      <x:c r="F7" s="242"/>
      <x:c r="G7" s="242"/>
      <x:c r="H7" s="243"/>
    </x:row>
    <x:row r="8" ht="33.95000076293945" customHeight="1">
      <x:c r="A8" s="239" t="s">
        <x:v>979</x:v>
      </x:c>
      <x:c r="B8" s="240"/>
      <x:c r="C8" s="241" t="s">
        <x:v>980</x:v>
      </x:c>
      <x:c r="D8" s="242"/>
      <x:c r="E8" s="242"/>
      <x:c r="F8" s="242"/>
      <x:c r="G8" s="242"/>
      <x:c r="H8" s="243"/>
    </x:row>
    <x:row r="9" ht="33.95000076293945" customHeight="1">
      <x:c r="A9" s="239" t="s">
        <x:v>981</x:v>
      </x:c>
      <x:c r="B9" s="240"/>
      <x:c r="C9" s="241" t="s">
        <x:v>982</x:v>
      </x:c>
      <x:c r="D9" s="242"/>
      <x:c r="E9" s="242"/>
      <x:c r="F9" s="242"/>
      <x:c r="G9" s="242"/>
      <x:c r="H9" s="243"/>
    </x:row>
    <x:row r="11" ht="15">
      <x:c r="A11" s="238" t="s">
        <x:v>983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984</x:v>
      </x:c>
      <x:c r="B12" s="180" t="s">
        <x:v>985</x:v>
      </x:c>
      <x:c r="C12" s="180" t="s">
        <x:v>986</x:v>
      </x:c>
      <x:c r="D12" s="180" t="s">
        <x:v>987</x:v>
      </x:c>
      <x:c r="E12" s="180" t="s">
        <x:v>988</x:v>
      </x:c>
      <x:c r="F12" s="180" t="s">
        <x:v>782</x:v>
      </x:c>
      <x:c r="G12" s="180" t="s">
        <x:v>117</x:v>
      </x:c>
      <x:c r="H12" s="181" t="s">
        <x:v>989</x:v>
      </x:c>
    </x:row>
    <x:row r="13" ht="78" customHeight="1">
      <x:c r="A13" s="182" t="s">
        <x:v>82</x:v>
      </x:c>
      <x:c r="B13" s="183" t="s">
        <x:v>990</x:v>
      </x:c>
      <x:c r="C13" s="183" t="s">
        <x:v>991</x:v>
      </x:c>
      <x:c r="D13" s="183" t="s">
        <x:v>992</x:v>
      </x:c>
      <x:c r="E13" s="183" t="s">
        <x:v>993</x:v>
      </x:c>
      <x:c r="F13" s="183" t="s">
        <x:v>994</x:v>
      </x:c>
      <x:c r="G13" s="183" t="s">
        <x:v>615</x:v>
      </x:c>
      <x:c r="H13" s="184" t="s">
        <x:v>995</x:v>
      </x:c>
    </x:row>
    <x:row r="14" ht="78" customHeight="1">
      <x:c r="A14" s="185" t="s">
        <x:v>6</x:v>
      </x:c>
      <x:c r="B14" s="83" t="s">
        <x:v>996</x:v>
      </x:c>
      <x:c r="C14" s="83" t="s">
        <x:v>997</x:v>
      </x:c>
      <x:c r="D14" s="83" t="s">
        <x:v>998</x:v>
      </x:c>
      <x:c r="E14" s="83" t="s">
        <x:v>999</x:v>
      </x:c>
      <x:c r="F14" s="83" t="s">
        <x:v>1000</x:v>
      </x:c>
      <x:c r="G14" s="83" t="s">
        <x:v>794</x:v>
      </x:c>
      <x:c r="H14" s="186" t="s">
        <x:v>1001</x:v>
      </x:c>
    </x:row>
    <x:row r="15" ht="78" customHeight="1">
      <x:c r="A15" s="185" t="s">
        <x:v>9</x:v>
      </x:c>
      <x:c r="B15" s="83" t="s">
        <x:v>996</x:v>
      </x:c>
      <x:c r="C15" s="83" t="s">
        <x:v>1002</x:v>
      </x:c>
      <x:c r="D15" s="83" t="s">
        <x:v>1003</x:v>
      </x:c>
      <x:c r="E15" s="83" t="s">
        <x:v>1004</x:v>
      </x:c>
      <x:c r="F15" s="83" t="s">
        <x:v>1005</x:v>
      </x:c>
      <x:c r="G15" s="83" t="s">
        <x:v>794</x:v>
      </x:c>
      <x:c r="H15" s="186" t="s">
        <x:v>1006</x:v>
      </x:c>
    </x:row>
    <x:row r="16" ht="78" customHeight="1">
      <x:c r="A16" s="185" t="s">
        <x:v>12</x:v>
      </x:c>
      <x:c r="B16" s="83" t="s">
        <x:v>996</x:v>
      </x:c>
      <x:c r="C16" s="83" t="s">
        <x:v>1007</x:v>
      </x:c>
      <x:c r="D16" s="83" t="s">
        <x:v>1008</x:v>
      </x:c>
      <x:c r="E16" s="83" t="s">
        <x:v>1009</x:v>
      </x:c>
      <x:c r="F16" s="83" t="s">
        <x:v>1010</x:v>
      </x:c>
      <x:c r="G16" s="83" t="s">
        <x:v>794</x:v>
      </x:c>
      <x:c r="H16" s="186" t="s">
        <x:v>1011</x:v>
      </x:c>
    </x:row>
    <x:row r="17" ht="78" customHeight="1">
      <x:c r="A17" s="185" t="s">
        <x:v>16</x:v>
      </x:c>
      <x:c r="B17" s="83" t="s">
        <x:v>996</x:v>
      </x:c>
      <x:c r="C17" s="83" t="s">
        <x:v>1012</x:v>
      </x:c>
      <x:c r="D17" s="83" t="s">
        <x:v>1013</x:v>
      </x:c>
      <x:c r="E17" s="83" t="s">
        <x:v>1014</x:v>
      </x:c>
      <x:c r="F17" s="83" t="s">
        <x:v>1015</x:v>
      </x:c>
      <x:c r="G17" s="83" t="s">
        <x:v>794</x:v>
      </x:c>
      <x:c r="H17" s="186" t="s">
        <x:v>1016</x:v>
      </x:c>
    </x:row>
    <x:row r="18" ht="78" customHeight="1">
      <x:c r="A18" s="185" t="s">
        <x:v>19</x:v>
      </x:c>
      <x:c r="B18" s="83" t="s">
        <x:v>996</x:v>
      </x:c>
      <x:c r="C18" s="83" t="s">
        <x:v>1017</x:v>
      </x:c>
      <x:c r="D18" s="83" t="s">
        <x:v>1018</x:v>
      </x:c>
      <x:c r="E18" s="83" t="s">
        <x:v>1019</x:v>
      </x:c>
      <x:c r="F18" s="83" t="s">
        <x:v>1020</x:v>
      </x:c>
      <x:c r="G18" s="83" t="s">
        <x:v>794</x:v>
      </x:c>
      <x:c r="H18" s="186" t="s">
        <x:v>1021</x:v>
      </x:c>
    </x:row>
    <x:row r="19" ht="78" customHeight="1">
      <x:c r="A19" s="187" t="s">
        <x:v>22</x:v>
      </x:c>
      <x:c r="B19" s="188" t="s">
        <x:v>1022</x:v>
      </x:c>
      <x:c r="C19" s="188" t="s">
        <x:v>1023</x:v>
      </x:c>
      <x:c r="D19" s="188" t="s">
        <x:v>1024</x:v>
      </x:c>
      <x:c r="E19" s="188" t="s">
        <x:v>1025</x:v>
      </x:c>
      <x:c r="F19" s="188" t="s">
        <x:v>1026</x:v>
      </x:c>
      <x:c r="G19" s="188" t="s">
        <x:v>1027</x:v>
      </x:c>
      <x:c r="H19" s="189" t="s">
        <x:v>1028</x:v>
      </x:c>
    </x:row>
    <x:row r="21" ht="15">
      <x:c r="A21" s="238" t="s">
        <x:v>1029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1030</x:v>
      </x:c>
      <x:c r="B22" s="240"/>
      <x:c r="C22" s="241" t="s">
        <x:v>1031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1032</x:v>
      </x:c>
      <x:c r="B23" s="240"/>
      <x:c r="C23" s="241" t="s">
        <x:v>1033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1034</x:v>
      </x:c>
      <x:c r="B24" s="240"/>
      <x:c r="C24" s="241" t="s">
        <x:v>1035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1036</x:v>
      </x:c>
      <x:c r="B25" s="240"/>
      <x:c r="C25" s="241" t="s">
        <x:v>1037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1038</x:v>
      </x:c>
      <x:c r="B26" s="240"/>
      <x:c r="C26" s="241" t="s">
        <x:v>1039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1040</x:v>
      </x:c>
      <x:c r="B27" s="240"/>
      <x:c r="C27" s="241" t="s">
        <x:v>1041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1006</x:v>
      </x:c>
      <x:c r="B28" s="240"/>
      <x:c r="C28" s="241" t="s">
        <x:v>1042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1043</x:v>
      </x:c>
      <x:c r="B29" s="240"/>
      <x:c r="C29" s="241" t="s">
        <x:v>1044</x:v>
      </x:c>
      <x:c r="D29" s="242"/>
      <x:c r="E29" s="242"/>
      <x:c r="F29" s="242"/>
      <x:c r="G29" s="242"/>
      <x:c r="H29" s="243"/>
    </x:row>
    <x:row r="31" ht="15">
      <x:c r="A31" s="238" t="s">
        <x:v>1045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1046</x:v>
      </x:c>
      <x:c r="B32" s="240"/>
      <x:c r="C32" s="241" t="s">
        <x:v>1047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1048</x:v>
      </x:c>
      <x:c r="B33" s="240"/>
      <x:c r="C33" s="241" t="s">
        <x:v>1049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1050</x:v>
      </x:c>
      <x:c r="B34" s="240"/>
      <x:c r="C34" s="241" t="s">
        <x:v>1051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1052</x:v>
      </x:c>
      <x:c r="B35" s="240"/>
      <x:c r="C35" s="241" t="s">
        <x:v>1053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1054</x:v>
      </x:c>
      <x:c r="B36" s="240"/>
      <x:c r="C36" s="241" t="s">
        <x:v>1055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1056</x:v>
      </x:c>
      <x:c r="B37" s="240"/>
      <x:c r="C37" s="241" t="s">
        <x:v>1057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1058</x:v>
      </x:c>
      <x:c r="B38" s="240"/>
      <x:c r="C38" s="241" t="s">
        <x:v>1059</x:v>
      </x:c>
      <x:c r="D38" s="242"/>
      <x:c r="E38" s="242"/>
      <x:c r="F38" s="242"/>
      <x:c r="G38" s="242"/>
      <x:c r="H38" s="243"/>
    </x:row>
    <x:row r="40" ht="15">
      <x:c r="A40" s="238" t="s">
        <x:v>1060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1061</x:v>
      </x:c>
      <x:c r="B41" s="240"/>
      <x:c r="C41" s="241" t="s">
        <x:v>1062</x:v>
      </x:c>
      <x:c r="D41" s="242"/>
      <x:c r="E41" s="242"/>
      <x:c r="F41" s="242"/>
      <x:c r="G41" s="242"/>
      <x:c r="H41" s="243"/>
    </x:row>
    <x:row r="42" ht="42" customHeight="1">
      <x:c r="A42" s="239" t="s">
        <x:v>1063</x:v>
      </x:c>
      <x:c r="B42" s="240"/>
      <x:c r="C42" s="241" t="s">
        <x:v>1064</x:v>
      </x:c>
      <x:c r="D42" s="242"/>
      <x:c r="E42" s="242"/>
      <x:c r="F42" s="242"/>
      <x:c r="G42" s="242"/>
      <x:c r="H42" s="243"/>
    </x:row>
    <x:row r="43" ht="42" customHeight="1">
      <x:c r="A43" s="239" t="s">
        <x:v>1065</x:v>
      </x:c>
      <x:c r="B43" s="240"/>
      <x:c r="C43" s="241" t="s">
        <x:v>1066</x:v>
      </x:c>
      <x:c r="D43" s="242"/>
      <x:c r="E43" s="242"/>
      <x:c r="F43" s="242"/>
      <x:c r="G43" s="242"/>
      <x:c r="H43" s="243"/>
    </x:row>
    <x:row r="44" ht="42" customHeight="1">
      <x:c r="A44" s="239" t="s">
        <x:v>1067</x:v>
      </x:c>
      <x:c r="B44" s="240"/>
      <x:c r="C44" s="241" t="s">
        <x:v>1068</x:v>
      </x:c>
      <x:c r="D44" s="242"/>
      <x:c r="E44" s="242"/>
      <x:c r="F44" s="242"/>
      <x:c r="G44" s="242"/>
      <x:c r="H44" s="243"/>
    </x:row>
    <x:row r="45" ht="42" customHeight="1">
      <x:c r="A45" s="239" t="s">
        <x:v>1069</x:v>
      </x:c>
      <x:c r="B45" s="240"/>
      <x:c r="C45" s="241" t="s">
        <x:v>1070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