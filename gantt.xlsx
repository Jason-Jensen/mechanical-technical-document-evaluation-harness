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f5e675775104baf" /></Relationships>
</file>

<file path=xl/workbook.xml><?xml version="1.0" encoding="utf-8"?>
<x:workbook xmlns:x="http://schemas.openxmlformats.org/spreadsheetml/2006/main">
  <x:sheets>
    <x:sheet xmlns:r="http://schemas.openxmlformats.org/officeDocument/2006/relationships" name="Start Here" sheetId="1" r:id="Rd334544375b74c41"/>
    <x:sheet xmlns:r="http://schemas.openxmlformats.org/officeDocument/2006/relationships" name="Executive Gantt" sheetId="2" r:id="Rb2434a23a76d41d3"/>
    <x:sheet xmlns:r="http://schemas.openxmlformats.org/officeDocument/2006/relationships" name="Detailed Gantt" sheetId="3" r:id="Rec648857776c49a8"/>
    <x:sheet xmlns:r="http://schemas.openxmlformats.org/officeDocument/2006/relationships" name="Weekly Control" sheetId="4" r:id="R57d609fd4a464832"/>
    <x:sheet xmlns:r="http://schemas.openxmlformats.org/officeDocument/2006/relationships" name="Phase Summary" sheetId="5" r:id="Rd1878ad4a8dd4fee"/>
    <x:sheet xmlns:r="http://schemas.openxmlformats.org/officeDocument/2006/relationships" name="Assumptions &amp; Gates" sheetId="6" r:id="R2158721703004504"/>
    <x:sheet xmlns:r="http://schemas.openxmlformats.org/officeDocument/2006/relationships" name="Sources" sheetId="7" r:id="R854a06eedb474765"/>
    <x:sheet xmlns:r="http://schemas.openxmlformats.org/officeDocument/2006/relationships" name="Legacy Baseline" sheetId="8" r:id="Re62aad021bbe4547"/>
    <x:sheet xmlns:r="http://schemas.openxmlformats.org/officeDocument/2006/relationships" name="Work Block Log" sheetId="9" r:id="R74e37c246da2449b"/>
    <x:sheet xmlns:r="http://schemas.openxmlformats.org/officeDocument/2006/relationships" name="Decision Register" sheetId="10" r:id="R72f27c3ead5a4817"/>
    <x:sheet xmlns:r="http://schemas.openxmlformats.org/officeDocument/2006/relationships" name="Risks &amp; Issues" sheetId="11" r:id="Rf43dfdbb5ee849bc"/>
    <x:sheet xmlns:r="http://schemas.openxmlformats.org/officeDocument/2006/relationships" name="Evidence Register" sheetId="12" r:id="R12d29db62f234210"/>
    <x:sheet xmlns:r="http://schemas.openxmlformats.org/officeDocument/2006/relationships" name="Expansion Backlog" sheetId="13" r:id="R99bff0335e4a4d40"/>
    <x:sheet xmlns:r="http://schemas.openxmlformats.org/officeDocument/2006/relationships" name="AI Context" sheetId="14" r:id="R7bc913f16d0b40c6"/>
    <x:sheet xmlns:r="http://schemas.openxmlformats.org/officeDocument/2006/relationships" name="MVP Dashboard" sheetId="15" r:id="Rbac5efbcb9a54398"/>
    <x:sheet xmlns:r="http://schemas.openxmlformats.org/officeDocument/2006/relationships" name="Product Vision" sheetId="16" r:id="R1b9c936388ef4d37"/>
    <x:sheet xmlns:r="http://schemas.openxmlformats.org/officeDocument/2006/relationships" name="Pilot Gantt" sheetId="17" r:id="R9f321f54a1874d81"/>
    <x:sheet xmlns:r="http://schemas.openxmlformats.org/officeDocument/2006/relationships" name="Pilot Dashboard" sheetId="18" r:id="Rc9c7ffd65ce4460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<x:sst xmlns:x="http://schemas.openxmlformats.org/spreadsheetml/2006/main">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</x:sst>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331bca0c47a4a1e" /><Relationship Type="http://schemas.openxmlformats.org/officeDocument/2006/relationships/theme" Target="/xl/theme/theme1.xml" Id="R50ca9835eea34ec9" /><Relationship Type="http://schemas.openxmlformats.org/officeDocument/2006/relationships/sharedStrings" Target="/xl/sharedStrings.xml" Id="R23591fcc281a43d8" /><Relationship Type="http://schemas.openxmlformats.org/officeDocument/2006/relationships/worksheet" Target="/xl/worksheets/sheet1.xml" Id="Rd334544375b74c41" /><Relationship Type="http://schemas.openxmlformats.org/officeDocument/2006/relationships/worksheet" Target="/xl/worksheets/sheet2.xml" Id="Rb2434a23a76d41d3" /><Relationship Type="http://schemas.openxmlformats.org/officeDocument/2006/relationships/worksheet" Target="/xl/worksheets/sheet3.xml" Id="Rec648857776c49a8" /><Relationship Type="http://schemas.openxmlformats.org/officeDocument/2006/relationships/worksheet" Target="/xl/worksheets/sheet4.xml" Id="R57d609fd4a464832" /><Relationship Type="http://schemas.openxmlformats.org/officeDocument/2006/relationships/worksheet" Target="/xl/worksheets/sheet5.xml" Id="Rd1878ad4a8dd4fee" /><Relationship Type="http://schemas.openxmlformats.org/officeDocument/2006/relationships/worksheet" Target="/xl/worksheets/sheet6.xml" Id="R2158721703004504" /><Relationship Type="http://schemas.openxmlformats.org/officeDocument/2006/relationships/worksheet" Target="/xl/worksheets/sheet7.xml" Id="R854a06eedb474765" /><Relationship Type="http://schemas.openxmlformats.org/officeDocument/2006/relationships/worksheet" Target="/xl/worksheets/sheet8.xml" Id="Re62aad021bbe4547" /><Relationship Type="http://schemas.openxmlformats.org/officeDocument/2006/relationships/worksheet" Target="/xl/worksheets/sheet9.xml" Id="R74e37c246da2449b" /><Relationship Type="http://schemas.openxmlformats.org/officeDocument/2006/relationships/worksheet" Target="/xl/worksheets/sheet10.xml" Id="R72f27c3ead5a4817" /><Relationship Type="http://schemas.openxmlformats.org/officeDocument/2006/relationships/worksheet" Target="/xl/worksheets/sheet11.xml" Id="Rf43dfdbb5ee849bc" /><Relationship Type="http://schemas.openxmlformats.org/officeDocument/2006/relationships/worksheet" Target="/xl/worksheets/sheet12.xml" Id="R12d29db62f234210" /><Relationship Type="http://schemas.openxmlformats.org/officeDocument/2006/relationships/worksheet" Target="/xl/worksheets/sheet13.xml" Id="R99bff0335e4a4d40" /><Relationship Type="http://schemas.openxmlformats.org/officeDocument/2006/relationships/worksheet" Target="/xl/worksheets/sheet14.xml" Id="R7bc913f16d0b40c6" /><Relationship Type="http://schemas.openxmlformats.org/officeDocument/2006/relationships/worksheet" Target="/xl/worksheets/sheet15.xml" Id="Rbac5efbcb9a54398" /><Relationship Type="http://schemas.openxmlformats.org/officeDocument/2006/relationships/worksheet" Target="/xl/worksheets/sheet16.xml" Id="R1b9c936388ef4d37" /><Relationship Type="http://schemas.openxmlformats.org/officeDocument/2006/relationships/worksheet" Target="/xl/worksheets/sheet17.xml" Id="R9f321f54a1874d81" /><Relationship Type="http://schemas.openxmlformats.org/officeDocument/2006/relationships/worksheet" Target="/xl/worksheets/sheet18.xml" Id="Rc9c7ffd65ce44602" /></Relationships>
</file>

<file path=xl/drawings/_rels/drawing1.xml.rels>&#65279;<?xml version="1.0" encoding="utf-8"?><Relationships xmlns="http://schemas.openxmlformats.org/package/2006/relationships"><Relationship Type="http://schemas.openxmlformats.org/officeDocument/2006/relationships/chart" Target="/xl/drawings/charts/chart1.xml" Id="R8476e89536f647c8" /></Relationships>
</file>

<file path=xl/drawings/_rels/drawing2.xml.rels>&#65279;<?xml version="1.0" encoding="utf-8"?><Relationships xmlns="http://schemas.openxmlformats.org/package/2006/relationships"><Relationship Type="http://schemas.openxmlformats.org/officeDocument/2006/relationships/chart" Target="/xl/drawings/charts/chart2.xml" Id="R66d42173b9f24abc" /></Relationships>
</file>

<file path=xl/drawings/_rels/drawing3.xml.rels>&#65279;<?xml version="1.0" encoding="utf-8"?><Relationships xmlns="http://schemas.openxmlformats.org/package/2006/relationships"><Relationship Type="http://schemas.openxmlformats.org/officeDocument/2006/relationships/chart" Target="/xl/drawings/charts/chart3.xml" Id="R3f17346c11434c8f"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76e89536f647c8"/>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6d42173b9f24ab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f17346c11434c8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7c6bf02451d4fd9" /></Relationships>
</file>

<file path=xl/worksheets/_rels/sheet5.xml.rels>&#65279;<?xml version="1.0" encoding="utf-8"?><Relationships xmlns="http://schemas.openxmlformats.org/package/2006/relationships"><Relationship Type="http://schemas.openxmlformats.org/officeDocument/2006/relationships/drawing" Target="/xl/drawings/drawing2.xml" Id="R9d93c902be064734" /></Relationships>
</file>

<file path=xl/worksheets/_rels/sheet15.xml.rels>&#65279;<?xml version="1.0" encoding="utf-8"?><Relationships xmlns="http://schemas.openxmlformats.org/package/2006/relationships"><Relationship Type="http://schemas.openxmlformats.org/officeDocument/2006/relationships/drawing" Target="/xl/drawings/drawing3.xml" Id="R41983da841de436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reverse-authority definition accepted; PR #32 integration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reverse drawing-metadata authority definition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accepted drawing metadata register authority definition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Merge PR #32, verify exact main, then create only the scoped implementation branch</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The user accepted all three drawing_metadata_register_authority v0.3.0 definition decisions on 2026-07-17: missing_authoritative_information routing, narrow AUTH-DWG-001 current-revision authority, and exact metadata plus row-1 header-anchored register membership evidence. Definition commit b9b9c09 is on draft PR #32, mergeable, with both CI checks green. Merge and verify PR #32 before creating the implementation branch. No implementation, downstream relationship, routing, report, CLI, semantic held-out execution, or deferred capability is authorized before exact integration.</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7c6bf02451d4fd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d93c902be064734"/>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reverse drawing-metadata authority definition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two P2.2 drawing relationship behaviors are integrated through main 36338c0. The user accepted the third-direction definition on 2026-07-17. PR #32 integration and exact merged-tree verification are pending. Only then may drawing_metadata_register_authority v0.3.0 be implemented.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Merge PR #32, verify exact main, then implement only drawing_metadata_register_authority v0.3.0 on a fresh branch.</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user accepted drawing_metadata_register_authority v0.3.0 on 2026-07-17. It will be the third ordered relationship check after verified PR #32 integration. Metadata with no exact register row routes to missing_authoritative_information, high severity, release_hold true, AUTH-DWG-001, and document_control. AUTH-DWG-001 is applied only to the metadata current-revision authority path. Evidence is the metadata drawing_number locator plus a drawing-register CSV membership locator anchored to row 1 / the drawing_number header so no nonexistent data row is fabricated. Temporary removal of DOC-DWG-001 leaves all eight P2.1 gates and both accepted P2.2 checks passing. PR #32 is green at b9b9c09; merge and exact main verification remain required before code.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1983da841de436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x:v>
      </x:c>
      <x:c r="M12" s="662" t="n">
        <x:f>SUMIF('Work Block Log'!$E$5:$E$200,A12,'Work Block Log'!$F$5:$F$200)</x:f>
        <x:v>0</x:v>
      </x:c>
      <x:c r="N12" s="662" t="n">
        <x:f>MAX(F12*(1-L12),0)</x:f>
        <x:v>2.4</x:v>
      </x:c>
      <x:c r="O12" s="662" t="n">
        <x:f>M12-F12</x:f>
        <x:v>-4</x:v>
      </x:c>
      <x:c r="P12" s="431" t="str">
        <x:v>first slice integrated through PR #28 at main 5866212; second slice integrated through PR #31 at main 36338c0; reverse-authority definition accepted 2026-07-17 at b9b9c09 on green draft PR #32; codex/p2.2-drawing-metadata-orphan-definition; D-049-D-061; EV-046-EV-058; focused 35; full 206/1; validation 5/5; Ruff; coverage 84.93%</x:v>
      </x:c>
      <x:c r="Q12" s="431" t="str">
        <x:v>Merge PR #32, verify exact main and protected-asset integrity, then create only the drawing metadata register authority implementation branch.</x:v>
      </x:c>
      <x:c r="R12" s="431" t="str">
        <x:v>Two drawing checks are integrated. The third definition is accepted and awaits integration. Its implementation remains blocked until exact main verification. P2.2 stays open for additional relationship outcomes.</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0.36086956521739133</x:v>
      </x:c>
      <x:c r="M24" s="683" t="n">
        <x:f>SUM(M6:M22)</x:f>
        <x:v>0</x:v>
      </x:c>
      <x:c r="N24" s="683" t="n">
        <x:f>SUM(N6:N22)</x:f>
        <x:v>29.4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Third P2.2 Direction Definition Accepted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register authority definition integration</x:v>
      </x:c>
      <x:c r="H4" s="697"/>
    </x:row>
    <x:row r="5" ht="54" customHeight="1">
      <x:c r="A5" s="688" t="str">
        <x:v>Schedule Baseline</x:v>
      </x:c>
      <x:c r="B5" s="693" t="str">
        <x:v>Legacy only; not controlling</x:v>
      </x:c>
      <x:c r="C5" s="691"/>
      <x:c r="D5" s="691"/>
      <x:c r="F5" s="696" t="str">
        <x:v>Objective</x:v>
      </x:c>
      <x:c r="G5" s="697" t="str">
        <x:v>Integrate the accepted reverse-authority contract and verify the exact main implementation baseline.</x:v>
      </x:c>
      <x:c r="H5" s="697"/>
    </x:row>
    <x:row r="6" ht="54" customHeight="1">
      <x:c r="A6" s="688" t="str">
        <x:v>Time Tracking</x:v>
      </x:c>
      <x:c r="B6" s="693" t="str">
        <x:v>Waived prospectively</x:v>
      </x:c>
      <x:c r="C6" s="691"/>
      <x:c r="D6" s="691"/>
      <x:c r="F6" s="696" t="str">
        <x:v>Gate Status</x:v>
      </x:c>
      <x:c r="G6" s="697" t="str">
        <x:v>The user accepted all three definition decisions; PR #32 is mergeable and green at b9b9c09.</x:v>
      </x:c>
      <x:c r="H6" s="697"/>
    </x:row>
    <x:row r="7" ht="54" customHeight="1">
      <x:c r="A7" s="688" t="str">
        <x:v>Current Gate</x:v>
      </x:c>
      <x:c r="B7" s="694" t="str">
        <x:v>P2.2 reverse drawing-metadata authority definition integration</x:v>
      </x:c>
      <x:c r="C7" s="691"/>
      <x:c r="D7" s="691"/>
      <x:c r="F7" s="696" t="str">
        <x:v>Definition of Done</x:v>
      </x:c>
      <x:c r="G7" s="697" t="str">
        <x:v>PR #32 merges, exact main verification passes, and protected assets remain unchanged.</x:v>
      </x:c>
      <x:c r="H7" s="697"/>
    </x:row>
    <x:row r="8" ht="63" customHeight="1">
      <x:c r="A8" s="688" t="str">
        <x:v>Released Kernel</x:v>
      </x:c>
      <x:c r="B8" s="691" t="str">
        <x:v>v0.2.0 / commit 45336a2</x:v>
      </x:c>
      <x:c r="C8" s="691"/>
      <x:c r="D8" s="691"/>
      <x:c r="F8" s="696" t="str">
        <x:v>Immediate Next Action</x:v>
      </x:c>
      <x:c r="G8" s="697" t="str">
        <x:v>Merge PR #32, verify main, then create only the scoped implementation branch.</x:v>
      </x:c>
      <x:c r="H8" s="697"/>
    </x:row>
    <x:row r="9" ht="63" customHeight="1">
      <x:c r="A9" s="688" t="str">
        <x:v>Release Target</x:v>
      </x:c>
      <x:c r="B9" s="691" t="str">
        <x:v>v0.3.0</x:v>
      </x:c>
      <x:c r="C9" s="691"/>
      <x:c r="D9" s="691"/>
      <x:c r="F9" s="696" t="str">
        <x:v>Primary Risk</x:v>
      </x:c>
      <x:c r="G9" s="697" t="str">
        <x:v>Primary risk is beginning code before the accepted definition is part of the verified main baseline.</x:v>
      </x:c>
      <x:c r="H9" s="697"/>
    </x:row>
    <x:row r="10" ht="63" customHeight="1">
      <x:c r="A10" s="688" t="str">
        <x:v>Baseline Test Count</x:v>
      </x:c>
      <x:c r="B10" s="691" t="n">
        <x:v>121</x:v>
      </x:c>
      <x:c r="C10" s="691"/>
      <x:c r="D10" s="691"/>
      <x:c r="F10" s="696" t="str">
        <x:v>Deferred</x:v>
      </x:c>
      <x:c r="G10" s="697" t="str">
        <x:v>Third-direction implementation before integration,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Two P2.2 drawing outcomes are integrated; reverse-authority definition accepted and awaiting integration; broader P2.2 remains open</x:v>
      </x:c>
      <x:c r="D17" s="700" t="n">
        <x:f>AVERAGE('Pilot Gantt'!L11:L14)</x:f>
        <x:v>0.35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metadata register authority definition integration</x:v>
      </x:c>
      <x:c r="D27" s="431" t="str">
        <x:v>Integrate the accepted missing-authority definition, verify exact main, then open only the scoped implementation block.</x:v>
      </x:c>
      <x:c r="E27" s="431" t="str">
        <x:v>Accepted / Integration</x:v>
      </x:c>
      <x:c r="F27" s="431" t="str">
        <x:v>codex/p2.2-drawing-metadata-orphan-definition</x:v>
      </x:c>
      <x:c r="G27" s="431" t="str">
        <x:v>b9b9c09; draft PR #32 green; user accepted 2026-07-17; D-059-D-061; EV-056-EV-058; focused 35; full 206/1; coverage 84.93%</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