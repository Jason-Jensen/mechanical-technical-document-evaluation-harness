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45ec0c46296499d" /></Relationships>
</file>

<file path=xl/workbook.xml><?xml version="1.0" encoding="utf-8"?>
<x:workbook xmlns:x="http://schemas.openxmlformats.org/spreadsheetml/2006/main">
  <x:sheets>
    <x:sheet xmlns:r="http://schemas.openxmlformats.org/officeDocument/2006/relationships" name="Start Here" sheetId="1" r:id="R50b97ca298084c47"/>
    <x:sheet xmlns:r="http://schemas.openxmlformats.org/officeDocument/2006/relationships" name="Executive Gantt" sheetId="2" r:id="R63838ebbdebe44e6"/>
    <x:sheet xmlns:r="http://schemas.openxmlformats.org/officeDocument/2006/relationships" name="Detailed Gantt" sheetId="3" r:id="R576375a9412e4fde"/>
    <x:sheet xmlns:r="http://schemas.openxmlformats.org/officeDocument/2006/relationships" name="Weekly Control" sheetId="4" r:id="R731ab480f7044155"/>
    <x:sheet xmlns:r="http://schemas.openxmlformats.org/officeDocument/2006/relationships" name="Phase Summary" sheetId="5" r:id="Rb63ce945e2334d77"/>
    <x:sheet xmlns:r="http://schemas.openxmlformats.org/officeDocument/2006/relationships" name="Assumptions &amp; Gates" sheetId="6" r:id="R05bc07391ae64551"/>
    <x:sheet xmlns:r="http://schemas.openxmlformats.org/officeDocument/2006/relationships" name="Sources" sheetId="7" r:id="R87d2144ee54b4fa0"/>
    <x:sheet xmlns:r="http://schemas.openxmlformats.org/officeDocument/2006/relationships" name="Legacy Baseline" sheetId="8" r:id="R697b5755df4643ca"/>
    <x:sheet xmlns:r="http://schemas.openxmlformats.org/officeDocument/2006/relationships" name="Work Block Log" sheetId="9" r:id="R5761fa3672fb4d46"/>
    <x:sheet xmlns:r="http://schemas.openxmlformats.org/officeDocument/2006/relationships" name="Decision Register" sheetId="10" r:id="Rf9277467ed5c4811"/>
    <x:sheet xmlns:r="http://schemas.openxmlformats.org/officeDocument/2006/relationships" name="Risks &amp; Issues" sheetId="11" r:id="R3deb893c9eb04f96"/>
    <x:sheet xmlns:r="http://schemas.openxmlformats.org/officeDocument/2006/relationships" name="Evidence Register" sheetId="12" r:id="R492aab7ef744427f"/>
    <x:sheet xmlns:r="http://schemas.openxmlformats.org/officeDocument/2006/relationships" name="Expansion Backlog" sheetId="13" r:id="R9e288cd26e374c14"/>
    <x:sheet xmlns:r="http://schemas.openxmlformats.org/officeDocument/2006/relationships" name="AI Context" sheetId="14" r:id="Rfaa3cab2ba294f6f"/>
    <x:sheet xmlns:r="http://schemas.openxmlformats.org/officeDocument/2006/relationships" name="MVP Dashboard" sheetId="15" r:id="R5013b2f9749c42db"/>
    <x:sheet xmlns:r="http://schemas.openxmlformats.org/officeDocument/2006/relationships" name="Product Vision" sheetId="16" r:id="R950979cbe9cf43df"/>
    <x:sheet xmlns:r="http://schemas.openxmlformats.org/officeDocument/2006/relationships" name="Pilot Gantt" sheetId="17" r:id="R3848856a8a82453a"/>
    <x:sheet xmlns:r="http://schemas.openxmlformats.org/officeDocument/2006/relationships" name="Pilot Dashboard" sheetId="18" r:id="R60fc868f093d45f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<x:sst xmlns:x="http://schemas.openxmlformats.org/spreadsheetml/2006/main">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</x:sst>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9">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cb7332bac849d4" /><Relationship Type="http://schemas.openxmlformats.org/officeDocument/2006/relationships/theme" Target="/xl/theme/theme1.xml" Id="R0e5b52e2e7c4419a" /><Relationship Type="http://schemas.openxmlformats.org/officeDocument/2006/relationships/sharedStrings" Target="/xl/sharedStrings.xml" Id="Rf6f464a88fdd4263" /><Relationship Type="http://schemas.openxmlformats.org/officeDocument/2006/relationships/worksheet" Target="/xl/worksheets/sheet1.xml" Id="R50b97ca298084c47" /><Relationship Type="http://schemas.openxmlformats.org/officeDocument/2006/relationships/worksheet" Target="/xl/worksheets/sheet2.xml" Id="R63838ebbdebe44e6" /><Relationship Type="http://schemas.openxmlformats.org/officeDocument/2006/relationships/worksheet" Target="/xl/worksheets/sheet3.xml" Id="R576375a9412e4fde" /><Relationship Type="http://schemas.openxmlformats.org/officeDocument/2006/relationships/worksheet" Target="/xl/worksheets/sheet4.xml" Id="R731ab480f7044155" /><Relationship Type="http://schemas.openxmlformats.org/officeDocument/2006/relationships/worksheet" Target="/xl/worksheets/sheet5.xml" Id="Rb63ce945e2334d77" /><Relationship Type="http://schemas.openxmlformats.org/officeDocument/2006/relationships/worksheet" Target="/xl/worksheets/sheet6.xml" Id="R05bc07391ae64551" /><Relationship Type="http://schemas.openxmlformats.org/officeDocument/2006/relationships/worksheet" Target="/xl/worksheets/sheet7.xml" Id="R87d2144ee54b4fa0" /><Relationship Type="http://schemas.openxmlformats.org/officeDocument/2006/relationships/worksheet" Target="/xl/worksheets/sheet8.xml" Id="R697b5755df4643ca" /><Relationship Type="http://schemas.openxmlformats.org/officeDocument/2006/relationships/worksheet" Target="/xl/worksheets/sheet9.xml" Id="R5761fa3672fb4d46" /><Relationship Type="http://schemas.openxmlformats.org/officeDocument/2006/relationships/worksheet" Target="/xl/worksheets/sheet10.xml" Id="Rf9277467ed5c4811" /><Relationship Type="http://schemas.openxmlformats.org/officeDocument/2006/relationships/worksheet" Target="/xl/worksheets/sheet11.xml" Id="R3deb893c9eb04f96" /><Relationship Type="http://schemas.openxmlformats.org/officeDocument/2006/relationships/worksheet" Target="/xl/worksheets/sheet12.xml" Id="R492aab7ef744427f" /><Relationship Type="http://schemas.openxmlformats.org/officeDocument/2006/relationships/worksheet" Target="/xl/worksheets/sheet13.xml" Id="R9e288cd26e374c14" /><Relationship Type="http://schemas.openxmlformats.org/officeDocument/2006/relationships/worksheet" Target="/xl/worksheets/sheet14.xml" Id="Rfaa3cab2ba294f6f" /><Relationship Type="http://schemas.openxmlformats.org/officeDocument/2006/relationships/worksheet" Target="/xl/worksheets/sheet15.xml" Id="R5013b2f9749c42db" /><Relationship Type="http://schemas.openxmlformats.org/officeDocument/2006/relationships/worksheet" Target="/xl/worksheets/sheet16.xml" Id="R950979cbe9cf43df" /><Relationship Type="http://schemas.openxmlformats.org/officeDocument/2006/relationships/worksheet" Target="/xl/worksheets/sheet17.xml" Id="R3848856a8a82453a" /><Relationship Type="http://schemas.openxmlformats.org/officeDocument/2006/relationships/worksheet" Target="/xl/worksheets/sheet18.xml" Id="R60fc868f093d45fa" /></Relationships>
</file>

<file path=xl/drawings/_rels/drawing1.xml.rels>&#65279;<?xml version="1.0" encoding="utf-8"?><Relationships xmlns="http://schemas.openxmlformats.org/package/2006/relationships"><Relationship Type="http://schemas.openxmlformats.org/officeDocument/2006/relationships/chart" Target="/xl/drawings/charts/chart1.xml" Id="R7414f37360d6487f" /></Relationships>
</file>

<file path=xl/drawings/_rels/drawing2.xml.rels>&#65279;<?xml version="1.0" encoding="utf-8"?><Relationships xmlns="http://schemas.openxmlformats.org/package/2006/relationships"><Relationship Type="http://schemas.openxmlformats.org/officeDocument/2006/relationships/chart" Target="/xl/drawings/charts/chart2.xml" Id="Rf8280e5fdc464ad7" /></Relationships>
</file>

<file path=xl/drawings/_rels/drawing3.xml.rels>&#65279;<?xml version="1.0" encoding="utf-8"?><Relationships xmlns="http://schemas.openxmlformats.org/package/2006/relationships"><Relationship Type="http://schemas.openxmlformats.org/officeDocument/2006/relationships/chart" Target="/xl/drawings/charts/chart3.xml" Id="R211a85261cdb484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14f37360d6487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280e5fdc464ad7"/>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11a85261cdb484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cfb36ee349d4db0" /></Relationships>
</file>

<file path=xl/worksheets/_rels/sheet5.xml.rels>&#65279;<?xml version="1.0" encoding="utf-8"?><Relationships xmlns="http://schemas.openxmlformats.org/package/2006/relationships"><Relationship Type="http://schemas.openxmlformats.org/officeDocument/2006/relationships/drawing" Target="/xl/drawings/drawing2.xml" Id="R914ca3d512474627" /></Relationships>
</file>

<file path=xl/worksheets/_rels/sheet15.xml.rels>&#65279;<?xml version="1.0" encoding="utf-8"?><Relationships xmlns="http://schemas.openxmlformats.org/package/2006/relationships"><Relationship Type="http://schemas.openxmlformats.org/officeDocument/2006/relationships/drawing" Target="/xl/drawings/drawing3.xml" Id="R44ff23e64e1442f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D-114 publication stabilization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D-114 corrected and verified; D-116 owner review; product release held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D-114 publication stabilization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and merge PR #68; D-116 remains a separate pending decision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#67 integrated D-115 governance at exact main 540a1f6. The owner accepted D-114 and authorized development-only publication stabilization. A bounded child using the development package reproduced exit 70 without protected access. The exact root cause was the former run-ID-bearing temporary directory: at a 193-character runs root, the first legacy staged output reached 263-264 characters and Python returned FileNotFoundError / errno 2. The correction uses short internal staging and failed-evidence names, preserves immutable final run IDs and all semantic behavior, records exact stage/error diagnostics, and writes a short fallback marker when nested evidence cannot be created. The production-equivalent sentinel stages 46 read-only files, excludes expected assets and inherited PATH/credentials/proxies, preserves exact pre/post hash, and publishes four schema-valid outputs at the same 193-character root. Local focused tests pass 53/53; protected-safe full regression passes 340 with one expected skip at 88.48%; hosted Linux passes 341 at 88.50%, including the sentinel at an adapted 223-character root. Validation 5/5, Ruff, P4.1-DEV-1 22/22, baseline 9/9, and demo 2/2 pass. NC-001 is closed and AIR-010 is controlled. Release remains held by AIR-003 and pending D-116. A final broad search traversed only tracked release-ineligible historical held-out folders; IMP-032 now mandates explicit exclusions. The external D-113 family remains immutable, outside Git, and prohibited from rerun or reuse. PR #68, EV-171-EV-178, R-018, IMP-028, IMP-030-IMP-032, D-114, and proposed D-116 preserve the decisions and proof.</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cfb36ee349d4db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14ca3d51247462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46225</x:v>
      </x:c>
      <x:c r="D28" s="485" t="str">
        <x:v>Active / Release Held</x:v>
      </x:c>
      <x:c r="E28" s="485" t="str">
        <x:v>Binding policy, inventory, impact and risk assessment, minimum controls, evidence, audit, management review, and exact release-hold alignment are valid. Release-ready mode must pass before release.</x:v>
      </x:c>
      <x:c r="F28" s="485" t="str">
        <x:v>PR #67 exact main 540a1f6; D-115; governance/ai_management_system.json; AIMS-POL-001; 22 governance focused; validator coverage 84%; D-114; PR #68 hosted CI green at 1c5216e; local full 340/1 at 88.48%; hosted full 341 at 88.50%; publication sentinel; CI gate</x:v>
      </x:c>
      <x:c r="G28" s="485" t="str">
        <x:v>G0.1 is integrated. D-114 closed NC-001 and controls AIR-010. Preserve AIR-003 and pending D-116;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20" customHeight="1">
      <x:c r="A31" s="438" t="str">
        <x:v>P4.2 Recovery Gate</x:v>
      </x:c>
      <x:c r="B31" s="438" t="str">
        <x:v>Owner review</x:v>
      </x:c>
      <x:c r="C31" s="438" t="n">
        <x:v>46225</x:v>
      </x:c>
      <x:c r="D31" s="438" t="str">
        <x:v>D-116 Proposed / Release Held</x:v>
      </x:c>
      <x:c r="E31" s="438" t="str">
        <x:v>D-114 correction is integrated and the sentinel passes locally and in hosted CI. A new external family may be prepared only after D-116; semantic execution requires a separate verified freeze decision.</x:v>
      </x:c>
      <x:c r="F31" s="438" t="str">
        <x:v>D-114; PR #68; EV-172-EV-178; docs/package_assurance/p4_2_publication_stabilization_review_v0.3.0.md; docs/package_assurance/p4_2_external_benchmark_recovery_definition_v0.3.0.md; AIR-003; IMP-032</x:v>
      </x:c>
      <x:c r="G31" s="438" t="str">
        <x:v>Accept or revise D-116. Do not begin family preparation, semantic execution, P4.3, or release work before the corresponding owner gate.</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Proposed / Owner Review</x:v>
      </x:c>
      <x:c r="F119" s="431" t="str">
        <x:v>P4.2 external benchmark recovery preparation gate</x:v>
      </x:c>
      <x:c r="G119" s="431" t="str">
        <x:v>docs/package_assurance/p4_2_publication_stabilization_review_v0.3.0.md; docs/package_assurance/p4_2_publication_stabilization_evidence_v0.3.0.json; docs/package_assurance/p4_2_external_benchmark_recovery_definition_v0.3.0.md; PR #68; EV-173-EV-178; AIR-003; IMP-028; IMP-031-IMP-032</x:v>
      </x:c>
      <x:c r="H119" s="431" t="str">
        <x:v>D-116 would authorize preparation and independent zero-run freeze only. It would not authorize semantic execution, D-113 reuse, repository import of protected assets, semantic changes, P4.3, public reruns, or release claims. A separate proposed D-117 must return before execution.</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D-114 publication stabilization</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D-114 corrected the atomic publication path-length defect with development-only evidence and a bounded four-output sentinel. The D-113 semantic benchmark remains not evaluable; D-116 is pending.</x:v>
      </x:c>
      <x:c r="E7" s="765" t="str">
        <x:v>Product interpretation</x:v>
      </x:c>
      <x:c r="F7" s="431" t="str">
        <x:v>Successful kernel; not yet a complete economically useful workflow.</x:v>
      </x:c>
      <x:c r="G7" s="765" t="str">
        <x:v>Response</x:v>
      </x:c>
      <x:c r="H7" s="431" t="str">
        <x:v>Integrate the D-114 correction. Then accept or revise D-116 before any external benchmark recovery preparation.</x:v>
      </x:c>
    </x:row>
    <x:row r="8" ht="153" hidden="0" customHeight="1">
      <x:c r="A8" s="765" t="str">
        <x:v>Immediate next action</x:v>
      </x:c>
      <x:c r="B8" s="431" t="str">
        <x:v>Review and merge PR #68. Preserve AIR-003 and the no-rerun boundary; do not begin external recovery before D-116.</x:v>
      </x:c>
      <x:c r="C8" s="765" t="str">
        <x:v>Selected vertical</x:v>
      </x:c>
      <x:c r="D8" s="431" t="str">
        <x:v>D-114 correction review -&gt; D-116 recovery preparation decision -&gt; independently verified zero-run freeze -&gt; separate execution decision.</x:v>
      </x:c>
      <x:c r="E8" s="765" t="str">
        <x:v>Primary deliverable</x:v>
      </x:c>
      <x:c r="F8" s="431" t="str">
        <x:v>Evidence-linked issue register plus release-readiness summary.</x:v>
      </x:c>
      <x:c r="G8" s="765" t="str">
        <x:v>Scope rule</x:v>
      </x:c>
      <x:c r="H8" s="431" t="str">
        <x:v>No held-out rerun/reuse, new family, semantic change, P4.3, public rerun, import, or release claim under D-114.</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D-115 is integrated at main 540a1f6. D-114 is accepted and implemented on codex/p4.2-publication-stabilization. The exact pre-fix development reproduction returned exit 70 at write_package_result because the legacy staged output path reached 263-264 characters. Short internal publication names, exact sanitized diagnostics, fallback markers, and the CI sentinel correct and prevent recurrence without semantic change. PR #68 hosted CI is green at implementation 1c5216e: Linux sentinel automatic_pass with four outputs at an adapted 223-character root, full 341 at 88.50%. Local proof: 53 focused, full 340/1 at 88.48%, validation 5/5, Ruff, development benchmark 22/22, baseline 9/9, demo 2/2. IMP-032 records a final broad search of tracked release-ineligible historical fixture folders and requires explicit exclusions. AIR-010 is controlled and NC-001 is closed. AIR-003 and proposed D-116 keep release held. The external D-113 family and raw evidence remain outside Git and cannot be rerun or reused.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4ff23e64e1442f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Stabilization Complete / D-116 Owner Review</x:v>
      </x:c>
      <x:c r="L19" s="664" t="n">
        <x:v>0.92</x:v>
      </x:c>
      <x:c r="M19" s="662" t="n">
        <x:f>SUMIF('Work Block Log'!$E$5:$E$200,A19,'Work Block Log'!$F$5:$F$200)</x:f>
        <x:v>0</x:v>
      </x:c>
      <x:c r="N19" s="662" t="n">
        <x:f>MAX(F19*(1-L19),0)</x:f>
        <x:v>0.23999999999999988</x:v>
      </x:c>
      <x:c r="O19" s="662" t="n">
        <x:f>M19-F19</x:f>
        <x:v>-3</x:v>
      </x:c>
      <x:c r="P19" s="431" t="str">
        <x:v>D-114 accepted; PR #68; implementation 1c5216e; hosted CI green; root cause FileNotFoundError/errno 2 at write_package_result; short staging/failure names; exact diagnostics; bounded sentinel; EV-171-EV-178; IMP-028; IMP-031-IMP-032; focused 53; full local 340/1 at 88.48%; hosted 341 at 88.50%; validation 5/5; Ruff; dev benchmark 22/22; baseline 9/9; demo 2/2</x:v>
      </x:c>
      <x:c r="Q19" s="431" t="str">
        <x:v>Review and merge PR #68. Accept or revise proposed D-116 before any new external held-out family preparation.</x:v>
      </x:c>
      <x:c r="R19" s="431" t="str">
        <x:v>The publication defect is corrected with non-held-out proof; the D-113 semantic benchmark remains not evaluable. No held-out rerun/reuse, new family, semantic change, P4.3, public rerun, import,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alignment only. D-114 subsequently closed NC-001; AIR-003 and D-116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0.8643478260869565</x:v>
      </x:c>
      <x:c r="M24" s="683" t="n">
        <x:f>SUM(M6:M22)</x:f>
        <x:v>0</x:v>
      </x:c>
      <x:c r="N24" s="683" t="n">
        <x:f>SUM(N6:N22)</x:f>
        <x:v>6.24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D-114 Publication Stabilization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D-114 complete; D-116 owner review</x:v>
      </x:c>
      <x:c r="H4" s="697"/>
    </x:row>
    <x:row r="5" ht="72" customHeight="1">
      <x:c r="A5" s="688" t="str">
        <x:v>Schedule Baseline</x:v>
      </x:c>
      <x:c r="B5" s="693" t="str">
        <x:v>Legacy only; not controlling</x:v>
      </x:c>
      <x:c r="C5" s="691"/>
      <x:c r="D5" s="691"/>
      <x:c r="F5" s="696" t="str">
        <x:v>Objective</x:v>
      </x:c>
      <x:c r="G5" s="697" t="str">
        <x:v>Correct the atomic publication defect with development-only proof, exact diagnostics, and a production-equivalent four-output sentinel without changing semantic behavior.</x:v>
      </x:c>
      <x:c r="H5" s="697"/>
    </x:row>
    <x:row r="6" ht="63" customHeight="1">
      <x:c r="A6" s="688" t="str">
        <x:v>Time Tracking</x:v>
      </x:c>
      <x:c r="B6" s="693" t="str">
        <x:v>Waived prospectively</x:v>
      </x:c>
      <x:c r="C6" s="691"/>
      <x:c r="D6" s="691"/>
      <x:c r="F6" s="696" t="str">
        <x:v>Gate Status</x:v>
      </x:c>
      <x:c r="G6" s="697" t="str">
        <x:v>53 focused; local full 340/1 at 88.48%; hosted Linux 341 at 88.50%; validation 5/5; Ruff; sentinel pass at 193 local and 223 hosted; development benchmark 22/22; baseline 9/9; demo 2/2.</x:v>
      </x:c>
      <x:c r="H6" s="697"/>
    </x:row>
    <x:row r="7" ht="81" customHeight="1">
      <x:c r="A7" s="688" t="str">
        <x:v>Current Gate</x:v>
      </x:c>
      <x:c r="B7" s="694" t="str">
        <x:v>D-114 verified; AIR-003 holds release; D-116 pending</x:v>
      </x:c>
      <x:c r="C7" s="691"/>
      <x:c r="D7" s="691"/>
      <x:c r="F7" s="696" t="str">
        <x:v>Definition of Done</x:v>
      </x:c>
      <x:c r="G7" s="697" t="str">
        <x:v>Pre-fix failure reproduced; exact stage/cause recorded; minimal correction and fallback evidence implemented; bounded sentinel publishes four valid outputs; recovery definition returns for review.</x:v>
      </x:c>
      <x:c r="H7" s="697"/>
    </x:row>
    <x:row r="8" ht="63" customHeight="1">
      <x:c r="A8" s="688" t="str">
        <x:v>Released Kernel</x:v>
      </x:c>
      <x:c r="B8" s="691" t="str">
        <x:v>v0.2.0 / commit 45336a2</x:v>
      </x:c>
      <x:c r="C8" s="691"/>
      <x:c r="D8" s="691"/>
      <x:c r="F8" s="696" t="str">
        <x:v>Immediate Next Action</x:v>
      </x:c>
      <x:c r="G8" s="697" t="str">
        <x:v>Review and merge PR #68, then accept or revise D-116 separately.</x:v>
      </x:c>
      <x:c r="H8" s="697"/>
    </x:row>
    <x:row r="9" ht="72" customHeight="1">
      <x:c r="A9" s="688" t="str">
        <x:v>Release Target</x:v>
      </x:c>
      <x:c r="B9" s="691" t="str">
        <x:v>v0.3.0</x:v>
      </x:c>
      <x:c r="C9" s="691"/>
      <x:c r="D9" s="691"/>
      <x:c r="F9" s="696" t="str">
        <x:v>Primary Risk</x:v>
      </x:c>
      <x:c r="G9" s="697" t="str">
        <x:v>Primary risk: treating corrected publication mechanics as independent semantic benchmark proof. D-113 remains not evaluable.</x:v>
      </x:c>
      <x:c r="H9" s="697"/>
    </x:row>
    <x:row r="10" ht="81" customHeight="1">
      <x:c r="A10" s="688" t="str">
        <x:v>Baseline Test Count</x:v>
      </x:c>
      <x:c r="B10" s="691" t="n">
        <x:v>121</x:v>
      </x:c>
      <x:c r="C10" s="691"/>
      <x:c r="D10" s="691"/>
      <x:c r="F10" s="696" t="str">
        <x:v>Deferred</x:v>
      </x:c>
      <x:c r="G10" s="697" t="str">
        <x:v>Held-out rerun/reuse, new family before D-116, semantic changes, P4.3, public reruns, imports, and release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Stabilization Complete / D-116 Owner Review</x:v>
      </x:c>
      <x:c r="C19" s="699" t="str">
        <x:v>Publication correction verified; independent benchmark still not evaluable</x:v>
      </x:c>
      <x:c r="D19" s="700" t="n">
        <x:v>0.92</x:v>
      </x:c>
      <x:c r="E19" s="698" t="str">
        <x:v>Gate P4 - AIR-003 release hold; D-116 preparation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integrated at main 540a1f6; governance valid; release held</x:v>
      </x:c>
      <x:c r="D21" s="664" t="n">
        <x:v>1</x:v>
      </x:c>
      <x:c r="E21" s="431" t="str">
        <x:v>Gate G0 - NC-001 closed; AIR-003 and D-116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