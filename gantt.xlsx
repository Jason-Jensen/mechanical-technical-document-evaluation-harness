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a41b9e1a75c408a" /></Relationships>
</file>

<file path=xl/workbook.xml><?xml version="1.0" encoding="utf-8"?>
<x:workbook xmlns:x="http://schemas.openxmlformats.org/spreadsheetml/2006/main">
  <x:sheets>
    <x:sheet xmlns:r="http://schemas.openxmlformats.org/officeDocument/2006/relationships" name="Start Here" sheetId="1" r:id="R3991d592d59243ec"/>
    <x:sheet xmlns:r="http://schemas.openxmlformats.org/officeDocument/2006/relationships" name="Executive Gantt" sheetId="2" r:id="R95d3006fa8ea46a6"/>
    <x:sheet xmlns:r="http://schemas.openxmlformats.org/officeDocument/2006/relationships" name="Detailed Gantt" sheetId="3" r:id="Rff0bfd1c0d28454a"/>
    <x:sheet xmlns:r="http://schemas.openxmlformats.org/officeDocument/2006/relationships" name="Weekly Control" sheetId="4" r:id="R4011ab83ee62436f"/>
    <x:sheet xmlns:r="http://schemas.openxmlformats.org/officeDocument/2006/relationships" name="Phase Summary" sheetId="5" r:id="R066d7727226f49e3"/>
    <x:sheet xmlns:r="http://schemas.openxmlformats.org/officeDocument/2006/relationships" name="Assumptions &amp; Gates" sheetId="6" r:id="R68fed3e3e4eb4ccd"/>
    <x:sheet xmlns:r="http://schemas.openxmlformats.org/officeDocument/2006/relationships" name="Sources" sheetId="7" r:id="Rf049115af3814505"/>
    <x:sheet xmlns:r="http://schemas.openxmlformats.org/officeDocument/2006/relationships" name="Legacy Baseline" sheetId="8" r:id="R5eee3395229b4dd2"/>
    <x:sheet xmlns:r="http://schemas.openxmlformats.org/officeDocument/2006/relationships" name="Work Block Log" sheetId="9" r:id="Ra0fdd61a11804cb2"/>
    <x:sheet xmlns:r="http://schemas.openxmlformats.org/officeDocument/2006/relationships" name="Decision Register" sheetId="10" r:id="R65a3d0112b4a4d22"/>
    <x:sheet xmlns:r="http://schemas.openxmlformats.org/officeDocument/2006/relationships" name="Risks &amp; Issues" sheetId="11" r:id="R20ce4a7a738e45c5"/>
    <x:sheet xmlns:r="http://schemas.openxmlformats.org/officeDocument/2006/relationships" name="Evidence Register" sheetId="12" r:id="R466c9d1b997a4271"/>
    <x:sheet xmlns:r="http://schemas.openxmlformats.org/officeDocument/2006/relationships" name="Expansion Backlog" sheetId="13" r:id="R23662c4593464417"/>
    <x:sheet xmlns:r="http://schemas.openxmlformats.org/officeDocument/2006/relationships" name="AI Context" sheetId="14" r:id="R4abea4960a1348dd"/>
    <x:sheet xmlns:r="http://schemas.openxmlformats.org/officeDocument/2006/relationships" name="MVP Dashboard" sheetId="15" r:id="R1dc3478769e94796"/>
    <x:sheet xmlns:r="http://schemas.openxmlformats.org/officeDocument/2006/relationships" name="Product Vision" sheetId="16" r:id="R4c0097c3cf124129"/>
    <x:sheet xmlns:r="http://schemas.openxmlformats.org/officeDocument/2006/relationships" name="Pilot Gantt" sheetId="17" r:id="R797d9e91c2694471"/>
    <x:sheet xmlns:r="http://schemas.openxmlformats.org/officeDocument/2006/relationships" name="Pilot Dashboard" sheetId="18" r:id="R538688bc50dc45c6"/>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<x:sst xmlns:x="http://schemas.openxmlformats.org/spreadsheetml/2006/main">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</x:sst>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b9a4d65465d4fc4" /><Relationship Type="http://schemas.openxmlformats.org/officeDocument/2006/relationships/theme" Target="/xl/theme/theme1.xml" Id="R9755395f959045bd" /><Relationship Type="http://schemas.openxmlformats.org/officeDocument/2006/relationships/sharedStrings" Target="/xl/sharedStrings.xml" Id="Rcf76177ca24c4754" /><Relationship Type="http://schemas.openxmlformats.org/officeDocument/2006/relationships/worksheet" Target="/xl/worksheets/sheet1.xml" Id="R3991d592d59243ec" /><Relationship Type="http://schemas.openxmlformats.org/officeDocument/2006/relationships/worksheet" Target="/xl/worksheets/sheet2.xml" Id="R95d3006fa8ea46a6" /><Relationship Type="http://schemas.openxmlformats.org/officeDocument/2006/relationships/worksheet" Target="/xl/worksheets/sheet3.xml" Id="Rff0bfd1c0d28454a" /><Relationship Type="http://schemas.openxmlformats.org/officeDocument/2006/relationships/worksheet" Target="/xl/worksheets/sheet4.xml" Id="R4011ab83ee62436f" /><Relationship Type="http://schemas.openxmlformats.org/officeDocument/2006/relationships/worksheet" Target="/xl/worksheets/sheet5.xml" Id="R066d7727226f49e3" /><Relationship Type="http://schemas.openxmlformats.org/officeDocument/2006/relationships/worksheet" Target="/xl/worksheets/sheet6.xml" Id="R68fed3e3e4eb4ccd" /><Relationship Type="http://schemas.openxmlformats.org/officeDocument/2006/relationships/worksheet" Target="/xl/worksheets/sheet7.xml" Id="Rf049115af3814505" /><Relationship Type="http://schemas.openxmlformats.org/officeDocument/2006/relationships/worksheet" Target="/xl/worksheets/sheet8.xml" Id="R5eee3395229b4dd2" /><Relationship Type="http://schemas.openxmlformats.org/officeDocument/2006/relationships/worksheet" Target="/xl/worksheets/sheet9.xml" Id="Ra0fdd61a11804cb2" /><Relationship Type="http://schemas.openxmlformats.org/officeDocument/2006/relationships/worksheet" Target="/xl/worksheets/sheet10.xml" Id="R65a3d0112b4a4d22" /><Relationship Type="http://schemas.openxmlformats.org/officeDocument/2006/relationships/worksheet" Target="/xl/worksheets/sheet11.xml" Id="R20ce4a7a738e45c5" /><Relationship Type="http://schemas.openxmlformats.org/officeDocument/2006/relationships/worksheet" Target="/xl/worksheets/sheet12.xml" Id="R466c9d1b997a4271" /><Relationship Type="http://schemas.openxmlformats.org/officeDocument/2006/relationships/worksheet" Target="/xl/worksheets/sheet13.xml" Id="R23662c4593464417" /><Relationship Type="http://schemas.openxmlformats.org/officeDocument/2006/relationships/worksheet" Target="/xl/worksheets/sheet14.xml" Id="R4abea4960a1348dd" /><Relationship Type="http://schemas.openxmlformats.org/officeDocument/2006/relationships/worksheet" Target="/xl/worksheets/sheet15.xml" Id="R1dc3478769e94796" /><Relationship Type="http://schemas.openxmlformats.org/officeDocument/2006/relationships/worksheet" Target="/xl/worksheets/sheet16.xml" Id="R4c0097c3cf124129" /><Relationship Type="http://schemas.openxmlformats.org/officeDocument/2006/relationships/worksheet" Target="/xl/worksheets/sheet17.xml" Id="R797d9e91c2694471" /><Relationship Type="http://schemas.openxmlformats.org/officeDocument/2006/relationships/worksheet" Target="/xl/worksheets/sheet18.xml" Id="R538688bc50dc45c6" /></Relationships>
</file>

<file path=xl/drawings/_rels/drawing1.xml.rels>&#65279;<?xml version="1.0" encoding="utf-8"?><Relationships xmlns="http://schemas.openxmlformats.org/package/2006/relationships"><Relationship Type="http://schemas.openxmlformats.org/officeDocument/2006/relationships/chart" Target="/xl/drawings/charts/chart1.xml" Id="R34ef1a4e39424556" /></Relationships>
</file>

<file path=xl/drawings/_rels/drawing2.xml.rels>&#65279;<?xml version="1.0" encoding="utf-8"?><Relationships xmlns="http://schemas.openxmlformats.org/package/2006/relationships"><Relationship Type="http://schemas.openxmlformats.org/officeDocument/2006/relationships/chart" Target="/xl/drawings/charts/chart2.xml" Id="Rf410ba4bfa4e4441" /></Relationships>
</file>

<file path=xl/drawings/_rels/drawing3.xml.rels>&#65279;<?xml version="1.0" encoding="utf-8"?><Relationships xmlns="http://schemas.openxmlformats.org/package/2006/relationships"><Relationship Type="http://schemas.openxmlformats.org/officeDocument/2006/relationships/chart" Target="/xl/drawings/charts/chart3.xml" Id="R83937179c810446a"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4ef1a4e39424556"/>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10ba4bfa4e4441"/>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3937179c810446a"/>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5e4632c179ae4ec8" /></Relationships>
</file>

<file path=xl/worksheets/_rels/sheet5.xml.rels>&#65279;<?xml version="1.0" encoding="utf-8"?><Relationships xmlns="http://schemas.openxmlformats.org/package/2006/relationships"><Relationship Type="http://schemas.openxmlformats.org/officeDocument/2006/relationships/drawing" Target="/xl/drawings/drawing2.xml" Id="R09e80253837c4d78" /></Relationships>
</file>

<file path=xl/worksheets/_rels/sheet15.xml.rels>&#65279;<?xml version="1.0" encoding="utf-8"?><Relationships xmlns="http://schemas.openxmlformats.org/package/2006/relationships"><Relationship Type="http://schemas.openxmlformats.org/officeDocument/2006/relationships/drawing" Target="/xl/drawings/drawing3.xml" Id="R6b9dcf9ca5f042c8"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0.5" customHeight="1">
      <x:c r="A4" s="545" t="str">
        <x:v>Control revision</x:v>
      </x:c>
      <x:c r="B4" s="755" t="str">
        <x:v>Program v3.0 - P2.3 dual public-package mappings ready for review 2026-07-20</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P2.3 NASA/JPL and OpenFlexure source-to-audit mapping review</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5" hidden="0" customHeight="1">
      <x:c r="A12" s="545" t="str">
        <x:v>Active WBS</x:v>
      </x:c>
      <x:c r="B12" s="761" t="str">
        <x:v>P2.3 - Dual public-package mapping definition</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4" hidden="0" customHeight="1">
      <x:c r="A13" s="545" t="str">
        <x:v>Next build WBS</x:v>
      </x:c>
      <x:c r="B13" s="761" t="str">
        <x:v>Accept or revise both mappings; then authorize controlled working-copy preparation</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98" hidden="0" customHeight="1">
      <x:c r="A28" s="597" t="str">
        <x:v>D-096 is accepted and PR #48 merged the co-equal NASA/JPL and OpenFlexure intake evidence at exact main 99d16b6. The bounded NASA/JPL mechanical-rover and OpenFlexure high-resolution-microscope mappings are now ready for CEO review with one shared transformation-and-assumption log contract. Both mappings preserve missing drawing, datasheet, and document-level revision authority and predict a missing-authority hold rather than a clean pass. D-097 proposes controlled local working-copy preparation only after mapping acceptance, followed by another review before either audit runs. No source conversion or audit execution occurred in this block. EV-097-EV-098 record the evidence. Targeted 72 passed with one expected skip; full 283 passed with one expected skip; validation 5/5; Ruff passed.</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5e4632c179ae4ec8"/>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09e80253837c4d78"/>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Proposed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CEO accepts or revises both mappings together. If accepted, preserve raw sources unchanged, prepare separate Git-ignored working copies, populate and review both logs, and stop before audit-package. Do not change schemas, loaders, rules, authority policy, protected assets, or deferred capabilities.</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Ready for CEO review</x:v>
      </x:c>
      <x:c r="I101" s="431" t="str">
        <x:v>No source was converted and no audit ran. Both mappings preserve missing drawing, datasheet, and document-level revision authority and predict a missing-authority hold. IMP-016 records the open empty-source/vacuous-pass risk. Verification: 72 targeted tests passed with one expected skip; full regression 283 passed with one expected skip; repository validation 5/5; Ruff passed; workbook formula errors 0; all six control sheets visually inspected.</x:v>
      </x:c>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46223</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8.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dual public-package mappings complete; CEO review required</x:v>
      </x:c>
    </x:row>
    <x:row r="7" ht="112.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Seven checks run end to end; both public-package mappings expose missing authority and product-model mismatch without changing evaluator behavior.</x:v>
      </x:c>
      <x:c r="E7" s="765" t="str">
        <x:v>Product interpretation</x:v>
      </x:c>
      <x:c r="F7" s="431" t="str">
        <x:v>Successful kernel; not yet a complete economically useful workflow.</x:v>
      </x:c>
      <x:c r="G7" s="765" t="str">
        <x:v>Response</x:v>
      </x:c>
      <x:c r="H7" s="431" t="str">
        <x:v>Review both package mappings and the shared log contract before any working-copy preparation.</x:v>
      </x:c>
    </x:row>
    <x:row r="8" ht="112.5" hidden="0" customHeight="1">
      <x:c r="A8" s="765" t="str">
        <x:v>Immediate next action</x:v>
      </x:c>
      <x:c r="B8" s="431" t="str">
        <x:v>Accept or revise both bounded mappings and decide whether controlled local preparation may begin.</x:v>
      </x:c>
      <x:c r="C8" s="765" t="str">
        <x:v>Selected vertical</x:v>
      </x:c>
      <x:c r="D8" s="431" t="str">
        <x:v>Mapping review -&gt; controlled preparation with populated logs -&gt; preparation review -&gt; audit decision.</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216" hidden="0" customHeight="1">
      <x:c r="A41" s="604" t="str">
        <x:v>Immediate implication</x:v>
      </x:c>
      <x:c r="B41" s="605"/>
      <x:c r="C41" s="606" t="str">
        <x:v>The dual intake and fit-gap assessment is accepted and integrated through PR #48 at exact main 99d16b6. The current branch defines the NASA/JPL v4.0.0 base mechanical rover and OpenFlexure v7.0.0-beta5 high-resolution microscope as bounded trial configurations. Each field is classified as publisher-direct, deterministically derived, missing, or truly not applicable under one shared append-only transformation-and-assumption log contract. Both packages lack conventional drawing, controlled datasheet, and document-level revision authority, so an honest first working package is expected to retain missing-authority holds. D-097 asks the CEO to accept the mappings and authorize local working-copy preparation only; audit execution remains blocked until the prepared packages and populated logs are independently reviewed. No source file was converted and no audit was run in this block.</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6b9dcf9ca5f042c8"/>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32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In Progress</x:v>
      </x:c>
      <x:c r="L13" s="664" t="n">
        <x:v>0.68</x:v>
      </x:c>
      <x:c r="M13" s="662" t="n">
        <x:f>SUMIF('Work Block Log'!$E$5:$E$200,A13,'Work Block Log'!$F$5:$F$200)</x:f>
        <x:v>0</x:v>
      </x:c>
      <x:c r="N13" s="662" t="n">
        <x:f>MAX(F13*(1-L13),0)</x:f>
        <x:v>1.2799999999999998</x:v>
      </x:c>
      <x:c r="O13" s="662" t="n">
        <x:f>M13-F13</x:f>
        <x:v>-4</x:v>
      </x:c>
      <x:c r="P13" s="431" t="str">
        <x:v>checks 6-7 integrated; PR #48 main 99d16b6; D-085-D-097; EV-082-EV-098; IMP-016; NASA/JPL and OpenFlexure mapping definitions; shared transformation log contract/template; targeted 72/1; full 283/1; validation 5/5; Ruff; workbook formula errors 0; six-sheet visual review</x:v>
      </x:c>
      <x:c r="Q13" s="431" t="str">
        <x:v>CEO reviews both package mapping definitions and the shared transformation log contract, then accepts or revises proposed D-097.</x:v>
      </x:c>
      <x:c r="R13" s="431" t="str">
        <x:v>Both mappings predict missing-authority holds. No source conversion, working-package creation, audit run, check 8, authority-policy change, held-out execution, protected-asset change, schema/loader change, or PDF/CAD engineering-content extraction is authorized before review.</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0.711304347826087</x:v>
      </x:c>
      <x:c r="M24" s="683" t="n">
        <x:f>SUM(M6:M22)</x:f>
        <x:v>0</x:v>
      </x:c>
      <x:c r="N24" s="683" t="n">
        <x:f>SUM(N6:N22)</x:f>
        <x:v>13.28</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Public Mapping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P2.3 - Dual public-package mapping review</x:v>
      </x:c>
      <x:c r="H4" s="697"/>
    </x:row>
    <x:row r="5" ht="72" customHeight="1">
      <x:c r="A5" s="688" t="str">
        <x:v>Schedule Baseline</x:v>
      </x:c>
      <x:c r="B5" s="693" t="str">
        <x:v>Legacy only; not controlling</x:v>
      </x:c>
      <x:c r="C5" s="691"/>
      <x:c r="D5" s="691"/>
      <x:c r="F5" s="696" t="str">
        <x:v>Objective</x:v>
      </x:c>
      <x:c r="G5" s="697" t="str">
        <x:v>Review both bounded mappings and their shared preparation log contract.</x:v>
      </x:c>
      <x:c r="H5" s="697"/>
    </x:row>
    <x:row r="6" ht="63" customHeight="1">
      <x:c r="A6" s="688" t="str">
        <x:v>Time Tracking</x:v>
      </x:c>
      <x:c r="B6" s="693" t="str">
        <x:v>Waived prospectively</x:v>
      </x:c>
      <x:c r="C6" s="691"/>
      <x:c r="D6" s="691"/>
      <x:c r="F6" s="696" t="str">
        <x:v>Gate Status</x:v>
      </x:c>
      <x:c r="G6" s="697" t="str">
        <x:v>Both mappings complete; source conversion and audit execution remain blocked.</x:v>
      </x:c>
      <x:c r="H6" s="697"/>
    </x:row>
    <x:row r="7" ht="81" customHeight="1">
      <x:c r="A7" s="688" t="str">
        <x:v>Current Gate</x:v>
      </x:c>
      <x:c r="B7" s="694" t="str">
        <x:v>P2.3 NASA/JPL and OpenFlexure source-to-audit mapping review</x:v>
      </x:c>
      <x:c r="C7" s="691"/>
      <x:c r="D7" s="691"/>
      <x:c r="F7" s="696" t="str">
        <x:v>Definition of Done</x:v>
      </x:c>
      <x:c r="G7" s="697" t="str">
        <x:v>CEO accepts or revises both mappings and controlled-preparation gate D-097.</x:v>
      </x:c>
      <x:c r="H7" s="697"/>
    </x:row>
    <x:row r="8" ht="63" customHeight="1">
      <x:c r="A8" s="688" t="str">
        <x:v>Released Kernel</x:v>
      </x:c>
      <x:c r="B8" s="691" t="str">
        <x:v>v0.2.0 / commit 45336a2</x:v>
      </x:c>
      <x:c r="C8" s="691"/>
      <x:c r="D8" s="691"/>
      <x:c r="F8" s="696" t="str">
        <x:v>Immediate Next Action</x:v>
      </x:c>
      <x:c r="G8" s="697" t="str">
        <x:v>Review both package mapping definitions and the shared traceability contract.</x:v>
      </x:c>
      <x:c r="H8" s="697"/>
    </x:row>
    <x:row r="9" ht="72" customHeight="1">
      <x:c r="A9" s="688" t="str">
        <x:v>Release Target</x:v>
      </x:c>
      <x:c r="B9" s="691" t="str">
        <x:v>v0.3.0</x:v>
      </x:c>
      <x:c r="C9" s="691"/>
      <x:c r="D9" s="691"/>
      <x:c r="F9" s="696" t="str">
        <x:v>Primary Risk</x:v>
      </x:c>
      <x:c r="G9" s="697" t="str">
        <x:v>Primary risk is an empty mandatory source or derived scope field being mistaken for publisher authority.</x:v>
      </x:c>
      <x:c r="H9" s="697"/>
    </x:row>
    <x:row r="10" ht="81" customHeight="1">
      <x:c r="A10" s="688" t="str">
        <x:v>Baseline Test Count</x:v>
      </x:c>
      <x:c r="B10" s="691" t="n">
        <x:v>121</x:v>
      </x:c>
      <x:c r="C10" s="691"/>
      <x:c r="D10" s="691"/>
      <x:c r="F10" s="696" t="str">
        <x:v>Deferred</x:v>
      </x:c>
      <x:c r="G10" s="697" t="str">
        <x:v>Checks 8-11, audit execution, semantic held-out use, and deferred capabilities remain blocked.</x:v>
      </x:c>
      <x:c r="H10" s="697"/>
    </x:row>
    <x:row r="11" ht="63" customHeight="1">
      <x:c r="A11" s="688" t="str">
        <x:v>Fixture Package Families</x:v>
      </x:c>
      <x:c r="B11" s="691" t="n">
        <x:v>2</x:v>
      </x:c>
      <x:c r="C11" s="691"/>
      <x:c r="D11" s="691"/>
      <x:c r="F11" s="696" t="str">
        <x:v>Data Boundary</x:v>
      </x:c>
      <x:c r="G11" s="697" t="str">
        <x:v>Raw sources stay outside Git; prepared copies and populated logs require separate review before audit.</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Mapping review required</x:v>
      </x:c>
      <x:c r="D17" s="700" t="n">
        <x:v>0.68</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Not Started</x:v>
      </x:c>
      <x:c r="C19" s="699" t="str">
        <x:v>Blocked until accepted P2.3 checks complete</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Ready for CEO Review</x:v>
      </x:c>
      <x:c r="F39" s="431" t="str">
        <x:v>codex/p2.3-dual-public-package-mapping-definition</x:v>
      </x:c>
      <x:c r="G39" s="431" t="str">
        <x:v>D-096-D-097; EV-097-EV-098; IMP-016; two reviewed mapping definitions; shared log contract/template; targeted 72/1; full 283/1; validation 5/5; Ruff; both mappings predict missing-authority holds; no source conversion or audit</x:v>
      </x:c>
      <x:c r="H39"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