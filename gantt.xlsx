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63fbb34173645f1" /></Relationships>
</file>

<file path=xl/workbook.xml><?xml version="1.0" encoding="utf-8"?>
<x:workbook xmlns:x="http://schemas.openxmlformats.org/spreadsheetml/2006/main">
  <x:sheets>
    <x:sheet xmlns:r="http://schemas.openxmlformats.org/officeDocument/2006/relationships" name="Start Here" sheetId="1" r:id="Ra390a104d278487a"/>
    <x:sheet xmlns:r="http://schemas.openxmlformats.org/officeDocument/2006/relationships" name="Executive Gantt" sheetId="2" r:id="R2c5eb9ccb09a4ec8"/>
    <x:sheet xmlns:r="http://schemas.openxmlformats.org/officeDocument/2006/relationships" name="Detailed Gantt" sheetId="3" r:id="Re8e88ac1a6734698"/>
    <x:sheet xmlns:r="http://schemas.openxmlformats.org/officeDocument/2006/relationships" name="Weekly Control" sheetId="4" r:id="Raada7b66bd8a4097"/>
    <x:sheet xmlns:r="http://schemas.openxmlformats.org/officeDocument/2006/relationships" name="Phase Summary" sheetId="5" r:id="R55f2f67c12d941d8"/>
    <x:sheet xmlns:r="http://schemas.openxmlformats.org/officeDocument/2006/relationships" name="Assumptions &amp; Gates" sheetId="6" r:id="R436768adb1484a73"/>
    <x:sheet xmlns:r="http://schemas.openxmlformats.org/officeDocument/2006/relationships" name="Sources" sheetId="7" r:id="R8014914fd59c4c49"/>
    <x:sheet xmlns:r="http://schemas.openxmlformats.org/officeDocument/2006/relationships" name="Legacy Baseline" sheetId="8" r:id="R8c8be40ade944cc0"/>
    <x:sheet xmlns:r="http://schemas.openxmlformats.org/officeDocument/2006/relationships" name="Work Block Log" sheetId="9" r:id="Ra7b6573a1396439b"/>
    <x:sheet xmlns:r="http://schemas.openxmlformats.org/officeDocument/2006/relationships" name="Decision Register" sheetId="10" r:id="R4585edca7830467c"/>
    <x:sheet xmlns:r="http://schemas.openxmlformats.org/officeDocument/2006/relationships" name="Risks &amp; Issues" sheetId="11" r:id="Rf4ee4c7999a54923"/>
    <x:sheet xmlns:r="http://schemas.openxmlformats.org/officeDocument/2006/relationships" name="Evidence Register" sheetId="12" r:id="R42c277720af240a9"/>
    <x:sheet xmlns:r="http://schemas.openxmlformats.org/officeDocument/2006/relationships" name="Expansion Backlog" sheetId="13" r:id="R0081d455ee7a4b5f"/>
    <x:sheet xmlns:r="http://schemas.openxmlformats.org/officeDocument/2006/relationships" name="AI Context" sheetId="14" r:id="Rfd6d27abad3d4df3"/>
    <x:sheet xmlns:r="http://schemas.openxmlformats.org/officeDocument/2006/relationships" name="MVP Dashboard" sheetId="15" r:id="Rb7d8bc7d3fb74031"/>
    <x:sheet xmlns:r="http://schemas.openxmlformats.org/officeDocument/2006/relationships" name="Product Vision" sheetId="16" r:id="R1c83c97a587544c4"/>
    <x:sheet xmlns:r="http://schemas.openxmlformats.org/officeDocument/2006/relationships" name="Pilot Gantt" sheetId="17" r:id="Rb35c81716cf843c3"/>
    <x:sheet xmlns:r="http://schemas.openxmlformats.org/officeDocument/2006/relationships" name="Pilot Dashboard" sheetId="18" r:id="R6343e4e88304460b"/>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<x:sst xmlns:x="http://schemas.openxmlformats.org/spreadsheetml/2006/main">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</x:sst>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854b8fdcb404b85" /><Relationship Type="http://schemas.openxmlformats.org/officeDocument/2006/relationships/theme" Target="/xl/theme/theme1.xml" Id="R2a8b0c76c9634d1d" /><Relationship Type="http://schemas.openxmlformats.org/officeDocument/2006/relationships/sharedStrings" Target="/xl/sharedStrings.xml" Id="R7de7b5e317404380" /><Relationship Type="http://schemas.openxmlformats.org/officeDocument/2006/relationships/worksheet" Target="/xl/worksheets/sheet1.xml" Id="Ra390a104d278487a" /><Relationship Type="http://schemas.openxmlformats.org/officeDocument/2006/relationships/worksheet" Target="/xl/worksheets/sheet2.xml" Id="R2c5eb9ccb09a4ec8" /><Relationship Type="http://schemas.openxmlformats.org/officeDocument/2006/relationships/worksheet" Target="/xl/worksheets/sheet3.xml" Id="Re8e88ac1a6734698" /><Relationship Type="http://schemas.openxmlformats.org/officeDocument/2006/relationships/worksheet" Target="/xl/worksheets/sheet4.xml" Id="Raada7b66bd8a4097" /><Relationship Type="http://schemas.openxmlformats.org/officeDocument/2006/relationships/worksheet" Target="/xl/worksheets/sheet5.xml" Id="R55f2f67c12d941d8" /><Relationship Type="http://schemas.openxmlformats.org/officeDocument/2006/relationships/worksheet" Target="/xl/worksheets/sheet6.xml" Id="R436768adb1484a73" /><Relationship Type="http://schemas.openxmlformats.org/officeDocument/2006/relationships/worksheet" Target="/xl/worksheets/sheet7.xml" Id="R8014914fd59c4c49" /><Relationship Type="http://schemas.openxmlformats.org/officeDocument/2006/relationships/worksheet" Target="/xl/worksheets/sheet8.xml" Id="R8c8be40ade944cc0" /><Relationship Type="http://schemas.openxmlformats.org/officeDocument/2006/relationships/worksheet" Target="/xl/worksheets/sheet9.xml" Id="Ra7b6573a1396439b" /><Relationship Type="http://schemas.openxmlformats.org/officeDocument/2006/relationships/worksheet" Target="/xl/worksheets/sheet10.xml" Id="R4585edca7830467c" /><Relationship Type="http://schemas.openxmlformats.org/officeDocument/2006/relationships/worksheet" Target="/xl/worksheets/sheet11.xml" Id="Rf4ee4c7999a54923" /><Relationship Type="http://schemas.openxmlformats.org/officeDocument/2006/relationships/worksheet" Target="/xl/worksheets/sheet12.xml" Id="R42c277720af240a9" /><Relationship Type="http://schemas.openxmlformats.org/officeDocument/2006/relationships/worksheet" Target="/xl/worksheets/sheet13.xml" Id="R0081d455ee7a4b5f" /><Relationship Type="http://schemas.openxmlformats.org/officeDocument/2006/relationships/worksheet" Target="/xl/worksheets/sheet14.xml" Id="Rfd6d27abad3d4df3" /><Relationship Type="http://schemas.openxmlformats.org/officeDocument/2006/relationships/worksheet" Target="/xl/worksheets/sheet15.xml" Id="Rb7d8bc7d3fb74031" /><Relationship Type="http://schemas.openxmlformats.org/officeDocument/2006/relationships/worksheet" Target="/xl/worksheets/sheet16.xml" Id="R1c83c97a587544c4" /><Relationship Type="http://schemas.openxmlformats.org/officeDocument/2006/relationships/worksheet" Target="/xl/worksheets/sheet17.xml" Id="Rb35c81716cf843c3" /><Relationship Type="http://schemas.openxmlformats.org/officeDocument/2006/relationships/worksheet" Target="/xl/worksheets/sheet18.xml" Id="R6343e4e88304460b" /></Relationships>
</file>

<file path=xl/drawings/_rels/drawing1.xml.rels>&#65279;<?xml version="1.0" encoding="utf-8"?><Relationships xmlns="http://schemas.openxmlformats.org/package/2006/relationships"><Relationship Type="http://schemas.openxmlformats.org/officeDocument/2006/relationships/chart" Target="/xl/drawings/charts/chart1.xml" Id="R9acef112a195415f" /></Relationships>
</file>

<file path=xl/drawings/_rels/drawing2.xml.rels>&#65279;<?xml version="1.0" encoding="utf-8"?><Relationships xmlns="http://schemas.openxmlformats.org/package/2006/relationships"><Relationship Type="http://schemas.openxmlformats.org/officeDocument/2006/relationships/chart" Target="/xl/drawings/charts/chart2.xml" Id="R4248ee2f4f2148cf" /></Relationships>
</file>

<file path=xl/drawings/_rels/drawing3.xml.rels>&#65279;<?xml version="1.0" encoding="utf-8"?><Relationships xmlns="http://schemas.openxmlformats.org/package/2006/relationships"><Relationship Type="http://schemas.openxmlformats.org/officeDocument/2006/relationships/chart" Target="/xl/drawings/charts/chart3.xml" Id="Rddde904370d84d72"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acef112a195415f"/>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248ee2f4f2148cf"/>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dde904370d84d7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a0caff94af3647f4" /></Relationships>
</file>

<file path=xl/worksheets/_rels/sheet5.xml.rels>&#65279;<?xml version="1.0" encoding="utf-8"?><Relationships xmlns="http://schemas.openxmlformats.org/package/2006/relationships"><Relationship Type="http://schemas.openxmlformats.org/officeDocument/2006/relationships/drawing" Target="/xl/drawings/drawing2.xml" Id="R275ecd3f2ece4c62" /></Relationships>
</file>

<file path=xl/worksheets/_rels/sheet15.xml.rels>&#65279;<?xml version="1.0" encoding="utf-8"?><Relationships xmlns="http://schemas.openxmlformats.org/package/2006/relationships"><Relationship Type="http://schemas.openxmlformats.org/officeDocument/2006/relationships/drawing" Target="/xl/drawings/drawing3.xml" Id="R21cb7b18635c4c51"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P2.3 trial 1 intake authorized 2026-07-20</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P2.3 Precious Plastic controlled intake and fit-gap assessment</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P2.3 - Trial 1 controlled intake</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5" hidden="0" customHeight="1">
      <x:c r="A13" s="545" t="str">
        <x:v>Next build WBS</x:v>
      </x:c>
      <x:c r="B13" s="761" t="str">
        <x:v>Complete and review trial 1 before NASA/JPL trial 2</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71" hidden="0" customHeight="1">
      <x:c r="A28" s="597" t="str">
        <x:v>The CEO selected Precious Plastic Shredder Basic 3.3 and authorized controlled intake and fit-gap assessment. NASA/JPL Open Source Rover v4.0.0 and OpenFlexure Microscope v7.0.0-beta5 are also approved as sequential trials, but each remains blocked until the preceding package is reviewed and accepted. Trial 1 may verify the official source and license, download only to a local Git-ignored area, preserve hashes and untouched files, inventory contents, and assess source fit and authority gaps. It may not transform content, run the audit, implement new checks, extract PDF/CAD engineering content, change protected assets, or begin a later trial. D-092-D-093 and EV-090-EV-092 record the decision.</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a0caff94af3647f4"/>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275ecd3f2ece4c62"/>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trial 1 authorized: Precious Plastic controlled intake and fit-gap assessment</x:v>
      </x:c>
    </x:row>
    <x:row r="7" ht="112.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Seven checks run end to end; practical source fit is now being tested without content extraction.</x:v>
      </x:c>
      <x:c r="E7" s="765" t="str">
        <x:v>Product interpretation</x:v>
      </x:c>
      <x:c r="F7" s="431" t="str">
        <x:v>Successful kernel; not yet a complete economically useful workflow.</x:v>
      </x:c>
      <x:c r="G7" s="765" t="str">
        <x:v>Response</x:v>
      </x:c>
      <x:c r="H7" s="431" t="str">
        <x:v>Preserve, hash, inventory, and fit-assess Precious Plastic before any transformation or audit run.</x:v>
      </x:c>
    </x:row>
    <x:row r="8" ht="112.5" hidden="0" customHeight="1">
      <x:c r="A8" s="765" t="str">
        <x:v>Immediate next action</x:v>
      </x:c>
      <x:c r="B8" s="431" t="str">
        <x:v>Integrate the accepted selection, then perform trial 1 intake only. Trials 2 and 3 remain blocked.</x:v>
      </x:c>
      <x:c r="C8" s="765" t="str">
        <x:v>Selected vertical</x:v>
      </x:c>
      <x:c r="D8" s="431" t="str">
        <x:v>Trial 1 intake -&gt; CEO fit-gap review -&gt; trial 1 controlled preparation/audit decision -&gt; trial 2 only after acceptance -&gt; trial 3 only after acceptance.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84.5" hidden="0" customHeight="1">
      <x:c r="A41" s="604" t="str">
        <x:v>Immediate implication</x:v>
      </x:c>
      <x:c r="B41" s="605"/>
      <x:c r="C41" s="606" t="str">
        <x:v>The CEO accepted Precious Plastic Shredder Basic 3.3 as trial 1 and authorized controlled intake and fit-gap assessment. NASA/JPL Open Source Rover v4.0.0 is trial 2 and OpenFlexure Microscope v7.0.0-beta5 is trial 3. Each package remains isolated and cannot begin until the preceding trial is reviewed and accepted. Trial 1 authorization is limited to official-source and license verification, local Git-ignored download, preservation, hashing, inventory, and fit-gap reporting. It does not authorize transformation, audit execution, PDF/CAD engineering-content extraction, schema or rule changes, held-out execution, protected-asset changes, or deferred platform capabilities. The CEO reviews product usefulness; factual claims must remain traceable to publisher material and do not constitute engineering approval.</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21cb7b18635c4c51"/>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292.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0.64</x:v>
      </x:c>
      <x:c r="M13" s="662" t="n">
        <x:f>SUMIF('Work Block Log'!$E$5:$E$200,A13,'Work Block Log'!$F$5:$F$200)</x:f>
        <x:v>0</x:v>
      </x:c>
      <x:c r="N13" s="662" t="n">
        <x:f>MAX(F13*(1-L13),0)</x:f>
        <x:v>1.44</x:v>
      </x:c>
      <x:c r="O13" s="662" t="n">
        <x:f>M13-F13</x:f>
        <x:v>-4</x:v>
      </x:c>
      <x:c r="P13" s="431" t="str">
        <x:v>check 7 implementation 01a70c2; PR #45 main 273c36a; trial charter d4e530f; PR #46 main 361cc77; shortlist commit 2dccf7c; PR #47; D-085-D-093; EV-082-EV-092; IMP-013-IMP-015; relationship 35; repository 27; full 283/1; validation 5/5; Ruff; coverage 87.25%; workbook formula errors 0; six-sheet visual review; CEO selected Precious Plastic trial 1 and approved gated trials 2-3</x:v>
      </x:c>
      <x:c r="Q13" s="431" t="str">
        <x:v>Integrate the accepted selection, create codex/p2.3-precious-plastic-intake, verify the official source and license, download only to a local Git-ignored area, preserve and hash the untouched package, inventory it, and produce a fit-gap assessment.</x:v>
      </x:c>
      <x:c r="R13" s="431" t="str">
        <x:v>Trial order: Precious Plastic, NASA/JPL, OpenFlexure. Each later trial is blocked until the preceding trial is reviewed and accepted. No transformation, audit run, check 8, authority-policy change, held-out execution, protected-asset change, or multimodal engineering-content extraction is authorized during intake.</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0.7078260869565218</x:v>
      </x:c>
      <x:c r="M24" s="683" t="n">
        <x:f>SUM(M6:M22)</x:f>
        <x:v>0</x:v>
      </x:c>
      <x:c r="N24" s="683" t="n">
        <x:f>SUM(N6:N22)</x:f>
        <x:v>13.44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Trial 1 Controlled Intake</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Trial 1 controlled intake</x:v>
      </x:c>
      <x:c r="H4" s="697"/>
    </x:row>
    <x:row r="5" ht="72" customHeight="1">
      <x:c r="A5" s="688" t="str">
        <x:v>Schedule Baseline</x:v>
      </x:c>
      <x:c r="B5" s="693" t="str">
        <x:v>Legacy only; not controlling</x:v>
      </x:c>
      <x:c r="C5" s="691"/>
      <x:c r="D5" s="691"/>
      <x:c r="F5" s="696" t="str">
        <x:v>Objective</x:v>
      </x:c>
      <x:c r="G5" s="697" t="str">
        <x:v>Preserve, hash, inventory, and fit-assess the selected public package.</x:v>
      </x:c>
      <x:c r="H5" s="697"/>
    </x:row>
    <x:row r="6" ht="63" customHeight="1">
      <x:c r="A6" s="688" t="str">
        <x:v>Time Tracking</x:v>
      </x:c>
      <x:c r="B6" s="693" t="str">
        <x:v>Waived prospectively</x:v>
      </x:c>
      <x:c r="C6" s="691"/>
      <x:c r="D6" s="691"/>
      <x:c r="F6" s="696" t="str">
        <x:v>Gate Status</x:v>
      </x:c>
      <x:c r="G6" s="697" t="str">
        <x:v>Authorized; shortlist integration and controlled intake are next.</x:v>
      </x:c>
      <x:c r="H6" s="697"/>
    </x:row>
    <x:row r="7" ht="81" customHeight="1">
      <x:c r="A7" s="688" t="str">
        <x:v>Current Gate</x:v>
      </x:c>
      <x:c r="B7" s="694" t="str">
        <x:v>P2.3 Precious Plastic controlled intake and fit-gap assessment</x:v>
      </x:c>
      <x:c r="C7" s="691"/>
      <x:c r="D7" s="691"/>
      <x:c r="F7" s="696" t="str">
        <x:v>Definition of Done</x:v>
      </x:c>
      <x:c r="G7" s="697" t="str">
        <x:v>Fit-gap assessment reviewed before transformation or audit execution.</x:v>
      </x:c>
      <x:c r="H7" s="697"/>
    </x:row>
    <x:row r="8" ht="63" customHeight="1">
      <x:c r="A8" s="688" t="str">
        <x:v>Released Kernel</x:v>
      </x:c>
      <x:c r="B8" s="691" t="str">
        <x:v>v0.2.0 / commit 45336a2</x:v>
      </x:c>
      <x:c r="C8" s="691"/>
      <x:c r="D8" s="691"/>
      <x:c r="F8" s="696" t="str">
        <x:v>Immediate Next Action</x:v>
      </x:c>
      <x:c r="G8" s="697" t="str">
        <x:v>Integrate selection, then intake Precious Plastic in a local Git-ignored area.</x:v>
      </x:c>
      <x:c r="H8" s="697"/>
    </x:row>
    <x:row r="9" ht="72" customHeight="1">
      <x:c r="A9" s="688" t="str">
        <x:v>Release Target</x:v>
      </x:c>
      <x:c r="B9" s="691" t="str">
        <x:v>v0.3.0</x:v>
      </x:c>
      <x:c r="C9" s="691"/>
      <x:c r="D9" s="691"/>
      <x:c r="F9" s="696" t="str">
        <x:v>Primary Risk</x:v>
      </x:c>
      <x:c r="G9" s="697" t="str">
        <x:v>Primary risk is inventing missing authority or treating public package structure as controlled release data.</x:v>
      </x:c>
      <x:c r="H9" s="697"/>
    </x:row>
    <x:row r="10" ht="81" customHeight="1">
      <x:c r="A10" s="688" t="str">
        <x:v>Baseline Test Count</x:v>
      </x:c>
      <x:c r="B10" s="691" t="n">
        <x:v>121</x:v>
      </x:c>
      <x:c r="C10" s="691"/>
      <x:c r="D10" s="691"/>
      <x:c r="F10" s="696" t="str">
        <x:v>Deferred</x:v>
      </x:c>
      <x:c r="G10" s="697" t="str">
        <x:v>NASA/JPL and OpenFlexure remain blocked behind independent acceptance gates; checks 8-11 and deferred capabilities remain blocked.</x:v>
      </x:c>
      <x:c r="H10" s="697"/>
    </x:row>
    <x:row r="11" ht="63" customHeight="1">
      <x:c r="A11" s="688" t="str">
        <x:v>Fixture Package Families</x:v>
      </x:c>
      <x:c r="B11" s="691" t="n">
        <x:v>2</x:v>
      </x:c>
      <x:c r="C11" s="691"/>
      <x:c r="D11" s="691"/>
      <x:c r="F11" s="696" t="str">
        <x:v>Data Boundary</x:v>
      </x:c>
      <x:c r="G11" s="697" t="str">
        <x:v>Untouched source stays outside Git; only hashes, inventory, source citations, and approved assessment evidence may enter the repository.</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Trial 1 intake authorized</x:v>
      </x:c>
      <x:c r="D17" s="700" t="n">
        <x:v>0.64</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any transformation or audit run.</x:v>
      </x:c>
      <x:c r="E37" s="431" t="str">
        <x:v>Authorized / Integration Pending</x:v>
      </x:c>
      <x:c r="F37" s="431" t="str">
        <x:v>codex/p2.3-precious-plastic-intake</x:v>
      </x:c>
      <x:c r="G37" s="431" t="str">
        <x:v>D-092-D-093; EV-091-EV-092; local Git-ignored intake required; trial 2 blocked until trial 1 acceptance</x:v>
      </x:c>
      <x:c r="H3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