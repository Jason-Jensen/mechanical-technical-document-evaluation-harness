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223ace55384e3f" /></Relationships>
</file>

<file path=xl/workbook.xml><?xml version="1.0" encoding="utf-8"?>
<x:workbook xmlns:x="http://schemas.openxmlformats.org/spreadsheetml/2006/main">
  <x:sheets>
    <x:sheet xmlns:r="http://schemas.openxmlformats.org/officeDocument/2006/relationships" name="Start Here" sheetId="1" r:id="R3a0732b8de5e4562"/>
    <x:sheet xmlns:r="http://schemas.openxmlformats.org/officeDocument/2006/relationships" name="Executive Gantt" sheetId="2" r:id="R68131ba947e5443b"/>
    <x:sheet xmlns:r="http://schemas.openxmlformats.org/officeDocument/2006/relationships" name="Detailed Gantt" sheetId="3" r:id="Ra489e6bd6ed04449"/>
    <x:sheet xmlns:r="http://schemas.openxmlformats.org/officeDocument/2006/relationships" name="Weekly Control" sheetId="4" r:id="Ra8589632121b487f"/>
    <x:sheet xmlns:r="http://schemas.openxmlformats.org/officeDocument/2006/relationships" name="Phase Summary" sheetId="5" r:id="R8fc945a5f9554c5b"/>
    <x:sheet xmlns:r="http://schemas.openxmlformats.org/officeDocument/2006/relationships" name="Assumptions &amp; Gates" sheetId="6" r:id="Rdf1d33ef3a6942d4"/>
    <x:sheet xmlns:r="http://schemas.openxmlformats.org/officeDocument/2006/relationships" name="Sources" sheetId="7" r:id="R381d0a79180d422e"/>
    <x:sheet xmlns:r="http://schemas.openxmlformats.org/officeDocument/2006/relationships" name="Legacy Baseline" sheetId="8" r:id="R010a0c8641654977"/>
    <x:sheet xmlns:r="http://schemas.openxmlformats.org/officeDocument/2006/relationships" name="Work Block Log" sheetId="9" r:id="R716909d9913d4d3c"/>
    <x:sheet xmlns:r="http://schemas.openxmlformats.org/officeDocument/2006/relationships" name="Decision Register" sheetId="10" r:id="R137cfc23a66a4f7d"/>
    <x:sheet xmlns:r="http://schemas.openxmlformats.org/officeDocument/2006/relationships" name="Risks &amp; Issues" sheetId="11" r:id="R6734cc27ced941fe"/>
    <x:sheet xmlns:r="http://schemas.openxmlformats.org/officeDocument/2006/relationships" name="Evidence Register" sheetId="12" r:id="R664e9259ed3f4c35"/>
    <x:sheet xmlns:r="http://schemas.openxmlformats.org/officeDocument/2006/relationships" name="Expansion Backlog" sheetId="13" r:id="Re4a1b862f2e74dc5"/>
    <x:sheet xmlns:r="http://schemas.openxmlformats.org/officeDocument/2006/relationships" name="AI Context" sheetId="14" r:id="R408b52c8722845ee"/>
    <x:sheet xmlns:r="http://schemas.openxmlformats.org/officeDocument/2006/relationships" name="MVP Dashboard" sheetId="15" r:id="R7ef28339b62045e9"/>
    <x:sheet xmlns:r="http://schemas.openxmlformats.org/officeDocument/2006/relationships" name="Product Vision" sheetId="16" r:id="Rdfed378024764daf"/>
    <x:sheet xmlns:r="http://schemas.openxmlformats.org/officeDocument/2006/relationships" name="Pilot Gantt" sheetId="17" r:id="R40f0b3fed8024dc9"/>
    <x:sheet xmlns:r="http://schemas.openxmlformats.org/officeDocument/2006/relationships" name="Pilot Dashboard" sheetId="18" r:id="Rcbdf4be4ea154f09"/>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<x:sst xmlns:x="http://schemas.openxmlformats.org/spreadsheetml/2006/main">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</x:sst>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f676664f2604922" /><Relationship Type="http://schemas.openxmlformats.org/officeDocument/2006/relationships/theme" Target="/xl/theme/theme1.xml" Id="Rb682229b48f4497e" /><Relationship Type="http://schemas.openxmlformats.org/officeDocument/2006/relationships/sharedStrings" Target="/xl/sharedStrings.xml" Id="R0a4297b50c56420f" /><Relationship Type="http://schemas.openxmlformats.org/officeDocument/2006/relationships/worksheet" Target="/xl/worksheets/sheet1.xml" Id="R3a0732b8de5e4562" /><Relationship Type="http://schemas.openxmlformats.org/officeDocument/2006/relationships/worksheet" Target="/xl/worksheets/sheet2.xml" Id="R68131ba947e5443b" /><Relationship Type="http://schemas.openxmlformats.org/officeDocument/2006/relationships/worksheet" Target="/xl/worksheets/sheet3.xml" Id="Ra489e6bd6ed04449" /><Relationship Type="http://schemas.openxmlformats.org/officeDocument/2006/relationships/worksheet" Target="/xl/worksheets/sheet4.xml" Id="Ra8589632121b487f" /><Relationship Type="http://schemas.openxmlformats.org/officeDocument/2006/relationships/worksheet" Target="/xl/worksheets/sheet5.xml" Id="R8fc945a5f9554c5b" /><Relationship Type="http://schemas.openxmlformats.org/officeDocument/2006/relationships/worksheet" Target="/xl/worksheets/sheet6.xml" Id="Rdf1d33ef3a6942d4" /><Relationship Type="http://schemas.openxmlformats.org/officeDocument/2006/relationships/worksheet" Target="/xl/worksheets/sheet7.xml" Id="R381d0a79180d422e" /><Relationship Type="http://schemas.openxmlformats.org/officeDocument/2006/relationships/worksheet" Target="/xl/worksheets/sheet8.xml" Id="R010a0c8641654977" /><Relationship Type="http://schemas.openxmlformats.org/officeDocument/2006/relationships/worksheet" Target="/xl/worksheets/sheet9.xml" Id="R716909d9913d4d3c" /><Relationship Type="http://schemas.openxmlformats.org/officeDocument/2006/relationships/worksheet" Target="/xl/worksheets/sheet10.xml" Id="R137cfc23a66a4f7d" /><Relationship Type="http://schemas.openxmlformats.org/officeDocument/2006/relationships/worksheet" Target="/xl/worksheets/sheet11.xml" Id="R6734cc27ced941fe" /><Relationship Type="http://schemas.openxmlformats.org/officeDocument/2006/relationships/worksheet" Target="/xl/worksheets/sheet12.xml" Id="R664e9259ed3f4c35" /><Relationship Type="http://schemas.openxmlformats.org/officeDocument/2006/relationships/worksheet" Target="/xl/worksheets/sheet13.xml" Id="Re4a1b862f2e74dc5" /><Relationship Type="http://schemas.openxmlformats.org/officeDocument/2006/relationships/worksheet" Target="/xl/worksheets/sheet14.xml" Id="R408b52c8722845ee" /><Relationship Type="http://schemas.openxmlformats.org/officeDocument/2006/relationships/worksheet" Target="/xl/worksheets/sheet15.xml" Id="R7ef28339b62045e9" /><Relationship Type="http://schemas.openxmlformats.org/officeDocument/2006/relationships/worksheet" Target="/xl/worksheets/sheet16.xml" Id="Rdfed378024764daf" /><Relationship Type="http://schemas.openxmlformats.org/officeDocument/2006/relationships/worksheet" Target="/xl/worksheets/sheet17.xml" Id="R40f0b3fed8024dc9" /><Relationship Type="http://schemas.openxmlformats.org/officeDocument/2006/relationships/worksheet" Target="/xl/worksheets/sheet18.xml" Id="Rcbdf4be4ea154f09" /></Relationships>
</file>

<file path=xl/drawings/_rels/drawing1.xml.rels>&#65279;<?xml version="1.0" encoding="utf-8"?><Relationships xmlns="http://schemas.openxmlformats.org/package/2006/relationships"><Relationship Type="http://schemas.openxmlformats.org/officeDocument/2006/relationships/chart" Target="/xl/drawings/charts/chart1.xml" Id="Rf567dced9af4419b" /></Relationships>
</file>

<file path=xl/drawings/_rels/drawing2.xml.rels>&#65279;<?xml version="1.0" encoding="utf-8"?><Relationships xmlns="http://schemas.openxmlformats.org/package/2006/relationships"><Relationship Type="http://schemas.openxmlformats.org/officeDocument/2006/relationships/chart" Target="/xl/drawings/charts/chart2.xml" Id="Rd633b263fbea47e6" /></Relationships>
</file>

<file path=xl/drawings/_rels/drawing3.xml.rels>&#65279;<?xml version="1.0" encoding="utf-8"?><Relationships xmlns="http://schemas.openxmlformats.org/package/2006/relationships"><Relationship Type="http://schemas.openxmlformats.org/officeDocument/2006/relationships/chart" Target="/xl/drawings/charts/chart3.xml" Id="R937b901c6ad74fb7"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567dced9af4419b"/>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633b263fbea47e6"/>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37b901c6ad74fb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4b62a9cac014ed9" /></Relationships>
</file>

<file path=xl/worksheets/_rels/sheet5.xml.rels>&#65279;<?xml version="1.0" encoding="utf-8"?><Relationships xmlns="http://schemas.openxmlformats.org/package/2006/relationships"><Relationship Type="http://schemas.openxmlformats.org/officeDocument/2006/relationships/drawing" Target="/xl/drawings/drawing2.xml" Id="Rb3e83e9436e94c0d" /></Relationships>
</file>

<file path=xl/worksheets/_rels/sheet15.xml.rels>&#65279;<?xml version="1.0" encoding="utf-8"?><Relationships xmlns="http://schemas.openxmlformats.org/package/2006/relationships"><Relationship Type="http://schemas.openxmlformats.org/officeDocument/2006/relationships/drawing" Target="/xl/drawings/drawing3.xml" Id="R39d6655258a8441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P2.1 integrated; first P2.2 relationship slice integration-ready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first relationship-slice integration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Integrate first drawing-register-to-metadata revision slice</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next-slice definition after verified main integration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 hidden="0" customHeight="1">
      <x:c r="A28" s="704" t="str">
        <x:v>The user accepted the first P2.2 implementation by merging PR #29 into the definition branch at d714f4e. Combined PR #28 now contains the accepted definition and implementation, has green GitHub CI, and is the only remaining integration step to main. The slice implements only drawing_register_metadata_revision v0.3.0 under AUTH-DWG-001, with deterministic pass/fail/skip records, stable high-severity release-hold evidence, and no package-state routing. Verification: 30 focused tests passed, full suite 201 passed/1 skipped, validation 5/5, Ruff passed, and coverage 84.64%. No protected asset or deferred capability changed.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44b62a9cac014ed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b3e83e9436e94c0d"/>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first relationship-slice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and its stabilization controls are integrated on main. The first P2.2 drawing-register-to-metadata revision implementation is accepted through merged PR #29 on the definition branch; combined PR #28 is pending integration to main. Remaining P2.2 relationships,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81" hidden="0" customHeight="1">
      <x:c r="A8" s="449" t="str">
        <x:v>Immediate next action</x:v>
      </x:c>
      <x:c r="B8" s="447" t="str">
        <x:v>Merge combined integration PR #28 to main and verify its exact merge commit and checks. Do not begin another relationship or downstream layer until that integration closes.</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53" hidden="0" customHeight="1">
      <x:c r="A41" s="604" t="str">
        <x:v>Immediate implication</x:v>
      </x:c>
      <x:c r="B41" s="605"/>
      <x:c r="C41" s="606" t="str">
        <x:v>The first P2.2 slice implements drawing_register_metadata_revision v0.3.0 under AUTH-DWG-001 in a separate relationships.py module. It consumes the completed P2.1 evaluation, compares exact normalized drawing-number pairs, returns deterministic pass/fail/skip records, emits one high-severity release-hold mismatch with both exact locators, and keeps finding identity independent of source positions. PR #29 merged the implementation into the definition branch at d714f4e; combined PR #28 is green and pending main integration. Focused 30 and full 201/1 tests pass with 84.64% coverage. No other relationship, routing, report, CLI, protected held-out semantic execution, or deferred capability was added.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39d6655258a8441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62"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0.2</x:v>
      </x:c>
      <x:c r="M12" s="662" t="n">
        <x:f>SUMIF('Work Block Log'!$E$5:$E$200,A12,'Work Block Log'!$F$5:$F$200)</x:f>
        <x:v>0</x:v>
      </x:c>
      <x:c r="N12" s="662" t="n">
        <x:f>MAX(F12*(1-L12),0)</x:f>
        <x:v>3.2</x:v>
      </x:c>
      <x:c r="O12" s="662" t="n">
        <x:f>M12-F12</x:f>
        <x:v>-4</x:v>
      </x:c>
      <x:c r="P12" s="431" t="str">
        <x:v>definition commit e9e1a31; implementation f33ef1b; PR #29 merged at d714f4e; combined PR #28 CI green; codex/p2.2-relationship-slice-definition; src/mech_eval_harness/package_assurance/{relationships.py,models.py,__init__.py}; tests/test_package_relationships.py; focused 30 passed; full 201 passed/1 skipped; validation 5/5; Ruff passed; coverage 84.64%; D-049-D-052; EV-046-EV-049</x:v>
      </x:c>
      <x:c r="Q12" s="431" t="str">
        <x:v>Merge combined PR #28 to main and verify the merge before defining or implementing another P2.2 slice.</x:v>
      </x:c>
      <x:c r="R12" s="431" t="str">
        <x:v>First slice implementation is accepted through PR #29 and integration-ready through PR #28. The 20% row value records one of five broad P2.2 relationship outcome categories; broader P2.2 remains open. No protected asset changed.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0.34347826086956523</x:v>
      </x:c>
      <x:c r="M24" s="683" t="n">
        <x:f>SUM(M6:M22)</x:f>
        <x:v>0</x:v>
      </x:c>
      <x:c r="N24" s="683" t="n">
        <x:f>SUM(N6:N22)</x:f>
        <x:v>30.2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First P2.2 Slice Integration Ready</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P2.2 - First relationship-slice integration</x:v>
      </x:c>
      <x:c r="H4" s="697"/>
    </x:row>
    <x:row r="5" ht="63" customHeight="1">
      <x:c r="A5" s="688" t="str">
        <x:v>Schedule Baseline</x:v>
      </x:c>
      <x:c r="B5" s="693" t="str">
        <x:v>Legacy only; not controlling</x:v>
      </x:c>
      <x:c r="C5" s="691"/>
      <x:c r="D5" s="691"/>
      <x:c r="F5" s="696" t="str">
        <x:v>Objective</x:v>
      </x:c>
      <x:c r="G5" s="697" t="str">
        <x:v>Integrate the accepted definition and implementation chain to main without treating broader P2.2 as complete.</x:v>
      </x:c>
      <x:c r="H5" s="697"/>
    </x:row>
    <x:row r="6" ht="54" customHeight="1">
      <x:c r="A6" s="688" t="str">
        <x:v>Time Tracking</x:v>
      </x:c>
      <x:c r="B6" s="693" t="str">
        <x:v>Waived prospectively</x:v>
      </x:c>
      <x:c r="C6" s="691"/>
      <x:c r="D6" s="691"/>
      <x:c r="F6" s="696" t="str">
        <x:v>Gate Status</x:v>
      </x:c>
      <x:c r="G6" s="697" t="str">
        <x:v>PR #29 merged at d714f4e; combined PR #28 is green and ready for main integration.</x:v>
      </x:c>
      <x:c r="H6" s="697"/>
    </x:row>
    <x:row r="7" ht="54" customHeight="1">
      <x:c r="A7" s="688" t="str">
        <x:v>Current Gate</x:v>
      </x:c>
      <x:c r="B7" s="694" t="str">
        <x:v>P2.2 first relationship-slice integration</x:v>
      </x:c>
      <x:c r="C7" s="691"/>
      <x:c r="D7" s="691"/>
      <x:c r="F7" s="696" t="str">
        <x:v>Definition of Done</x:v>
      </x:c>
      <x:c r="G7" s="697" t="str">
        <x:v>PR #28 merges to main and its exact merge commit, clean state, and remote checks are verified.</x:v>
      </x:c>
      <x:c r="H7" s="697"/>
    </x:row>
    <x:row r="8" ht="54" customHeight="1">
      <x:c r="A8" s="688" t="str">
        <x:v>Released Kernel</x:v>
      </x:c>
      <x:c r="B8" s="691" t="str">
        <x:v>v0.2.0 / commit 45336a2</x:v>
      </x:c>
      <x:c r="C8" s="691"/>
      <x:c r="D8" s="691"/>
      <x:c r="F8" s="696" t="str">
        <x:v>Immediate Next Action</x:v>
      </x:c>
      <x:c r="G8" s="697" t="str">
        <x:v>Merge combined PR #28 to main; do not begin another relationship slice before verification.</x:v>
      </x:c>
      <x:c r="H8" s="697"/>
    </x:row>
    <x:row r="9" ht="63" customHeight="1">
      <x:c r="A9" s="688" t="str">
        <x:v>Release Target</x:v>
      </x:c>
      <x:c r="B9" s="691" t="str">
        <x:v>v0.3.0</x:v>
      </x:c>
      <x:c r="C9" s="691"/>
      <x:c r="D9" s="691"/>
      <x:c r="F9" s="696" t="str">
        <x:v>Primary Risk</x:v>
      </x:c>
      <x:c r="G9" s="697" t="str">
        <x:v>Primary risk is mistaking the stacked PR #29 branch merge for main integration; broader P2.2 remains open at 20%.</x:v>
      </x:c>
      <x:c r="H9" s="697"/>
    </x:row>
    <x:row r="10" ht="54" customHeight="1">
      <x:c r="A10" s="688" t="str">
        <x:v>Baseline Test Count</x:v>
      </x:c>
      <x:c r="B10" s="691" t="n">
        <x:v>121</x:v>
      </x:c>
      <x:c r="C10" s="691"/>
      <x:c r="D10" s="691"/>
      <x:c r="F10" s="696" t="str">
        <x:v>Deferred</x:v>
      </x:c>
      <x:c r="G10" s="697" t="str">
        <x:v>P2.2+ behavior, semantic held-out execution, PDF/CAD, agents, APIs/databases, RAG, hosting, and RL.</x:v>
      </x:c>
      <x:c r="H10" s="697"/>
    </x:row>
    <x:row r="11" ht="63" customHeight="1">
      <x:c r="A11" s="688" t="str">
        <x:v>Fixture Package Families</x:v>
      </x:c>
      <x:c r="B11" s="691" t="n">
        <x:v>2</x:v>
      </x:c>
      <x:c r="C11" s="691"/>
      <x:c r="D11" s="691"/>
      <x:c r="F11" s="696" t="str">
        <x:v>Data Boundary</x:v>
      </x:c>
      <x:c r="G11" s="697" t="str">
        <x:v>Outputs remain decision support for qualified human review; current held-out evidence is protected regression, not independently blind proof.</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P2.1 integrated; first P2.2 slice accepted and integration-ready; broader P2.2 remains open</x:v>
      </x:c>
      <x:c r="D17" s="700" t="n">
        <x:f>AVERAGE('Pilot Gantt'!L11:L14)</x:f>
        <x:v>0.3</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26" customHeight="1">
      <x:c r="A27" s="431" t="n">
        <x:v>4</x:v>
      </x:c>
      <x:c r="B27" s="431" t="str">
        <x:v>P2.2</x:v>
      </x:c>
      <x:c r="C27" s="431" t="str">
        <x:v>First relationship-slice integration</x:v>
      </x:c>
      <x:c r="D27" s="431" t="str">
        <x:v>Accepted definition and implementation chain is combined behind one green pull request to main; broader P2.2 remains open.</x:v>
      </x:c>
      <x:c r="E27" s="431" t="str">
        <x:v>Integration Ready</x:v>
      </x:c>
      <x:c r="F27" s="431" t="str">
        <x:v>codex/p2.2-relationship-slice-definition</x:v>
      </x:c>
      <x:c r="G27" s="431" t="str">
        <x:v>definition e9e1a31; implementation f33ef1b; PR #29 merged d714f4e; combined PR #28 CI green; focused 30; full 201/1; coverage 84.64%; D-052; EV-049</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