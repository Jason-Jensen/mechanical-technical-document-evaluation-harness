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1965a05a68c4a9f" /></Relationships>
</file>

<file path=xl/workbook.xml><?xml version="1.0" encoding="utf-8"?>
<x:workbook xmlns:x="http://schemas.openxmlformats.org/spreadsheetml/2006/main">
  <x:sheets>
    <x:sheet xmlns:r="http://schemas.openxmlformats.org/officeDocument/2006/relationships" name="Start Here" sheetId="1" r:id="Rb8de951066f54ea7"/>
    <x:sheet xmlns:r="http://schemas.openxmlformats.org/officeDocument/2006/relationships" name="Executive Gantt" sheetId="2" r:id="R253a1c642e5245a1"/>
    <x:sheet xmlns:r="http://schemas.openxmlformats.org/officeDocument/2006/relationships" name="Detailed Gantt" sheetId="3" r:id="R9055bc48669c4cd3"/>
    <x:sheet xmlns:r="http://schemas.openxmlformats.org/officeDocument/2006/relationships" name="Weekly Control" sheetId="4" r:id="Rb5f657940aa7401a"/>
    <x:sheet xmlns:r="http://schemas.openxmlformats.org/officeDocument/2006/relationships" name="Phase Summary" sheetId="5" r:id="R40caa9eef3894199"/>
    <x:sheet xmlns:r="http://schemas.openxmlformats.org/officeDocument/2006/relationships" name="Assumptions &amp; Gates" sheetId="6" r:id="Rcaa8eaf17a474232"/>
    <x:sheet xmlns:r="http://schemas.openxmlformats.org/officeDocument/2006/relationships" name="Sources" sheetId="7" r:id="R3a81da7ac8b040d0"/>
    <x:sheet xmlns:r="http://schemas.openxmlformats.org/officeDocument/2006/relationships" name="Legacy Baseline" sheetId="8" r:id="R0b61cc53dfe44238"/>
    <x:sheet xmlns:r="http://schemas.openxmlformats.org/officeDocument/2006/relationships" name="Work Block Log" sheetId="9" r:id="R0cfefa30848341f6"/>
    <x:sheet xmlns:r="http://schemas.openxmlformats.org/officeDocument/2006/relationships" name="Decision Register" sheetId="10" r:id="R522ee58fec7b4173"/>
    <x:sheet xmlns:r="http://schemas.openxmlformats.org/officeDocument/2006/relationships" name="Risks &amp; Issues" sheetId="11" r:id="Rd212f139ee1e44af"/>
    <x:sheet xmlns:r="http://schemas.openxmlformats.org/officeDocument/2006/relationships" name="Evidence Register" sheetId="12" r:id="Re85c30e1e20f4ac8"/>
    <x:sheet xmlns:r="http://schemas.openxmlformats.org/officeDocument/2006/relationships" name="Expansion Backlog" sheetId="13" r:id="R70dcca626207486e"/>
    <x:sheet xmlns:r="http://schemas.openxmlformats.org/officeDocument/2006/relationships" name="AI Context" sheetId="14" r:id="R8bc684b4d1e14a83"/>
    <x:sheet xmlns:r="http://schemas.openxmlformats.org/officeDocument/2006/relationships" name="MVP Dashboard" sheetId="15" r:id="R687533250b344d0c"/>
    <x:sheet xmlns:r="http://schemas.openxmlformats.org/officeDocument/2006/relationships" name="Product Vision" sheetId="16" r:id="R93ff2447d17a442b"/>
    <x:sheet xmlns:r="http://schemas.openxmlformats.org/officeDocument/2006/relationships" name="Pilot Gantt" sheetId="17" r:id="R64d42756087a4786"/>
    <x:sheet xmlns:r="http://schemas.openxmlformats.org/officeDocument/2006/relationships" name="Pilot Dashboard" sheetId="18" r:id="R99f7dc7cc146436c"/>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<x:sst xmlns:x="http://schemas.openxmlformats.org/spreadsheetml/2006/main">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</x:sst>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a200671b7d04cb0" /><Relationship Type="http://schemas.openxmlformats.org/officeDocument/2006/relationships/theme" Target="/xl/theme/theme1.xml" Id="Rca5bcaab470c40d7" /><Relationship Type="http://schemas.openxmlformats.org/officeDocument/2006/relationships/sharedStrings" Target="/xl/sharedStrings.xml" Id="R61da78e9c5b342c0" /><Relationship Type="http://schemas.openxmlformats.org/officeDocument/2006/relationships/worksheet" Target="/xl/worksheets/sheet1.xml" Id="Rb8de951066f54ea7" /><Relationship Type="http://schemas.openxmlformats.org/officeDocument/2006/relationships/worksheet" Target="/xl/worksheets/sheet2.xml" Id="R253a1c642e5245a1" /><Relationship Type="http://schemas.openxmlformats.org/officeDocument/2006/relationships/worksheet" Target="/xl/worksheets/sheet3.xml" Id="R9055bc48669c4cd3" /><Relationship Type="http://schemas.openxmlformats.org/officeDocument/2006/relationships/worksheet" Target="/xl/worksheets/sheet4.xml" Id="Rb5f657940aa7401a" /><Relationship Type="http://schemas.openxmlformats.org/officeDocument/2006/relationships/worksheet" Target="/xl/worksheets/sheet5.xml" Id="R40caa9eef3894199" /><Relationship Type="http://schemas.openxmlformats.org/officeDocument/2006/relationships/worksheet" Target="/xl/worksheets/sheet6.xml" Id="Rcaa8eaf17a474232" /><Relationship Type="http://schemas.openxmlformats.org/officeDocument/2006/relationships/worksheet" Target="/xl/worksheets/sheet7.xml" Id="R3a81da7ac8b040d0" /><Relationship Type="http://schemas.openxmlformats.org/officeDocument/2006/relationships/worksheet" Target="/xl/worksheets/sheet8.xml" Id="R0b61cc53dfe44238" /><Relationship Type="http://schemas.openxmlformats.org/officeDocument/2006/relationships/worksheet" Target="/xl/worksheets/sheet9.xml" Id="R0cfefa30848341f6" /><Relationship Type="http://schemas.openxmlformats.org/officeDocument/2006/relationships/worksheet" Target="/xl/worksheets/sheet10.xml" Id="R522ee58fec7b4173" /><Relationship Type="http://schemas.openxmlformats.org/officeDocument/2006/relationships/worksheet" Target="/xl/worksheets/sheet11.xml" Id="Rd212f139ee1e44af" /><Relationship Type="http://schemas.openxmlformats.org/officeDocument/2006/relationships/worksheet" Target="/xl/worksheets/sheet12.xml" Id="Re85c30e1e20f4ac8" /><Relationship Type="http://schemas.openxmlformats.org/officeDocument/2006/relationships/worksheet" Target="/xl/worksheets/sheet13.xml" Id="R70dcca626207486e" /><Relationship Type="http://schemas.openxmlformats.org/officeDocument/2006/relationships/worksheet" Target="/xl/worksheets/sheet14.xml" Id="R8bc684b4d1e14a83" /><Relationship Type="http://schemas.openxmlformats.org/officeDocument/2006/relationships/worksheet" Target="/xl/worksheets/sheet15.xml" Id="R687533250b344d0c" /><Relationship Type="http://schemas.openxmlformats.org/officeDocument/2006/relationships/worksheet" Target="/xl/worksheets/sheet16.xml" Id="R93ff2447d17a442b" /><Relationship Type="http://schemas.openxmlformats.org/officeDocument/2006/relationships/worksheet" Target="/xl/worksheets/sheet17.xml" Id="R64d42756087a4786" /><Relationship Type="http://schemas.openxmlformats.org/officeDocument/2006/relationships/worksheet" Target="/xl/worksheets/sheet18.xml" Id="R99f7dc7cc146436c" /></Relationships>
</file>

<file path=xl/drawings/_rels/drawing1.xml.rels>&#65279;<?xml version="1.0" encoding="utf-8"?><Relationships xmlns="http://schemas.openxmlformats.org/package/2006/relationships"><Relationship Type="http://schemas.openxmlformats.org/officeDocument/2006/relationships/chart" Target="/xl/drawings/charts/chart1.xml" Id="R25339faaca9b47f7" /></Relationships>
</file>

<file path=xl/drawings/_rels/drawing2.xml.rels>&#65279;<?xml version="1.0" encoding="utf-8"?><Relationships xmlns="http://schemas.openxmlformats.org/package/2006/relationships"><Relationship Type="http://schemas.openxmlformats.org/officeDocument/2006/relationships/chart" Target="/xl/drawings/charts/chart2.xml" Id="R846addb7345e4c16" /></Relationships>
</file>

<file path=xl/drawings/_rels/drawing3.xml.rels>&#65279;<?xml version="1.0" encoding="utf-8"?><Relationships xmlns="http://schemas.openxmlformats.org/package/2006/relationships"><Relationship Type="http://schemas.openxmlformats.org/officeDocument/2006/relationships/chart" Target="/xl/drawings/charts/chart3.xml" Id="R627779ef04df41eb"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5339faaca9b47f7"/>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46addb7345e4c16"/>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27779ef04df41e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f271b7a567bd4b69" /></Relationships>
</file>

<file path=xl/worksheets/_rels/sheet5.xml.rels>&#65279;<?xml version="1.0" encoding="utf-8"?><Relationships xmlns="http://schemas.openxmlformats.org/package/2006/relationships"><Relationship Type="http://schemas.openxmlformats.org/officeDocument/2006/relationships/drawing" Target="/xl/drawings/drawing2.xml" Id="R11c9faa29c7d4aa9" /></Relationships>
</file>

<file path=xl/worksheets/_rels/sheet15.xml.rels>&#65279;<?xml version="1.0" encoding="utf-8"?><Relationships xmlns="http://schemas.openxmlformats.org/package/2006/relationships"><Relationship Type="http://schemas.openxmlformats.org/officeDocument/2006/relationships/drawing" Target="/xl/drawings/drawing3.xml" Id="R4df4462bc39b4394"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first P2.2 slice integrated; second definition ready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second relationship-slice definition</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Review drawing metadata presence definition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P2.2 implementation only after explicit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35" hidden="0" customHeight="1">
      <x:c r="A28" s="704" t="str">
        <x:v>PR #28 integrated the accepted first P2.2 drawing revision slice to main at 5866212. Verification on that exact merged tree passed 30 focused tests, the full 201-test suite with one expected skip, validation 5/5, Ruff, and 84.64% coverage. The proposed next slice is intentionally one-directional: every authoritative drawing-register entry must have a drawing-metadata counterpart under AUTH-DWG-001. A missing counterpart is a high-severity automatic_fail release hold. Metadata records with no register authority are deferred because they route to missing_authoritative_information and need a separate absence-evidence decision. No second-slice behavior or protected-asset change is included.</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f271b7a567bd4b69"/>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11c9faa29c7d4aa9"/>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Proposed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Implementation requires explicit user acceptance. Reverse orphan detection, other relationships, routing, reports, CLI, semantic held-out evaluation, and deferred capabilities remain blocked.</x:v>
      </x:c>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Ready for review</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No Python behavior, schema, authority rule, accepted fixture, golden, held-out asset, or historical evidence changed. Implementation remains blocked pending explicit acceptance.</x:v>
      </x:c>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second relationship-slice definition</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The first P2.2 drawing-register-to-metadata revision slice is integrated to main at 5866212 and verified. The proposed second slice defines only authoritative register drawings missing drawing-metadata counterparts. Its implementation, reverse orphan detection, remaining P2.2 relationships, P2.3 consistency rules, P2.4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Review and accept, revise, or reject p2_2_drawing_metadata_presence_definition_v0.3.0.md. Do not implement the second slice before explicit acceptance.</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The accepted first P2.2 slice remains drawing_register_metadata_revision v0.3.0 in relationships.py. PR #28 merged it to main at 5866212 after green CI; merged-tree verification passed focused 30, full 201/1, validation 5/5, Ruff, and 84.64% coverage. The proposed second definition adds no executable behavior. It freezes drawing_register_metadata_presence v0.3.0, finding DRAWING_METADATA_MISSING, exact drawing_number membership, automatic_fail and release-hold routing under AUTH-DWG-001, authoritative row plus searched JSON collection evidence, stable identity, check ordering, temporary-copy tests, and explicit exclusions. Reverse metadata-without-register authority remains a later separate decision.</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4df4462bc39b4394"/>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80"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0.2</x:v>
      </x:c>
      <x:c r="M12" s="662" t="n">
        <x:f>SUMIF('Work Block Log'!$E$5:$E$200,A12,'Work Block Log'!$F$5:$F$200)</x:f>
        <x:v>0</x:v>
      </x:c>
      <x:c r="N12" s="662" t="n">
        <x:f>MAX(F12*(1-L12),0)</x:f>
        <x:v>3.2</x:v>
      </x:c>
      <x:c r="O12" s="662" t="n">
        <x:f>M12-F12</x:f>
        <x:v>-4</x:v>
      </x:c>
      <x:c r="P12" s="431" t="str">
        <x:v>first slice integrated through PR #28 at main 5866212; PR #29 d714f4e; definition e9e1a31; implementation f33ef1b; merged-tree focused 30; full 201/1; validation 5/5; Ruff; coverage 84.64%; second definition docs/package_assurance/p2_2_drawing_metadata_presence_definition_v0.3.0.md; codex/p2.2-drawing-counterpart-definition; D-049-D-054; EV-046-EV-051</x:v>
      </x:c>
      <x:c r="Q12" s="431" t="str">
        <x:v>Review and accept, revise, or reject the directional drawing metadata presence definition. Implementation remains blocked pending explicit acceptance.</x:v>
      </x:c>
      <x:c r="R12" s="431" t="str">
        <x:v>First slice is integrated and verified. The proposed second slice covers register-to-metadata absence only; reverse orphan metadata has different authority routing and remains separate. P2.2 stays at 20% until another relationship outcome is implemented and accepted.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0.34347826086956523</x:v>
      </x:c>
      <x:c r="M24" s="683" t="n">
        <x:f>SUM(M6:M22)</x:f>
        <x:v>0</x:v>
      </x:c>
      <x:c r="N24" s="683" t="n">
        <x:f>SUM(N6:N22)</x:f>
        <x:v>30.2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Second P2.2 Definition Review</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metadata presence definition</x:v>
      </x:c>
      <x:c r="H4" s="697"/>
    </x:row>
    <x:row r="5" ht="54" customHeight="1">
      <x:c r="A5" s="688" t="str">
        <x:v>Schedule Baseline</x:v>
      </x:c>
      <x:c r="B5" s="693" t="str">
        <x:v>Legacy only; not controlling</x:v>
      </x:c>
      <x:c r="C5" s="691"/>
      <x:c r="D5" s="691"/>
      <x:c r="F5" s="696" t="str">
        <x:v>Objective</x:v>
      </x:c>
      <x:c r="G5" s="697" t="str">
        <x:v>Freeze one directional missing-counterpart rule without adding executable behavior.</x:v>
      </x:c>
      <x:c r="H5" s="697"/>
    </x:row>
    <x:row r="6" ht="54" customHeight="1">
      <x:c r="A6" s="688" t="str">
        <x:v>Time Tracking</x:v>
      </x:c>
      <x:c r="B6" s="693" t="str">
        <x:v>Waived prospectively</x:v>
      </x:c>
      <x:c r="C6" s="691"/>
      <x:c r="D6" s="691"/>
      <x:c r="F6" s="696" t="str">
        <x:v>Gate Status</x:v>
      </x:c>
      <x:c r="G6" s="697" t="str">
        <x:v>First slice integrated at main 5866212; second definition is ready for user review.</x:v>
      </x:c>
      <x:c r="H6" s="697"/>
    </x:row>
    <x:row r="7" ht="54" customHeight="1">
      <x:c r="A7" s="688" t="str">
        <x:v>Current Gate</x:v>
      </x:c>
      <x:c r="B7" s="694" t="str">
        <x:v>P2.2 second relationship-slice definition</x:v>
      </x:c>
      <x:c r="C7" s="691"/>
      <x:c r="D7" s="691"/>
      <x:c r="F7" s="696" t="str">
        <x:v>Definition of Done</x:v>
      </x:c>
      <x:c r="G7" s="697" t="str">
        <x:v>User accepts, revises, or rejects the definition before implementation.</x:v>
      </x:c>
      <x:c r="H7" s="697"/>
    </x:row>
    <x:row r="8" ht="63" customHeight="1">
      <x:c r="A8" s="688" t="str">
        <x:v>Released Kernel</x:v>
      </x:c>
      <x:c r="B8" s="691" t="str">
        <x:v>v0.2.0 / commit 45336a2</x:v>
      </x:c>
      <x:c r="C8" s="691"/>
      <x:c r="D8" s="691"/>
      <x:c r="F8" s="696" t="str">
        <x:v>Immediate Next Action</x:v>
      </x:c>
      <x:c r="G8" s="697" t="str">
        <x:v>Review p2_2_drawing_metadata_presence_definition_v0.3.0.md and keep implementation blocked.</x:v>
      </x:c>
      <x:c r="H8" s="697"/>
    </x:row>
    <x:row r="9" ht="63" customHeight="1">
      <x:c r="A9" s="688" t="str">
        <x:v>Release Target</x:v>
      </x:c>
      <x:c r="B9" s="691" t="str">
        <x:v>v0.3.0</x:v>
      </x:c>
      <x:c r="C9" s="691"/>
      <x:c r="D9" s="691"/>
      <x:c r="F9" s="696" t="str">
        <x:v>Primary Risk</x:v>
      </x:c>
      <x:c r="G9" s="697" t="str">
        <x:v>Primary risk is treating opposite relationship directions as one state; the definition separates them.</x:v>
      </x:c>
      <x:c r="H9" s="697"/>
    </x:row>
    <x:row r="10" ht="63" customHeight="1">
      <x:c r="A10" s="688" t="str">
        <x:v>Baseline Test Count</x:v>
      </x:c>
      <x:c r="B10" s="691" t="n">
        <x:v>121</x:v>
      </x:c>
      <x:c r="C10" s="691"/>
      <x:c r="D10" s="691"/>
      <x:c r="F10" s="696" t="str">
        <x:v>Deferred</x:v>
      </x:c>
      <x:c r="G10" s="697" t="str">
        <x:v>Reverse orphan metadata, other P2.2 rules, routing, reports, CLI,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First P2.2 slice integrated; second directional definition under review; broader P2.2 remains open</x:v>
      </x:c>
      <x:c r="D17" s="700" t="n">
        <x:f>AVERAGE('Pilot Gantt'!L11:L14)</x:f>
        <x:v>0.3</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35" customHeight="1">
      <x:c r="A27" s="431" t="n">
        <x:v>4</x:v>
      </x:c>
      <x:c r="B27" s="431" t="str">
        <x:v>P2.2</x:v>
      </x:c>
      <x:c r="C27" s="431" t="str">
        <x:v>Drawing metadata presence definition</x:v>
      </x:c>
      <x:c r="D27" s="431" t="str">
        <x:v>First slice is integrated. The proposed second slice freezes authoritative register drawings missing metadata counterparts while keeping reverse orphan authority separate.</x:v>
      </x:c>
      <x:c r="E27" s="431" t="str">
        <x:v>Definition Review</x:v>
      </x:c>
      <x:c r="F27" s="431" t="str">
        <x:v>codex/p2.2-drawing-counterpart-definition</x:v>
      </x:c>
      <x:c r="G27" s="431" t="str">
        <x:v>main 5866212; PR #28 merged; second definition; D-053; D-054; EV-050; EV-051; IMP-009; focused 30; full 201/1; coverage 84.64%</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