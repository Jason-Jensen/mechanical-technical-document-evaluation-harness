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71838b5cdb546f5" /></Relationships>
</file>

<file path=xl/workbook.xml><?xml version="1.0" encoding="utf-8"?>
<x:workbook xmlns:x="http://schemas.openxmlformats.org/spreadsheetml/2006/main">
  <x:sheets>
    <x:sheet xmlns:r="http://schemas.openxmlformats.org/officeDocument/2006/relationships" name="Start Here" sheetId="1" r:id="R8f2015b69e984e02"/>
    <x:sheet xmlns:r="http://schemas.openxmlformats.org/officeDocument/2006/relationships" name="Executive Gantt" sheetId="2" r:id="R1edb4cba031445ec"/>
    <x:sheet xmlns:r="http://schemas.openxmlformats.org/officeDocument/2006/relationships" name="Detailed Gantt" sheetId="3" r:id="Ra508d38f71524545"/>
    <x:sheet xmlns:r="http://schemas.openxmlformats.org/officeDocument/2006/relationships" name="Weekly Control" sheetId="4" r:id="R550956367ed7480d"/>
    <x:sheet xmlns:r="http://schemas.openxmlformats.org/officeDocument/2006/relationships" name="Phase Summary" sheetId="5" r:id="R08692a39b3074873"/>
    <x:sheet xmlns:r="http://schemas.openxmlformats.org/officeDocument/2006/relationships" name="Assumptions &amp; Gates" sheetId="6" r:id="R66873d96db264968"/>
    <x:sheet xmlns:r="http://schemas.openxmlformats.org/officeDocument/2006/relationships" name="Sources" sheetId="7" r:id="R8074c72fc4ff4822"/>
    <x:sheet xmlns:r="http://schemas.openxmlformats.org/officeDocument/2006/relationships" name="Legacy Baseline" sheetId="8" r:id="Rc81d62940ebd4715"/>
    <x:sheet xmlns:r="http://schemas.openxmlformats.org/officeDocument/2006/relationships" name="Work Block Log" sheetId="9" r:id="R3f35be2b8f0940cf"/>
    <x:sheet xmlns:r="http://schemas.openxmlformats.org/officeDocument/2006/relationships" name="Decision Register" sheetId="10" r:id="R20f065432daa49b2"/>
    <x:sheet xmlns:r="http://schemas.openxmlformats.org/officeDocument/2006/relationships" name="Risks &amp; Issues" sheetId="11" r:id="Ref8b8a3b3bb04a36"/>
    <x:sheet xmlns:r="http://schemas.openxmlformats.org/officeDocument/2006/relationships" name="Evidence Register" sheetId="12" r:id="R64c5a47abf924268"/>
    <x:sheet xmlns:r="http://schemas.openxmlformats.org/officeDocument/2006/relationships" name="Expansion Backlog" sheetId="13" r:id="Ra89d4f805bf746d5"/>
    <x:sheet xmlns:r="http://schemas.openxmlformats.org/officeDocument/2006/relationships" name="AI Context" sheetId="14" r:id="R65f6e19c0ec34352"/>
    <x:sheet xmlns:r="http://schemas.openxmlformats.org/officeDocument/2006/relationships" name="MVP Dashboard" sheetId="15" r:id="Re0539645a8be4085"/>
    <x:sheet xmlns:r="http://schemas.openxmlformats.org/officeDocument/2006/relationships" name="Product Vision" sheetId="16" r:id="R9452f924db994dda"/>
    <x:sheet xmlns:r="http://schemas.openxmlformats.org/officeDocument/2006/relationships" name="Pilot Gantt" sheetId="17" r:id="R0342835c813242a4"/>
    <x:sheet xmlns:r="http://schemas.openxmlformats.org/officeDocument/2006/relationships" name="Pilot Dashboard" sheetId="18" r:id="R88c6d5d2ca1b4a94"/>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<x:sst xmlns:x="http://schemas.openxmlformats.org/spreadsheetml/2006/main">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</x:sst>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38b26969d34cc8" /><Relationship Type="http://schemas.openxmlformats.org/officeDocument/2006/relationships/theme" Target="/xl/theme/theme1.xml" Id="R51ca278db4654658" /><Relationship Type="http://schemas.openxmlformats.org/officeDocument/2006/relationships/sharedStrings" Target="/xl/sharedStrings.xml" Id="R195475cc842e43b4" /><Relationship Type="http://schemas.openxmlformats.org/officeDocument/2006/relationships/worksheet" Target="/xl/worksheets/sheet1.xml" Id="R8f2015b69e984e02" /><Relationship Type="http://schemas.openxmlformats.org/officeDocument/2006/relationships/worksheet" Target="/xl/worksheets/sheet2.xml" Id="R1edb4cba031445ec" /><Relationship Type="http://schemas.openxmlformats.org/officeDocument/2006/relationships/worksheet" Target="/xl/worksheets/sheet3.xml" Id="Ra508d38f71524545" /><Relationship Type="http://schemas.openxmlformats.org/officeDocument/2006/relationships/worksheet" Target="/xl/worksheets/sheet4.xml" Id="R550956367ed7480d" /><Relationship Type="http://schemas.openxmlformats.org/officeDocument/2006/relationships/worksheet" Target="/xl/worksheets/sheet5.xml" Id="R08692a39b3074873" /><Relationship Type="http://schemas.openxmlformats.org/officeDocument/2006/relationships/worksheet" Target="/xl/worksheets/sheet6.xml" Id="R66873d96db264968" /><Relationship Type="http://schemas.openxmlformats.org/officeDocument/2006/relationships/worksheet" Target="/xl/worksheets/sheet7.xml" Id="R8074c72fc4ff4822" /><Relationship Type="http://schemas.openxmlformats.org/officeDocument/2006/relationships/worksheet" Target="/xl/worksheets/sheet8.xml" Id="Rc81d62940ebd4715" /><Relationship Type="http://schemas.openxmlformats.org/officeDocument/2006/relationships/worksheet" Target="/xl/worksheets/sheet9.xml" Id="R3f35be2b8f0940cf" /><Relationship Type="http://schemas.openxmlformats.org/officeDocument/2006/relationships/worksheet" Target="/xl/worksheets/sheet10.xml" Id="R20f065432daa49b2" /><Relationship Type="http://schemas.openxmlformats.org/officeDocument/2006/relationships/worksheet" Target="/xl/worksheets/sheet11.xml" Id="Ref8b8a3b3bb04a36" /><Relationship Type="http://schemas.openxmlformats.org/officeDocument/2006/relationships/worksheet" Target="/xl/worksheets/sheet12.xml" Id="R64c5a47abf924268" /><Relationship Type="http://schemas.openxmlformats.org/officeDocument/2006/relationships/worksheet" Target="/xl/worksheets/sheet13.xml" Id="Ra89d4f805bf746d5" /><Relationship Type="http://schemas.openxmlformats.org/officeDocument/2006/relationships/worksheet" Target="/xl/worksheets/sheet14.xml" Id="R65f6e19c0ec34352" /><Relationship Type="http://schemas.openxmlformats.org/officeDocument/2006/relationships/worksheet" Target="/xl/worksheets/sheet15.xml" Id="Re0539645a8be4085" /><Relationship Type="http://schemas.openxmlformats.org/officeDocument/2006/relationships/worksheet" Target="/xl/worksheets/sheet16.xml" Id="R9452f924db994dda" /><Relationship Type="http://schemas.openxmlformats.org/officeDocument/2006/relationships/worksheet" Target="/xl/worksheets/sheet17.xml" Id="R0342835c813242a4" /><Relationship Type="http://schemas.openxmlformats.org/officeDocument/2006/relationships/worksheet" Target="/xl/worksheets/sheet18.xml" Id="R88c6d5d2ca1b4a94" /></Relationships>
</file>

<file path=xl/drawings/_rels/drawing1.xml.rels>&#65279;<?xml version="1.0" encoding="utf-8"?><Relationships xmlns="http://schemas.openxmlformats.org/package/2006/relationships"><Relationship Type="http://schemas.openxmlformats.org/officeDocument/2006/relationships/chart" Target="/xl/drawings/charts/chart1.xml" Id="R16266c3c30624c87" /></Relationships>
</file>

<file path=xl/drawings/_rels/drawing2.xml.rels>&#65279;<?xml version="1.0" encoding="utf-8"?><Relationships xmlns="http://schemas.openxmlformats.org/package/2006/relationships"><Relationship Type="http://schemas.openxmlformats.org/officeDocument/2006/relationships/chart" Target="/xl/drawings/charts/chart2.xml" Id="Rc62abcd60f8e4486" /></Relationships>
</file>

<file path=xl/drawings/_rels/drawing3.xml.rels>&#65279;<?xml version="1.0" encoding="utf-8"?><Relationships xmlns="http://schemas.openxmlformats.org/package/2006/relationships"><Relationship Type="http://schemas.openxmlformats.org/officeDocument/2006/relationships/chart" Target="/xl/drawings/charts/chart3.xml" Id="Rb2495f1e19794a81"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6266c3c30624c87"/>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62abcd60f8e448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495f1e19794a8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395336e326541fd" /></Relationships>
</file>

<file path=xl/worksheets/_rels/sheet5.xml.rels>&#65279;<?xml version="1.0" encoding="utf-8"?><Relationships xmlns="http://schemas.openxmlformats.org/package/2006/relationships"><Relationship Type="http://schemas.openxmlformats.org/officeDocument/2006/relationships/drawing" Target="/xl/drawings/drawing2.xml" Id="Rea350280c6514e47" /></Relationships>
</file>

<file path=xl/worksheets/_rels/sheet15.xml.rels>&#65279;<?xml version="1.0" encoding="utf-8"?><Relationships xmlns="http://schemas.openxmlformats.org/package/2006/relationships"><Relationship Type="http://schemas.openxmlformats.org/officeDocument/2006/relationships/drawing" Target="/xl/drawings/drawing3.xml" Id="Rc27670fdfb3a40c3"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check 7 implementation ready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check 7 implementation review and integration</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BOM equipment drawing presence</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Integrate the verified seventh check, then open the real-package trial decision gate</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62" hidden="0" customHeight="1">
      <x:c r="A28" s="597" t="str">
        <x:v>The behavior-preserving relationship split is integrated through PR #44 at exact main 56ac9d1. Check 7, bom_equipment_drawing_presence, is implementation-complete on codex/p2.3-bom-equipment-drawing-presence under exact AUTH-BOM-002. It requires every release-required BOM equipment tag to appear in drawing metadata without claiming that the BOM drawing_number is authoritative. Verification passes 35 relationship tests, 80 focused tests, 283 full-suite tests with one expected skip, validation 5/5, Ruff, and 87.25% coverage. Clean evidence is automatic_pass with 8/8 gates and 7/7 checks; the isolated missing M-101A tag is automatic_fail with one release hold and four outputs. D-089-D-090 and EV-086-EV-087 record the work. The next business gate is selection of one authorized sanitized structured package for a development-only real-world trial.</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395336e326541fd"/>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ea350280c6514e47"/>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Propose acceptance and integration of P2.3 check 7, bom_equipment_drawing_presence v0.3.0. Require every release-required BOM equipment tag to appear in at least one drawing_metadata equipment_tags collection under exact AUTH-BOM-002, without treating the BOM drawing_number as authoritative.</x:v>
      </x:c>
      <x:c r="D93" s="431" t="str">
        <x:v>The implementation closes the isolated missing-tag gap with one deterministic high-severity automatic-fail release hold per affected BOM item/tag. It preserves all six predecessor checks and the accepted result, report, publication, and CLI contracts. Clean and isolated-fault evidence is complete.</x:v>
      </x:c>
      <x:c r="E93" s="431" t="str">
        <x:v>Proposed</x:v>
      </x:c>
      <x:c r="F93" s="431" t="str">
        <x:v>P2.3 check 7 implementation review</x:v>
      </x:c>
      <x:c r="G93" s="431" t="str">
        <x:v>codex/p2.3-bom-equipment-drawing-presence; relationship 35; focused 80; full 283/1; validation 5/5; Ruff; coverage 87.25%; EV-087; IMP-013-IMP-015</x:v>
      </x:c>
      <x:c r="H93" s="431" t="str">
        <x:v>Integrate after green CI under the approved executive sequence. Then stop at the real-package structured-trial decision gate for authorized package selection. Checks 8-11, authority gaps, held-out semantics, and deferred capabilities remain blocked.</x:v>
      </x:c>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14"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Ready for integration</x:v>
      </x:c>
      <x:c r="I90" s="431" t="str">
        <x:v>Relationship tests: 35 passed. Focused relationship/result/report/CLI tests: 80 passed. Full frozen regression: 283 passed with one expected Windows symlink skip. Repository validation: 5/5. Ruff passed. Coverage: 87.25%. Clean run RUN-20260720T162054787699Z-b9e40071: automatic_pass; hold false; gates 8/8; checks 7/7; zero findings; exit 0. Fault run RUN-20260720T162055316478Z-89064926: automatic_fail; hold true; gates 8/8; checks 6/7; one BOM_EQUIPMENT_DRAWING_REFERENCE_MISSING under AUTH-BOM-002 for ITEM-MOTOR-001/M-101A; exit 1. Both publish exactly four outputs with zero absolute local paths. No accepted fixture, schema, authority map, golden, held-out content, frozen v0.2 behavior, or historical evidence changed.</x:v>
      </x:c>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7 implementation verified and ready for integration</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ordered checks now run end to end; real-package usefulness and checks 8-11 remain unproven.</x:v>
      </x:c>
      <x:c r="E7" s="765" t="str">
        <x:v>Product interpretation</x:v>
      </x:c>
      <x:c r="F7" s="431" t="str">
        <x:v>Successful kernel; not yet a complete economically useful workflow.</x:v>
      </x:c>
      <x:c r="G7" s="765" t="str">
        <x:v>Response</x:v>
      </x:c>
      <x:c r="H7" s="431" t="str">
        <x:v>Integrate check 7, then obtain one authorized sanitized structured package for a development trial.</x:v>
      </x:c>
    </x:row>
    <x:row r="8" ht="99" hidden="0" customHeight="1">
      <x:c r="A8" s="765" t="str">
        <x:v>Immediate next action</x:v>
      </x:c>
      <x:c r="B8" s="431" t="str">
        <x:v>Merge the verified check 7 branch after CI, then stop at the real-package trial input decision.</x:v>
      </x:c>
      <x:c r="C8" s="765" t="str">
        <x:v>Selected vertical</x:v>
      </x:c>
      <x:c r="D8" s="431" t="str">
        <x:v>Accepted audit path -&gt; seven checks -&gt; authorized real-package structured trial -&gt; checks 8-11 -&gt; P4 benchmark.</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62" hidden="0" customHeight="1">
      <x:c r="A41" s="604" t="str">
        <x:v>Immediate implication</x:v>
      </x:c>
      <x:c r="B41" s="605"/>
      <x:c r="C41" s="606" t="str">
        <x:v>PR #44 integrated the behavior-preserving relationship domain split at exact main 56ac9d1 after two passing CI runs. Check 7 now verifies that every release-required BOM equipment tag appears in drawing metadata under exact AUTH-BOM-002. The implementation does not treat the BOM drawing_number as authoritative and leaves all six authority gaps unchanged. Proof: relationship 35; focused 80; full 283/1; validation 5/5; Ruff; coverage 87.25%; clean 8/8 gates, 7/7 checks, exit 0; isolated missing M-101A tag 8/8 gates, 6/7 checks, one hold, exit 1; four outputs; no absolute paths. After integration, a real-package trial cannot begin until the user identifies an authorized sanitized structured package.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27670fdfb3a40c3"/>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52"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0.64</x:v>
      </x:c>
      <x:c r="M13" s="662" t="n">
        <x:f>SUMIF('Work Block Log'!$E$5:$E$200,A13,'Work Block Log'!$F$5:$F$200)</x:f>
        <x:v>0</x:v>
      </x:c>
      <x:c r="N13" s="662" t="n">
        <x:f>MAX(F13*(1-L13),0)</x:f>
        <x:v>1.44</x:v>
      </x:c>
      <x:c r="O13" s="662" t="n">
        <x:f>M13-F13</x:f>
        <x:v>-4</x:v>
      </x:c>
      <x:c r="P13" s="431" t="str">
        <x:v>maintenance PR #44 exact main 56ac9d1; check 7 implementation branch codex/p2.3-bom-equipment-drawing-presence; D-085-D-090; EV-082-EV-087; IMP-013-IMP-015; relationship 35; focused 80; full 283/1; validation 5/5; Ruff; coverage 87.25%; inspected clean/fault outputs</x:v>
      </x:c>
      <x:c r="Q13" s="431" t="str">
        <x:v>Integrate verified check 7, then define and review the development-only real-package structured trial using one explicitly authorized sanitized package.</x:v>
      </x:c>
      <x:c r="R13" s="431" t="str">
        <x:v>Check 7 is ready for integration. Clean 8/8 gates, 7/7 checks, exit 0; missing M-101A drawing representation 8/8 gates, 6/7 checks, one exact AUTH-BOM-002 hold, exit 1. Checks 8-11, six authority gaps, held-out semantics, and multimodal work remain blocked.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0.7078260869565218</x:v>
      </x:c>
      <x:c r="M24" s="683" t="n">
        <x:f>SUM(M6:M22)</x:f>
        <x:v>0</x:v>
      </x:c>
      <x:c r="N24" s="683" t="n">
        <x:f>SUM(N6:N22)</x:f>
        <x:v>13.44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P2.3 Check 7</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BOM equipment drawing presence</x:v>
      </x:c>
      <x:c r="H4" s="697"/>
    </x:row>
    <x:row r="5" ht="72" customHeight="1">
      <x:c r="A5" s="688" t="str">
        <x:v>Schedule Baseline</x:v>
      </x:c>
      <x:c r="B5" s="693" t="str">
        <x:v>Legacy only; not controlling</x:v>
      </x:c>
      <x:c r="C5" s="691"/>
      <x:c r="D5" s="691"/>
      <x:c r="F5" s="696" t="str">
        <x:v>Objective</x:v>
      </x:c>
      <x:c r="G5" s="697" t="str">
        <x:v>Require every release-critical BOM equipment tag to appear in drawing metadata.</x:v>
      </x:c>
      <x:c r="H5" s="697"/>
    </x:row>
    <x:row r="6" ht="63" customHeight="1">
      <x:c r="A6" s="688" t="str">
        <x:v>Time Tracking</x:v>
      </x:c>
      <x:c r="B6" s="693" t="str">
        <x:v>Waived prospectively</x:v>
      </x:c>
      <x:c r="C6" s="691"/>
      <x:c r="D6" s="691"/>
      <x:c r="F6" s="696" t="str">
        <x:v>Gate Status</x:v>
      </x:c>
      <x:c r="G6" s="697" t="str">
        <x:v>Implementation and end-to-end evidence are complete; integration is authorized after green CI.</x:v>
      </x:c>
      <x:c r="H6" s="697"/>
    </x:row>
    <x:row r="7" ht="81" customHeight="1">
      <x:c r="A7" s="688" t="str">
        <x:v>Current Gate</x:v>
      </x:c>
      <x:c r="B7" s="694" t="str">
        <x:v>P2.3 check 7 implementation review and integration</x:v>
      </x:c>
      <x:c r="C7" s="691"/>
      <x:c r="D7" s="691"/>
      <x:c r="F7" s="696" t="str">
        <x:v>Definition of Done</x:v>
      </x:c>
      <x:c r="G7" s="697" t="str">
        <x:v>Clean and isolated missing-tag runs agree across result, reports, publication, and CLI.</x:v>
      </x:c>
      <x:c r="H7" s="697"/>
    </x:row>
    <x:row r="8" ht="63" customHeight="1">
      <x:c r="A8" s="688" t="str">
        <x:v>Released Kernel</x:v>
      </x:c>
      <x:c r="B8" s="691" t="str">
        <x:v>v0.2.0 / commit 45336a2</x:v>
      </x:c>
      <x:c r="C8" s="691"/>
      <x:c r="D8" s="691"/>
      <x:c r="F8" s="696" t="str">
        <x:v>Immediate Next Action</x:v>
      </x:c>
      <x:c r="G8" s="697" t="str">
        <x:v>Integrate check 7, then stop for authorized real-package trial selection.</x:v>
      </x:c>
      <x:c r="H8" s="697"/>
    </x:row>
    <x:row r="9" ht="72" customHeight="1">
      <x:c r="A9" s="688" t="str">
        <x:v>Release Target</x:v>
      </x:c>
      <x:c r="B9" s="691" t="str">
        <x:v>v0.3.0</x:v>
      </x:c>
      <x:c r="C9" s="691"/>
      <x:c r="D9" s="691"/>
      <x:c r="F9" s="696" t="str">
        <x:v>Primary Risk</x:v>
      </x:c>
      <x:c r="G9" s="697" t="str">
        <x:v>Primary risk is mistaking tag presence for authoritative BOM item-to-drawing agreement.</x:v>
      </x:c>
      <x:c r="H9" s="697"/>
    </x:row>
    <x:row r="10" ht="81" customHeight="1">
      <x:c r="A10" s="688" t="str">
        <x:v>Baseline Test Count</x:v>
      </x:c>
      <x:c r="B10" s="691" t="n">
        <x:v>121</x:v>
      </x:c>
      <x:c r="C10" s="691"/>
      <x:c r="D10" s="691"/>
      <x:c r="F10" s="696" t="str">
        <x:v>Deferred</x:v>
      </x:c>
      <x:c r="G10" s="697" t="str">
        <x:v>BOM drawing_number authority, six authority gaps, held-out semantics, and multimodal work remain blocked.</x:v>
      </x:c>
      <x:c r="H10" s="697"/>
    </x:row>
    <x:row r="11" ht="63" customHeight="1">
      <x:c r="A11" s="688" t="str">
        <x:v>Fixture Package Families</x:v>
      </x:c>
      <x:c r="B11" s="691" t="n">
        <x:v>2</x:v>
      </x:c>
      <x:c r="C11" s="691"/>
      <x:c r="D11" s="691"/>
      <x:c r="F11" s="696" t="str">
        <x:v>Data Boundary</x:v>
      </x:c>
      <x:c r="G11" s="697" t="str">
        <x:v>The development trial may use only public, synthetic, self-authored, or explicitly authorized sanitized data.</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Check 7 verified; real-package trial decision next</x:v>
      </x:c>
      <x:c r="D17" s="700" t="n">
        <x:v>0.64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16" customHeight="1">
      <x:c r="A34" s="431" t="n">
        <x:v>11</x:v>
      </x:c>
      <x:c r="B34" s="431" t="str">
        <x:v>P2.3</x:v>
      </x:c>
      <x:c r="C34" s="431" t="str">
        <x:v>Relationship expansion - check 7</x:v>
      </x:c>
      <x:c r="D34" s="431" t="str">
        <x:v>Require each release-required BOM equipment tag to appear in drawing metadata under exact AUTH-BOM-002.</x:v>
      </x:c>
      <x:c r="E34" s="431" t="str">
        <x:v>Ready for Integration</x:v>
      </x:c>
      <x:c r="F34" s="431" t="str">
        <x:v>codex/p2.3-bom-equipment-drawing-presence</x:v>
      </x:c>
      <x:c r="G34" s="431" t="str">
        <x:v>D-089-D-090; EV-087; relationship 35; focused 80; full 283/1; validation 5/5; Ruff; coverage 87.25%; clean 7/7; missing-tag fault 6/7 with one hold</x:v>
      </x:c>
      <x:c r="H34"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