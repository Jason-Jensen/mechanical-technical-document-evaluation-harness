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a3566b07b0457b" /></Relationships>
</file>

<file path=xl/workbook.xml><?xml version="1.0" encoding="utf-8"?>
<x:workbook xmlns:x="http://schemas.openxmlformats.org/spreadsheetml/2006/main">
  <x:sheets>
    <x:sheet xmlns:r="http://schemas.openxmlformats.org/officeDocument/2006/relationships" name="Start Here" sheetId="1" r:id="R1f06fd9b772a4f73"/>
    <x:sheet xmlns:r="http://schemas.openxmlformats.org/officeDocument/2006/relationships" name="Executive Gantt" sheetId="2" r:id="R8ad36bb41952479e"/>
    <x:sheet xmlns:r="http://schemas.openxmlformats.org/officeDocument/2006/relationships" name="Detailed Gantt" sheetId="3" r:id="Rb122fca484cb42d6"/>
    <x:sheet xmlns:r="http://schemas.openxmlformats.org/officeDocument/2006/relationships" name="Weekly Control" sheetId="4" r:id="Ra38e36def93849b8"/>
    <x:sheet xmlns:r="http://schemas.openxmlformats.org/officeDocument/2006/relationships" name="Phase Summary" sheetId="5" r:id="R44b444e41a054daa"/>
    <x:sheet xmlns:r="http://schemas.openxmlformats.org/officeDocument/2006/relationships" name="Assumptions &amp; Gates" sheetId="6" r:id="R687e46c013d7417b"/>
    <x:sheet xmlns:r="http://schemas.openxmlformats.org/officeDocument/2006/relationships" name="Sources" sheetId="7" r:id="Rd13275886ac148c1"/>
    <x:sheet xmlns:r="http://schemas.openxmlformats.org/officeDocument/2006/relationships" name="Legacy Baseline" sheetId="8" r:id="R87d7b283708445db"/>
    <x:sheet xmlns:r="http://schemas.openxmlformats.org/officeDocument/2006/relationships" name="Work Block Log" sheetId="9" r:id="R072040c2d8be480b"/>
    <x:sheet xmlns:r="http://schemas.openxmlformats.org/officeDocument/2006/relationships" name="Decision Register" sheetId="10" r:id="R1adeb00e35f444f1"/>
    <x:sheet xmlns:r="http://schemas.openxmlformats.org/officeDocument/2006/relationships" name="Risks &amp; Issues" sheetId="11" r:id="Rb8b2b31abe074b06"/>
    <x:sheet xmlns:r="http://schemas.openxmlformats.org/officeDocument/2006/relationships" name="Evidence Register" sheetId="12" r:id="R9584b2c476f54775"/>
    <x:sheet xmlns:r="http://schemas.openxmlformats.org/officeDocument/2006/relationships" name="Expansion Backlog" sheetId="13" r:id="R57f75934f17240e8"/>
    <x:sheet xmlns:r="http://schemas.openxmlformats.org/officeDocument/2006/relationships" name="AI Context" sheetId="14" r:id="R98d4e2182eee44e6"/>
    <x:sheet xmlns:r="http://schemas.openxmlformats.org/officeDocument/2006/relationships" name="MVP Dashboard" sheetId="15" r:id="Rab2e3eab871c43d1"/>
    <x:sheet xmlns:r="http://schemas.openxmlformats.org/officeDocument/2006/relationships" name="Product Vision" sheetId="16" r:id="R778e29f8f5c84a69"/>
    <x:sheet xmlns:r="http://schemas.openxmlformats.org/officeDocument/2006/relationships" name="Pilot Gantt" sheetId="17" r:id="R7b1966b9119c45c2"/>
    <x:sheet xmlns:r="http://schemas.openxmlformats.org/officeDocument/2006/relationships" name="Pilot Dashboard" sheetId="18" r:id="R3f12919a1c60425d"/>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<x:sst xmlns:x="http://schemas.openxmlformats.org/spreadsheetml/2006/main">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</x:sst>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5672a435876448b" /><Relationship Type="http://schemas.openxmlformats.org/officeDocument/2006/relationships/theme" Target="/xl/theme/theme1.xml" Id="Rc59e788e734849f5" /><Relationship Type="http://schemas.openxmlformats.org/officeDocument/2006/relationships/sharedStrings" Target="/xl/sharedStrings.xml" Id="Rca75e0d7e497466e" /><Relationship Type="http://schemas.openxmlformats.org/officeDocument/2006/relationships/worksheet" Target="/xl/worksheets/sheet1.xml" Id="R1f06fd9b772a4f73" /><Relationship Type="http://schemas.openxmlformats.org/officeDocument/2006/relationships/worksheet" Target="/xl/worksheets/sheet2.xml" Id="R8ad36bb41952479e" /><Relationship Type="http://schemas.openxmlformats.org/officeDocument/2006/relationships/worksheet" Target="/xl/worksheets/sheet3.xml" Id="Rb122fca484cb42d6" /><Relationship Type="http://schemas.openxmlformats.org/officeDocument/2006/relationships/worksheet" Target="/xl/worksheets/sheet4.xml" Id="Ra38e36def93849b8" /><Relationship Type="http://schemas.openxmlformats.org/officeDocument/2006/relationships/worksheet" Target="/xl/worksheets/sheet5.xml" Id="R44b444e41a054daa" /><Relationship Type="http://schemas.openxmlformats.org/officeDocument/2006/relationships/worksheet" Target="/xl/worksheets/sheet6.xml" Id="R687e46c013d7417b" /><Relationship Type="http://schemas.openxmlformats.org/officeDocument/2006/relationships/worksheet" Target="/xl/worksheets/sheet7.xml" Id="Rd13275886ac148c1" /><Relationship Type="http://schemas.openxmlformats.org/officeDocument/2006/relationships/worksheet" Target="/xl/worksheets/sheet8.xml" Id="R87d7b283708445db" /><Relationship Type="http://schemas.openxmlformats.org/officeDocument/2006/relationships/worksheet" Target="/xl/worksheets/sheet9.xml" Id="R072040c2d8be480b" /><Relationship Type="http://schemas.openxmlformats.org/officeDocument/2006/relationships/worksheet" Target="/xl/worksheets/sheet10.xml" Id="R1adeb00e35f444f1" /><Relationship Type="http://schemas.openxmlformats.org/officeDocument/2006/relationships/worksheet" Target="/xl/worksheets/sheet11.xml" Id="Rb8b2b31abe074b06" /><Relationship Type="http://schemas.openxmlformats.org/officeDocument/2006/relationships/worksheet" Target="/xl/worksheets/sheet12.xml" Id="R9584b2c476f54775" /><Relationship Type="http://schemas.openxmlformats.org/officeDocument/2006/relationships/worksheet" Target="/xl/worksheets/sheet13.xml" Id="R57f75934f17240e8" /><Relationship Type="http://schemas.openxmlformats.org/officeDocument/2006/relationships/worksheet" Target="/xl/worksheets/sheet14.xml" Id="R98d4e2182eee44e6" /><Relationship Type="http://schemas.openxmlformats.org/officeDocument/2006/relationships/worksheet" Target="/xl/worksheets/sheet15.xml" Id="Rab2e3eab871c43d1" /><Relationship Type="http://schemas.openxmlformats.org/officeDocument/2006/relationships/worksheet" Target="/xl/worksheets/sheet16.xml" Id="R778e29f8f5c84a69" /><Relationship Type="http://schemas.openxmlformats.org/officeDocument/2006/relationships/worksheet" Target="/xl/worksheets/sheet17.xml" Id="R7b1966b9119c45c2" /><Relationship Type="http://schemas.openxmlformats.org/officeDocument/2006/relationships/worksheet" Target="/xl/worksheets/sheet18.xml" Id="R3f12919a1c60425d" /></Relationships>
</file>

<file path=xl/drawings/_rels/drawing1.xml.rels>&#65279;<?xml version="1.0" encoding="utf-8"?><Relationships xmlns="http://schemas.openxmlformats.org/package/2006/relationships"><Relationship Type="http://schemas.openxmlformats.org/officeDocument/2006/relationships/chart" Target="/xl/drawings/charts/chart1.xml" Id="Rff7f580760454876" /></Relationships>
</file>

<file path=xl/drawings/_rels/drawing2.xml.rels>&#65279;<?xml version="1.0" encoding="utf-8"?><Relationships xmlns="http://schemas.openxmlformats.org/package/2006/relationships"><Relationship Type="http://schemas.openxmlformats.org/officeDocument/2006/relationships/chart" Target="/xl/drawings/charts/chart2.xml" Id="R2d59691ecedb4b74" /></Relationships>
</file>

<file path=xl/drawings/_rels/drawing3.xml.rels>&#65279;<?xml version="1.0" encoding="utf-8"?><Relationships xmlns="http://schemas.openxmlformats.org/package/2006/relationships"><Relationship Type="http://schemas.openxmlformats.org/officeDocument/2006/relationships/chart" Target="/xl/drawings/charts/chart3.xml" Id="R5c0424c45adb4eab"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f7f580760454876"/>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d59691ecedb4b74"/>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c0424c45adb4eab"/>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f0b260138fb24f12" /></Relationships>
</file>

<file path=xl/worksheets/_rels/sheet5.xml.rels>&#65279;<?xml version="1.0" encoding="utf-8"?><Relationships xmlns="http://schemas.openxmlformats.org/package/2006/relationships"><Relationship Type="http://schemas.openxmlformats.org/officeDocument/2006/relationships/drawing" Target="/xl/drawings/drawing2.xml" Id="Rc7e20709e1534604" /></Relationships>
</file>

<file path=xl/worksheets/_rels/sheet15.xml.rels>&#65279;<?xml version="1.0" encoding="utf-8"?><Relationships xmlns="http://schemas.openxmlformats.org/package/2006/relationships"><Relationship Type="http://schemas.openxmlformats.org/officeDocument/2006/relationships/drawing" Target="/xl/drawings/drawing3.xml" Id="R89839e118bf841ad"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P4.2 replacement freeze review 2026-07-21</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Replacement freeze verified; D-111 owner decision required</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P4.2 - replacement freeze review</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D-111; no semantic execution before acceptance</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787.5" hidden="0" customHeight="1">
      <x:c r="A28" s="597" t="str">
        <x:v>P4.1 and D-109 remain frozen at implementation 4cf9fe8. D-110 is integrated through PR #62 at exact main ea45dcf. The exposed instrument-air family remains unchanged, unexecuted, and ineligible for release claims. Isolated bundle P4.2-CUSTODIAN-EA45DCF-V1 produced materially distinct belt-conveyor replacement FAM-HO-CONVEYOR-DRIVE-042. After the first custodian stopped before its freeze records, isolated recovery custodians preserved valid work, removed one temporary validator placeholder, passed 326 structural/hash checks, and wrote the public freeze record last. A separate fresh verifier passed 14/14 controls: eight manifests, all eleven clean relationship contracts, protected aggregate requirements, zero public leakage, zero hash mismatch, zero freeze-order violation, and zero semantic execution. The opaque repository import is byte-exact for 210/210 files; both trees reproduce complete-family hash e619c81854d9676b5d821a752e3b00e68d0072572cef64509d5cc9132a3e6ff6. Safe pre-run verification passes 32 focused tests, 319 full tests with one expected skip at 88.57% coverage, repository validation 5/5, Ruff, frozen baseline 9/9, and demo 2/2. D-111 proposes accepting the freeze and authorizing exactly one first semantic run per opaque scenario, with raw evidence preserved before protected comparison and no rerun authority. Semantic execution remains blocked pending owner acceptance. EV-146-EV-148, I-006, IMP-023, and IMP-024 retain the proof and recovery lesson.</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f0b260138fb24f12"/>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c7e20709e1534604"/>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row r="113" ht="720" customHeight="1">
      <x:c r="A113" s="431" t="str">
        <x:v>D-110</x:v>
      </x:c>
      <x:c r="B113" s="431" t="n">
        <x:v>46224</x:v>
      </x:c>
      <x:c r="C113" s="431" t="str">
        <x:v>Classify FAM-HO-INSTRUMENT-AIR-001 as contaminated for release held-out claims after pre-run oracle metadata exposure; preserve it unchanged and unexecuted; require a materially distinct replacement authored and frozen in an isolated custodian context before P4.2 execution.</x:v>
      </x:c>
      <x:c r="D113" s="431" t="str">
        <x:v>Accepted Section 15 makes exposure of expected conditions or answer keys to a rule implementer after freeze disqualifying even when no run or tuning occurs. Preserving the event and replacing the family protects the release claim and prevents a policy waiver from becoming hidden benchmark leakage.</x:v>
      </x:c>
      <x:c r="E113" s="431" t="str">
        <x:v>Accepted</x:v>
      </x:c>
      <x:c r="F113" s="431" t="str">
        <x:v>P4.2 held-out recovery and replacement freeze gate</x:v>
      </x:c>
      <x:c r="G113" s="431" t="str">
        <x:v>User instruction 2026-07-21; docs/package_assurance/p4_2_held_out_contamination_and_replacement_gate_v0.3.0.md; PR #62; PR #61 exact main 5a4d57e; I-006; EV-143-EV-145; IMP-023</x:v>
      </x:c>
      <x:c r="H113" s="431" t="str">
        <x:v>A separate owner decision is required after the replacement freeze package is reviewed and before any semantic execution. Any protected-value exposure, evaluator change, or pre-freeze run invalidates the replacement claim.</x:v>
      </x:c>
    </x:row>
    <x:row r="114" ht="720" customHeight="1">
      <x:c r="A114" s="431" t="str">
        <x:v>D-111</x:v>
      </x:c>
      <x:c r="B114" s="431" t="n">
        <x:v>46224</x:v>
      </x:c>
      <x:c r="C114" s="431" t="str">
        <x:v>Accept frozen replacement FAM-HO-CONVEYOR-DRIVE-042 and authorize exactly one controlled first semantic run of each opaque scenario against frozen evaluator behavior 4cf9fe8, with immutable raw evidence preserved before protected comparison.</x:v>
      </x:c>
      <x:c r="D114" s="431" t="str">
        <x:v>The replacement was authored from approved public inputs, passed 326 custodian checks and 14/14 independent controls, imported byte-exact at 210/210 files, and has zero semantic executions. One-way execution now provides the first valid unseen relationship evidence without creating tuning or rerun authority.</x:v>
      </x:c>
      <x:c r="E114" s="431" t="str">
        <x:v>Proposed / Owner Review</x:v>
      </x:c>
      <x:c r="F114" s="431" t="str">
        <x:v>P4.2 replacement freeze and first-run gate</x:v>
      </x:c>
      <x:c r="G114" s="431" t="str">
        <x:v>docs/package_assurance/p4_2_replacement_freeze_review_v0.3.0.md; p4_2_replacement_independent_verification_v0.3.0.json; p4_2_replacement_import_verification_v0.3.0.json; D-110; EV-146-EV-148; I-006; IMP-023-IMP-024</x:v>
      </x:c>
      <x:c r="H114" s="431" t="str">
        <x:v>Acceptance permits one invocation per opaque scenario only. Preserve every raw output and failure before oracle comparison. No retry, tuning, evaluator change, fixture change, protected exposure to the implementation context, P4.3 work, or release claim is authorized.</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ht="450" customHeight="1">
      <x:c r="A25" s="431" t="str">
        <x:v>I-006</x:v>
      </x:c>
      <x:c r="B25" s="431" t="str">
        <x:v>Issue</x:v>
      </x:c>
      <x:c r="C25" s="431" t="str">
        <x:v>Pre-run held-out path enumeration and top-level freeze/family-review inspection exposed expected conditions and states to the implementation context, making the existing family ineligible for release held-out claims under accepted policy.</x:v>
      </x:c>
      <x:c r="D25" s="431" t="str">
        <x:v>N/A</x:v>
      </x:c>
      <x:c r="E25" s="431" t="str">
        <x:v>High</x:v>
      </x:c>
      <x:c r="F25" s="431" t="str">
        <x:v>Jason</x:v>
      </x:c>
      <x:c r="G25" s="431" t="str">
        <x:v>D-110 preserves the exposed family unchanged and unexecuted. Replacement FAM-HO-CONVEYOR-DRIVE-042 was authored and frozen in isolated custody, independently verified, and imported byte-exact. Keep implementer and CI access blocked until first-run evidence is preserved.</x:v>
      </x:c>
      <x:c r="H25" s="431" t="str">
        <x:v>Controlled / D-111 Pending</x:v>
      </x:c>
      <x:c r="I25" s="431" t="n">
        <x:v>46224</x:v>
      </x:c>
      <x:c r="J25" s="431" t="str">
        <x:v>Replacement proof passes 326 custodian checks, 14/14 independent controls, and 210/210 byte-identical import with semantic execution count zero. The release boundary is controlled; owner freeze acceptance and the one-way first run remain open.</x:v>
      </x:c>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row r="146" ht="522" customHeight="1">
      <x:c r="A146" s="431" t="str">
        <x:v>EV-143</x:v>
      </x:c>
      <x:c r="B146" s="431" t="n">
        <x:v>46224</x:v>
      </x:c>
      <x:c r="C146" s="431" t="str">
        <x:v>P4.1 accepted integration and exact-main freeze</x:v>
      </x:c>
      <x:c r="D146" s="431" t="str">
        <x:v>D-109 and P4.1 were accepted; PR #61 merged the reviewed development benchmark at exact main 5a4d57e. The accepted implementation remains 4cf9fe8, P4.1-DEV-1 passes 22/22 scenarios twice, and final hosted push/PR checks are green.</x:v>
      </x:c>
      <x:c r="E146" s="431" t="str">
        <x:v>GitHub merge verification / Exact-main freeze / Accepted decision record</x:v>
      </x:c>
      <x:c r="F146" s="431" t="str">
        <x:v>PR #61; main 5a4d57e534bd5e900abac3c455cd484ef083e972; implementation 4cf9fe8; D-109; p4_1_development_benchmark_definition_and_review_v0.3.0.md</x:v>
      </x:c>
      <x:c r="G146" s="431" t="str">
        <x:v>P4.1 integration closeout</x:v>
      </x:c>
      <x:c r="H146" s="431" t="str">
        <x:v>Accepted</x:v>
      </x:c>
      <x:c r="I146" s="431" t="str">
        <x:v>P4.1 behavior and bounded four-state claim are frozen. P4.2 remained separately gated.</x:v>
      </x:c>
    </x:row>
    <x:row r="147" ht="558" customHeight="1">
      <x:c r="A147" s="431" t="str">
        <x:v>EV-144</x:v>
      </x:c>
      <x:c r="B147" s="431" t="n">
        <x:v>46224</x:v>
      </x:c>
      <x:c r="C147" s="431" t="str">
        <x:v>P4.2 held-out exposure and replacement-gate definition</x:v>
      </x:c>
      <x:c r="D147" s="431" t="str">
        <x:v>The implementation context exposed top-level held-out metadata before first execution. No protected/expected value was surfaced to or inspected by the implementation context, no audit ran, no result exists, and no behavior changed. Hosted CI later ran legacy integrity tests that load protected JSON without printing values. D-110 applies accepted contamination policy, preserves the family unchanged and unexecuted, and defines an isolated materially distinct replacement protocol with pre-first-run CI exclusion.</x:v>
      </x:c>
      <x:c r="E147" s="431" t="str">
        <x:v>Control-boundary review / Contamination classification / Replacement protocol</x:v>
      </x:c>
      <x:c r="F147" s="431" t="str">
        <x:v>docs/package_assurance/p4_2_held_out_contamination_and_replacement_gate_v0.3.0.md; AGENTS.md; docs/quality/improvement_register.md; D-110; I-006; IMP-023</x:v>
      </x:c>
      <x:c r="G147" s="431" t="str">
        <x:v>P4.2 recovery gate</x:v>
      </x:c>
      <x:c r="H147" s="431" t="str">
        <x:v>Accepted</x:v>
      </x:c>
      <x:c r="I147" s="431" t="str">
        <x:v>D-110 was accepted on 2026-07-21. P4.2 semantic execution, replacement authoring in this context, P4.3 release work, and held-out release claims remain blocked.</x:v>
      </x:c>
    </x:row>
    <x:row r="148" ht="522" customHeight="1">
      <x:c r="A148" s="431" t="str">
        <x:v>EV-145</x:v>
      </x:c>
      <x:c r="B148" s="431" t="n">
        <x:v>46224</x:v>
      </x:c>
      <x:c r="C148" s="431" t="str">
        <x:v>D-110 owner acceptance and isolated replacement authorization</x:v>
      </x:c>
      <x:c r="D148" s="431" t="str">
        <x:v>The project owner accepted D-110 and all recommended recovery controls. The exposed family remains unchanged, unexecuted, and release-ineligible. Authorization advances only to isolated replacement authoring, structural verification, and hash freeze; a separate owner decision remains mandatory before semantic execution.</x:v>
      </x:c>
      <x:c r="E148" s="431" t="str">
        <x:v>User decision / Gate acceptance / Scope authorization</x:v>
      </x:c>
      <x:c r="F148" s="431" t="str">
        <x:v>User instruction 2026-07-21; PR #62; docs/package_assurance/p4_2_held_out_contamination_and_replacement_gate_v0.3.0.md; D-110; I-006; IMP-023</x:v>
      </x:c>
      <x:c r="G148" s="431" t="str">
        <x:v>P4.2 replacement freeze authority</x:v>
      </x:c>
      <x:c r="H148" s="431" t="str">
        <x:v>Accepted</x:v>
      </x:c>
      <x:c r="I148" s="431" t="str">
        <x:v>No evaluator change, semantic run, public rerun, protected-value inspection by the implementation context, P4.3 work, or held-out release claim was authorized.</x:v>
      </x:c>
    </x:row>
    <x:row r="149" ht="675" customHeight="1">
      <x:c r="A149" s="431" t="str">
        <x:v>EV-146</x:v>
      </x:c>
      <x:c r="B149" s="431" t="n">
        <x:v>46224</x:v>
      </x:c>
      <x:c r="C149" s="431" t="str">
        <x:v>Isolated replacement authoring and hash freeze</x:v>
      </x:c>
      <x:c r="D149" s="431" t="str">
        <x:v>Public bundle P4.2-CUSTODIAN-EA45DCF-V1 supplied only approved contracts and schemas. Isolated authoring and disclosed recovery custodians produced FAM-HO-CONVEYOR-DRIVE-042, passed 326 structural/hash checks with zero failures, wrote the freeze record last, and recorded semantic execution count zero.</x:v>
      </x:c>
      <x:c r="E149" s="431" t="str">
        <x:v>Input-hash reproduction / Isolated custody / Structural validation / Pre-execution freeze</x:v>
      </x:c>
      <x:c r="F149" s="431" t="str">
        <x:v>p4_2_replacement_custodian_public_contract_v0.3.0.md; p4_2_replacement_custodian_input_manifest_v0.3.0.json; replacement freeze_record.public.json; complete-family SHA-256 e619c81854d9676b5d821a752e3b00e68d0072572cef64509d5cc9132a3e6ff6; IMP-024</x:v>
      </x:c>
      <x:c r="G149" s="431" t="str">
        <x:v>P4.2 replacement freeze</x:v>
      </x:c>
      <x:c r="H149" s="431" t="str">
        <x:v>Verified / Owner Review Pending</x:v>
      </x:c>
      <x:c r="I149" s="431" t="str">
        <x:v>Eight opaque scenarios and 210 family files are frozen. The implementation context did not inspect protected or scenario package values. No evaluator or semantic run occurred.</x:v>
      </x:c>
    </x:row>
    <x:row r="150" ht="657" customHeight="1">
      <x:c r="A150" s="431" t="str">
        <x:v>EV-147</x:v>
      </x:c>
      <x:c r="B150" s="431" t="n">
        <x:v>46224</x:v>
      </x:c>
      <x:c r="C150" s="431" t="str">
        <x:v>Independent freeze and opaque-import verification</x:v>
      </x:c>
      <x:c r="D150" s="431" t="str">
        <x:v>A separate fresh verifier passed 14/14 controls with zero leakage, hash mismatch, freeze-order violation, or family modification. A separate import verifier matched 210/210 files byte-for-byte and reproduced the complete-family hash at both roots.</x:v>
      </x:c>
      <x:c r="E150" s="431" t="str">
        <x:v>Independent structural review / Protected aggregate review / SHA-256 reproduction / Opaque import comparison</x:v>
      </x:c>
      <x:c r="F150" s="431" t="str">
        <x:v>p4_2_replacement_independent_verification_v0.3.0.json; p4_2_replacement_independent_verification_v0.3.0.md; p4_2_replacement_import_verification_v0.3.0.json; producer hash da154aed...8867; protected hash 2b383800...c6e; family hash e619c818...e6ff6</x:v>
      </x:c>
      <x:c r="G150" s="431" t="str">
        <x:v>P4.2 independent verification</x:v>
      </x:c>
      <x:c r="H150" s="431" t="str">
        <x:v>Pass</x:v>
      </x:c>
      <x:c r="I150" s="431" t="str">
        <x:v>All eight manifests and all eleven clean relationship contracts passed. The protected matrix met accepted aggregate requirements. Semantic execution count remains zero.</x:v>
      </x:c>
    </x:row>
    <x:row r="151" ht="675" customHeight="1">
      <x:c r="A151" s="431" t="str">
        <x:v>EV-148</x:v>
      </x:c>
      <x:c r="B151" s="431" t="n">
        <x:v>46224</x:v>
      </x:c>
      <x:c r="C151" s="431" t="str">
        <x:v>Pre-run regression and D-111 owner review package</x:v>
      </x:c>
      <x:c r="D151" s="431" t="str">
        <x:v>Safe checks that do not enumerate or load the new replacement pass: 32 focused tests; 319 full regression tests with one expected Windows skip; 88.57% coverage; repository validation 5/5; Ruff; frozen baseline 9/9; and portfolio demo 2/2. The owner freeze review proposes D-111 and preserves semantic execution count zero.</x:v>
      </x:c>
      <x:c r="E151" s="431" t="str">
        <x:v>Focused regression / Full frozen regression / Coverage / Repository validation / Lint / Baseline / Demo / Decision review</x:v>
      </x:c>
      <x:c r="F151" s="431" t="str">
        <x:v>docs/package_assurance/p4_2_replacement_freeze_review_v0.3.0.md; pytest; coverage; mech-eval validate; Ruff; generated baseline and demo evidence under runs/; D-111</x:v>
      </x:c>
      <x:c r="G151" s="431" t="str">
        <x:v>P4.2 pre-run acceptance package</x:v>
      </x:c>
      <x:c r="H151" s="431" t="str">
        <x:v>Ready for Owner Review</x:v>
      </x:c>
      <x:c r="I151" s="431" t="str">
        <x:v>The initial standalone pytest.exe collection error was an invocation-path issue; the accepted python -m pytest command passed. No replacement scenario or protected oracle was loaded or executed.</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46224</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P4.2 replacement frozen; D-111 owner review pending</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Replacement FAM-HO-CONVEYOR-DRIVE-042 is isolated, frozen, independently verified 14/14, and imported byte-exact at 210/210 files. Semantic execution count remains zero.</x:v>
      </x:c>
      <x:c r="E7" s="765" t="str">
        <x:v>Product interpretation</x:v>
      </x:c>
      <x:c r="F7" s="431" t="str">
        <x:v>Successful kernel; not yet a complete economically useful workflow.</x:v>
      </x:c>
      <x:c r="G7" s="765" t="str">
        <x:v>Response</x:v>
      </x:c>
      <x:c r="H7" s="431" t="str">
        <x:v>Review D-111; do not run or compare any held-out scenario before acceptance.</x:v>
      </x:c>
    </x:row>
    <x:row r="8" ht="153" hidden="0" customHeight="1">
      <x:c r="A8" s="765" t="str">
        <x:v>Immediate next action</x:v>
      </x:c>
      <x:c r="B8" s="431" t="str">
        <x:v>Accept or reject D-111: freeze acceptance and exactly one controlled first run per opaque scenario, with raw evidence preserved before protected comparison.</x:v>
      </x:c>
      <x:c r="C8" s="765" t="str">
        <x:v>Selected vertical</x:v>
      </x:c>
      <x:c r="D8" s="431" t="str">
        <x:v>D-111 owner decision -&gt; merge and exact-main freeze -&gt; one isolated first run per opaque scenario -&gt; protected aggregate comparison -&gt; owner result review -&gt; P4.3 clean-clone acceptance.</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720" hidden="0" customHeight="1">
      <x:c r="A41" s="604" t="str">
        <x:v>Immediate implication</x:v>
      </x:c>
      <x:c r="B41" s="605"/>
      <x:c r="C41" s="606" t="str">
        <x:v>PR #62 integrated D-110 at exact main ea45dcf. The exposed instrument-air family remains unchanged, unexecuted, and release-ineligible. Isolated public bundle P4.2-CUSTODIAN-EA45DCF-V1 produced replacement FAM-HO-CONVEYOR-DRIVE-042 without evaluator, repository, prior benchmark, result, external path, or network access. Isolated recovery custodians completed 326 structural/hash checks after the initial custodian stopped before both freeze records; the public records disclose the recovery and the final freeze record was written last. A separate fresh verifier passed 14/14 controls with eight valid manifests, all eleven clean relationship contracts, the accepted protected aggregate matrix, zero wildcards, zero leakage, zero hash mismatch, zero freeze-order violation, and semantic execution count zero. An isolated import verifier proved all 210 source and destination files byte-identical and reproduced complete-family hash e619c81854d9676b5d821a752e3b00e68d0072572cef64509d5cc9132a3e6ff6. Safe pre-run verification is 32 focused, 319/1 full, 88.57% coverage, repository validation 5/5, Ruff, baseline 9/9, and demo 2/2. D-111 is proposed, not accepted. Until owner acceptance, do not execute semantics, compare protected oracles, inspect protected values from this context, change evaluator behavior, rerun public packages, begin P4.3, or add deferred capabilities.</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89839e118bf841ad"/>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Complete</x:v>
      </x:c>
      <x:c r="L18" s="664" t="n">
        <x:v>1</x:v>
      </x:c>
      <x:c r="M18" s="662" t="n">
        <x:f>SUMIF('Work Block Log'!$E$5:$E$200,A18,'Work Block Log'!$F$5:$F$200)</x:f>
        <x:v>0</x:v>
      </x:c>
      <x:c r="N18" s="662" t="n">
        <x:f>MAX(F18*(1-L18),0)</x:f>
        <x:v>0</x:v>
      </x:c>
      <x:c r="O18" s="662" t="n">
        <x:f>M18-F18</x:f>
        <x:v>-3</x:v>
      </x:c>
      <x:c r="P18" s="431" t="str">
        <x:v>PR #61 exact main 5a4d57e; implementation 4cf9fe8; P4.1-DEV-1; D-109 accepted; EV-139-EV-143; IMP-020-IMP-022; 22/22 scenarios; 44/44 publications; 8/8 gates; 11/11 checks; full 319/1; hosted Linux CI green</x:v>
      </x:c>
      <x:c r="Q18" s="431" t="str">
        <x:v>P4.1 is accepted and closed; preserve its exact evaluator and runner behavior while P4.2 replacement controls are reviewed.</x:v>
      </x:c>
      <x:c r="R18" s="431" t="str">
        <x:v>Four result states have genuine full-package evidence; engineering_review_required and evaluator_uncertainty remain router/exit contract only under D-109.</x:v>
      </x:c>
      <x:c r="S18" s="669"/>
      <x:c r="T18" s="669"/>
      <x:c r="U18" s="669"/>
      <x:c r="V18" s="669"/>
      <x:c r="W18" s="669" t="str">
        <x:v>■</x:v>
      </x:c>
      <x:c r="X18" s="669"/>
    </x:row>
    <x:row r="19" ht="675"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Freeze Review / D-111 Pending</x:v>
      </x:c>
      <x:c r="L19" s="664" t="n">
        <x:v>0.7</x:v>
      </x:c>
      <x:c r="M19" s="662" t="n">
        <x:f>SUMIF('Work Block Log'!$E$5:$E$200,A19,'Work Block Log'!$F$5:$F$200)</x:f>
        <x:v>0</x:v>
      </x:c>
      <x:c r="N19" s="662" t="n">
        <x:f>MAX(F19*(1-L19),0)</x:f>
        <x:v>0.9000000000000001</x:v>
      </x:c>
      <x:c r="O19" s="662" t="n">
        <x:f>M19-F19</x:f>
        <x:v>-3</x:v>
      </x:c>
      <x:c r="P19" s="431" t="str">
        <x:v>codex/p4.2-held-out-replacement-freeze; PR #62 exact main ea45dcf; FAM-HO-CONVEYOR-DRIVE-042; 326/0 custodian checks; 14/14 independent checks; 210/210 byte-exact import; family hash e619c818...e6ff6; EV-144-EV-148; I-006; IMP-023-IMP-024; semantic runs 0</x:v>
      </x:c>
      <x:c r="Q19" s="431" t="str">
        <x:v>Owner reviews p4_2_replacement_freeze_review_v0.3.0.md and accepts or rejects proposed D-111.</x:v>
      </x:c>
      <x:c r="R19" s="431" t="str">
        <x:v>D-111 may authorize one first run per opaque scenario only. No semantic execution, protected comparison, evaluator change, public rerun, P4.3 work, or release claim is currently authorized.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0.85</x:v>
      </x:c>
      <x:c r="M24" s="683" t="n">
        <x:f>SUM(M6:M22)</x:f>
        <x:v>0</x:v>
      </x:c>
      <x:c r="N24" s="683" t="n">
        <x:f>SUM(N6:N22)</x:f>
        <x:v>6.9</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P4.2 Replacement Freeze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P4.2 - replacement freeze review</x:v>
      </x:c>
      <x:c r="H4" s="697"/>
    </x:row>
    <x:row r="5" ht="72" customHeight="1">
      <x:c r="A5" s="688" t="str">
        <x:v>Schedule Baseline</x:v>
      </x:c>
      <x:c r="B5" s="693" t="str">
        <x:v>Legacy only; not controlling</x:v>
      </x:c>
      <x:c r="C5" s="691"/>
      <x:c r="D5" s="691"/>
      <x:c r="F5" s="696" t="str">
        <x:v>Objective</x:v>
      </x:c>
      <x:c r="G5" s="697" t="str">
        <x:v>Accept or reject one controlled first run of the isolated, independently frozen replacement.</x:v>
      </x:c>
      <x:c r="H5" s="697"/>
    </x:row>
    <x:row r="6" ht="63" customHeight="1">
      <x:c r="A6" s="688" t="str">
        <x:v>Time Tracking</x:v>
      </x:c>
      <x:c r="B6" s="693" t="str">
        <x:v>Waived prospectively</x:v>
      </x:c>
      <x:c r="C6" s="691"/>
      <x:c r="D6" s="691"/>
      <x:c r="F6" s="696" t="str">
        <x:v>Gate Status</x:v>
      </x:c>
      <x:c r="G6" s="697" t="str">
        <x:v>8 scenarios; 210 files; 326/0 custodian checks; 14/14 independent controls; 210/210 byte-exact import; semantic runs 0.</x:v>
      </x:c>
      <x:c r="H6" s="697"/>
    </x:row>
    <x:row r="7" ht="81" customHeight="1">
      <x:c r="A7" s="688" t="str">
        <x:v>Current Gate</x:v>
      </x:c>
      <x:c r="B7" s="694" t="str">
        <x:v>Replacement freeze verified; D-111 owner review pending</x:v>
      </x:c>
      <x:c r="C7" s="691"/>
      <x:c r="D7" s="691"/>
      <x:c r="F7" s="696" t="str">
        <x:v>Definition of Done</x:v>
      </x:c>
      <x:c r="G7" s="697" t="str">
        <x:v>Owner accepts or rejects D-111 in the replacement freeze review.</x:v>
      </x:c>
      <x:c r="H7" s="697"/>
    </x:row>
    <x:row r="8" ht="63" customHeight="1">
      <x:c r="A8" s="688" t="str">
        <x:v>Released Kernel</x:v>
      </x:c>
      <x:c r="B8" s="691" t="str">
        <x:v>v0.2.0 / commit 45336a2</x:v>
      </x:c>
      <x:c r="C8" s="691"/>
      <x:c r="D8" s="691"/>
      <x:c r="F8" s="696" t="str">
        <x:v>Immediate Next Action</x:v>
      </x:c>
      <x:c r="G8" s="697" t="str">
        <x:v>After acceptance: merge, record exact main, then execute each opaque scenario once and preserve raw evidence before comparison.</x:v>
      </x:c>
      <x:c r="H8" s="697"/>
    </x:row>
    <x:row r="9" ht="72" customHeight="1">
      <x:c r="A9" s="688" t="str">
        <x:v>Release Target</x:v>
      </x:c>
      <x:c r="B9" s="691" t="str">
        <x:v>v0.3.0</x:v>
      </x:c>
      <x:c r="C9" s="691"/>
      <x:c r="D9" s="691"/>
      <x:c r="F9" s="696" t="str">
        <x:v>Primary Risk</x:v>
      </x:c>
      <x:c r="G9" s="697" t="str">
        <x:v>The prior instrument-air family remains release-ineligible and unchanged after metadata exposure.</x:v>
      </x:c>
      <x:c r="H9" s="697"/>
    </x:row>
    <x:row r="10" ht="81" customHeight="1">
      <x:c r="A10" s="688" t="str">
        <x:v>Baseline Test Count</x:v>
      </x:c>
      <x:c r="B10" s="691" t="n">
        <x:v>121</x:v>
      </x:c>
      <x:c r="C10" s="691"/>
      <x:c r="D10" s="691"/>
      <x:c r="F10" s="696" t="str">
        <x:v>Deferred</x:v>
      </x:c>
      <x:c r="G10" s="697" t="str">
        <x:v>Semantic execution, protected comparison, retries, evaluator changes, P4.3, public reruns, and release claims.</x:v>
      </x:c>
      <x:c r="H10" s="697"/>
    </x:row>
    <x:row r="11" ht="63" customHeight="1">
      <x:c r="A11" s="688" t="str">
        <x:v>Fixture Package Families</x:v>
      </x:c>
      <x:c r="B11" s="691" t="n">
        <x:v>2</x:v>
      </x:c>
      <x:c r="C11" s="691"/>
      <x:c r="D11" s="691"/>
      <x:c r="F11" s="696" t="str">
        <x:v>Data Boundary</x:v>
      </x:c>
      <x:c r="G11" s="697" t="str">
        <x:v>Complete-family hash e619c818...e6ff6; exposed family unchanged; full safe regression 319/1 at 88.57% coverage.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Freeze Verified / Owner Review</x:v>
      </x:c>
      <x:c r="C19" s="699" t="str">
        <x:v>D-111 pending; semantic execution 0</x:v>
      </x:c>
      <x:c r="D19" s="700" t="n">
        <x:v>0.7</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45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Complete</x:v>
      </x:c>
      <x:c r="F51" s="431" t="str">
        <x:v>codex/p4.1-development-benchmark</x:v>
      </x:c>
      <x:c r="G51" s="431" t="str">
        <x:v>PR #61 exact main 5a4d57e; implementation 4cf9fe8; P4.1-DEV-1; D-109 accepted; EV-139-EV-143; 22/22 scenarios; 44/44 publications; 8/8 gates; 11/11 checks; hosted Linux CI green</x:v>
      </x:c>
      <x:c r="H51" s="431" t="str">
        <x:v>Jason</x:v>
      </x:c>
    </x:row>
    <x:row r="52" ht="486" customHeight="1">
      <x:c r="A52" s="431" t="n">
        <x:v>29</x:v>
      </x:c>
      <x:c r="B52" s="431" t="str">
        <x:v>P4.2</x:v>
      </x:c>
      <x:c r="C52" s="431" t="str">
        <x:v>Held-out replacement freeze and first-run gate</x:v>
      </x:c>
      <x:c r="D52" s="431" t="str">
        <x:v>Preserve the contaminated prior family; freeze a materially distinct replacement through isolated custody; independently verify and import it; obtain a separate owner decision before one-way semantic execution.</x:v>
      </x:c>
      <x:c r="E52" s="431" t="str">
        <x:v>Freeze Verified / D-111 Pending</x:v>
      </x:c>
      <x:c r="F52" s="431" t="str">
        <x:v>codex/p4.2-held-out-replacement-freeze</x:v>
      </x:c>
      <x:c r="G52" s="431" t="str">
        <x:v>PR #62 exact main ea45dcf; FAM-HO-CONVEYOR-DRIVE-042; 326/0 custodian; 14/14 independent; 210/210 byte-exact; family hash e619c818...e6ff6; EV-144-EV-148; I-006; IMP-023-IMP-024; semantic runs 0</x:v>
      </x:c>
      <x:c r="H52"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