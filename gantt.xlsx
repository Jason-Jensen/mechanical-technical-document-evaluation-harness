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39fd2fa343644c3" /></Relationships>
</file>

<file path=xl/workbook.xml><?xml version="1.0" encoding="utf-8"?>
<x:workbook xmlns:x="http://schemas.openxmlformats.org/spreadsheetml/2006/main">
  <x:sheets>
    <x:sheet xmlns:r="http://schemas.openxmlformats.org/officeDocument/2006/relationships" name="Start Here" sheetId="1" r:id="R513d3835c53a43eb"/>
    <x:sheet xmlns:r="http://schemas.openxmlformats.org/officeDocument/2006/relationships" name="Executive Gantt" sheetId="2" r:id="R3e5e9a2bca34486f"/>
    <x:sheet xmlns:r="http://schemas.openxmlformats.org/officeDocument/2006/relationships" name="Detailed Gantt" sheetId="3" r:id="R3f171a0c9dc3473b"/>
    <x:sheet xmlns:r="http://schemas.openxmlformats.org/officeDocument/2006/relationships" name="Weekly Control" sheetId="4" r:id="Rb5fb2e9098524fdd"/>
    <x:sheet xmlns:r="http://schemas.openxmlformats.org/officeDocument/2006/relationships" name="Phase Summary" sheetId="5" r:id="R3b47286170c94448"/>
    <x:sheet xmlns:r="http://schemas.openxmlformats.org/officeDocument/2006/relationships" name="Assumptions &amp; Gates" sheetId="6" r:id="R995448af5350421f"/>
    <x:sheet xmlns:r="http://schemas.openxmlformats.org/officeDocument/2006/relationships" name="Sources" sheetId="7" r:id="R3d569d51b66e40a5"/>
    <x:sheet xmlns:r="http://schemas.openxmlformats.org/officeDocument/2006/relationships" name="Legacy Baseline" sheetId="8" r:id="R3c792864dba948a5"/>
    <x:sheet xmlns:r="http://schemas.openxmlformats.org/officeDocument/2006/relationships" name="Work Block Log" sheetId="9" r:id="R9e773509346047a2"/>
    <x:sheet xmlns:r="http://schemas.openxmlformats.org/officeDocument/2006/relationships" name="Decision Register" sheetId="10" r:id="Rb349ac246f6f46b6"/>
    <x:sheet xmlns:r="http://schemas.openxmlformats.org/officeDocument/2006/relationships" name="Risks &amp; Issues" sheetId="11" r:id="R8489581da5004e74"/>
    <x:sheet xmlns:r="http://schemas.openxmlformats.org/officeDocument/2006/relationships" name="Evidence Register" sheetId="12" r:id="R695a96f58abc4cd7"/>
    <x:sheet xmlns:r="http://schemas.openxmlformats.org/officeDocument/2006/relationships" name="Expansion Backlog" sheetId="13" r:id="R14441284132342a4"/>
    <x:sheet xmlns:r="http://schemas.openxmlformats.org/officeDocument/2006/relationships" name="AI Context" sheetId="14" r:id="Rfd75080485214e9f"/>
    <x:sheet xmlns:r="http://schemas.openxmlformats.org/officeDocument/2006/relationships" name="MVP Dashboard" sheetId="15" r:id="R3263d8d7cd904443"/>
    <x:sheet xmlns:r="http://schemas.openxmlformats.org/officeDocument/2006/relationships" name="Product Vision" sheetId="16" r:id="R61bc27aaffda406f"/>
    <x:sheet xmlns:r="http://schemas.openxmlformats.org/officeDocument/2006/relationships" name="Pilot Gantt" sheetId="17" r:id="R726a9c6db6c54750"/>
    <x:sheet xmlns:r="http://schemas.openxmlformats.org/officeDocument/2006/relationships" name="Pilot Dashboard" sheetId="18" r:id="R39d863bf86324dad"/>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<x:sst xmlns:x="http://schemas.openxmlformats.org/spreadsheetml/2006/main">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</x:sst>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71">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xf numFmtId="0" fontId="24" fillId="33" borderId="0" xfId="0" applyNumberFormat="1" applyFont="1" applyFill="1" applyBorder="1" applyAlignment="1">
      <x:alignment horizontal="center" vertical="center" wrapText="1"/>
    </x:xf>
    <x:xf numFmtId="0" fontId="23" fillId="29" borderId="0" xfId="0" applyNumberFormat="1" applyFont="1" applyFill="1" applyBorder="1" applyAlignment="1">
      <x:alignment horizontal="left" vertical="top" wrapText="1"/>
    </x:xf>
    <x:xf numFmtId="164" fontId="23" fillId="52"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0" fontId="23" fillId="29" borderId="0" xfId="0" applyNumberFormat="1" applyFont="1" applyFill="1" applyBorder="1" applyAlignment="1">
      <x:alignment horizontal="left" vertical="center" wrapText="1"/>
    </x:xf>
    <x:xf numFmtId="200" fontId="23" fillId="52" borderId="0" xfId="0" applyNumberFormat="1" applyFont="1" applyFill="1" applyBorder="1" applyAlignment="1">
      <x:alignment vertical="center" wrapText="1"/>
    </x:xf>
    <x:xf numFmtId="201" fontId="23" fillId="52" borderId="0" xfId="0" applyNumberFormat="1" applyFont="1" applyFill="1" applyBorder="1" applyAlignment="1">
      <x:alignment vertical="center" wrapText="1"/>
    </x:xf>
    <x:xf numFmtId="202" fontId="23" fillId="52" borderId="0" xfId="0" applyNumberFormat="1" applyFont="1" applyFill="1" applyBorder="1" applyAlignment="1">
      <x:alignment vertical="center" wrapText="1"/>
    </x:xf>
    <x:xf numFmtId="0" fontId="23" fillId="52" borderId="0" xfId="0" applyNumberFormat="1" applyFont="1" applyFill="1" applyBorder="1" applyAlignment="1">
      <x:alignment vertical="center" wrapText="1"/>
    </x:xf>
    <x:xf numFmtId="0" fontId="4" fillId="20"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4" fillId="20" borderId="0" xfId="0" applyNumberFormat="1" applyFont="1" applyFill="1" applyBorder="1" applyAlignment="1">
      <x:alignment wrapText="1"/>
    </x:xf>
    <x:xf numFmtId="0" fontId="14" fillId="20" borderId="0" xfId="0" applyNumberFormat="1" applyFont="1" applyFill="1" applyBorder="1" applyAlignment="1">
      <x:alignment vertical="top" wrapText="1"/>
    </x:xf>
    <x:xf numFmtId="0" fontId="14" fillId="20" borderId="0" xfId="0" applyNumberFormat="1" applyFont="1" applyFill="1" applyBorder="1" applyAlignment="1">
      <x:alignment vertical="center" wrapText="1"/>
    </x:xf>
    <x:xf numFmtId="164" fontId="23" fillId="52" borderId="0" xfId="0" applyNumberFormat="1" applyFont="1" applyFill="1" applyBorder="1" applyAlignment="1">
      <x:alignment vertical="top" wrapText="1"/>
    </x:xf>
    <x:xf numFmtId="0" fontId="24" fillId="33" borderId="0" xfId="0" applyNumberFormat="1" applyFont="1" applyFill="1" applyBorder="1" applyAlignment="1">
      <x:alignment horizontal="center" vertical="top" wrapText="1"/>
    </x:xf>
    <x:xf numFmtId="202" fontId="23" fillId="52" borderId="0" xfId="0" applyNumberFormat="1" applyFont="1" applyFill="1" applyBorder="1" applyAlignment="1">
      <x:alignment vertical="top" wrapText="1"/>
    </x:xf>
    <x:xf numFmtId="0" fontId="23" fillId="52" borderId="0" xfId="0" applyNumberFormat="1" applyFont="1" applyFill="1" applyBorder="1" applyAlignment="1">
      <x:alignment vertical="top"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bf265f3a03a41ef" /><Relationship Type="http://schemas.openxmlformats.org/officeDocument/2006/relationships/theme" Target="/xl/theme/theme1.xml" Id="Rcbf521d9c9bc474c" /><Relationship Type="http://schemas.openxmlformats.org/officeDocument/2006/relationships/sharedStrings" Target="/xl/sharedStrings.xml" Id="R88d6355cb3234593" /><Relationship Type="http://schemas.openxmlformats.org/officeDocument/2006/relationships/worksheet" Target="/xl/worksheets/sheet1.xml" Id="R513d3835c53a43eb" /><Relationship Type="http://schemas.openxmlformats.org/officeDocument/2006/relationships/worksheet" Target="/xl/worksheets/sheet2.xml" Id="R3e5e9a2bca34486f" /><Relationship Type="http://schemas.openxmlformats.org/officeDocument/2006/relationships/worksheet" Target="/xl/worksheets/sheet3.xml" Id="R3f171a0c9dc3473b" /><Relationship Type="http://schemas.openxmlformats.org/officeDocument/2006/relationships/worksheet" Target="/xl/worksheets/sheet4.xml" Id="Rb5fb2e9098524fdd" /><Relationship Type="http://schemas.openxmlformats.org/officeDocument/2006/relationships/worksheet" Target="/xl/worksheets/sheet5.xml" Id="R3b47286170c94448" /><Relationship Type="http://schemas.openxmlformats.org/officeDocument/2006/relationships/worksheet" Target="/xl/worksheets/sheet6.xml" Id="R995448af5350421f" /><Relationship Type="http://schemas.openxmlformats.org/officeDocument/2006/relationships/worksheet" Target="/xl/worksheets/sheet7.xml" Id="R3d569d51b66e40a5" /><Relationship Type="http://schemas.openxmlformats.org/officeDocument/2006/relationships/worksheet" Target="/xl/worksheets/sheet8.xml" Id="R3c792864dba948a5" /><Relationship Type="http://schemas.openxmlformats.org/officeDocument/2006/relationships/worksheet" Target="/xl/worksheets/sheet9.xml" Id="R9e773509346047a2" /><Relationship Type="http://schemas.openxmlformats.org/officeDocument/2006/relationships/worksheet" Target="/xl/worksheets/sheet10.xml" Id="Rb349ac246f6f46b6" /><Relationship Type="http://schemas.openxmlformats.org/officeDocument/2006/relationships/worksheet" Target="/xl/worksheets/sheet11.xml" Id="R8489581da5004e74" /><Relationship Type="http://schemas.openxmlformats.org/officeDocument/2006/relationships/worksheet" Target="/xl/worksheets/sheet12.xml" Id="R695a96f58abc4cd7" /><Relationship Type="http://schemas.openxmlformats.org/officeDocument/2006/relationships/worksheet" Target="/xl/worksheets/sheet13.xml" Id="R14441284132342a4" /><Relationship Type="http://schemas.openxmlformats.org/officeDocument/2006/relationships/worksheet" Target="/xl/worksheets/sheet14.xml" Id="Rfd75080485214e9f" /><Relationship Type="http://schemas.openxmlformats.org/officeDocument/2006/relationships/worksheet" Target="/xl/worksheets/sheet15.xml" Id="R3263d8d7cd904443" /><Relationship Type="http://schemas.openxmlformats.org/officeDocument/2006/relationships/worksheet" Target="/xl/worksheets/sheet16.xml" Id="R61bc27aaffda406f" /><Relationship Type="http://schemas.openxmlformats.org/officeDocument/2006/relationships/worksheet" Target="/xl/worksheets/sheet17.xml" Id="R726a9c6db6c54750" /><Relationship Type="http://schemas.openxmlformats.org/officeDocument/2006/relationships/worksheet" Target="/xl/worksheets/sheet18.xml" Id="R39d863bf86324dad" /></Relationships>
</file>

<file path=xl/drawings/_rels/drawing1.xml.rels>&#65279;<?xml version="1.0" encoding="utf-8"?><Relationships xmlns="http://schemas.openxmlformats.org/package/2006/relationships"><Relationship Type="http://schemas.openxmlformats.org/officeDocument/2006/relationships/chart" Target="/xl/drawings/charts/chart1.xml" Id="R913f61e303fd4232" /></Relationships>
</file>

<file path=xl/drawings/_rels/drawing2.xml.rels>&#65279;<?xml version="1.0" encoding="utf-8"?><Relationships xmlns="http://schemas.openxmlformats.org/package/2006/relationships"><Relationship Type="http://schemas.openxmlformats.org/officeDocument/2006/relationships/chart" Target="/xl/drawings/charts/chart2.xml" Id="R221357acb91c40e0" /></Relationships>
</file>

<file path=xl/drawings/_rels/drawing3.xml.rels>&#65279;<?xml version="1.0" encoding="utf-8"?><Relationships xmlns="http://schemas.openxmlformats.org/package/2006/relationships"><Relationship Type="http://schemas.openxmlformats.org/officeDocument/2006/relationships/chart" Target="/xl/drawings/charts/chart3.xml" Id="Rb415bd63ac0642a6"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13f61e303fd4232"/>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21357acb91c40e0"/>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415bd63ac0642a6"/>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74e70268e223486e" /></Relationships>
</file>

<file path=xl/worksheets/_rels/sheet5.xml.rels>&#65279;<?xml version="1.0" encoding="utf-8"?><Relationships xmlns="http://schemas.openxmlformats.org/package/2006/relationships"><Relationship Type="http://schemas.openxmlformats.org/officeDocument/2006/relationships/drawing" Target="/xl/drawings/drawing2.xml" Id="Rbd5eba4b1abc4bf2" /></Relationships>
</file>

<file path=xl/worksheets/_rels/sheet15.xml.rels>&#65279;<?xml version="1.0" encoding="utf-8"?><Relationships xmlns="http://schemas.openxmlformats.org/package/2006/relationships"><Relationship Type="http://schemas.openxmlformats.org/officeDocument/2006/relationships/drawing" Target="/xl/drawings/drawing3.xml" Id="R048a346a9284445e"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49.5" customHeight="1">
      <x:c r="A4" s="495" t="str">
        <x:v>Control revision</x:v>
      </x:c>
      <x:c r="B4" s="767" t="str">
        <x:v>Program v3.0 - P4.2 held-out recovery review 2026-07-21</x:v>
      </x:c>
      <x:c r="C4" s="438"/>
      <x:c r="D4" s="768" t="n">
        <x:v>1</x:v>
      </x:c>
      <x:c r="E4" s="754"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1.5" customHeight="1">
      <x:c r="A5" s="545" t="str">
        <x:v>Released baseline</x:v>
      </x:c>
      <x:c r="B5" s="755" t="str">
        <x:v>v0.2.0 released; accepted commit 45336a2; tag verified</x:v>
      </x:c>
      <x:c r="C5" s="756"/>
      <x:c r="D5" s="753" t="n">
        <x:v>2</x:v>
      </x:c>
      <x:c r="E5" s="75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customHeight="1">
      <x:c r="A6" s="545" t="str">
        <x:v>Pilot start (legacy)</x:v>
      </x:c>
      <x:c r="B6" s="758" t="str">
        <x:v>2026-07-13</x:v>
      </x:c>
      <x:c r="C6" s="756"/>
      <x:c r="D6" s="753" t="n">
        <x:v>3</x:v>
      </x:c>
      <x:c r="E6" s="75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customHeight="1">
      <x:c r="A7" s="545" t="str">
        <x:v>Target finish (legacy)</x:v>
      </x:c>
      <x:c r="B7" s="758" t="str">
        <x:v>2026-08-23</x:v>
      </x:c>
      <x:c r="C7" s="756"/>
      <x:c r="D7" s="753" t="n">
        <x:v>4</x:v>
      </x:c>
      <x:c r="E7" s="75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1.5" customHeight="1">
      <x:c r="A8" s="545" t="str">
        <x:v>Planned labour (legacy)</x:v>
      </x:c>
      <x:c r="B8" s="759" t="str">
        <x:v>46 hours; not controlling</x:v>
      </x:c>
      <x:c r="C8" s="756"/>
      <x:c r="D8" s="753" t="n">
        <x:v>5</x:v>
      </x:c>
      <x:c r="E8" s="75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customHeight="1">
      <x:c r="A9" s="545" t="str">
        <x:v>Time tracking</x:v>
      </x:c>
      <x:c r="B9" s="759" t="str">
        <x:v>Waived prospectively</x:v>
      </x:c>
      <x:c r="C9" s="756"/>
      <x:c r="D9" s="753" t="n">
        <x:v>6</x:v>
      </x:c>
      <x:c r="E9" s="75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63" customHeight="1">
      <x:c r="A10" s="495" t="str">
        <x:v>Current gate</x:v>
      </x:c>
      <x:c r="B10" s="769" t="str">
        <x:v>P4.2 blocked; D-110 contamination and replacement decision required</x:v>
      </x:c>
      <x:c r="C10" s="438"/>
      <x:c r="D10" s="768" t="n">
        <x:v>7</x:v>
      </x:c>
      <x:c r="E10" s="754"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9" hidden="0" customHeight="1">
      <x:c r="A11" s="545" t="str">
        <x:v>Current product state</x:v>
      </x:c>
      <x:c r="B11" s="76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756"/>
      <x:c r="D11" s="756"/>
      <x:c r="E11" s="756"/>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49.5" hidden="0" customHeight="1">
      <x:c r="A12" s="495" t="str">
        <x:v>Active WBS</x:v>
      </x:c>
      <x:c r="B12" s="770" t="str">
        <x:v>P4.2 - held-out contamination and replacement definition</x:v>
      </x:c>
      <x:c r="C12" s="438"/>
      <x:c r="D12" s="438"/>
      <x:c r="E12" s="438"/>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67.5" hidden="0" customHeight="1">
      <x:c r="A13" s="495" t="str">
        <x:v>Next build WBS</x:v>
      </x:c>
      <x:c r="B13" s="770" t="str">
        <x:v>Review D-110; authorize an isolated replacement-family process</x:v>
      </x:c>
      <x:c r="C13" s="438"/>
      <x:c r="D13" s="438"/>
      <x:c r="E13" s="438"/>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63" customHeight="1">
      <x:c r="A16" s="762" t="n">
        <x:v>1</x:v>
      </x:c>
      <x:c r="B16" s="763" t="str">
        <x:v>Approved workflow contract and authority map for the structured package audit.</x:v>
      </x:c>
      <x:c r="C16" s="763"/>
      <x:c r="D16" s="762" t="str">
        <x:v>Pilot Gantt</x:v>
      </x:c>
      <x:c r="E16" s="763"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63" customHeight="1">
      <x:c r="A17" s="762" t="n">
        <x:v>2</x:v>
      </x:c>
      <x:c r="B17" s="763" t="str">
        <x:v>Versioned package manifest schema plus one development and one newly authored held-out package.</x:v>
      </x:c>
      <x:c r="C17" s="763"/>
      <x:c r="D17" s="762" t="str">
        <x:v>MVP Dashboard</x:v>
      </x:c>
      <x:c r="E17" s="763"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63" customHeight="1">
      <x:c r="A18" s="762" t="n">
        <x:v>3</x:v>
      </x:c>
      <x:c r="B18" s="763" t="str">
        <x:v>Mandatory inventory, parse, revision, file-reference, and authority gates before scoring.</x:v>
      </x:c>
      <x:c r="C18" s="763"/>
      <x:c r="D18" s="762" t="str">
        <x:v>Detailed Gantt</x:v>
      </x:c>
      <x:c r="E18" s="763"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63" customHeight="1">
      <x:c r="A19" s="762" t="n">
        <x:v>4</x:v>
      </x:c>
      <x:c r="B19" s="756" t="str">
        <x:v>Deterministic document, tag, BOM/equipment, datasheet/specification, file-reference, and supported revision relationship checks with evidence; explicitly deferred claims remain excluded.</x:v>
      </x:c>
      <x:c r="C19" s="756"/>
      <x:c r="D19" s="762" t="str">
        <x:v>Work Block Log</x:v>
      </x:c>
      <x:c r="E19" s="756"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63" customHeight="1">
      <x:c r="A20" s="762" t="n">
        <x:v>5</x:v>
      </x:c>
      <x:c r="B20" s="756" t="str">
        <x:v>Explicit result states: automatic pass, automatic fail, engineering review required, missing authoritative information, extraction/tool failure, and evaluator uncertainty.</x:v>
      </x:c>
      <x:c r="C20" s="756"/>
      <x:c r="D20" s="762" t="str">
        <x:v>Decision Register</x:v>
      </x:c>
      <x:c r="E20" s="756"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63" customHeight="1">
      <x:c r="A21" s="762" t="n">
        <x:v>6</x:v>
      </x:c>
      <x:c r="B21" s="756" t="str">
        <x:v>Immutable package result, evidence-linked issue register, release-readiness summary, and stable audit-package CLI exit codes.</x:v>
      </x:c>
      <x:c r="C21" s="756"/>
      <x:c r="D21" s="762" t="str">
        <x:v>Risks &amp; Issues</x:v>
      </x:c>
      <x:c r="E21" s="756"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63" customHeight="1">
      <x:c r="A22" s="762" t="n">
        <x:v>7</x:v>
      </x:c>
      <x:c r="B22" s="756" t="str">
        <x:v>Development and held-out benchmark with fault injection, failed-run preservation, false-positive/false-negative review, and bounded claims.</x:v>
      </x:c>
      <x:c r="C22" s="756"/>
      <x:c r="D22" s="762" t="str">
        <x:v>Evidence Register</x:v>
      </x:c>
      <x:c r="E22" s="756"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63" customHeight="1">
      <x:c r="A23" s="762" t="n">
        <x:v>8</x:v>
      </x:c>
      <x:c r="B23" s="756" t="str">
        <x:v>Regression tests, CI, clean-clone acceptance, documentation, terminal-first demo, bounded service specification, and annotated v0.3.0 tag.</x:v>
      </x:c>
      <x:c r="C23" s="756"/>
      <x:c r="D23" s="762" t="str">
        <x:v>AI Context</x:v>
      </x:c>
      <x:c r="E23" s="756"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675" hidden="0" customHeight="1">
      <x:c r="A28" s="597" t="str">
        <x:v>P4.1 and D-109 are integrated through PR #61 at exact main 5a4d57e; implementation 4cf9fe8 remains the frozen evaluator/benchmark behavior. During P4.2 definition, the implementation context enumerated held-out path names and opened the top-level freeze record and family review. No protected/*.json or scenario expected/*.json content was opened, no held-out package was evaluated, no result exists, and no evaluator behavior changed. The exposed records nevertheless disclosed expected conditions, states, fault identifiers, and protected-asset references. Under accepted contamination Section 15, FAM-HO-INSTRUMENT-AIR-001 is ineligible for release held-out claims. D-110 proposes preserving it unchanged and unexecuted, requiring a materially distinct replacement authored and frozen in an isolated custodian context, and keeping all P4.2 execution blocked until that replacement is separately accepted. IMP-023, I-006, EV-143, and EV-144 retain the event and recovery control.</x:v>
      </x:c>
      <x:c r="B28" s="597"/>
      <x:c r="C28" s="597"/>
      <x:c r="D28" s="597"/>
      <x:c r="E28" s="597"/>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74e70268e223486e"/>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bd5eba4b1abc4bf2"/>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definition commit e9e1a31; draft PR #28;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ht="234" customHeight="1">
      <x:c r="A54" s="78" t="str">
        <x:v>D-051</x:v>
      </x:c>
      <x:c r="B54" s="78" t="n">
        <x:v>46220</x:v>
      </x:c>
      <x:c r="C54" s="78" t="str">
        <x:v>Implement the accepted first P2.2 slice in a separate relationships.py module with dedicated relationship result and finding records. Keep finding identity independent of row numbers and JSON array positions, expose no package-state router, and leave gates.py unchanged. Record the slice as review-ready without closing broader P2.2.</x:v>
      </x:c>
      <x:c r="D54" s="78" t="str">
        <x:v>The isolated module preserves the accepted P2.1 boundary and makes the first cross-document result inspectable without growing the gate engine. Position-independent semantic IDs satisfy the reorder requirement while exact locators still report the physical evidence location for each run. Keeping P2.2 open prevents one successful comparison from overstating relationship coverage.</x:v>
      </x:c>
      <x:c r="E54" s="78" t="str">
        <x:v>Active</x:v>
      </x:c>
      <x:c r="F54" s="78" t="str">
        <x:v>P2.2 first implementation slice</x:v>
      </x:c>
      <x:c r="G54" s="78" t="str">
        <x:v>definition commit e9e1a31; draft PR #28; implementation commit f33ef1b; draft PR #29; GitHub CI green; src/mech_eval_harness/package_assurance/{relationships.py,models.py,__init__.py}; tests/test_package_relationships.py; focused 30; full 201/1; coverage 84.64%; EV-048</x:v>
      </x:c>
      <x:c r="H54" s="78" t="str">
        <x:v>Revisit if review finds a contract mismatch or if later P2.2 rules demonstrate a small shared abstraction. Do not generalize into a rule engine before repeated evidence justifies it.</x:v>
      </x:c>
    </x:row>
    <x:row r="55" ht="225" customHeight="1">
      <x:c r="A55" s="78" t="str">
        <x:v>D-052</x:v>
      </x:c>
      <x:c r="B55" s="78" t="n">
        <x:v>46220</x:v>
      </x:c>
      <x:c r="C55" s="78" t="str">
        <x:v>Treat the user merge of PR #29 into codex/p2.2-relationship-slice-definition as acceptance of the first P2.2 implementation slice. Use combined PR #28 as the single integration path to main, and block another relationship slice until that pull request is merged and its exact main commit and checks are verified.</x:v>
      </x:c>
      <x:c r="D55" s="78" t="str">
        <x:v>PR #29 was intentionally stacked on the accepted definition branch, so its merge accepted the implementation without yet advancing main. Keeping PR #28 as the final integration pull request preserves the complete reviewed chain and prevents project controls from mistaking an intermediate branch merge for main integration.</x:v>
      </x:c>
      <x:c r="E55" s="78" t="str">
        <x:v>Active</x:v>
      </x:c>
      <x:c r="F55" s="78" t="str">
        <x:v>P2.2 first-slice acceptance / integration</x:v>
      </x:c>
      <x:c r="G55" s="78" t="str">
        <x:v>User merge of PR #29 on 2026-07-17; PR #29 merge commit d714f4e; combined PR #28; green GitHub CI; D-049-D-051; EV-046-EV-049</x:v>
      </x:c>
      <x:c r="H55" s="78" t="str">
        <x:v>Close when PR #28 merges to main and the merge commit, clean branch state, and remote checks are recorded. Additional relationships and downstream layers remain blocked until then.</x:v>
      </x:c>
    </x:row>
    <x:row r="56" ht="216" customHeight="1">
      <x:c r="A56" s="78" t="str">
        <x:v>D-053</x:v>
      </x:c>
      <x:c r="B56" s="78" t="n">
        <x:v>46220</x:v>
      </x:c>
      <x:c r="C56" s="78" t="str">
        <x:v>Close integration of the first P2.2 relationship slice through PR #28. Record GitHub merge commit 5866212 as the accepted main baseline after green CI and exact merged-tree verification. Preserve broader P2.2 as open and authorize only a separate definition block for the next smallest relationship gap.</x:v>
      </x:c>
      <x:c r="D56" s="78" t="str">
        <x:v>The stacked implementation was already accepted through PR #29, and PR #28 was the reviewed integration path. Verifying the exact merged tree closes the topology and control ambiguity before another relationship is defined. Keeping broader P2.2 open avoids treating one revision comparison as complete package relationship assurance.</x:v>
      </x:c>
      <x:c r="E56" s="78" t="str">
        <x:v>Accepted</x:v>
      </x:c>
      <x:c r="F56" s="78" t="str">
        <x:v>P2.2 first-slice integration</x:v>
      </x:c>
      <x:c r="G56" s="78" t="str">
        <x:v>PR #28; main 5866212; PR #29 d714f4e; green GitHub CI; focused 30; full 201/1; validation 5/5; Ruff; coverage 84.64%; EV-050</x:v>
      </x:c>
      <x:c r="H56" s="78" t="str">
        <x:v>Accepted on explicit user authorization dated 2026-07-17. Reopen only if merge verification or protected-asset integrity is disproved.</x:v>
      </x:c>
    </x:row>
    <x:row r="57" ht="261" customHeight="1">
      <x:c r="A57" s="78" t="str">
        <x:v>D-054</x:v>
      </x:c>
      <x:c r="B57" s="78" t="n">
        <x:v>46220</x:v>
      </x:c>
      <x:c r="C57" s="78" t="str">
        <x:v>Propose the second P2.2 slice as drawing_register_metadata_presence v0.3.0. Check only authoritative register drawings missing drawing-metadata counterparts by exact normalized drawing_number. Use AUTH-DWG-001, finding DRAWING_METADATA_MISSING, automatic_fail, high severity, release_hold true, document_control ownership, and evidence from the register row plus the searched metadata records collection. Keep metadata-without-register authority as a separate later slice.</x:v>
      </x:c>
      <x:c r="D57" s="78" t="str">
        <x:v>The two directions of apparent counterpart completeness are not equivalent. A required secondary metadata value missing under AUTH-DWG-001 is automatic_fail, while metadata with no register record is missing_authoritative_information and needs a different negative-evidence contract. Splitting the directions preserves clear authority, result-state, evidence, and review semantics while keeping implementation small.</x:v>
      </x:c>
      <x:c r="E57" s="78" t="str">
        <x:v>Accepted</x:v>
      </x:c>
      <x:c r="F57" s="78" t="str">
        <x:v>P2.2 second-slice definition</x:v>
      </x:c>
      <x:c r="G57" s="78" t="str">
        <x:v>docs/package_assurance/p2_2_drawing_metadata_presence_definition_v0.3.0.md; workflow_contract_v0.3.0.md; authority_map_example_v0.3.0.json; accepted first-slice definition; D-053; EV-050; EV-051; IMP-009</x:v>
      </x:c>
      <x:c r="H57" s="78" t="str">
        <x:v>Accepted by the user on 2026-07-17. Implementation is limited to this exact directional check and remains sequenced behind verified PR #30 integration. Reverse orphan detection, other relationships, routing, reports, CLI, semantic held-out evaluation, and deferred capabilities remain blocked.</x:v>
      </x:c>
    </x:row>
    <x:row r="58" ht="243" customHeight="1">
      <x:c r="A58" s="78" t="str">
        <x:v>D-055</x:v>
      </x:c>
      <x:c r="B58" s="78" t="n">
        <x:v>46220</x:v>
      </x:c>
      <x:c r="C58" s="78" t="str">
        <x:v>Accept drawing_register_metadata_presence v0.3.0 as the second P2.2 relationship-slice definition and authorize implementation only after PR #30 is merged to main and the exact merge is verified. Use codex/p2.2-drawing-metadata-presence-implementation for the implementation block.</x:v>
      </x:c>
      <x:c r="D58" s="78" t="str">
        <x:v>The accepted definition resolves authority, result state, evidence, stable ordering, prerequisite behavior, tests, and exclusions before code changes. Sequencing implementation behind integration keeps the reviewed contract and executable work in separate auditable gates.</x:v>
      </x:c>
      <x:c r="E58" s="78" t="str">
        <x:v>Accepted</x:v>
      </x:c>
      <x:c r="F58" s="78" t="str">
        <x:v>P2.2 second-slice acceptance</x:v>
      </x:c>
      <x:c r="G58" s="78" t="str">
        <x:v>User acceptance 2026-07-17; PR #30; commit 641b86f; D-054; EV-051; EV-052</x:v>
      </x:c>
      <x:c r="H58" s="78" t="str">
        <x:v>Authorization applies only to drawing_register_metadata_presence v0.3.0. Reverse orphan metadata, additional relationships, downstream routing, reports, CLI changes, semantic held-out evaluation, and deferred capabilities remain blocked.</x:v>
      </x:c>
    </x:row>
    <x:row r="59" ht="261" customHeight="1">
      <x:c r="A59" s="78" t="str">
        <x:v>D-056</x:v>
      </x:c>
      <x:c r="B59" s="78" t="n">
        <x:v>46220</x:v>
      </x:c>
      <x:c r="C59" s="78" t="str">
        <x:v>Close integration of the accepted drawing_register_metadata_presence v0.3.0 definition through PR #30 at main commit 551200b after green CI and exact merged-tree verification. Open only the scoped implementation block on codex/p2.2-drawing-metadata-presence-implementation.</x:v>
      </x:c>
      <x:c r="D59" s="78" t="str">
        <x:v>The definition is now part of the verified main baseline, so implementation can proceed without mixing contract approval with executable behavior. Keeping the branch and scope narrow preserves the accepted P2.1 gate boundary, the first revision check, and the separate authority treatment required for reverse orphan metadata.</x:v>
      </x:c>
      <x:c r="E59" s="78" t="str">
        <x:v>Accepted</x:v>
      </x:c>
      <x:c r="F59" s="78" t="str">
        <x:v>P2.2 second-slice integration / implementation authorization</x:v>
      </x:c>
      <x:c r="G59" s="78" t="str">
        <x:v>PR #30; main 551200b; green GitHub CI; focused 30; full 201/1; validation 5/5; Ruff; coverage 84.64%; D-054-D-055; EV-051-EV-053</x:v>
      </x:c>
      <x:c r="H59" s="78" t="str">
        <x:v>Implement only drawing_register_metadata_presence v0.3.0. P2.2 remains open until implementation is reviewed and accepted. Reverse orphan metadata, additional relationships, routing, reports, CLI changes, semantic held-out evaluation, and deferred capabilities remain blocked.</x:v>
      </x:c>
    </x:row>
    <x:row r="60" ht="279" customHeight="1">
      <x:c r="A60" s="78" t="str">
        <x:v>D-057</x:v>
      </x:c>
      <x:c r="B60" s="78" t="n">
        <x:v>46220</x:v>
      </x:c>
      <x:c r="C60" s="78" t="str">
        <x:v>Implement only drawing_register_metadata_presence v0.3.0 in relationships.py. Append it after the accepted revision check, reuse AUTH-DWG-001, emit one deterministic DRAWING_METADATA_MISSING automatic-fail high-severity release hold per missing register counterpart, and use the authoritative drawing-number locator plus a searched drawing-metadata /records collection locator. Preserve P2.1 gates, revision semantics, and all blocked capabilities.</x:v>
      </x:c>
      <x:c r="D60" s="78" t="str">
        <x:v>The accepted definition resolves the authority and negative-evidence ambiguity before code. A separate check keeps missing counterparts independent from revision conflicts, while the collection locator proves what was searched without fabricating a nonexistent metadata record. Temporary-copy tests prove clean, one-missing, all-missing, repeatability, ordering, and prerequisite behavior without modifying protected assets.</x:v>
      </x:c>
      <x:c r="E60" s="78" t="str">
        <x:v>Accepted</x:v>
      </x:c>
      <x:c r="F60" s="78" t="str">
        <x:v>P2.2 second-slice implementation</x:v>
      </x:c>
      <x:c r="G60" s="78" t="str">
        <x:v>implementation commit b24ca65; draft PR #31; green GitHub CI; src/mech_eval_harness/package_assurance/{relationships.py,__init__.py}; tests/test_package_relationships.py; focused 35; full 206/1; validation 5/5; Ruff; coverage 84.93%; EV-054</x:v>
      </x:c>
      <x:c r="H60" s="78" t="str">
        <x:v>Ready for explicit user acceptance. Do not merge or begin reverse orphan detection, another relationship, routing, reports, CLI changes, semantic held-out evaluation, or deferred capabilities before acceptance.</x:v>
      </x:c>
    </x:row>
    <x:row r="61" ht="270" customHeight="1">
      <x:c r="A61" s="78" t="str">
        <x:v>D-058</x:v>
      </x:c>
      <x:c r="B61" s="78" t="n">
        <x:v>46220</x:v>
      </x:c>
      <x:c r="C61" s="78" t="str">
        <x:v>Accept the drawing_register_metadata_presence v0.3.0 implementation at b24ca65 and authorize PR #31 integration after green checks. After exact merged-tree verification, authorize only a definition block for drawing-metadata records that lack authoritative drawing-register entries; do not implement that reverse direction before its own acceptance.</x:v>
      </x:c>
      <x:c r="D61" s="78" t="str">
        <x:v>The implementation matches the accepted one-directional contract, preserves the P2.1 and revision boundaries, and proves deterministic negative evidence through focused, full-suite, local validation, coverage, and GitHub CI results. Separating integration from the next authority decision preserves an auditable baseline and prevents the reverse direction from inheriting the wrong automatic-fail semantics.</x:v>
      </x:c>
      <x:c r="E61" s="78" t="str">
        <x:v>Accepted</x:v>
      </x:c>
      <x:c r="F61" s="78" t="str">
        <x:v>P2.2 second-slice acceptance / integration</x:v>
      </x:c>
      <x:c r="G61" s="78" t="str">
        <x:v>User acceptance 2026-07-17; b24ca65; PR #31; green GitHub CI; focused 35; full 206/1; validation 5/5; Ruff; coverage 84.93%; D-057; EV-054-EV-055</x:v>
      </x:c>
      <x:c r="H61" s="78" t="str">
        <x:v>Merge and verify PR #31 before the next definition branch. Reverse orphan implementation, other relationships, routing, reports, CLI changes, semantic held-out evaluation, and deferred capabilities remain blocked.</x:v>
      </x:c>
    </x:row>
    <x:row r="62" ht="270" customHeight="1">
      <x:c r="A62" s="78" t="str">
        <x:v>D-059</x:v>
      </x:c>
      <x:c r="B62" s="78" t="n">
        <x:v>46220</x:v>
      </x:c>
      <x:c r="C62" s="78" t="str">
        <x:v>Close integration of drawing_register_metadata_presence v0.3.0 through PR #31 at main commit 36338c0 after user acceptance, green CI, and exact merged-tree verification. Preserve broader P2.2 as open and authorize only a definition block for drawing-metadata records with no authoritative register row.</x:v>
      </x:c>
      <x:c r="D62" s="78" t="str">
        <x:v>The accepted implementation is now part of a clean, verified main baseline. Closing integration before another direction is defined prevents pending branch state from leaking into the next authority decision. A definition-only block preserves the distinction between a missing secondary value and missing authoritative information.</x:v>
      </x:c>
      <x:c r="E62" s="78" t="str">
        <x:v>Accepted</x:v>
      </x:c>
      <x:c r="F62" s="78" t="str">
        <x:v>P2.2 second-slice integration / third-slice definition authorization</x:v>
      </x:c>
      <x:c r="G62" s="78" t="str">
        <x:v>PR #31; head 8a5d56a; main 36338c0; green GitHub CI; focused 35; full 206/1; validation 5/5; Ruff; coverage 84.93%; D-058; EV-056</x:v>
      </x:c>
      <x:c r="H62" s="78" t="str">
        <x:v>Authorize definition only. Do not implement reverse authority detection, another relationship, routing, reports, CLI changes, semantic held-out evaluation, or deferred capabilities before a separate accepted decision.</x:v>
      </x:c>
    </x:row>
    <x:row r="63" ht="315" customHeight="1">
      <x:c r="A63" s="78" t="str">
        <x:v>D-060</x:v>
      </x:c>
      <x:c r="B63" s="78" t="n">
        <x:v>46220</x:v>
      </x:c>
      <x:c r="C63" s="78" t="str">
        <x:v>Propose drawing_metadata_register_authority v0.3.0 as the third P2.2 check. Select accepted drawing-metadata records absent from the authoritative drawing register by exact normalized drawing_number. Resolve only the AUTH-DWG-001 drawing.current_revision authority path; do not generalize register authority to other metadata fields or package inventory. Emit DRAWING_REGISTER_AUTHORITY_MISSING with missing_authoritative_information, high severity, release_hold true, AUTH-DWG-001, and document_control ownership. Use the metadata drawing-number locator plus a drawing-register membership snapshot anchored to the CSV drawing_number header at physical row 1.</x:v>
      </x:c>
      <x:c r="D63" s="78" t="str">
        <x:v>Metadata cannot authorize its own current-revision claim. AUTH-DWG-001 makes the register authoritative for drawing.current_revision and names metadata as secondary, so a metadata record with no matching register row lacks that required authority. The row-1 header anchor satisfies the CSV locator contract and proves the searched column without inventing a nonexistent data row. Temporary-copy probes show that removing one or both register data rows leaves P2.1 green and does not trigger either accepted P2.2 check, isolating the proposed behavior.</x:v>
      </x:c>
      <x:c r="E63" s="78" t="str">
        <x:v>Proposed</x:v>
      </x:c>
      <x:c r="F63" s="78" t="str">
        <x:v>P2.2 third-slice definition</x:v>
      </x:c>
      <x:c r="G63" s="78" t="str">
        <x:v>docs/package_assurance/p2_2_drawing_metadata_register_authority_definition_v0.3.0.md; workflow_contract_v0.3.0.md; authority_map_example_v0.3.0.json; acceptance_plan_v0.3.0.md; models.py; development source layouts; temporary P2.1 probes; D-059; EV-056-EV-057; IMP-009</x:v>
      </x:c>
      <x:c r="H63" s="78" t="str">
        <x:v>Ready for explicit user definition review. Implementation, package-state routing, reports, CLI changes, semantic held-out evaluation, protected-asset changes, and all deferred capabilities remain blocked.</x:v>
      </x:c>
    </x:row>
    <x:row r="64" ht="324" customHeight="1">
      <x:c r="A64" s="78" t="str">
        <x:v>D-061</x:v>
      </x:c>
      <x:c r="B64" s="78" t="n">
        <x:v>46220</x:v>
      </x:c>
      <x:c r="C64" s="78" t="str">
        <x:v>Accept all three main drawing_metadata_register_authority v0.3.0 definition decisions: route metadata records with no register authority to missing_authoritative_information; apply AUTH-DWG-001 narrowly to the metadata current-revision claim; and use the exact metadata locator plus a row-1 header-anchored register membership snapshot without inventing a missing row. Authorize implementation only after PR #32 merges and exact main verification passes.</x:v>
      </x:c>
      <x:c r="D64" s="78" t="str">
        <x:v>The reviewed definition separates missing authority from missing secondary data, bounds AUTH-DWG-001 to its declared current-revision field, and resolves the CSV negative-evidence gap with a physical header anchor and deterministic membership. Integration before implementation preserves one accepted baseline and prevents definition and code from being reviewed as an inseparable change.</x:v>
      </x:c>
      <x:c r="E64" s="78" t="str">
        <x:v>Accepted</x:v>
      </x:c>
      <x:c r="F64" s="78" t="str">
        <x:v>P2.2 third-slice acceptance / integration authorization</x:v>
      </x:c>
      <x:c r="G64" s="78" t="str">
        <x:v>User acceptance 2026-07-17; b9b9c09; draft PR #32; two green GitHub CI checks; D-060; EV-057-EV-058</x:v>
      </x:c>
      <x:c r="H64" s="78" t="str">
        <x:v>Merge and verify PR #32 before implementation. Authorization is limited to drawing_metadata_register_authority v0.3.0. Other relationships, routing, reports, CLI changes, semantic held-out evaluation, protected-asset changes, and deferred capabilities remain blocked.</x:v>
      </x:c>
    </x:row>
    <x:row r="65" ht="270" customHeight="1">
      <x:c r="A65" s="78" t="str">
        <x:v>D-062</x:v>
      </x:c>
      <x:c r="B65" s="78" t="n">
        <x:v>46220</x:v>
      </x:c>
      <x:c r="C65" s="78" t="str">
        <x:v>Close integration of the accepted drawing_metadata_register_authority v0.3.0 definition through PR #32 at main commit 6d1f2f2 after green CI and exact merged-tree verification. Open only the scoped implementation block on codex/p2.2-drawing-metadata-register-authority-implementation.</x:v>
      </x:c>
      <x:c r="D65" s="78" t="str">
        <x:v>The accepted definition is now part of a clean, verified main baseline. Separating integration from executable behavior preserves the reviewed result-state and evidence decisions and prevents broader relationship or routing work from entering the implementation block.</x:v>
      </x:c>
      <x:c r="E65" s="78" t="str">
        <x:v>Accepted</x:v>
      </x:c>
      <x:c r="F65" s="78" t="str">
        <x:v>P2.2 third-slice definition integration / implementation authorization</x:v>
      </x:c>
      <x:c r="G65" s="78" t="str">
        <x:v>PR #32; head 9eded29; main 6d1f2f2; two green GitHub CI checks; focused 35; full 206/1; validation 5/5; Ruff; coverage 84.93%; D-061; EV-058-EV-059</x:v>
      </x:c>
      <x:c r="H65" s="78" t="str">
        <x:v>Implement only drawing_metadata_register_authority v0.3.0. Other relationships, routing, reports, CLI changes, semantic held-out evaluation, protected-asset changes, and deferred capabilities remain blocked.</x:v>
      </x:c>
    </x:row>
    <x:row r="66" ht="315" customHeight="1">
      <x:c r="A66" s="78" t="str">
        <x:v>D-063</x:v>
      </x:c>
      <x:c r="B66" s="78" t="n">
        <x:v>46220</x:v>
      </x:c>
      <x:c r="C66" s="78" t="str">
        <x:v>Implement only drawing_metadata_register_authority v0.3.0 at commit 8eb431d. Append it as the third check, emit one deterministic DRAWING_REGISTER_AUTHORITY_MISSING high-severity release hold in missing_authoritative_information per metadata record without register authority, and preserve exact metadata plus row-1 header-anchored register membership evidence.</x:v>
      </x:c>
      <x:c r="D66" s="78" t="str">
        <x:v>The accepted contract resolves the different result state and the negative-evidence problem before code. A separate check preserves both earlier relationship semantics. Temporary-copy tests prove clean, one-row, empty-register, repeatability, source-order, and prerequisite behavior without modifying accepted or protected assets.</x:v>
      </x:c>
      <x:c r="E66" s="78" t="str">
        <x:v>Active</x:v>
      </x:c>
      <x:c r="F66" s="78" t="str">
        <x:v>P2.2 third-slice implementation</x:v>
      </x:c>
      <x:c r="G66" s="78" t="str">
        <x:v>implementation commit 8eb431d; draft PR #33; two green GitHub CI runs; codex/p2.2-drawing-metadata-register-authority-implementation; src/mech_eval_harness/package_assurance/{relationships.py,__init__.py}; tests/test_package_relationships.py; focused 40; full 211/1; validation 5/5; Ruff; coverage 85.18%; EV-060</x:v>
      </x:c>
      <x:c r="H66" s="78" t="str">
        <x:v>Ready for explicit user acceptance. Do not integrate or begin another relationship, routing, report, CLI, semantic held-out evaluation, protected-asset change, or deferred capability before acceptance.</x:v>
      </x:c>
    </x:row>
    <x:row r="67" ht="315" customHeight="1">
      <x:c r="A67" s="78" t="str">
        <x:v>D-064</x:v>
      </x:c>
      <x:c r="B67" s="78" t="n">
        <x:v>46220</x:v>
      </x:c>
      <x:c r="C67" s="78" t="str">
        <x:v>Accept drawing_metadata_register_authority v0.3.0 implementation 8eb431d and authorize PR #33 integration after green checks. After exact merged-tree verification, authorize only a definition block for the next smallest P2.2 relationship gap; do not implement another relationship before its own acceptance.</x:v>
      </x:c>
      <x:c r="D67" s="78" t="str">
        <x:v>The implementation matches the accepted missing-authority state, narrow AUTH-DWG-001 scope, negative-evidence locator, stable order, and prerequisite boundary. Local focused, full-suite, validation, lint, coverage, and GitHub CI results establish review evidence while keeping the next relationship decision separate from executable work.</x:v>
      </x:c>
      <x:c r="E67" s="78" t="str">
        <x:v>Accepted</x:v>
      </x:c>
      <x:c r="F67" s="78" t="str">
        <x:v>P2.2 third-slice implementation acceptance / integration authorization</x:v>
      </x:c>
      <x:c r="G67" s="78" t="str">
        <x:v>User acceptance 2026-07-17; implementation 8eb431d; head 3663a68; draft PR #33; two green GitHub CI checks; focused 40; full 211/1; validation 5/5; Ruff; coverage 85.18%; D-063; EV-060-EV-061</x:v>
      </x:c>
      <x:c r="H67" s="78" t="str">
        <x:v>Merge and verify PR #33 before the next definition branch. Additional relationship implementation, routing, reports, CLI changes, semantic held-out evaluation, protected-asset changes, and deferred capabilities remain blocked.</x:v>
      </x:c>
    </x:row>
    <x:row r="68" ht="306" customHeight="1">
      <x:c r="A68" s="78" t="str">
        <x:v>D-065</x:v>
      </x:c>
      <x:c r="B68" s="78" t="n">
        <x:v>46220</x:v>
      </x:c>
      <x:c r="C68" s="78" t="str">
        <x:v>Close integration of drawing_metadata_register_authority v0.3.0 through PR #33 at exact main commit 8d7f314 after user acceptance, green CI, and merged-tree verification. Preserve broader P2.2 as open and authorize only a definition block for the next smallest relationship gap.</x:v>
      </x:c>
      <x:c r="D68" s="78" t="str">
        <x:v>The accepted third check is now part of one clean, verified main baseline. Exact integration closure prevents pending branch state from leaking into the next authority decision. A definition-only next block preserves the review gate before another executable relationship is added.</x:v>
      </x:c>
      <x:c r="E68" s="78" t="str">
        <x:v>Accepted</x:v>
      </x:c>
      <x:c r="F68" s="78" t="str">
        <x:v>P2.2 third-slice integration / fourth-slice definition authorization</x:v>
      </x:c>
      <x:c r="G68" s="78" t="str">
        <x:v>PR #33; head 4067334; main 8d7f314; green GitHub CI; focused 40; full 211/1; validation 5/5; Ruff; coverage 85.37%; D-064; EV-061-EV-062</x:v>
      </x:c>
      <x:c r="H68" s="78" t="str">
        <x:v>Authorize definition only. Additional relationship implementation, routing, reports, CLI changes, semantic held-out evaluation, protected-asset changes, and deferred capabilities remain blocked.</x:v>
      </x:c>
    </x:row>
    <x:row r="69" ht="351" customHeight="1">
      <x:c r="A69" s="78" t="str">
        <x:v>D-066</x:v>
      </x:c>
      <x:c r="B69" s="78" t="n">
        <x:v>46220</x:v>
      </x:c>
      <x:c r="C69" s="78" t="str">
        <x:v>Propose drawing_register_metadata_file_reference v0.3.0 as the fourth P2.2 check. For exact normalized drawing-number pairs, compare authoritative drawing-register file_ref_id with drawing-metadata file_ref_id under AUTH-DWG-002. Emit DRAWING_FILE_REFERENCE_MISMATCH as automatic_fail, high severity, release_hold true, with document_control ownership. Require both field locators and both manifest file-resolution locators for the reviewed wrong-but-valid fault. Defer shared undeclared references and full manifest reciprocity.</x:v>
      </x:c>
      <x:c r="D69" s="78" t="str">
        <x:v>A controlled identifier can be valid and resolvable yet belong to the wrong drawing. The temporary probe changes only DWMETA-001 from FILE-DWG-001 to valid FILE-DWG-002; all eight P2.1 gates and all three accepted P2.2 checks still pass. A separate agreement check closes that exact gap without adding a new source, schema, duplicate policy, evidence model, or package-state router. Explicit exclusions prevent the slice from overstating complete drawing-to-file assurance.</x:v>
      </x:c>
      <x:c r="E69" s="78" t="str">
        <x:v>Proposed</x:v>
      </x:c>
      <x:c r="F69" s="78" t="str">
        <x:v>P2.2 fourth-slice definition</x:v>
      </x:c>
      <x:c r="G69" s="78" t="str">
        <x:v>definition commit d46d56f; draft PR #34; two green initial GitHub CI runs; docs/package_assurance/p2_2_drawing_file_reference_definition_v0.3.0.md; AUTH-DWG-002; workflow_contract_v0.3.0.md; models.py; relationships.py; development source layouts; temporary wrong-valid probe; D-065; EV-062-EV-063; IMP-010</x:v>
      </x:c>
      <x:c r="H69" s="78" t="str">
        <x:v>Ready for explicit user definition review on draft PR #34. Implementation, manifest reciprocity, undeclared source-reference handling, routing, reports, CLI changes, semantic held-out evaluation, protected-asset changes, and deferred capabilities remain blocked.</x:v>
      </x:c>
    </x:row>
    <x:row r="70" ht="360" customHeight="1">
      <x:c r="A70" s="78" t="str">
        <x:v>D-067</x:v>
      </x:c>
      <x:c r="B70" s="78" t="n">
        <x:v>46220</x:v>
      </x:c>
      <x:c r="C70" s="78" t="str">
        <x:v>Accept the complete drawing_register_metadata_file_reference v0.3.0 definition, including automatic_fail high-severity release-hold routing under AUTH-DWG-002, four exact evidence locators for the wrong-but-valid fault, and explicit deferral of shared undeclared source references and full manifest reciprocity. Authorize PR #34 integration and, only after exact merged-main verification, the dedicated implementation block.</x:v>
      </x:c>
      <x:c r="D70" s="78" t="str">
        <x:v>The definition isolates a proven escaped conflict while preserving honest product boundaries. The wrong-valid probe demonstrates that structural and boundary checks are insufficient. Exact evidence makes the conflict reviewable, and deferring adjacent controls prevents one check from claiming complete drawing-to-file assurance. Integration before implementation preserves an auditable accepted baseline.</x:v>
      </x:c>
      <x:c r="E70" s="78" t="str">
        <x:v>Accepted</x:v>
      </x:c>
      <x:c r="F70" s="78" t="str">
        <x:v>P2.2 fourth-slice definition acceptance / integration authorization</x:v>
      </x:c>
      <x:c r="G70" s="78" t="str">
        <x:v>User acceptance 2026-07-17; definition d46d56f; head c15d42c; draft PR #34; two green GitHub CI runs; D-066; EV-063-EV-064</x:v>
      </x:c>
      <x:c r="H70" s="78" t="str">
        <x:v>Merge and verify PR #34 before implementation. Authorization is limited to drawing_register_metadata_file_reference v0.3.0. Manifest reciprocity, undeclared source-reference handling, other relationships, routing, reports, CLI, held-out semantics, protected-asset changes, and deferred capabilities remain blocked.</x:v>
      </x:c>
    </x:row>
    <x:row r="71" ht="315" customHeight="1">
      <x:c r="A71" s="78" t="str">
        <x:v>D-068</x:v>
      </x:c>
      <x:c r="B71" s="78" t="n">
        <x:v>46220</x:v>
      </x:c>
      <x:c r="C71" s="78" t="str">
        <x:v>Close integration of the accepted drawing_register_metadata_file_reference v0.3.0 definition through PR #34 at exact main commit 12c45dd after user acceptance, green CI, and merged-tree verification. Open only the scoped fourth-check implementation block on codex/p2.2-drawing-file-reference-implementation.</x:v>
      </x:c>
      <x:c r="D71" s="78" t="str">
        <x:v>The reviewed definition is now part of one clean main baseline. Exact integration before code preserves the accepted AUTH-DWG-002 conflict, evidence, ordering, and exclusion decisions while preventing broader relationship, reciprocity, routing, or reporting work from entering the implementation block.</x:v>
      </x:c>
      <x:c r="E71" s="78" t="str">
        <x:v>Accepted</x:v>
      </x:c>
      <x:c r="F71" s="78" t="str">
        <x:v>P2.2 fourth-slice definition integration / implementation authorization</x:v>
      </x:c>
      <x:c r="G71" s="78" t="str">
        <x:v>PR #34; head 15080d5; main 12c45dd; two green GitHub CI checks; focused 40; full 211/1; validation 5/5; Ruff; coverage 85.37%; D-067; EV-064-EV-065</x:v>
      </x:c>
      <x:c r="H71" s="78" t="str">
        <x:v>Implement only drawing_register_metadata_file_reference v0.3.0. Undeclared source-reference handling, manifest reciprocity, other relationships, routing, reports, CLI, semantic held-out evaluation, protected-asset changes, and deferred capabilities remain blocked.</x:v>
      </x:c>
    </x:row>
    <x:row r="72" ht="369" customHeight="1">
      <x:c r="A72" s="78" t="str">
        <x:v>D-069</x:v>
      </x:c>
      <x:c r="B72" s="78" t="n">
        <x:v>46220</x:v>
      </x:c>
      <x:c r="C72" s="78" t="str">
        <x:v>Implement only drawing_register_metadata_file_reference v0.3.0 at commit 74970c3. Append it as the fourth stable relationship check; compare exact drawing pairs under the exact accepted AUTH-DWG-002 semantics; emit deterministic DRAWING_FILE_REFERENCE_MISMATCH automatic-fail high-severity release holds; and preserve both source-field and resolved-manifest evidence. Keep the first three checks unchanged and do not add undeclared-reference or manifest-reciprocity behavior.</x:v>
      </x:c>
      <x:c r="D72" s="78" t="str">
        <x:v>The accepted wrong-but-valid fault proves that structural, presence, and boundary checks can all pass while metadata points to another drawing's valid file. A separate check closes only that agreement gap. Temporary-copy tests prove clean behavior, one and two faults, sorted stable identity, exact authority, prerequisite skips, and complete portable evidence without changing accepted or protected assets.</x:v>
      </x:c>
      <x:c r="E72" s="78" t="str">
        <x:v>Accepted</x:v>
      </x:c>
      <x:c r="F72" s="78" t="str">
        <x:v>P2.2 fourth-slice implementation</x:v>
      </x:c>
      <x:c r="G72" s="78" t="str">
        <x:v>implementation commit 74970c3; draft PR #35; two green GitHub CI checks; codex/p2.2-drawing-file-reference-implementation; src/mech_eval_harness/package_assurance/{relationships.py,__init__.py}; tests/test_package_relationships.py; relationship 19; focused 45; full 216/1; validation 5/5; Ruff; coverage 85.47%; EV-066; IMP-010-IMP-011</x:v>
      </x:c>
      <x:c r="H72" s="78" t="str">
        <x:v>Accepted by D-070 and integrated by D-071 at exact main e5db29e. No other relationship, declaration/reciprocity control, package-state router, report, CLI, semantic held-out evaluation, protected-asset change, or deferred capability was included.</x:v>
      </x:c>
    </x:row>
    <x:row r="73" ht="360" customHeight="1">
      <x:c r="A73" s="78" t="str">
        <x:v>D-070</x:v>
      </x:c>
      <x:c r="B73" s="78" t="n">
        <x:v>46222</x:v>
      </x:c>
      <x:c r="C73" s="78" t="str">
        <x:v>Accept drawing_register_metadata_file_reference v0.3.0 implementation 74970c3 and its reviewed evidence. Authorize PR #35 integration after final green checks, followed by exact merged-main verification. Preserve shared undeclared source references, manifest reciprocity, all other relationships, package-state routing, reports, CLI behavior, semantic held-out evaluation, and deferred capabilities as separate gated work.</x:v>
      </x:c>
      <x:c r="D73" s="78" t="str">
        <x:v>The implementation matches the accepted AUTH-DWG-002 contract, catches the proven wrong-but-valid target, preserves the first three checks, provides four portable locators, requires the exact authority semantics, and passes focused, full-suite, local validation, coverage, and GitHub CI evidence. Integration closes this bounded behavior without overstating complete drawing-to-file assurance.</x:v>
      </x:c>
      <x:c r="E73" s="78" t="str">
        <x:v>Accepted</x:v>
      </x:c>
      <x:c r="F73" s="78" t="str">
        <x:v>P2.2 fourth-slice implementation acceptance / integration authorization</x:v>
      </x:c>
      <x:c r="G73" s="78" t="str">
        <x:v>User acceptance 2026-07-19; implementation 74970c3; evidence cce416e; draft PR #35; two green pre-acceptance GitHub CI checks; D-069; EV-066-EV-067; IMP-010-IMP-011</x:v>
      </x:c>
      <x:c r="H73" s="78" t="str">
        <x:v>Merge and verify PR #35 before another work block. Authorization is limited to the reviewed fourth check. Declaration/reciprocity controls, other relationships, routing, reports, CLI, held-out semantics, protected-asset changes, and deferred capabilities remain blocked.</x:v>
      </x:c>
    </x:row>
    <x:row r="74" ht="351" customHeight="1">
      <x:c r="A74" s="78" t="str">
        <x:v>D-071</x:v>
      </x:c>
      <x:c r="B74" s="78" t="n">
        <x:v>46222</x:v>
      </x:c>
      <x:c r="C74" s="78" t="str">
        <x:v>Close integration of drawing_register_metadata_file_reference v0.3.0 through PR #35 at exact main commit e5db29e after explicit user acceptance, final green CI, and exact merged-tree verification. Record four ordered drawing checks as integrated while retaining P2.2 at 50%. Authorize only project review and next-gate selection before another implementation begins.</x:v>
      </x:c>
      <x:c r="D74" s="78" t="str">
        <x:v>The accepted fourth check is now part of one clean, verified main baseline. Closing its integration record prevents the controlling documents from overstating pending work or complete P2.2 assurance. Keeping the next gate unselected preserves deliberate sequencing and the separate authority, declaration/reciprocity, routing, reporting, CLI, and held-out boundaries.</x:v>
      </x:c>
      <x:c r="E74" s="78" t="str">
        <x:v>Accepted</x:v>
      </x:c>
      <x:c r="F74" s="78" t="str">
        <x:v>P2.2 fourth-slice integration closeout</x:v>
      </x:c>
      <x:c r="G74" s="78" t="str">
        <x:v>PR #35; accepted head 5d02872; implementation 74970c3; evidence cce416e; main e5db29e; final GitHub CI 2/2; relationship 19; focused 45; full 216/1; validation 5/5; Ruff; coverage 85.47%; EV-068</x:v>
      </x:c>
      <x:c r="H74" s="78" t="str">
        <x:v>No new executable behavior is authorized. Review the project state and accept or revise the next bounded gate. Protected assets, acceptance criteria, package-state routing, reports, CLI, semantic held-out execution, and deferred capabilities remain unchanged or blocked.</x:v>
      </x:c>
    </x:row>
    <x:row r="75" ht="405" customHeight="1">
      <x:c r="A75" s="431" t="str">
        <x:v>D-072</x:v>
      </x:c>
      <x:c r="B75" s="431" t="n">
        <x:v>46222</x:v>
      </x:c>
      <x:c r="C75" s="431" t="str">
        <x:v>Propose the first usable package-audit vertical slice and its delivery sequence for explicit review. Append drawing_register_manifest_file_reciprocity v0.3.0 under existing AUTH-DWG-002, then implement required-result completeness, package-state routing, canonical final findings, immutable package result, issue-register and release-readiness views, and audit-package CLI before broad P2.3 expansion. Keep P2.3 mandatory for v0.3.0 release. Clarify that authority-based final findings require authority_rule_id, while pre-authority structural, parser, path, evidence, and evaluator-integrity findings use an honest governing_control_id rather than a fabricated authority rule.</x:v>
      </x:c>
      <x:c r="D75" s="431" t="str">
        <x:v>The current horizontal dependency chain has produced strong individual checks but still no complete user-runnable package audit. A thin vertical slice exposes integration and product-value risks earlier, creates the stable output path that later P2.3 rules can reuse, and avoids changing protected held-out authority maps merely to add a new rule. The final-finding clarification is necessary because accepted P2.1 gate findings are smaller intermediate records than the P0.1 report contract promises.</x:v>
      </x:c>
      <x:c r="E75" s="431" t="str">
        <x:v>Proposed</x:v>
      </x:c>
      <x:c r="F75" s="431" t="str">
        <x:v>First usable audit definition / proposed P2.2-P2.4-P3 resequencing</x:v>
      </x:c>
      <x:c r="G75" s="431" t="str">
        <x:v>main baseline a18fc5f; codex/first-usable-audit-definition; docs/package_assurance/first_usable_audit_vertical_slice_definition_v0.3.0.md; workflow_contract_v0.3.0.md; acceptance_plan_v0.3.0.md; current models/gates/relationships/persistence/CLI; clean development manifest; IMP-012; EV-069</x:v>
      </x:c>
      <x:c r="H75" s="431" t="str">
        <x:v>Ready for explicit user review of all ten decisions. Do not implement the fifth check, result router/schema/persistence, reports, CLI, P2.3 expansion, semantic held-out evaluation, or deferred capabilities before acceptance. Existing Pilot Gantt predecessor cells remain unchanged during review.</x:v>
      </x:c>
    </x:row>
    <x:row r="76">
      <x:c r="A76" s="78" t="str">
        <x:v>D-073</x:v>
      </x:c>
      <x:c r="B76" s="78" t="n">
        <x:v>46222</x:v>
      </x:c>
      <x:c r="C76" s="78" t="str">
        <x:v>Accept all ten decisions in the first usable package-audit vertical-slice definition. Authorize only drawing_register_manifest_file_reciprocity v0.3.0 next on a separate branch under existing AUTH-DWG-002. After its acceptance and integration, sequence the minimum P2.4 result core, P3.1/P3.2 views, and P3.3 audit-package CLI before broad P2.3 expansion. Keep P2.3 mandatory before P4 and release. Accept the canonical final-finding clarification that authority findings require authority_rule_id while pre-authority structural, parser, path, evidence, and evaluator-integrity findings use governing_control_id.</x:v>
      </x:c>
      <x:c r="D76" s="78" t="str">
        <x:v>The user instructed the project to proceed after reviewing the definition package. The sequence produces a runnable audit earlier without reducing release scope, fabricating authority, changing protected assets, or coupling later rule families to an unfinished output path.</x:v>
      </x:c>
      <x:c r="E76" s="78" t="str">
        <x:v>Accepted</x:v>
      </x:c>
      <x:c r="F76" s="78" t="str">
        <x:v>First usable audit definition acceptance / fifth-check authorization</x:v>
      </x:c>
      <x:c r="G76" s="78" t="str">
        <x:v>User instruction 2026-07-19; PR #36; definition commit 58ebff7; docs/package_assurance/first_usable_audit_vertical_slice_definition_v0.3.0.md; D-072; EV-069-EV-070; IMP-012</x:v>
      </x:c>
      <x:c r="H76" s="78" t="str">
        <x:v>Record acceptance on PR #36, then implement only the fifth P2.2 reciprocity check on a separate branch. P2.4, reports, CLI, P2.3, semantic held-out evaluation, protected-asset changes, and deferred capabilities remain blocked.</x:v>
      </x:c>
    </x:row>
    <x:row r="77" ht="414" customHeight="1">
      <x:c r="A77" s="431" t="str">
        <x:v>D-074</x:v>
      </x:c>
      <x:c r="B77" s="431" t="n">
        <x:v>46222</x:v>
      </x:c>
      <x:c r="C77" s="431" t="str">
        <x:v>Propose drawing_register_manifest_file_reciprocity v0.3.0 implementation commit 4f06352 for explicit acceptance. Append it as the fifth ordered P2.2 relationship check under exact AUTH-DWG-002 semantics. Require each authoritative register drawing to match exactly one manifest inventory record by document_id and drawing_number, the same declared and resolved file_ref_id, and exactly one required document_to_file relationship with no conflicting required mapping. Emit one deterministic DRAWING_DOCUMENT_FILE_RECIPROCITY_FAILED automatic-fail high-severity release hold per affected drawing, with portable register and manifest evidence. Preserve all eight P2.1 gates, the first four checks, and later result/report/CLI gates.</x:v>
      </x:c>
      <x:c r="D77" s="431" t="str">
        <x:v>The accepted vertical slice identifies declaration-to-manifest reciprocity as the smallest remaining drawing relationship gap. Structural gates and the first four checks can all pass when a required mapping is missing, points to another valid file, conflicts with an additional mapping, or when register and metadata share an undeclared file reference. A separate fifth check closes only that gap without changing accepted authority maps, fixtures, result routing, or protected evidence.</x:v>
      </x:c>
      <x:c r="E77" s="431" t="str">
        <x:v>Proposed</x:v>
      </x:c>
      <x:c r="F77" s="431" t="str">
        <x:v>P2.2 fifth-slice implementation review</x:v>
      </x:c>
      <x:c r="G77" s="431" t="str">
        <x:v>implementation commit 4f06352; codex/p2.2-drawing-register-manifest-reciprocity-implementation; src/mech_eval_harness/package_assurance/{relationships.py,__init__.py}; tests/test_package_relationships.py; accepted definition 0b9fc2e / PR #36; relationship 25; focused 51; full 222/1; repository validation 5/5; Ruff; coverage 85.64%; EV-071; IMP-012</x:v>
      </x:c>
      <x:c r="H77" s="431" t="str">
        <x:v>Ready for explicit user review. Do not integrate or begin P2.4 before acceptance. No accepted fixture, schema, authority map, expected result, golden, held-out asset, historical evidence, package-state router, report, CLI, semantic held-out evaluation, P2.3 relationship, or deferred capability changed.</x:v>
      </x:c>
    </x:row>
    <x:row r="78" ht="333" customHeight="1">
      <x:c r="A78" s="431" t="str">
        <x:v>D-075</x:v>
      </x:c>
      <x:c r="B78" s="431" t="n">
        <x:v>46222</x:v>
      </x:c>
      <x:c r="C78" s="431" t="str">
        <x:v>Accept drawing_register_manifest_file_reciprocity v0.3.0 implementation 4f06352 and its reviewed evidence. Authorize PR #36 definition integration followed by PR #37 implementation integration, exact merged-main verification, and then the bounded P2.4 result-core block.</x:v>
      </x:c>
      <x:c r="D78" s="431" t="str">
        <x:v>The user explicitly instructed the project to merge and continue. Both stacked PRs were mergeable with green CI, the implementation matched the accepted fifth-check contract, and no protected or deferred scope was included.</x:v>
      </x:c>
      <x:c r="E78" s="431" t="str">
        <x:v>Accepted</x:v>
      </x:c>
      <x:c r="F78" s="431" t="str">
        <x:v>P2.2 fifth-slice acceptance and integration authorization</x:v>
      </x:c>
      <x:c r="G78" s="431" t="str">
        <x:v>User instruction 2026-07-19; implementation 4f06352; evidence 96219f4; PRs #36-#37; D-074; EV-071; IMP-012</x:v>
      </x:c>
      <x:c r="H78" s="431" t="str">
        <x:v>Merge in dependency order, verify exact main, close P2.2, then begin only the accepted P2.4 result core. Reports, CLI, P2.3, held-out semantics, protected changes, and deferred capabilities remain blocked.</x:v>
      </x:c>
    </x:row>
    <x:row r="79" ht="333" customHeight="1">
      <x:c r="A79" s="78" t="str">
        <x:v>D-076</x:v>
      </x:c>
      <x:c r="B79" s="78" t="n">
        <x:v>46222</x:v>
      </x:c>
      <x:c r="C79" s="78" t="str">
        <x:v>Close P2.2 drawing-manifest reciprocity integration at exact main 5571d2a. Record PR #36 merge 5b32b6d and PR #37 merge 5571d2a as the accepted predecessor. Mark P2.2 complete for the first usable vertical slice and authorize P2.4 minimum package-result core next.</x:v>
      </x:c>
      <x:c r="D79" s="78" t="str">
        <x:v>The accepted definition and fifth check now exist together on one clean, verified main tree. Closing P2.2 prevents result routing from starting against an unaccepted relationship set and establishes the exact ordered eight-gate/five-check predecessor.</x:v>
      </x:c>
      <x:c r="E79" s="78" t="str">
        <x:v>Accepted</x:v>
      </x:c>
      <x:c r="F79" s="78" t="str">
        <x:v>P2.2 fifth-slice integration closeout / P2.4 authorization</x:v>
      </x:c>
      <x:c r="G79" s="78" t="str">
        <x:v>PR #36 5b32b6d; PR #37 5571d2a; implementation 4f06352; evidence 96219f4; GitHub CI green; relationship 25; focused 51; full 222/1; validation 5/5; Ruff; coverage 85.64%; EV-072-EV-073</x:v>
      </x:c>
      <x:c r="H79" s="78" t="str">
        <x:v>Create codex/p2.4-result-core from exact main 5571d2a and implement only completeness, canonical findings, state precedence, package-result model/schema, and immutable persistence.</x:v>
      </x:c>
    </x:row>
    <x:row r="80" ht="369" customHeight="1">
      <x:c r="A80" s="78" t="str">
        <x:v>D-077</x:v>
      </x:c>
      <x:c r="B80" s="78" t="n">
        <x:v>46222</x:v>
      </x:c>
      <x:c r="C80" s="78" t="str">
        <x:v>Propose P2.4 minimum package-result core implementation cbcfc2b for explicit review. Require the exact ordered eight-gate/five-check result set, route incomplete evaluator output to release-holding uncertainty, convert intermediate findings to one canonical final-finding list, apply exact state precedence, fingerprint controlled inputs, validate a separate v0.3.0 package-result schema, and persist each package result without overwrite. Keep v0.2 persistence, reports, CLI, P2.3, held-out semantics, and deferred capabilities unchanged.</x:v>
      </x:c>
      <x:c r="D80" s="78" t="str">
        <x:v>The accepted vertical-slice definition requires one trustworthy machine result before any report or CLI can be useful. A fail-closed completeness boundary prevents dropped or unexplained skipped checks from creating a false pass; canonical findings prevent later views from reinterpreting evaluator prose; separate schema and persistence preserve the frozen v0.2 kernel.</x:v>
      </x:c>
      <x:c r="E80" s="78" t="str">
        <x:v>Proposed</x:v>
      </x:c>
      <x:c r="F80" s="78" t="str">
        <x:v>P2.4 minimum package-result core implementation review</x:v>
      </x:c>
      <x:c r="G80" s="78" t="str">
        <x:v>implementation cbcfc2b; codex/p2.4-result-core; predecessor 1e7da37; result_core.py; package persistence; package_result.schema.json; tests/test_package_result_{core,persistence}.py; focused 15; full 237/1; validation 5/5; Ruff; coverage 86.10%; EV-074; IMP-012</x:v>
      </x:c>
      <x:c r="H80" s="78" t="str">
        <x:v>Ready for explicit user review and PR integration. Do not begin issue-register, release-summary, audit-package CLI, P2.3 expansion, semantic held-out evaluation, or deferred capabilities before acceptance and exact-main verification.</x:v>
      </x:c>
    </x:row>
    <x:row r="81" ht="360" customHeight="1">
      <x:c r="A81" s="78" t="str">
        <x:v>D-078</x:v>
      </x:c>
      <x:c r="B81" s="78" t="n">
        <x:v>46222</x:v>
      </x:c>
      <x:c r="C81" s="78" t="str">
        <x:v>Accept P2.4 minimum package-result core implementation cbcfc2b and integrate PR #39 at exact main cd9b52e. Close P2.4 and authorize P3.1 next only for deterministic CSV and Markdown issue-register views of package_result.json. Require views to use canonical findings and stored ordering without rerunning gates, relationships, authority selection, package-state routing, or holds.</x:v>
      </x:c>
      <x:c r="D81" s="78" t="str">
        <x:v>The user explicitly accepted P2.4 and requested merge and continuation. Both GitHub checks were green, the merge was clean, and exact-main local verification reproduced the reviewed test, validation, lint, and coverage evidence. A pure report boundary preserves package_result.json as the sole source of audit meaning.</x:v>
      </x:c>
      <x:c r="E81" s="78" t="str">
        <x:v>Accepted</x:v>
      </x:c>
      <x:c r="F81" s="78" t="str">
        <x:v>P2.4 integration closeout / P3.1 authorization</x:v>
      </x:c>
      <x:c r="G81" s="78" t="str">
        <x:v>User instruction 2026-07-19; implementation cbcfc2b; review evidence 9caef2b; PR #39; exact main cd9b52e; GitHub CI 2/2; focused result 15; full 237/1; validation 5/5; Ruff; coverage 86.10%; EV-075; IMP-012</x:v>
      </x:c>
      <x:c r="H81" s="78" t="str">
        <x:v>Create codex/p3.1-issue-register after this closeout is integrated. Implement issue-register views only. P3.2, P3.3, P2.3, held-out semantics, protected changes, and deferred capabilities remain blocked.</x:v>
      </x:c>
    </x:row>
    <x:row r="82" ht="360" customHeight="1">
      <x:c r="A82" s="431" t="str">
        <x:v>D-079</x:v>
      </x:c>
      <x:c r="B82" s="431" t="n">
        <x:v>46222</x:v>
      </x:c>
      <x:c r="C82" s="431" t="str">
        <x:v>Propose P3.1 issue-register implementation 2f93335 for explicit review. Require strict schema-valid package-result input, preserve the stored canonical finding order, emit one stable CSV header with structured JSON fields, and render non-approving Markdown. Keep rendering in memory and defer report publishing to the later CLI integration gate.</x:v>
      </x:c>
      <x:c r="D82" s="431" t="str">
        <x:v>The report layer must expose accepted evaluator evidence without becoming a second evaluator or creating partial published outputs. Strict loading fails closed on ambiguous input, stored-order rendering prevents report-specific reinterpretation, and in-memory output keeps persistence and atomic multi-file publication outside this bounded slice.</x:v>
      </x:c>
      <x:c r="E82" s="431" t="str">
        <x:v>Proposed</x:v>
      </x:c>
      <x:c r="F82" s="431" t="str">
        <x:v>P3.1 evidence-linked issue-register implementation review</x:v>
      </x:c>
      <x:c r="G82" s="431" t="str">
        <x:v>implementation 2f93335; codex/p3.1-issue-register; predecessor b9de4e6; issue_register.py; tests/test_package_issue_register.py; renderer 11; focused 26; full 248/1; validation 5/5; Ruff; coverage 86.49%; EV-076; IMP-012</x:v>
      </x:c>
      <x:c r="H82" s="431" t="str">
        <x:v>Ready for explicit user review. Do not begin P3.2 release summary, report publishing, P3.3 CLI, P2.3 expansion, semantic held-out execution, protected changes, or deferred capabilities before acceptance and exact-main integration.</x:v>
      </x:c>
    </x:row>
    <x:row r="83" ht="369" customHeight="1">
      <x:c r="A83" s="431" t="str">
        <x:v>D-080</x:v>
      </x:c>
      <x:c r="B83" s="431" t="n">
        <x:v>46222</x:v>
      </x:c>
      <x:c r="C83" s="431" t="str">
        <x:v>Accept P3.1 issue-register implementation 2f93335 and integrate the reviewed branch at exact main 8f66b12. Close P3.1 and authorize P3.2 next only for one non-approving Markdown release-readiness view of package_result.json. Require the view to use stored result fields and aggregations without rerunning gates, checks, authority, state routing, or holds.</x:v>
      </x:c>
      <x:c r="D83" s="431" t="str">
        <x:v>The user explicitly authorized merge. The exact reviewed branch fast-forwarded cleanly to main, and exact-main local verification reproduced all focused, full-suite, validation, lint, and coverage evidence. A pure P3.2 summary completes the human review view while preserving package_result.json as the sole source of audit meaning.</x:v>
      </x:c>
      <x:c r="E83" s="431" t="str">
        <x:v>Accepted</x:v>
      </x:c>
      <x:c r="F83" s="431" t="str">
        <x:v>P3.1 integration closeout / P3.2 authorization</x:v>
      </x:c>
      <x:c r="G83" s="431" t="str">
        <x:v>User instruction 2026-07-19; implementation 2f93335; review evidence 8f66b12; exact main 8f66b12; focused 26; full 248/1; validation 5/5; Ruff; coverage 86.49%; EV-077; IMP-012</x:v>
      </x:c>
      <x:c r="H83" s="431" t="str">
        <x:v>Create codex/p3.2-release-readiness-summary after this closeout is integrated. Implement the summary view only. Publishing, P3.3, P2.3, held-out semantics, protected changes, and deferred capabilities remain blocked.</x:v>
      </x:c>
    </x:row>
    <x:row r="84" ht="369" customHeight="1">
      <x:c r="A84" s="431" t="str">
        <x:v>D-081</x:v>
      </x:c>
      <x:c r="B84" s="431" t="n">
        <x:v>46222</x:v>
      </x:c>
      <x:c r="C84" s="431" t="str">
        <x:v>Propose acceptance of P3.2 release-readiness implementation 7536bea as the bounded pure Markdown view of package_result.json. Require strict result validation, exact stored package state and hold, stored gate/check and finding counts, known output names, the accepted engineering-review limitation, and an explicit qualified-human decision without release, compliance, or correctness approval.</x:v>
      </x:c>
      <x:c r="D84" s="431" t="str">
        <x:v>The implementation reuses one strict report-input loader and renders only stored result fields and transparent counts. Focused and full verification are green, and the inspected revision-conflict summary exactly matches the immutable result. This closes the human summary view without adding publishing, CLI behavior, or evaluator meaning.</x:v>
      </x:c>
      <x:c r="E84" s="431" t="str">
        <x:v>Proposed</x:v>
      </x:c>
      <x:c r="F84" s="431" t="str">
        <x:v>P3.2 release-readiness implementation review</x:v>
      </x:c>
      <x:c r="G84" s="431" t="str">
        <x:v>Implementation 7536bea; accepted predecessor main 3466398; readiness 10; focused result/report 36; full 258/1; validation 5/5; Ruff; coverage 86.75%; EV-078; IMP-012</x:v>
      </x:c>
      <x:c r="H84" s="431" t="str">
        <x:v>Review and explicitly accept P3.2. If accepted, integrate the exact reviewed branch and authorize only the separately bounded P3.3 publishing/CLI block. P2.3, held-out semantics, protected changes, and deferred capabilities remain blocked.</x:v>
      </x:c>
    </x:row>
    <x:row r="85" ht="369" customHeight="1">
      <x:c r="A85" s="431" t="str">
        <x:v>D-082</x:v>
      </x:c>
      <x:c r="B85" s="431" t="n">
        <x:v>46222</x:v>
      </x:c>
      <x:c r="C85" s="431" t="str">
        <x:v>Accept P3.2 release-readiness implementation 7536bea and integrate the exact reviewed branch at exact main 4b848b9. Close P3.2 and authorize only P3.3 atomic publication of the canonical result and accepted report views through the bounded audit-package CLI contract.</x:v>
      </x:c>
      <x:c r="D85" s="431" t="str">
        <x:v>The user explicitly accepted P3.2. Exact-main verification reproduced all reviewed behavior and evidence without changing evaluator meaning, protected assets, or frozen v0.2 behavior. P3.3 is the remaining bounded step to make the accepted vertical slice runnable end to end.</x:v>
      </x:c>
      <x:c r="E85" s="431" t="str">
        <x:v>Accepted</x:v>
      </x:c>
      <x:c r="F85" s="431" t="str">
        <x:v>P3.2 acceptance and P3.3 authorization</x:v>
      </x:c>
      <x:c r="G85" s="431" t="str">
        <x:v>User instruction 2026-07-19; implementation 7536bea; review evidence/main 4b848b9; focused result/report 36; full 258/1; validation 5/5; Ruff; coverage 86.75%; EV-079; IMP-012</x:v>
      </x:c>
      <x:c r="H85" s="431" t="str">
        <x:v>Create codex/p3.3-audit-package-cli from exact main 4b848b9. Implement only atomic report publication, stable accepted exits, controlled-failure preservation, and existing-command compatibility. P2.3, held-out semantics, protected changes, and deferred capabilities remain blocked.</x:v>
      </x:c>
    </x:row>
    <x:row r="86" ht="369" customHeight="1">
      <x:c r="A86" s="431" t="str">
        <x:v>D-083</x:v>
      </x:c>
      <x:c r="B86" s="431" t="n">
        <x:v>46222</x:v>
      </x:c>
      <x:c r="C86" s="431" t="str">
        <x:v>Propose acceptance of P3.3 implementation b5f0fcd as the bounded first runnable package audit. Require exact reuse of the accepted gates, checks, result router, and report views; atomic immutable publication of the exact four-output set; package-state exits 0-5; usage exit 64; internal exit 70; controlled-failure preservation; and unchanged v0.2 commands.</x:v>
      </x:c>
      <x:c r="D86" s="431" t="str">
        <x:v>The implementation adds one package-specific workflow and a hidden staging directory that is exposed only by a final rename after strict result validation and report preparation. Focused/full verification and inspected clean/fifth-check-fault evidence match the frozen contract without P2.3, held-out, or deferred scope.</x:v>
      </x:c>
      <x:c r="E86" s="431" t="str">
        <x:v>Proposed</x:v>
      </x:c>
      <x:c r="F86" s="431" t="str">
        <x:v>P3.3 audit-package implementation review</x:v>
      </x:c>
      <x:c r="G86" s="431" t="str">
        <x:v>Implementation b5f0fcd; accepted predecessor main 441e521; new P3.3 13; focused result/report/CLI 49; full 271/1; validation 5/5; Ruff; coverage 86.76%; EV-080; IMP-012</x:v>
      </x:c>
      <x:c r="H86" s="431" t="str">
        <x:v>Review and explicitly accept or reject P3.3. If accepted, integrate the exact reviewed branch and then define the next bounded P2.3 relationship block. Held-out semantics, protected content, and deferred capabilities remain blocked.</x:v>
      </x:c>
    </x:row>
    <x:row r="87" ht="369" customHeight="1">
      <x:c r="A87" s="431" t="str">
        <x:v>D-084</x:v>
      </x:c>
      <x:c r="B87" s="431" t="n">
        <x:v>46223</x:v>
      </x:c>
      <x:c r="C87" s="431" t="str">
        <x:v>Accept P3.3 implementation b5f0fcd and review evidence 411928e as the bounded first runnable package audit, integrated through PR #40 at exact main e4080fd. Close P3.3 and authorize only a definition block for the remaining P2.3 BOM, equipment, datasheet, specification, and revision relationships.</x:v>
      </x:c>
      <x:c r="D87" s="431" t="str">
        <x:v>The user explicitly accepted P3.3 and instructed the project to begin P2.3. Both GitHub Actions checks passed before merge, and exact-main verification reproduced the reviewed focused/full tests, validation, Ruff, and coverage. A definition gate is required because P2.3 contains several authority relationships and single-source fields that must not be conflated into one broad implementation.</x:v>
      </x:c>
      <x:c r="E87" s="431" t="str">
        <x:v>Accepted</x:v>
      </x:c>
      <x:c r="F87" s="431" t="str">
        <x:v>P3.3 acceptance and P2.3 definition authorization</x:v>
      </x:c>
      <x:c r="G87" s="431" t="str">
        <x:v>User instruction 2026-07-20; PR #40; implementation b5f0fcd; review evidence 411928e; exact main e4080fd; focused 49; full 271/1; validation 5/5; Ruff; coverage 86.76%; EV-081; IMP-012</x:v>
      </x:c>
      <x:c r="H87" s="431" t="str">
        <x:v>Create codex/p2.3-relationship-expansion-definition from the P3.3 integration closeout. Freeze ordered checks, authority dependencies, evidence, state/hold routing, prerequisites, tests, and exclusions. No P2.3 implementation or held-out semantic execution before definition acceptance.</x:v>
      </x:c>
    </x:row>
    <x:row r="88" ht="369" customHeight="1">
      <x:c r="A88" s="431" t="str">
        <x:v>D-085</x:v>
      </x:c>
      <x:c r="B88" s="431" t="n">
        <x:v>46223</x:v>
      </x:c>
      <x:c r="C88" s="431" t="str">
        <x:v>Propose the P2.3 relationship-expansion definition with six ordered existing-authority checks and six explicit authority/source gaps. Require one check per implementation and acceptance slice, beginning with BOM item/equipment manifest reciprocity under exact AUTH-BOM-002. Do not represent single-source structural validation as cross-document reconciliation.</x:v>
      </x:c>
      <x:c r="D88" s="431" t="str">
        <x:v>The accepted package can support deterministic BOM item/equipment reciprocity, equipment drawing presence, datasheet authority presence and agreement, datasheet manifest reciprocity, and specification revision-history checks. Quantity, part/material, item/drawing, specification association, datasheet revision, and technical-value claims lack an exact comparison source or authority rule. Separating them prevents false assurance while allowing useful P2.3 work to proceed.</x:v>
      </x:c>
      <x:c r="E88" s="431" t="str">
        <x:v>Proposed</x:v>
      </x:c>
      <x:c r="F88" s="431" t="str">
        <x:v>P2.3 relationship-expansion definition review</x:v>
      </x:c>
      <x:c r="G88" s="431" t="str">
        <x:v>docs/package_assurance/p2_3_relationship_expansion_definition_v0.3.0.md; baseline 26b7aa2; exact authority rules AUTH-BOM-002, AUTH-SPEC-001, AUTH-SPEC-003; EV-082; IMP-013</x:v>
      </x:c>
      <x:c r="H88" s="431" t="str">
        <x:v>Review and explicitly accept, revise, or reject the definition. If accepted, create codex/p2.3-bom-item-equipment-reciprocity and implement only check 6. Authority-gap claims and held-out semantics remain blocked.</x:v>
      </x:c>
    </x:row>
    <x:row r="89" ht="369" customHeight="1">
      <x:c r="A89" s="431" t="str">
        <x:v>D-086</x:v>
      </x:c>
      <x:c r="B89" s="431" t="n">
        <x:v>46223</x:v>
      </x:c>
      <x:c r="C89" s="431" t="str">
        <x:v>Accept the P2.3 relationship-expansion definition integrated through PR #41 at exact main a855d99. Authorize only check 6, bom_item_equipment_manifest_reciprocity v0.3.0, under exact AUTH-BOM-002 on its dedicated branch. Require separate explicit acceptance before implementation integration.</x:v>
      </x:c>
      <x:c r="D89" s="431" t="str">
        <x:v>The user explicitly accepted the definition and directed implementation of check 6. The reviewed definition proves six uncovered relationship conditions, freezes one-check-per-slice delivery, and keeps six unsupported claims visible as authority/source gaps rather than weak assurance claims.</x:v>
      </x:c>
      <x:c r="E89" s="431" t="str">
        <x:v>Accepted</x:v>
      </x:c>
      <x:c r="F89" s="431" t="str">
        <x:v>P2.3 definition acceptance and check 6 authorization</x:v>
      </x:c>
      <x:c r="G89" s="431" t="str">
        <x:v>User instruction 2026-07-20; PR #41; definition 5a48dcb; exact main a855d99; D-085; EV-082-EV-083; IMP-013</x:v>
      </x:c>
      <x:c r="H89" s="431" t="str">
        <x:v>Create codex/p2.3-bom-item-equipment-reciprocity from the accepted closeout. Implement only check 6 and prove it through relationships, canonical result, reports, publication, and CLI. Do not implement checks 7-11 or any blocked authority-gap claim.</x:v>
      </x:c>
    </x:row>
    <x:row r="90" ht="387" customHeight="1">
      <x:c r="A90" s="431" t="str">
        <x:v>D-087</x:v>
      </x:c>
      <x:c r="B90" s="431" t="n">
        <x:v>46223</x:v>
      </x:c>
      <x:c r="C90" s="431" t="str">
        <x:v>Propose acceptance of P2.3 check 6 implementation c1dcc4a as the bounded bom_item_equipment_manifest_reciprocity v0.3.0 control. Require exact AUTH-BOM-002, one stable high-severity automatic-fail release hold per affected item, independent authority prerequisites, and unchanged gates, checks 1-5, result routing, report meaning, publication, and exits.</x:v>
      </x:c>
      <x:c r="D90" s="431" t="str">
        <x:v>The implementation closes the accepted wrong-valid declaration gap without adding schemas, fixtures, authority rules, or broader reconciliation claims. Missing, extra, wrong, and multiple declarations are deterministic and evidence-linked; an unrelated drawing-authority failure does not block valid BOM evidence.</x:v>
      </x:c>
      <x:c r="E90" s="431" t="str">
        <x:v>Accepted</x:v>
      </x:c>
      <x:c r="F90" s="431" t="str">
        <x:v>P2.3 check 6 implementation review</x:v>
      </x:c>
      <x:c r="G90" s="431" t="str">
        <x:v>Implementation c1dcc4a; relationship 31; focused 75; full 278/1; validation 5/5; Ruff; coverage 87.02%; inspected scratch/p23-check6-review-evidence clean and wrong-target runs; EV-084; IMP-013-IMP-014</x:v>
      </x:c>
      <x:c r="H90" s="431" t="str">
        <x:v>Integrated through PR #42 at exact main 559bb81. Proceed with the approved bounded relationship-maintainability stabilization before implementing check 7. Checks 8-11, authority gaps, held-out semantics, and deferred capabilities retain their gates.</x:v>
      </x:c>
    </x:row>
    <x:row r="91" ht="387" customHeight="1">
      <x:c r="A91" s="431" t="str">
        <x:v>D-088</x:v>
      </x:c>
      <x:c r="B91" s="431" t="n">
        <x:v>46223</x:v>
      </x:c>
      <x:c r="C91" s="431" t="str">
        <x:v>Accept P2.3 check 6 and its integration through PR #42 at exact main 559bb81. Authorize a bounded behavior-preserving maintainability stabilization of the relationship implementation and focused-test structure before check 7, followed by only bom_equipment_drawing_presence under the already accepted P2.3 contract.</x:v>
      </x:c>
      <x:c r="D91" s="431" t="str">
        <x:v>The user accepted check 6 and approved the management-review sequence. The current relationship source and focused test modules exceed 1,700 lines before five additional checks. A small domain split now reduces review and regression risk without changing product behavior or creating a generic rule engine.</x:v>
      </x:c>
      <x:c r="E91" s="431" t="str">
        <x:v>Accepted</x:v>
      </x:c>
      <x:c r="F91" s="431" t="str">
        <x:v>Check 6 closeout and maintainability stabilization authorization</x:v>
      </x:c>
      <x:c r="G91" s="431" t="str">
        <x:v>User instruction 2026-07-20; PR #42; implementation c1dcc4a; review evidence 0386b7f; merge/main 559bb81; D-087; EV-084-EV-085; IMP-013-IMP-014</x:v>
      </x:c>
      <x:c r="H91" s="431" t="str">
        <x:v>Refactor only relationship implementation and tests into clear domain boundaries with exact behavior preservation. Run focused/full regression, validation, Ruff, and coverage. Then implement only accepted check 7. No protected, held-out, schema, authority, or deferred-capability change.</x:v>
      </x:c>
    </x:row>
    <x:row r="92" ht="369" customHeight="1">
      <x:c r="A92" s="431" t="str">
        <x:v>D-089</x:v>
      </x:c>
      <x:c r="B92" s="431" t="n">
        <x:v>46223</x:v>
      </x:c>
      <x:c r="C92" s="431" t="str">
        <x:v>Accept the behavior-preserving relationship maintainability stabilization integrated through PR #44 at exact main 56ac9d1 and authorize check 7, bom_equipment_drawing_presence, under the already accepted P2.3 contract and exact AUTH-BOM-002.</x:v>
      </x:c>
      <x:c r="D92" s="431" t="str">
        <x:v>The user approved the management sequence. The split preserves every prior function AST and all accepted behavior while making the BOM/equipment domain independently reviewable. Both GitHub CI runs passed. The accepted check 7 contract is already frozen and requires no new source, schema, or authority rule.</x:v>
      </x:c>
      <x:c r="E92" s="431" t="str">
        <x:v>Accepted</x:v>
      </x:c>
      <x:c r="F92" s="431" t="str">
        <x:v>Relationship stabilization acceptance and check 7 authorization</x:v>
      </x:c>
      <x:c r="G92" s="431" t="str">
        <x:v>User instruction 2026-07-20; PR #44; implementation 1f34781; merge/main 56ac9d1; EV-086; IMP-015</x:v>
      </x:c>
      <x:c r="H92" s="431" t="str">
        <x:v>Implement only bom_equipment_drawing_presence. Require exact AUTH-BOM-002, one evidence-linked hold per missing BOM equipment tag, stable order and identity, and unchanged prior checks/result/report/CLI behavior.</x:v>
      </x:c>
    </x:row>
    <x:row r="93" ht="387" customHeight="1">
      <x:c r="A93" s="431" t="str">
        <x:v>D-090</x:v>
      </x:c>
      <x:c r="B93" s="431" t="n">
        <x:v>46223</x:v>
      </x:c>
      <x:c r="C93" s="431" t="str">
        <x:v>Accept and integrate P2.3 check 7, bom_equipment_drawing_presence v0.3.0, through PR #45 at exact main 273c36a. Every release-required BOM equipment tag must appear in drawing metadata under exact AUTH-BOM-002 without treating the BOM drawing_number as authoritative.</x:v>
      </x:c>
      <x:c r="D93" s="431" t="str">
        <x:v>The user accepted check 7 and authorized the executive sequence. The implementation produces one deterministic high-severity automatic-fail release hold per missing BOM item/tag and preserves all predecessor, result, report, publication, and CLI contracts. Both GitHub checks passed before merge.</x:v>
      </x:c>
      <x:c r="E93" s="431" t="str">
        <x:v>Accepted</x:v>
      </x:c>
      <x:c r="F93" s="431" t="str">
        <x:v>P2.3 check 7 acceptance and integration</x:v>
      </x:c>
      <x:c r="G93" s="431" t="str">
        <x:v>User instruction 2026-07-20; implementation 01a70c2; PR #45; merge/main 273c36a; EV-087-EV-088; IMP-013-IMP-015</x:v>
      </x:c>
      <x:c r="H93" s="431" t="str">
        <x:v>Preserve check 7 as accepted. Open the authorized structured-package trial decision. Checks 8-11, authority gaps, held-out semantics, protected assets, and deferred capabilities remain blocked.</x:v>
      </x:c>
    </x:row>
    <x:row r="94" ht="360" customHeight="1">
      <x:c r="A94" s="431" t="str">
        <x:v>D-091</x:v>
      </x:c>
      <x:c r="B94" s="431" t="n">
        <x:v>46223</x:v>
      </x:c>
      <x:c r="C94" s="431" t="str">
        <x:v>Select and authorize one sanitized structured mechanical package for a development-only practical-use trial under authorized_structured_package_trial_v0.3.0.md.</x:v>
      </x:c>
      <x:c r="D94" s="431" t="str">
        <x:v>A realistic package is now more valuable than another isolated rule because it can expose preparation burden, evidence usability, false findings, missed conditions, and authority gaps. The trial is not benchmark evidence, engineering approval, or a production claim.</x:v>
      </x:c>
      <x:c r="E94" s="431" t="str">
        <x:v>Proposed</x:v>
      </x:c>
      <x:c r="F94" s="431" t="str">
        <x:v>Authorized structured-package trial entry decision</x:v>
      </x:c>
      <x:c r="G94" s="431" t="str">
        <x:v>codex/p2.3-real-package-structured-trial; docs/package_assurance/authorized_structured_package_trial_v0.3.0.md; EV-088-EV-089</x:v>
      </x:c>
      <x:c r="H94" s="431" t="str">
        <x:v>CEO identifies the package location, confirms permitted use and sanitization/retention boundaries, and names a qualified reviewer. Stop before package intake until all four inputs are recorded.</x:v>
      </x:c>
    </x:row>
    <x:row r="95" ht="387" customHeight="1">
      <x:c r="A95" s="431" t="str">
        <x:v>D-092</x:v>
      </x:c>
      <x:c r="B95" s="431" t="n">
        <x:v>46223</x:v>
      </x:c>
      <x:c r="C95" s="431" t="str">
        <x:v>Select Precious Plastic Shredder Basic 3.3 as the recommended first public practical-use trial package after comparing it with NASA/JPL Open Source Rover v4.0.0 and OpenFlexure Microscope v7.0.0-beta5.</x:v>
      </x:c>
      <x:c r="D95" s="431" t="str">
        <x:v>Precious Plastic most closely matches the target workflow because one bounded fabrication package is described as containing CAD, DXF, blueprint PDFs, schematics, a BOM, and supporting manufacturing material. Its likely revision and authority gaps are useful trial learning and must be reported rather than filled in.</x:v>
      </x:c>
      <x:c r="E95" s="431" t="str">
        <x:v>Accepted</x:v>
      </x:c>
      <x:c r="F95" s="431" t="str">
        <x:v>Public trial package selection</x:v>
      </x:c>
      <x:c r="G95" s="431" t="str">
        <x:v>docs/package_assurance/public_trial_package_shortlist_2026-07-20.md; official publisher sources; PR #46; exact main 361cc77; EV-090-EV-091</x:v>
      </x:c>
      <x:c r="H95" s="431" t="str">
        <x:v>Integrate the selection record, then perform official-source verification, local Git-ignored intake, hashing, inventory, and a fit-and-gap assessment for Precious Plastic before transformation or audit execution.</x:v>
      </x:c>
    </x:row>
    <x:row r="96" ht="387" customHeight="1">
      <x:c r="A96" s="431" t="str">
        <x:v>D-093</x:v>
      </x:c>
      <x:c r="B96" s="431" t="n">
        <x:v>46223</x:v>
      </x:c>
      <x:c r="C96" s="431" t="str">
        <x:v>Approve a sequential three-package practical-use program: Precious Plastic Shredder Basic 3.3 as trial 1, NASA/JPL Open Source Rover v4.0.0 as trial 2, and OpenFlexure Microscope v7.0.0-beta5 as trial 3. A later trial cannot begin until the preceding package is reviewed and accepted.</x:v>
      </x:c>
      <x:c r="D96" s="431" t="str">
        <x:v>Multiple independent packages are needed to distinguish package-specific friction from repeatable product behavior. Sequential gates preserve evidence independence, prevent premature rule changes from contaminating later trials, and keep the first real-package learning bounded.</x:v>
      </x:c>
      <x:c r="E96" s="431" t="str">
        <x:v>Accepted</x:v>
      </x:c>
      <x:c r="F96" s="431" t="str">
        <x:v>Sequential public-package trial program</x:v>
      </x:c>
      <x:c r="G96" s="431" t="str">
        <x:v>CEO instruction 2026-07-20; docs/package_assurance/public_trial_package_shortlist_2026-07-20.md; docs/package_assurance/authorized_structured_package_trial_v0.3.0.md; EV-091-EV-092</x:v>
      </x:c>
      <x:c r="H96" s="431" t="str">
        <x:v>Complete and review Precious Plastic intake and fit-gap assessment. Do not begin NASA/JPL until trial 1 is accepted; do not begin OpenFlexure until trial 2 is accepted.</x:v>
      </x:c>
    </x:row>
    <x:row r="97" ht="351" customHeight="1">
      <x:c r="A97" s="431" t="str">
        <x:v>D-094</x:v>
      </x:c>
      <x:c r="B97" s="431" t="n">
        <x:v>46223</x:v>
      </x:c>
      <x:c r="C97" s="431" t="str">
        <x:v>Stop the Precious Plastic Shredder Basic 3.3 trial because the official package source requires an account the user cannot create or access. Preserve the access-stop evidence and do not attempt an authentication workaround.</x:v>
      </x:c>
      <x:c r="D97" s="431" t="str">
        <x:v>A practical-use trial must use source material obtained through permitted, reproducible access. An unavailable official download cannot support preservation, hashing, inventory, or an independently repeatable review.</x:v>
      </x:c>
      <x:c r="E97" s="431" t="str">
        <x:v>Accepted</x:v>
      </x:c>
      <x:c r="F97" s="431" t="str">
        <x:v>Precious Plastic access-stop decision</x:v>
      </x:c>
      <x:c r="G97" s="431" t="str">
        <x:v>CEO instruction 2026-07-20; local Git-ignored intake state; docs/package_assurance/public_trial_package_shortlist_2026-07-20.md; EV-093</x:v>
      </x:c>
      <x:c r="H97" s="431" t="str">
        <x:v>Record that no files were downloaded, retain null archive evidence, and remove Precious Plastic from active execution without erasing the original selection history.</x:v>
      </x:c>
    </x:row>
    <x:row r="98" ht="387" customHeight="1">
      <x:c r="A98" s="431" t="str">
        <x:v>D-095</x:v>
      </x:c>
      <x:c r="B98" s="431" t="n">
        <x:v>46223</x:v>
      </x:c>
      <x:c r="C98" s="431" t="str">
        <x:v>Run NASA/JPL Open Source Rover v4.0.0 and OpenFlexure Microscope v7.0.0-beta5 as co-equal public-package intake and fit-gap trials under one evidence protocol.</x:v>
      </x:c>
      <x:c r="D98" s="431" t="str">
        <x:v>Using identical controls prevents package-specific convenience from becoming a hidden quality difference. Completing both before comparison provides broader product learning across a conventional assembly repository and a generated parametric release.</x:v>
      </x:c>
      <x:c r="E98" s="431" t="str">
        <x:v>Accepted</x:v>
      </x:c>
      <x:c r="F98" s="431" t="str">
        <x:v>Co-equal dual public-package trial</x:v>
      </x:c>
      <x:c r="G98" s="431" t="str">
        <x:v>CEO instruction 2026-07-20; D-093-D-094; docs/package_assurance/authorized_structured_package_trial_v0.3.0.md; docs/package_assurance/public_trial_package_shortlist_2026-07-20.md; EV-093-EV-094</x:v>
      </x:c>
      <x:c r="H98" s="431" t="str">
        <x:v>Verify official release source and license, preserve and hash each untouched archive, inventory files, assess source families and authority gaps, and return one combined fit-gap review before transformation or audit execution.</x:v>
      </x:c>
    </x:row>
    <x:row r="99" ht="387" customHeight="1">
      <x:c r="A99" s="431" t="str">
        <x:v>D-096</x:v>
      </x:c>
      <x:c r="B99" s="431" t="n">
        <x:v>46223</x:v>
      </x:c>
      <x:c r="C99" s="431" t="str">
        <x:v>Accept the completed NASA/JPL and OpenFlexure intakes and authorize one controlled manual source-to-audit mapping definition for each package under a shared transformation-and-assumption log.</x:v>
      </x:c>
      <x:c r="D99" s="431" t="str">
        <x:v>Both packages provide useful and complementary real-world structures, but neither can enter the accepted audit unchanged. Defining mappings before transformation prevents missing authority from being invented and tests preparation burden without weakening evaluator contracts.</x:v>
      </x:c>
      <x:c r="E99" s="431" t="str">
        <x:v>Accepted</x:v>
      </x:c>
      <x:c r="F99" s="431" t="str">
        <x:v>Dual controlled mapping-definition gate</x:v>
      </x:c>
      <x:c r="G99" s="431" t="str">
        <x:v>docs/package_assurance/dual_public_package_intake_fit_gap_2026-07-20.md; D-094-D-095; EV-093-EV-096</x:v>
      </x:c>
      <x:c r="H99" s="431" t="str">
        <x:v>Accepted by the CEO on 2026-07-20. PR #48 merged the reviewed dual intake and fit-gap at exact main 99d16b6. Mapping definitions are authorized; source conversion, working-package creation, and audit execution remain blocked.</x:v>
      </x:c>
    </x:row>
    <x:row r="100" ht="450" customHeight="1">
      <x:c r="A100" s="431" t="str">
        <x:v>D-097</x:v>
      </x:c>
      <x:c r="B100" s="431" t="n">
        <x:v>46223</x:v>
      </x:c>
      <x:c r="C100" s="431" t="str">
        <x:v>Accept the bounded NASA/JPL v4.0.0 mechanical-rover and OpenFlexure v7.0.0-beta5 high-resolution-microscope source-to-audit mappings plus the shared transformation-and-assumption log contract. Authorize controlled local working-copy preparation for both packages with populated logs, followed by review before audit execution.</x:v>
      </x:c>
      <x:c r="D100" s="431" t="str">
        <x:v>The mappings distinguish publisher facts, deterministic trial preparation, missing authority, and true non-applicability. Preparing both packages under one traceability contract tests real-world input burden without weakening accepted evaluator contracts or hiding expected missing-authority holds.</x:v>
      </x:c>
      <x:c r="E100" s="431" t="str">
        <x:v>Accepted</x:v>
      </x:c>
      <x:c r="F100" s="431" t="str">
        <x:v>Dual controlled preparation gate</x:v>
      </x:c>
      <x:c r="G100" s="431" t="str">
        <x:v>docs/package_assurance/nasa_jpl_open_source_rover_mapping_definition_v0.3.0.md; docs/package_assurance/openflexure_microscope_mapping_definition_v0.3.0.md; docs/package_assurance/transformation_and_assumption_log_contract_v0.3.0.md; D-096; EV-097-EV-098</x:v>
      </x:c>
      <x:c r="H100" s="431" t="str">
        <x:v>Accepted by the CEO on 2026-07-20. PR #49 merged the exact reviewed mappings at main 53e19ad. Separate Git-ignored package preparation with populated logs was authorized; audit execution remained blocked pending output review.</x:v>
      </x:c>
    </x:row>
    <x:row r="101" ht="495" customHeight="1">
      <x:c r="A101" s="431" t="str">
        <x:v>D-098</x:v>
      </x:c>
      <x:c r="B101" s="431" t="n">
        <x:v>46223</x:v>
      </x:c>
      <x:c r="C101" s="431" t="str">
        <x:v>Accept the exact prepared NASA/JPL and OpenFlexure package trees and their populated transformation-and-assumption logs. Authorize one controlled audit-package run per package, executed sequentially but treated as co-equal trials.</x:v>
      </x:c>
      <x:c r="D101" s="431" t="str">
        <x:v>The prepared packages are independently verified and retain known authority gaps. Controlled execution now tests actual evaluator behavior on realistic imperfect public sources without changing package definitions or evaluator policy during the observation block.</x:v>
      </x:c>
      <x:c r="E101" s="431" t="str">
        <x:v>Accepted</x:v>
      </x:c>
      <x:c r="F101" s="431" t="str">
        <x:v>Dual controlled audit-execution gate</x:v>
      </x:c>
      <x:c r="G101" s="431" t="str">
        <x:v>docs/package_assurance/dual_public_package_preparation_review_2026-07-20.md; D-097; EV-099-EV-100; package trees 52aedc3e... and 71656da7...</x:v>
      </x:c>
      <x:c r="H101" s="431" t="str">
        <x:v>Accepted by the user on 2026-07-20. PR #50 merged the preparation review at exact main 7009fe2. Both exact package trees and accepted logs were authorized for one sequential controlled audit each, with a mandatory stop on unexpected behavior.</x:v>
      </x:c>
    </x:row>
    <x:row r="102" ht="540" customHeight="1">
      <x:c r="A102" s="431" t="str">
        <x:v>D-099</x:v>
      </x:c>
      <x:c r="B102" s="431" t="n">
        <x:v>46223</x:v>
      </x:c>
      <x:c r="C102" s="431" t="str">
        <x:v>Accept the stopped NASA/JPL audit and cross-package diagnosis as valid learning evidence. Authorize a separate narrow identifier/result-contract stabilization before any public-package rerun.</x:v>
      </x:c>
      <x:c r="D102" s="431" t="str">
        <x:v>The strict result schema correctly blocked malformed evaluator findings. The defect is not bad public data: accepted optional BOM references were absent, but the identifier gate treated absence as malformed syntax and promoted the invalid blank value into a canonical result field. A narrow fix can preserve strict mandatory identifiers, authority holds, and result schemas without changing either package.</x:v>
      </x:c>
      <x:c r="E102" s="431" t="str">
        <x:v>Accepted</x:v>
      </x:c>
      <x:c r="F102" s="431" t="str">
        <x:v>Public-package audit stabilization gate</x:v>
      </x:c>
      <x:c r="G102" s="431" t="str">
        <x:v>docs/package_assurance/dual_public_package_audit_failure_review_2026-07-20.md; local ignored NASA/JPL failure evidence; EV-101-EV-103; IMP-017; D-098</x:v>
      </x:c>
      <x:c r="H102" s="431" t="str">
        <x:v>Accepted by the CEO on 2026-07-20. PR #51 merged the failure review at exact main 624acce. The separate stabilization changed only optional blank handling and invalid-finding representation, with synthetic full-CLI proof and no public-package rerun.</x:v>
      </x:c>
    </x:row>
    <x:row r="103" ht="558" customHeight="1">
      <x:c r="A103" s="431" t="str">
        <x:v>D-100</x:v>
      </x:c>
      <x:c r="B103" s="431" t="n">
        <x:v>46223</x:v>
      </x:c>
      <x:c r="C103" s="431" t="str">
        <x:v>Accept the D-099 identifier/result-contract stabilization and synthetic proof. Merge the fix, then authorize exactly one unchanged NASA/JPL rerun before any OpenFlexure audit.</x:v>
      </x:c>
      <x:c r="D103" s="431" t="str">
        <x:v>The fix preserves strict schemas and malformed-value holds while restoring the accepted missing-authority path. Synthetic full-CLI tests publish all four outputs at exit 3 and exit 1. A controlled NASA/JPL rerun is now the smallest real-world confirmation, but OpenFlexure should remain blocked until that result is inspected.</x:v>
      </x:c>
      <x:c r="E103" s="431" t="str">
        <x:v>Accepted</x:v>
      </x:c>
      <x:c r="F103" s="431" t="str">
        <x:v>NASA/JPL stabilization confirmation gate</x:v>
      </x:c>
      <x:c r="G103" s="431" t="str">
        <x:v>docs/package_assurance/identifier_result_contract_stabilization_review_2026-07-20.md; EV-104-EV-106; IMP-017; D-099; focused 47; full 289/1; coverage 87.57%; validation 5/5; Ruff; baseline 9/9; demo 2/2</x:v>
      </x:c>
      <x:c r="H103" s="431" t="str">
        <x:v>Accepted by the CEO on 2026-07-20. PR #52 merged the stabilization at exact main 0611d916. The accepted authority permitted exactly one unchanged NASA/JPL audit and required a stop before OpenFlexure.</x:v>
      </x:c>
    </x:row>
    <x:row r="104" ht="585" customHeight="1">
      <x:c r="A104" s="431" t="str">
        <x:v>D-101</x:v>
      </x:c>
      <x:c r="B104" s="431" t="n">
        <x:v>46223</x:v>
      </x:c>
      <x:c r="C104" s="431" t="str">
        <x:v>Accept the single D-100 NASA/JPL observation as matching its exact contract. Close I-004, retain IMP-017, and authorize exactly one unchanged OpenFlexure audit before check 8 or any deferred capability.</x:v>
      </x:c>
      <x:c r="D104" s="431" t="str">
        <x:v>NASA/JPL completed on its one authorized invocation with the expected missing_authoritative_information state, release hold true, exit 3, and four schema-valid outputs. Inputs remained exact and OpenFlexure was not run. One controlled OpenFlexure observation is now the smallest useful next proof.</x:v>
      </x:c>
      <x:c r="E104" s="431" t="str">
        <x:v>Accepted</x:v>
      </x:c>
      <x:c r="F104" s="431" t="str">
        <x:v>OpenFlexure controlled audit gate</x:v>
      </x:c>
      <x:c r="G104" s="431" t="str">
        <x:v>docs/package_assurance/nasa_jpl_public_audit_confirmation_review_2026-07-20.md; EV-107-EV-110; I-004; IMP-016-IMP-017; RUN-20260721T001431760486Z-4f1b9817; focused 53; full 289/1; coverage 87.57%; validation 5/5; Ruff; baseline 9/9; demo 2/2</x:v>
      </x:c>
      <x:c r="H104" s="431" t="str">
        <x:v>Accepted by the CEO on 2026-07-20. PR #53 merged the NASA/JPL confirmation at exact main 65c9699b. The accepted authority closed I-004, retained IMP-017, and permitted exactly one unchanged OpenFlexure audit with a mandatory stop before check 8.</x:v>
      </x:c>
    </x:row>
    <x:row r="105" ht="612" customHeight="1">
      <x:c r="A105" s="431" t="str">
        <x:v>D-102</x:v>
      </x:c>
      <x:c r="B105" s="431" t="n">
        <x:v>46223</x:v>
      </x:c>
      <x:c r="C105" s="431" t="str">
        <x:v>Accept the single D-101 OpenFlexure observation and close the dual public-package sequence. Adopt package-scoped finding identity for future aggregation and authorize only check 8, equipment_datasheet_authority_presence, next.</x:v>
      </x:c>
      <x:c r="D105" s="431" t="str">
        <x:v>OpenFlexure matched the exact missing-authority state, hold, exit, schema, and four-output contract from unchanged inputs. Both public packages now prove safe real-world intake and refusal, but not relationship-fault detection because authority blocked every check. Check 8 is the next accepted structured slice and the fastest controlled path back to product breadth.</x:v>
      </x:c>
      <x:c r="E105" s="431" t="str">
        <x:v>Accepted</x:v>
      </x:c>
      <x:c r="F105" s="431" t="str">
        <x:v>Dual public observation closeout and check 8 gate</x:v>
      </x:c>
      <x:c r="G105" s="431" t="str">
        <x:v>docs/package_assurance/openflexure_public_audit_confirmation_review_2026-07-20.md; EV-111-EV-115; I-004; IMP-016-IMP-018; RUN-20260721T004222043918Z-254a2eca; focused 53; full 289/1; coverage 87.57%; validation 5/5; Ruff; baseline 9/9; demo 2/2</x:v>
      </x:c>
      <x:c r="H105" s="431" t="str">
        <x:v>Accepted by the CEO on 2026-07-20. PR #54 merged the OpenFlexure confirmation at exact main b0b32bb. The accepted authority closed the dual public-package sequence, adopted package-scoped finding identity for future aggregation, and authorized check 8 only under exact AUTH-SPEC-001.</x:v>
      </x:c>
    </x:row>
    <x:row r="106" ht="612" customHeight="1">
      <x:c r="A106" s="431" t="str">
        <x:v>D-103</x:v>
      </x:c>
      <x:c r="B106" s="431" t="n">
        <x:v>46223</x:v>
      </x:c>
      <x:c r="C106" s="431" t="str">
        <x:v>Accept check 8, equipment_datasheet_authority_presence, as matching D-102. Merge the implementation and authorize only check 9, equipment_datasheet_association, next under exact AUTH-SPEC-001.</x:v>
      </x:c>
      <x:c r="D106" s="431" t="str">
        <x:v>Check 8 passes the clean package and detects zero or competing authoritative datasheet records with deterministic evidence, missing-authority state, release hold, exit 3, and four consistent outputs. Check 9 is the next bounded value step because it compares the BOM datasheet ID with the single authority record established by check 8.</x:v>
      </x:c>
      <x:c r="E106" s="431" t="str">
        <x:v>Accepted</x:v>
      </x:c>
      <x:c r="F106" s="431" t="str">
        <x:v>Equipment/datasheet association gate</x:v>
      </x:c>
      <x:c r="G106" s="431" t="str">
        <x:v>docs/package_assurance/equipment_datasheet_authority_presence_implementation_review_2026-07-20.md; EV-116-EV-119; IMP-013-IMP-015; clean RUN-20260721T025957813425Z-a7aee64f; fault RUN-20260721T025913235840Z-be4840eb; focused 111; full 295/1; coverage 87.71%; validation 5/5; Ruff; baseline 9/9; demo 2/2</x:v>
      </x:c>
      <x:c r="H106" s="431" t="str">
        <x:v>Accepted by the CEO on 2026-07-20. PR #55 passed both GitHub validation checks and merged check 8 at exact main fb0113d, authorizing only check 9 under exact AUTH-SPEC-001.</x:v>
      </x:c>
    </x:row>
    <x:row r="107" ht="648" customHeight="1">
      <x:c r="A107" s="431" t="str">
        <x:v>D-104</x:v>
      </x:c>
      <x:c r="B107" s="431" t="n">
        <x:v>46223</x:v>
      </x:c>
      <x:c r="C107" s="431" t="str">
        <x:v>Accept check 9, equipment_datasheet_association, as matching D-103. Merge the implementation and authorize one narrow Windows publication-resilience stabilization before check 10.</x:v>
      </x:c>
      <x:c r="D107" s="431" t="str">
        <x:v>Check 9 detects the accepted wrong-but-valid BOM datasheet reference through the complete result path. One transient PermissionError during the final atomic rename was preserved and then cleared on an unchanged invocation. Reliable publication should be stabilized before expanding to check 10.</x:v>
      </x:c>
      <x:c r="E107" s="431" t="str">
        <x:v>Accepted</x:v>
      </x:c>
      <x:c r="F107" s="431" t="str">
        <x:v>Check-9 acceptance and publication-resilience gate</x:v>
      </x:c>
      <x:c r="G107" s="431" t="str">
        <x:v>docs/package_assurance/equipment_datasheet_association_implementation_review_2026-07-20.md; EV-120-EV-124; I-005; IMP-019; clean RUN-20260721T034251280706Z-6efeff51; fault RUN-20260721T034329189347Z-dc3cd02a; preserved failed RUN-20260721T034252120538Z-fa89f942; focused 88; full 299/1; coverage 87.86%; validation 5/5; Ruff; baseline 9/9; demo 2/2</x:v>
      </x:c>
      <x:c r="H107" s="431" t="str">
        <x:v>Accepted by the CEO on 2026-07-21. PR #56 passed both GitHub validation checks and merged check 9 at exact main 7146b23. The accepted authority approved one narrow final-rename publication-resilience stabilization before check 10.</x:v>
      </x:c>
    </x:row>
    <x:row r="108" ht="639" customHeight="1">
      <x:c r="A108" s="431" t="str">
        <x:v>D-105</x:v>
      </x:c>
      <x:c r="B108" s="431" t="n">
        <x:v>46224</x:v>
      </x:c>
      <x:c r="C108" s="431" t="str">
        <x:v>Accept the bounded final-rename publication-resilience stabilization as matching D-104. Close I-005 as controlled, retain IMP-019 as a permanent regression rule, and authorize only check 10, equipment_datasheet_manifest_reciprocity, next.</x:v>
      </x:c>
      <x:c r="D108" s="431" t="str">
        <x:v>Only PermissionError during the final same-parent rename receives five total attempts over 0.75 seconds. Collisions and other errors never retry; exhaustion preserves failure evidence and exit 70. Injected tests and 20 consecutive Windows audits prove the intended boundary without changing audit semantics.</x:v>
      </x:c>
      <x:c r="E108" s="431" t="str">
        <x:v>Accepted</x:v>
      </x:c>
      <x:c r="F108" s="431" t="str">
        <x:v>Publication resilience acceptance and check-10 gate</x:v>
      </x:c>
      <x:c r="G108" s="431" t="str">
        <x:v>docs/package_assurance/publication_resilience_stabilization_review_2026-07-21.md; EV-125-EV-128; I-005; IMP-019; Windows audit 20/20; focused 24; full 304/1; coverage 88.08%; validation 5/5; Ruff; baseline 9/9; demo 2/2</x:v>
      </x:c>
      <x:c r="H108" s="431" t="str">
        <x:v>Accepted by the CEO on 2026-07-21. PR #57 passed both GitHub validation checks and merged the bounded publication stabilization at exact main dbcd242. I-005 closed as controlled, IMP-019 was retained, and check 10 was authorized under exact AUTH-SPEC-001.</x:v>
      </x:c>
    </x:row>
    <x:row r="109" ht="675" customHeight="1">
      <x:c r="A109" s="431" t="str">
        <x:v>D-106</x:v>
      </x:c>
      <x:c r="B109" s="431" t="n">
        <x:v>46224</x:v>
      </x:c>
      <x:c r="C109" s="431" t="str">
        <x:v>Accept check 10, equipment_datasheet_manifest_reciprocity, as matching D-105 and authorize only check 11, specification_revision_history, next.</x:v>
      </x:c>
      <x:c r="D109" s="431" t="str">
        <x:v>Check 10 compares required authoritative metadata and manifest equipment_to_datasheet mappings in both directions, preserves check 8 authority ownership, emits one stable automatic-fail hold for the isolated wrong-valid target, and reaches all four outputs without changing accepted contracts or protected assets.</x:v>
      </x:c>
      <x:c r="E109" s="431" t="str">
        <x:v>Accepted</x:v>
      </x:c>
      <x:c r="F109" s="431" t="str">
        <x:v>Check-10 acceptance and check-11 gate</x:v>
      </x:c>
      <x:c r="G109" s="431" t="str">
        <x:v>docs/package_assurance/equipment_datasheet_manifest_reciprocity_implementation_review_2026-07-21.md; EV-129-EV-132; clean RUN-20260721T161152356249Z-a4995c89; fault RUN-20260721T161152970951Z-ace6c987; focused 93; full 308/1; coverage 88.27%; validation 5/5; Ruff; baseline 9/9; demo 2/2</x:v>
      </x:c>
      <x:c r="H109" s="431" t="str">
        <x:v>Accepted by the CEO on 2026-07-21. PR #58 passed GitHub CI and merged check 10 at exact main 761ac76. The accepted authority authorized check 11 only under exact AUTH-SPEC-003.</x:v>
      </x:c>
    </x:row>
    <x:row r="110" ht="702" customHeight="1">
      <x:c r="A110" s="431" t="str">
        <x:v>D-107</x:v>
      </x:c>
      <x:c r="B110" s="431" t="n">
        <x:v>46224</x:v>
      </x:c>
      <x:c r="C110" s="431" t="str">
        <x:v>Accept check 11, specification_revision_history, as matching D-106 and authorize only a P2.3 authority-gap disposition and completion-definition block next.</x:v>
      </x:c>
      <x:c r="D110" s="431" t="str">
        <x:v>Check 11 requires every release-required specification revision to match exactly one current revision-history record under exact AUTH-SPEC-003. It emits stable automatic-fail holds for missing, multiple, or mismatched history and reaches all four outputs without changing accepted contracts or protected assets. All six checks supportable by current P2.3 authority are now implemented.</x:v>
      </x:c>
      <x:c r="E110" s="431" t="str">
        <x:v>Accepted</x:v>
      </x:c>
      <x:c r="F110" s="431" t="str">
        <x:v>Check-11 acceptance and P2.3 completion-definition gate</x:v>
      </x:c>
      <x:c r="G110" s="431" t="str">
        <x:v>docs/package_assurance/specification_revision_history_implementation_review_2026-07-21.md; EV-133-EV-136; clean RUN-20260721T164400783739Z-e5fdce3c; fault RUN-20260721T164405746563Z-8ccbbbf1; focused 99; full 314/1; coverage 88.48%; validation 5/5; Ruff; baseline 9/9; demo 2/2</x:v>
      </x:c>
      <x:c r="H110" s="431" t="str">
        <x:v>Accepted by the CEO on 2026-07-21. PR #59 passed both GitHub CI runs and merged check 11 at exact main 69c0d1b. The owner directed the six unsupported claims to be deferred, the v0.3.0 claim to be narrowed to the eleven proven checks, and P4 startup to begin.</x:v>
      </x:c>
    </x:row>
    <x:row r="111" ht="666" customHeight="1">
      <x:c r="A111" s="431" t="str">
        <x:v>D-108</x:v>
      </x:c>
      <x:c r="B111" s="431" t="n">
        <x:v>46224</x:v>
      </x:c>
      <x:c r="C111" s="431" t="str">
        <x:v>Complete P2.3 for the exact eight-gate and eleven-check scope. Explicitly defer the six unsupported authority/source claims, exclude them from v0.3.0 benchmark and release claims, and authorize P4.1 development benchmark regression only.</x:v>
      </x:c>
      <x:c r="D111" s="431" t="str">
        <x:v>All P2.3 checks supported by accepted sources and authority rules are integrated and independently fault-proved. Inventing authority would reduce trust. A narrow claim preserves evidence quality and permits benchmark work without implying unsupported engineering assurance.</x:v>
      </x:c>
      <x:c r="E111" s="431" t="str">
        <x:v>Accepted</x:v>
      </x:c>
      <x:c r="F111" s="431" t="str">
        <x:v>P2.3 completion, claim boundary, and P4.1 entry</x:v>
      </x:c>
      <x:c r="G111" s="431" t="str">
        <x:v>User instruction 2026-07-21; PR #59; exact main 69c0d1b; docs/package_assurance/p2_3_completion_and_claim_boundary_v0.3.0.md; D-107; EV-137-EV-138</x:v>
      </x:c>
      <x:c r="H111" s="431" t="str">
        <x:v>Accepted by the CEO on 2026-07-21. P4.1 may use the accepted development family and temporary/generated fault copies to freeze benchmark behavior. Protected held-out semantic execution remains a separate P4.2 gate after P4.1 acceptance.</x:v>
      </x:c>
    </x:row>
    <x:row r="112" ht="738" customHeight="1">
      <x:c r="A112" s="431" t="str">
        <x:v>D-109</x:v>
      </x:c>
      <x:c r="B112" s="431" t="n">
        <x:v>46224</x:v>
      </x:c>
      <x:c r="C112" s="431" t="str">
        <x:v>Accept P4.1-DEV-1 with genuine full-package development scenarios for the four reachable states, exhaustive router and CLI-exit regression for all six states, and explicit deferral of end-to-end engineering_review_required and evaluator_uncertainty semantic triggers.</x:v>
      </x:c>
      <x:c r="D112" s="431" t="str">
        <x:v>The accepted eight gates and eleven checks do not emit those two states. Manufacturing them through mocked evaluation or edited output would be false evidence; reopening P2 now would expand the accepted pilot after D-108. The bounded variance keeps v0.3.0 useful and honest while preserving future state capability.</x:v>
      </x:c>
      <x:c r="E112" s="431" t="str">
        <x:v>Accepted</x:v>
      </x:c>
      <x:c r="F112" s="431" t="str">
        <x:v>P4.1 acceptance-plan variance and freeze gate</x:v>
      </x:c>
      <x:c r="G112" s="431" t="str">
        <x:v>docs/package_assurance/p4_1_development_benchmark_definition_and_review_v0.3.0.md; P4.1-DEV-1; EV-139-EV-142; IMP-020; 22/22 scenarios; 44/44 publications; 8/8 gates; 11/11 checks; full 319/1; coverage 88.57%; hosted Linux CI 2/2</x:v>
      </x:c>
      <x:c r="H112" s="431" t="str">
        <x:v>Accepted by the project owner on 2026-07-21. Reopen P0/P2 only if six end-to-end semantic paths become mandatory. Keep the two contract-only states excluded from detection claims and separately authorize P4.2 after PR #61 integration.</x:v>
      </x:c>
    </x:row>
    <x:row r="113" ht="720" customHeight="1">
      <x:c r="A113" s="431" t="str">
        <x:v>D-110</x:v>
      </x:c>
      <x:c r="B113" s="431" t="n">
        <x:v>46224</x:v>
      </x:c>
      <x:c r="C113" s="431" t="str">
        <x:v>Classify FAM-HO-INSTRUMENT-AIR-001 as contaminated for release held-out claims after pre-run oracle metadata exposure; preserve it unchanged and unexecuted; require a materially distinct replacement authored and frozen in an isolated custodian context before P4.2 execution.</x:v>
      </x:c>
      <x:c r="D113" s="431" t="str">
        <x:v>Accepted Section 15 makes exposure of expected conditions or answer keys to a rule implementer after freeze disqualifying even when no run or tuning occurs. Preserving the event and replacing the family protects the release claim and prevents a policy waiver from becoming hidden benchmark leakage.</x:v>
      </x:c>
      <x:c r="E113" s="431" t="str">
        <x:v>Proposed</x:v>
      </x:c>
      <x:c r="F113" s="431" t="str">
        <x:v>P4.2 held-out recovery and execution gate</x:v>
      </x:c>
      <x:c r="G113" s="431" t="str">
        <x:v>docs/package_assurance/p4_2_held_out_contamination_and_replacement_gate_v0.3.0.md; PR #61 exact main 5a4d57e; I-006; EV-143-EV-144; IMP-023</x:v>
      </x:c>
      <x:c r="H113" s="431" t="str">
        <x:v>CEO accepts or revises the recovery path. Acceptance authorizes isolated replacement authoring and freeze review only, not semantic execution. Rejecting the classification requires an explicit acceptance-policy change and eliminates the existing release held-out claim.</x:v>
      </x:c>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ht="297" customHeight="1">
      <x:c r="A22" s="431" t="str">
        <x:v>I-004</x:v>
      </x:c>
      <x:c r="B22" s="431" t="str">
        <x:v>Issue</x:v>
      </x:c>
      <x:c r="C22" s="431" t="str">
        <x:v>The first real public-package audit cannot publish a result when accepted optional BOM references are blank: invalid-value findings violate the canonical affected-identifier schema.</x:v>
      </x:c>
      <x:c r="D22" s="431" t="str">
        <x:v>N/A</x:v>
      </x:c>
      <x:c r="E22" s="431" t="str">
        <x:v>High</x:v>
      </x:c>
      <x:c r="F22" s="431" t="str">
        <x:v>Jason</x:v>
      </x:c>
      <x:c r="G22" s="431" t="str">
        <x:v>Retain the optional-blank and canonical-finding regression tests. Preserve both public run records and treat any recurrence as an immediate release stop.</x:v>
      </x:c>
      <x:c r="H22" s="431" t="str">
        <x:v>Closed</x:v>
      </x:c>
      <x:c r="I22" s="431" t="n">
        <x:v>46223</x:v>
      </x:c>
      <x:c r="J22" s="431" t="str">
        <x:v>Closed under accepted D-101. NASA/JPL and OpenFlexure each completed exactly once with the expected state, hold, exit, and four schema-valid outputs; neither produced a malformed-identifier finding.</x:v>
      </x:c>
    </x:row>
    <x:row r="23" ht="324" customHeight="1">
      <x:c r="A23" s="431" t="str">
        <x:v>R-016</x:v>
      </x:c>
      <x:c r="B23" s="431" t="str">
        <x:v>Risk</x:v>
      </x:c>
      <x:c r="C23" s="431" t="str">
        <x:v>Stable semantic finding IDs can repeat across package results, so a future multi-package report or storage layer could collide if it assumes finding_id is globally unique.</x:v>
      </x:c>
      <x:c r="D23" s="431" t="str">
        <x:v>Medium</x:v>
      </x:c>
      <x:c r="E23" s="431" t="str">
        <x:v>Medium</x:v>
      </x:c>
      <x:c r="F23" s="431" t="str">
        <x:v>Jason</x:v>
      </x:c>
      <x:c r="G23" s="431" t="str">
        <x:v>Use package_id plus finding_id as the identity in every future aggregation. Require a separate reviewed contract before changing the accepted per-package finding-ID algorithm.</x:v>
      </x:c>
      <x:c r="H23" s="431" t="str">
        <x:v>Open</x:v>
      </x:c>
      <x:c r="I23" s="431" t="n">
        <x:v>46223</x:v>
      </x:c>
      <x:c r="J23" s="431" t="str">
        <x:v>No current per-package ambiguity exists. NASA/JPL and OpenFlexure both produced FND-1704FCB7F45DFE73 for the same authority gap while retaining distinct package IDs; IMP-018 records the prevention before any aggregation layer exists.</x:v>
      </x:c>
    </x:row>
    <x:row r="24" ht="387" customHeight="1">
      <x:c r="A24" s="431" t="str">
        <x:v>R-017</x:v>
      </x:c>
      <x:c r="B24" s="431" t="str">
        <x:v>Risk</x:v>
      </x:c>
      <x:c r="C24" s="431" t="str">
        <x:v>P0.2 requires six end-to-end package states, while the accepted v0.3.0 evaluator has genuine semantic paths to four. Treating router-only coverage as package evidence would overstate benchmark completeness.</x:v>
      </x:c>
      <x:c r="D24" s="431" t="str">
        <x:v>High</x:v>
      </x:c>
      <x:c r="E24" s="431" t="str">
        <x:v>Medium</x:v>
      </x:c>
      <x:c r="F24" s="431" t="str">
        <x:v>Jason</x:v>
      </x:c>
      <x:c r="G24" s="431" t="str">
        <x:v>Use D-109 as a hard stop. Separate full-audit state coverage from contract-only router coverage in every report and claim. Reopen P0/P2 if six semantic paths remain mandatory.</x:v>
      </x:c>
      <x:c r="H24" s="431" t="str">
        <x:v>Mitigating</x:v>
      </x:c>
      <x:c r="I24" s="431" t="n">
        <x:v>46224</x:v>
      </x:c>
      <x:c r="J24" s="431" t="str">
        <x:v>D-109 accepted the bounded claim on 2026-07-21. P4.1-DEV-1 passes all implemented gate/check scenarios without manufacturing the two missing states; IMP-020 preserves the limitation for P4.2 and release language.</x:v>
      </x:c>
    </x:row>
    <x:row r="25" ht="450" customHeight="1">
      <x:c r="A25" s="431" t="str">
        <x:v>I-006</x:v>
      </x:c>
      <x:c r="B25" s="431" t="str">
        <x:v>Issue</x:v>
      </x:c>
      <x:c r="C25" s="431" t="str">
        <x:v>Pre-run held-out path enumeration and top-level freeze/family-review inspection exposed expected conditions and states to the implementation context, making the existing family ineligible for release held-out claims under accepted policy.</x:v>
      </x:c>
      <x:c r="D25" s="431" t="str">
        <x:v>N/A</x:v>
      </x:c>
      <x:c r="E25" s="431" t="str">
        <x:v>High</x:v>
      </x:c>
      <x:c r="F25" s="431" t="str">
        <x:v>Jason</x:v>
      </x:c>
      <x:c r="G25" s="431" t="str">
        <x:v>Preserve the family unchanged and unexecuted; accept D-110; use an isolated custodian context to author and hash-freeze a materially distinct replacement; prohibit implementer access to every held-out family path before first run.</x:v>
      </x:c>
      <x:c r="H25" s="431" t="str">
        <x:v>Open</x:v>
      </x:c>
      <x:c r="I25" s="431" t="n">
        <x:v>46224</x:v>
      </x:c>
      <x:c r="J25" s="431" t="str">
        <x:v>No protected or scenario-expected content was opened, no semantic audit occurred, and no evaluator behavior changed. This is a governance contamination event, not an evaluator or fixture failure.</x:v>
      </x:c>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was committed at e9e1a31, pushed cleanly, and opened as draft PR #28.</x:v>
      </x:c>
      <x:c r="E50" s="78" t="str">
        <x:v>User decision / Git / Project control</x:v>
      </x:c>
      <x:c r="F50" s="78" t="str">
        <x:v>Codex acceptance message dated 2026-07-17; PR #27; main commit 94d9117; codex/p2.2-relationship-slice-definition at e9e1a31; draft PR #28;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ht="279" customHeight="1">
      <x:c r="A51" s="78" t="str">
        <x:v>EV-048</x:v>
      </x:c>
      <x:c r="B51" s="78" t="n">
        <x:v>46220</x:v>
      </x:c>
      <x:c r="C51" s="78" t="str">
        <x:v>P2.2 first implementation slice</x:v>
      </x:c>
      <x:c r="D51" s="78" t="str">
        <x:v>The accepted drawing_register_metadata_revision v0.3.0 slice is implemented in relationships.py. The clean development package passes with exact CSV/JSON evidence. A temporary drawing-metadata revision mutation from C to A leaves every P2.1 gate passing and emits exactly one stable DRAWING_REVISION_MISMATCH automatic_fail finding with high severity, a release hold, AUTH-DWG-001, DOC-DWG-001 and DWG-PSK-1001, expected C, actual A, document_control ownership, and both frozen locators. Failed P2.1 prerequisites skip the relationship check, and reordered source records preserve semantic finding IDs and order.</x:v>
      </x:c>
      <x:c r="E51" s="78" t="str">
        <x:v>Source / Tests / Project control</x:v>
      </x:c>
      <x:c r="F51" s="78" t="str">
        <x:v>definition commit e9e1a31; draft PR #28; implementation commit f33ef1b; draft PR #29; green GitHub CI; src/mech_eval_harness/package_assurance/{relationships.py,models.py,__init__.py}; tests/test_package_relationships.py; docs/package_assurance/p2_2_relationship_slice_definition_v0.3.0.md; D-051</x:v>
      </x:c>
      <x:c r="G51" s="78" t="str">
        <x:v>P2.2 first relationship-slice implementation</x:v>
      </x:c>
      <x:c r="H51" s="78" t="str">
        <x:v>Ready for acceptance</x:v>
      </x:c>
      <x:c r="I51" s="78" t="str">
        <x:v>Focused package-assurance verification: 30 passed. Full frozen regression: 201 passed, 1 expected Windows symlink skip. Repository validation: 5/5. Ruff: passed. Coverage: 84.64%, above the 80% floor. Both GitHub CI runs on draft PR #29 passed. Accepted schemas, development fixtures, goldens, held-out assets, and historical evidence were unchanged. No package-state routing, report, CLI, semantic held-out execution, or other relationship was added.</x:v>
      </x:c>
    </x:row>
    <x:row r="52" ht="225" customHeight="1">
      <x:c r="A52" s="78" t="str">
        <x:v>EV-049</x:v>
      </x:c>
      <x:c r="B52" s="78" t="n">
        <x:v>46220</x:v>
      </x:c>
      <x:c r="C52" s="78" t="str">
        <x:v>P2.2 first-slice acceptance / integration</x:v>
      </x:c>
      <x:c r="D52" s="78" t="str">
        <x:v>The user merged implementation PR #29 into the accepted definition branch on 2026-07-17. Merge commit d714f4e combines implementation commits f33ef1b and d7c9240 with the accepted definition chain. PR #28 now presents the complete definition-and-implementation diff against main and its two post-merge GitHub CI checks passed. PR #28 remains the required main-integration step.</x:v>
      </x:c>
      <x:c r="E52" s="78" t="str">
        <x:v>User decision / Git / CI / Project control</x:v>
      </x:c>
      <x:c r="F52" s="78" t="str">
        <x:v>PR #29; merge commit d714f4e; codex/p2.2-relationship-slice-definition; combined PR #28; green GitHub CI; D-052</x:v>
      </x:c>
      <x:c r="G52" s="78" t="str">
        <x:v>First P2.2 implementation acceptance and integration readiness</x:v>
      </x:c>
      <x:c r="H52" s="78" t="str">
        <x:v>Ready for integration</x:v>
      </x:c>
      <x:c r="I52" s="78" t="str">
        <x:v>The accepted behavior remains limited to drawing_register_metadata_revision v0.3.0. PR #29 did not merge to main directly because it was stacked on the definition branch. No additional relationship, package-state routing, report, CLI, semantic held-out execution, accepted fixture/golden change, or deferred capability was added.</x:v>
      </x:c>
    </x:row>
    <x:row r="53" ht="234" customHeight="1">
      <x:c r="A53" s="78" t="str">
        <x:v>EV-050</x:v>
      </x:c>
      <x:c r="B53" s="78" t="n">
        <x:v>46220</x:v>
      </x:c>
      <x:c r="C53" s="78" t="str">
        <x:v>P2.2 first-slice integration</x:v>
      </x:c>
      <x:c r="D53" s="78" t="str">
        <x:v>PR #28 merged the complete accepted first P2.2 definition-and-implementation chain to main at 5866212 on 2026-07-17. GitHub records the PR as merged with both CI checks successful. Local main was fast-forwarded to the exact merge commit and remained clean.</x:v>
      </x:c>
      <x:c r="E53" s="78" t="str">
        <x:v>Git / CI / Tests / Project control</x:v>
      </x:c>
      <x:c r="F53" s="78" t="str">
        <x:v>PR #28; merge commit 5866212; main; green GitHub CI; D-053</x:v>
      </x:c>
      <x:c r="G53" s="78" t="str">
        <x:v>First P2.2 relationship-slice main integration</x:v>
      </x:c>
      <x:c r="H53" s="78" t="str">
        <x:v>Accepted</x:v>
      </x:c>
      <x:c r="I53" s="78" t="str">
        <x:v>Exact merged-tree verification: focused package models, gates, and relationships 30 passed; full frozen regression 201 passed and 1 expected Windows symlink skip; repository validation 5/5; Ruff passed; coverage 84.64%. The merged diff contains the reviewed ten-file definition and implementation chain. No protected accepted fixture, golden, held-out content, or historical evidence changed.</x:v>
      </x:c>
    </x:row>
    <x:row r="54" ht="279" customHeight="1">
      <x:c r="A54" s="78" t="str">
        <x:v>EV-051</x:v>
      </x:c>
      <x:c r="B54" s="78" t="n">
        <x:v>46220</x:v>
      </x:c>
      <x:c r="C54" s="78" t="str">
        <x:v>P2.2 second-slice definition</x:v>
      </x:c>
      <x:c r="D54" s="78" t="str">
        <x:v>The proposed drawing metadata presence slice was reviewed against the workflow contract, accepted authority-map example, package-specific development authority map, acceptance plan, loaded source layouts, P2.1 gate boundary, accepted first P2.2 behavior, relationship evidence model, and improvement register. It freezes one register-to-metadata absence result without executable behavior.</x:v>
      </x:c>
      <x:c r="E54" s="78" t="str">
        <x:v>Documentation / Contract review / Project control</x:v>
      </x:c>
      <x:c r="F54" s="78" t="str">
        <x:v>docs/package_assurance/p2_2_drawing_metadata_presence_definition_v0.3.0.md; docs/package_assurance/{workflow_contract_v0.3.0.md,authority_map_example_v0.3.0.json,acceptance_plan_v0.3.0.md,p2_2_relationship_slice_definition_v0.3.0.md}; src/mech_eval_harness/package_assurance/{models.py,relationships.py}; D-054; IMP-009</x:v>
      </x:c>
      <x:c r="G54" s="78" t="str">
        <x:v>Second P2.2 directional relationship-slice definition</x:v>
      </x:c>
      <x:c r="H54" s="78" t="str">
        <x:v>Accepted</x:v>
      </x:c>
      <x:c r="I54" s="78" t="str">
        <x:v>The definition separates automatic-fail missing metadata from missing-authority orphan metadata, freezes check and finding IDs, exact join and membership behavior, negative evidence, stable identity and ordering, check ordering, future routing, acceptance tests, and exclusions. The user accepted it on 2026-07-17. No Python behavior, schema, authority rule, accepted fixture, golden, held-out asset, or historical evidence changed.</x:v>
      </x:c>
    </x:row>
    <x:row r="55" ht="234" customHeight="1">
      <x:c r="A55" s="78" t="str">
        <x:v>EV-052</x:v>
      </x:c>
      <x:c r="B55" s="78" t="n">
        <x:v>46220</x:v>
      </x:c>
      <x:c r="C55" s="78" t="str">
        <x:v>P2.2 second-slice acceptance</x:v>
      </x:c>
      <x:c r="D55" s="78" t="str">
        <x:v>The user explicitly accepted the drawing metadata presence definition on 2026-07-17 and authorized its narrow implementation after PR #30 integration. The definition branch was at 641b86f with two successful GitHub checks, a clean working baseline before acceptance recording, and no executable second-slice behavior.</x:v>
      </x:c>
      <x:c r="E55" s="78" t="str">
        <x:v>User decision / Git / CI / Project control</x:v>
      </x:c>
      <x:c r="F55" s="78" t="str">
        <x:v>User acceptance 2026-07-17; PR #30; codex/p2.2-drawing-counterpart-definition; 641b86f; D-055</x:v>
      </x:c>
      <x:c r="G55" s="78" t="str">
        <x:v>Second P2.2 directional relationship-slice acceptance</x:v>
      </x:c>
      <x:c r="H55" s="78" t="str">
        <x:v>Accepted</x:v>
      </x:c>
      <x:c r="I55" s="78" t="str">
        <x:v>The acceptance preserves the one-directional AUTH-DWG-001 scope and authorizes only drawing_register_metadata_presence v0.3.0 after verified integration. Reverse orphan detection and all broader relationship and downstream capabilities remain blocked.</x:v>
      </x:c>
    </x:row>
    <x:row r="56" ht="243" customHeight="1">
      <x:c r="A56" s="78" t="str">
        <x:v>EV-053</x:v>
      </x:c>
      <x:c r="B56" s="78" t="n">
        <x:v>46220</x:v>
      </x:c>
      <x:c r="C56" s="78" t="str">
        <x:v>P2.2 second-slice integration</x:v>
      </x:c>
      <x:c r="D56" s="78" t="str">
        <x:v>PR #30 merged the accepted drawing metadata presence definition to main at 551200b on 2026-07-17 after two successful GitHub CI checks. Local main was fast-forwarded to that exact commit, verified clean, and used to create codex/p2.2-drawing-metadata-presence-implementation.</x:v>
      </x:c>
      <x:c r="E56" s="78" t="str">
        <x:v>Git / CI / Tests / Project control</x:v>
      </x:c>
      <x:c r="F56" s="78" t="str">
        <x:v>PR #30; merge commit 551200b; main; codex/p2.2-drawing-metadata-presence-implementation; D-056</x:v>
      </x:c>
      <x:c r="G56" s="78" t="str">
        <x:v>Second P2.2 definition integration and implementation readiness</x:v>
      </x:c>
      <x:c r="H56" s="78" t="str">
        <x:v>Accepted</x:v>
      </x:c>
      <x:c r="I56" s="78" t="str">
        <x:v>Exact merged-tree verification: focused package models, gates, and relationships 30 passed; full frozen regression 201 passed and 1 expected Windows symlink skip; repository validation 5/5; Ruff passed; coverage 84.64%. No executable second-slice behavior, accepted fixture, golden, held-out content, or historical evidence changed.</x:v>
      </x:c>
    </x:row>
    <x:row r="57" ht="306" customHeight="1">
      <x:c r="A57" s="78" t="str">
        <x:v>EV-054</x:v>
      </x:c>
      <x:c r="B57" s="78" t="n">
        <x:v>46220</x:v>
      </x:c>
      <x:c r="C57" s="78" t="str">
        <x:v>P2.2 second-slice implementation</x:v>
      </x:c>
      <x:c r="D57" s="78" t="str">
        <x:v>Commit b24ca65 implements drawing_register_metadata_presence v0.3.0 as the second stable relationship check. The clean development package passes. Removing DWMETA-001 in a temporary copy leaves every P2.1 gate passing and emits exactly one DRAWING_METADATA_MISSING finding for DOC-DWG-001 / DWG-PSK-1001 with automatic_fail, high severity, release_hold true, AUTH-DWG-001, document_control ownership, the exact register locator, and the searched metadata /records membership. Removing both metadata records emits two sorted findings. Repeated and reordered runs preserve semantic IDs and normalized collection membership. Failed P2.1 prerequisites skip both checks in stable order.</x:v>
      </x:c>
      <x:c r="E57" s="78" t="str">
        <x:v>Source / Tests / CI / Project control</x:v>
      </x:c>
      <x:c r="F57" s="78" t="str">
        <x:v>commit b24ca65; draft PR #31; codex/p2.2-drawing-metadata-presence-implementation; src/mech_eval_harness/package_assurance/{relationships.py,__init__.py}; tests/test_package_relationships.py; D-057</x:v>
      </x:c>
      <x:c r="G57" s="78" t="str">
        <x:v>Second P2.2 directional relationship-slice implementation</x:v>
      </x:c>
      <x:c r="H57" s="78" t="str">
        <x:v>Ready for acceptance</x:v>
      </x:c>
      <x:c r="I57" s="78" t="str">
        <x:v>Focused package models, gates, and relationships: 35 passed. Full frozen regression: 206 passed, 1 expected Windows symlink skip. Repository validation: 5/5. Ruff: passed. Coverage: 84.93%. Both GitHub CI runs passed. Accepted fixtures, goldens, held-out assets, schemas, authority maps, and historical evidence were unchanged. No reverse orphan detection, package-state routing, report, CLI, semantic held-out execution, or deferred capability was added.</x:v>
      </x:c>
    </x:row>
    <x:row r="58" ht="252" customHeight="1">
      <x:c r="A58" s="78" t="str">
        <x:v>EV-055</x:v>
      </x:c>
      <x:c r="B58" s="78" t="n">
        <x:v>46220</x:v>
      </x:c>
      <x:c r="C58" s="78" t="str">
        <x:v>P2.2 second-slice acceptance</x:v>
      </x:c>
      <x:c r="D58" s="78" t="str">
        <x:v>The user explicitly accepted the drawing_register_metadata_presence v0.3.0 implementation on 2026-07-17 and authorized the necessary version-control and integration work. The accepted branch head was 56368e9, implementation behavior was at b24ca65, PR #31 was mergeable, and both final GitHub CI checks passed.</x:v>
      </x:c>
      <x:c r="E58" s="78" t="str">
        <x:v>User decision / Git / CI / Project control</x:v>
      </x:c>
      <x:c r="F58" s="78" t="str">
        <x:v>User acceptance 2026-07-17; b24ca65; 56368e9; PR #31; codex/p2.2-drawing-metadata-presence-implementation; D-058</x:v>
      </x:c>
      <x:c r="G58" s="78" t="str">
        <x:v>Second P2.2 directional relationship-slice implementation acceptance</x:v>
      </x:c>
      <x:c r="H58" s="78" t="str">
        <x:v>Accepted</x:v>
      </x:c>
      <x:c r="I58" s="78" t="str">
        <x:v>Acceptance is limited to drawing_register_metadata_presence v0.3.0 and its reviewed evidence. PR #31 integration and exact merged-tree verification remain required. No reverse orphan detection, additional relationship, routing, report, CLI, semantic held-out execution, protected-asset change, or deferred capability is authorized.</x:v>
      </x:c>
    </x:row>
    <x:row r="59" ht="261" customHeight="1">
      <x:c r="A59" s="78" t="str">
        <x:v>EV-056</x:v>
      </x:c>
      <x:c r="B59" s="78" t="n">
        <x:v>46220</x:v>
      </x:c>
      <x:c r="C59" s="78" t="str">
        <x:v>P2.2 second-slice main integration</x:v>
      </x:c>
      <x:c r="D59" s="78" t="str">
        <x:v>PR #31 merged the accepted drawing_register_metadata_presence v0.3.0 implementation and acceptance record to main at 36338c0 on 2026-07-17. The merged PR head was 8a5d56a, both final GitHub CI checks passed, local main fast-forwarded to the exact merge commit, and local HEAD matched origin/main with a clean tree.</x:v>
      </x:c>
      <x:c r="E59" s="78" t="str">
        <x:v>Git / CI / Tests / Project control</x:v>
      </x:c>
      <x:c r="F59" s="78" t="str">
        <x:v>PR #31; head 8a5d56a; merge commit 36338c0; main; D-059</x:v>
      </x:c>
      <x:c r="G59" s="78" t="str">
        <x:v>Second P2.2 directional relationship-slice integration</x:v>
      </x:c>
      <x:c r="H59" s="78" t="str">
        <x:v>Accepted</x:v>
      </x:c>
      <x:c r="I59" s="78" t="str">
        <x:v>Exact merged-tree verification: focused package models, gates, and relationships 35 passed; full frozen regression 206 passed and 1 expected Windows symlink skip; repository validation 5/5; Ruff passed; coverage 84.93%. No protected accepted fixture, golden, held-out content, schema, authority map, or historical evidence changed.</x:v>
      </x:c>
    </x:row>
    <x:row r="60" ht="324" customHeight="1">
      <x:c r="A60" s="78" t="str">
        <x:v>EV-057</x:v>
      </x:c>
      <x:c r="B60" s="78" t="n">
        <x:v>46220</x:v>
      </x:c>
      <x:c r="C60" s="78" t="str">
        <x:v>P2.2 third-slice definition review</x:v>
      </x:c>
      <x:c r="D60" s="78" t="str">
        <x:v>The proposed drawing_metadata_register_authority v0.3.0 definition was reviewed against the workflow contract, authority-map example and package rule AUTH-DWG-001, acceptance plan, both accepted P2.2 definitions and implementations, P2.1 gate boundary, loaded source layouts, current EvidenceLocator serialization, and improvement rule IMP-009. A temporary copy with DOC-DWG-001 removed from the register leaves all eight P2.1 gates and both accepted P2.2 checks passing. A second probe with both register data rows removed also leaves P2.1 passing.</x:v>
      </x:c>
      <x:c r="E60" s="78" t="str">
        <x:v>Documentation / Contract review / Source inspection / Temporary probes / Project control</x:v>
      </x:c>
      <x:c r="F60" s="78" t="str">
        <x:v>docs/package_assurance/p2_2_drawing_metadata_register_authority_definition_v0.3.0.md; docs/package_assurance/{workflow_contract_v0.3.0.md,authority_map_example_v0.3.0.json,acceptance_plan_v0.3.0.md}; src/mech_eval_harness/package_assurance/{models.py,relationships.py}; development drawing_register.csv and drawing_metadata.json; D-060; IMP-009</x:v>
      </x:c>
      <x:c r="G60" s="78" t="str">
        <x:v>Third P2.2 directional missing-authority definition</x:v>
      </x:c>
      <x:c r="H60" s="78" t="str">
        <x:v>Ready for acceptance</x:v>
      </x:c>
      <x:c r="I60" s="78" t="str">
        <x:v>The definition freezes check and finding IDs, the narrow AUTH-DWG-001 current-revision interpretation, exact authority routing, release hold, ownership, join and selection behavior, a contract-compliant row-1 header-anchored CSV membership locator, stable identity and order, third-check sequencing, temporary-copy tests, downstream handoff, and exclusions. No Python behavior, accepted fixture, schema, authority rule, golden, held-out asset, or historical evidence changed.</x:v>
      </x:c>
    </x:row>
    <x:row r="61" ht="288" customHeight="1">
      <x:c r="A61" s="78" t="str">
        <x:v>EV-058</x:v>
      </x:c>
      <x:c r="B61" s="78" t="n">
        <x:v>46220</x:v>
      </x:c>
      <x:c r="C61" s="78" t="str">
        <x:v>P2.2 third-slice definition acceptance</x:v>
      </x:c>
      <x:c r="D61" s="78" t="str">
        <x:v>The user explicitly accepted all three main drawing metadata register authority definition decisions on 2026-07-17 and instructed the project to continue to the next work block. The accepted branch head is b9b9c09, draft PR #32 is mergeable, and both GitHub CI checks pass.</x:v>
      </x:c>
      <x:c r="E61" s="78" t="str">
        <x:v>User decision / Git / CI / Project control</x:v>
      </x:c>
      <x:c r="F61" s="78" t="str">
        <x:v>User acceptance 2026-07-17; b9b9c09; draft PR #32; codex/p2.2-drawing-metadata-orphan-definition; D-061</x:v>
      </x:c>
      <x:c r="G61" s="78" t="str">
        <x:v>Third P2.2 directional missing-authority definition acceptance</x:v>
      </x:c>
      <x:c r="H61" s="78" t="str">
        <x:v>Accepted</x:v>
      </x:c>
      <x:c r="I61" s="78" t="str">
        <x:v>Acceptance covers missing_authoritative_information routing, narrow AUTH-DWG-001 current-revision authority, row-1 header-anchored register collection evidence, and the reviewed acceptance tests. PR #32 integration and exact merged-tree verification remain required. No executable third check, other relationship, routing, report, CLI, semantic held-out execution, protected-asset change, or deferred capability is yet authorized.</x:v>
      </x:c>
    </x:row>
    <x:row r="62" ht="270" customHeight="1">
      <x:c r="A62" s="78" t="str">
        <x:v>EV-059</x:v>
      </x:c>
      <x:c r="B62" s="78" t="n">
        <x:v>46220</x:v>
      </x:c>
      <x:c r="C62" s="78" t="str">
        <x:v>P2.2 third-slice definition integration</x:v>
      </x:c>
      <x:c r="D62" s="78" t="str">
        <x:v>PR #32 merged the accepted drawing_metadata_register_authority v0.3.0 definition and acceptance record to main at 6d1f2f2 on 2026-07-17. The merged PR head was 9eded29, both final GitHub CI checks passed, local main fast-forwarded to the exact merge commit, and local HEAD matched origin/main with a clean tree.</x:v>
      </x:c>
      <x:c r="E62" s="78" t="str">
        <x:v>Git / CI / Tests / Project control</x:v>
      </x:c>
      <x:c r="F62" s="78" t="str">
        <x:v>PR #32; head 9eded29; merge commit 6d1f2f2; main; D-062</x:v>
      </x:c>
      <x:c r="G62" s="78" t="str">
        <x:v>Third P2.2 directional missing-authority definition integration</x:v>
      </x:c>
      <x:c r="H62" s="78" t="str">
        <x:v>Accepted</x:v>
      </x:c>
      <x:c r="I62" s="78" t="str">
        <x:v>Exact merged-tree verification: focused package models, gates, and relationships 35 passed; full frozen regression 206 passed and 1 expected Windows symlink skip; repository validation 5/5; Ruff passed; coverage 84.93%. No executable third check, accepted fixture, golden, held-out content, schema, authority map, or historical evidence changed.</x:v>
      </x:c>
    </x:row>
    <x:row r="63" ht="324" customHeight="1">
      <x:c r="A63" s="78" t="str">
        <x:v>EV-060</x:v>
      </x:c>
      <x:c r="B63" s="78" t="n">
        <x:v>46220</x:v>
      </x:c>
      <x:c r="C63" s="78" t="str">
        <x:v>P2.2 third-slice implementation</x:v>
      </x:c>
      <x:c r="D63" s="78" t="str">
        <x:v>Commit 8eb431d implements drawing_metadata_register_authority v0.3.0 as the third stable relationship check. The clean package passes. Removing DOC-DWG-001 from a temporary register leaves all eight P2.1 gates and both earlier P2.2 checks passing, then emits exactly one DRAWING_REGISTER_AUTHORITY_MISSING result for DOC-DWG-001 / DWG-PSK-1001 with missing_authoritative_information, high severity, release_hold true, AUTH-DWG-001, document_control ownership, the exact metadata locator, and searched register membership anchored to row 1. Empty-register and reordered-source tests prove sorted, repeatable findings and normalized evidence. Draft PR #33 is open with both GitHub CI runs green.</x:v>
      </x:c>
      <x:c r="E63" s="78" t="str">
        <x:v>Source / Tests / Project control</x:v>
      </x:c>
      <x:c r="F63" s="78" t="str">
        <x:v>commit 8eb431d; draft PR #33; two green GitHub CI runs; codex/p2.2-drawing-metadata-register-authority-implementation; src/mech_eval_harness/package_assurance/{relationships.py,__init__.py}; tests/test_package_relationships.py; D-063</x:v>
      </x:c>
      <x:c r="G63" s="78" t="str">
        <x:v>Third P2.2 directional missing-authority implementation</x:v>
      </x:c>
      <x:c r="H63" s="78" t="str">
        <x:v>Ready for acceptance</x:v>
      </x:c>
      <x:c r="I63" s="78" t="str">
        <x:v>Relationship tests: 14 passed. Focused package models, gates, and relationships: 40 passed. Full frozen regression: 211 passed, 1 expected Windows symlink skip. Repository validation: 5/5. Ruff: passed. Coverage: 85.18%. Accepted fixtures, goldens, held-out assets, schemas, authority maps, and historical evidence were unchanged. No package-state routing, report, CLI, semantic held-out execution, or deferred capability was added.</x:v>
      </x:c>
    </x:row>
    <x:row r="64" ht="315" customHeight="1">
      <x:c r="A64" s="78" t="str">
        <x:v>EV-061</x:v>
      </x:c>
      <x:c r="B64" s="78" t="n">
        <x:v>46220</x:v>
      </x:c>
      <x:c r="C64" s="78" t="str">
        <x:v>P2.2 third-slice implementation acceptance</x:v>
      </x:c>
      <x:c r="D64" s="78" t="str">
        <x:v>The user explicitly accepted drawing_metadata_register_authority v0.3.0 implementation changes on 2026-07-17 and instructed the project to continue to the next work block. The accepted implementation is 8eb431d; branch head 3663a68 includes reviewed control evidence; draft PR #33 is mergeable; and both final GitHub CI checks pass.</x:v>
      </x:c>
      <x:c r="E64" s="78" t="str">
        <x:v>User decision / Git / CI / Project control</x:v>
      </x:c>
      <x:c r="F64" s="78" t="str">
        <x:v>User acceptance 2026-07-17; implementation 8eb431d; head 3663a68; draft PR #33; codex/p2.2-drawing-metadata-register-authority-implementation; D-064</x:v>
      </x:c>
      <x:c r="G64" s="78" t="str">
        <x:v>Third P2.2 directional missing-authority implementation acceptance</x:v>
      </x:c>
      <x:c r="H64" s="78" t="str">
        <x:v>Accepted</x:v>
      </x:c>
      <x:c r="I64" s="78" t="str">
        <x:v>Acceptance is limited to the reviewed third check and its exact evidence. PR #33 integration and exact merged-tree verification remain required. Only a subsequent definition block for the next bounded P2.2 relationship gap is authorized after integration; no additional executable relationship, routing, report, CLI, semantic held-out execution, protected-asset change, or deferred capability is authorized.</x:v>
      </x:c>
    </x:row>
    <x:row r="65" ht="279" customHeight="1">
      <x:c r="A65" s="78" t="str">
        <x:v>EV-062</x:v>
      </x:c>
      <x:c r="B65" s="78" t="n">
        <x:v>46220</x:v>
      </x:c>
      <x:c r="C65" s="78" t="str">
        <x:v>P2.2 third-slice main integration</x:v>
      </x:c>
      <x:c r="D65" s="78" t="str">
        <x:v>PR #33 merged the accepted drawing_metadata_register_authority v0.3.0 implementation and acceptance record to main at 8d7f314 on 2026-07-17. The merged PR head was 4067334, both final GitHub CI checks passed, local main fast-forwarded to the exact merge commit, and local HEAD matched origin/main with a clean tree.</x:v>
      </x:c>
      <x:c r="E65" s="78" t="str">
        <x:v>Git / CI / Tests / Project control</x:v>
      </x:c>
      <x:c r="F65" s="78" t="str">
        <x:v>PR #33; implementation 8eb431d; head 4067334; merge commit 8d7f314; main; D-065</x:v>
      </x:c>
      <x:c r="G65" s="78" t="str">
        <x:v>Third P2.2 directional missing-authority integration</x:v>
      </x:c>
      <x:c r="H65" s="78" t="str">
        <x:v>Accepted</x:v>
      </x:c>
      <x:c r="I65" s="78" t="str">
        <x:v>Exact merged-tree verification: focused package models, gates, and relationships 40 passed; full frozen regression 211 passed and 1 expected Windows symlink skip; repository validation 5/5; Ruff passed; coverage 85.37%. No protected accepted fixture, golden, held-out content, schema, authority map, or historical evidence changed.</x:v>
      </x:c>
    </x:row>
    <x:row r="66" ht="360" customHeight="1">
      <x:c r="A66" s="78" t="str">
        <x:v>EV-063</x:v>
      </x:c>
      <x:c r="B66" s="78" t="n">
        <x:v>46220</x:v>
      </x:c>
      <x:c r="C66" s="78" t="str">
        <x:v>P2.2 fourth-slice definition review</x:v>
      </x:c>
      <x:c r="D66" s="78" t="str">
        <x:v>The proposed drawing_register_metadata_file_reference v0.3.0 definition was reviewed against the workflow contract, exact authority rule AUTH-DWG-002, accepted authority-map example and development package authority map, P2.1 gate boundary, loaded manifest and source layouts, current EvidenceLocator serialization, and all three integrated P2.2 checks. A temporary development-package copy changed only DWMETA-001.file_ref_id from FILE-DWG-001 to existing FILE-DWG-002. All eight P2.1 gates and all three current relationship checks passed. Both references resolved inside the package to different controlled drawing paths. Definition commit d46d56f is published on mergeable draft PR #34 and both initial GitHub CI runs pass.</x:v>
      </x:c>
      <x:c r="E66" s="78" t="str">
        <x:v>Documentation / Contract review / Source inspection / Temporary probe / Project control</x:v>
      </x:c>
      <x:c r="F66" s="78" t="str">
        <x:v>definition commit d46d56f; draft PR #34; two green initial GitHub CI runs; docs/package_assurance/p2_2_drawing_file_reference_definition_v0.3.0.md; docs/package_assurance/{workflow_contract_v0.3.0.md,authority_map_example_v0.3.0.json}; development authority map, drawing_register.csv, drawing_metadata.json, package_manifest.json; src/mech_eval_harness/package_assurance/{models.py,relationships.py,gates.py}; D-066; IMP-010</x:v>
      </x:c>
      <x:c r="G66" s="78" t="str">
        <x:v>Fourth P2.2 drawing file-reference agreement definition</x:v>
      </x:c>
      <x:c r="H66" s="78" t="str">
        <x:v>Ready for acceptance</x:v>
      </x:c>
      <x:c r="I66" s="78" t="str">
        <x:v>The definition freezes ten review decisions, exact check and finding IDs, AUTH-DWG-002 conflict routing, stable selection and identity, four-locator evidence, fourth-check ordering, temporary-copy tests, downstream handoff, module boundary, and explicit exclusions. It records that shared undeclared references and full manifest reciprocity remain separate gaps. No Python behavior, accepted fixture, schema, authority rule, golden, held-out asset, or historical evidence changed.</x:v>
      </x:c>
    </x:row>
    <x:row r="67" ht="333" customHeight="1">
      <x:c r="A67" s="78" t="str">
        <x:v>EV-064</x:v>
      </x:c>
      <x:c r="B67" s="78" t="n">
        <x:v>46220</x:v>
      </x:c>
      <x:c r="C67" s="78" t="str">
        <x:v>P2.2 fourth-slice definition acceptance</x:v>
      </x:c>
      <x:c r="D67" s="78" t="str">
        <x:v>The user explicitly accepted the complete drawing_register_metadata_file_reference v0.3.0 definition on 2026-07-17 and instructed the project to continue. Acceptance covers the exact AUTH-DWG-002 conflict classification, four-locator evidence, stable order and identity, acceptance tests, module boundary, and explicit exclusions. Definition commit d46d56f is on draft PR #34 at reviewed head c15d42c; the PR is mergeable and both final pre-acceptance CI checks pass.</x:v>
      </x:c>
      <x:c r="E67" s="78" t="str">
        <x:v>User decision / Git / CI / Project control</x:v>
      </x:c>
      <x:c r="F67" s="78" t="str">
        <x:v>User acceptance 2026-07-17; definition d46d56f; head c15d42c; draft PR #34; two green GitHub CI runs; D-067</x:v>
      </x:c>
      <x:c r="G67" s="78" t="str">
        <x:v>Fourth P2.2 drawing file-reference agreement definition acceptance</x:v>
      </x:c>
      <x:c r="H67" s="78" t="str">
        <x:v>Accepted</x:v>
      </x:c>
      <x:c r="I67" s="78" t="str">
        <x:v>PR #34 integration and exact merged-tree verification remain required before implementation. Authorization is limited to the accepted fourth check. Shared undeclared references, manifest reciprocity, additional relationships, package-state routing, reports, CLI, semantic held-out execution, protected-asset changes, and deferred capabilities remain blocked.</x:v>
      </x:c>
    </x:row>
    <x:row r="68" ht="306" customHeight="1">
      <x:c r="A68" s="78" t="str">
        <x:v>EV-065</x:v>
      </x:c>
      <x:c r="B68" s="78" t="n">
        <x:v>46220</x:v>
      </x:c>
      <x:c r="C68" s="78" t="str">
        <x:v>P2.2 fourth-slice definition integration</x:v>
      </x:c>
      <x:c r="D68" s="78" t="str">
        <x:v>PR #34 merged the accepted drawing_register_metadata_file_reference v0.3.0 definition and acceptance record to main at 12c45dd on 2026-07-17. The merged PR head was 15080d5, both final GitHub CI checks passed, local main fast-forwarded to the exact merge commit, and local HEAD matched origin/main with a clean tree before the implementation branch was created.</x:v>
      </x:c>
      <x:c r="E68" s="78" t="str">
        <x:v>Git / CI / Tests / Project control</x:v>
      </x:c>
      <x:c r="F68" s="78" t="str">
        <x:v>PR #34; definition d46d56f; accepted head 15080d5; merge commit 12c45dd; main; D-068</x:v>
      </x:c>
      <x:c r="G68" s="78" t="str">
        <x:v>Fourth P2.2 drawing file-reference definition integration</x:v>
      </x:c>
      <x:c r="H68" s="78" t="str">
        <x:v>Accepted</x:v>
      </x:c>
      <x:c r="I68" s="78" t="str">
        <x:v>Exact merged-tree verification: focused package models, gates, and relationships 40 passed; full frozen regression 211 passed and 1 expected Windows symlink skip; repository validation 5/5; Ruff passed; coverage 85.37%. No executable fourth check, accepted fixture, golden, held-out content, schema, authority map, or historical evidence changed on the integration baseline.</x:v>
      </x:c>
    </x:row>
    <x:row r="69" ht="387" customHeight="1">
      <x:c r="A69" s="78" t="str">
        <x:v>EV-066</x:v>
      </x:c>
      <x:c r="B69" s="78" t="n">
        <x:v>46220</x:v>
      </x:c>
      <x:c r="C69" s="78" t="str">
        <x:v>P2.2 fourth-slice implementation</x:v>
      </x:c>
      <x:c r="D69" s="78" t="str">
        <x:v>Commit 74970c3 implements drawing_register_metadata_file_reference v0.3.0 as the fourth ordered relationship check. The clean package compares both exact drawing pairs and passes with deterministic source-field and manifest-resolution evidence. Changing only DWMETA-001.file_ref_id from FILE-DWG-001 to existing FILE-DWG-002 in a temporary copy leaves all eight P2.1 gates and the first three P2.2 checks passing, then emits exactly one DRAWING_FILE_REFERENCE_MISMATCH automatic-fail high-severity release hold with AUTH-DWG-002, document_control ownership, four exact locators, and no absolute path. Swapped references emit two sorted findings; repeated and reordered runs preserve substantive IDs and normalized evidence; a renamed authority rule skips only the dependent fourth check.</x:v>
      </x:c>
      <x:c r="E69" s="78" t="str">
        <x:v>Source / Tests / CI / Project control</x:v>
      </x:c>
      <x:c r="F69" s="78" t="str">
        <x:v>implementation commit 74970c3; draft PR #35; two green GitHub CI checks; codex/p2.2-drawing-file-reference-implementation; src/mech_eval_harness/package_assurance/{relationships.py,__init__.py}; tests/test_package_relationships.py; D-069; IMP-010-IMP-011</x:v>
      </x:c>
      <x:c r="G69" s="78" t="str">
        <x:v>Fourth P2.2 drawing file-reference agreement implementation</x:v>
      </x:c>
      <x:c r="H69" s="78" t="str">
        <x:v>Accepted</x:v>
      </x:c>
      <x:c r="I69" s="78" t="str">
        <x:v>Relationship tests: 19 passed. Focused package models, gates, and relationships: 45 passed. Full frozen regression: 216 passed, 1 expected Windows symlink skip. Repository validation: 5/5. Ruff: passed. Coverage: 85.47%. GitHub CI passed; D-070 accepted the implementation and D-071 closed integration at exact main e5db29e. Accepted fixtures, goldens, held-out assets, schemas, authority maps, and historical evidence are unchanged. No undeclared-reference control, manifest reciprocity, package-state routing, report, CLI, semantic held-out execution, or deferred capability was added.</x:v>
      </x:c>
    </x:row>
    <x:row r="70" ht="342" customHeight="1">
      <x:c r="A70" s="78" t="str">
        <x:v>EV-067</x:v>
      </x:c>
      <x:c r="B70" s="78" t="n">
        <x:v>46222</x:v>
      </x:c>
      <x:c r="C70" s="78" t="str">
        <x:v>P2.2 fourth-slice implementation acceptance</x:v>
      </x:c>
      <x:c r="D70" s="78" t="str">
        <x:v>The user explicitly accepted all drawing_register_metadata_file_reference v0.3.0 implementation and evidence changes on 2026-07-19 and authorized commit, push, acceptance, and integration. The accepted behavior is implementation commit 74970c3; evidence commit cce416e records the local review package; draft PR #35 was clean, mergeable, and had two successful pre-acceptance GitHub CI checks.</x:v>
      </x:c>
      <x:c r="E70" s="78" t="str">
        <x:v>User decision / Git / CI / Project control</x:v>
      </x:c>
      <x:c r="F70" s="78" t="str">
        <x:v>User acceptance 2026-07-19; implementation 74970c3; evidence cce416e; draft PR #35; two green GitHub CI checks; codex/p2.2-drawing-file-reference-implementation; D-070</x:v>
      </x:c>
      <x:c r="G70" s="78" t="str">
        <x:v>Fourth P2.2 drawing file-reference agreement implementation acceptance</x:v>
      </x:c>
      <x:c r="H70" s="78" t="str">
        <x:v>Accepted</x:v>
      </x:c>
      <x:c r="I70" s="78" t="str">
        <x:v>Acceptance covers only the reviewed exact-pair AUTH-DWG-002 check, finding classification, four-locator evidence, stable identity/order, prerequisite behavior, exact authority requirement, tests, and preserved boundaries. PR #35 integration and exact merged-tree verification remain required. No undeclared-reference control, manifest reciprocity, other relationship, package-state router, report, CLI behavior, semantic held-out execution, or deferred capability is authorized.</x:v>
      </x:c>
    </x:row>
    <x:row r="71" ht="360" customHeight="1">
      <x:c r="A71" s="78" t="str">
        <x:v>EV-068</x:v>
      </x:c>
      <x:c r="B71" s="78" t="n">
        <x:v>46222</x:v>
      </x:c>
      <x:c r="C71" s="78" t="str">
        <x:v>P2.2 fourth-slice integration closeout</x:v>
      </x:c>
      <x:c r="D71" s="78" t="str">
        <x:v>PR #35 integrated the accepted drawing_register_metadata_file_reference v0.3.0 implementation and evidence to main at e5db29e on 2026-07-19. The accepted PR head was 5d02872, GitHub recorded the PR as merged, local HEAD exactly matched origin/main, and the working tree was clean before the control-only closeout branch was created.</x:v>
      </x:c>
      <x:c r="E71" s="78" t="str">
        <x:v>Git / CI / Tests / Project control</x:v>
      </x:c>
      <x:c r="F71" s="78" t="str">
        <x:v>PR #35; implementation 74970c3; evidence cce416e; accepted head 5d02872; merge commit e5db29e; main; D-071</x:v>
      </x:c>
      <x:c r="G71" s="78" t="str">
        <x:v>Fourth P2.2 drawing file-reference implementation integration</x:v>
      </x:c>
      <x:c r="H71" s="78" t="str">
        <x:v>Accepted</x:v>
      </x:c>
      <x:c r="I71" s="78" t="str">
        <x:v>Exact merged-tree verification: relationship tests 19 passed; focused package models, gates, and relationships 45 passed; full frozen regression 216 passed and 1 expected Windows symlink skip; repository validation 5/5; Ruff passed; coverage 85.47%. Final GitHub CI reported 2/2 checks successful. The PR diff changed only the reviewed relationship source/exports/tests, current control documents, Gantt, and improvement register. Accepted fixtures, schemas, authority maps, goldens, held-out assets, release evidence, and historical records were unchanged.</x:v>
      </x:c>
    </x:row>
    <x:row r="72" ht="378" customHeight="1">
      <x:c r="A72" s="431" t="str">
        <x:v>EV-069</x:v>
      </x:c>
      <x:c r="B72" s="431" t="n">
        <x:v>46222</x:v>
      </x:c>
      <x:c r="C72" s="431" t="str">
        <x:v>First usable package-audit vertical-slice definition review package</x:v>
      </x:c>
      <x:c r="D72" s="431" t="str">
        <x:v>Architecture and management review traced the controlling Gantt, accepted workflow and acceptance contracts, eight P2.1 gates, four P2.2 checks, current intermediate result models, frozen v0.2 persistence and CLI, authority map, and clean development manifest. The review confirms that the current sequence delays all useful outputs behind broad rule expansion; identifies drawing-to-manifest reciprocity as the smallest remaining declaration gap; reuses existing AUTH-DWG-002 without changing protected authority maps; freezes state, completeness, output, failure, reproducibility, and CLI boundaries; and records the final-finding interface clarification required for an honest issue register.</x:v>
      </x:c>
      <x:c r="E72" s="431" t="str">
        <x:v>Architecture / Contract / Source / Project control</x:v>
      </x:c>
      <x:c r="F72" s="431" t="str">
        <x:v>docs/package_assurance/first_usable_audit_vertical_slice_definition_v0.3.0.md; main a18fc5f; codex/first-usable-audit-definition; gantt Start Here/AI Context/Pilot Gantt; workflow_contract_v0.3.0.md; acceptance_plan_v0.3.0.md; authority_map_example_v0.3.0.json; models.py; gates.py; relationships.py; persistence.py; cli.py; development package_manifest.json; D-072; IMP-012</x:v>
      </x:c>
      <x:c r="G72" s="431" t="str">
        <x:v>First usable audit definition and resequencing review</x:v>
      </x:c>
      <x:c r="H72" s="431" t="str">
        <x:v>Ready for review</x:v>
      </x:c>
      <x:c r="I72" s="431" t="str">
        <x:v>No executable behavior, schema, fixture, authority map, expected result, golden, held-out content, historical evidence, or accepted predecessor changed. Explicit user acceptance is required before implementation. GitHub CLI authentication is not part of product evidence and remains a publication dependency only.</x:v>
      </x:c>
    </x:row>
    <x:row r="73">
      <x:c r="A73" s="78" t="str">
        <x:v>EV-070</x:v>
      </x:c>
      <x:c r="B73" s="78" t="n">
        <x:v>46222</x:v>
      </x:c>
      <x:c r="C73" s="78" t="str">
        <x:v>First usable package-audit definition acceptance</x:v>
      </x:c>
      <x:c r="D73" s="78" t="str">
        <x:v>The user instructed the project to retry GitHub publication and begin the next step on 2026-07-19. All ten decisions in the reviewed vertical-slice definition are accepted. Acceptance authorizes the fifth P2.2 drawing-register-to-manifest reciprocity check on its own branch, followed only through separate review gates by P2.4 result core, P3 report views, P3 CLI integration, and broad P2.3 expansion before P4.</x:v>
      </x:c>
      <x:c r="E73" s="78" t="str">
        <x:v>User decision / Git / Project control</x:v>
      </x:c>
      <x:c r="F73" s="78" t="str">
        <x:v>User instruction 2026-07-19; draft PR #36; definition commit 58ebff7; codex/first-usable-audit-definition; D-072-D-073; EV-069; IMP-012</x:v>
      </x:c>
      <x:c r="G73" s="78" t="str">
        <x:v>First usable audit definition and resequencing acceptance</x:v>
      </x:c>
      <x:c r="H73" s="78" t="str">
        <x:v>Accepted</x:v>
      </x:c>
      <x:c r="I73" s="78" t="str">
        <x:v>No executable behavior, schema, accepted fixture, authority map, expected result, golden, held-out content, historical evidence, or v0.2 asset changed in the definition block. Authorization is limited to drawing_register_manifest_file_reciprocity v0.3.0. Each later implementation block retains its own review and integration gate.</x:v>
      </x:c>
    </x:row>
    <x:row r="74" ht="387" customHeight="1">
      <x:c r="A74" s="431" t="str">
        <x:v>EV-071</x:v>
      </x:c>
      <x:c r="B74" s="431" t="n">
        <x:v>46222</x:v>
      </x:c>
      <x:c r="C74" s="431" t="str">
        <x:v>P2.2 drawing-register-to-manifest reciprocity implementation</x:v>
      </x:c>
      <x:c r="D74" s="431" t="str">
        <x:v>Commit 4f06352 appends drawing_register_manifest_file_reciprocity v0.3.0 as the fifth stable relationship check. The clean development package passes with exact register, inventory, resolved-file, and required-relationship evidence. Temporary copies prove one missing mapping, a wrong-but-valid inventory and relationship target, an added conflicting required mapping, a shared undeclared register/metadata file reference, two sorted missing mappings, stable repeated output, exact AUTH-DWG-002 prerequisite behavior, and no absolute evidence path. Each failed authoritative drawing emits one deterministic DRAWING_DOCUMENT_FILE_RECIPROCITY_FAILED automatic-fail high-severity release hold owned by document_control.</x:v>
      </x:c>
      <x:c r="E74" s="431" t="str">
        <x:v>Source / Tests / Project control</x:v>
      </x:c>
      <x:c r="F74" s="431" t="str">
        <x:v>implementation 4f06352; codex/p2.2-drawing-register-manifest-reciprocity-implementation; accepted definition 0b9fc2e / PR #36; relationships.py; package_assurance/__init__.py; tests/test_package_relationships.py; D-074; IMP-012</x:v>
      </x:c>
      <x:c r="G74" s="431" t="str">
        <x:v>Fifth P2.2 drawing-manifest reciprocity implementation</x:v>
      </x:c>
      <x:c r="H74" s="431" t="str">
        <x:v>Ready for review</x:v>
      </x:c>
      <x:c r="I74" s="431" t="str">
        <x:v>Relationship tests: 25 passed. Focused package models, gates, and relationships: 51 passed. Full frozen regression: 222 passed, 1 expected Windows symlink skip. Repository validation: 5/5. Ruff: passed. Coverage: 85.64%. Accepted fixtures, schemas, authority maps, expected results, goldens, held-out assets, historical evidence, and v0.2 behavior are unchanged. No package-state router, report, CLI, semantic held-out execution, P2.3 expansion, or deferred capability was added. Explicit acceptance and integration remain required before P2.4.</x:v>
      </x:c>
    </x:row>
    <x:row r="75" ht="297" customHeight="1">
      <x:c r="A75" s="431" t="str">
        <x:v>EV-072</x:v>
      </x:c>
      <x:c r="B75" s="431" t="n">
        <x:v>46222</x:v>
      </x:c>
      <x:c r="C75" s="431" t="str">
        <x:v>P2.2 reciprocity acceptance and merge authorization</x:v>
      </x:c>
      <x:c r="D75" s="431" t="str">
        <x:v>The user explicitly accepted the fifth-check work and instructed the project to merge and continue. PR #36 and PR #37 were open, mergeable, and green before integration. The accepted implementation is 4f06352 with control evidence 96219f4.</x:v>
      </x:c>
      <x:c r="E75" s="431" t="str">
        <x:v>User decision / Git / CI / Project control</x:v>
      </x:c>
      <x:c r="F75" s="431" t="str">
        <x:v>User instruction 2026-07-19; PRs #36-#37; implementation 4f06352; evidence 96219f4; D-075</x:v>
      </x:c>
      <x:c r="G75" s="431" t="str">
        <x:v>P2.2 fifth drawing-manifest reciprocity acceptance</x:v>
      </x:c>
      <x:c r="H75" s="431" t="str">
        <x:v>Accepted</x:v>
      </x:c>
      <x:c r="I75" s="431" t="str">
        <x:v>Acceptance covers only the reviewed fifth check and its evidence. Integration and exact merged-tree verification were required before P2.4. No report, CLI, P2.3, held-out semantic, protected-asset, or deferred capability authorization was implied.</x:v>
      </x:c>
    </x:row>
    <x:row r="76" ht="342" customHeight="1">
      <x:c r="A76" s="78" t="str">
        <x:v>EV-073</x:v>
      </x:c>
      <x:c r="B76" s="78" t="n">
        <x:v>46222</x:v>
      </x:c>
      <x:c r="C76" s="78" t="str">
        <x:v>P2.2 reciprocity exact-main integration closeout</x:v>
      </x:c>
      <x:c r="D76" s="78" t="str">
        <x:v>PR #36 merged the accepted first-usable-audit definition at 5b32b6d. PR #37 was retargeted to main and merged the accepted fifth-check implementation at exact main 5571d2a. Local main exactly matched origin/main and the working tree was clean before the closeout branch was created.</x:v>
      </x:c>
      <x:c r="E76" s="78" t="str">
        <x:v>Git / CI / Tests / Project control</x:v>
      </x:c>
      <x:c r="F76" s="78" t="str">
        <x:v>PR #36 5b32b6d; PR #37 5571d2a; implementation 4f06352; evidence 96219f4; main; D-076</x:v>
      </x:c>
      <x:c r="G76" s="78" t="str">
        <x:v>P2.2 fifth drawing-manifest reciprocity integration</x:v>
      </x:c>
      <x:c r="H76" s="78" t="str">
        <x:v>Accepted</x:v>
      </x:c>
      <x:c r="I76" s="78" t="str">
        <x:v>Exact merged-tree verification: relationship tests 25 passed; focused package tests 51 passed; full regression 222 passed with 1 expected Windows symlink skip; repository validation 5/5; Ruff passed; coverage 85.64%; GitHub CI green. A first full-suite attempt under an overlong Windows temp path failed to create nested baseline output and passed unchanged from the shorter ignored scratch path. Protected assets and v0.2 behavior were unchanged.</x:v>
      </x:c>
    </x:row>
    <x:row r="77" ht="369" customHeight="1">
      <x:c r="A77" s="78" t="str">
        <x:v>EV-074</x:v>
      </x:c>
      <x:c r="B77" s="78" t="n">
        <x:v>46222</x:v>
      </x:c>
      <x:c r="C77" s="78" t="str">
        <x:v>P2.4 minimum package-result core implementation</x:v>
      </x:c>
      <x:c r="D77" s="78" t="str">
        <x:v>Commit cbcfc2b builds one deterministic package result from the accepted eight gates and five relationship checks. Completeness rejects missing, duplicate, reordered, and unexplained skipped results. Gate and relationship findings become one canonical list with exact authority or governing-control references. The router retains every observed blocking state in accepted precedence order. The input fingerprint includes sorted declared source and controlled file paths with raw-byte digests and excludes expected, output, and undeclared files. A separate v0.3.0 schema validates clean, controlled-failure, and incomplete-evaluator results before no-overwrite persistence.</x:v>
      </x:c>
      <x:c r="E77" s="78" t="str">
        <x:v>Source / Schema / Tests / Generated result / Project control</x:v>
      </x:c>
      <x:c r="F77" s="78" t="str">
        <x:v>implementation cbcfc2b; codex/p2.4-result-core; predecessor 1e7da37; schemas/package_result.schema.json; src/mech_eval_harness/package_assurance/{result_core.py,persistence.py}; tests/test_package_result_{core,persistence}.py; D-077; IMP-012</x:v>
      </x:c>
      <x:c r="G77" s="78" t="str">
        <x:v>P2.4 required-result completeness, state routing, canonical result, and immutable persistence</x:v>
      </x:c>
      <x:c r="H77" s="78" t="str">
        <x:v>Ready for review</x:v>
      </x:c>
      <x:c r="I77" s="78" t="str">
        <x:v>Focused result tests: 15 passed. Full frozen regression: 237 passed with 1 expected Windows symlink skip. Repository validation: 5/5. Ruff: passed. Coverage: 86.10%. Generated clean and controlled-incomplete package_result.json files were inspected under ignored scratch output. The frozen v0.2 schema and persistence path, accepted fixtures, authority maps, goldens, held-out assets, and historical evidence are unchanged. Reports, CLI, P2.3, semantic held-out execution, and deferred capabilities were not added.</x:v>
      </x:c>
    </x:row>
    <x:row r="78" ht="324" customHeight="1">
      <x:c r="A78" s="78" t="str">
        <x:v>EV-075</x:v>
      </x:c>
      <x:c r="B78" s="78" t="n">
        <x:v>46222</x:v>
      </x:c>
      <x:c r="C78" s="78" t="str">
        <x:v>P2.4 acceptance and exact-main integration closeout</x:v>
      </x:c>
      <x:c r="D78" s="78" t="str">
        <x:v>The user accepted P2.4 and authorized merge and continuation. PR #39 merged implementation cbcfc2b and review evidence 9caef2b at exact main cd9b52e. Local main exactly matched origin/main and was clean before the closeout branch was created.</x:v>
      </x:c>
      <x:c r="E78" s="78" t="str">
        <x:v>User decision / Git / CI / Tests / Project control</x:v>
      </x:c>
      <x:c r="F78" s="78" t="str">
        <x:v>User instruction 2026-07-19; PR #39; implementation cbcfc2b; review evidence 9caef2b; exact main cd9b52e; D-078; IMP-012</x:v>
      </x:c>
      <x:c r="G78" s="78" t="str">
        <x:v>P2.4 package-result core acceptance and integration</x:v>
      </x:c>
      <x:c r="H78" s="78" t="str">
        <x:v>Accepted</x:v>
      </x:c>
      <x:c r="I78" s="78" t="str">
        <x:v>Exact merged-tree verification: 15 focused result tests passed; full frozen regression 237 passed with 1 expected Windows symlink skip; repository validation 5/5; Ruff passed; coverage 86.10%; GitHub CI 2/2 green. The frozen v0.2 schema and persistence path, accepted fixtures, authority maps, goldens, held-out assets, and historical evidence remain unchanged. P3.1 only is authorized next.</x:v>
      </x:c>
    </x:row>
    <x:row r="79" ht="378" customHeight="1">
      <x:c r="A79" s="431" t="str">
        <x:v>EV-076</x:v>
      </x:c>
      <x:c r="B79" s="431" t="n">
        <x:v>46222</x:v>
      </x:c>
      <x:c r="C79" s="431" t="str">
        <x:v>P3.1 deterministic issue-register implementation</x:v>
      </x:c>
      <x:c r="D79" s="431" t="str">
        <x:v>Commit 2f93335 loads one strict schema-valid package_result.json and prepares deterministic CSV and Markdown views from its existing canonical findings. CSV evidence, affected identifiers, and expected/actual values remain parseable JSON. Markdown retains package/run identity, exact finding facts, and the engineering-review limitation. Clean output has one CSV header and zero rows. Rendering neither reruns evaluator logic nor writes report files.</x:v>
      </x:c>
      <x:c r="E79" s="431" t="str">
        <x:v>Source / Tests / Generated report / Project control</x:v>
      </x:c>
      <x:c r="F79" s="431" t="str">
        <x:v>implementation 2f93335; src/mech_eval_harness/package_assurance/issue_register.py; tests/test_package_issue_register.py; first usable audit definition; D-079; IMP-012</x:v>
      </x:c>
      <x:c r="G79" s="431" t="str">
        <x:v>P3.1 CSV and Markdown issue-register views</x:v>
      </x:c>
      <x:c r="H79" s="431" t="str">
        <x:v>Ready for review</x:v>
      </x:c>
      <x:c r="I79" s="431" t="str">
        <x:v>Renderer tests: 11 passed. Focused package-result/report tests: 26 passed. Full frozen regression: 248 passed with 1 expected Windows symlink skip. Repository validation: 5/5. Ruff: passed. Coverage: 86.49%; renderer module 99%. A generated drawing-revision conflict was inspected and round-tripped machine-readable evidence with package-relative paths and no approval language. The initial focused invocation could not create the sandboxed user-temp pytest directory; the unchanged tests passed using an ignored workspace basetemp. No result schema, gate/check behavior, fixture, authority map, golden, held-out asset, v0.2 behavior, or historical evidence changed.</x:v>
      </x:c>
    </x:row>
    <x:row r="80" ht="333" customHeight="1">
      <x:c r="A80" s="431" t="str">
        <x:v>EV-077</x:v>
      </x:c>
      <x:c r="B80" s="431" t="n">
        <x:v>46222</x:v>
      </x:c>
      <x:c r="C80" s="431" t="str">
        <x:v>P3.1 acceptance and exact-main integration closeout</x:v>
      </x:c>
      <x:c r="D80" s="431" t="str">
        <x:v>The user accepted P3.1 and authorized merge. The exact reviewed branch, containing implementation 2f93335 and review evidence 8f66b12, was fast-forwarded to main at 8f66b12. Local main exactly matched origin/main and was clean before the closeout branch was created.</x:v>
      </x:c>
      <x:c r="E80" s="431" t="str">
        <x:v>User decision / Git / Tests / Project control</x:v>
      </x:c>
      <x:c r="F80" s="431" t="str">
        <x:v>User instruction 2026-07-19; implementation 2f93335; review evidence 8f66b12; exact main 8f66b12; D-080; IMP-012</x:v>
      </x:c>
      <x:c r="G80" s="431" t="str">
        <x:v>P3.1 issue-register acceptance and integration</x:v>
      </x:c>
      <x:c r="H80" s="431" t="str">
        <x:v>Accepted</x:v>
      </x:c>
      <x:c r="I80" s="431" t="str">
        <x:v>Exact merged-tree verification: 26 focused package-result/report tests passed; full frozen regression 248 passed with 1 expected Windows symlink skip; repository validation 5/5; Ruff passed; coverage 86.49%. The accepted package-result schema, gate/check behavior, fixtures, authority map, goldens, held-out assets, frozen v0.2 behavior, and historical evidence remain unchanged. P3.2 summary rendering only is authorized next.</x:v>
      </x:c>
    </x:row>
    <x:row r="81" ht="351" customHeight="1">
      <x:c r="A81" s="431" t="str">
        <x:v>EV-078</x:v>
      </x:c>
      <x:c r="B81" s="431" t="n">
        <x:v>46222</x:v>
      </x:c>
      <x:c r="C81" s="431" t="str">
        <x:v>P3.2 deterministic non-approving release-readiness implementation</x:v>
      </x:c>
      <x:c r="D81" s="431" t="str">
        <x:v>Implementation 7536bea shares strict package-result loading with P3.1 and renders one deterministic in-memory Markdown summary from stored result fields only. It reports identity, package state, release hold, blocking states, gate/check status counts, finding counts by state, known output names, the exact limitation, and the required qualified-human decision.</x:v>
      </x:c>
      <x:c r="E81" s="431" t="str">
        <x:v>Source / Tests / Generated report / Project control</x:v>
      </x:c>
      <x:c r="F81" s="431" t="str">
        <x:v>implementation 7536bea; src/mech_eval_harness/package_assurance/release_readiness.py; src/mech_eval_harness/package_assurance/result_view.py; tests/test_package_release_readiness.py; inspected revision-conflict package_result.json and release_readiness.md; D-081; IMP-012</x:v>
      </x:c>
      <x:c r="G81" s="431" t="str">
        <x:v>P3.2 release-readiness implementation</x:v>
      </x:c>
      <x:c r="H81" s="431" t="str">
        <x:v>Ready for review</x:v>
      </x:c>
      <x:c r="I81" s="431" t="str">
        <x:v>Readiness tests: 10 passed. Focused package-result/report tests: 36 passed. Full frozen regression: 258 passed with 1 expected Windows symlink skip. Repository validation: 5/5. Ruff passed. Coverage: 86.75%. The initial focused invocation could not access the sandboxed Windows user-temp pytest directory and failed before tests executed; the unchanged tests passed with a workspace basetemp. Inspected fault evidence: package PKG-DEV-PUMP-SKID-001; automatic_fail; release hold true; blocking state automatic_fail; gates 8/0/0; relationships 4/1/0; one automatic_fail finding; package_result.json link; exact human-review limitation; no absolute path or approval claim. No accepted schema, gate/check behavior, fixture, authority map, golden, held-out asset, frozen v0.2 behavior, or historical evidence changed.</x:v>
      </x:c>
    </x:row>
    <x:row r="82" ht="351" customHeight="1">
      <x:c r="A82" s="431" t="str">
        <x:v>EV-079</x:v>
      </x:c>
      <x:c r="B82" s="431" t="n">
        <x:v>46222</x:v>
      </x:c>
      <x:c r="C82" s="431" t="str">
        <x:v>P3.2 acceptance, exact-main verification, and integration closeout</x:v>
      </x:c>
      <x:c r="D82" s="431" t="str">
        <x:v>The user accepted P3.2. The exact reviewed branch was fast-forwarded to main at 4b848b9 and pushed. Exact-main verification reproduced the accepted deterministic report behavior and preserved the frozen kernel and protected assets.</x:v>
      </x:c>
      <x:c r="E82" s="431" t="str">
        <x:v>User decision / Git / Tests / Project control</x:v>
      </x:c>
      <x:c r="F82" s="431" t="str">
        <x:v>User instruction 2026-07-19; implementation 7536bea; review evidence/main 4b848b9; exact origin/main 4b848b9; D-082; IMP-012</x:v>
      </x:c>
      <x:c r="G82" s="431" t="str">
        <x:v>P3.2 acceptance and integration closeout</x:v>
      </x:c>
      <x:c r="H82" s="431" t="str">
        <x:v>Accepted</x:v>
      </x:c>
      <x:c r="I82" s="431" t="str">
        <x:v>Focused package-result/report tests: 36 passed. Full frozen regression: 258 passed with 1 expected Windows symlink skip. Repository validation: 5/5. Ruff passed. Coverage: 86.75%. Local main exactly matched origin/main and was clean before the closeout branch. The inspected revision-conflict result and readiness summary agreed on package/run identity, automatic_fail state, release hold, blocking state, stored outcome counts, output name, limitation, and required qualified-human decision. No evaluator logic, accepted schema, fixture, authority map, golden, held-out asset, frozen v0.2 behavior, or historical evidence changed. P3.3 alone is authorized next.</x:v>
      </x:c>
    </x:row>
    <x:row r="83" ht="378" customHeight="1">
      <x:c r="A83" s="431" t="str">
        <x:v>EV-080</x:v>
      </x:c>
      <x:c r="B83" s="431" t="n">
        <x:v>46222</x:v>
      </x:c>
      <x:c r="C83" s="431" t="str">
        <x:v>P3.3 atomic audit-package implementation and end-to-end evidence</x:v>
      </x:c>
      <x:c r="D83" s="431" t="str">
        <x:v>Implementation b5f0fcd runs the accepted package pipeline and publishes package_result.json, issue_register.csv, issue_register.md, and release_readiness.md through one hidden staging directory and final atomic rename. Existing runs are not overwritten; failed publication cannot appear under a complete run name; controlled malformed-package results are retained when output remains usable.</x:v>
      </x:c>
      <x:c r="E83" s="431" t="str">
        <x:v>Source / Tests / CLI / Generated runs / Project control</x:v>
      </x:c>
      <x:c r="F83" s="431" t="str">
        <x:v>implementation b5f0fcd; src/mech_eval_harness/package_assurance/audit.py; publication.py; src/mech_eval_harness/cli.py; tests/test_cli_audit_package.py; tests/test_package_audit_publication.py; scratch/p33-evidence clean and removed-mapping fault runs; D-083; IMP-012</x:v>
      </x:c>
      <x:c r="G83" s="431" t="str">
        <x:v>P3.3 audit-package implementation</x:v>
      </x:c>
      <x:c r="H83" s="431" t="str">
        <x:v>Ready for review</x:v>
      </x:c>
      <x:c r="I83" s="431" t="str">
        <x:v>New P3.3 tests: 13 passed. Focused package-result/report/CLI tests: 49 passed. Full frozen regression: 271 passed with 1 expected Windows symlink skip. Repository validation: 5/5. Ruff passed. Coverage: 86.76%. The initial focused invocation used a missing workspace basetemp parent and failed before tests executed; the unchanged tests passed under the ignored scratch basetemp. Inspected clean run: package PKG-DEV-PUMP-SKID-001; automatic_pass; hold false; gates 8/0/0; checks 5/0/0; zero issues; exit 0. Inspected removed-mapping run: automatic_fail; hold true; gates 8/0/0; checks 4/1/0; one DRAWING_DOCUMENT_FILE_RECIPROCITY_FAILED under AUTH-DWG-002; exit 1. Both have exactly four outputs and zero absolute local paths. The v0.3 package-result schema retains its accepted singleton declaration and adds only the exact four-output P3.3 variant. Frozen v0.2 schemas/behavior, fixtures, authority map, goldens, held-out content, and historical evidence are unchanged.</x:v>
      </x:c>
    </x:row>
    <x:row r="84" ht="369" customHeight="1">
      <x:c r="A84" s="431" t="str">
        <x:v>EV-081</x:v>
      </x:c>
      <x:c r="B84" s="431" t="n">
        <x:v>46223</x:v>
      </x:c>
      <x:c r="C84" s="431" t="str">
        <x:v>P3.3 acceptance, PR #40 integration, and exact-main verification</x:v>
      </x:c>
      <x:c r="D84" s="431" t="str">
        <x:v>The user explicitly accepted P3.3. GitHub merged the exact reviewed branch through PR #40 at main e4080fd after two passing CI runs. Exact-main local verification reproduced the accepted package-result, reports, CLI, regression, validation, lint, and coverage evidence.</x:v>
      </x:c>
      <x:c r="E84" s="431" t="str">
        <x:v>User decision / GitHub / Git / Tests / Project control</x:v>
      </x:c>
      <x:c r="F84" s="431" t="str">
        <x:v>User instruction 2026-07-20; PR #40; implementation b5f0fcd; review evidence 411928e; merge/main e4080fd; D-084; IMP-012</x:v>
      </x:c>
      <x:c r="G84" s="431" t="str">
        <x:v>P3.3 acceptance and integration closeout</x:v>
      </x:c>
      <x:c r="H84" s="431" t="str">
        <x:v>Accepted</x:v>
      </x:c>
      <x:c r="I84" s="431" t="str">
        <x:v>PR #40 checks: 2 passed. Focused package-result/report/CLI tests: 49 passed. Full frozen regression: 271 passed with 1 expected Windows symlink skip. Repository validation: 5/5. Ruff passed. Coverage: 86.76%. Local main exactly matched origin/main and was clean before the closeout branch. Pytest emitted the known non-blocking cache warning because the pre-existing .pytest_cache cache path is unusable on Windows; all tests executed and passed. Frozen v0.2 behavior, fixtures, authority map, goldens, held-out content, and historical evidence are unchanged. P2.3 definition alone is authorized next.</x:v>
      </x:c>
    </x:row>
    <x:row r="85" ht="369" customHeight="1">
      <x:c r="A85" s="431" t="str">
        <x:v>EV-082</x:v>
      </x:c>
      <x:c r="B85" s="431" t="n">
        <x:v>46223</x:v>
      </x:c>
      <x:c r="C85" s="431" t="str">
        <x:v>P2.3 bounded relationship-expansion definition review package</x:v>
      </x:c>
      <x:c r="D85" s="431" t="str">
        <x:v>The definition reviews the accepted workflow, authority map, source layouts, manifest relationship declarations, current gates/checks, and end-to-end result/report/CLI path. It freezes six append-only checks with exact sources, authority, evidence, state/hold, faults, and order, and records six unsupported release claims as gaps rather than weak checks.</x:v>
      </x:c>
      <x:c r="E85" s="431" t="str">
        <x:v>Definition / Source review / Project control</x:v>
      </x:c>
      <x:c r="F85" s="431" t="str">
        <x:v>docs/package_assurance/p2_3_relationship_expansion_definition_v0.3.0.md; authority_map_example_v0.3.0.json; accepted development source layouts and manifest declarations; relationships.py; result_core.py; D-085; IMP-013</x:v>
      </x:c>
      <x:c r="G85" s="431" t="str">
        <x:v>P2.3 relationship-expansion definition</x:v>
      </x:c>
      <x:c r="H85" s="431" t="str">
        <x:v>Ready for review</x:v>
      </x:c>
      <x:c r="I85" s="431" t="str">
        <x:v>Six supported checks: item/equipment manifest reciprocity; equipment drawing presence; datasheet authority presence; equipment/datasheet agreement; equipment/datasheet manifest reciprocity; specification revision history. Six temporary isolated fault probes each passed all current eight gates and five checks with zero findings. Six blocked gaps: quantity reconciliation; part/material agreement; item/drawing agreement; equipment/specification association; datasheet revision history; controlled technical values. First proposed implementation is check 6 under exact AUTH-BOM-002. Repository validation 5/5; document consistency and diff checks pass. No executable code, schema, adapter, fixture, golden, authority map, held-out content, frozen v0.2 behavior, or historical evidence changed.</x:v>
      </x:c>
    </x:row>
    <x:row r="86" ht="369" customHeight="1">
      <x:c r="A86" s="431" t="str">
        <x:v>EV-083</x:v>
      </x:c>
      <x:c r="B86" s="431" t="n">
        <x:v>46223</x:v>
      </x:c>
      <x:c r="C86" s="431" t="str">
        <x:v>P2.3 definition acceptance and PR #41 integration</x:v>
      </x:c>
      <x:c r="D86" s="431" t="str">
        <x:v>The user accepted the six-check P2.3 definition and its six explicit authority/source gaps. GitHub merged the exact reviewed definition through PR #41 at main a855d99 after both CI runs passed. Only check 6 is authorized for implementation.</x:v>
      </x:c>
      <x:c r="E86" s="431" t="str">
        <x:v>User decision / GitHub / Git / Project control</x:v>
      </x:c>
      <x:c r="F86" s="431" t="str">
        <x:v>User instruction 2026-07-20; PR #41; definition 5a48dcb; merge/main a855d99; D-086; IMP-013</x:v>
      </x:c>
      <x:c r="G86" s="431" t="str">
        <x:v>P2.3 definition acceptance and integration closeout</x:v>
      </x:c>
      <x:c r="H86" s="431" t="str">
        <x:v>Accepted</x:v>
      </x:c>
      <x:c r="I86" s="431" t="str">
        <x:v>PR #41 checks: 2 passed. Local main exactly matched origin/main and was clean before the closeout branch. The accepted definition retains six supported checks and six blocked authority/source gaps. Check 6 must append after five accepted drawing checks and use exact AUTH-BOM-002; its implementation requires focused/full regression evidence and inspected clean/fault outputs before separate acceptance. No executable code, schema, adapter, fixture, golden, authority map, held-out content, frozen v0.2 behavior, or historical evidence changed in the definition merge.</x:v>
      </x:c>
    </x:row>
    <x:row r="87" ht="414" customHeight="1">
      <x:c r="A87" s="431" t="str">
        <x:v>EV-084</x:v>
      </x:c>
      <x:c r="B87" s="431" t="n">
        <x:v>46223</x:v>
      </x:c>
      <x:c r="C87" s="431" t="str">
        <x:v>P2.3 check 6 implementation and end-to-end review evidence</x:v>
      </x:c>
      <x:c r="D87" s="431" t="str">
        <x:v>Implementation c1dcc4a appends bom_item_equipment_manifest_reciprocity after the five accepted drawing checks. It reconciles every release-required BOM item with required manifest item_to_equipment declarations under exact AUTH-BOM-002 and emits one deterministic evidence-linked hold per affected item.</x:v>
      </x:c>
      <x:c r="E87" s="431" t="str">
        <x:v>Source / Tests / CLI / Generated runs / Project control</x:v>
      </x:c>
      <x:c r="F87" s="431" t="str">
        <x:v>implementation c1dcc4a; relationships.py; tests/test_package_relationships.py; tests/test_cli_audit_package.py; scratch/p23-check6-review-evidence clean and wrong-target runs; D-087; IMP-013-IMP-014</x:v>
      </x:c>
      <x:c r="G87" s="431" t="str">
        <x:v>P2.3 check 6 implementation</x:v>
      </x:c>
      <x:c r="H87" s="431" t="str">
        <x:v>Accepted</x:v>
      </x:c>
      <x:c r="I87" s="431" t="str">
        <x:v>Relationship tests: 31 passed. Focused relationship/result/report/CLI tests: 75 passed. Full frozen regression: 278 passed with 1 expected Windows symlink skip. Repository validation: 5/5. Ruff passed. Coverage: 87.02%. Clean run: package PKG-DEV-PUMP-SKID-001; automatic_pass; hold false; gates 8/8; checks 6/6; zero findings; exit 0. Wrong-valid REL-ITEM-EQ-001 target run: automatic_fail; hold true; gates 8/8; checks 5/6; one BOM_ITEM_EQUIPMENT_RECIPROCITY_FAILED under AUTH-BOM-002 for ITEM-PUMP-001, expected P-101A, actual M-101A; exit 1. Both publish exactly package_result.json, issue_register.csv, issue_register.md, and release_readiness.md with zero absolute local paths. Missing, extra, multiple, repeatability, exact authority, and unrelated authority behavior are tested. The known non-blocking Windows pytest cache warning remains. No accepted fixture, schema, authority map, golden, held-out content, frozen v0.2 behavior, or historical evidence changed.</x:v>
      </x:c>
    </x:row>
    <x:row r="88" ht="387" customHeight="1">
      <x:c r="A88" s="431" t="str">
        <x:v>EV-085</x:v>
      </x:c>
      <x:c r="B88" s="431" t="n">
        <x:v>46223</x:v>
      </x:c>
      <x:c r="C88" s="431" t="str">
        <x:v>P2.3 check 6 acceptance and PR #42 integration closeout</x:v>
      </x:c>
      <x:c r="D88" s="431" t="str">
        <x:v>The user accepted check 6. GitHub merged the exact reviewed branch through PR #42 at main 559bb81. Local main was synchronized and clean before the closeout branch. The accepted check expands the runnable audit to six ordered relationship checks without changing protected assets or deferred scope.</x:v>
      </x:c>
      <x:c r="E88" s="431" t="str">
        <x:v>User decision / GitHub / Git / Project control</x:v>
      </x:c>
      <x:c r="F88" s="431" t="str">
        <x:v>User instruction 2026-07-20; PR #42; implementation c1dcc4a; review evidence 0386b7f; merge/main 559bb81; D-087-D-088; IMP-013-IMP-014</x:v>
      </x:c>
      <x:c r="G88" s="431" t="str">
        <x:v>P2.3 check 6 acceptance and integration closeout</x:v>
      </x:c>
      <x:c r="H88" s="431" t="str">
        <x:v>Accepted</x:v>
      </x:c>
      <x:c r="I88" s="431" t="str">
        <x:v>PR #42 is merged at exact main 559bb81. Accepted review evidence remains relationship 31; focused 75; full 278 passed with one expected Windows symlink skip; repository validation 5/5; Ruff; coverage 87.02%; inspected clean automatic_pass and wrong-target automatic_fail runs with exactly four outputs and package-relative evidence. No schema, fixture, authority map, golden, held-out content, frozen v0.2 behavior, or historical evidence changed. The approved next action is behavior-preserving relationship maintainability stabilization before check 7.</x:v>
      </x:c>
    </x:row>
    <x:row r="89" ht="369" customHeight="1">
      <x:c r="A89" s="431" t="str">
        <x:v>EV-086</x:v>
      </x:c>
      <x:c r="B89" s="431" t="n">
        <x:v>46223</x:v>
      </x:c>
      <x:c r="C89" s="431" t="str">
        <x:v>Relationship maintainability stabilization and PR #44 integration</x:v>
      </x:c>
      <x:c r="D89" s="431" t="str">
        <x:v>The accepted relationship implementation was split into one small public coordinator, shared deterministic primitives, and separate drawing and BOM/equipment modules and focused tests. No evaluator behavior changed. GitHub merged PR #44 at exact main 56ac9d1 after both CI runs passed.</x:v>
      </x:c>
      <x:c r="E89" s="431" t="str">
        <x:v>Source / AST comparison / Tests / GitHub / Git / Project control</x:v>
      </x:c>
      <x:c r="F89" s="431" t="str">
        <x:v>implementation 1f34781; PR #44; merge/main 56ac9d1; relationships.py; drawing_relationships.py; bom_relationships.py; test_package_relationships.py; test_package_bom_relationships.py; D-089; IMP-015</x:v>
      </x:c>
      <x:c r="G89" s="431" t="str">
        <x:v>Relationship maintainability stabilization</x:v>
      </x:c>
      <x:c r="H89" s="431" t="str">
        <x:v>Accepted</x:v>
      </x:c>
      <x:c r="I89" s="431" t="str">
        <x:v>All 40 prior relationship function ASTs are identical after the split. Relationship tests: 31 passed. Focused tests: 75 passed. Full frozen regression: 278 passed with one expected Windows symlink skip. Repository validation: 5/5. Ruff passed. Coverage: 87.10%. Both GitHub CI runs passed. No schema, fixture, authority map, golden, held-out content, frozen v0.2 behavior, or historical evidence changed.</x:v>
      </x:c>
    </x:row>
    <x:row r="90" ht="405" customHeight="1">
      <x:c r="A90" s="431" t="str">
        <x:v>EV-087</x:v>
      </x:c>
      <x:c r="B90" s="431" t="n">
        <x:v>46223</x:v>
      </x:c>
      <x:c r="C90" s="431" t="str">
        <x:v>P2.3 check 7 implementation and end-to-end review evidence</x:v>
      </x:c>
      <x:c r="D90" s="431" t="str">
        <x:v>Check 7 requires every release-required BOM equipment tag to appear in drawing metadata under exact AUTH-BOM-002. The isolated removal of M-101A from DWMETA-001 produces one deterministic release hold for ITEM-MOTOR-001/M-101A while all predecessor checks pass.</x:v>
      </x:c>
      <x:c r="E90" s="431" t="str">
        <x:v>Source / Tests / CLI / Generated runs / Project control</x:v>
      </x:c>
      <x:c r="F90" s="431" t="str">
        <x:v>codex/p2.3-bom-equipment-drawing-presence; bom_relationships.py; relationships.py; tests/test_package_bom_relationships.py; tests/test_cli_audit_package.py; scratch/p23-check7-review-evidence; D-090; IMP-013-IMP-015</x:v>
      </x:c>
      <x:c r="G90" s="431" t="str">
        <x:v>P2.3 check 7 implementation</x:v>
      </x:c>
      <x:c r="H90" s="431" t="str">
        <x:v>Accepted</x:v>
      </x:c>
      <x:c r="I90" s="431" t="str">
        <x:v>Relationship tests: 35 passed. Focused relationship/result/report/CLI tests: 80 passed. Full frozen regression: 283 passed with one expected Windows symlink skip. Repository validation: 5/5. Ruff passed. Coverage: 87.25%. Clean and isolated-fault four-output runs were inspected. Implementation 01a70c2 was merged through PR #45 at exact main 273c36a after both GitHub checks passed. No accepted fixture, schema, authority map, golden, held-out content, frozen v0.2 behavior, or historical evidence changed.</x:v>
      </x:c>
    </x:row>
    <x:row r="91" ht="279" customHeight="1">
      <x:c r="A91" s="431" t="str">
        <x:v>EV-088</x:v>
      </x:c>
      <x:c r="B91" s="431" t="n">
        <x:v>46223</x:v>
      </x:c>
      <x:c r="C91" s="431" t="str">
        <x:v>P2.3 check 7 GitHub integration evidence</x:v>
      </x:c>
      <x:c r="D91" s="431" t="str">
        <x:v>GitHub independently ran both required validation-and-test workflows for PR #45. Both passed before the pull request was merged at exact main 273c36a.</x:v>
      </x:c>
      <x:c r="E91" s="431" t="str">
        <x:v>GitHub / Git / Project control</x:v>
      </x:c>
      <x:c r="F91" s="431" t="str">
        <x:v>PR #45; implementation 01a70c2; merge/main 273c36a; D-090; EV-087</x:v>
      </x:c>
      <x:c r="G91" s="431" t="str">
        <x:v>P2.3 check 7 integration</x:v>
      </x:c>
      <x:c r="H91" s="431" t="str">
        <x:v>Accepted</x:v>
      </x:c>
      <x:c r="I91" s="431" t="str">
        <x:v>Both required GitHub checks passed: one in 42 seconds and one in 32 seconds. PR #45 merged without changing the reviewed implementation. Local main was fast-forwarded and clean at 273c36a.</x:v>
      </x:c>
    </x:row>
    <x:row r="92" ht="315" customHeight="1">
      <x:c r="A92" s="431" t="str">
        <x:v>EV-089</x:v>
      </x:c>
      <x:c r="B92" s="431" t="n">
        <x:v>46223</x:v>
      </x:c>
      <x:c r="C92" s="431" t="str">
        <x:v>Authorized structured-package trial decision package</x:v>
      </x:c>
      <x:c r="D92" s="431" t="str">
        <x:v>The trial charter freezes the CEO decision, permitted data sources, default privacy and retention boundary, structured-data limits, sequence, non-time success measures, stop conditions, outputs, and improvement-loop handoff.</x:v>
      </x:c>
      <x:c r="E92" s="431" t="str">
        <x:v>Document / Project control</x:v>
      </x:c>
      <x:c r="F92" s="431" t="str">
        <x:v>docs/package_assurance/authorized_structured_package_trial_v0.3.0.md; codex/p2.3-real-package-structured-trial; D-091</x:v>
      </x:c>
      <x:c r="G92" s="431" t="str">
        <x:v>Practical-use trial entry gate</x:v>
      </x:c>
      <x:c r="H92" s="431" t="str">
        <x:v>Ready for CEO review</x:v>
      </x:c>
      <x:c r="I92" s="431" t="str">
        <x:v>No package content was accessed or changed. Original material remains outside Git by default. The CEO must identify the package, confirm permitted use and sanitization/retention boundaries, and name a qualified reviewer. Checks 8-11 and all deferred capabilities remain blocked.</x:v>
      </x:c>
    </x:row>
    <x:row r="93" ht="279" customHeight="1">
      <x:c r="A93" s="431" t="str">
        <x:v>EV-090</x:v>
      </x:c>
      <x:c r="B93" s="431" t="n">
        <x:v>46223</x:v>
      </x:c>
      <x:c r="C93" s="431" t="str">
        <x:v>P2.3 trial-charter GitHub integration evidence</x:v>
      </x:c>
      <x:c r="D93" s="431" t="str">
        <x:v>PR #46 integrated the reviewed structured-package trial charter and project-control update. Both required GitHub validation-and-test workflows passed before merge.</x:v>
      </x:c>
      <x:c r="E93" s="431" t="str">
        <x:v>GitHub / Git / Project control</x:v>
      </x:c>
      <x:c r="F93" s="431" t="str">
        <x:v>PR #46; implementation d4e530f; merge/main 361cc77; D-091; EV-089</x:v>
      </x:c>
      <x:c r="G93" s="431" t="str">
        <x:v>P2.3 practical-use trial entry gate</x:v>
      </x:c>
      <x:c r="H93" s="431" t="str">
        <x:v>Accepted</x:v>
      </x:c>
      <x:c r="I93" s="431" t="str">
        <x:v>Both required GitHub checks passed in 33 seconds and 34 seconds. PR #46 merged at exact main 361cc77. Local main was fast-forwarded and clean before the public-package research branch was created.</x:v>
      </x:c>
    </x:row>
    <x:row r="94" ht="342" customHeight="1">
      <x:c r="A94" s="431" t="str">
        <x:v>EV-091</x:v>
      </x:c>
      <x:c r="B94" s="431" t="n">
        <x:v>46223</x:v>
      </x:c>
      <x:c r="C94" s="431" t="str">
        <x:v>Public structured-package trial shortlist</x:v>
      </x:c>
      <x:c r="D94" s="431" t="str">
        <x:v>Official publisher and repository sources were reviewed for three public mechanical packages. The comparison records workflow fit, provenance, licensing, preparation burden, limitations, and the recommended candidate without downloading source files.</x:v>
      </x:c>
      <x:c r="E94" s="431" t="str">
        <x:v>Official public sources / Document / Project control</x:v>
      </x:c>
      <x:c r="F94" s="431" t="str">
        <x:v>docs/package_assurance/public_trial_package_shortlist_2026-07-20.md; Precious Plastic package and license pages; NASA/JPL repository and v4.0.0 release; OpenFlexure repository and v7 release documentation; D-092</x:v>
      </x:c>
      <x:c r="G94" s="431" t="str">
        <x:v>Public trial package selection</x:v>
      </x:c>
      <x:c r="H94" s="431" t="str">
        <x:v>Ready for CEO review</x:v>
      </x:c>
      <x:c r="I94" s="431" t="str">
        <x:v>Precious Plastic Shredder Basic 3.3 is recommended. NASA/JPL Open Source Rover v4.0.0 and OpenFlexure Microscope v7.0.0-beta5 remain viable alternatives. No files were downloaded or transformed. Current verification: 27 repository tests passed; full regression 283 passed with one expected Windows symlink skip; repository validation 5/5; workbook formula errors 0; all six control sheets visually inspected. The recommendation is not engineering approval, a safety conclusion, or a legal opinion.</x:v>
      </x:c>
    </x:row>
    <x:row r="95" ht="342" customHeight="1">
      <x:c r="A95" s="431" t="str">
        <x:v>EV-092</x:v>
      </x:c>
      <x:c r="B95" s="431" t="n">
        <x:v>46223</x:v>
      </x:c>
      <x:c r="C95" s="431" t="str">
        <x:v>CEO public-package selection and sequential-trial authorization</x:v>
      </x:c>
      <x:c r="D95" s="431" t="str">
        <x:v>The CEO selected Precious Plastic Shredder Basic 3.3 and authorized controlled intake and fit-gap assessment. The CEO also approved NASA/JPL Open Source Rover v4.0.0 and OpenFlexure Microscope v7.0.0-beta5 as later sequential trials subject to independent acceptance gates.</x:v>
      </x:c>
      <x:c r="E95" s="431" t="str">
        <x:v>User instruction / Project control</x:v>
      </x:c>
      <x:c r="F95" s="431" t="str">
        <x:v>CEO instruction 2026-07-20; D-092-D-093; EV-091; docs/package_assurance/authorized_structured_package_trial_v0.3.0.md; docs/package_assurance/public_trial_package_shortlist_2026-07-20.md</x:v>
      </x:c>
      <x:c r="G95" s="431" t="str">
        <x:v>Public trial authorization</x:v>
      </x:c>
      <x:c r="H95" s="431" t="str">
        <x:v>Accepted</x:v>
      </x:c>
      <x:c r="I95" s="431" t="str">
        <x:v>Trial 1 is limited to official-source and license verification, local Git-ignored download, preservation, hashing, inventory, and fit-gap reporting. Trial 2 cannot begin until trial 1 is reviewed and accepted; trial 3 cannot begin until trial 2 is reviewed and accepted. No transformation or audit execution is authorized by this decision.</x:v>
      </x:c>
    </x:row>
    <x:row r="96" ht="342" customHeight="1">
      <x:c r="A96" s="431" t="str">
        <x:v>EV-093</x:v>
      </x:c>
      <x:c r="B96" s="431" t="n">
        <x:v>46223</x:v>
      </x:c>
      <x:c r="C96" s="431" t="str">
        <x:v>Precious Plastic official-access stop evidence</x:v>
      </x:c>
      <x:c r="D96" s="431" t="str">
        <x:v>The official source requires a signed-in Precious Plastic Community account. The user cannot create or access an account, so the trial stopped without downloading or transforming any package file.</x:v>
      </x:c>
      <x:c r="E96" s="431" t="str">
        <x:v>User instruction / Official public source / Local intake state</x:v>
      </x:c>
      <x:c r="F96" s="431" t="str">
        <x:v>CEO instruction 2026-07-20; https://community.preciousplastic.com/library/shr---33-; scratch/public-package-intake/precious-plastic-shredder-3.3/intake_state.json; D-094</x:v>
      </x:c>
      <x:c r="G96" s="431" t="str">
        <x:v>Public trial access control</x:v>
      </x:c>
      <x:c r="H96" s="431" t="str">
        <x:v>Accepted</x:v>
      </x:c>
      <x:c r="I96" s="431" t="str">
        <x:v>The Git-ignored source directory is empty. Download filename, timestamp, SHA-256, size, and source-file count remain null. No login workaround or publisher-control bypass was attempted.</x:v>
      </x:c>
    </x:row>
    <x:row r="97" ht="342" customHeight="1">
      <x:c r="A97" s="431" t="str">
        <x:v>EV-094</x:v>
      </x:c>
      <x:c r="B97" s="431" t="n">
        <x:v>46223</x:v>
      </x:c>
      <x:c r="C97" s="431" t="str">
        <x:v>Co-equal dual public-package intake authorization</x:v>
      </x:c>
      <x:c r="D97" s="431" t="str">
        <x:v>The CEO authorized NASA/JPL Open Source Rover v4.0.0 and OpenFlexure Microscope v7.0.0-beta5 to proceed together under identical official-source, license, preservation, hashing, inventory, source-family, authority-gap, and evidence controls.</x:v>
      </x:c>
      <x:c r="E97" s="431" t="str">
        <x:v>User instruction / Project control</x:v>
      </x:c>
      <x:c r="F97" s="431" t="str">
        <x:v>CEO instruction 2026-07-20; D-095; docs/package_assurance/authorized_structured_package_trial_v0.3.0.md; docs/package_assurance/public_trial_package_shortlist_2026-07-20.md</x:v>
      </x:c>
      <x:c r="G97" s="431" t="str">
        <x:v>Dual public-package trial authorization</x:v>
      </x:c>
      <x:c r="H97" s="431" t="str">
        <x:v>Accepted</x:v>
      </x:c>
      <x:c r="I97" s="431" t="str">
        <x:v>Each source remains separate and Git-ignored. Complete both fit-gap assessments before comparison. No transformation, audit run, PDF/CAD engineering-content extraction, schema or rule change, held-out execution, or protected-asset change is authorized.</x:v>
      </x:c>
    </x:row>
    <x:row r="98" ht="414" customHeight="1">
      <x:c r="A98" s="431" t="str">
        <x:v>EV-095</x:v>
      </x:c>
      <x:c r="B98" s="431" t="n">
        <x:v>46223</x:v>
      </x:c>
      <x:c r="C98" s="431" t="str">
        <x:v>Dual public-package preserved intake evidence</x:v>
      </x:c>
      <x:c r="D98" s="431" t="str">
        <x:v>Both official version-specific archives were downloaded to separate Git-ignored areas, kept unchanged, SHA-256 hashed, ZIP-validated, and inventoried from central-directory metadata without opening PDF or CAD engineering content.</x:v>
      </x:c>
      <x:c r="E98" s="431" t="str">
        <x:v>Official public sources / Local generated evidence</x:v>
      </x:c>
      <x:c r="F98" s="431" t="str">
        <x:v>NASA/JPL v4.0.0 release and archive; OpenFlexure v7.0.0-beta5 release and source.zip; ignored intake_state.json and inventory.csv files; D-095</x:v>
      </x:c>
      <x:c r="G98" s="431" t="str">
        <x:v>Dual source preservation and inventory</x:v>
      </x:c>
      <x:c r="H98" s="431" t="str">
        <x:v>Accepted</x:v>
      </x:c>
      <x:c r="I98" s="431" t="str">
        <x:v>Accepted by the CEO on 2026-07-20. Both archive hashes and ZIP-native inventories remain the controlling source evidence; raw materials stay separate and Git-ignored.</x:v>
      </x:c>
    </x:row>
    <x:row r="99" ht="360" customHeight="1">
      <x:c r="A99" s="431" t="str">
        <x:v>EV-096</x:v>
      </x:c>
      <x:c r="B99" s="431" t="n">
        <x:v>46223</x:v>
      </x:c>
      <x:c r="C99" s="431" t="str">
        <x:v>Dual public-package combined fit-gap assessment</x:v>
      </x:c>
      <x:c r="D99" s="431" t="str">
        <x:v>The balanced assessment compares the same required source families, authority signals, revision evidence, preparation blockers, and current-audit gaps for NASA/JPL and OpenFlexure without ranking either package.</x:v>
      </x:c>
      <x:c r="E99" s="431" t="str">
        <x:v>Reviewed document / Project control</x:v>
      </x:c>
      <x:c r="F99" s="431" t="str">
        <x:v>docs/package_assurance/dual_public_package_intake_fit_gap_2026-07-20.md; EV-095; D-096</x:v>
      </x:c>
      <x:c r="G99" s="431" t="str">
        <x:v>Dual public-package fit-gap review</x:v>
      </x:c>
      <x:c r="H99" s="431" t="str">
        <x:v>Accepted</x:v>
      </x:c>
      <x:c r="I99" s="431" t="str">
        <x:v>Accepted by the CEO on 2026-07-20 and integrated through PR #48 at exact main 99d16b6. The acceptance authorizes mapping definitions only, not transformation or audit execution.</x:v>
      </x:c>
    </x:row>
    <x:row r="100" ht="324" customHeight="1">
      <x:c r="A100" s="431" t="str">
        <x:v>EV-097</x:v>
      </x:c>
      <x:c r="B100" s="431" t="n">
        <x:v>46223</x:v>
      </x:c>
      <x:c r="C100" s="431" t="str">
        <x:v>Dual intake acceptance and integration evidence</x:v>
      </x:c>
      <x:c r="D100" s="431" t="str">
        <x:v>The CEO accepted D-096. PR #48 merged the exact reviewed NASA/JPL and OpenFlexure intake, preservation, inventory, and combined fit-gap evidence to main.</x:v>
      </x:c>
      <x:c r="E100" s="431" t="str">
        <x:v>User instruction / GitHub integration / Project control</x:v>
      </x:c>
      <x:c r="F100" s="431" t="str">
        <x:v>CEO instruction 2026-07-20; PR #48; exact main 99d16b6; docs/package_assurance/dual_public_package_intake_fit_gap_2026-07-20.md; D-096</x:v>
      </x:c>
      <x:c r="G100" s="431" t="str">
        <x:v>Dual intake gate closeout</x:v>
      </x:c>
      <x:c r="H100" s="431" t="str">
        <x:v>Accepted</x:v>
      </x:c>
      <x:c r="I100" s="431" t="str">
        <x:v>The accepted boundary authorizes two manual mapping definitions and one shared traceability-log contract. It does not authorize source conversion, working-package creation, or audit execution.</x:v>
      </x:c>
    </x:row>
    <x:row r="101" ht="423" customHeight="1">
      <x:c r="A101" s="431" t="str">
        <x:v>EV-098</x:v>
      </x:c>
      <x:c r="B101" s="431" t="n">
        <x:v>46223</x:v>
      </x:c>
      <x:c r="C101" s="431" t="str">
        <x:v>Dual source-to-audit mapping definitions and traceability-log contract</x:v>
      </x:c>
      <x:c r="D101" s="431" t="str">
        <x:v>The NASA/JPL mechanical-rover and OpenFlexure high-resolution-microscope mappings freeze exact trial boundaries, source hierarchies, direct/derived/missing/not-applicable classifications, canonical-ID rules, expected holds, preparation checks, and one shared append-only transformation-and-assumption log format.</x:v>
      </x:c>
      <x:c r="E101" s="431" t="str">
        <x:v>Reviewed documents / Official public sources / Project control</x:v>
      </x:c>
      <x:c r="F101" s="431" t="str">
        <x:v>docs/package_assurance/nasa_jpl_open_source_rover_mapping_definition_v0.3.0.md; docs/package_assurance/openflexure_microscope_mapping_definition_v0.3.0.md; docs/package_assurance/transformation_and_assumption_log_contract_v0.3.0.md; docs/package_assurance/transformation_and_assumption_log_template_v0.3.0.csv; D-097</x:v>
      </x:c>
      <x:c r="G101" s="431" t="str">
        <x:v>Dual public-package mapping review</x:v>
      </x:c>
      <x:c r="H101" s="431" t="str">
        <x:v>Accepted</x:v>
      </x:c>
      <x:c r="I101" s="431" t="str">
        <x:v>Accepted through D-097 and merged through PR #49 at exact main 53e19ad. The acceptance authorized controlled preparation, not audit execution.</x:v>
      </x:c>
    </x:row>
    <x:row r="102" ht="369" customHeight="1">
      <x:c r="A102" s="431" t="str">
        <x:v>EV-099</x:v>
      </x:c>
      <x:c r="B102" s="431" t="n">
        <x:v>46223</x:v>
      </x:c>
      <x:c r="C102" s="431" t="str">
        <x:v>Dual mapping acceptance and integration evidence</x:v>
      </x:c>
      <x:c r="D102" s="431" t="str">
        <x:v>The CEO accepted D-097. PR #49 merged the exact reviewed NASA/JPL and OpenFlexure mappings, shared transformation contract, template, and IMP-016 control evidence to main.</x:v>
      </x:c>
      <x:c r="E102" s="431" t="str">
        <x:v>User instruction / GitHub integration / Project control</x:v>
      </x:c>
      <x:c r="F102" s="431" t="str">
        <x:v>CEO instruction 2026-07-20; PR #49; exact main 53e19ad; docs/package_assurance/nasa_jpl_open_source_rover_mapping_definition_v0.3.0.md; docs/package_assurance/openflexure_microscope_mapping_definition_v0.3.0.md; docs/package_assurance/transformation_and_assumption_log_contract_v0.3.0.md; D-097</x:v>
      </x:c>
      <x:c r="G102" s="431" t="str">
        <x:v>Dual mapping gate closeout</x:v>
      </x:c>
      <x:c r="H102" s="431" t="str">
        <x:v>Accepted</x:v>
      </x:c>
      <x:c r="I102" s="431" t="str">
        <x:v>The accepted boundary authorized separate Git-ignored working-package preparation and populated logs. Audit execution remained blocked pending independent preparation review.</x:v>
      </x:c>
    </x:row>
    <x:row r="103" ht="486" customHeight="1">
      <x:c r="A103" s="431" t="str">
        <x:v>EV-100</x:v>
      </x:c>
      <x:c r="B103" s="431" t="n">
        <x:v>46223</x:v>
      </x:c>
      <x:c r="C103" s="431" t="str">
        <x:v>Dual public-package preparation and independent verification</x:v>
      </x:c>
      <x:c r="D103" s="431" t="str">
        <x:v>Separate Git-ignored NASA/JPL and OpenFlexure working packages were prepared under the accepted mappings. The evidence includes exact package tree hashes, source-copy indices, populated logs, valid structured sources, required item relationships, and a separate verification record.</x:v>
      </x:c>
      <x:c r="E103" s="431" t="str">
        <x:v>Generated local evidence / Reviewed document / Deterministic verification</x:v>
      </x:c>
      <x:c r="F103" s="431" t="str">
        <x:v>docs/package_assurance/dual_public_package_preparation_review_2026-07-20.md; scratch/prep/dual_preparation_summary.json; scratch/prep/independent_preparation_verification.json; scratch/prep/osr-v4; scratch/prep/ofm-beta5-high-res; D-097-D-098</x:v>
      </x:c>
      <x:c r="G103" s="431" t="str">
        <x:v>Dual public-package preparation review</x:v>
      </x:c>
      <x:c r="H103" s="431" t="str">
        <x:v>Accepted</x:v>
      </x:c>
      <x:c r="I103" s="431" t="str">
        <x:v>Accepted through D-098 and merged through PR #50 at exact main 7009fe2. Both exact preparations were authorized for controlled sequential execution with a mandatory stop on unexpected behavior.</x:v>
      </x:c>
    </x:row>
    <x:row r="104" ht="382.5" customHeight="1">
      <x:c r="A104" s="431" t="str">
        <x:v>EV-101</x:v>
      </x:c>
      <x:c r="B104" s="431" t="n">
        <x:v>46223</x:v>
      </x:c>
      <x:c r="C104" s="431" t="str">
        <x:v>Dual preparation acceptance and integration evidence</x:v>
      </x:c>
      <x:c r="D104" s="431" t="str">
        <x:v>The user accepted D-098. PR #50 merged the exact reviewed preparation report and controls. Both 1,764-row logs were marked accepted with before/after hashes, and both package trees were reverified unchanged before execution.</x:v>
      </x:c>
      <x:c r="E104" s="431" t="str">
        <x:v>User instruction / GitHub integration / Local deterministic evidence</x:v>
      </x:c>
      <x:c r="F104" s="431" t="str">
        <x:v>User instruction 2026-07-20; PR #50; exact main 7009fe2; scratch/prep/pre_audit_acceptance.json; docs/package_assurance/dual_public_package_preparation_review_2026-07-20.md; D-098</x:v>
      </x:c>
      <x:c r="G104" s="431" t="str">
        <x:v>Dual audit gate closeout</x:v>
      </x:c>
      <x:c r="H104" s="431" t="str">
        <x:v>Accepted</x:v>
      </x:c>
      <x:c r="I104" s="431" t="str">
        <x:v>Accepted NASA/JPL tree 52aedc3e... and log d1d910f0...; accepted OpenFlexure tree 71656da7... and log a8ba53e5.... Execution remained sequential and stop-controlled.</x:v>
      </x:c>
    </x:row>
    <x:row r="105" ht="468" customHeight="1">
      <x:c r="A105" s="431" t="str">
        <x:v>EV-102</x:v>
      </x:c>
      <x:c r="B105" s="431" t="n">
        <x:v>46223</x:v>
      </x:c>
      <x:c r="C105" s="431" t="str">
        <x:v>NASA/JPL first audit stopped before publication</x:v>
      </x:c>
      <x:c r="D105" s="431" t="str">
        <x:v>The accepted NASA/JPL package tree was reverified immediately before audit-package. The command returned internal exit 70 because result-schema validation rejected blank affected identifiers. Atomic publication created zero outputs, and the OpenFlexure audit was stopped.</x:v>
      </x:c>
      <x:c r="E105" s="431" t="str">
        <x:v>CLI execution / Local ignored failure evidence / Deterministic diagnosis</x:v>
      </x:c>
      <x:c r="F105" s="431" t="str">
        <x:v>scratch/public-package-audit-runs/osr-v4-failed-20260720/failure_evidence.json; package tree 52aedc3eaf6753305dbf29d01366f324dd959fe57e14ace6295e62f3801fd8ce; accepted log d1d910f02a89830f551e9daf949e48931471320e3764551fe3718a441125a9ec; D-098</x:v>
      </x:c>
      <x:c r="G105" s="431" t="str">
        <x:v>First public-package execution failure</x:v>
      </x:c>
      <x:c r="H105" s="431" t="str">
        <x:v>Accepted failure evidence</x:v>
      </x:c>
      <x:c r="I105" s="431" t="str">
        <x:v>Expected missing_authoritative_information/exit 3/four outputs. Actual internal exit 70/zero outputs. Gate diagnostic: authority missing 1 expected finding; identifier gate 174 blank-value findings; all seven relationship checks skipped. Both package and Git tree remained unchanged.</x:v>
      </x:c>
    </x:row>
    <x:row r="106" ht="513" customHeight="1">
      <x:c r="A106" s="431" t="str">
        <x:v>EV-103</x:v>
      </x:c>
      <x:c r="B106" s="431" t="n">
        <x:v>46223</x:v>
      </x:c>
      <x:c r="C106" s="431" t="str">
        <x:v>Cross-package identifier/result-contract root-cause review</x:v>
      </x:c>
      <x:c r="D106" s="431" t="str">
        <x:v>The accepted mappings require unavailable BOM drawing, datasheet, and specification references to remain blank. The identifier gate conflates absence with malformed syntax, then uses the invalid raw value as a canonical affected identifier. A read-only OpenFlexure diagnostic confirms 99 equivalent findings without executing its audit.</x:v>
      </x:c>
      <x:c r="E106" s="431" t="str">
        <x:v>Reviewed source and contracts / Read-only gate diagnostic / Project control</x:v>
      </x:c>
      <x:c r="F106" s="431" t="str">
        <x:v>docs/package_assurance/dual_public_package_audit_failure_review_2026-07-20.md; docs/package_assurance/nasa_jpl_open_source_rover_mapping_definition_v0.3.0.md; docs/package_assurance/openflexure_microscope_mapping_definition_v0.3.0.md; src/mech_eval_harness/package_assurance/gates.py; schemas/package_result.schema.json; IMP-017; D-099</x:v>
      </x:c>
      <x:c r="G106" s="431" t="str">
        <x:v>Public-package audit stabilization review</x:v>
      </x:c>
      <x:c r="H106" s="431" t="str">
        <x:v>Ready for CEO review</x:v>
      </x:c>
      <x:c r="I106" s="431" t="str">
        <x:v>Recommended fix keeps the strict result schema, skips syntax checks only for exactly blank optional BOM references, keeps mandatory/nonblank identifiers strict, retains raw invalid values in evidence, adds synthetic full-output CLI proof, and forbids public-package changes or reruns before fix review.</x:v>
      </x:c>
    </x:row>
    <x:row r="107" ht="459" customHeight="1">
      <x:c r="A107" s="431" t="str">
        <x:v>EV-104</x:v>
      </x:c>
      <x:c r="B107" s="431" t="n">
        <x:v>46223</x:v>
      </x:c>
      <x:c r="C107" s="431" t="str">
        <x:v>D-099 acceptance and failure-review integration</x:v>
      </x:c>
      <x:c r="D107" s="431" t="str">
        <x:v>The CEO accepted D-099. PR #51 merged the exact failure review and controls at main 624acce, authorizing only the narrow identifier/result-contract stabilization and synthetic proof before public reruns.</x:v>
      </x:c>
      <x:c r="E107" s="431" t="str">
        <x:v>User instruction / GitHub integration / Project control</x:v>
      </x:c>
      <x:c r="F107" s="431" t="str">
        <x:v>User instruction 2026-07-20; PR #51; exact main 624acce; docs/package_assurance/dual_public_package_audit_failure_review_2026-07-20.md; D-099</x:v>
      </x:c>
      <x:c r="G107" s="431" t="str">
        <x:v>Stabilization authority</x:v>
      </x:c>
      <x:c r="H107" s="431" t="str">
        <x:v>Accepted</x:v>
      </x:c>
      <x:c r="I107" s="431" t="str">
        <x:v>No schema weakening, package change, public rerun, check 8, held-out execution, or deferred capability was authorized.</x:v>
      </x:c>
    </x:row>
    <x:row r="108" ht="540" customHeight="1">
      <x:c r="A108" s="431" t="str">
        <x:v>EV-105</x:v>
      </x:c>
      <x:c r="B108" s="431" t="n">
        <x:v>46223</x:v>
      </x:c>
      <x:c r="C108" s="431" t="str">
        <x:v>Identifier/result-contract stabilization and synthetic CLI proof</x:v>
      </x:c>
      <x:c r="D108" s="431" t="str">
        <x:v>The identifier gate now skips syntax only for exact blanks in three approved optional equipment-item reference fields. Malformed present and required identifiers remain automatic holds. Invalid raw values stay in evidence and canonical findings use a valid parent identifier or an empty list. Synthetic full-CLI cases publish exactly four outputs at missing-authority exit 3 and automatic-fail exit 1.</x:v>
      </x:c>
      <x:c r="E108" s="431" t="str">
        <x:v>Reviewed implementation / Synthetic end-to-end tests / Generated temporary outputs</x:v>
      </x:c>
      <x:c r="F108" s="431" t="str">
        <x:v>src/mech_eval_harness/package_assurance/gates.py; tests/test_package_gates.py; tests/test_cli_audit_package.py; docs/package_assurance/identifier_result_contract_stabilization_review_2026-07-20.md; IMP-017; D-099</x:v>
      </x:c>
      <x:c r="G108" s="431" t="str">
        <x:v>D-099 stabilization implementation</x:v>
      </x:c>
      <x:c r="H108" s="431" t="str">
        <x:v>Accepted</x:v>
      </x:c>
      <x:c r="I108" s="431" t="str">
        <x:v>No package schema, result schema, authority map, fixture, golden, held-out asset, relationship check, state precedence, exit mapping, or publication contract changed.</x:v>
      </x:c>
    </x:row>
    <x:row r="109" ht="513" customHeight="1">
      <x:c r="A109" s="431" t="str">
        <x:v>EV-106</x:v>
      </x:c>
      <x:c r="B109" s="431" t="n">
        <x:v>46223</x:v>
      </x:c>
      <x:c r="C109" s="431" t="str">
        <x:v>Stabilization regression and public-package integrity verification</x:v>
      </x:c>
      <x:c r="D109" s="431" t="str">
        <x:v>Focused gates/result/publication/CLI tests passed 47. The full suite passed 289 with one expected Windows skip at 87.57% coverage. Repository validation passed 5/5; Ruff, baseline 9/9, and demo 2/2 passed. Both accepted public package trees and all 1,764 accepted log rows remain exact, and no public rerun directory exists.</x:v>
      </x:c>
      <x:c r="E109" s="431" t="str">
        <x:v>Local deterministic verification / Hash reconciliation / Frozen baseline replay</x:v>
      </x:c>
      <x:c r="F109" s="431" t="str">
        <x:v>docs/package_assurance/identifier_result_contract_stabilization_review_2026-07-20.md; scratch/verification/identifier-stabilization-20260720; package trees 52aedc3e... and 71656da7...; accepted logs d1d910f0... and a8ba53e5...; D-100</x:v>
      </x:c>
      <x:c r="G109" s="431" t="str">
        <x:v>Stabilization review evidence</x:v>
      </x:c>
      <x:c r="H109" s="431" t="str">
        <x:v>Accepted</x:v>
      </x:c>
      <x:c r="I109" s="431" t="str">
        <x:v>Real-world confirmation remains open. D-100 proposes exactly one NASA/JPL rerun after integration and requires review before OpenFlexure.</x:v>
      </x:c>
    </x:row>
    <x:row r="110" ht="486" customHeight="1">
      <x:c r="A110" s="431" t="str">
        <x:v>EV-107</x:v>
      </x:c>
      <x:c r="B110" s="431" t="n">
        <x:v>46223</x:v>
      </x:c>
      <x:c r="C110" s="431" t="str">
        <x:v>D-100 acceptance and stabilization integration</x:v>
      </x:c>
      <x:c r="D110" s="431" t="str">
        <x:v>The CEO accepted D-100. PR #52 passed both GitHub validation checks and merged the narrow identifier/result-contract stabilization at exact main 0611d916, authorizing exactly one unchanged NASA/JPL observation and a mandatory stop before OpenFlexure.</x:v>
      </x:c>
      <x:c r="E110" s="431" t="str">
        <x:v>User instruction / GitHub checks and merge / Project control</x:v>
      </x:c>
      <x:c r="F110" s="431" t="str">
        <x:v>User instruction 2026-07-20; PR #52; exact main 0611d916; docs/package_assurance/identifier_result_contract_stabilization_review_2026-07-20.md; D-100</x:v>
      </x:c>
      <x:c r="G110" s="431" t="str">
        <x:v>NASA/JPL one-run authority</x:v>
      </x:c>
      <x:c r="H110" s="431" t="str">
        <x:v>Accepted</x:v>
      </x:c>
      <x:c r="I110" s="431" t="str">
        <x:v>No evaluator, package, authority-map, expected-state, schema, check 8, held-out, or deferred-capability change was authorized during observation.</x:v>
      </x:c>
    </x:row>
    <x:row r="111" ht="540" customHeight="1">
      <x:c r="A111" s="431" t="str">
        <x:v>EV-108</x:v>
      </x:c>
      <x:c r="B111" s="431" t="n">
        <x:v>46223</x:v>
      </x:c>
      <x:c r="C111" s="431" t="str">
        <x:v>NASA/JPL exact-input and single-execution proof</x:v>
      </x:c>
      <x:c r="D111" s="431" t="str">
        <x:v>Before and after the one authorized run, the package remained 133 files at tree SHA-256 52aedc3e... and the accepted mapping log remained 1,144 rows at d1d910f0.... Run RUN-20260721T001431760486Z-4f1b9817 was the only invocation and returned exit 3. OpenFlexure remained unexecuted and unchanged.</x:v>
      </x:c>
      <x:c r="E111" s="431" t="str">
        <x:v>Read-only hash reconciliation / Controlled CLI execution / Execution record</x:v>
      </x:c>
      <x:c r="F111" s="431" t="str">
        <x:v>scratch/public-package-audit-runs/osr-v4-control-20260720/execution_record.json; scratch/public-package-audit-runs/osr-v4-control-20260720/post_audit_integrity.json; docs/package_assurance/nasa_jpl_public_audit_confirmation_review_2026-07-20.md; D-100</x:v>
      </x:c>
      <x:c r="G111" s="431" t="str">
        <x:v>NASA/JPL observation integrity</x:v>
      </x:c>
      <x:c r="H111" s="431" t="str">
        <x:v>Accepted</x:v>
      </x:c>
      <x:c r="I111" s="431" t="str">
        <x:v>The accepted OpenFlexure tree 71656da7... and log a8ba53e5... also remained exact; no OpenFlexure audit root exists.</x:v>
      </x:c>
    </x:row>
    <x:row r="112" ht="576" customHeight="1">
      <x:c r="A112" s="431" t="str">
        <x:v>EV-109</x:v>
      </x:c>
      <x:c r="B112" s="431" t="n">
        <x:v>46223</x:v>
      </x:c>
      <x:c r="C112" s="431" t="str">
        <x:v>NASA/JPL four-output result and consistency review</x:v>
      </x:c>
      <x:c r="D112" s="431" t="str">
        <x:v>The immutable result is schema-valid and records missing_authoritative_information, release hold true, one AUTHORITY_REQUIRED_RULE_MISSING finding, four passed gates, one failed authority gate, three skipped gates, and seven skipped relationship checks. Exactly four outputs publish, and all three report views reproduce from the canonical result without absolute local paths or approval claims.</x:v>
      </x:c>
      <x:c r="E112" s="431" t="str">
        <x:v>Schema validation / Deterministic report reproduction / Output hash review</x:v>
      </x:c>
      <x:c r="F112" s="431" t="str">
        <x:v>scratch/public-package-audit-runs/osr-v4/RUN-20260721T001431760486Z-4f1b9817; scratch/public-package-audit-runs/osr-v4-control-20260720/verification_summary.json; docs/package_assurance/nasa_jpl_public_audit_confirmation_review_2026-07-20.md; D-101</x:v>
      </x:c>
      <x:c r="G112" s="431" t="str">
        <x:v>NASA/JPL result review</x:v>
      </x:c>
      <x:c r="H112" s="431" t="str">
        <x:v>Accepted</x:v>
      </x:c>
      <x:c r="I112" s="431" t="str">
        <x:v>Output SHA-256 values are recorded in the tracked review. This evidence is a correct hold and not engineering sign-off or release approval.</x:v>
      </x:c>
    </x:row>
    <x:row r="113" ht="522" customHeight="1">
      <x:c r="A113" s="431" t="str">
        <x:v>EV-110</x:v>
      </x:c>
      <x:c r="B113" s="431" t="n">
        <x:v>46223</x:v>
      </x:c>
      <x:c r="C113" s="431" t="str">
        <x:v>NASA/JPL confirmation regression and frozen-baseline verification</x:v>
      </x:c>
      <x:c r="D113" s="431" t="str">
        <x:v>Focused gate/result/publication/CLI tests passed 53. The full suite passed 289 with one expected Windows skip at 87.57% coverage. Repository validation passed 5/5; Ruff, frozen baseline 9/9, and portfolio demo 2/2 passed. PR #52 had two green GitHub validation checks before merge.</x:v>
      </x:c>
      <x:c r="E113" s="431" t="str">
        <x:v>Local deterministic verification / Frozen baseline replay / GitHub CI</x:v>
      </x:c>
      <x:c r="F113" s="431" t="str">
        <x:v>scratch/verification/nasa-confirmation-20260720; docs/package_assurance/nasa_jpl_public_audit_confirmation_review_2026-07-20.md; PR #52; exact main 0611d916; D-101</x:v>
      </x:c>
      <x:c r="G113" s="431" t="str">
        <x:v>NASA/JPL confirmation closeout</x:v>
      </x:c>
      <x:c r="H113" s="431" t="str">
        <x:v>Accepted</x:v>
      </x:c>
      <x:c r="I113" s="431" t="str">
        <x:v>Only documentation and project-control records changed on the confirmation branch. No product code, public package, schema, fixture, golden, held-out asset, or acceptance criterion changed.</x:v>
      </x:c>
    </x:row>
    <x:row r="114" ht="504" customHeight="1">
      <x:c r="A114" s="431" t="str">
        <x:v>EV-111</x:v>
      </x:c>
      <x:c r="B114" s="431" t="n">
        <x:v>46223</x:v>
      </x:c>
      <x:c r="C114" s="431" t="str">
        <x:v>D-101 acceptance and NASA/JPL confirmation integration</x:v>
      </x:c>
      <x:c r="D114" s="431" t="str">
        <x:v>The CEO accepted D-101. PR #53 passed both GitHub validation checks and merged the NASA/JPL confirmation at exact main 65c9699b, closing I-004, retaining IMP-017, and authorizing exactly one unchanged OpenFlexure observation before check 8.</x:v>
      </x:c>
      <x:c r="E114" s="431" t="str">
        <x:v>User instruction / GitHub checks and merge / Project control</x:v>
      </x:c>
      <x:c r="F114" s="431" t="str">
        <x:v>User instruction 2026-07-20; PR #53; exact main 65c9699b; docs/package_assurance/nasa_jpl_public_audit_confirmation_review_2026-07-20.md; D-101</x:v>
      </x:c>
      <x:c r="G114" s="431" t="str">
        <x:v>OpenFlexure one-run authority</x:v>
      </x:c>
      <x:c r="H114" s="431" t="str">
        <x:v>Accepted</x:v>
      </x:c>
      <x:c r="I114" s="431" t="str">
        <x:v>No evaluator, package, authority-map, expected-state, schema, check 8, held-out, or deferred-capability change was authorized during observation.</x:v>
      </x:c>
    </x:row>
    <x:row r="115" ht="558" customHeight="1">
      <x:c r="A115" s="431" t="str">
        <x:v>EV-112</x:v>
      </x:c>
      <x:c r="B115" s="431" t="n">
        <x:v>46223</x:v>
      </x:c>
      <x:c r="C115" s="431" t="str">
        <x:v>OpenFlexure exact-input and single-execution proof</x:v>
      </x:c>
      <x:c r="D115" s="431" t="str">
        <x:v>Before and after the one authorized run, OpenFlexure remained 58 files at tree SHA-256 71656da7... and its accepted mapping log remained 620 rows at a8ba53e5.... Run RUN-20260721T004222043918Z-254a2eca was the only invocation and returned exit 3. NASA/JPL also remained unchanged with one run.</x:v>
      </x:c>
      <x:c r="E115" s="431" t="str">
        <x:v>Read-only hash reconciliation / Controlled CLI execution / Execution record</x:v>
      </x:c>
      <x:c r="F115" s="431" t="str">
        <x:v>scratch/public-package-audit-runs/ofm-beta5-high-res-control-20260720/execution_record.json; scratch/public-package-audit-runs/ofm-beta5-high-res-control-20260720/post_audit_integrity.json; docs/package_assurance/openflexure_public_audit_confirmation_review_2026-07-20.md; D-101</x:v>
      </x:c>
      <x:c r="G115" s="431" t="str">
        <x:v>OpenFlexure observation integrity</x:v>
      </x:c>
      <x:c r="H115" s="431" t="str">
        <x:v>Ready for CEO review</x:v>
      </x:c>
      <x:c r="I115" s="431" t="str">
        <x:v>Both package trees and all 1,764 accepted log rows remain exact after one authorized audit each; no unexpected additional public audit exists.</x:v>
      </x:c>
    </x:row>
    <x:row r="116" ht="576" customHeight="1">
      <x:c r="A116" s="431" t="str">
        <x:v>EV-113</x:v>
      </x:c>
      <x:c r="B116" s="431" t="n">
        <x:v>46223</x:v>
      </x:c>
      <x:c r="C116" s="431" t="str">
        <x:v>OpenFlexure four-output result and consistency review</x:v>
      </x:c>
      <x:c r="D116" s="431" t="str">
        <x:v>The immutable result is schema-valid and records missing_authoritative_information, release hold true, one AUTHORITY_REQUIRED_RULE_MISSING finding, four passed gates, one failed authority gate, three skipped gates, and seven skipped relationship checks. Exactly four outputs publish and all report views reproduce from the canonical result without absolute paths or approval claims.</x:v>
      </x:c>
      <x:c r="E116" s="431" t="str">
        <x:v>Schema validation / Deterministic report reproduction / Output hash review</x:v>
      </x:c>
      <x:c r="F116" s="431" t="str">
        <x:v>scratch/public-package-audit-runs/ofm-beta5-high-res/RUN-20260721T004222043918Z-254a2eca; scratch/public-package-audit-runs/ofm-beta5-high-res-control-20260720/verification_summary.json; docs/package_assurance/openflexure_public_audit_confirmation_review_2026-07-20.md; D-102</x:v>
      </x:c>
      <x:c r="G116" s="431" t="str">
        <x:v>OpenFlexure result review</x:v>
      </x:c>
      <x:c r="H116" s="431" t="str">
        <x:v>Ready for CEO review</x:v>
      </x:c>
      <x:c r="I116" s="431" t="str">
        <x:v>Output SHA-256 values are recorded in the tracked review. This is a correct hold, not engineering sign-off or package approval.</x:v>
      </x:c>
    </x:row>
    <x:row r="117" ht="603" customHeight="1">
      <x:c r="A117" s="431" t="str">
        <x:v>EV-114</x:v>
      </x:c>
      <x:c r="B117" s="431" t="n">
        <x:v>46223</x:v>
      </x:c>
      <x:c r="C117" s="431" t="str">
        <x:v>Dual public-package comparison and improvement-loop closeout</x:v>
      </x:c>
      <x:c r="D117" s="431" t="str">
        <x:v>NASA/JPL and OpenFlexure differ in size and source structure but both produced the exact expected safety result. This proves real-world intake and refusal, not real-world relationship-fault detection because authority skipped all seven checks. I-004 closes; IMP-017 is retained; IMP-016 remains open. The repeated semantic finding ID establishes IMP-018 and package-scoped identity before aggregation.</x:v>
      </x:c>
      <x:c r="E117" s="431" t="str">
        <x:v>Cross-package result comparison / Management review / Improvement loop</x:v>
      </x:c>
      <x:c r="F117" s="431" t="str">
        <x:v>scratch/public-package-audit-runs/ofm-beta5-high-res-control-20260720/cross_package_comparison.json; docs/package_assurance/openflexure_public_audit_confirmation_review_2026-07-20.md; I-004; IMP-016-IMP-018; D-102</x:v>
      </x:c>
      <x:c r="G117" s="431" t="str">
        <x:v>Dual public observation closeout</x:v>
      </x:c>
      <x:c r="H117" s="431" t="str">
        <x:v>Ready for CEO review</x:v>
      </x:c>
      <x:c r="I117" s="431" t="str">
        <x:v>The fastest controlled next step is check 8. Inventing authority for the public repositories is explicitly rejected.</x:v>
      </x:c>
    </x:row>
    <x:row r="118" ht="540" customHeight="1">
      <x:c r="A118" s="431" t="str">
        <x:v>EV-115</x:v>
      </x:c>
      <x:c r="B118" s="431" t="n">
        <x:v>46223</x:v>
      </x:c>
      <x:c r="C118" s="431" t="str">
        <x:v>OpenFlexure confirmation regression and frozen-baseline verification</x:v>
      </x:c>
      <x:c r="D118" s="431" t="str">
        <x:v>Focused gate/result/publication/CLI tests passed 53. The full suite passed 289 with one expected Windows skip at 87.57% coverage. Repository validation passed 5/5; Ruff, frozen baseline 9/9, and portfolio demo 2/2 passed. PR #53 had two green GitHub validation checks before merge.</x:v>
      </x:c>
      <x:c r="E118" s="431" t="str">
        <x:v>Local deterministic verification / Frozen baseline replay / GitHub CI</x:v>
      </x:c>
      <x:c r="F118" s="431" t="str">
        <x:v>scratch/verification/openflexure-confirmation-20260720; docs/package_assurance/openflexure_public_audit_confirmation_review_2026-07-20.md; PR #53; exact main 65c9699b; D-102</x:v>
      </x:c>
      <x:c r="G118" s="431" t="str">
        <x:v>OpenFlexure confirmation closeout</x:v>
      </x:c>
      <x:c r="H118" s="431" t="str">
        <x:v>Ready for CEO review</x:v>
      </x:c>
      <x:c r="I118" s="431" t="str">
        <x:v>Only documentation and project-control records changed on the confirmation branch. No product code, public package, schema, fixture, golden, held-out asset, or acceptance criterion changed.</x:v>
      </x:c>
    </x:row>
    <x:row r="119" ht="486" customHeight="1">
      <x:c r="A119" s="431" t="str">
        <x:v>EV-116</x:v>
      </x:c>
      <x:c r="B119" s="431" t="n">
        <x:v>46223</x:v>
      </x:c>
      <x:c r="C119" s="431" t="str">
        <x:v>D-102 acceptance and OpenFlexure confirmation integration</x:v>
      </x:c>
      <x:c r="D119" s="431" t="str">
        <x:v>The CEO accepted D-102. PR #54 passed both GitHub validation checks and merged the OpenFlexure confirmation at exact main b0b32bb, closing the dual public-package observation sequence, adopting package-scoped finding identity, and authorizing check 8 only.</x:v>
      </x:c>
      <x:c r="E119" s="431" t="str">
        <x:v>User instruction / GitHub checks and merge / Project control</x:v>
      </x:c>
      <x:c r="F119" s="431" t="str">
        <x:v>User instruction 2026-07-20; PR #54; exact main b0b32bb; docs/package_assurance/openflexure_public_audit_confirmation_review_2026-07-20.md; D-102</x:v>
      </x:c>
      <x:c r="G119" s="431" t="str">
        <x:v>Check-8 implementation authority</x:v>
      </x:c>
      <x:c r="H119" s="431" t="str">
        <x:v>Accepted</x:v>
      </x:c>
      <x:c r="I119" s="431" t="str">
        <x:v>No check 9-11, public rerun, held-out execution, protected-asset change, or deferred capability was authorized.</x:v>
      </x:c>
    </x:row>
    <x:row r="120" ht="567" customHeight="1">
      <x:c r="A120" s="431" t="str">
        <x:v>EV-117</x:v>
      </x:c>
      <x:c r="B120" s="431" t="n">
        <x:v>46223</x:v>
      </x:c>
      <x:c r="C120" s="431" t="str">
        <x:v>Equipment datasheet authority presence implementation proof</x:v>
      </x:c>
      <x:c r="D120" s="431" t="str">
        <x:v>Check 8 is appended after checks 1-7 in a separate datasheet-domain module. It requires exactly one release-required datasheet record per release-required BOM equipment tag under exact AUTH-SPEC-001. Missing and competing records produce stable high-severity missing-authority holds; source reordering preserves semantic identity; unrelated drawing and BOM authority gaps do not suppress the check.</x:v>
      </x:c>
      <x:c r="E120" s="431" t="str">
        <x:v>Code review / Deterministic relationship tests / Authority isolation tests</x:v>
      </x:c>
      <x:c r="F120" s="431" t="str">
        <x:v>src/mech_eval_harness/package_assurance/datasheet_relationships.py; tests/test_package_datasheet_relationships.py; docs/package_assurance/equipment_datasheet_authority_presence_implementation_review_2026-07-20.md; D-102-D-103</x:v>
      </x:c>
      <x:c r="G120" s="431" t="str">
        <x:v>Check-8 contract evidence</x:v>
      </x:c>
      <x:c r="H120" s="431" t="str">
        <x:v>Accepted</x:v>
      </x:c>
      <x:c r="I120" s="431" t="str">
        <x:v>Check 9 association, checks 10-11, and all six authority-gap claims remain unimplemented.</x:v>
      </x:c>
    </x:row>
    <x:row r="121" ht="603" customHeight="1">
      <x:c r="A121" s="431" t="str">
        <x:v>EV-118</x:v>
      </x:c>
      <x:c r="B121" s="431" t="n">
        <x:v>46223</x:v>
      </x:c>
      <x:c r="C121" s="431" t="str">
        <x:v>Check-8 clean and isolated-fault four-output inspection</x:v>
      </x:c>
      <x:c r="D121" s="431" t="str">
        <x:v>Clean run RUN-20260721T025957813425Z-a7aee64f returned automatic_pass, hold false, exit 0, eight passed checks, and four exact outputs. Fault run RUN-20260721T025913235840Z-be4840eb returned missing_authoritative_information, hold true, exit 3, seven passed and one failed check, one FND-55D33CACFBF70823 finding, and four exact outputs. Both results pass the strict schema and all report views reproduce exactly.</x:v>
      </x:c>
      <x:c r="E121" s="431" t="str">
        <x:v>Controlled CLI execution / Schema validation / Deterministic report reproduction</x:v>
      </x:c>
      <x:c r="F121" s="431" t="str">
        <x:v>scratch/verification/check8-implementation-20260720/check8-clean-runs; scratch/verification/check8-implementation-20260720/check8-fault-runs-bomfree; docs/package_assurance/equipment_datasheet_authority_presence_implementation_review_2026-07-20.md</x:v>
      </x:c>
      <x:c r="G121" s="431" t="str">
        <x:v>Check-8 output evidence</x:v>
      </x:c>
      <x:c r="H121" s="431" t="str">
        <x:v>Accepted</x:v>
      </x:c>
      <x:c r="I121" s="431" t="str">
        <x:v>The first manual fault copy used BOM-encoded UTF-8, correctly failed closed at parsing with exit 4, and remains preserved separately; accepted inputs were untouched.</x:v>
      </x:c>
    </x:row>
    <x:row r="122" ht="540" customHeight="1">
      <x:c r="A122" s="431" t="str">
        <x:v>EV-119</x:v>
      </x:c>
      <x:c r="B122" s="431" t="n">
        <x:v>46223</x:v>
      </x:c>
      <x:c r="C122" s="431" t="str">
        <x:v>Check-8 regression and frozen-baseline verification</x:v>
      </x:c>
      <x:c r="D122" s="431" t="str">
        <x:v>Focused gate/relationship/result/report/CLI tests passed 111. The full suite passed 295 with one expected Windows skip at 87.71% coverage. Repository validation passed 5/5; Ruff, frozen baseline 9/9, and portfolio demo 2/2 passed. The tracked diff changes only check-8 code, tests, documentation, and project controls.</x:v>
      </x:c>
      <x:c r="E122" s="431" t="str">
        <x:v>Local deterministic verification / Frozen baseline replay / Diff review</x:v>
      </x:c>
      <x:c r="F122" s="431" t="str">
        <x:v>scratch/verification/check8-implementation-20260720; docs/package_assurance/equipment_datasheet_authority_presence_implementation_review_2026-07-20.md; D-103</x:v>
      </x:c>
      <x:c r="G122" s="431" t="str">
        <x:v>Check-8 implementation closeout</x:v>
      </x:c>
      <x:c r="H122" s="431" t="str">
        <x:v>Accepted</x:v>
      </x:c>
      <x:c r="I122" s="431" t="str">
        <x:v>No accepted fixture, authority map, schema, golden, held-out asset, historical result, v0.2 behavior, or acceptance criterion changed.</x:v>
      </x:c>
    </x:row>
    <x:row r="123" ht="504" customHeight="1">
      <x:c r="A123" s="431" t="str">
        <x:v>EV-120</x:v>
      </x:c>
      <x:c r="B123" s="431" t="n">
        <x:v>46223</x:v>
      </x:c>
      <x:c r="C123" s="431" t="str">
        <x:v>D-103 acceptance and check-8 integration</x:v>
      </x:c>
      <x:c r="D123" s="431" t="str">
        <x:v>The CEO accepted D-103. PR #55 passed both GitHub validation checks and merged check 8 at exact main fb0113d, authorizing check 9 only under exact AUTH-SPEC-001.</x:v>
      </x:c>
      <x:c r="E123" s="431" t="str">
        <x:v>User instruction / GitHub checks and merge / Project control</x:v>
      </x:c>
      <x:c r="F123" s="431" t="str">
        <x:v>User instruction 2026-07-20; PR #55; exact main fb0113d; docs/package_assurance/equipment_datasheet_authority_presence_implementation_review_2026-07-20.md; D-103</x:v>
      </x:c>
      <x:c r="G123" s="431" t="str">
        <x:v>Check-9 implementation authority</x:v>
      </x:c>
      <x:c r="H123" s="431" t="str">
        <x:v>Accepted</x:v>
      </x:c>
      <x:c r="I123" s="431" t="str">
        <x:v>No check 10-11, public rerun, held-out execution, protected-asset change, publication behavior change, or deferred capability was authorized.</x:v>
      </x:c>
    </x:row>
    <x:row r="124" ht="585" customHeight="1">
      <x:c r="A124" s="431" t="str">
        <x:v>EV-121</x:v>
      </x:c>
      <x:c r="B124" s="431" t="n">
        <x:v>46223</x:v>
      </x:c>
      <x:c r="C124" s="431" t="str">
        <x:v>Equipment/datasheet association implementation proof</x:v>
      </x:c>
      <x:c r="D124" s="431" t="str">
        <x:v>Check 9 is appended after checks 1-8 in the datasheet-domain module. Under exact AUTH-SPEC-001 it compares BOM datasheet_id with the single authoritative metadata datasheet_id for the same equipment tag. Wrong-but-valid IDs produce stable automatic-fail holds; missing or ambiguous authority remains owned by check 8; source reordering preserves semantic identity.</x:v>
      </x:c>
      <x:c r="E124" s="431" t="str">
        <x:v>Code review / Deterministic relationship tests / Authority and ownership tests</x:v>
      </x:c>
      <x:c r="F124" s="431" t="str">
        <x:v>src/mech_eval_harness/package_assurance/datasheet_relationships.py; tests/test_package_datasheet_relationships.py; docs/package_assurance/equipment_datasheet_association_implementation_review_2026-07-20.md; D-103-D-104</x:v>
      </x:c>
      <x:c r="G124" s="431" t="str">
        <x:v>Check-9 contract evidence</x:v>
      </x:c>
      <x:c r="H124" s="431" t="str">
        <x:v>Accepted</x:v>
      </x:c>
      <x:c r="I124" s="431" t="str">
        <x:v>Check 10 manifest reciprocity, check 11, and all six authority-gap claims remain unimplemented.</x:v>
      </x:c>
    </x:row>
    <x:row r="125" ht="603" customHeight="1">
      <x:c r="A125" s="431" t="str">
        <x:v>EV-122</x:v>
      </x:c>
      <x:c r="B125" s="431" t="n">
        <x:v>46223</x:v>
      </x:c>
      <x:c r="C125" s="431" t="str">
        <x:v>Check-9 clean and wrong-ID four-output inspection</x:v>
      </x:c>
      <x:c r="D125" s="431" t="str">
        <x:v>Clean run RUN-20260721T034251280706Z-6efeff51 returned automatic_pass, hold false, exit 0, nine passed checks, and four exact outputs. Wrong-ID run RUN-20260721T034329189347Z-dc3cd02a returned automatic_fail, hold true, exit 1, eight passed and one failed check, one FND-91304712BCB20CEE finding, and four exact outputs. Both results pass the strict schema and all report views reproduce exactly.</x:v>
      </x:c>
      <x:c r="E125" s="431" t="str">
        <x:v>Controlled CLI execution / Schema validation / Deterministic report reproduction</x:v>
      </x:c>
      <x:c r="F125" s="431" t="str">
        <x:v>scratch/verification/check9-implementation-20260720/verification_summary.json; docs/package_assurance/equipment_datasheet_association_implementation_review_2026-07-20.md</x:v>
      </x:c>
      <x:c r="G125" s="431" t="str">
        <x:v>Check-9 output evidence</x:v>
      </x:c>
      <x:c r="H125" s="431" t="str">
        <x:v>Accepted</x:v>
      </x:c>
      <x:c r="I125" s="431" t="str">
        <x:v>The wrong-ID fault changes only one temporary BOM value from DS-P-101 to existing valid DS-M-101; accepted inputs remain untouched.</x:v>
      </x:c>
    </x:row>
    <x:row r="126" ht="630" customHeight="1">
      <x:c r="A126" s="431" t="str">
        <x:v>EV-123</x:v>
      </x:c>
      <x:c r="B126" s="431" t="n">
        <x:v>46223</x:v>
      </x:c>
      <x:c r="C126" s="431" t="str">
        <x:v>Preserved Windows publication-finalization failure</x:v>
      </x:c>
      <x:c r="D126" s="431" t="str">
        <x:v>The first wrong-ID invocation generated the correct result and three reports, then the final staging-directory rename failed with PermissionError. The workflow returned exit 70, published no complete final run, and preserved all staged files plus its failure marker. An immediate unchanged invocation succeeded. I-005 and IMP-019 retain the reliability gap for a separate stabilization block.</x:v>
      </x:c>
      <x:c r="E126" s="431" t="str">
        <x:v>Preserved failed run / Failure review / Improvement loop</x:v>
      </x:c>
      <x:c r="F126" s="431" t="str">
        <x:v>scratch/verification/check9-implementation-20260720/wrong-id-runs/.RUN-20260721T034252120538Z-fa89f942.publication-failed-2f10bb08; docs/package_assurance/equipment_datasheet_association_implementation_review_2026-07-20.md; I-005; IMP-019</x:v>
      </x:c>
      <x:c r="G126" s="431" t="str">
        <x:v>Publication reliability evidence</x:v>
      </x:c>
      <x:c r="H126" s="431" t="str">
        <x:v>Accepted</x:v>
      </x:c>
      <x:c r="I126" s="431" t="str">
        <x:v>This is a transient Windows publication risk, not a check-9 evaluator defect. No publication retry behavior changed on this branch.</x:v>
      </x:c>
    </x:row>
    <x:row r="127" ht="558" customHeight="1">
      <x:c r="A127" s="431" t="str">
        <x:v>EV-124</x:v>
      </x:c>
      <x:c r="B127" s="431" t="n">
        <x:v>46223</x:v>
      </x:c>
      <x:c r="C127" s="431" t="str">
        <x:v>Check-9 regression and frozen-baseline verification</x:v>
      </x:c>
      <x:c r="D127" s="431" t="str">
        <x:v>Focused relationship/result/report/CLI tests passed 88. The full suite passed 299 with one expected Windows skip at 87.86% coverage. Repository validation passed 5/5; Ruff, frozen baseline 9/9, and portfolio demo 2/2 passed. The tracked diff changes only check-9 code, tests, documentation, and project controls.</x:v>
      </x:c>
      <x:c r="E127" s="431" t="str">
        <x:v>Local deterministic verification / Frozen baseline replay / Diff review</x:v>
      </x:c>
      <x:c r="F127" s="431" t="str">
        <x:v>scratch/verification/check9-implementation-20260720; docs/package_assurance/equipment_datasheet_association_implementation_review_2026-07-20.md; D-104</x:v>
      </x:c>
      <x:c r="G127" s="431" t="str">
        <x:v>Check-9 implementation closeout</x:v>
      </x:c>
      <x:c r="H127" s="431" t="str">
        <x:v>Accepted</x:v>
      </x:c>
      <x:c r="I127" s="431" t="str">
        <x:v>No accepted fixture, authority map, schema, golden, held-out asset, public package, historical result, v0.2 behavior, or acceptance criterion changed.</x:v>
      </x:c>
    </x:row>
    <x:row r="128" ht="504" customHeight="1">
      <x:c r="A128" s="431" t="str">
        <x:v>EV-125</x:v>
      </x:c>
      <x:c r="B128" s="431" t="n">
        <x:v>46224</x:v>
      </x:c>
      <x:c r="C128" s="431" t="str">
        <x:v>D-104 acceptance and check-9 integration</x:v>
      </x:c>
      <x:c r="D128" s="431" t="str">
        <x:v>The CEO accepted D-104. PR #56 passed both GitHub validation checks and merged check 9 at exact main 7146b23, authorizing one narrow final-rename publication-resilience stabilization before check 10.</x:v>
      </x:c>
      <x:c r="E128" s="431" t="str">
        <x:v>User instruction / GitHub checks and merge / Project control</x:v>
      </x:c>
      <x:c r="F128" s="431" t="str">
        <x:v>User instruction 2026-07-21; PR #56; exact main 7146b23; docs/package_assurance/equipment_datasheet_association_implementation_review_2026-07-20.md; D-104</x:v>
      </x:c>
      <x:c r="G128" s="431" t="str">
        <x:v>Publication stabilization authority</x:v>
      </x:c>
      <x:c r="H128" s="431" t="str">
        <x:v>Accepted</x:v>
      </x:c>
      <x:c r="I128" s="431" t="str">
        <x:v>No check 10-11, public rerun, held-out execution, protected-asset change, or deferred capability was authorized.</x:v>
      </x:c>
    </x:row>
    <x:row r="129" ht="603" customHeight="1">
      <x:c r="A129" s="431" t="str">
        <x:v>EV-126</x:v>
      </x:c>
      <x:c r="B129" s="431" t="n">
        <x:v>46224</x:v>
      </x:c>
      <x:c r="C129" s="431" t="str">
        <x:v>Bounded final-rename retry implementation proof</x:v>
      </x:c>
      <x:c r="D129" s="431" t="str">
        <x:v>Final publication makes five total attempts with fixed 50/100/200/400 ms waits only after PermissionError. A final-directory collision or other OSError never retries. Exhaustion follows the existing failed-publication path. Four injected publication tests plus one CLI test prove recovery, exact delays, exhaustion, no-overwrite collision behavior, other-error behavior, four staged outputs, failure marker, and exit 70.</x:v>
      </x:c>
      <x:c r="E129" s="431" t="str">
        <x:v>Code review / Injected deterministic tests / CLI failure proof</x:v>
      </x:c>
      <x:c r="F129" s="431" t="str">
        <x:v>src/mech_eval_harness/package_assurance/publication.py; tests/test_package_audit_publication.py; tests/test_cli_audit_package.py; docs/package_assurance/publication_resilience_stabilization_review_2026-07-21.md; D-104-D-105</x:v>
      </x:c>
      <x:c r="G129" s="431" t="str">
        <x:v>Publication resilience contract evidence</x:v>
      </x:c>
      <x:c r="H129" s="431" t="str">
        <x:v>Accepted</x:v>
      </x:c>
      <x:c r="I129" s="431" t="str">
        <x:v>The retry is limited to the final same-parent rename. No loader, evaluator, result, report, schema, fixture, authority, or protected asset changed.</x:v>
      </x:c>
    </x:row>
    <x:row r="130" ht="576" customHeight="1">
      <x:c r="A130" s="431" t="str">
        <x:v>EV-127</x:v>
      </x:c>
      <x:c r="B130" s="431" t="n">
        <x:v>46224</x:v>
      </x:c>
      <x:c r="C130" s="431" t="str">
        <x:v>Repeated Windows publication execution proof</x:v>
      </x:c>
      <x:c r="D130" s="431" t="str">
        <x:v>Twenty consecutive real audit-package commands on Microsoft Windows returned exit 0, automatic_pass, hold false, eight passed gates, nine passed relationship checks, zero findings, and exactly four outputs. No hidden staging or failed-publication directory remained. First run RUN-20260721T153603113434Z-ab8f3cbd; last run RUN-20260721T153614063468Z-b74ed8fd.</x:v>
      </x:c>
      <x:c r="E130" s="431" t="str">
        <x:v>Controlled Windows CLI execution / Output inspection</x:v>
      </x:c>
      <x:c r="F130" s="431" t="str">
        <x:v>scratch/verification/publication-resilience-20260721/repeated_windows_audit_summary.json; scratch/verification/publication-resilience-20260721/repeated-runs; docs/package_assurance/publication_resilience_stabilization_review_2026-07-21.md</x:v>
      </x:c>
      <x:c r="G130" s="431" t="str">
        <x:v>Windows publication reliability evidence</x:v>
      </x:c>
      <x:c r="H130" s="431" t="str">
        <x:v>Accepted</x:v>
      </x:c>
      <x:c r="I130" s="431" t="str">
        <x:v>The real execution proves a stable normal path. Injected tests, not this repeated run, prove the transient PermissionError branches.</x:v>
      </x:c>
    </x:row>
    <x:row r="131" ht="558" customHeight="1">
      <x:c r="A131" s="431" t="str">
        <x:v>EV-128</x:v>
      </x:c>
      <x:c r="B131" s="431" t="n">
        <x:v>46224</x:v>
      </x:c>
      <x:c r="C131" s="431" t="str">
        <x:v>Publication stabilization regression and frozen-baseline verification</x:v>
      </x:c>
      <x:c r="D131" s="431" t="str">
        <x:v>Publication and CLI focused tests passed 24. The full suite passed 304 with one expected Windows skip at 88.08% coverage. Repository validation passed 5/5; Ruff, frozen baseline 9/9, and portfolio demo 2/2 passed. The tracked diff changes only final publication resilience, tests, documentation, and project controls.</x:v>
      </x:c>
      <x:c r="E131" s="431" t="str">
        <x:v>Local deterministic verification / Frozen baseline replay / Diff review</x:v>
      </x:c>
      <x:c r="F131" s="431" t="str">
        <x:v>scratch/verification/publication-resilience-20260721; docs/package_assurance/publication_resilience_stabilization_review_2026-07-21.md; D-105</x:v>
      </x:c>
      <x:c r="G131" s="431" t="str">
        <x:v>Publication stabilization closeout</x:v>
      </x:c>
      <x:c r="H131" s="431" t="str">
        <x:v>Accepted</x:v>
      </x:c>
      <x:c r="I131" s="431" t="str">
        <x:v>No accepted fixture, authority map, schema, golden, held-out asset, public package, historical result, v0.2 behavior, check behavior, or acceptance criterion changed.</x:v>
      </x:c>
    </x:row>
    <x:row r="132" ht="540" customHeight="1">
      <x:c r="A132" s="431" t="str">
        <x:v>EV-129</x:v>
      </x:c>
      <x:c r="B132" s="431" t="n">
        <x:v>46224</x:v>
      </x:c>
      <x:c r="C132" s="431" t="str">
        <x:v>D-105 acceptance and publication-stabilization integration</x:v>
      </x:c>
      <x:c r="D132" s="431" t="str">
        <x:v>The CEO accepted D-105. PR #57 passed both GitHub validation checks and merged the bounded publication stabilization at exact main dbcd242. I-005 closed as controlled, IMP-019 was retained, and check 10 was authorized under exact AUTH-SPEC-001.</x:v>
      </x:c>
      <x:c r="E132" s="431" t="str">
        <x:v>User instruction / GitHub checks and merge / Project control</x:v>
      </x:c>
      <x:c r="F132" s="431" t="str">
        <x:v>User instruction 2026-07-21; PR #57; exact main dbcd242; docs/package_assurance/publication_resilience_stabilization_review_2026-07-21.md; D-105; I-005; IMP-019</x:v>
      </x:c>
      <x:c r="G132" s="431" t="str">
        <x:v>Check-10 implementation authority</x:v>
      </x:c>
      <x:c r="H132" s="431" t="str">
        <x:v>Accepted</x:v>
      </x:c>
      <x:c r="I132" s="431" t="str">
        <x:v>No check 11, authority-gap claim, public rerun, held-out execution, protected-asset change, or deferred capability was authorized.</x:v>
      </x:c>
    </x:row>
    <x:row r="133" ht="612" customHeight="1">
      <x:c r="A133" s="431" t="str">
        <x:v>EV-130</x:v>
      </x:c>
      <x:c r="B133" s="431" t="n">
        <x:v>46224</x:v>
      </x:c>
      <x:c r="C133" s="431" t="str">
        <x:v>Check-10 deterministic implementation proof</x:v>
      </x:c>
      <x:c r="D133" s="431" t="str">
        <x:v>Check 10 is tenth in RELATIONSHIP_CHECK_ORDER. Exact AUTH-SPEC-001, semantic sorting, bidirectional metadata/manifest reciprocity, check-8 ownership, stable finding identity, package-relative evidence, and missing/multiple declaration behavior are covered. The exact wrong-valid REL-EQ-DS-001 target produces one automatic-fail high-severity hold for P-101A.</x:v>
      </x:c>
      <x:c r="E133" s="431" t="str">
        <x:v>Code review / Deterministic tests / Fault injection</x:v>
      </x:c>
      <x:c r="F133" s="431" t="str">
        <x:v>src/mech_eval_harness/package_assurance/datasheet_relationships.py; src/mech_eval_harness/package_assurance/relationships.py; tests/test_package_datasheet_relationships.py; docs/package_assurance/equipment_datasheet_manifest_reciprocity_implementation_review_2026-07-21.md</x:v>
      </x:c>
      <x:c r="G133" s="431" t="str">
        <x:v>Check-10 contract evidence</x:v>
      </x:c>
      <x:c r="H133" s="431" t="str">
        <x:v>Accepted</x:v>
      </x:c>
      <x:c r="I133" s="431" t="str">
        <x:v>No schema, fixture, authority map, generic rule engine, result state, output path, or earlier check changed.</x:v>
      </x:c>
    </x:row>
    <x:row r="134" ht="612" customHeight="1">
      <x:c r="A134" s="431" t="str">
        <x:v>EV-131</x:v>
      </x:c>
      <x:c r="B134" s="431" t="n">
        <x:v>46224</x:v>
      </x:c>
      <x:c r="C134" s="431" t="str">
        <x:v>Check-10 clean and wrong-manifest four-output inspection</x:v>
      </x:c>
      <x:c r="D134" s="431" t="str">
        <x:v>Clean run RUN-20260721T161152356249Z-a4995c89 returned automatic_pass, hold false, exit 0, 8/8 gates, 10/10 checks, zero findings, and four exact outputs. Fault run RUN-20260721T161152970951Z-ace6c987 returned automatic_fail, hold true, exit 1, 9 passed and one failed check, one FND-7D92758E4EE968AE finding, and the same four outputs. Canonical result, issue views, readiness summary, and terminal behavior agree.</x:v>
      </x:c>
      <x:c r="E134" s="431" t="str">
        <x:v>Controlled CLI execution / Output inspection / Report reconciliation</x:v>
      </x:c>
      <x:c r="F134" s="431" t="str">
        <x:v>scratch/verification/check10-implementation-20260721/clean-runs; scratch/verification/check10-implementation-20260721/fault-runs; docs/package_assurance/equipment_datasheet_manifest_reciprocity_implementation_review_2026-07-21.md</x:v>
      </x:c>
      <x:c r="G134" s="431" t="str">
        <x:v>Check-10 output evidence</x:v>
      </x:c>
      <x:c r="H134" s="431" t="str">
        <x:v>Accepted</x:v>
      </x:c>
      <x:c r="I134" s="431" t="str">
        <x:v>The fault changes only one temporary manifest target from DS-P-101 to existing valid DS-M-101; accepted development content remains untouched.</x:v>
      </x:c>
    </x:row>
    <x:row r="135" ht="576" customHeight="1">
      <x:c r="A135" s="431" t="str">
        <x:v>EV-132</x:v>
      </x:c>
      <x:c r="B135" s="431" t="n">
        <x:v>46224</x:v>
      </x:c>
      <x:c r="C135" s="431" t="str">
        <x:v>Check-10 regression and frozen-baseline verification</x:v>
      </x:c>
      <x:c r="D135" s="431" t="str">
        <x:v>Relationship/result/report/CLI focused tests passed 93. The full suite passed 308 with one expected Windows skip at 88.27% coverage. Repository validation passed 5/5; Ruff, frozen baseline 9/9, and portfolio demo 2/2 passed. The tracked diff changes only check-10 code, tests, documentation, and project controls.</x:v>
      </x:c>
      <x:c r="E135" s="431" t="str">
        <x:v>Local deterministic verification / Frozen baseline replay / Diff review</x:v>
      </x:c>
      <x:c r="F135" s="431" t="str">
        <x:v>scratch/verification/check10-implementation-20260721; docs/package_assurance/equipment_datasheet_manifest_reciprocity_implementation_review_2026-07-21.md; D-106</x:v>
      </x:c>
      <x:c r="G135" s="431" t="str">
        <x:v>Check-10 implementation closeout</x:v>
      </x:c>
      <x:c r="H135" s="431" t="str">
        <x:v>Accepted</x:v>
      </x:c>
      <x:c r="I135" s="431" t="str">
        <x:v>No accepted fixture, authority map, schema, golden, held-out asset, public package, historical result, v0.2 behavior, or acceptance criterion changed.</x:v>
      </x:c>
    </x:row>
    <x:row r="136" ht="522" customHeight="1">
      <x:c r="A136" s="431" t="str">
        <x:v>EV-133</x:v>
      </x:c>
      <x:c r="B136" s="431" t="n">
        <x:v>46224</x:v>
      </x:c>
      <x:c r="C136" s="431" t="str">
        <x:v>D-106 acceptance and check-10 integration</x:v>
      </x:c>
      <x:c r="D136" s="431" t="str">
        <x:v>The CEO accepted D-106. PR #58 passed GitHub CI and merged check 10 at exact main 761ac76, authorizing only check 11 under exact AUTH-SPEC-003.</x:v>
      </x:c>
      <x:c r="E136" s="431" t="str">
        <x:v>User instruction / GitHub checks and merge / Project control</x:v>
      </x:c>
      <x:c r="F136" s="431" t="str">
        <x:v>User instruction 2026-07-21; PR #58; exact main 761ac76; docs/package_assurance/equipment_datasheet_manifest_reciprocity_implementation_review_2026-07-21.md; D-106</x:v>
      </x:c>
      <x:c r="G136" s="431" t="str">
        <x:v>Check-11 implementation authority</x:v>
      </x:c>
      <x:c r="H136" s="431" t="str">
        <x:v>Accepted</x:v>
      </x:c>
      <x:c r="I136" s="431" t="str">
        <x:v>No authority-gap claim, public rerun, held-out execution, protected-asset change, P4 execution, or deferred capability was authorized.</x:v>
      </x:c>
    </x:row>
    <x:row r="137" ht="612" customHeight="1">
      <x:c r="A137" s="431" t="str">
        <x:v>EV-134</x:v>
      </x:c>
      <x:c r="B137" s="431" t="n">
        <x:v>46224</x:v>
      </x:c>
      <x:c r="C137" s="431" t="str">
        <x:v>Check-11 deterministic implementation proof</x:v>
      </x:c>
      <x:c r="D137" s="431" t="str">
        <x:v>Check 11 is eleventh in RELATIONSHIP_CHECK_ORDER. Exact AUTH-SPEC-003, normalized specification_id joins, exactly-one-current cardinality, missing/multiple/mismatch behavior, semantic sorting, stable finding identity, and package-relative evidence are covered. The accepted wrong-valid metadata revision produces one automatic-fail high-severity hold for SPEC-PUMP-001.</x:v>
      </x:c>
      <x:c r="E137" s="431" t="str">
        <x:v>Code review / Deterministic tests / Fault injection</x:v>
      </x:c>
      <x:c r="F137" s="431" t="str">
        <x:v>src/mech_eval_harness/package_assurance/specification_relationships.py; src/mech_eval_harness/package_assurance/relationships.py; tests/test_package_specification_relationships.py; docs/package_assurance/specification_revision_history_implementation_review_2026-07-21.md</x:v>
      </x:c>
      <x:c r="G137" s="431" t="str">
        <x:v>Check-11 contract evidence</x:v>
      </x:c>
      <x:c r="H137" s="431" t="str">
        <x:v>Accepted</x:v>
      </x:c>
      <x:c r="I137" s="431" t="str">
        <x:v>No loader, adapter, schema, fixture, authority map, generic rule engine, result state, output path, or earlier check changed.</x:v>
      </x:c>
    </x:row>
    <x:row r="138" ht="612" customHeight="1">
      <x:c r="A138" s="431" t="str">
        <x:v>EV-135</x:v>
      </x:c>
      <x:c r="B138" s="431" t="n">
        <x:v>46224</x:v>
      </x:c>
      <x:c r="C138" s="431" t="str">
        <x:v>Check-11 clean and wrong-revision four-output inspection</x:v>
      </x:c>
      <x:c r="D138" s="431" t="str">
        <x:v>Clean run RUN-20260721T164400783739Z-e5fdce3c returned automatic_pass, hold false, exit 0, 8/8 gates, 11/11 checks, zero findings, and four exact outputs. Fault run RUN-20260721T164405746563Z-8ccbbbf1 returned automatic_fail, hold true, exit 1, 10 passed and one failed check, one FND-C74035C8B9E5C4E7 finding with expected B and actual A, and the same four outputs. Canonical result, issue views, readiness summary, and terminal behavior agree.</x:v>
      </x:c>
      <x:c r="E138" s="431" t="str">
        <x:v>Controlled CLI execution / Output inspection / Report reconciliation</x:v>
      </x:c>
      <x:c r="F138" s="431" t="str">
        <x:v>scratch/verification/check11-implementation-20260721/clean-runs; scratch/verification/check11-implementation-20260721/fault-runs; docs/package_assurance/specification_revision_history_implementation_review_2026-07-21.md</x:v>
      </x:c>
      <x:c r="G138" s="431" t="str">
        <x:v>Check-11 output evidence</x:v>
      </x:c>
      <x:c r="H138" s="431" t="str">
        <x:v>Accepted</x:v>
      </x:c>
      <x:c r="I138" s="431" t="str">
        <x:v>The fault changes only one temporary specification-metadata revision from A to valid B; accepted development content remains untouched.</x:v>
      </x:c>
    </x:row>
    <x:row r="139" ht="576" customHeight="1">
      <x:c r="A139" s="431" t="str">
        <x:v>EV-136</x:v>
      </x:c>
      <x:c r="B139" s="431" t="n">
        <x:v>46224</x:v>
      </x:c>
      <x:c r="C139" s="431" t="str">
        <x:v>Check-11 regression and frozen-baseline verification</x:v>
      </x:c>
      <x:c r="D139" s="431" t="str">
        <x:v>Relationship/result/report/CLI focused tests passed 99. The full suite passed 314 with one expected Windows skip at 88.48% coverage. Repository validation passed 5/5; Ruff, frozen baseline 9/9, and portfolio demo 2/2 passed. The tracked diff changes only check-11 code, tests, documentation, and project controls.</x:v>
      </x:c>
      <x:c r="E139" s="431" t="str">
        <x:v>Local deterministic verification / Frozen baseline replay / Diff review</x:v>
      </x:c>
      <x:c r="F139" s="431" t="str">
        <x:v>scratch/verification/check11-implementation-20260721; docs/package_assurance/specification_revision_history_implementation_review_2026-07-21.md; D-107</x:v>
      </x:c>
      <x:c r="G139" s="431" t="str">
        <x:v>Check-11 implementation closeout</x:v>
      </x:c>
      <x:c r="H139" s="431" t="str">
        <x:v>Accepted</x:v>
      </x:c>
      <x:c r="I139" s="431" t="str">
        <x:v>No accepted fixture, authority map, schema, golden, held-out asset, public package, historical result, v0.2 behavior, or acceptance criterion changed.</x:v>
      </x:c>
    </x:row>
    <x:row r="140" ht="522" customHeight="1">
      <x:c r="A140" s="431" t="str">
        <x:v>EV-137</x:v>
      </x:c>
      <x:c r="B140" s="431" t="n">
        <x:v>46224</x:v>
      </x:c>
      <x:c r="C140" s="431" t="str">
        <x:v>D-107 acceptance and check-11 integration</x:v>
      </x:c>
      <x:c r="D140" s="431" t="str">
        <x:v>The CEO accepted D-107. PR #59 passed both GitHub CI runs and merged check 11 at exact main 69c0d1b. The owner then authorized the P2.3 authority-gap disposition and P4 startup.</x:v>
      </x:c>
      <x:c r="E140" s="431" t="str">
        <x:v>User instruction / GitHub checks and merge / Project control</x:v>
      </x:c>
      <x:c r="F140" s="431" t="str">
        <x:v>User instruction 2026-07-21; PR #59; exact main 69c0d1b; docs/package_assurance/specification_revision_history_implementation_review_2026-07-21.md; D-107</x:v>
      </x:c>
      <x:c r="G140" s="431" t="str">
        <x:v>P2.3 completion authority</x:v>
      </x:c>
      <x:c r="H140" s="431" t="str">
        <x:v>Accepted</x:v>
      </x:c>
      <x:c r="I140" s="431" t="str">
        <x:v>No protected held-out semantic execution, public rerun, schema, authority map, fixture, golden, or deferred capability changed during integration.</x:v>
      </x:c>
    </x:row>
    <x:row r="141" ht="567" customHeight="1">
      <x:c r="A141" s="431" t="str">
        <x:v>EV-138</x:v>
      </x:c>
      <x:c r="B141" s="431" t="n">
        <x:v>46224</x:v>
      </x:c>
      <x:c r="C141" s="431" t="str">
        <x:v>P2.3 completion and v0.3.0 claim-boundary decision</x:v>
      </x:c>
      <x:c r="D141" s="431" t="str">
        <x:v>D-108 completes P2.3 for eight gates and eleven relationship checks, explicitly defers six unsupported authority/source claims, excludes those claims from v0.3.0 benchmark/release language, and opens P4.1 development benchmark regression only.</x:v>
      </x:c>
      <x:c r="E141" s="431" t="str">
        <x:v>Reviewed scope disposition / Claim control / P4 entry gate</x:v>
      </x:c>
      <x:c r="F141" s="431" t="str">
        <x:v>docs/package_assurance/p2_3_completion_and_claim_boundary_v0.3.0.md; D-107-D-108; accepted P2.3 definition; acceptance_plan_v0.3.0.md</x:v>
      </x:c>
      <x:c r="G141" s="431" t="str">
        <x:v>P2.3 claim boundary and P4.1 authorization</x:v>
      </x:c>
      <x:c r="H141" s="431" t="str">
        <x:v>Accepted</x:v>
      </x:c>
      <x:c r="I141" s="431" t="str">
        <x:v>The six gaps remain visible limitations, not passes. P4.2 held-out execution remains blocked until the P4.1 evaluator/runner baseline is frozen.</x:v>
      </x:c>
    </x:row>
    <x:row r="142" ht="648" customHeight="1">
      <x:c r="A142" s="431" t="str">
        <x:v>EV-139</x:v>
      </x:c>
      <x:c r="B142" s="431" t="n">
        <x:v>46224</x:v>
      </x:c>
      <x:c r="C142" s="431" t="str">
        <x:v>P4.1 development benchmark definition and safety controls</x:v>
      </x:c>
      <x:c r="D142" s="431" t="str">
        <x:v>P4.1-DEV-1 at implementation commit 4cf9fe8 freezes 22 development scenarios, unique package/scenario IDs, 21 named mutations, exact state/exit/hold/control/finding expectations, two executions, and exact normalized four-output SHA-256 oracles. The runner verifies the accepted baseline hash, excludes expected assets, rejects benchmark-tree output and overwrites, and prevents subset acceptance claims.</x:v>
      </x:c>
      <x:c r="E142" s="431" t="str">
        <x:v>Reviewed definition / Runner implementation / Focused tests</x:v>
      </x:c>
      <x:c r="F142" s="431" t="str">
        <x:v>benchmarks/package_assurance/development/pump_skid_clean_v1/development_benchmark_v1.json; src/mech_eval_harness/package_assurance/development_benchmark.py; scripts/run_package_assurance_development_benchmark.py; tests/test_package_development_benchmark.py; docs/package_assurance/p4_1_development_benchmark_definition_and_review_v0.3.0.md</x:v>
      </x:c>
      <x:c r="G142" s="431" t="str">
        <x:v>P4.1 benchmark contract</x:v>
      </x:c>
      <x:c r="H142" s="431" t="str">
        <x:v>Accepted / Integration Pending</x:v>
      </x:c>
      <x:c r="I142" s="431" t="str">
        <x:v>No accepted clean fixture, hidden expected asset, held-out content, authority map, schema, public package, historical result, or v0.2 behavior changed.</x:v>
      </x:c>
    </x:row>
    <x:row r="143" ht="612" customHeight="1">
      <x:c r="A143" s="431" t="str">
        <x:v>EV-140</x:v>
      </x:c>
      <x:c r="B143" s="431" t="n">
        <x:v>46224</x:v>
      </x:c>
      <x:c r="C143" s="431" t="str">
        <x:v>P4.1 exact development benchmark acceptance execution</x:v>
      </x:c>
      <x:c r="D143" s="431" t="str">
        <x:v>The acceptance execution passed 22/22 scenarios and 44/44 complete four-output audits. All eight gate-failure families and all eleven relationship-failure families were covered; all 22 run pairs were identical after removing only run ID and run metadata; all 22 exact normalized publication hashes matched; no staged package contained expected/.</x:v>
      </x:c>
      <x:c r="E143" s="431" t="str">
        <x:v>Controlled benchmark execution / Exact oracle comparison / Output inspection</x:v>
      </x:c>
      <x:c r="F143" s="431" t="str">
        <x:v>runs/p4.1-development-acceptance-4cf9fe8-final/benchmark_report.json; runs/p4.1-development-acceptance-4cf9fe8-final/benchmark_report.md; implementation 4cf9fe8; P4.1-DEV-1; EV-139</x:v>
      </x:c>
      <x:c r="G143" s="431" t="str">
        <x:v>P4.1 execution evidence</x:v>
      </x:c>
      <x:c r="H143" s="431" t="str">
        <x:v>Accepted / Integration Pending</x:v>
      </x:c>
      <x:c r="I143" s="431" t="str">
        <x:v>Generated evidence is ignored runtime data outside versioned benchmark definitions. Protected held-out semantics were not executed or opened for tuning.</x:v>
      </x:c>
    </x:row>
    <x:row r="144" ht="648" customHeight="1">
      <x:c r="A144" s="431" t="str">
        <x:v>EV-141</x:v>
      </x:c>
      <x:c r="B144" s="431" t="n">
        <x:v>46224</x:v>
      </x:c>
      <x:c r="C144" s="431" t="str">
        <x:v>P4.1 regression, frozen-baseline, and improvement-loop proof</x:v>
      </x:c>
      <x:c r="D144" s="431" t="str">
        <x:v>Focused benchmark tests passed 5. The full suite passed 319 with one expected Windows skip at 88.57% coverage. Repository validation passed 5/5; Ruff, frozen v0.2 baseline 9/9, portfolio demo 2/2, and both hosted Linux CI jobs passed. An unsafe default baseline evidence path was detected, its timestamp-only tracked changes were restored, and IMP-021 plus AGENTS.md now require generated evidence paths.</x:v>
      </x:c>
      <x:c r="E144" s="431" t="str">
        <x:v>Local deterministic verification / Protected-diff check / Improvement loop</x:v>
      </x:c>
      <x:c r="F144" s="431" t="str">
        <x:v>docs/package_assurance/p4_1_development_benchmark_definition_and_review_v0.3.0.md; docs/quality/improvement_register.md; AGENTS.md; runs/p4.1-mvp-baseline-safe; runs/p4.1-portfolio-demo; D-109</x:v>
      </x:c>
      <x:c r="G144" s="431" t="str">
        <x:v>P4.1 verification closeout</x:v>
      </x:c>
      <x:c r="H144" s="431" t="str">
        <x:v>Accepted / Integration Pending</x:v>
      </x:c>
      <x:c r="I144" s="431" t="str">
        <x:v>D-109 was accepted on 2026-07-21. PR #61 integration remains before the exact main freeze and separate P4.2 authorization; all D-108 deferred capabilities remain blocked.</x:v>
      </x:c>
    </x:row>
    <x:row r="145" ht="612" customHeight="1">
      <x:c r="A145" s="431" t="str">
        <x:v>EV-142</x:v>
      </x:c>
      <x:c r="B145" s="431" t="n">
        <x:v>46224</x:v>
      </x:c>
      <x:c r="C145" s="431" t="str">
        <x:v>P4.1 cross-platform exact-oracle stabilization</x:v>
      </x:c>
      <x:c r="D145" s="431" t="str">
        <x:v>The first hosted Linux run failed only the malformed-manifest publication because a sanitized path used a Windows backslash locally and a POSIX slash in CI. Commit 4cf9fe8 canonicalizes stable error paths, adds direct missing/malformed-manifest assertions, changes only the affected oracle, and passes the complete exact matrix locally plus both hosted jobs.</x:v>
      </x:c>
      <x:c r="E145" s="431" t="str">
        <x:v>Hosted red/green CI / Cross-platform differential / Exact-oracle review</x:v>
      </x:c>
      <x:c r="F145" s="431" t="str">
        <x:v>src/mech_eval_harness/package_assurance/gates.py; tests/test_package_gates.py; benchmarks/package_assurance/development/pump_skid_clean_v1/development_benchmark_v1.json; PR #61 checks; IMP-022</x:v>
      </x:c>
      <x:c r="G145" s="431" t="str">
        <x:v>P4.1 portability evidence</x:v>
      </x:c>
      <x:c r="H145" s="431" t="str">
        <x:v>Accepted / Integration Pending</x:v>
      </x:c>
      <x:c r="I145" s="431" t="str">
        <x:v>No engineering outcome, state, hold, finding code, control status, evidence locator, fixture, held-out asset, or deferred claim changed. Stable path rendering and the derived finding ID are now operating-system independent.</x:v>
      </x:c>
    </x:row>
    <x:row r="146" ht="522" customHeight="1">
      <x:c r="A146" s="431" t="str">
        <x:v>EV-143</x:v>
      </x:c>
      <x:c r="B146" s="431" t="n">
        <x:v>46224</x:v>
      </x:c>
      <x:c r="C146" s="431" t="str">
        <x:v>P4.1 accepted integration and exact-main freeze</x:v>
      </x:c>
      <x:c r="D146" s="431" t="str">
        <x:v>D-109 and P4.1 were accepted; PR #61 merged the reviewed development benchmark at exact main 5a4d57e. The accepted implementation remains 4cf9fe8, P4.1-DEV-1 passes 22/22 scenarios twice, and final hosted push/PR checks are green.</x:v>
      </x:c>
      <x:c r="E146" s="431" t="str">
        <x:v>GitHub merge verification / Exact-main freeze / Accepted decision record</x:v>
      </x:c>
      <x:c r="F146" s="431" t="str">
        <x:v>PR #61; main 5a4d57e534bd5e900abac3c455cd484ef083e972; implementation 4cf9fe8; D-109; p4_1_development_benchmark_definition_and_review_v0.3.0.md</x:v>
      </x:c>
      <x:c r="G146" s="431" t="str">
        <x:v>P4.1 integration closeout</x:v>
      </x:c>
      <x:c r="H146" s="431" t="str">
        <x:v>Accepted</x:v>
      </x:c>
      <x:c r="I146" s="431" t="str">
        <x:v>P4.1 behavior and bounded four-state claim are frozen. P4.2 remained separately gated.</x:v>
      </x:c>
    </x:row>
    <x:row r="147" ht="558" customHeight="1">
      <x:c r="A147" s="431" t="str">
        <x:v>EV-144</x:v>
      </x:c>
      <x:c r="B147" s="431" t="n">
        <x:v>46224</x:v>
      </x:c>
      <x:c r="C147" s="431" t="str">
        <x:v>P4.2 held-out exposure and replacement-gate definition</x:v>
      </x:c>
      <x:c r="D147" s="431" t="str">
        <x:v>The implementation context exposed top-level held-out metadata before first execution. No protected/expected content was opened, no audit ran, no result exists, and no behavior changed. D-110 applies accepted contamination policy, preserves the family unchanged and unexecuted, and defines an isolated materially distinct replacement protocol.</x:v>
      </x:c>
      <x:c r="E147" s="431" t="str">
        <x:v>Control-boundary review / Contamination classification / Replacement protocol</x:v>
      </x:c>
      <x:c r="F147" s="431" t="str">
        <x:v>docs/package_assurance/p4_2_held_out_contamination_and_replacement_gate_v0.3.0.md; AGENTS.md; docs/quality/improvement_register.md; D-110; I-006; IMP-023</x:v>
      </x:c>
      <x:c r="G147" s="431" t="str">
        <x:v>P4.2 recovery gate</x:v>
      </x:c>
      <x:c r="H147" s="431" t="str">
        <x:v>Ready for CEO review</x:v>
      </x:c>
      <x:c r="I147" s="431" t="str">
        <x:v>P4.2 semantic execution, replacement authoring in this context, P4.3 release work, and held-out release claims remain blocked.</x:v>
      </x:c>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46224</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67.5" hidden="0" customHeight="1">
      <x:c r="A6" s="765" t="str">
        <x:v>Repository state</x:v>
      </x:c>
      <x:c r="B6" s="431" t="str">
        <x:v>v0.2.0 released and frozen at accepted commit 45336a2</x:v>
      </x:c>
      <x:c r="C6" s="765" t="str">
        <x:v>Verification</x:v>
      </x:c>
      <x:c r="D6" s="431" t="str">
        <x:v>121 tests; clean-clone acceptance; baseline 9/9; demo 2/2</x:v>
      </x:c>
      <x:c r="E6" s="765" t="str">
        <x:v>Active release</x:v>
      </x:c>
      <x:c r="F6" s="431" t="str">
        <x:v>v0.3.0 Package Assurance Pilot</x:v>
      </x:c>
      <x:c r="G6" s="765" t="str">
        <x:v>Active WBS</x:v>
      </x:c>
      <x:c r="H6" s="431" t="str">
        <x:v>P4.2 blocked; D-110 replacement decision required</x:v>
      </x:c>
    </x:row>
    <x:row r="7" ht="130.5" hidden="0" customHeight="1">
      <x:c r="A7" s="765" t="str">
        <x:v>Released capability</x:v>
      </x:c>
      <x:c r="B7" s="431" t="str">
        <x:v>Model/runtime-agnostic deterministic evaluation kernel with candidate loading, mandatory gates, deterministic checks, weighted scoring, structured evidence, evaluate CLI, immutable results, five reviewed cases, frozen split, CI, docs, demo, and release proof.</x:v>
      </x:c>
      <x:c r="C7" s="765" t="str">
        <x:v>Current gap</x:v>
      </x:c>
      <x:c r="D7" s="431" t="str">
        <x:v>P4.1 and D-109 are integrated at exact main 5a4d57e. The existing held-out family remains unexecuted but is contaminated for release claims by pre-run oracle metadata exposure.</x:v>
      </x:c>
      <x:c r="E7" s="765" t="str">
        <x:v>Product interpretation</x:v>
      </x:c>
      <x:c r="F7" s="431" t="str">
        <x:v>Successful kernel; not yet a complete economically useful workflow.</x:v>
      </x:c>
      <x:c r="G7" s="765" t="str">
        <x:v>Response</x:v>
      </x:c>
      <x:c r="H7" s="431" t="str">
        <x:v>Review D-110; do not execute or inspect the exposed family further.</x:v>
      </x:c>
    </x:row>
    <x:row r="8" ht="153" hidden="0" customHeight="1">
      <x:c r="A8" s="765" t="str">
        <x:v>Immediate next action</x:v>
      </x:c>
      <x:c r="B8" s="431" t="str">
        <x:v>D-110 review: preserve the exposed family unchanged, classify it as release-ineligible, and authorize an isolated materially distinct replacement.</x:v>
      </x:c>
      <x:c r="C8" s="765" t="str">
        <x:v>Selected vertical</x:v>
      </x:c>
      <x:c r="D8" s="431" t="str">
        <x:v>D-110 acceptance -&gt; isolated replacement authoring and freeze review -&gt; separate first-run authorization -&gt; one-run held-out comparison -&gt; P4.3 clean-clone acceptance.</x:v>
      </x:c>
      <x:c r="E8" s="765" t="str">
        <x:v>Primary deliverable</x:v>
      </x:c>
      <x:c r="F8" s="431" t="str">
        <x:v>Evidence-linked issue register plus release-readiness summary.</x:v>
      </x:c>
      <x:c r="G8" s="765" t="str">
        <x:v>Scope rule</x:v>
      </x:c>
      <x:c r="H8" s="431"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9.5" customHeight="1">
      <x:c r="A18" s="766" t="str">
        <x:v>Task</x:v>
      </x:c>
      <x:c r="B18" s="698" t="str">
        <x:v>Instructions, controlled inputs, deliverable, constraints, authority model, and evaluation intent.</x:v>
      </x:c>
      <x:c r="C18" s="698"/>
      <x:c r="D18" s="766" t="n">
        <x:v>1</x:v>
      </x:c>
      <x:c r="E18" s="698" t="str">
        <x:v>Approved workflow contract and authority map.</x:v>
      </x:c>
      <x:c r="F18" s="698"/>
      <x:c r="G18" s="698"/>
      <x:c r="H18" s="698"/>
    </x:row>
    <x:row r="19" ht="49.5" customHeight="1">
      <x:c r="A19" s="766" t="str">
        <x:v>Agent</x:v>
      </x:c>
      <x:c r="B19" s="698" t="str">
        <x:v>Direct model, Codex/OpenClaw/another harness, deterministic software, or human producer remains replaceable.</x:v>
      </x:c>
      <x:c r="C19" s="698"/>
      <x:c r="D19" s="766" t="n">
        <x:v>2</x:v>
      </x:c>
      <x:c r="E19" s="698" t="str">
        <x:v>Versioned package manifest plus development and held-out packages.</x:v>
      </x:c>
      <x:c r="F19" s="698"/>
      <x:c r="G19" s="698"/>
      <x:c r="H19" s="698"/>
    </x:row>
    <x:row r="20" ht="49.5" customHeight="1">
      <x:c r="A20" s="766" t="str">
        <x:v>Environment</x:v>
      </x:c>
      <x:c r="B20" s="698" t="str">
        <x:v>Files, tools, permissions, shell/GUI state, network access, and destructive/external actions are explicitly bounded.</x:v>
      </x:c>
      <x:c r="C20" s="698"/>
      <x:c r="D20" s="766" t="n">
        <x:v>3</x:v>
      </x:c>
      <x:c r="E20" s="698" t="str">
        <x:v>Mandatory package gates before consistency scoring.</x:v>
      </x:c>
      <x:c r="F20" s="698"/>
      <x:c r="G20" s="698"/>
      <x:c r="H20" s="698"/>
    </x:row>
    <x:row r="21" ht="49.5" customHeight="1">
      <x:c r="A21" s="766" t="str">
        <x:v>Trace / Artifacts</x:v>
      </x:c>
      <x:c r="B21" s="698" t="str">
        <x:v>Actions, tool calls, file states, errors, corrections, candidate artifacts, and generated reports are preserved.</x:v>
      </x:c>
      <x:c r="C21" s="698"/>
      <x:c r="D21" s="766" t="n">
        <x:v>4</x:v>
      </x:c>
      <x:c r="E21" s="698" t="str">
        <x:v>Deterministic cross-document checks with evidence.</x:v>
      </x:c>
      <x:c r="F21" s="698"/>
      <x:c r="G21" s="698"/>
      <x:c r="H21" s="698"/>
    </x:row>
    <x:row r="22" ht="49.5" customHeight="1">
      <x:c r="A22" s="766" t="str">
        <x:v>Evaluator</x:v>
      </x:c>
      <x:c r="B22" s="698" t="str">
        <x:v>Independent gates, rules, tolerances, authority resolution, result-state routing, and failure evidence.</x:v>
      </x:c>
      <x:c r="C22" s="698"/>
      <x:c r="D22" s="766" t="n">
        <x:v>5</x:v>
      </x:c>
      <x:c r="E22" s="698" t="str">
        <x:v>Explicit pass/fail/review/missing-authority/tool-failure/uncertainty states.</x:v>
      </x:c>
      <x:c r="F22" s="698"/>
      <x:c r="G22" s="698"/>
      <x:c r="H22" s="698"/>
    </x:row>
    <x:row r="23" ht="49.5" customHeight="1">
      <x:c r="A23" s="766" t="str">
        <x:v>Results</x:v>
      </x:c>
      <x:c r="B23" s="698" t="str">
        <x:v>Immutable package result, issue register, release summary, artifact references, versions, and benchmark status.</x:v>
      </x:c>
      <x:c r="C23" s="698"/>
      <x:c r="D23" s="766" t="n">
        <x:v>6</x:v>
      </x:c>
      <x:c r="E23" s="698" t="str">
        <x:v>audit-package CLI plus immutable result and report views.</x:v>
      </x:c>
      <x:c r="F23" s="698"/>
      <x:c r="G23" s="698"/>
      <x:c r="H23" s="698"/>
    </x:row>
    <x:row r="24" ht="49.5" customHeight="1">
      <x:c r="A24" s="766" t="str">
        <x:v>Separation rule</x:v>
      </x:c>
      <x:c r="B24" s="698" t="str">
        <x:v>Benchmark case definitions and golden relationships are versioned inputs; runs and reports are generated evidence.</x:v>
      </x:c>
      <x:c r="C24" s="698"/>
      <x:c r="D24" s="766" t="n">
        <x:v>7</x:v>
      </x:c>
      <x:c r="E24" s="698" t="str">
        <x:v>Frozen development/held-out benchmark and false-negative review.</x:v>
      </x:c>
      <x:c r="F24" s="698"/>
      <x:c r="G24" s="698"/>
      <x:c r="H24" s="698"/>
    </x:row>
    <x:row r="25" ht="49.5" customHeight="1">
      <x:c r="A25" s="766" t="str">
        <x:v>Engineering boundary</x:v>
      </x:c>
      <x:c r="B25" s="698" t="str">
        <x:v>No engineering sign-off, stamped deliverables, autonomous release, code-compliance opinion, or final safety-critical decision.</x:v>
      </x:c>
      <x:c r="C25" s="698"/>
      <x:c r="D25" s="766" t="n">
        <x:v>8</x:v>
      </x:c>
      <x:c r="E25" s="698" t="str">
        <x:v>Tests, CI, clean-clone acceptance, docs, demo, service specification, and v0.3.0 tag.</x:v>
      </x:c>
      <x:c r="F25" s="698"/>
      <x:c r="G25" s="698"/>
      <x:c r="H25" s="698"/>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63" hidden="0" customHeight="1">
      <x:c r="A28" s="766" t="str">
        <x:v>Evidence</x:v>
      </x:c>
      <x:c r="B28" s="698" t="str">
        <x:v>v0.2.0 is released at accepted commit 45336a2 with five reviewed cases, 121 tests, clean-clone acceptance, baseline 9/9, demo 2/2, immutable results, CI, documentation, and an annotated tag.</x:v>
      </x:c>
      <x:c r="C28" s="766" t="str">
        <x:v>Gap</x:v>
      </x:c>
      <x:c r="D28" s="698" t="str">
        <x:v>The evidence proves the kernel, not a realistic package-assurance outcome.</x:v>
      </x:c>
      <x:c r="E28" s="766" t="str">
        <x:v>Response</x:v>
      </x:c>
      <x:c r="F28" s="698" t="str">
        <x:v>Preserve v0.2.0; build v0.3.0 as a separate vertical release.</x:v>
      </x:c>
      <x:c r="G28" s="766" t="str">
        <x:v>Owner</x:v>
      </x:c>
      <x:c r="H28" s="698" t="str">
        <x:v>Jason</x:v>
      </x:c>
    </x:row>
    <x:row r="29" ht="63" hidden="0" customHeight="1">
      <x:c r="A29" s="766" t="str">
        <x:v>Evidence</x:v>
      </x:c>
      <x:c r="B29" s="698" t="str">
        <x:v>Existing cases already exercise revision auditing, BOM reconciliation, unit errors, and structured failure evidence.</x:v>
      </x:c>
      <x:c r="C29" s="766" t="str">
        <x:v>Gap</x:v>
      </x:c>
      <x:c r="D29" s="698" t="str">
        <x:v>They are isolated case files rather than one coherent multi-document release package.</x:v>
      </x:c>
      <x:c r="E29" s="766" t="str">
        <x:v>Response</x:v>
      </x:c>
      <x:c r="F29" s="698" t="str">
        <x:v>Create a package manifest and relationship model that composes those concepts.</x:v>
      </x:c>
      <x:c r="G29" s="766" t="str">
        <x:v>Owner</x:v>
      </x:c>
      <x:c r="H29" s="698" t="str">
        <x:v>Jason</x:v>
      </x:c>
    </x:row>
    <x:row r="30" ht="63" hidden="0" customHeight="1">
      <x:c r="A30" s="766" t="str">
        <x:v>Evidence</x:v>
      </x:c>
      <x:c r="B30" s="698" t="str">
        <x:v>MECH-003 is frozen as held-out but was historically seen before the split.</x:v>
      </x:c>
      <x:c r="C30" s="766" t="str">
        <x:v>Gap</x:v>
      </x:c>
      <x:c r="D30" s="698" t="str">
        <x:v>It is not a pristine blind benchmark.</x:v>
      </x:c>
      <x:c r="E30" s="766" t="str">
        <x:v>Response</x:v>
      </x:c>
      <x:c r="F30" s="698" t="str">
        <x:v>Author and freeze a materially distinct held-out package before rule tuning.</x:v>
      </x:c>
      <x:c r="G30" s="766" t="str">
        <x:v>Owner</x:v>
      </x:c>
      <x:c r="H30" s="698" t="str">
        <x:v>Jason</x:v>
      </x:c>
    </x:row>
    <x:row r="31" ht="63" customHeight="1">
      <x:c r="A31" s="766" t="str">
        <x:v>Evidence</x:v>
      </x:c>
      <x:c r="B31" s="698" t="str">
        <x:v>Capable long-horizon coding agents improve repository work, tool use, and artifact production.</x:v>
      </x:c>
      <x:c r="C31" s="766" t="str">
        <x:v>Gap</x:v>
      </x:c>
      <x:c r="D31" s="698" t="str">
        <x:v>Stronger agents can also overreach, take unauthorized actions, or overclaim completion.</x:v>
      </x:c>
      <x:c r="E31" s="766" t="str">
        <x:v>Response</x:v>
      </x:c>
      <x:c r="F31" s="698" t="str">
        <x:v>Use supervised worktrees, explicit permissions, independent verification, and deterministic acceptance gates.</x:v>
      </x:c>
      <x:c r="G31" s="766" t="str">
        <x:v>Owner</x:v>
      </x:c>
      <x:c r="H31" s="698" t="str">
        <x:v>Jason</x:v>
      </x:c>
    </x:row>
    <x:row r="32" ht="63" customHeight="1">
      <x:c r="A32" s="766" t="str">
        <x:v>Control rule</x:v>
      </x:c>
      <x:c r="B32" s="698" t="str">
        <x:v>One branch per coherent capability; tests support the product; failed runs and uncertainty are evidence.</x:v>
      </x:c>
      <x:c r="C32" s="766" t="str">
        <x:v>Risk</x:v>
      </x:c>
      <x:c r="D32" s="698" t="str">
        <x:v>Planning, framework work, or extraction complexity can displace the actual package workflow.</x:v>
      </x:c>
      <x:c r="E32" s="766" t="str">
        <x:v>Response</x:v>
      </x:c>
      <x:c r="F32" s="698" t="str">
        <x:v>P1.3 remains frozen pre-tuning. Tracked path metadata was inadvertently enumerated and opaque integrity tests ran; protected source/oracle content was not opened or used for tuning. First semantic held-out evaluation remains gated.</x:v>
      </x:c>
      <x:c r="G32" s="766" t="str">
        <x:v>Owner</x:v>
      </x:c>
      <x:c r="H32" s="698"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630" hidden="0" customHeight="1">
      <x:c r="A41" s="604" t="str">
        <x:v>Immediate implication</x:v>
      </x:c>
      <x:c r="B41" s="605"/>
      <x:c r="C41" s="606" t="str">
        <x:v>PR #61 integrated accepted P4.1 at exact main 5a4d57e. P4.2 semantic execution has not begun. During definition, this implementation context listed held-out paths and opened ACCESS_CONTROL.md, family_metadata.json, freeze_record.json, family_review.md, and material_distinction.md. No protected or scenario-expected content was opened and no evaluator behavior changed, but the top-level records disclosed expected conditions and states. Accepted contamination policy therefore makes FAM-HO-INSTRUMENT-AIR-001 ineligible for release held-out claims. Preserve it unchanged and unexecuted. D-110 proposes an isolated replacement-custodian context that sees public contracts but not evaluator source, development oracles, prior held-out oracle content, or generated results; the replacement must be materially distinct, use only the D-109 semantic boundary, be hash-frozen before execution, and receive separate owner acceptance. IMP-023 prevents future implementer recursion into any held-out family directory. P4.2, P4.3, protected changes, public reruns, and deferred capabilities remain blocked.</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048a346a9284445e"/>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171"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Complete</x:v>
      </x:c>
      <x:c r="L12" s="664" t="n">
        <x:v>1</x:v>
      </x:c>
      <x:c r="M12" s="662" t="n">
        <x:f>SUMIF('Work Block Log'!$E$5:$E$200,A12,'Work Block Log'!$F$5:$F$200)</x:f>
        <x:v>0</x:v>
      </x:c>
      <x:c r="N12" s="662" t="n">
        <x:f>MAX(F12*(1-L12),0)</x:f>
        <x:v>0</x:v>
      </x:c>
      <x:c r="O12" s="662" t="n">
        <x:f>M12-F12</x:f>
        <x:v>-4</x:v>
      </x:c>
      <x:c r="P12" s="431" t="str">
        <x:v>five ordered drawing checks accepted and integrated; implementation 4f06352; PR #36 merge 5b32b6d; PR #37 exact main 5571d2a; D-072-D-076; EV-069-EV-073; IMP-012</x:v>
      </x:c>
      <x:c r="Q12" s="431" t="str">
        <x:v>P2.2 is closed for the accepted vertical slice. Preserve the five-check order and behavior as the accepted predecessor for P2.4.</x:v>
      </x:c>
      <x:c r="R12" s="431" t="str">
        <x:v>Exact merged-tree verification: relationship 25; focused 51; full 222/1; validation 5/5; Ruff; coverage 85.64%; GitHub CI green. Protected assets and v0.2 behavior unchanged.</x:v>
      </x:c>
      <x:c r="S12" s="669"/>
      <x:c r="T12" s="669"/>
      <x:c r="U12" s="669" t="str">
        <x:v>■</x:v>
      </x:c>
      <x:c r="V12" s="669"/>
      <x:c r="W12" s="669"/>
      <x:c r="X12" s="669"/>
    </x:row>
    <x:row r="13" ht="603" customHeight="1">
      <x:c r="A13" s="431" t="str">
        <x:v>P2.3</x:v>
      </x:c>
      <x:c r="B13" s="431" t="str">
        <x:v>P2 Consistency Rules</x:v>
      </x:c>
      <x:c r="C13" s="431" t="str">
        <x:v>Implement BOM, equipment-list, and datasheet checks</x:v>
      </x:c>
      <x:c r="D13" s="431" t="str">
        <x:v>The accepted structured audit implements six P2.3 checks for BOM/equipment, drawing presence, datasheet authority/association/manifest reciprocity, and specification revision history. Six unsupported claims are explicitly deferred.</x:v>
      </x:c>
      <x:c r="E13" s="431" t="str">
        <x:v>P3.3</x:v>
      </x:c>
      <x:c r="F13" s="662" t="n">
        <x:v>4</x:v>
      </x:c>
      <x:c r="G13" s="431" t="n">
        <x:v>3</x:v>
      </x:c>
      <x:c r="H13" s="431" t="n">
        <x:v>4</x:v>
      </x:c>
      <x:c r="I13" s="429" t="n">
        <x:f>$B$1+(G13-1)*7</x:f>
        <x:v>46230</x:v>
      </x:c>
      <x:c r="J13" s="429" t="n">
        <x:f>$B$1+H13*7-1</x:f>
        <x:v>46243</x:v>
      </x:c>
      <x:c r="K13" s="431" t="str">
        <x:v>Complete</x:v>
      </x:c>
      <x:c r="L13" s="664" t="n">
        <x:v>1</x:v>
      </x:c>
      <x:c r="M13" s="662" t="n">
        <x:f>SUMIF('Work Block Log'!$E$5:$E$200,A13,'Work Block Log'!$F$5:$F$200)</x:f>
        <x:v>0</x:v>
      </x:c>
      <x:c r="N13" s="662" t="n">
        <x:f>MAX(F13*(1-L13),0)</x:f>
        <x:v>0</x:v>
      </x:c>
      <x:c r="O13" s="662" t="n">
        <x:f>M13-F13</x:f>
        <x:v>-4</x:v>
      </x:c>
      <x:c r="P13" s="431" t="str">
        <x:v>checks 6-11 integrated; PR #59 exact main 69c0d1b; D-085-D-108; EV-082-EV-138; eight gates; eleven checks; clean 11/11; isolated fault proofs; six unsupported claims explicitly deferred; v0.3 claim boundary frozen</x:v>
      </x:c>
      <x:c r="Q13" s="431" t="str">
        <x:v>P2.3 is complete. Begin P4.1 development benchmark regression and fault-injection coverage on a separate branch.</x:v>
      </x:c>
      <x:c r="R13" s="431" t="str">
        <x:v>v0.3.0 claims are limited to the eight gates, eleven checks, state router, and four outputs. Quantity, part/material, BOM-item/drawing, equipment/specification, datasheet-revision, and controlled technical-value reconciliation are deferred.</x:v>
      </x:c>
      <x:c r="S13" s="669"/>
      <x:c r="T13" s="669"/>
      <x:c r="U13" s="669" t="str">
        <x:v>■</x:v>
      </x:c>
      <x:c r="V13" s="669" t="str">
        <x:v>■</x:v>
      </x:c>
      <x:c r="W13" s="669"/>
      <x:c r="X13" s="669"/>
    </x:row>
    <x:row r="14" ht="171"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x:v>
      </x:c>
      <x:c r="F14" s="662" t="n">
        <x:v>3</x:v>
      </x:c>
      <x:c r="G14" s="431" t="n">
        <x:v>4</x:v>
      </x:c>
      <x:c r="H14" s="431" t="n">
        <x:v>4</x:v>
      </x:c>
      <x:c r="I14" s="429" t="n">
        <x:f>$B$1+(G14-1)*7</x:f>
        <x:v>46237</x:v>
      </x:c>
      <x:c r="J14" s="429" t="n">
        <x:f>$B$1+H14*7-1</x:f>
        <x:v>46243</x:v>
      </x:c>
      <x:c r="K14" s="431" t="str">
        <x:v>Complete</x:v>
      </x:c>
      <x:c r="L14" s="664" t="n">
        <x:v>1</x:v>
      </x:c>
      <x:c r="M14" s="662" t="n">
        <x:f>SUMIF('Work Block Log'!$E$5:$E$200,A14,'Work Block Log'!$F$5:$F$200)</x:f>
        <x:v>0</x:v>
      </x:c>
      <x:c r="N14" s="662" t="n">
        <x:f>MAX(F14*(1-L14),0)</x:f>
        <x:v>0</x:v>
      </x:c>
      <x:c r="O14" s="662" t="n">
        <x:f>M14-F14</x:f>
        <x:v>-3</x:v>
      </x:c>
      <x:c r="P14" s="431" t="str">
        <x:v>accepted implementation cbcfc2b; review evidence 9caef2b; PR #39 exact main cd9b52e; D-077-D-078; EV-074-EV-075; focused result 15; full 237/1; validation 5/5; Ruff; coverage 86.10%; CI green; IMP-012</x:v>
      </x:c>
      <x:c r="Q14" s="431" t="str">
        <x:v>P2.4 is accepted and closed. Preserve package_result.json as the sole source for P3 views and CLI rendering.</x:v>
      </x:c>
      <x:c r="R14" s="431" t="str">
        <x:v>Exact merged-tree behavior matches reviewed evidence. Frozen v0.2 result behavior and protected assets are unchanged.</x:v>
      </x:c>
      <x:c r="S14" s="669"/>
      <x:c r="T14" s="669"/>
      <x:c r="U14" s="669"/>
      <x:c r="V14" s="669" t="str">
        <x:v>■</x:v>
      </x:c>
      <x:c r="W14" s="669"/>
      <x:c r="X14" s="669"/>
    </x:row>
    <x:row r="15" ht="216"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Complete</x:v>
      </x:c>
      <x:c r="L15" s="664" t="n">
        <x:v>1</x:v>
      </x:c>
      <x:c r="M15" s="662" t="n">
        <x:f>SUMIF('Work Block Log'!$E$5:$E$200,A15,'Work Block Log'!$F$5:$F$200)</x:f>
        <x:v>0</x:v>
      </x:c>
      <x:c r="N15" s="662" t="n">
        <x:f>MAX(F15*(1-L15),0)</x:f>
        <x:v>0</x:v>
      </x:c>
      <x:c r="O15" s="662" t="n">
        <x:f>M15-F15</x:f>
        <x:v>-4</x:v>
      </x:c>
      <x:c r="P15" s="431" t="str">
        <x:v>accepted implementation 2f93335; review evidence 8f66b12; exact main 8f66b12; D-079-D-080; EV-076-EV-077; focused result/report 26; full 248/1; validation 5/5; Ruff; coverage 86.49%; inspected issue views; IMP-012</x:v>
      </x:c>
      <x:c r="Q15" s="431" t="str">
        <x:v>P3.1 is accepted and closed. Preserve its strict result-loading and pure view behavior as the predecessor for P3.2 and P3.3.</x:v>
      </x:c>
      <x:c r="R15" s="431" t="str">
        <x:v>Exact merged-tree behavior matches reviewed evidence. Frozen v0.2 behavior and protected assets are unchanged.</x:v>
      </x:c>
      <x:c r="S15" s="669"/>
      <x:c r="T15" s="669"/>
      <x:c r="U15" s="669"/>
      <x:c r="V15" s="669" t="str">
        <x:v>■</x:v>
      </x:c>
      <x:c r="W15" s="669"/>
      <x:c r="X15" s="669"/>
    </x:row>
    <x:row r="16" ht="216"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Complete</x:v>
      </x:c>
      <x:c r="L16" s="664" t="n">
        <x:v>1</x:v>
      </x:c>
      <x:c r="M16" s="662" t="n">
        <x:f>SUMIF('Work Block Log'!$E$5:$E$200,A16,'Work Block Log'!$F$5:$F$200)</x:f>
        <x:v>0</x:v>
      </x:c>
      <x:c r="N16" s="662" t="n">
        <x:f>MAX(F16*(1-L16),0)</x:f>
        <x:v>0</x:v>
      </x:c>
      <x:c r="O16" s="662" t="n">
        <x:f>M16-F16</x:f>
        <x:v>-2</x:v>
      </x:c>
      <x:c r="P16" s="431" t="str">
        <x:v>accepted implementation 7536bea; review evidence/main 4b848b9; exact main 4b848b9; D-081-D-082; EV-078-EV-079; readiness 10; focused result/report 36; full 258/1; validation 5/5; Ruff; coverage 86.75%; inspected fault summary; IMP-012</x:v>
      </x:c>
      <x:c r="Q16" s="431" t="str">
        <x:v>P3.2 is accepted and closed. Preserve its strict result loading and pure non-approving view as an input to P3.3 publication.</x:v>
      </x:c>
      <x:c r="R16" s="431" t="str">
        <x:v>Exact merged-tree behavior matches reviewed evidence. Frozen v0.2 behavior and protected assets are unchanged.</x:v>
      </x:c>
      <x:c r="S16" s="669"/>
      <x:c r="T16" s="669"/>
      <x:c r="U16" s="669"/>
      <x:c r="V16" s="669" t="str">
        <x:v>■</x:v>
      </x:c>
      <x:c r="W16" s="669"/>
      <x:c r="X16" s="669"/>
    </x:row>
    <x:row r="17" ht="216"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Complete</x:v>
      </x:c>
      <x:c r="L17" s="664" t="n">
        <x:v>1</x:v>
      </x:c>
      <x:c r="M17" s="662" t="n">
        <x:f>SUMIF('Work Block Log'!$E$5:$E$200,A17,'Work Block Log'!$F$5:$F$200)</x:f>
        <x:v>0</x:v>
      </x:c>
      <x:c r="N17" s="662" t="n">
        <x:f>MAX(F17*(1-L17),0)</x:f>
        <x:v>0</x:v>
      </x:c>
      <x:c r="O17" s="662" t="n">
        <x:f>M17-F17</x:f>
        <x:v>-2</x:v>
      </x:c>
      <x:c r="P17" s="431" t="str">
        <x:v>accepted implementation b5f0fcd; review evidence 411928e; PR #40 exact main e4080fd; D-083-D-084; EV-080-EV-081; focused result/report/CLI 49; full 271/1; validation 5/5; Ruff; coverage 86.76%; inspected clean/fifth-check fault; IMP-012</x:v>
      </x:c>
      <x:c r="Q17" s="431" t="str">
        <x:v>P3.3 is accepted and closed. Preserve atomic four-output publication, stable exits, controlled-failure evidence, and unchanged v0.2 commands as the P2.3 execution path.</x:v>
      </x:c>
      <x:c r="R17" s="431" t="str">
        <x:v>Exact merged-tree behavior matches reviewed evidence. P2.3 definition is authorized; semantic held-out execution and deferred capabilities remain blocked.</x:v>
      </x:c>
      <x:c r="S17" s="669"/>
      <x:c r="T17" s="669"/>
      <x:c r="U17" s="669"/>
      <x:c r="V17" s="669"/>
      <x:c r="W17" s="669" t="str">
        <x:v>■</x:v>
      </x:c>
      <x:c r="X17" s="669"/>
    </x:row>
    <x:row r="18" ht="603"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P2.3</x:v>
      </x:c>
      <x:c r="F18" s="662" t="n">
        <x:v>3</x:v>
      </x:c>
      <x:c r="G18" s="431" t="n">
        <x:v>5</x:v>
      </x:c>
      <x:c r="H18" s="431" t="n">
        <x:v>5</x:v>
      </x:c>
      <x:c r="I18" s="429" t="n">
        <x:f>$B$1+(G18-1)*7</x:f>
        <x:v>46244</x:v>
      </x:c>
      <x:c r="J18" s="429" t="n">
        <x:f>$B$1+H18*7-1</x:f>
        <x:v>46250</x:v>
      </x:c>
      <x:c r="K18" s="431" t="str">
        <x:v>Complete</x:v>
      </x:c>
      <x:c r="L18" s="664" t="n">
        <x:v>1</x:v>
      </x:c>
      <x:c r="M18" s="662" t="n">
        <x:f>SUMIF('Work Block Log'!$E$5:$E$200,A18,'Work Block Log'!$F$5:$F$200)</x:f>
        <x:v>0</x:v>
      </x:c>
      <x:c r="N18" s="662" t="n">
        <x:f>MAX(F18*(1-L18),0)</x:f>
        <x:v>0</x:v>
      </x:c>
      <x:c r="O18" s="662" t="n">
        <x:f>M18-F18</x:f>
        <x:v>-3</x:v>
      </x:c>
      <x:c r="P18" s="431" t="str">
        <x:v>PR #61 exact main 5a4d57e; implementation 4cf9fe8; P4.1-DEV-1; D-109 accepted; EV-139-EV-143; IMP-020-IMP-022; 22/22 scenarios; 44/44 publications; 8/8 gates; 11/11 checks; full 319/1; hosted Linux CI green</x:v>
      </x:c>
      <x:c r="Q18" s="431" t="str">
        <x:v>P4.1 is accepted and closed; preserve its exact evaluator and runner behavior while P4.2 replacement controls are reviewed.</x:v>
      </x:c>
      <x:c r="R18" s="431" t="str">
        <x:v>Four result states have genuine full-package evidence; engineering_review_required and evaluator_uncertainty remain router/exit contract only under D-109.</x:v>
      </x:c>
      <x:c r="S18" s="669"/>
      <x:c r="T18" s="669"/>
      <x:c r="U18" s="669"/>
      <x:c r="V18" s="669"/>
      <x:c r="W18" s="669" t="str">
        <x:v>■</x:v>
      </x:c>
      <x:c r="X18" s="669"/>
    </x:row>
    <x:row r="19" ht="585"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Blocked / Definition Review</x:v>
      </x:c>
      <x:c r="L19" s="664" t="n">
        <x:v>0.1</x:v>
      </x:c>
      <x:c r="M19" s="662" t="n">
        <x:f>SUMIF('Work Block Log'!$E$5:$E$200,A19,'Work Block Log'!$F$5:$F$200)</x:f>
        <x:v>0</x:v>
      </x:c>
      <x:c r="N19" s="662" t="n">
        <x:f>MAX(F19*(1-L19),0)</x:f>
        <x:v>2.7</x:v>
      </x:c>
      <x:c r="O19" s="662" t="n">
        <x:f>M19-F19</x:f>
        <x:v>-3</x:v>
      </x:c>
      <x:c r="P19" s="431" t="str">
        <x:v>codex/p4.2-held-out-benchmark-definition; D-110 proposed; I-006; EV-144; IMP-023; existing family unexecuted and release-ineligible; exact main 5a4d57e</x:v>
      </x:c>
      <x:c r="Q19" s="431" t="str">
        <x:v>CEO reviews D-110 and, if accepted, authorizes a fresh isolated replacement-family authoring and freeze block only.</x:v>
      </x:c>
      <x:c r="R19" s="431" t="str">
        <x:v>Do not execute, edit, relabel, or inspect the exposed family further. Do not author the replacement in this implementation context. No P4.2 release claim exists.</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0.8108695652173913</x:v>
      </x:c>
      <x:c r="M24" s="683" t="n">
        <x:f>SUM(M6:M22)</x:f>
        <x:v>0</x:v>
      </x:c>
      <x:c r="N24" s="683" t="n">
        <x:f>SUM(N6:N22)</x:f>
        <x:v>8.7</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P4.2 Held-Out Recovery Review</x:v>
      </x:c>
      <x:c r="B1" s="686"/>
      <x:c r="C1" s="686"/>
      <x:c r="D1" s="686"/>
      <x:c r="E1" s="686"/>
      <x:c r="F1" s="686"/>
      <x:c r="G1" s="686"/>
      <x:c r="H1" s="686"/>
    </x:row>
    <x:row r="3">
      <x:c r="A3" s="687" t="str">
        <x:v>Key Metrics</x:v>
      </x:c>
      <x:c r="B3" s="687"/>
      <x:c r="C3" s="687"/>
      <x:c r="D3" s="687"/>
      <x:c r="F3" s="687" t="str">
        <x:v>Current Focus</x:v>
      </x:c>
      <x:c r="G3" s="687"/>
      <x:c r="H3" s="687"/>
    </x:row>
    <x:row r="4" ht="54" customHeight="1">
      <x:c r="A4" s="688" t="str">
        <x:v>Control Basis</x:v>
      </x:c>
      <x:c r="B4" s="692" t="str">
        <x:v>Gate and evidence based</x:v>
      </x:c>
      <x:c r="C4" s="691"/>
      <x:c r="D4" s="691"/>
      <x:c r="F4" s="696" t="str">
        <x:v>Active WBS</x:v>
      </x:c>
      <x:c r="G4" s="697" t="str">
        <x:v>P4.2 - held-out contamination and replacement definition</x:v>
      </x:c>
      <x:c r="H4" s="697"/>
    </x:row>
    <x:row r="5" ht="72" customHeight="1">
      <x:c r="A5" s="688" t="str">
        <x:v>Schedule Baseline</x:v>
      </x:c>
      <x:c r="B5" s="693" t="str">
        <x:v>Legacy only; not controlling</x:v>
      </x:c>
      <x:c r="C5" s="691"/>
      <x:c r="D5" s="691"/>
      <x:c r="F5" s="696" t="str">
        <x:v>Objective</x:v>
      </x:c>
      <x:c r="G5" s="697" t="str">
        <x:v>Recover a valid release held-out boundary without running, editing, or relabeling the exposed family.</x:v>
      </x:c>
      <x:c r="H5" s="697"/>
    </x:row>
    <x:row r="6" ht="63" customHeight="1">
      <x:c r="A6" s="688" t="str">
        <x:v>Time Tracking</x:v>
      </x:c>
      <x:c r="B6" s="693" t="str">
        <x:v>Waived prospectively</x:v>
      </x:c>
      <x:c r="C6" s="691"/>
      <x:c r="D6" s="691"/>
      <x:c r="F6" s="696" t="str">
        <x:v>Gate Status</x:v>
      </x:c>
      <x:c r="G6" s="697" t="str">
        <x:v>P4.1 exact main 5a4d57e is frozen; existing held-out family remains unexecuted; D-110 and replacement required.</x:v>
      </x:c>
      <x:c r="H6" s="697"/>
    </x:row>
    <x:row r="7" ht="81" customHeight="1">
      <x:c r="A7" s="688" t="str">
        <x:v>Current Gate</x:v>
      </x:c>
      <x:c r="B7" s="694" t="str">
        <x:v>P4.2 blocked; D-110 decision required</x:v>
      </x:c>
      <x:c r="C7" s="691"/>
      <x:c r="D7" s="691"/>
      <x:c r="F7" s="696" t="str">
        <x:v>Definition of Done</x:v>
      </x:c>
      <x:c r="G7" s="697" t="str">
        <x:v>CEO accepts or revises D-110.</x:v>
      </x:c>
      <x:c r="H7" s="697"/>
    </x:row>
    <x:row r="8" ht="63" customHeight="1">
      <x:c r="A8" s="688" t="str">
        <x:v>Released Kernel</x:v>
      </x:c>
      <x:c r="B8" s="691" t="str">
        <x:v>v0.2.0 / commit 45336a2</x:v>
      </x:c>
      <x:c r="C8" s="691"/>
      <x:c r="D8" s="691"/>
      <x:c r="F8" s="696" t="str">
        <x:v>Immediate Next Action</x:v>
      </x:c>
      <x:c r="G8" s="697" t="str">
        <x:v>Review p4_2_held_out_contamination_and_replacement_gate_v0.3.0.md.</x:v>
      </x:c>
      <x:c r="H8" s="697"/>
    </x:row>
    <x:row r="9" ht="72" customHeight="1">
      <x:c r="A9" s="688" t="str">
        <x:v>Release Target</x:v>
      </x:c>
      <x:c r="B9" s="691" t="str">
        <x:v>v0.3.0</x:v>
      </x:c>
      <x:c r="C9" s="691"/>
      <x:c r="D9" s="691"/>
      <x:c r="F9" s="696" t="str">
        <x:v>Primary Risk</x:v>
      </x:c>
      <x:c r="G9" s="697" t="str">
        <x:v>Existing held-out family is release-ineligible after pre-run oracle metadata exposure.</x:v>
      </x:c>
      <x:c r="H9" s="697"/>
    </x:row>
    <x:row r="10" ht="81" customHeight="1">
      <x:c r="A10" s="688" t="str">
        <x:v>Baseline Test Count</x:v>
      </x:c>
      <x:c r="B10" s="691" t="n">
        <x:v>121</x:v>
      </x:c>
      <x:c r="C10" s="691"/>
      <x:c r="D10" s="691"/>
      <x:c r="F10" s="696" t="str">
        <x:v>Deferred</x:v>
      </x:c>
      <x:c r="G10" s="697" t="str">
        <x:v>All held-out execution, P4.3, protected changes, public reruns, and deferred capabilities.</x:v>
      </x:c>
      <x:c r="H10" s="697"/>
    </x:row>
    <x:row r="11" ht="63" customHeight="1">
      <x:c r="A11" s="688" t="str">
        <x:v>Fixture Package Families</x:v>
      </x:c>
      <x:c r="B11" s="691" t="n">
        <x:v>2</x:v>
      </x:c>
      <x:c r="C11" s="691"/>
      <x:c r="D11" s="691"/>
      <x:c r="F11" s="696" t="str">
        <x:v>Data Boundary</x:v>
      </x:c>
      <x:c r="G11" s="697" t="str">
        <x:v>Exposed family remains byte-unchanged and unexecuted; no protected or scenario-expected content was opened.</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63" customHeight="1">
      <x:c r="A17" s="698" t="str">
        <x:v>P2 Consistency Rules</x:v>
      </x:c>
      <x:c r="B17" s="699" t="str">
        <x:v>Accepted</x:v>
      </x:c>
      <x:c r="C17" s="699" t="str">
        <x:v>P2.3 complete at D-108</x:v>
      </x:c>
      <x:c r="D17" s="700" t="n">
        <x:v>1</x:v>
      </x:c>
      <x:c r="E17" s="698" t="str">
        <x:v>Gate P2 - deterministic audit core and result-state routing</x:v>
      </x:c>
    </x:row>
    <x:row r="18" ht="36" customHeight="1">
      <x:c r="A18" s="698" t="str">
        <x:v>P3 Issue Register &amp; CLI</x:v>
      </x:c>
      <x:c r="B18" s="699" t="str">
        <x:v>Complete</x:v>
      </x:c>
      <x:c r="C18" s="699" t="str">
        <x:v>P3.3 accepted and integrated</x:v>
      </x:c>
      <x:c r="D18" s="700" t="n">
        <x:v>1</x:v>
      </x:c>
      <x:c r="E18" s="698" t="str">
        <x:v>Gate P3 - reproducible issue register and audit-package command</x:v>
      </x:c>
    </x:row>
    <x:row r="19" ht="36" customHeight="1">
      <x:c r="A19" s="698" t="str">
        <x:v>P4 Benchmark &amp; Reliability</x:v>
      </x:c>
      <x:c r="B19" s="699" t="str">
        <x:v>Blocked / Definition Review</x:v>
      </x:c>
      <x:c r="C19" s="699" t="str">
        <x:v>D-110 decision required</x:v>
      </x:c>
      <x:c r="D19" s="700" t="n">
        <x:v>0.4</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71" customHeight="1">
      <x:c r="A27" s="431" t="n">
        <x:v>4</x:v>
      </x:c>
      <x:c r="B27" s="431" t="str">
        <x:v>P2.2</x:v>
      </x:c>
      <x:c r="C27" s="431" t="str">
        <x:v>Fourth drawing check integration closeout</x:v>
      </x:c>
      <x:c r="D27" s="431" t="str">
        <x:v>Record exact PR #35 integration evidence and select the next bounded gate without beginning implementation.</x:v>
      </x:c>
      <x:c r="E27" s="431" t="str">
        <x:v>Integrated / Next gate pending</x:v>
      </x:c>
      <x:c r="F27" s="431" t="str">
        <x:v>codex/p2.2-drawing-file-reference-integration-closeout</x:v>
      </x:c>
      <x:c r="G27" s="431" t="str">
        <x:v>PR #35 main e5db29e; implementation 74970c3; evidence cce416e and 5d02872; user accepted 2026-07-19; final CI 2/2; D-065-D-071; EV-062-EV-068; relationship 19; focused 45; full 216/1; validation 5/5; Ruff; coverage 85.47%; protected assets unchanged; adjacent declaration/reciprocity and vertical-result gaps remain open</x:v>
      </x:c>
      <x:c r="H27" s="431" t="str">
        <x:v>Jason</x:v>
      </x:c>
    </x:row>
    <x:row r="28" ht="198" customHeight="1">
      <x:c r="A28" s="431" t="n">
        <x:v>5</x:v>
      </x:c>
      <x:c r="B28" s="431" t="str">
        <x:v>P2.4</x:v>
      </x:c>
      <x:c r="C28" s="431" t="str">
        <x:v>Minimum package-result core</x:v>
      </x:c>
      <x:c r="D28" s="431" t="str">
        <x:v>Require the exact gate/check set, canonicalize findings, select state by accepted precedence, validate a versioned package result, and persist it immutably.</x:v>
      </x:c>
      <x:c r="E28" s="431" t="str">
        <x:v>Accepted</x:v>
      </x:c>
      <x:c r="F28" s="431" t="str">
        <x:v>codex/p2.4-result-core</x:v>
      </x:c>
      <x:c r="G28" s="431" t="str">
        <x:v>implementation cbcfc2b; evidence 9caef2b; PR #39 exact main cd9b52e; D-077-D-078; EV-074-EV-075; focused result 15; full 237/1; validation 5/5; Ruff; coverage 86.10%; CI green; v0.2 and protected assets unchanged</x:v>
      </x:c>
      <x:c r="H28" s="431" t="str">
        <x:v>Jason</x:v>
      </x:c>
    </x:row>
    <x:row r="29" ht="198" customHeight="1">
      <x:c r="A29" s="431" t="n">
        <x:v>6</x:v>
      </x:c>
      <x:c r="B29" s="431" t="str">
        <x:v>P3.1</x:v>
      </x:c>
      <x:c r="C29" s="431" t="str">
        <x:v>Evidence-linked issue register</x:v>
      </x:c>
      <x:c r="D29" s="431" t="str">
        <x:v>Render CSV and Markdown issue registers from canonical package-result findings without recomputing evaluator logic.</x:v>
      </x:c>
      <x:c r="E29" s="431" t="str">
        <x:v>Accepted</x:v>
      </x:c>
      <x:c r="F29" s="431" t="str">
        <x:v>codex/p3.1-issue-register</x:v>
      </x:c>
      <x:c r="G29" s="431" t="str">
        <x:v>implementation 2f93335; exact main 8f66b12; D-079-D-080; EV-076-EV-077; focused 26; full 248/1; validation 5/5; Ruff; coverage 86.49%; inspected issue views</x:v>
      </x:c>
      <x:c r="H29" s="431" t="str">
        <x:v>Jason</x:v>
      </x:c>
    </x:row>
    <x:row r="30" ht="198" customHeight="1">
      <x:c r="A30" s="431" t="n">
        <x:v>7</x:v>
      </x:c>
      <x:c r="B30" s="431" t="str">
        <x:v>P3.2</x:v>
      </x:c>
      <x:c r="C30" s="431" t="str">
        <x:v>Release-readiness summary</x:v>
      </x:c>
      <x:c r="D30" s="431" t="str">
        <x:v>Render one concise, non-approving Markdown readiness view from the immutable canonical package result.</x:v>
      </x:c>
      <x:c r="E30" s="431" t="str">
        <x:v>Accepted</x:v>
      </x:c>
      <x:c r="F30" s="431" t="str">
        <x:v>codex/p3.2-release-readiness-summary</x:v>
      </x:c>
      <x:c r="G30" s="431" t="str">
        <x:v>implementation 7536bea; exact main 4b848b9; D-081-D-082; EV-078-EV-079; readiness 10; focused 36; full 258/1; validation 5/5; Ruff; coverage 86.75%; inspected fault summary</x:v>
      </x:c>
      <x:c r="H30" s="431" t="str">
        <x:v>Jason</x:v>
      </x:c>
    </x:row>
    <x:row r="31" ht="198" customHeight="1">
      <x:c r="A31" s="431" t="n">
        <x:v>8</x:v>
      </x:c>
      <x:c r="B31" s="431" t="str">
        <x:v>P3.3</x:v>
      </x:c>
      <x:c r="C31" s="431" t="str">
        <x:v>Runnable audit-package workflow</x:v>
      </x:c>
      <x:c r="D31" s="431" t="str">
        <x:v>Run the accepted audit and atomically publish the immutable result, issue registers, and readiness summary with stable exits.</x:v>
      </x:c>
      <x:c r="E31" s="431" t="str">
        <x:v>Accepted</x:v>
      </x:c>
      <x:c r="F31" s="431" t="str">
        <x:v>codex/p3.3-audit-package-cli</x:v>
      </x:c>
      <x:c r="G31" s="431" t="str">
        <x:v>implementation b5f0fcd; review evidence 411928e; PR #40 main e4080fd; D-083-D-084; EV-080-EV-081; focused 49; full 271/1; validation 5/5; Ruff; coverage 86.76%; inspected clean/fault runs; IMP-012</x:v>
      </x:c>
      <x:c r="H31" s="431" t="str">
        <x:v>Jason</x:v>
      </x:c>
    </x:row>
    <x:row r="32" ht="207" customHeight="1">
      <x:c r="A32" s="431" t="n">
        <x:v>9</x:v>
      </x:c>
      <x:c r="B32" s="431" t="str">
        <x:v>P2.3</x:v>
      </x:c>
      <x:c r="C32" s="431" t="str">
        <x:v>Relationship expansion - check 6</x:v>
      </x:c>
      <x:c r="D32" s="431" t="str">
        <x:v>Append BOM item/equipment manifest reciprocity under exact AUTH-BOM-002 and prove it through the accepted audit outputs.</x:v>
      </x:c>
      <x:c r="E32" s="431" t="str">
        <x:v>Accepted</x:v>
      </x:c>
      <x:c r="F32" s="431" t="str">
        <x:v>codex/p2.3-bom-item-equipment-reciprocity</x:v>
      </x:c>
      <x:c r="G32" s="431" t="str">
        <x:v>implementation c1dcc4a; review 0386b7f; PR #42 main 559bb81; D-085-D-088; EV-082-EV-085; relationship 31; focused 75; full 278/1; validation 5/5; Ruff; coverage 87.02%</x:v>
      </x:c>
      <x:c r="H32" s="431" t="str">
        <x:v>Jason</x:v>
      </x:c>
    </x:row>
    <x:row r="33" ht="216" customHeight="1">
      <x:c r="A33" s="431" t="n">
        <x:v>10</x:v>
      </x:c>
      <x:c r="B33" s="431" t="str">
        <x:v>P2.3</x:v>
      </x:c>
      <x:c r="C33" s="431" t="str">
        <x:v>Relationship maintainability stabilization</x:v>
      </x:c>
      <x:c r="D33" s="431" t="str">
        <x:v>Split accepted relationship code and tests by engineering domain without changing behavior.</x:v>
      </x:c>
      <x:c r="E33" s="431" t="str">
        <x:v>Accepted</x:v>
      </x:c>
      <x:c r="F33" s="431" t="str">
        <x:v>codex/p2.3-relationship-maintainability</x:v>
      </x:c>
      <x:c r="G33" s="431" t="str">
        <x:v>implementation 1f34781; PR #44 main 56ac9d1; D-088-D-089; EV-086; IMP-015; AST 40/40; focused 75; full 278/1; validation 5/5; Ruff; coverage 87.10%</x:v>
      </x:c>
      <x:c r="H33" s="431" t="str">
        <x:v>Jason</x:v>
      </x:c>
    </x:row>
    <x:row r="34" ht="220.5" customHeight="1">
      <x:c r="A34" s="431" t="n">
        <x:v>11</x:v>
      </x:c>
      <x:c r="B34" s="431" t="str">
        <x:v>P2.3</x:v>
      </x:c>
      <x:c r="C34" s="431" t="str">
        <x:v>Relationship expansion - check 7</x:v>
      </x:c>
      <x:c r="D34" s="431" t="str">
        <x:v>Require each release-required BOM equipment tag to appear in drawing metadata under exact AUTH-BOM-002.</x:v>
      </x:c>
      <x:c r="E34" s="431" t="str">
        <x:v>Accepted</x:v>
      </x:c>
      <x:c r="F34" s="431" t="str">
        <x:v>codex/p2.3-bom-equipment-drawing-presence</x:v>
      </x:c>
      <x:c r="G34" s="431" t="str">
        <x:v>implementation 01a70c2; PR #45 main 273c36a; D-089-D-090; EV-087-EV-088; relationship 35; focused 80; full 283/1; validation 5/5; Ruff; coverage 87.25%; both GitHub checks passed</x:v>
      </x:c>
      <x:c r="H34" s="431" t="str">
        <x:v>Jason</x:v>
      </x:c>
    </x:row>
    <x:row r="35" ht="216" customHeight="1">
      <x:c r="A35" s="431" t="n">
        <x:v>12</x:v>
      </x:c>
      <x:c r="B35" s="431" t="str">
        <x:v>P2.3</x:v>
      </x:c>
      <x:c r="C35" s="431" t="str">
        <x:v>Authorized structured-package trial gate</x:v>
      </x:c>
      <x:c r="D35" s="431" t="str">
        <x:v>Freeze permitted sources, privacy, preparation, reviewer, and learning boundaries before intake.</x:v>
      </x:c>
      <x:c r="E35" s="431" t="str">
        <x:v>Integrated / Selection Pending</x:v>
      </x:c>
      <x:c r="F35" s="431" t="str">
        <x:v>codex/p2.3-real-package-structured-trial</x:v>
      </x:c>
      <x:c r="G35" s="431" t="str">
        <x:v>implementation d4e530f; PR #46 exact main 361cc77; D-091; EV-089-EV-090; both GitHub checks passed; no package content accessed</x:v>
      </x:c>
      <x:c r="H35" s="431" t="str">
        <x:v>Jason</x:v>
      </x:c>
    </x:row>
    <x:row r="36" ht="229.5" customHeight="1">
      <x:c r="A36" s="431" t="n">
        <x:v>13</x:v>
      </x:c>
      <x:c r="B36" s="431" t="str">
        <x:v>P2.3</x:v>
      </x:c>
      <x:c r="C36" s="431" t="str">
        <x:v>Public trial package shortlist</x:v>
      </x:c>
      <x:c r="D36" s="431" t="str">
        <x:v>Compare three public mechanical packages and recommend the best first practical-use trial input before any download.</x:v>
      </x:c>
      <x:c r="E36" s="431" t="str">
        <x:v>Accepted</x:v>
      </x:c>
      <x:c r="F36" s="431" t="str">
        <x:v>codex/p2.3-public-trial-package-shortlist</x:v>
      </x:c>
      <x:c r="G36" s="431" t="str">
        <x:v>implementation 2dccf7c; PR #47; D-092-D-093; EV-090-EV-092; Precious Plastic selected; NASA/JPL and OpenFlexure approved sequentially; no candidate files downloaded at selection closeout</x:v>
      </x:c>
      <x:c r="H36" s="431" t="str">
        <x:v>Jason</x:v>
      </x:c>
    </x:row>
    <x:row r="37" ht="229.5" customHeight="1">
      <x:c r="A37" s="431" t="n">
        <x:v>14</x:v>
      </x:c>
      <x:c r="B37" s="431" t="str">
        <x:v>P2.3</x:v>
      </x:c>
      <x:c r="C37" s="431" t="str">
        <x:v>Precious Plastic controlled intake</x:v>
      </x:c>
      <x:c r="D37" s="431" t="str">
        <x:v>Verify source and license, preserve and hash untouched files, inventory contents, and produce a fit-gap assessment before transformation or audit execution.</x:v>
      </x:c>
      <x:c r="E37" s="431" t="str">
        <x:v>Stopped - Access Unavailable</x:v>
      </x:c>
      <x:c r="F37" s="431" t="str">
        <x:v>codex/p2.3-precious-plastic-intake</x:v>
      </x:c>
      <x:c r="G37" s="431" t="str">
        <x:v>D-092-D-094; EV-091-EV-093; official source required an inaccessible account; no files downloaded and no bypass attempted</x:v>
      </x:c>
      <x:c r="H37" s="431" t="str">
        <x:v>Jason</x:v>
      </x:c>
    </x:row>
    <x:row r="38" ht="229.5" customHeight="1">
      <x:c r="A38" s="431" t="n">
        <x:v>15</x:v>
      </x:c>
      <x:c r="B38" s="431" t="str">
        <x:v>P2.3</x:v>
      </x:c>
      <x:c r="C38" s="431" t="str">
        <x:v>Dual public-package intake</x:v>
      </x:c>
      <x:c r="D38" s="431" t="str">
        <x:v>Apply one controlled intake and fit-gap protocol equally to NASA/JPL Open Source Rover v4.0.0 and OpenFlexure Microscope v7.0.0-beta5.</x:v>
      </x:c>
      <x:c r="E38" s="431" t="str">
        <x:v>Accepted</x:v>
      </x:c>
      <x:c r="F38" s="431" t="str">
        <x:v>codex/p2.3-dual-public-package-intake</x:v>
      </x:c>
      <x:c r="G38" s="431" t="str">
        <x:v>D-095-D-096; EV-094-EV-097; PR #48 exact main 99d16b6; both source archives preserved and fit-assessed; mapping definitions authorized; no source conversion or audit execution</x:v>
      </x:c>
      <x:c r="H38" s="431" t="str">
        <x:v>Jason</x:v>
      </x:c>
    </x:row>
    <x:row r="39" ht="247.5" customHeight="1">
      <x:c r="A39" s="431" t="n">
        <x:v>16</x:v>
      </x:c>
      <x:c r="B39" s="431" t="str">
        <x:v>P2.3</x:v>
      </x:c>
      <x:c r="C39" s="431" t="str">
        <x:v>Dual public-package mapping definitions</x:v>
      </x:c>
      <x:c r="D39" s="431" t="str">
        <x:v>Freeze bounded NASA/JPL and OpenFlexure mappings plus one shared transformation-and-assumption log before controlled preparation.</x:v>
      </x:c>
      <x:c r="E39" s="431" t="str">
        <x:v>Accepted</x:v>
      </x:c>
      <x:c r="F39" s="431" t="str">
        <x:v>codex/p2.3-dual-public-package-mapping-definition</x:v>
      </x:c>
      <x:c r="G39" s="431" t="str">
        <x:v>D-096-D-097; EV-097-EV-099; PR #49 exact main 53e19ad; two mapping definitions and shared log contract accepted; preparation authorized; audit remained blocked</x:v>
      </x:c>
      <x:c r="H39" s="431" t="str">
        <x:v>Jason</x:v>
      </x:c>
    </x:row>
    <x:row r="40" ht="270" customHeight="1">
      <x:c r="A40" s="431" t="n">
        <x:v>17</x:v>
      </x:c>
      <x:c r="B40" s="431" t="str">
        <x:v>P2.3</x:v>
      </x:c>
      <x:c r="C40" s="431" t="str">
        <x:v>Dual public-package preparation</x:v>
      </x:c>
      <x:c r="D40" s="431" t="str">
        <x:v>Prepare and independently verify both real-world working packages and populated logs without running the audit.</x:v>
      </x:c>
      <x:c r="E40" s="431" t="str">
        <x:v>Accepted</x:v>
      </x:c>
      <x:c r="F40" s="431" t="str">
        <x:v>codex/p2.3-dual-public-package-preparation</x:v>
      </x:c>
      <x:c r="G40" s="431" t="str">
        <x:v>D-097-D-098; EV-099-EV-101; PR #50 exact main 7009fe2; two exact package trees and 1,764 accepted log rows; controlled audit execution authorized with mandatory unexpected-behavior stop</x:v>
      </x:c>
      <x:c r="H40" s="431" t="str">
        <x:v>Jason</x:v>
      </x:c>
    </x:row>
    <x:row r="41" ht="288" customHeight="1">
      <x:c r="A41" s="431" t="n">
        <x:v>18</x:v>
      </x:c>
      <x:c r="B41" s="431" t="str">
        <x:v>P2.3</x:v>
      </x:c>
      <x:c r="C41" s="431" t="str">
        <x:v>First public-package audit and stabilization review</x:v>
      </x:c>
      <x:c r="D41" s="431" t="str">
        <x:v>Execute NASA/JPL under D-098, stop on unexpected behavior, preserve failure evidence, confirm cross-package scope, and define a narrow reviewed fix before rerun.</x:v>
      </x:c>
      <x:c r="E41" s="431" t="str">
        <x:v>Accepted</x:v>
      </x:c>
      <x:c r="F41" s="431" t="str">
        <x:v>codex/p2.3-dual-public-package-audit-execution</x:v>
      </x:c>
      <x:c r="G41" s="431" t="str">
        <x:v>D-098-D-099; EV-101-EV-104; IMP-017; PR #51 exact main 624acce; NASA/JPL exit 70/zero outputs preserved; OpenFlexure not audited; narrow stabilization authorized</x:v>
      </x:c>
      <x:c r="H41" s="431" t="str">
        <x:v>Jason</x:v>
      </x:c>
    </x:row>
    <x:row r="42" ht="315" customHeight="1">
      <x:c r="A42" s="431" t="n">
        <x:v>19</x:v>
      </x:c>
      <x:c r="B42" s="431" t="str">
        <x:v>P2.3</x:v>
      </x:c>
      <x:c r="C42" s="431" t="str">
        <x:v>Identifier/result-contract stabilization review</x:v>
      </x:c>
      <x:c r="D42" s="431" t="str">
        <x:v>Implement D-099 narrowly, prove schema-valid full-CLI behavior for optional blanks and malformed present identifiers, preserve both public packages, and define the one-run confirmation gate.</x:v>
      </x:c>
      <x:c r="E42" s="431" t="str">
        <x:v>Accepted</x:v>
      </x:c>
      <x:c r="F42" s="431" t="str">
        <x:v>codex/p2.3-identifier-result-stabilization</x:v>
      </x:c>
      <x:c r="G42" s="431" t="str">
        <x:v>D-099-D-100; EV-104-EV-107; IMP-017; PR #52 exact main 0611d916; focused 47; full 289/1; coverage 87.57%; validation 5/5; Ruff; baseline 9/9; demo 2/2; exit 3/four outputs; exit 1/four outputs; public trees/logs unchanged before observation</x:v>
      </x:c>
      <x:c r="H42" s="431" t="str">
        <x:v>Jason</x:v>
      </x:c>
    </x:row>
    <x:row r="43" ht="360" customHeight="1">
      <x:c r="A43" s="431" t="n">
        <x:v>20</x:v>
      </x:c>
      <x:c r="B43" s="431" t="str">
        <x:v>P2.3</x:v>
      </x:c>
      <x:c r="C43" s="431" t="str">
        <x:v>NASA/JPL public-audit confirmation review</x:v>
      </x:c>
      <x:c r="D43" s="431" t="str">
        <x:v>Execute exactly one unchanged NASA/JPL audit under D-100, inspect the state, hold, exit, all four outputs, schema and report consistency, reverify both public input sets, and stop before OpenFlexure.</x:v>
      </x:c>
      <x:c r="E43" s="431" t="str">
        <x:v>Accepted</x:v>
      </x:c>
      <x:c r="F43" s="431" t="str">
        <x:v>codex/p2.3-nasa-public-audit-confirmation</x:v>
      </x:c>
      <x:c r="G43" s="431" t="str">
        <x:v>D-100-D-101; EV-107-EV-111; I-004; IMP-016-IMP-017; PR #53 exact main 65c9699b; run RUN-20260721T001431760486Z-4f1b9817; state missing_authoritative_information; hold true; exit 3; four schema-valid outputs; one authority finding; source hashes exact; focused 53; full 289/1; coverage 87.57%; validation 5/5; Ruff; baseline 9/9; demo 2/2</x:v>
      </x:c>
      <x:c r="H43" s="431" t="str">
        <x:v>Jason</x:v>
      </x:c>
    </x:row>
    <x:row r="44" ht="387" customHeight="1">
      <x:c r="A44" s="431" t="n">
        <x:v>21</x:v>
      </x:c>
      <x:c r="B44" s="431" t="str">
        <x:v>P2.3</x:v>
      </x:c>
      <x:c r="C44" s="431" t="str">
        <x:v>OpenFlexure public-audit confirmation review</x:v>
      </x:c>
      <x:c r="D44" s="431" t="str">
        <x:v>Execute exactly one unchanged OpenFlexure audit under D-101, inspect every output, reconcile both public packages, close the original execution defect, capture cross-package learning, and stop before check 8.</x:v>
      </x:c>
      <x:c r="E44" s="431" t="str">
        <x:v>Accepted</x:v>
      </x:c>
      <x:c r="F44" s="431" t="str">
        <x:v>codex/p2.3-openflexure-public-audit-confirmation</x:v>
      </x:c>
      <x:c r="G44" s="431" t="str">
        <x:v>D-101-D-102; EV-111-EV-116; I-004 closed; IMP-016-IMP-018; PR #54 exact main b0b32bb; one authorized run per public package; both expected holds and all source hashes exact</x:v>
      </x:c>
      <x:c r="H44" s="431" t="str">
        <x:v>Jason</x:v>
      </x:c>
    </x:row>
    <x:row r="45" ht="387" customHeight="1">
      <x:c r="A45" s="431" t="n">
        <x:v>22</x:v>
      </x:c>
      <x:c r="B45" s="431" t="str">
        <x:v>P2.3</x:v>
      </x:c>
      <x:c r="C45" s="431" t="str">
        <x:v>Equipment datasheet authority presence - check 8</x:v>
      </x:c>
      <x:c r="D45" s="431" t="str">
        <x:v>Append check 8 under exact AUTH-SPEC-001; require one release-required datasheet record per release-required BOM equipment tag; prove clean, missing, ambiguous, authority, ordering, canonical result, reports, CLI exit, and four-output behavior.</x:v>
      </x:c>
      <x:c r="E45" s="431" t="str">
        <x:v>Accepted</x:v>
      </x:c>
      <x:c r="F45" s="431" t="str">
        <x:v>codex/p2.3-equipment-datasheet-authority-presence</x:v>
      </x:c>
      <x:c r="G45" s="431" t="str">
        <x:v>D-102-D-103; EV-116-EV-120; IMP-013-IMP-015; PR #55 exact main fb0113d; clean 8/8; missing-authority exit 3/four outputs; focused 111; full 295/1; coverage 87.71%; validation 5/5; Ruff; baseline 9/9; demo 2/2</x:v>
      </x:c>
      <x:c r="H45" s="431" t="str">
        <x:v>Jason</x:v>
      </x:c>
    </x:row>
    <x:row r="46" ht="423" customHeight="1">
      <x:c r="A46" s="431" t="n">
        <x:v>23</x:v>
      </x:c>
      <x:c r="B46" s="431" t="str">
        <x:v>P2.3</x:v>
      </x:c>
      <x:c r="C46" s="431" t="str">
        <x:v>Equipment/datasheet association - check 9</x:v>
      </x:c>
      <x:c r="D46" s="431" t="str">
        <x:v>Append check 9 under exact AUTH-SPEC-001; compare BOM and authoritative metadata datasheet IDs only after check 8 establishes one record; prove clean, wrong-valid, ownership, authority, ordering, result, reports, CLI exit, and four-output behavior.</x:v>
      </x:c>
      <x:c r="E46" s="431" t="str">
        <x:v>Accepted</x:v>
      </x:c>
      <x:c r="F46" s="431" t="str">
        <x:v>codex/p2.3-equipment-datasheet-association</x:v>
      </x:c>
      <x:c r="G46" s="431" t="str">
        <x:v>D-103-D-104; EV-120-EV-125; I-005; IMP-013-IMP-015; IMP-019; PR #56 exact main 7146b23; clean 9/9; wrong-ID automatic_fail/hold/exit-1/four outputs; full 299/1; coverage 87.86%</x:v>
      </x:c>
      <x:c r="H46" s="431" t="str">
        <x:v>Jason</x:v>
      </x:c>
    </x:row>
    <x:row r="47" ht="432" customHeight="1">
      <x:c r="A47" s="431" t="n">
        <x:v>24</x:v>
      </x:c>
      <x:c r="B47" s="431" t="str">
        <x:v>P2.3</x:v>
      </x:c>
      <x:c r="C47" s="431" t="str">
        <x:v>Publication resilience stabilization</x:v>
      </x:c>
      <x:c r="D47" s="431" t="str">
        <x:v>Retry only final same-parent rename PermissionError using five total attempts over 0.75 seconds; never retry collisions or other errors; preserve failure evidence and exit 70 after exhaustion; prove injected and repeated Windows behavior.</x:v>
      </x:c>
      <x:c r="E47" s="431" t="str">
        <x:v>Accepted</x:v>
      </x:c>
      <x:c r="F47" s="431" t="str">
        <x:v>codex/p2.3-publication-resilience</x:v>
      </x:c>
      <x:c r="G47" s="431" t="str">
        <x:v>D-104-D-105; EV-125-EV-129; I-005 closed; IMP-019 retained; PR #57 exact main dbcd242; focused 24; full 304/1; coverage 88.08%; validation 5/5; Ruff; Windows audit 20/20</x:v>
      </x:c>
      <x:c r="H47" s="431" t="str">
        <x:v>Jason</x:v>
      </x:c>
    </x:row>
    <x:row r="48" ht="495" customHeight="1">
      <x:c r="A48" s="431" t="n">
        <x:v>25</x:v>
      </x:c>
      <x:c r="B48" s="431" t="str">
        <x:v>P2.3</x:v>
      </x:c>
      <x:c r="C48" s="431" t="str">
        <x:v>Equipment/datasheet manifest reciprocity - check 10</x:v>
      </x:c>
      <x:c r="D48" s="431" t="str">
        <x:v>Append check 10 under exact AUTH-SPEC-001; compare authoritative metadata with required manifest equipment_to_datasheet declarations in both directions; preserve check-8 ownership; prove clean, wrong-valid, authority, ordering, result, reports, CLI exit, and four-output behavior.</x:v>
      </x:c>
      <x:c r="E48" s="431" t="str">
        <x:v>Accepted</x:v>
      </x:c>
      <x:c r="F48" s="431" t="str">
        <x:v>codex/p2.3-equipment-datasheet-manifest-reciprocity</x:v>
      </x:c>
      <x:c r="G48" s="431" t="str">
        <x:v>D-105-D-106; EV-129-EV-133; PR #58 exact main 761ac76; clean 10/10; wrong-manifest automatic_fail/hold/exit-1/four outputs; focused 93; full 308/1; coverage 88.27%</x:v>
      </x:c>
      <x:c r="H48" s="431" t="str">
        <x:v>Jason</x:v>
      </x:c>
    </x:row>
    <x:row r="49" ht="522" customHeight="1">
      <x:c r="A49" s="431" t="n">
        <x:v>26</x:v>
      </x:c>
      <x:c r="B49" s="431" t="str">
        <x:v>P2.3</x:v>
      </x:c>
      <x:c r="C49" s="431" t="str">
        <x:v>Specification revision history - check 11</x:v>
      </x:c>
      <x:c r="D49" s="431" t="str">
        <x:v>Append check 11 under exact AUTH-SPEC-003; require every release-required specification metadata revision to match exactly one current revision-history record by normalized specification_id; prove clean, wrong-valid, missing, multiple, authority, ordering, result, reports, CLI exit, and four-output behavior.</x:v>
      </x:c>
      <x:c r="E49" s="431" t="str">
        <x:v>Accepted</x:v>
      </x:c>
      <x:c r="F49" s="431" t="str">
        <x:v>codex/p2.3-specification-revision-history</x:v>
      </x:c>
      <x:c r="G49" s="431" t="str">
        <x:v>D-106-D-107; EV-133-EV-137; PR #59 exact main 69c0d1b; clean 11/11; wrong-spec automatic_fail/hold/exit-1/four outputs; focused 99; full 314/1; coverage 88.48%</x:v>
      </x:c>
      <x:c r="H49" s="431" t="str">
        <x:v>Jason</x:v>
      </x:c>
    </x:row>
    <x:row r="50" ht="450" customHeight="1">
      <x:c r="A50" s="431" t="n">
        <x:v>27</x:v>
      </x:c>
      <x:c r="B50" s="431" t="str">
        <x:v>P2.3 / P4.1</x:v>
      </x:c>
      <x:c r="C50" s="431" t="str">
        <x:v>P2.3 completion and benchmark entry</x:v>
      </x:c>
      <x:c r="D50" s="431" t="str">
        <x:v>Close P2.3 for the exact eight-gate and eleven-check scope; defer six unsupported claims; freeze bounded v0.3.0 language; authorize development benchmark regression without protected held-out semantic execution.</x:v>
      </x:c>
      <x:c r="E50" s="431" t="str">
        <x:v>Accepted / P4.1 Active</x:v>
      </x:c>
      <x:c r="F50" s="431" t="str">
        <x:v>codex/p2.3-completion-claim-boundary</x:v>
      </x:c>
      <x:c r="G50" s="431" t="str">
        <x:v>D-107-D-108; EV-137-EV-138; PR #59 exact main 69c0d1b; p2_3_completion_and_claim_boundary_v0.3.0.md; six gaps deferred; P4.1 authorized; P4.2 blocked</x:v>
      </x:c>
      <x:c r="H50" s="431" t="str">
        <x:v>Jason</x:v>
      </x:c>
    </x:row>
    <x:row r="51" ht="450" customHeight="1">
      <x:c r="A51" s="431" t="n">
        <x:v>28</x:v>
      </x:c>
      <x:c r="B51" s="431" t="str">
        <x:v>P4.1</x:v>
      </x:c>
      <x:c r="C51" s="431" t="str">
        <x:v>Development benchmark and fault injection</x:v>
      </x:c>
      <x:c r="D51" s="431" t="str">
        <x:v>Verify the accepted clean baseline; generate 21 controlled faults; execute all 22 development scenarios twice; compare exact normalized four-output oracles; preserve evidence; separate genuine full-audit state coverage from router-only capability.</x:v>
      </x:c>
      <x:c r="E51" s="431" t="str">
        <x:v>Complete</x:v>
      </x:c>
      <x:c r="F51" s="431" t="str">
        <x:v>codex/p4.1-development-benchmark</x:v>
      </x:c>
      <x:c r="G51" s="431" t="str">
        <x:v>PR #61 exact main 5a4d57e; implementation 4cf9fe8; P4.1-DEV-1; D-109 accepted; EV-139-EV-143; 22/22 scenarios; 44/44 publications; 8/8 gates; 11/11 checks; hosted Linux CI green</x:v>
      </x:c>
      <x:c r="H51" s="431" t="str">
        <x:v>Jason</x:v>
      </x:c>
    </x:row>
    <x:row r="52" ht="486" customHeight="1">
      <x:c r="A52" s="431" t="n">
        <x:v>29</x:v>
      </x:c>
      <x:c r="B52" s="431" t="str">
        <x:v>P4.2</x:v>
      </x:c>
      <x:c r="C52" s="431" t="str">
        <x:v>Held-out contamination and replacement definition</x:v>
      </x:c>
      <x:c r="D52" s="431" t="str">
        <x:v>Record the pre-run metadata exposure, preserve the existing family unchanged and unexecuted, and freeze authority, isolation, matrix, hash, first-run, comparison, and rerun rules for a materially distinct replacement.</x:v>
      </x:c>
      <x:c r="E52" s="431" t="str">
        <x:v>Blocked / Definition Review</x:v>
      </x:c>
      <x:c r="F52" s="431" t="str">
        <x:v>codex/p4.2-held-out-benchmark-definition</x:v>
      </x:c>
      <x:c r="G52" s="431" t="str">
        <x:v>D-110 proposed; I-006; EV-144; IMP-023; existing family unexecuted and release-ineligible; exact main 5a4d57e; replacement and execution not authorized</x:v>
      </x:c>
      <x:c r="H52"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