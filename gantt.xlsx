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5a3bd1c14dc4410" /></Relationships>
</file>

<file path=xl/workbook.xml><?xml version="1.0" encoding="utf-8"?>
<x:workbook xmlns:x="http://schemas.openxmlformats.org/spreadsheetml/2006/main">
  <x:sheets>
    <x:sheet xmlns:r="http://schemas.openxmlformats.org/officeDocument/2006/relationships" name="Start Here" sheetId="1" r:id="R2f3ad58012cb43ce"/>
    <x:sheet xmlns:r="http://schemas.openxmlformats.org/officeDocument/2006/relationships" name="Executive Gantt" sheetId="2" r:id="R49a74488888f454e"/>
    <x:sheet xmlns:r="http://schemas.openxmlformats.org/officeDocument/2006/relationships" name="Detailed Gantt" sheetId="3" r:id="Rb8537da70924405f"/>
    <x:sheet xmlns:r="http://schemas.openxmlformats.org/officeDocument/2006/relationships" name="Weekly Control" sheetId="4" r:id="Rdd02276cdd754c20"/>
    <x:sheet xmlns:r="http://schemas.openxmlformats.org/officeDocument/2006/relationships" name="Phase Summary" sheetId="5" r:id="Ra09c0b42ff9349df"/>
    <x:sheet xmlns:r="http://schemas.openxmlformats.org/officeDocument/2006/relationships" name="Assumptions &amp; Gates" sheetId="6" r:id="R36ac2d5c82634a35"/>
    <x:sheet xmlns:r="http://schemas.openxmlformats.org/officeDocument/2006/relationships" name="Sources" sheetId="7" r:id="R96005b6ab96f4724"/>
    <x:sheet xmlns:r="http://schemas.openxmlformats.org/officeDocument/2006/relationships" name="Legacy Baseline" sheetId="8" r:id="R15d49b72eb52474f"/>
    <x:sheet xmlns:r="http://schemas.openxmlformats.org/officeDocument/2006/relationships" name="Work Block Log" sheetId="9" r:id="Reabe3baf914b4ffc"/>
    <x:sheet xmlns:r="http://schemas.openxmlformats.org/officeDocument/2006/relationships" name="Decision Register" sheetId="10" r:id="R7cf84b2bdff047fd"/>
    <x:sheet xmlns:r="http://schemas.openxmlformats.org/officeDocument/2006/relationships" name="Risks &amp; Issues" sheetId="11" r:id="R93ed5b471e504cea"/>
    <x:sheet xmlns:r="http://schemas.openxmlformats.org/officeDocument/2006/relationships" name="Evidence Register" sheetId="12" r:id="Rcb60b507d005461e"/>
    <x:sheet xmlns:r="http://schemas.openxmlformats.org/officeDocument/2006/relationships" name="Expansion Backlog" sheetId="13" r:id="R0d65ca7fb7c3408b"/>
    <x:sheet xmlns:r="http://schemas.openxmlformats.org/officeDocument/2006/relationships" name="AI Context" sheetId="14" r:id="R4280ae2e937a4c48"/>
    <x:sheet xmlns:r="http://schemas.openxmlformats.org/officeDocument/2006/relationships" name="MVP Dashboard" sheetId="15" r:id="R8f403e9e7dfd47c8"/>
    <x:sheet xmlns:r="http://schemas.openxmlformats.org/officeDocument/2006/relationships" name="Product Vision" sheetId="16" r:id="R3d3707e59bc949b4"/>
    <x:sheet xmlns:r="http://schemas.openxmlformats.org/officeDocument/2006/relationships" name="Pilot Gantt" sheetId="17" r:id="Rc5eb76bdebc94c29"/>
    <x:sheet xmlns:r="http://schemas.openxmlformats.org/officeDocument/2006/relationships" name="Pilot Dashboard" sheetId="18" r:id="R6e7fe45bcbcd41e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<x:sst xmlns:x="http://schemas.openxmlformats.org/spreadsheetml/2006/main">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</x:sst>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08014ce372a497c" /><Relationship Type="http://schemas.openxmlformats.org/officeDocument/2006/relationships/theme" Target="/xl/theme/theme1.xml" Id="Re418855a58a847ce" /><Relationship Type="http://schemas.openxmlformats.org/officeDocument/2006/relationships/sharedStrings" Target="/xl/sharedStrings.xml" Id="R4436a4aae36f40f6" /><Relationship Type="http://schemas.openxmlformats.org/officeDocument/2006/relationships/worksheet" Target="/xl/worksheets/sheet1.xml" Id="R2f3ad58012cb43ce" /><Relationship Type="http://schemas.openxmlformats.org/officeDocument/2006/relationships/worksheet" Target="/xl/worksheets/sheet2.xml" Id="R49a74488888f454e" /><Relationship Type="http://schemas.openxmlformats.org/officeDocument/2006/relationships/worksheet" Target="/xl/worksheets/sheet3.xml" Id="Rb8537da70924405f" /><Relationship Type="http://schemas.openxmlformats.org/officeDocument/2006/relationships/worksheet" Target="/xl/worksheets/sheet4.xml" Id="Rdd02276cdd754c20" /><Relationship Type="http://schemas.openxmlformats.org/officeDocument/2006/relationships/worksheet" Target="/xl/worksheets/sheet5.xml" Id="Ra09c0b42ff9349df" /><Relationship Type="http://schemas.openxmlformats.org/officeDocument/2006/relationships/worksheet" Target="/xl/worksheets/sheet6.xml" Id="R36ac2d5c82634a35" /><Relationship Type="http://schemas.openxmlformats.org/officeDocument/2006/relationships/worksheet" Target="/xl/worksheets/sheet7.xml" Id="R96005b6ab96f4724" /><Relationship Type="http://schemas.openxmlformats.org/officeDocument/2006/relationships/worksheet" Target="/xl/worksheets/sheet8.xml" Id="R15d49b72eb52474f" /><Relationship Type="http://schemas.openxmlformats.org/officeDocument/2006/relationships/worksheet" Target="/xl/worksheets/sheet9.xml" Id="Reabe3baf914b4ffc" /><Relationship Type="http://schemas.openxmlformats.org/officeDocument/2006/relationships/worksheet" Target="/xl/worksheets/sheet10.xml" Id="R7cf84b2bdff047fd" /><Relationship Type="http://schemas.openxmlformats.org/officeDocument/2006/relationships/worksheet" Target="/xl/worksheets/sheet11.xml" Id="R93ed5b471e504cea" /><Relationship Type="http://schemas.openxmlformats.org/officeDocument/2006/relationships/worksheet" Target="/xl/worksheets/sheet12.xml" Id="Rcb60b507d005461e" /><Relationship Type="http://schemas.openxmlformats.org/officeDocument/2006/relationships/worksheet" Target="/xl/worksheets/sheet13.xml" Id="R0d65ca7fb7c3408b" /><Relationship Type="http://schemas.openxmlformats.org/officeDocument/2006/relationships/worksheet" Target="/xl/worksheets/sheet14.xml" Id="R4280ae2e937a4c48" /><Relationship Type="http://schemas.openxmlformats.org/officeDocument/2006/relationships/worksheet" Target="/xl/worksheets/sheet15.xml" Id="R8f403e9e7dfd47c8" /><Relationship Type="http://schemas.openxmlformats.org/officeDocument/2006/relationships/worksheet" Target="/xl/worksheets/sheet16.xml" Id="R3d3707e59bc949b4" /><Relationship Type="http://schemas.openxmlformats.org/officeDocument/2006/relationships/worksheet" Target="/xl/worksheets/sheet17.xml" Id="Rc5eb76bdebc94c29" /><Relationship Type="http://schemas.openxmlformats.org/officeDocument/2006/relationships/worksheet" Target="/xl/worksheets/sheet18.xml" Id="R6e7fe45bcbcd41ea" /></Relationships>
</file>

<file path=xl/drawings/_rels/drawing1.xml.rels>&#65279;<?xml version="1.0" encoding="utf-8"?><Relationships xmlns="http://schemas.openxmlformats.org/package/2006/relationships"><Relationship Type="http://schemas.openxmlformats.org/officeDocument/2006/relationships/chart" Target="/xl/drawings/charts/chart1.xml" Id="R52f4bc098db54887" /></Relationships>
</file>

<file path=xl/drawings/_rels/drawing2.xml.rels>&#65279;<?xml version="1.0" encoding="utf-8"?><Relationships xmlns="http://schemas.openxmlformats.org/package/2006/relationships"><Relationship Type="http://schemas.openxmlformats.org/officeDocument/2006/relationships/chart" Target="/xl/drawings/charts/chart2.xml" Id="R5df2d5ae64c84479" /></Relationships>
</file>

<file path=xl/drawings/_rels/drawing3.xml.rels>&#65279;<?xml version="1.0" encoding="utf-8"?><Relationships xmlns="http://schemas.openxmlformats.org/package/2006/relationships"><Relationship Type="http://schemas.openxmlformats.org/officeDocument/2006/relationships/chart" Target="/xl/drawings/charts/chart3.xml" Id="Rd0c97d9f84bf4de0"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2f4bc098db54887"/>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df2d5ae64c84479"/>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0c97d9f84bf4de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3e59aaed191f4466" /></Relationships>
</file>

<file path=xl/worksheets/_rels/sheet5.xml.rels>&#65279;<?xml version="1.0" encoding="utf-8"?><Relationships xmlns="http://schemas.openxmlformats.org/package/2006/relationships"><Relationship Type="http://schemas.openxmlformats.org/officeDocument/2006/relationships/drawing" Target="/xl/drawings/drawing2.xml" Id="R151558c1d7bc4a55" /></Relationships>
</file>

<file path=xl/worksheets/_rels/sheet15.xml.rels>&#65279;<?xml version="1.0" encoding="utf-8"?><Relationships xmlns="http://schemas.openxmlformats.org/package/2006/relationships"><Relationship Type="http://schemas.openxmlformats.org/officeDocument/2006/relationships/drawing" Target="/xl/drawings/drawing3.xml" Id="R0668fb5ac29d4fc3"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third P2.2 direction implemented; review pending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drawing-metadata register-authority implementation review</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drawing metadata register authority implementation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Accept, revise, or reject implementation commit 8eb431d before integration or later work</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62" hidden="0" customHeight="1">
      <x:c r="A28" s="704" t="str">
        <x:v>PR #32 integrated the accepted drawing_metadata_register_authority v0.3.0 definition to main at 6d1f2f2 after two green CI checks. Exact merged-tree verification passed 35 focused tests, 206 full-suite tests with one expected skip, validation 5/5, Ruff, and 84.93% coverage. Implementation commit 8eb431d appends the third check, routes missing register authority to missing_authoritative_information, and emits exact metadata plus row-1 header-anchored register membership evidence. Current verification passes 40 focused tests, 211 full-suite tests with one expected skip, validation 5/5, Ruff, and 85.18% coverage. Review acceptance is required before integration or another work block.</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3e59aaed191f4466"/>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151558c1d7bc4a55"/>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x:v>
      </x:c>
      <x:c r="E63" s="78" t="str">
        <x:v>Source / Tests / Project control</x:v>
      </x:c>
      <x:c r="F63" s="78" t="str">
        <x:v>commit 8eb431d;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drawing-metadata register-authority implementation review</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first two P2.2 drawing relationship behaviors are integrated through main 36338c0. PR #32 integrated the accepted third-direction definition at 6d1f2f2. Implementation commit 8eb431d is complete and verified but awaits explicit acceptance. Remaining P2.2 relationships, P2.3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Review and accept, revise, or reject drawing_metadata_register_authority v0.3.0 implementation commit 8eb431d.</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drawing_metadata_register_authority v0.3.0 is implemented at 8eb431d as the third ordered relationship check after PR #32 integration at 6d1f2f2. Metadata with no exact register row routes to missing_authoritative_information, high severity, release_hold true, AUTH-DWG-001, and document_control. AUTH-DWG-001 remains limited to the metadata current-revision authority path. Evidence is the exact metadata drawing_number locator plus a drawing-register CSV membership locator anchored to row 1 / the drawing_number header, so no nonexistent data row is fabricated. Temporary one-row and empty-register faults leave P2.1 green, isolate the third check, and produce sorted repeatable findings. Review acceptance is required before integration or later work.</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0668fb5ac29d4fc3"/>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0.45</x:v>
      </x:c>
      <x:c r="M12" s="662" t="n">
        <x:f>SUMIF('Work Block Log'!$E$5:$E$200,A12,'Work Block Log'!$F$5:$F$200)</x:f>
        <x:v>0</x:v>
      </x:c>
      <x:c r="N12" s="662" t="n">
        <x:f>MAX(F12*(1-L12),0)</x:f>
        <x:v>2.2</x:v>
      </x:c>
      <x:c r="O12" s="662" t="n">
        <x:f>M12-F12</x:f>
        <x:v>-4</x:v>
      </x:c>
      <x:c r="P12" s="431" t="str">
        <x:v>first slice integrated at main 5866212; second slice integrated at main 36338c0; third definition integrated through PR #32 at main 6d1f2f2; implementation commit 8eb431d on codex/p2.2-drawing-metadata-register-authority-implementation; D-049-D-063; EV-046-EV-060; focused 40; full 211/1; validation 5/5; Ruff; coverage 85.18%</x:v>
      </x:c>
      <x:c r="Q12" s="431" t="str">
        <x:v>Review and accept, revise, or reject implementation commit 8eb431d. Do not integrate it or begin another relationship before explicit acceptance.</x:v>
      </x:c>
      <x:c r="R12" s="431" t="str">
        <x:v>Three drawing checks are implemented. The first two are integrated; the third is verified and ready for acceptance. P2.2 stays open for additional relationship outcomes.</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0.3652173913043478</x:v>
      </x:c>
      <x:c r="M24" s="683" t="n">
        <x:f>SUM(M6:M22)</x:f>
        <x:v>0</x:v>
      </x:c>
      <x:c r="N24" s="683" t="n">
        <x:f>SUM(N6:N22)</x:f>
        <x:v>29.2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Third P2.2 Direction Ready for Review</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metadata register authority implementation review</x:v>
      </x:c>
      <x:c r="H4" s="697"/>
    </x:row>
    <x:row r="5" ht="54" customHeight="1">
      <x:c r="A5" s="688" t="str">
        <x:v>Schedule Baseline</x:v>
      </x:c>
      <x:c r="B5" s="693" t="str">
        <x:v>Legacy only; not controlling</x:v>
      </x:c>
      <x:c r="C5" s="691"/>
      <x:c r="D5" s="691"/>
      <x:c r="F5" s="696" t="str">
        <x:v>Objective</x:v>
      </x:c>
      <x:c r="G5" s="697" t="str">
        <x:v>Review whether the third drawing check exactly implements the accepted missing-authority contract.</x:v>
      </x:c>
      <x:c r="H5" s="697"/>
    </x:row>
    <x:row r="6" ht="54" customHeight="1">
      <x:c r="A6" s="688" t="str">
        <x:v>Time Tracking</x:v>
      </x:c>
      <x:c r="B6" s="693" t="str">
        <x:v>Waived prospectively</x:v>
      </x:c>
      <x:c r="C6" s="691"/>
      <x:c r="D6" s="691"/>
      <x:c r="F6" s="696" t="str">
        <x:v>Gate Status</x:v>
      </x:c>
      <x:c r="G6" s="697" t="str">
        <x:v>PR #32 is integrated at 6d1f2f2; implementation 8eb431d passes the complete local verification contract.</x:v>
      </x:c>
      <x:c r="H6" s="697"/>
    </x:row>
    <x:row r="7" ht="54" customHeight="1">
      <x:c r="A7" s="688" t="str">
        <x:v>Current Gate</x:v>
      </x:c>
      <x:c r="B7" s="694" t="str">
        <x:v>P2.2 drawing-metadata register-authority implementation review</x:v>
      </x:c>
      <x:c r="C7" s="691"/>
      <x:c r="D7" s="691"/>
      <x:c r="F7" s="696" t="str">
        <x:v>Definition of Done</x:v>
      </x:c>
      <x:c r="G7" s="697" t="str">
        <x:v>The frozen result, evidence, ordering, and prerequisite behavior match the accepted definition with no protected-asset change.</x:v>
      </x:c>
      <x:c r="H7" s="697"/>
    </x:row>
    <x:row r="8" ht="63" customHeight="1">
      <x:c r="A8" s="688" t="str">
        <x:v>Released Kernel</x:v>
      </x:c>
      <x:c r="B8" s="691" t="str">
        <x:v>v0.2.0 / commit 45336a2</x:v>
      </x:c>
      <x:c r="C8" s="691"/>
      <x:c r="D8" s="691"/>
      <x:c r="F8" s="696" t="str">
        <x:v>Immediate Next Action</x:v>
      </x:c>
      <x:c r="G8" s="697" t="str">
        <x:v>Accept, revise, or reject implementation 8eb431d before integration or another relationship block.</x:v>
      </x:c>
      <x:c r="H8" s="697"/>
    </x:row>
    <x:row r="9" ht="63" customHeight="1">
      <x:c r="A9" s="688" t="str">
        <x:v>Release Target</x:v>
      </x:c>
      <x:c r="B9" s="691" t="str">
        <x:v>v0.3.0</x:v>
      </x:c>
      <x:c r="C9" s="691"/>
      <x:c r="D9" s="691"/>
      <x:c r="F9" s="696" t="str">
        <x:v>Primary Risk</x:v>
      </x:c>
      <x:c r="G9" s="697" t="str">
        <x:v>Primary risk is confusing a missing authoritative register record with an ordinary automatic failure.</x:v>
      </x:c>
      <x:c r="H9" s="697"/>
    </x:row>
    <x:row r="10" ht="63" customHeight="1">
      <x:c r="A10" s="688" t="str">
        <x:v>Baseline Test Count</x:v>
      </x:c>
      <x:c r="B10" s="691" t="n">
        <x:v>121</x:v>
      </x:c>
      <x:c r="C10" s="691"/>
      <x:c r="D10" s="691"/>
      <x:c r="F10" s="696" t="str">
        <x:v>Deferred</x:v>
      </x:c>
      <x:c r="G10" s="697" t="str">
        <x:v>Other P2.2 rules, package-state routing, reports, CLI changes,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Three P2.2 drawing checks are implemented; first two integrated, third ready for acceptance; broader P2.2 remains open</x:v>
      </x:c>
      <x:c r="D17" s="700" t="n">
        <x:f>AVERAGE('Pilot Gantt'!L11:L14)</x:f>
        <x:v>0.3625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53" customHeight="1">
      <x:c r="A27" s="431" t="n">
        <x:v>4</x:v>
      </x:c>
      <x:c r="B27" s="431" t="str">
        <x:v>P2.2</x:v>
      </x:c>
      <x:c r="C27" s="431" t="str">
        <x:v>Drawing metadata register authority implementation review</x:v>
      </x:c>
      <x:c r="D27" s="431" t="str">
        <x:v>Review the implemented missing-authority result, exact negative evidence, stable ordering, and full regression proof.</x:v>
      </x:c>
      <x:c r="E27" s="431" t="str">
        <x:v>Ready for Acceptance</x:v>
      </x:c>
      <x:c r="F27" s="431" t="str">
        <x:v>codex/p2.2-drawing-metadata-register-authority-implementation</x:v>
      </x:c>
      <x:c r="G27" s="431" t="str">
        <x:v>PR #32 main 6d1f2f2; implementation 8eb431d; D-059-D-063; EV-056-EV-060; focused 40; full 211/1; validation 5/5; Ruff; coverage 85.18%</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