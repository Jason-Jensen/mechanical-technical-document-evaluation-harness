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ec4e3fea1c4c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ac3e4be870864a9e"/>
    <x:sheet xmlns:r="http://schemas.openxmlformats.org/officeDocument/2006/relationships" name="Executive Gantt" sheetId="2" r:id="Rf484edd560714ee8"/>
    <x:sheet xmlns:r="http://schemas.openxmlformats.org/officeDocument/2006/relationships" name="Detailed Gantt" sheetId="3" r:id="Rc0b79f8e1a87423d"/>
    <x:sheet xmlns:r="http://schemas.openxmlformats.org/officeDocument/2006/relationships" name="Weekly Control" sheetId="4" r:id="Rb47a579896fc4b8d"/>
    <x:sheet xmlns:r="http://schemas.openxmlformats.org/officeDocument/2006/relationships" name="Phase Summary" sheetId="5" r:id="Rf2b6595315ca42b9"/>
    <x:sheet xmlns:r="http://schemas.openxmlformats.org/officeDocument/2006/relationships" name="Assumptions &amp; Gates" sheetId="6" r:id="R9b73ec51c32c4a6a"/>
    <x:sheet xmlns:r="http://schemas.openxmlformats.org/officeDocument/2006/relationships" name="Sources" sheetId="7" r:id="R400653be8011480f"/>
    <x:sheet xmlns:r="http://schemas.openxmlformats.org/officeDocument/2006/relationships" name="Legacy Baseline" sheetId="8" r:id="R71cc5bfa5ba747bf"/>
    <x:sheet xmlns:r="http://schemas.openxmlformats.org/officeDocument/2006/relationships" name="Work Block Log" sheetId="9" r:id="Rc9bb4e0267264490"/>
    <x:sheet xmlns:r="http://schemas.openxmlformats.org/officeDocument/2006/relationships" name="Decision Register" sheetId="10" r:id="R5bfbd3a7cb8b476d"/>
    <x:sheet xmlns:r="http://schemas.openxmlformats.org/officeDocument/2006/relationships" name="Risks &amp; Issues" sheetId="11" r:id="R630d577b64ab448a"/>
    <x:sheet xmlns:r="http://schemas.openxmlformats.org/officeDocument/2006/relationships" name="Evidence Register" sheetId="12" r:id="R1a2562bcea1940d7"/>
    <x:sheet xmlns:r="http://schemas.openxmlformats.org/officeDocument/2006/relationships" name="Expansion Backlog" sheetId="13" r:id="Rd032302e68f94af1"/>
    <x:sheet xmlns:r="http://schemas.openxmlformats.org/officeDocument/2006/relationships" name="AI Context" sheetId="14" r:id="Re668930dcfc44b74"/>
    <x:sheet xmlns:r="http://schemas.openxmlformats.org/officeDocument/2006/relationships" name="MVP Dashboard" sheetId="15" r:id="Rc216255b2fc44c69"/>
    <x:sheet xmlns:r="http://schemas.openxmlformats.org/officeDocument/2006/relationships" name="Product Vision" sheetId="16" r:id="R0c9a39be5a33423b"/>
  </x:sheets>
</x:workbook>
</file>

<file path=xl/sharedStrings.xml><?xml version="1.0" encoding="utf-8"?>
<x:sst xmlns:x="http://schemas.openxmlformats.org/spreadsheetml/2006/main">
  <x:si>
    <x:t xml:space="preserve">Mechanical Technical Document Evaluation Harness — MVP Control Workbook</x:t>
  </x:si>
  <x:si>
    <x:t xml:space="preserve">Strategic direction: the MVP is the evaluation kernel for the Mechanical Engineering Workflow Assurance Platform.</x:t>
  </x:si>
  <x:si>
    <x:t xml:space="preserve">Controlling Baseline</x:t>
  </x:si>
  <x:si>
    <x:t xml:space="preserve">How to Use This Workbook Every Work Block</x:t>
  </x:si>
  <x:si>
    <x:t xml:space="preserve">Baseline revision</x:t>
  </x:si>
  <x:si>
    <x:t xml:space="preserve">MVP v1.0 — 2026-07-04</x:t>
  </x:si>
  <x:si>
    <x:t xml:space="preserve">1</x:t>
  </x:si>
  <x:si>
    <x:t xml:space="preserve">Open AI Context, then read the active/next WBS in Detailed Gantt.</x:t>
  </x:si>
  <x:si>
    <x:t xml:space="preserve">Baseline start</x:t>
  </x:si>
  <x:si>
    <x:t xml:space="preserve">2</x:t>
  </x:si>
  <x:si>
    <x:t xml:space="preserve">State objective, expected duration, and definition of done before implementation.</x:t>
  </x:si>
  <x:si>
    <x:t xml:space="preserve">Target finish</x:t>
  </x:si>
  <x:si>
    <x:t xml:space="preserve">3</x:t>
  </x:si>
  <x:si>
    <x:t xml:space="preserve">Work one coherent capability; do not create one branch per trivial test.</x:t>
  </x:si>
  <x:si>
    <x:t xml:space="preserve">Calendar duration</x:t>
  </x:si>
  <x:si>
    <x:t xml:space="preserve">8 weeks</x:t>
  </x:si>
  <x:si>
    <x:t xml:space="preserve">4</x:t>
  </x:si>
  <x:si>
    <x:t xml:space="preserve">At closeout, add Work Block Log actuals, evidence, decisions/blockers, and next action.</x:t>
  </x:si>
  <x:si>
    <x:t xml:space="preserve">Planned labour</x:t>
  </x:si>
  <x:si>
    <x:t xml:space="preserve">5</x:t>
  </x:si>
  <x:si>
    <x:t xml:space="preserve">Update Detailed Gantt status and percent complete; preserve prior history.</x:t>
  </x:si>
  <x:si>
    <x:t xml:space="preserve">Known logged hours</x:t>
  </x:si>
  <x:si>
    <x:t xml:space="preserve">6</x:t>
  </x:si>
  <x:si>
    <x:t xml:space="preserve">Use Gate decisions to change scope, schedule, or planned hours.</x:t>
  </x:si>
  <x:si>
    <x:t xml:space="preserve">Weighted progress</x:t>
  </x:si>
  <x:si>
    <x:t xml:space="preserve">7</x:t>
  </x:si>
  <x:si>
    <x:t xml:space="preserve">Replace this workbook in the project source files after each completed workflow.</x:t>
  </x:si>
  <x:si>
    <x:t xml:space="preserve">Current code state</x:t>
  </x:si>
  <x:si>
    <x:t xml:space="preserve">Active WBS</x:t>
  </x:si>
  <x:si>
    <x:t xml:space="preserve">Next build WBS</x:t>
  </x:si>
  <x:si>
    <x:t xml:space="preserve">MVP Completion Definition</x:t>
  </x:si>
  <x:si>
    <x:t xml:space="preserve">Workbook Map</x:t>
  </x:si>
  <x:si>
    <x:t xml:space="preserve">Five reviewed mechanical cases, including at least one held-out case.</x:t>
  </x:si>
  <x:si>
    <x:t xml:space="preserve">Executive Gantt</x:t>
  </x:si>
  <x:si>
    <x:t xml:space="preserve">Phase-level 8-week schedule and gates.</x:t>
  </x:si>
  <x:si>
    <x:t xml:space="preserve">Candidate JSON artifact loading with controlled missing/malformed errors.</x:t>
  </x:si>
  <x:si>
    <x:t xml:space="preserve">Detailed Gantt</x:t>
  </x:si>
  <x:si>
    <x:t xml:space="preserve">Controlling WBS, hours, status, evidence, next action, and timeline.</x:t>
  </x:si>
  <x:si>
    <x:t xml:space="preserve">Mandatory gates execute before scoring.</x:t>
  </x:si>
  <x:si>
    <x:t xml:space="preserve">Weekly Control</x:t>
  </x:si>
  <x:si>
    <x:t xml:space="preserve">Capacity and actual-hour control by MVP week.</x:t>
  </x:si>
  <x:si>
    <x:t xml:space="preserve">Deterministic exact, Boolean, set/contains, and numeric tolerance checks.</x:t>
  </x:si>
  <x:si>
    <x:t xml:space="preserve">Work Block Log</x:t>
  </x:si>
  <x:si>
    <x:t xml:space="preserve">Chronological work history and time source.</x:t>
  </x:si>
  <x:si>
    <x:t xml:space="preserve">Weighted score, pass/fail, failure modes, and check-level evidence.</x:t>
  </x:si>
  <x:si>
    <x:t xml:space="preserve">Decision Register</x:t>
  </x:si>
  <x:si>
    <x:t xml:space="preserve">Material design, scope, and project-control decisions.</x:t>
  </x:si>
  <x:si>
    <x:t xml:space="preserve">evaluate CLI command and immutable result records.</x:t>
  </x:si>
  <x:si>
    <x:t xml:space="preserve">Risks &amp; Issues</x:t>
  </x:si>
  <x:si>
    <x:t xml:space="preserve">Open risks, issues, mitigations, and review dates.</x:t>
  </x:si>
  <x:si>
    <x:t xml:space="preserve">Small reproducible benchmark with representative failures and limitations.</x:t>
  </x:si>
  <x:si>
    <x:t xml:space="preserve">Evidence Register</x:t>
  </x:si>
  <x:si>
    <x:t xml:space="preserve">PRs, commits, tests, documents, releases, and acceptance evidence.</x:t>
  </x:si>
  <x:si>
    <x:t xml:space="preserve">8</x:t>
  </x:si>
  <x:si>
    <x:t xml:space="preserve">CI, README, architecture documentation, portfolio demo, and v0.1.0 release tag.</x:t>
  </x:si>
  <x:si>
    <x:t xml:space="preserve">AI Context</x:t>
  </x:si>
  <x:si>
    <x:t xml:space="preserve">Compact handoff that must be read at the start of each session.</x:t>
  </x:si>
  <x:si>
    <x:t xml:space="preserve">Expansion Backlog</x:t>
  </x:si>
  <x:si>
    <x:t xml:space="preserve">Deferred post-MVP capabilities and entry criteria.</x:t>
  </x:si>
  <x:si>
    <x:t xml:space="preserve">Legacy Baseline</x:t>
  </x:si>
  <x:si>
    <x:t xml:space="preserve">Preserved superseded 52-week plan.</x:t>
  </x:si>
  <x:si>
    <x:t xml:space="preserve">Product Vision</x:t>
  </x:si>
  <x:si>
    <x:t xml:space="preserve">Strategic platform direction, capability ladder, architecture invariants, commercial workflow, and MVP guardrails.</x:t>
  </x:si>
  <x:si>
    <x:t xml:space="preserve">Immediate Control Note</x:t>
  </x:si>
  <x:si>
    <x:t xml:space="preserve">Executive Gantt — 8-Week Mechanical Evaluation Harness MVP</x:t>
  </x:si>
  <x:si>
    <x:t xml:space="preserve">ID</x:t>
  </x:si>
  <x:si>
    <x:t xml:space="preserve">Phase</x:t>
  </x:si>
  <x:si>
    <x:t xml:space="preserve">Planned Hours</x:t>
  </x:si>
  <x:si>
    <x:t xml:space="preserve">Actual Hours</x:t>
  </x:si>
  <x:si>
    <x:t xml:space="preserve">% Complete</x:t>
  </x:si>
  <x:si>
    <x:t xml:space="preserve">Start</x:t>
  </x:si>
  <x:si>
    <x:t xml:space="preserve">Finish</x:t>
  </x:si>
  <x:si>
    <x:t xml:space="preserve">Gate / Hold Point</x:t>
  </x:si>
  <x:si>
    <x:t xml:space="preserve">Primary Deliverable</x:t>
  </x:si>
  <x:si>
    <x:t xml:space="preserve">W1</x:t>
  </x:si>
  <x:si>
    <x:t xml:space="preserve">W2</x:t>
  </x:si>
  <x:si>
    <x:t xml:space="preserve">W3</x:t>
  </x:si>
  <x:si>
    <x:t xml:space="preserve">W4</x:t>
  </x:si>
  <x:si>
    <x:t xml:space="preserve">W5</x:t>
  </x:si>
  <x:si>
    <x:t xml:space="preserve">W6</x:t>
  </x:si>
  <x:si>
    <x:t xml:space="preserve">W7</x:t>
  </x:si>
  <x:si>
    <x:t xml:space="preserve">W8</x:t>
  </x:si>
  <x:si>
    <x:t xml:space="preserve">0</x:t>
  </x:si>
  <x:si>
    <x:t xml:space="preserve">0 Control &amp; Foundation</x:t>
  </x:si>
  <x:si>
    <x:t xml:space="preserve">Gate 0 — control baseline accepted</x:t>
  </x:si>
  <x:si>
    <x:t xml:space="preserve">Repository, architecture, Gantt, validator/loader baseline</x:t>
  </x:si>
  <x:si>
    <x:t xml:space="preserve">■</x:t>
  </x:si>
  <x:si>
    <x:t xml:space="preserve">1 Evaluation Core</x:t>
  </x:si>
  <x:si>
    <x:t xml:space="preserve">Gate 2 — deterministic evaluation core</x:t>
  </x:si>
  <x:si>
    <x:t xml:space="preserve">Candidate loading, gates, checks, scoring, failure evidence</x:t>
  </x:si>
  <x:si>
    <x:t xml:space="preserve">2 CLI &amp; Results</x:t>
  </x:si>
  <x:si>
    <x:t xml:space="preserve">Gate 3 — end-to-end local evaluation</x:t>
  </x:si>
  <x:si>
    <x:t xml:space="preserve">evaluate CLI and immutable result records</x:t>
  </x:si>
  <x:si>
    <x:t xml:space="preserve">3 Cases &amp; Benchmark</x:t>
  </x:si>
  <x:si>
    <x:t xml:space="preserve">Gate 4 — benchmark ready</x:t>
  </x:si>
  <x:si>
    <x:t xml:space="preserve">Five reviewed cases, held-out split, baseline report</x:t>
  </x:si>
  <x:si>
    <x:t xml:space="preserve">4 Quality &amp; Reproducibility</x:t>
  </x:si>
  <x:si>
    <x:t xml:space="preserve">Gate 5 — reproducible quality baseline</x:t>
  </x:si>
  <x:si>
    <x:t xml:space="preserve">Targeted tests, CI, README, architecture</x:t>
  </x:si>
  <x:si>
    <x:t xml:space="preserve">5 Demo &amp; Release</x:t>
  </x:si>
  <x:si>
    <x:t xml:space="preserve">Gate 6 — MVP v0.1.0 release</x:t>
  </x:si>
  <x:si>
    <x:t xml:space="preserve">Portfolio demo, limitations, final acceptance, tag</x:t>
  </x:si>
  <x:si>
    <x:t xml:space="preserve">TOTAL MVP</x:t>
  </x:si>
  <x:si>
    <x:t xml:space="preserve">Baseline Start</x:t>
  </x:si>
  <x:si>
    <x:t xml:space="preserve">Total Planned Hours</x:t>
  </x:si>
  <x:si>
    <x:t xml:space="preserve">Target Finish</x:t>
  </x:si>
  <x:si>
    <x:t xml:space="preserve">Control Baseline</x:t>
  </x:si>
  <x:si>
    <x:t xml:space="preserve">MVP v1.0 — 8 weeks</x:t>
  </x:si>
  <x:si>
    <x:t xml:space="preserve">Editable control fields: Status, % Complete, Branch/Evidence, Next Action, and Notes. Actual Hours are calculated from Work Block Log. Do not silently change baseline hours or dates.</x:t>
  </x:si>
  <x:si>
    <x:t xml:space="preserve">WBS</x:t>
  </x:si>
  <x:si>
    <x:t xml:space="preserve">Work Package</x:t>
  </x:si>
  <x:si>
    <x:t xml:space="preserve">Deliverable / Acceptance Evidence</x:t>
  </x:si>
  <x:si>
    <x:t xml:space="preserve">Predecessor</x:t>
  </x:si>
  <x:si>
    <x:t xml:space="preserve">Start Week</x:t>
  </x:si>
  <x:si>
    <x:t xml:space="preserve">Finish Week</x:t>
  </x:si>
  <x:si>
    <x:t xml:space="preserve">Start Date</x:t>
  </x:si>
  <x:si>
    <x:t xml:space="preserve">Finish Date</x:t>
  </x:si>
  <x:si>
    <x:t xml:space="preserve">Status</x:t>
  </x:si>
  <x:si>
    <x:t xml:space="preserve">Remaining Planned</x:t>
  </x:si>
  <x:si>
    <x:t xml:space="preserve">Hour Variance</x:t>
  </x:si>
  <x:si>
    <x:t xml:space="preserve">Branch / Evidence</x:t>
  </x:si>
  <x:si>
    <x:t xml:space="preserve">Next Action</x:t>
  </x:si>
  <x:si>
    <x:t xml:space="preserve">Notes</x:t>
  </x:si>
  <x:si>
    <x:t xml:space="preserve">0.1</x:t>
  </x:si>
  <x:si>
    <x:t xml:space="preserve">Environment and repository baseline</x:t>
  </x:si>
  <x:si>
    <x:t xml:space="preserve">Working venv, repository, GitHub main, and seed cases validate.</x:t>
  </x:si>
  <x:si>
    <x:t xml:space="preserve">-</x:t>
  </x:si>
  <x:si>
    <x:t xml:space="preserve">None; preserve as baseline evidence.</x:t>
  </x:si>
  <x:si>
    <x:t xml:space="preserve">Completed across June 28–30.</x:t>
  </x:si>
  <x:si>
    <x:t xml:space="preserve">0.2</x:t>
  </x:si>
  <x:si>
    <x:t xml:space="preserve">Architecture and control baseline</x:t>
  </x:si>
  <x:si>
    <x:t xml:space="preserve">Architecture document and Gantt explain current system, scope, MVP, and next action.</x:t>
  </x:si>
  <x:si>
    <x:t xml:space="preserve">Next work block: begin WBS 1.1 and create feature/candidate-artifact-contract.</x:t>
  </x:si>
  <x:si>
    <x:t xml:space="preserve">Completed 2026-07-04. Architecture and the aggressive eight-week MVP control baseline were committed and pushed to main.</x:t>
  </x:si>
  <x:si>
    <x:t xml:space="preserve">0.3</x:t>
  </x:si>
  <x:si>
    <x:t xml:space="preserve">Validator and loader baseline</x:t>
  </x:si>
  <x:si>
    <x:t xml:space="preserve">Targeted loader, stable errors, key seeded defects, and 25 passing tests.</x:t>
  </x:si>
  <x:si>
    <x:t xml:space="preserve">Do not add validator-only branches unless evaluator work exposes a real gap.</x:t>
  </x:si>
  <x:si>
    <x:t xml:space="preserve">Completed 2026-07-04. July 4 duration reconstructed and logged: WB-003 = 0.62 h and WB-004 = 1.53 h.</x:t>
  </x:si>
  <x:si>
    <x:t xml:space="preserve">1.1</x:t>
  </x:si>
  <x:si>
    <x:t xml:space="preserve">Define candidate artifact contract and loader</x:t>
  </x:si>
  <x:si>
    <x:t xml:space="preserve">Extensible candidate envelope documented with schema_version, case_id, candidate_id, artifact_type, artifacts, payload, and optional provenance; valid MECH-002 artifact loads; missing, malformed, and structurally invalid artifacts fail clearly.</x:t>
  </x:si>
  <x:si>
    <x:t xml:space="preserve">1.2</x:t>
  </x:si>
  <x:si>
    <x:t xml:space="preserve">Implement mandatory gate engine</x:t>
  </x:si>
  <x:si>
    <x:t xml:space="preserve">Required file, parse, field, and type gates execute before scoring and return evidence.</x:t>
  </x:si>
  <x:si>
    <x:t xml:space="preserve">1.3</x:t>
  </x:si>
  <x:si>
    <x:t xml:space="preserve">Implement exact, Boolean, set, and contains checks</x:t>
  </x:si>
  <x:si>
    <x:t xml:space="preserve">Supported deterministic checks return pass/fail, evidence, and failure mode.</x:t>
  </x:si>
  <x:si>
    <x:t xml:space="preserve">1.4</x:t>
  </x:si>
  <x:si>
    <x:t xml:space="preserve">Implement numeric tolerance checks</x:t>
  </x:si>
  <x:si>
    <x:t xml:space="preserve">Numeric comparisons support absolute tolerance and clear evidence.</x:t>
  </x:si>
  <x:si>
    <x:t xml:space="preserve">Implement numeric_close and boundary tests.</x:t>
  </x:si>
  <x:si>
    <x:t xml:space="preserve">Units remain explicit in case/evaluator data.</x:t>
  </x:si>
  <x:si>
    <x:t xml:space="preserve">1.5</x:t>
  </x:si>
  <x:si>
    <x:t xml:space="preserve">Implement weighted scoring and failure evidence</x:t>
  </x:si>
  <x:si>
    <x:t xml:space="preserve">Gates plus weighted checks produce score, pass/fail, failure modes, and evidence.</x:t>
  </x:si>
  <x:si>
    <x:t xml:space="preserve">1.3,1.4</x:t>
  </x:si>
  <x:si>
    <x:t xml:space="preserve">Compose gate and check results into one evaluation result.</x:t>
  </x:si>
  <x:si>
    <x:t xml:space="preserve">Outcome scoring only; process scoring is deferred.</x:t>
  </x:si>
  <x:si>
    <x:t xml:space="preserve">2.1</x:t>
  </x:si>
  <x:si>
    <x:t xml:space="preserve">Add evaluate CLI command</x:t>
  </x:si>
  <x:si>
    <x:t xml:space="preserve">One command evaluates a candidate artifact against a case and returns stable exit codes.</x:t>
  </x:si>
  <x:si>
    <x:t xml:space="preserve">Add evaluate parser and human-readable output.</x:t>
  </x:si>
  <x:si>
    <x:t xml:space="preserve">CLI remains the MVP interface.</x:t>
  </x:si>
  <x:si>
    <x:t xml:space="preserve">2.2</x:t>
  </x:si>
  <x:si>
    <x:t xml:space="preserve">Define structured result schema and model</x:t>
  </x:si>
  <x:si>
    <x:t xml:space="preserve">Result contains versions, artifact references, gate/check evidence, expected/actual values, severity/failure mode, score, pass/fail, and extension points for artifact location and source references.</x:t>
  </x:si>
  <x:si>
    <x:t xml:space="preserve">Define the minimum result JSON schema with evidence-location and source-reference extension points.</x:t>
  </x:si>
  <x:si>
    <x:t xml:space="preserve">MVP evidence locations may be JSON paths; later implementations may use PDF page/region or CAD entity identifiers.</x:t>
  </x:si>
  <x:si>
    <x:t xml:space="preserve">2.3</x:t>
  </x:si>
  <x:si>
    <x:t xml:space="preserve">Write immutable local result records</x:t>
  </x:si>
  <x:si>
    <x:t xml:space="preserve">Each evaluation writes a timestamped result without overwriting prior evidence.</x:t>
  </x:si>
  <x:si>
    <x:t xml:space="preserve">Create runs/&lt;run_id&gt;/result.json convention.</x:t>
  </x:si>
  <x:si>
    <x:t xml:space="preserve">Trace schema remains deferred unless needed.</x:t>
  </x:si>
  <x:si>
    <x:t xml:space="preserve">2.4</x:t>
  </x:si>
  <x:si>
    <x:t xml:space="preserve">Create example pass/fail candidate artifacts</x:t>
  </x:si>
  <x:si>
    <x:t xml:space="preserve">At least one passing and two representative failing artifacts run end-to-end.</x:t>
  </x:si>
  <x:si>
    <x:t xml:space="preserve">2.1,2.3</x:t>
  </x:si>
  <x:si>
    <x:t xml:space="preserve">Create MECH-002 examples for good, unit-error, and missing-field outputs.</x:t>
  </x:si>
  <x:si>
    <x:t xml:space="preserve">These become demo and regression fixtures.</x:t>
  </x:si>
  <x:si>
    <x:t xml:space="preserve">3.1</x:t>
  </x:si>
  <x:si>
    <x:t xml:space="preserve">Independently verify three seed cases</x:t>
  </x:si>
  <x:si>
    <x:t xml:space="preserve">Calculations, references, tolerances, and failure intent are checked and recorded.</x:t>
  </x:si>
  <x:si>
    <x:t xml:space="preserve">Verify MECH-001 through MECH-003 without relying only on generated code.</x:t>
  </x:si>
  <x:si>
    <x:t xml:space="preserve">Engineering correctness is a product requirement.</x:t>
  </x:si>
  <x:si>
    <x:t xml:space="preserve">3.2</x:t>
  </x:si>
  <x:si>
    <x:t xml:space="preserve">Add two useful synthetic cases</x:t>
  </x:si>
  <x:si>
    <x:t xml:space="preserve">Five total reviewed cases cover distinct mechanical workflow/failure families.</x:t>
  </x:si>
  <x:si>
    <x:t xml:space="preserve">1.5,3.1</x:t>
  </x:si>
  <x:si>
    <x:t xml:space="preserve">Select two economically meaningful, deterministic workflows.</x:t>
  </x:si>
  <x:si>
    <x:t xml:space="preserve">Prefer revision/completeness/calculation workflows.</x:t>
  </x:si>
  <x:si>
    <x:t xml:space="preserve">3.3</x:t>
  </x:si>
  <x:si>
    <x:t xml:space="preserve">Assign held-out split and review checklist</x:t>
  </x:si>
  <x:si>
    <x:t xml:space="preserve">At least one held-out case; provenance, correctness, and evaluability review recorded.</x:t>
  </x:si>
  <x:si>
    <x:t xml:space="preserve">Create concise review checklist and dataset split rationale.</x:t>
  </x:si>
  <x:si>
    <x:t xml:space="preserve">Do not tune against held-out artifacts.</x:t>
  </x:si>
  <x:si>
    <x:t xml:space="preserve">3.4</x:t>
  </x:si>
  <x:si>
    <x:t xml:space="preserve">Run baseline benchmark and failure summary</x:t>
  </x:si>
  <x:si>
    <x:t xml:space="preserve">All MVP cases evaluated; results summarized with representative failures and limitations.</x:t>
  </x:si>
  <x:si>
    <x:t xml:space="preserve">2.4,3.3</x:t>
  </x:si>
  <x:si>
    <x:t xml:space="preserve">Run passing/failing candidates and summarize results.</x:t>
  </x:si>
  <x:si>
    <x:t xml:space="preserve">A small reproducible benchmark is sufficient for MVP.</x:t>
  </x:si>
  <x:si>
    <x:t xml:space="preserve">4.1</x:t>
  </x:si>
  <x:si>
    <x:t xml:space="preserve">Targeted regression tests and fixture refactor</x:t>
  </x:si>
  <x:si>
    <x:t xml:space="preserve">Important engine behaviours and failure handling are protected without repetitive setup.</x:t>
  </x:si>
  <x:si>
    <x:t xml:space="preserve">Add engine tests as capabilities land; consolidate temp repository setup when useful.</x:t>
  </x:si>
  <x:si>
    <x:t xml:space="preserve">Stop when added tests no longer materially improve MVP reliability.</x:t>
  </x:si>
  <x:si>
    <x:t xml:space="preserve">4.2</x:t>
  </x:si>
  <x:si>
    <x:t xml:space="preserve">Add GitHub Actions CI</x:t>
  </x:si>
  <x:si>
    <x:t xml:space="preserve">Tests run on push and pull request; seeded failure demonstrates red/green behaviour.</x:t>
  </x:si>
  <x:si>
    <x:t xml:space="preserve">Add minimal Python test workflow.</x:t>
  </x:si>
  <x:si>
    <x:t xml:space="preserve">No deployment pipeline in MVP.</x:t>
  </x:si>
  <x:si>
    <x:t xml:space="preserve">4.3</x:t>
  </x:si>
  <x:si>
    <x:t xml:space="preserve">Complete README and architecture documentation</x:t>
  </x:si>
  <x:si>
    <x:t xml:space="preserve">New reviewer can install, understand, run, and audit the MVP.</x:t>
  </x:si>
  <x:si>
    <x:t xml:space="preserve">2.4,3.4</x:t>
  </x:si>
  <x:si>
    <x:t xml:space="preserve">Commit architecture update; later add usage and benchmark sections.</x:t>
  </x:si>
  <x:si>
    <x:t xml:space="preserve">Documentation must match actual functionality.</x:t>
  </x:si>
  <x:si>
    <x:t xml:space="preserve">5.1</x:t>
  </x:si>
  <x:si>
    <x:t xml:space="preserve">Create portfolio demo</x:t>
  </x:si>
  <x:si>
    <x:t xml:space="preserve">One scripted end-to-end case shows pass, failure evidence, and result record.</x:t>
  </x:si>
  <x:si>
    <x:t xml:space="preserve">3.4,4.3</x:t>
  </x:si>
  <x:si>
    <x:t xml:space="preserve">Create concise terminal demo and captured output.</x:t>
  </x:si>
  <x:si>
    <x:t xml:space="preserve">No frontend required.</x:t>
  </x:si>
  <x:si>
    <x:t xml:space="preserve">5.2</x:t>
  </x:si>
  <x:si>
    <x:t xml:space="preserve">Write release notes and limitations</x:t>
  </x:si>
  <x:si>
    <x:t xml:space="preserve">Scope, supported checks, safety boundary, known limitations, and deferred work are explicit.</x:t>
  </x:si>
  <x:si>
    <x:t xml:space="preserve">Draft v0.1.0 release notes and limitations.</x:t>
  </x:si>
  <x:si>
    <x:t xml:space="preserve">Avoid claims of engineering sign-off.</x:t>
  </x:si>
  <x:si>
    <x:t xml:space="preserve">5.3</x:t>
  </x:si>
  <x:si>
    <x:t xml:space="preserve">Run final acceptance and tag MVP v0.1.0</x:t>
  </x:si>
  <x:si>
    <x:t xml:space="preserve">Clean clone/run path, tests and benchmark pass, demo reproducible, release tagged.</x:t>
  </x:si>
  <x:si>
    <x:t xml:space="preserve">5.2,4.2</x:t>
  </x:si>
  <x:si>
    <x:t xml:space="preserve">Execute final acceptance checklist and tag release.</x:t>
  </x:si>
  <x:si>
    <x:t xml:space="preserve">This is the MVP completion gate.</x:t>
  </x:si>
  <x:si>
    <x:t xml:space="preserve">Weekly Resource Control — 8-Week MVP</x:t>
  </x:si>
  <x:si>
    <x:t xml:space="preserve">Actual hours are calculated from Work Block Log. Weekly notes should capture completed evidence, decisions, blockers, and the next action.</x:t>
  </x:si>
  <x:si>
    <x:t xml:space="preserve">Week</x:t>
  </x:si>
  <x:si>
    <x:t xml:space="preserve">Week Start</x:t>
  </x:si>
  <x:si>
    <x:t xml:space="preserve">Week Finish</x:t>
  </x:si>
  <x:si>
    <x:t xml:space="preserve">Cumulative Planned</x:t>
  </x:si>
  <x:si>
    <x:t xml:space="preserve">Cumulative Actual</x:t>
  </x:si>
  <x:si>
    <x:t xml:space="preserve">Primary Focus</x:t>
  </x:si>
  <x:si>
    <x:t xml:space="preserve">Weekly Note</x:t>
  </x:si>
  <x:si>
    <x:t xml:space="preserve">Control baseline; loader/validator</x:t>
  </x:si>
  <x:si>
    <x:t xml:space="preserve">Candidate contract; seed-case verification</x:t>
  </x:si>
  <x:si>
    <x:t xml:space="preserve">Not Started</x:t>
  </x:si>
  <x:si>
    <x:t xml:space="preserve">Gates and deterministic checks</x:t>
  </x:si>
  <x:si>
    <x:t xml:space="preserve">Numeric checks; scoring; engine tests</x:t>
  </x:si>
  <x:si>
    <x:t xml:space="preserve">Evaluate CLI; result records; examples</x:t>
  </x:si>
  <x:si>
    <x:t xml:space="preserve">Add cases; held-out split; benchmark</x:t>
  </x:si>
  <x:si>
    <x:t xml:space="preserve">CI; documentation; portfolio demo</x:t>
  </x:si>
  <x:si>
    <x:t xml:space="preserve">Stabilization; limitations; v0.1.0 release</x:t>
  </x:si>
  <x:si>
    <x:t xml:space="preserve">MVP Phase Labour Summary and Gates</x:t>
  </x:si>
  <x:si>
    <x:t xml:space="preserve">Gate</x:t>
  </x:si>
  <x:si>
    <x:t xml:space="preserve">TOTAL</x:t>
  </x:si>
  <x:si>
    <x:t xml:space="preserve">Planning Basis, MVP Gates, and Change-Control Rules</x:t>
  </x:si>
  <x:si>
    <x:t xml:space="preserve">Planning Assumptions</x:t>
  </x:si>
  <x:si>
    <x:t xml:space="preserve">A1</x:t>
  </x:si>
  <x:si>
    <x:t xml:space="preserve">The Gantt workbook is the controlling source of truth for scope, schedule, progress, decisions, evidence, and next action.</x:t>
  </x:si>
  <x:si>
    <x:t xml:space="preserve">A2</x:t>
  </x:si>
  <x:si>
    <x:t xml:space="preserve">The controlling baseline is an 8-week, 76-hour MVP from 2026-06-29 through 2026-08-23.</x:t>
  </x:si>
  <x:si>
    <x:t xml:space="preserve">A3</x:t>
  </x:si>
  <x:si>
    <x:t xml:space="preserve">Normal capacity is 8–12 hours per week. Paid Outlier work and major life obligations retain priority.</x:t>
  </x:si>
  <x:si>
    <x:t xml:space="preserve">A4</x:t>
  </x:si>
  <x:si>
    <x:t xml:space="preserve">Learning is just-in-time. Shipped functionality and validated engineering workflows take priority over repetitive exercises.</x:t>
  </x:si>
  <x:si>
    <x:t xml:space="preserve">A5</x:t>
  </x:si>
  <x:si>
    <x:t xml:space="preserve">Use one branch per coherent capability, not per individual test.</x:t>
  </x:si>
  <x:si>
    <x:t xml:space="preserve">A6</x:t>
  </x:si>
  <x:si>
    <x:t xml:space="preserve">Tests support the product. Add them for important behaviour, scoring correctness, failure handling, and regression safety.</x:t>
  </x:si>
  <x:si>
    <x:t xml:space="preserve">A7</x:t>
  </x:si>
  <x:si>
    <x:t xml:space="preserve">Actual hours are recorded only when explicitly known. Do not invent or silently backfill time.</x:t>
  </x:si>
  <x:si>
    <x:t xml:space="preserve">A8</x:t>
  </x:si>
  <x:si>
    <x:t xml:space="preserve">MVP scope is JSON artifacts, deterministic gates/checks, weighted scoring, CLI execution, result records, five cases, a small benchmark, CI, docs, and one demo.</x:t>
  </x:si>
  <x:si>
    <x:t xml:space="preserve">A9</x:t>
  </x:si>
  <x:si>
    <x:t xml:space="preserve">APIs, databases, multimodal, OpenClaw, observability, deployment, governance packs, reward models, LoRA, and RL are deferred unless the MVP requires them.</x:t>
  </x:si>
  <x:si>
    <x:t xml:space="preserve">A10</x:t>
  </x:si>
  <x:si>
    <x:t xml:space="preserve">Use only public, synthetic, self-authored, or authorized data. Never place confidential Outlier or employer material in the repository or workbook.</x:t>
  </x:si>
  <x:si>
    <x:t xml:space="preserve">A11</x:t>
  </x:si>
  <x:si>
    <x:t xml:space="preserve">The harness supports evaluation and workflow assurance, not engineering sign-off, autonomous release, or final safety-critical decisions.</x:t>
  </x:si>
  <x:si>
    <x:t xml:space="preserve">A12</x:t>
  </x:si>
  <x:si>
    <x:t xml:space="preserve">The strategic product direction is the Mechanical Engineering Workflow Assurance Platform; the current harness is its evaluation kernel. Preserve this direction without expanding the controlling MVP.</x:t>
  </x:si>
  <x:si>
    <x:t xml:space="preserve">A13</x:t>
  </x:si>
  <x:si>
    <x:t xml:space="preserve">Candidate and result interfaces remain agent- and artifact-runtime agnostic, with explicit extension points for artifact references, provenance, source references, evidence locations, severity, cost/latency, and regression status.</x:t>
  </x:si>
  <x:si>
    <x:t xml:space="preserve">MVP Gates / Hold Points</x:t>
  </x:si>
  <x:si>
    <x:t xml:space="preserve">Target Week</x:t>
  </x:si>
  <x:si>
    <x:t xml:space="preserve">Target Date</x:t>
  </x:si>
  <x:si>
    <x:t xml:space="preserve">Acceptance Criteria</x:t>
  </x:si>
  <x:si>
    <x:t xml:space="preserve">Evidence</x:t>
  </x:si>
  <x:si>
    <x:t xml:space="preserve">Decision / Next Action</x:t>
  </x:si>
  <x:si>
    <x:t xml:space="preserve">Gate 0</x:t>
  </x:si>
  <x:si>
    <x:t xml:space="preserve">Passed</x:t>
  </x:si>
  <x:si>
    <x:t xml:space="preserve">Architecture and control baseline explain current system; workbook rebaseline accepted.</x:t>
  </x:si>
  <x:si>
    <x:t xml:space="preserve">docs/architecture.md; gantt.xlsx; commit c71676d</x:t>
  </x:si>
  <x:si>
    <x:t xml:space="preserve">Gate accepted. Begin WBS 1.1 in the next work block.</x:t>
  </x:si>
  <x:si>
    <x:t xml:space="preserve">Gate 1</x:t>
  </x:si>
  <x:si>
    <x:t xml:space="preserve">Planned</x:t>
  </x:si>
  <x:si>
    <x:t xml:space="preserve">Candidate artifact contract and loader work for MECH-002 with controlled errors.</x:t>
  </x:si>
  <x:si>
    <x:t xml:space="preserve">Tests and CLI/manual load evidence</x:t>
  </x:si>
  <x:si>
    <x:t xml:space="preserve">Proceed to gate engine.</x:t>
  </x:si>
  <x:si>
    <x:t xml:space="preserve">Gate 2</x:t>
  </x:si>
  <x:si>
    <x:t xml:space="preserve">Mandatory gates, deterministic checks, weighted score, failure modes, and evidence work end-to-end.</x:t>
  </x:si>
  <x:si>
    <x:t xml:space="preserve">Engine tests; pass/fail artifacts</x:t>
  </x:si>
  <x:si>
    <x:t xml:space="preserve">Authorize CLI integration.</x:t>
  </x:si>
  <x:si>
    <x:t xml:space="preserve">Gate 3</x:t>
  </x:si>
  <x:si>
    <x:t xml:space="preserve">evaluate CLI writes immutable structured results for example artifacts.</x:t>
  </x:si>
  <x:si>
    <x:t xml:space="preserve">CLI transcript; result JSON</x:t>
  </x:si>
  <x:si>
    <x:t xml:space="preserve">Authorize benchmark run.</x:t>
  </x:si>
  <x:si>
    <x:t xml:space="preserve">Gate 4</x:t>
  </x:si>
  <x:si>
    <x:t xml:space="preserve">Five reviewed cases, held-out split, and reproducible baseline benchmark exist.</x:t>
  </x:si>
  <x:si>
    <x:t xml:space="preserve">Case review records; benchmark report</x:t>
  </x:si>
  <x:si>
    <x:t xml:space="preserve">Authorize release hardening.</x:t>
  </x:si>
  <x:si>
    <x:t xml:space="preserve">Gate 5</x:t>
  </x:si>
  <x:si>
    <x:t xml:space="preserve">CI is green; README and architecture match implementation; portfolio demo works.</x:t>
  </x:si>
  <x:si>
    <x:t xml:space="preserve">CI run; docs; demo output</x:t>
  </x:si>
  <x:si>
    <x:t xml:space="preserve">Authorize final acceptance.</x:t>
  </x:si>
  <x:si>
    <x:t xml:space="preserve">Gate 6</x:t>
  </x:si>
  <x:si>
    <x:t xml:space="preserve">Clean acceptance run passes; limitations are explicit; MVP v0.1.0 is tagged.</x:t>
  </x:si>
  <x:si>
    <x:t xml:space="preserve">Release tag; acceptance checklist</x:t>
  </x:si>
  <x:si>
    <x:t xml:space="preserve">Close MVP and select expansion backlog.</x:t>
  </x:si>
  <x:si>
    <x:t xml:space="preserve">Change-Control Rule</x:t>
  </x:si>
  <x:si>
    <x:t xml:space="preserve">Do not silently add scope or extend the schedule. Record the decision when a gate slips, forecast finish moves by more than one week, planned hours rise by more than 10%, or a deferred capability is pulled into the MVP. First protect the working evaluation flow and release evidence.</x:t>
  </x:si>
  <x:si>
    <x:t xml:space="preserve">Planning Sources and Design Rationale</x:t>
  </x:si>
  <x:si>
    <x:t xml:space="preserve">Source</x:t>
  </x:si>
  <x:si>
    <x:t xml:space="preserve">Use in Current Baseline</x:t>
  </x:si>
  <x:si>
    <x:t xml:space="preserve">Type</x:t>
  </x:si>
  <x:si>
    <x:t xml:space="preserve">URL / Reference</x:t>
  </x:si>
  <x:si>
    <x:t xml:space="preserve">Control Note</x:t>
  </x:si>
  <x:si>
    <x:t xml:space="preserve">Project instructions — AI Career &amp; Agent Evaluation Systems</x:t>
  </x:si>
  <x:si>
    <x:t xml:space="preserve">Establishes 4–8 week MVP, Gantt control, architecture separation, testing discipline, and deferrals.</x:t>
  </x:si>
  <x:si>
    <x:t xml:space="preserve">Project control</x:t>
  </x:si>
  <x:si>
    <x:t xml:space="preserve">Project instructions</x:t>
  </x:si>
  <x:si>
    <x:t xml:space="preserve">Highest-priority operating source.</x:t>
  </x:si>
  <x:si>
    <x:t xml:space="preserve">Current Gantt workbook</x:t>
  </x:si>
  <x:si>
    <x:t xml:space="preserve">Controls WBS, schedule, actuals, decisions, evidence, risks, and next action.</x:t>
  </x:si>
  <x:si>
    <x:t xml:space="preserve">gantt.xlsx</x:t>
  </x:si>
  <x:si>
    <x:t xml:space="preserve">Replace project source after each completed workflow.</x:t>
  </x:si>
  <x:si>
    <x:t xml:space="preserve">docs/architecture.md</x:t>
  </x:si>
  <x:si>
    <x:t xml:space="preserve">Defines task/agent/environment/trace/evaluator/results boundaries and current implementation state.</x:t>
  </x:si>
  <x:si>
    <x:t xml:space="preserve">Architecture</x:t>
  </x:si>
  <x:si>
    <x:t xml:space="preserve">Repository document</x:t>
  </x:si>
  <x:si>
    <x:t xml:space="preserve">Must match actual code.</x:t>
  </x:si>
  <x:si>
    <x:t xml:space="preserve">Twelve-Month Roadmap from Engineering-Domain AI QA Auditor to AI Evaluation and Deployment Specialist</x:t>
  </x:si>
  <x:si>
    <x:t xml:space="preserve">Preserved as expansion strategy; supports backend-first tooling and portfolio artifacts.</x:t>
  </x:si>
  <x:si>
    <x:t xml:space="preserve">Uploaded project PDF</x:t>
  </x:si>
  <x:si>
    <x:t xml:space="preserve">Project source file</x:t>
  </x:si>
  <x:si>
    <x:t xml:space="preserve">No longer the controlling delivery timeline.</x:t>
  </x:si>
  <x:si>
    <x:t xml:space="preserve">Current-Market Analysis of AI Evaluation, AI Quality, LLM Evaluation, Model Behaviour Testing, Technical AI Auditing, AI Deployment, and Responsible-AI Roles</x:t>
  </x:si>
  <x:si>
    <x:t xml:space="preserve">Supports positioning around evaluation systems, regression design, audit evidence, and tooling ownership.</x:t>
  </x:si>
  <x:si>
    <x:t xml:space="preserve">Career strategy input.</x:t>
  </x:si>
  <x:si>
    <x:t xml:space="preserve">Agents' Last Exam</x:t>
  </x:si>
  <x:si>
    <x:t xml:space="preserve">Supports authentic professional workflows, task/agent/environment separation, artifact verification, and gate-before-score evaluation.</x:t>
  </x:si>
  <x:si>
    <x:t xml:space="preserve">Research paper</x:t>
  </x:si>
  <x:si>
    <x:t xml:space="preserve">https://arxiv.org/abs/2606.05405</x:t>
  </x:si>
  <x:si>
    <x:t xml:space="preserve">Direct architecture influence.</x:t>
  </x:si>
  <x:si>
    <x:t xml:space="preserve">OpenClaw-RL: Train Any Agent Simply by Talking</x:t>
  </x:si>
  <x:si>
    <x:t xml:space="preserve">Supports later trace, next-state, process-signal, and agent-evaluation work.</x:t>
  </x:si>
  <x:si>
    <x:t xml:space="preserve">https://arxiv.org/abs/2603.10165</x:t>
  </x:si>
  <x:si>
    <x:t xml:space="preserve">Deferred until after MVP.</x:t>
  </x:si>
  <x:si>
    <x:t xml:space="preserve">RLAnything</x:t>
  </x:si>
  <x:si>
    <x:t xml:space="preserve">Supports later separation/integration of outcome and step-wise signals and adaptive environment research.</x:t>
  </x:si>
  <x:si>
    <x:t xml:space="preserve">https://arxiv.org/abs/2602.02488</x:t>
  </x:si>
  <x:si>
    <x:t xml:space="preserve">Practical Market for a Solo AI Implementation and Evaluation Consultant in Edmonton and Alberta</x:t>
  </x:si>
  <x:si>
    <x:t xml:space="preserve">Informs useful mechanical document, QA/QC, revision, maintenance, and technical-record workflows.</x:t>
  </x:si>
  <x:si>
    <x:t xml:space="preserve">Case-selection input.</x:t>
  </x:si>
  <x:si>
    <x:t xml:space="preserve">Superseded 52-Week Baseline Snapshot — Preserved 2026-07-04</x:t>
  </x:si>
  <x:si>
    <x:t xml:space="preserve">Historical planning baseline retained for traceability. It is no longer the controlling schedule. Use Start Here, Executive Gantt, Detailed Gantt, Weekly Control, and the control registers for current project management.</x:t>
  </x:si>
  <x:si>
    <x:t xml:space="preserve">Normal Control Rule</x:t>
  </x:si>
  <x:si>
    <x:t xml:space="preserve">Update weekly; rebaseline only through a gate decision</x:t>
  </x:si>
  <x:si>
    <x:t xml:space="preserve">Editable fields</x:t>
  </x:si>
  <x:si>
    <x:t xml:space="preserve">Status, % Complete, Actual Hours, and Notes. Baseline dates and planned hours should not be changed casually.</x:t>
  </x:si>
  <x:si>
    <x:t xml:space="preserve">Duration (wk)</x:t>
  </x:si>
  <x:si>
    <x:t xml:space="preserve">0 Project Controls &amp; Mobilization</x:t>
  </x:si>
  <x:si>
    <x:t xml:space="preserve">Create local Python environment</x:t>
  </x:si>
  <x:si>
    <x:t xml:space="preserve">Working virtual environment; dependencies installed</x:t>
  </x:si>
  <x:si>
    <x:t xml:space="preserve">Complete</x:t>
  </x:si>
  <x:si>
    <x:t xml:space="preserve">Completed before baseline start on 2026-06-28. Python 3.14.2 virtual environment active; baseline tests passed.</x:t>
  </x:si>
  <x:si>
    <x:t xml:space="preserve">Initialize Git and GitHub baseline</x:t>
  </x:si>
  <x:si>
    <x:t xml:space="preserve">Repository pushed; main branch protected by working practice</x:t>
  </x:si>
  <x:si>
    <x:t xml:space="preserve">Completed 2026-06-30. Local Git initialized, baseline commit created, GitHub origin configured, and main pushed successfully. Actual time was not separately logged.</x:t>
  </x:si>
  <x:si>
    <x:t xml:space="preserve">Review architecture and four schemas</x:t>
  </x:si>
  <x:si>
    <x:t xml:space="preserve">One-page architecture walkthrough in own words</x:t>
  </x:si>
  <x:si>
    <x:t xml:space="preserve">In Progress</x:t>
  </x:si>
  <x:si>
    <x:t xml:space="preserve">Repository layout, README, CLI commands, and MECH-001 summary reviewed. Full four-schema walkthrough and concise architecture explanation remain.</x:t>
  </x:si>
  <x:si>
    <x:t xml:space="preserve">0.4</x:t>
  </x:si>
  <x:si>
    <x:t xml:space="preserve">Set definition of done and control routine</x:t>
  </x:si>
  <x:si>
    <x:t xml:space="preserve">Weekly review checklist and change-control rule</x:t>
  </x:si>
  <x:si>
    <x:t xml:space="preserve">0.5</x:t>
  </x:si>
  <x:si>
    <x:t xml:space="preserve">Weekly time, issue, and decision logging</x:t>
  </x:si>
  <x:si>
    <x:t xml:space="preserve">Updated weekly control sheet and issue notes</x:t>
  </x:si>
  <x:si>
    <x:t xml:space="preserve">Week 1 control update completed. Actual time is recorded only where explicitly tracked.</x:t>
  </x:si>
  <x:si>
    <x:t xml:space="preserve">0.6</x:t>
  </x:si>
  <x:si>
    <x:t xml:space="preserve">Monthly schedule and forecast update</x:t>
  </x:si>
  <x:si>
    <x:t xml:space="preserve">Monthly reforecast without silent scope changes</x:t>
  </x:si>
  <x:si>
    <x:t xml:space="preserve">0.7</x:t>
  </x:si>
  <x:si>
    <x:t xml:space="preserve">Formal gate reviews and baseline changes</x:t>
  </x:si>
  <x:si>
    <x:t xml:space="preserve">Recorded gate decision and accepted corrective actions</x:t>
  </x:si>
  <x:si>
    <x:t xml:space="preserve">1 Case Foundation</x:t>
  </x:si>
  <x:si>
    <x:t xml:space="preserve">Learn only the required JSON, schema, and CLI concepts</x:t>
  </x:si>
  <x:si>
    <x:t xml:space="preserve">Can explain and edit one case safely</x:t>
  </x:si>
  <x:si>
    <x:t xml:space="preserve">Independently verify the three seed cases</x:t>
  </x:si>
  <x:si>
    <x:t xml:space="preserve">Calculations and references checked without relying on generated code</x:t>
  </x:si>
  <x:si>
    <x:t xml:space="preserve">Author synthetic cases 4 and 5</x:t>
  </x:si>
  <x:si>
    <x:t xml:space="preserve">Two complete, valid, reviewed case instances</x:t>
  </x:si>
  <x:si>
    <x:t xml:space="preserve">Author synthetic cases 6 through 8</x:t>
  </x:si>
  <x:si>
    <x:t xml:space="preserve">Three additional cases covering distinct failure modes</x:t>
  </x:si>
  <x:si>
    <x:t xml:space="preserve">Expand taxonomy and assign dataset splits</x:t>
  </x:si>
  <x:si>
    <x:t xml:space="preserve">Failure codes stable; at least two held-out cases</x:t>
  </x:si>
  <x:si>
    <x:t xml:space="preserve">1.6</x:t>
  </x:si>
  <x:si>
    <x:t xml:space="preserve">Complete human review checklists</x:t>
  </x:si>
  <x:si>
    <x:t xml:space="preserve">Every case passes provenance, authenticity, correctness, and evaluability review</x:t>
  </x:si>
  <x:si>
    <x:t xml:space="preserve">1.7</x:t>
  </x:si>
  <x:si>
    <x:t xml:space="preserve">Release specification baseline v0.1.0</x:t>
  </x:si>
  <x:si>
    <x:t xml:space="preserve">Validation passes; tagged release and concise release notes</x:t>
  </x:si>
  <x:si>
    <x:t xml:space="preserve">2 Software Hygiene &amp; Test Infrastructure</x:t>
  </x:si>
  <x:si>
    <x:t xml:space="preserve">Practise branch, merge, and recovery workflows</x:t>
  </x:si>
  <x:si>
    <x:t xml:space="preserve">Three clean feature branches and one intentional recovery exercise</x:t>
  </x:si>
  <x:si>
    <x:t xml:space="preserve">Started early. Created feature/test-unknown-case and added the first controlled test change. Push/PR/merge evidence and two more branches plus recovery exercise remain.</x:t>
  </x:si>
  <x:si>
    <x:t xml:space="preserve">Refactor repository validator and loader</x:t>
  </x:si>
  <x:si>
    <x:t xml:space="preserve">Readable modules with stable error messages</x:t>
  </x:si>
  <x:si>
    <x:t xml:space="preserve">Started early on 2026-07-04. Added targeted load_case_by_id, updated CLI inspect to load one case directly, added positive and negative regression tests, fixed inspect output formatting, merged PR #2, and confirmed 22 tests pass.</x:t>
  </x:si>
  <x:si>
    <x:t xml:space="preserve">Expand pytest suite to at least 20 tests</x:t>
  </x:si>
  <x:si>
    <x:t xml:space="preserve">Positive and negative cases run locally</x:t>
  </x:si>
  <x:si>
    <x:t xml:space="preserve">Completed early on 2026-06-30. Added a negative CLI integration test; 20 tests pass locally. Actual time was not separately logged.</x:t>
  </x:si>
  <x:si>
    <x:t xml:space="preserve">Add schema, path, asset, and weight failure tests</x:t>
  </x:si>
  <x:si>
    <x:t xml:space="preserve">Seeded defects are caught deterministically</x:t>
  </x:si>
  <x:si>
    <x:t xml:space="preserve">2.5</x:t>
  </x:si>
  <x:si>
    <x:t xml:space="preserve">Add GitHub Actions test workflow</x:t>
  </x:si>
  <x:si>
    <x:t xml:space="preserve">CI passes on push and fails on seeded defect branch</x:t>
  </x:si>
  <x:si>
    <x:t xml:space="preserve">2.6</x:t>
  </x:si>
  <x:si>
    <x:t xml:space="preserve">Define result and trace schema stubs</x:t>
  </x:si>
  <x:si>
    <x:t xml:space="preserve">Future run data separated from task definitions</x:t>
  </x:si>
  <x:si>
    <x:t xml:space="preserve">2.7</x:t>
  </x:si>
  <x:si>
    <x:t xml:space="preserve">Clean README, changelog, and issue templates</x:t>
  </x:si>
  <x:si>
    <x:t xml:space="preserve">New contributor can understand current scope</x:t>
  </x:si>
  <x:si>
    <x:t xml:space="preserve">2.8</x:t>
  </x:si>
  <x:si>
    <x:t xml:space="preserve">Release repository baseline v0.2</x:t>
  </x:si>
  <x:si>
    <x:t xml:space="preserve">CI green; clean history; gate record complete</x:t>
  </x:si>
  <x:si>
    <x:t xml:space="preserve">3 Evaluation Engine &amp; Measurement</x:t>
  </x:si>
  <x:si>
    <x:t xml:space="preserve">Implement deterministic evaluator engine</x:t>
  </x:si>
  <x:si>
    <x:t xml:space="preserve">One command evaluates a candidate artifact against a case</x:t>
  </x:si>
  <x:si>
    <x:t xml:space="preserve">Implement mandatory gates and artifact validation</x:t>
  </x:si>
  <x:si>
    <x:t xml:space="preserve">Missing, malformed, and incomplete outputs fail before scoring</x:t>
  </x:si>
  <x:si>
    <x:t xml:space="preserve">Implement numeric, exact, set, and contains checks</x:t>
  </x:si>
  <x:si>
    <x:t xml:space="preserve">Supported checks produce evidence and failure codes</x:t>
  </x:si>
  <x:si>
    <x:t xml:space="preserve">Write immutable local run-result records</x:t>
  </x:si>
  <x:si>
    <x:t xml:space="preserve">Run result stores versions, score, pass/fail, and evidence</x:t>
  </x:si>
  <x:si>
    <x:t xml:space="preserve">3.5</x:t>
  </x:si>
  <x:si>
    <x:t xml:space="preserve">Add manual or direct-model baseline adapter</x:t>
  </x:si>
  <x:si>
    <x:t xml:space="preserve">Response/artifact can enter harness without an agent framework</x:t>
  </x:si>
  <x:si>
    <x:t xml:space="preserve">3.6</x:t>
  </x:si>
  <x:si>
    <x:t xml:space="preserve">Define calibration and human-review protocol</x:t>
  </x:si>
  <x:si>
    <x:t xml:space="preserve">Clear rule for deterministic checks, narrow rubrics, and escalation</x:t>
  </x:si>
  <x:si>
    <x:t xml:space="preserve">3.7</x:t>
  </x:si>
  <x:si>
    <x:t xml:space="preserve">Expand benchmark to 20 cases</x:t>
  </x:si>
  <x:si>
    <x:t xml:space="preserve">Balanced development and held-out set with versioned cases</x:t>
  </x:si>
  <x:si>
    <x:t xml:space="preserve">3.8</x:t>
  </x:si>
  <x:si>
    <x:t xml:space="preserve">Run baseline benchmark and write report</x:t>
  </x:si>
  <x:si>
    <x:t xml:space="preserve">Reproducible report with representative failures and limitations</x:t>
  </x:si>
  <x:si>
    <x:t xml:space="preserve">4 Multimodal Technical Document Evaluation</x:t>
  </x:si>
  <x:si>
    <x:t xml:space="preserve">Define supported document and artifact formats</x:t>
  </x:si>
  <x:si>
    <x:t xml:space="preserve">Format matrix, evaluator strategy, and explicit exclusions</x:t>
  </x:si>
  <x:si>
    <x:t xml:space="preserve">Build public and synthetic technical-document corpus</x:t>
  </x:si>
  <x:si>
    <x:t xml:space="preserve">Authorized PDFs, images, tables, and self-authored drawings</x:t>
  </x:si>
  <x:si>
    <x:t xml:space="preserve">Implement PDF, image, and table input adapters</x:t>
  </x:si>
  <x:si>
    <x:t xml:space="preserve">Local ingestion produces stable case inputs and metadata</x:t>
  </x:si>
  <x:si>
    <x:t xml:space="preserve">4.4</x:t>
  </x:si>
  <x:si>
    <x:t xml:space="preserve">Implement deterministic table and spreadsheet checks</x:t>
  </x:si>
  <x:si>
    <x:t xml:space="preserve">Cell, field, formula, and tolerance checks are reproducible</x:t>
  </x:si>
  <x:si>
    <x:t xml:space="preserve">4.5</x:t>
  </x:si>
  <x:si>
    <x:t xml:space="preserve">Implement file and artifact validation</x:t>
  </x:si>
  <x:si>
    <x:t xml:space="preserve">Expected files parse, contain required structure, and meet gates</x:t>
  </x:si>
  <x:si>
    <x:t xml:space="preserve">4.6</x:t>
  </x:si>
  <x:si>
    <x:t xml:space="preserve">Author 12 multimodal cases</x:t>
  </x:si>
  <x:si>
    <x:t xml:space="preserve">Cases cover hallucinated dimensions, units, revisions, tables, and missing constraints</x:t>
  </x:si>
  <x:si>
    <x:t xml:space="preserve">4.7</x:t>
  </x:si>
  <x:si>
    <x:t xml:space="preserve">Run multimodal regression suite and report</x:t>
  </x:si>
  <x:si>
    <x:t xml:space="preserve">Benchmark results are reproducible and failure evidence is preserved</x:t>
  </x:si>
  <x:si>
    <x:t xml:space="preserve">5 OpenClaw Bounded Agent Evaluation</x:t>
  </x:si>
  <x:si>
    <x:t xml:space="preserve">Study OpenClaw agent loop and runtime concepts</x:t>
  </x:si>
  <x:si>
    <x:t xml:space="preserve">Can explain tools, context, state, permissions, and traces</x:t>
  </x:si>
  <x:si>
    <x:t xml:space="preserve">Install and configure OpenClaw in an isolated sandbox</x:t>
  </x:si>
  <x:si>
    <x:t xml:space="preserve">No personal accounts, production credentials, or broad file access</x:t>
  </x:si>
  <x:si>
    <x:t xml:space="preserve">Define bounded synthetic agent workflows</x:t>
  </x:si>
  <x:si>
    <x:t xml:space="preserve">Five tasks with tools, deliverables, acceptance criteria, and approval boundaries</x:t>
  </x:si>
  <x:si>
    <x:t xml:space="preserve">5.4</x:t>
  </x:si>
  <x:si>
    <x:t xml:space="preserve">Implement least-privilege tools and environment controls</x:t>
  </x:si>
  <x:si>
    <x:t xml:space="preserve">Read/write boundaries and destructive-action restrictions tested</x:t>
  </x:si>
  <x:si>
    <x:t xml:space="preserve">5.5</x:t>
  </x:si>
  <x:si>
    <x:t xml:space="preserve">Implement trace collector</x:t>
  </x:si>
  <x:si>
    <x:t xml:space="preserve">Actions, tool calls, outputs, errors, corrections, and artifacts are captured</x:t>
  </x:si>
  <x:si>
    <x:t xml:space="preserve">5.6</x:t>
  </x:si>
  <x:si>
    <x:t xml:space="preserve">Separate outcome and process evaluators</x:t>
  </x:si>
  <x:si>
    <x:t xml:space="preserve">Final deliverable and trajectory quality receive distinct scores</x:t>
  </x:si>
  <x:si>
    <x:t xml:space="preserve">5.7</x:t>
  </x:si>
  <x:si>
    <x:t xml:space="preserve">Execute repeated bounded runs</x:t>
  </x:si>
  <x:si>
    <x:t xml:space="preserve">At least five workflows run repeatedly with failed runs retained</x:t>
  </x:si>
  <x:si>
    <x:t xml:space="preserve">5.8</x:t>
  </x:si>
  <x:si>
    <x:t xml:space="preserve">Analyze failures and corrections</x:t>
  </x:si>
  <x:si>
    <x:t xml:space="preserve">Trace-linked taxonomy and small correction dataset</x:t>
  </x:si>
  <x:si>
    <x:t xml:space="preserve">6.1</x:t>
  </x:si>
  <x:si>
    <x:t xml:space="preserve">6 Comparative Harness &amp; Observability</x:t>
  </x:si>
  <x:si>
    <x:t xml:space="preserve">Select comparator harness or direct baseline</x:t>
  </x:si>
  <x:si>
    <x:t xml:space="preserve">Selection memo based on portability, cost, and measurement value</x:t>
  </x:si>
  <x:si>
    <x:t xml:space="preserve">6.2</x:t>
  </x:si>
  <x:si>
    <x:t xml:space="preserve">Implement common task adapter</x:t>
  </x:si>
  <x:si>
    <x:t xml:space="preserve">Identical cases execute without changing task or evaluator definitions</x:t>
  </x:si>
  <x:si>
    <x:t xml:space="preserve">6.3</x:t>
  </x:si>
  <x:si>
    <x:t xml:space="preserve">Run controlled comparative experiments</x:t>
  </x:si>
  <x:si>
    <x:t xml:space="preserve">Repeated results from OpenClaw and comparator on identical tasks</x:t>
  </x:si>
  <x:si>
    <x:t xml:space="preserve">6.4</x:t>
  </x:si>
  <x:si>
    <x:t xml:space="preserve">Add cost, latency, and tool-use metrics</x:t>
  </x:si>
  <x:si>
    <x:t xml:space="preserve">Metrics linked to each run and trace</x:t>
  </x:si>
  <x:si>
    <x:t xml:space="preserve">6.5</x:t>
  </x:si>
  <x:si>
    <x:t xml:space="preserve">Write comparative benchmark report</x:t>
  </x:si>
  <x:si>
    <x:t xml:space="preserve">Outcome/process tradeoffs and limitations stated conservatively</x:t>
  </x:si>
  <x:si>
    <x:t xml:space="preserve">6.6</x:t>
  </x:si>
  <x:si>
    <x:t xml:space="preserve">Complete comparative-study gate review</x:t>
  </x:si>
  <x:si>
    <x:t xml:space="preserve">Evidence supports or rejects claimed differences</x:t>
  </x:si>
  <x:si>
    <x:t xml:space="preserve">7.1</x:t>
  </x:si>
  <x:si>
    <x:t xml:space="preserve">7 Hardening, Governance &amp; Portfolio Release</x:t>
  </x:si>
  <x:si>
    <x:t xml:space="preserve">Run held-out regression and seeded-bug tests</x:t>
  </x:si>
  <x:si>
    <x:t xml:space="preserve">No tuning on held-out cases; known defects are caught</x:t>
  </x:si>
  <x:si>
    <x:t xml:space="preserve">7.2</x:t>
  </x:si>
  <x:si>
    <x:t xml:space="preserve">Write security, data-handling, and governance pack</x:t>
  </x:si>
  <x:si>
    <x:t xml:space="preserve">Risk register, data policy, human-review points, and incident procedure</x:t>
  </x:si>
  <x:si>
    <x:t xml:space="preserve">7.3</x:t>
  </x:si>
  <x:si>
    <x:t xml:space="preserve">Create reproducible packaged setup</x:t>
  </x:si>
  <x:si>
    <x:t xml:space="preserve">Clean-machine setup succeeds from README; Docker optional but documented</x:t>
  </x:si>
  <x:si>
    <x:t xml:space="preserve">7.4</x:t>
  </x:si>
  <x:si>
    <x:t xml:space="preserve">Create architecture diagram and three case studies</x:t>
  </x:si>
  <x:si>
    <x:t xml:space="preserve">Portfolio explains task, agent, environment, trace, evaluator, and results</x:t>
  </x:si>
  <x:si>
    <x:t xml:space="preserve">7.5</x:t>
  </x:si>
  <x:si>
    <x:t xml:space="preserve">Run final cold-start demonstration</x:t>
  </x:si>
  <x:si>
    <x:t xml:space="preserve">New clone, tests, benchmark, and demo complete without hidden steps</x:t>
  </x:si>
  <x:si>
    <x:t xml:space="preserve">7.6</x:t>
  </x:si>
  <x:si>
    <x:t xml:space="preserve">Prepare job-facing README and walkthrough</x:t>
  </x:si>
  <x:si>
    <x:t xml:space="preserve">Ten-minute portfolio walkthrough tied to eval-engineering roles</x:t>
  </x:si>
  <x:si>
    <x:t xml:space="preserve">7.7</x:t>
  </x:si>
  <x:si>
    <x:t xml:space="preserve">Release v1.0 and record lessons learned</x:t>
  </x:si>
  <x:si>
    <x:t xml:space="preserve">Tagged release, final report, backlog, and post-project review</x:t>
  </x:si>
  <x:si>
    <x:t xml:space="preserve">Executive Gantt — 576 Planned Labour Hours</x:t>
  </x:si>
  <x:si>
    <x:t xml:space="preserve">Hours</x:t>
  </x:si>
  <x:si>
    <x:t xml:space="preserve">% Total</x:t>
  </x:si>
  <x:si>
    <x:t xml:space="preserve">Jul-26</x:t>
  </x:si>
  <x:si>
    <x:t xml:space="preserve">Aug-26</x:t>
  </x:si>
  <x:si>
    <x:t xml:space="preserve">Sep-26</x:t>
  </x:si>
  <x:si>
    <x:t xml:space="preserve">Oct-26</x:t>
  </x:si>
  <x:si>
    <x:t xml:space="preserve">Nov-26</x:t>
  </x:si>
  <x:si>
    <x:t xml:space="preserve">Dec-26</x:t>
  </x:si>
  <x:si>
    <x:t xml:space="preserve">Jan-27</x:t>
  </x:si>
  <x:si>
    <x:t xml:space="preserve">Feb-27</x:t>
  </x:si>
  <x:si>
    <x:t xml:space="preserve">Mar-27</x:t>
  </x:si>
  <x:si>
    <x:t xml:space="preserve">Apr-27</x:t>
  </x:si>
  <x:si>
    <x:t xml:space="preserve">May-27</x:t>
  </x:si>
  <x:si>
    <x:t xml:space="preserve">Jun-27</x:t>
  </x:si>
  <x:si>
    <x:t xml:space="preserve">Ongoing controls; baseline accepted at Gate 0</x:t>
  </x:si>
  <x:si>
    <x:t xml:space="preserve">Controlled scope, updated schedule, issue log, gate records</x:t>
  </x:si>
  <x:si>
    <x:t xml:space="preserve">Gate 1 — v0.1.0 case specification baseline</x:t>
  </x:si>
  <x:si>
    <x:t xml:space="preserve">8 reviewed synthetic cases, 3 workflow families, held-out split</x:t>
  </x:si>
  <x:si>
    <x:t xml:space="preserve">Gate 2 — v0.2 test and repository baseline</x:t>
  </x:si>
  <x:si>
    <x:t xml:space="preserve">20+ tests, CI, clean Git workflow, result/trace schema stubs</x:t>
  </x:si>
  <x:si>
    <x:t xml:space="preserve">Gate 3 — deterministic evaluation baseline</x:t>
  </x:si>
  <x:si>
    <x:t xml:space="preserve">Evaluator engine, local result records, 20-case benchmark report</x:t>
  </x:si>
  <x:si>
    <x:t xml:space="preserve">Gate 4 — multimodal benchmark ready</x:t>
  </x:si>
  <x:si>
    <x:t xml:space="preserve">PDF/image/table handling, artifact checks, 12 multimodal cases</x:t>
  </x:si>
  <x:si>
    <x:t xml:space="preserve">Gate 5 — bounded agent evaluation demonstrated</x:t>
  </x:si>
  <x:si>
    <x:t xml:space="preserve">Sandboxed OpenClaw runs, traces, process/outcome evaluators</x:t>
  </x:si>
  <x:si>
    <x:t xml:space="preserve">Gate 6 — comparative study complete</x:t>
  </x:si>
  <x:si>
    <x:t xml:space="preserve">Identical-task comparison, cost/latency/tool-use metrics, report</x:t>
  </x:si>
  <x:si>
    <x:t xml:space="preserve">Gate 7 — v1.0 portfolio release</x:t>
  </x:si>
  <x:si>
    <x:t xml:space="preserve">Held-out regression, reproducible setup, governance pack, case studies</x:t>
  </x:si>
  <x:si>
    <x:t xml:space="preserve">TOTAL BASELINE</x:t>
  </x:si>
  <x:si>
    <x:t xml:space="preserve">Work Block Log — Actual Work, Evidence, Decisions, and Next Action</x:t>
  </x:si>
  <x:si>
    <x:t xml:space="preserve">Enter one row per coherent work block. Actual hours are recorded only when explicitly known. Detailed Gantt and Weekly Control calculate actuals from this sheet.</x:t>
  </x:si>
  <x:si>
    <x:t xml:space="preserve">Block ID</x:t>
  </x:si>
  <x:si>
    <x:t xml:space="preserve">Date</x:t>
  </x:si>
  <x:si>
    <x:t xml:space="preserve">End</x:t>
  </x:si>
  <x:si>
    <x:t xml:space="preserve">Primary WBS</x:t>
  </x:si>
  <x:si>
    <x:t xml:space="preserve">MVP Week</x:t>
  </x:si>
  <x:si>
    <x:t xml:space="preserve">Objective</x:t>
  </x:si>
  <x:si>
    <x:t xml:space="preserve">Deliverable / Evidence</x:t>
  </x:si>
  <x:si>
    <x:t xml:space="preserve">Decisions / Blockers</x:t>
  </x:si>
  <x:si>
    <x:t xml:space="preserve">Git / Artifact</x:t>
  </x:si>
  <x:si>
    <x:t xml:space="preserve">WB-001</x:t>
  </x:si>
  <x:si>
    <x:t xml:space="preserve">Repository setup, toolchain verification, and initial commissioning.</x:t>
  </x:si>
  <x:si>
    <x:t xml:space="preserve">Python 3.14.2 virtual environment active; repository structure commissioned; baseline tests passed.</x:t>
  </x:si>
  <x:si>
    <x:t xml:space="preserve">Use a backend-first local CLI and synthetic/public data only.</x:t>
  </x:si>
  <x:si>
    <x:t xml:space="preserve">Establish Git/GitHub baseline and controlled workflow.</x:t>
  </x:si>
  <x:si>
    <x:t xml:space="preserve">Local repository baseline</x:t>
  </x:si>
  <x:si>
    <x:t xml:space="preserve">WB-002</x:t>
  </x:si>
  <x:si>
    <x:t xml:space="preserve">Git/GitHub baseline, first controlled regression change, and repository commissioning.</x:t>
  </x:si>
  <x:si>
    <x:t xml:space="preserve">PR #1 merged; unknown-case CLI regression added; 20 tests passed.</x:t>
  </x:si>
  <x:si>
    <x:t xml:space="preserve">Use branch/PR workflow, but avoid one branch per trivial test after practice objective is met.</x:t>
  </x:si>
  <x:si>
    <x:t xml:space="preserve">Implement targeted case loading.</x:t>
  </x:si>
  <x:si>
    <x:t xml:space="preserve">PR #1 / merge 29f4879</x:t>
  </x:si>
  <x:si>
    <x:t xml:space="preserve">WB-003</x:t>
  </x:si>
  <x:si>
    <x:t xml:space="preserve">1:51 PM</x:t>
  </x:si>
  <x:si>
    <x:t xml:space="preserve">2:28 PM</x:t>
  </x:si>
  <x:si>
    <x:t xml:space="preserve">Add targeted case loading by ID and decouple inspect from full-repository validation.</x:t>
  </x:si>
  <x:si>
    <x:t xml:space="preserve">PR #2 merged; load_case_by_id added; CLI inspect updated; 22 tests passed.</x:t>
  </x:si>
  <x:si>
    <x:t xml:space="preserve">Targeted inspect should ignore invalid unrelated cases.</x:t>
  </x:si>
  <x:si>
    <x:t xml:space="preserve">Prove case isolation with a regression test.</x:t>
  </x:si>
  <x:si>
    <x:t xml:space="preserve">PR #2 / merge 84ae42e</x:t>
  </x:si>
  <x:si>
    <x:t xml:space="preserve">WB-004</x:t>
  </x:si>
  <x:si>
    <x:t xml:space="preserve">4:00 PM</x:t>
  </x:si>
  <x:si>
    <x:t xml:space="preserve">Case-isolation and seeded-defect validator coverage.</x:t>
  </x:si>
  <x:si>
    <x:t xml:space="preserve">PR #3 case isolation, PR #4 evaluator weight sum, PR #5 missing input asset; 25 tests passed.</x:t>
  </x:si>
  <x:si>
    <x:t xml:space="preserve">Stop the one-test-per-branch pattern. Tests support the product; the next major capability is the evaluation engine. Duration reconstructed from the confirmed timeline.</x:t>
  </x:si>
  <x:si>
    <x:t xml:space="preserve">Complete architecture/control checkpoint, then start candidate artifact contract.</x:t>
  </x:si>
  <x:si>
    <x:t xml:space="preserve">PR #3 90ead34; PR #4 8399f1f; PR #5 0205c60</x:t>
  </x:si>
  <x:si>
    <x:t xml:space="preserve">WB-005</x:t>
  </x:si>
  <x:si>
    <x:t xml:space="preserve">5:20 PM</x:t>
  </x:si>
  <x:si>
    <x:t xml:space="preserve">Architecture checkpoint and aggressive MVP rebaseline.</x:t>
  </x:si>
  <x:si>
    <x:t xml:space="preserve">Updated architecture draft and 8-week MVP control workbook with logs, decisions, risks, evidence, and AI context.</x:t>
  </x:si>
  <x:si>
    <x:t xml:space="preserve">Gantt workbook becomes the controlling source of truth. Preserve long-term work as expansion backlog.</x:t>
  </x:si>
  <x:si>
    <x:t xml:space="preserve">Commit docs/architecture.md and this workbook; begin WBS 1.1.</x:t>
  </x:si>
  <x:si>
    <x:t xml:space="preserve">docs/architecture.md; gantt.xlsx</x:t>
  </x:si>
  <x:si>
    <x:t xml:space="preserve">WB-006</x:t>
  </x:si>
  <x:si>
    <x:t xml:space="preserve">5:24 PM</x:t>
  </x:si>
  <x:si>
    <x:t xml:space="preserve">Commit the architecture document and rebaselined Gantt workbook to main.</x:t>
  </x:si>
  <x:si>
    <x:t xml:space="preserve">Commit c71676d pushed to origin/main; working tree confirmed clean.</x:t>
  </x:si>
  <x:si>
    <x:t xml:space="preserve">Gate 0 is complete. Stop work for the day; begin WBS 1.1 in the next work block.</x:t>
  </x:si>
  <x:si>
    <x:t xml:space="preserve">Next work block: create feature/candidate-artifact-contract and define the MECH-002 candidate contract.</x:t>
  </x:si>
  <x:si>
    <x:t xml:space="preserve">c71676d — Rebaseline project for eight-week MVP</x:t>
  </x:si>
  <x:si>
    <x:t xml:space="preserve">Decision ID</x:t>
  </x:si>
  <x:si>
    <x:t xml:space="preserve">Decision</x:t>
  </x:si>
  <x:si>
    <x:t xml:space="preserve">Rationale</x:t>
  </x:si>
  <x:si>
    <x:t xml:space="preserve">Affected WBS</x:t>
  </x:si>
  <x:si>
    <x:t xml:space="preserve">Evidence / Source</x:t>
  </x:si>
  <x:si>
    <x:t xml:space="preserve">Revisit Trigger</x:t>
  </x:si>
  <x:si>
    <x:t xml:space="preserve">D-001</x:t>
  </x:si>
  <x:si>
    <x:t xml:space="preserve">Build a backend-first, schema-first local CLI harness.</x:t>
  </x:si>
  <x:si>
    <x:t xml:space="preserve">Demonstrates evaluation-system ownership without frontend distraction.</x:t>
  </x:si>
  <x:si>
    <x:t xml:space="preserve">Active</x:t>
  </x:si>
  <x:si>
    <x:t xml:space="preserve">All</x:t>
  </x:si>
  <x:si>
    <x:t xml:space="preserve">Project scope and architecture</x:t>
  </x:si>
  <x:si>
    <x:t xml:space="preserve">Revisit only after MVP release.</x:t>
  </x:si>
  <x:si>
    <x:t xml:space="preserve">D-002</x:t>
  </x:si>
  <x:si>
    <x:t xml:space="preserve">Keep task, agent, environment, trace/artifacts, evaluator, and results separate.</x:t>
  </x:si>
  <x:si>
    <x:t xml:space="preserve">Enables reproducible comparisons and prevents benchmark/run-data entanglement.</x:t>
  </x:si>
  <x:si>
    <x:t xml:space="preserve">Revisit only for a concrete interface conflict.</x:t>
  </x:si>
  <x:si>
    <x:t xml:space="preserve">D-003</x:t>
  </x:si>
  <x:si>
    <x:t xml:space="preserve">Use the Gantt workbook as the controlling project-management artifact.</x:t>
  </x:si>
  <x:si>
    <x:t xml:space="preserve">Provides shared context across sessions and auditable progress control.</x:t>
  </x:si>
  <x:si>
    <x:t xml:space="preserve">Project instructions; gantt.xlsx</x:t>
  </x:si>
  <x:si>
    <x:t xml:space="preserve">Revisit if workbook maintenance exceeds its planning value.</x:t>
  </x:si>
  <x:si>
    <x:t xml:space="preserve">D-004</x:t>
  </x:si>
  <x:si>
    <x:t xml:space="preserve">Replace the 52-week controlling schedule with an 8-week, 76-hour MVP baseline.</x:t>
  </x:si>
  <x:si>
    <x:t xml:space="preserve">The prior learning-first sequence delayed useful product functionality.</x:t>
  </x:si>
  <x:si>
    <x:t xml:space="preserve">All MVP</x:t>
  </x:si>
  <x:si>
    <x:t xml:space="preserve">This workbook revision</x:t>
  </x:si>
  <x:si>
    <x:t xml:space="preserve">Rebaseline only through a recorded gate decision.</x:t>
  </x:si>
  <x:si>
    <x:t xml:space="preserve">D-005</x:t>
  </x:si>
  <x:si>
    <x:t xml:space="preserve">The one-test pattern created transcription work and weak product momentum.</x:t>
  </x:si>
  <x:si>
    <x:t xml:space="preserve">All development</x:t>
  </x:si>
  <x:si>
    <x:t xml:space="preserve">PR #3–#5 retrospective</x:t>
  </x:si>
  <x:si>
    <x:t xml:space="preserve">Revisit if a capability becomes too large to review safely.</x:t>
  </x:si>
  <x:si>
    <x:t xml:space="preserve">D-006</x:t>
  </x:si>
  <x:si>
    <x:t xml:space="preserve">Stop validator-only expansion after material coverage; build the evaluation engine next.</x:t>
  </x:si>
  <x:si>
    <x:t xml:space="preserve">Tests are evidence, not the product. The harness still cannot score candidates.</x:t>
  </x:si>
  <x:si>
    <x:t xml:space="preserve">0.3 → 1.1</x:t>
  </x:si>
  <x:si>
    <x:t xml:space="preserve">25 tests; architecture checkpoint</x:t>
  </x:si>
  <x:si>
    <x:t xml:space="preserve">Reopen validator work only when engine work exposes a real defect.</x:t>
  </x:si>
  <x:si>
    <x:t xml:space="preserve">D-007</x:t>
  </x:si>
  <x:si>
    <x:t xml:space="preserve">MVP uses JSON candidate artifacts and deterministic checks only.</x:t>
  </x:si>
  <x:si>
    <x:t xml:space="preserve">Constrains scope while proving the complete evaluation loop.</x:t>
  </x:si>
  <x:si>
    <x:t xml:space="preserve">1–5</x:t>
  </x:si>
  <x:si>
    <x:t xml:space="preserve">MVP definition</x:t>
  </x:si>
  <x:si>
    <x:t xml:space="preserve">Revisit after v0.1.0.</x:t>
  </x:si>
  <x:si>
    <x:t xml:space="preserve">D-008</x:t>
  </x:si>
  <x:si>
    <x:t xml:space="preserve">Defer OpenClaw, multimodal, APIs, databases, observability, and RL.</x:t>
  </x:si>
  <x:si>
    <x:t xml:space="preserve">These are expansion capabilities and should not block the first useful harness.</x:t>
  </x:si>
  <x:si>
    <x:t xml:space="preserve">Expansion</x:t>
  </x:si>
  <x:si>
    <x:t xml:space="preserve">Select next expansion only after Gate 6.</x:t>
  </x:si>
  <x:si>
    <x:t xml:space="preserve">D-009</x:t>
  </x:si>
  <x:si>
    <x:t xml:space="preserve">Adopt the Mechanical Engineering Workflow Assurance Platform as the strategic product direction; the current harness is its evaluation kernel.</x:t>
  </x:si>
  <x:si>
    <x:t xml:space="preserve">Drawing, document-package, calculation, QA/QC, cross-document, standards, redline, and agent workflows all depend on the same independent evaluation and evidence layer.</x:t>
  </x:si>
  <x:si>
    <x:t xml:space="preserve">All / Expansion</x:t>
  </x:si>
  <x:si>
    <x:t xml:space="preserve">Product Vision sheet; AI Context; project discussion</x:t>
  </x:si>
  <x:si>
    <x:t xml:space="preserve">Revisit after Gate 6 or if a concrete MVP interface conflict appears.</x:t>
  </x:si>
  <x:si>
    <x:t xml:space="preserve">D-010</x:t>
  </x:si>
  <x:si>
    <x:t xml:space="preserve">Keep candidate and result contracts runtime-agnostic and extensible without implementing deferred capabilities.</x:t>
  </x:si>
  <x:si>
    <x:t xml:space="preserve">A stable envelope lets human, direct-model, scripted, multimodal, and agent outputs use the same evaluator while preventing current scope creep.</x:t>
  </x:si>
  <x:si>
    <x:t xml:space="preserve">1.1; 2.2; Expansion</x:t>
  </x:si>
  <x:si>
    <x:t xml:space="preserve">Product Vision; updated WBS acceptance criteria</x:t>
  </x:si>
  <x:si>
    <x:t xml:space="preserve">Revisit only when implementation evidence shows the envelope is too broad or too narrow.</x:t>
  </x:si>
  <x:si>
    <x:t xml:space="preserve">Risk and Issue Register</x:t>
  </x:si>
  <x:si>
    <x:t xml:space="preserve">Description</x:t>
  </x:si>
  <x:si>
    <x:t xml:space="preserve">Probability</x:t>
  </x:si>
  <x:si>
    <x:t xml:space="preserve">Impact</x:t>
  </x:si>
  <x:si>
    <x:t xml:space="preserve">Owner</x:t>
  </x:si>
  <x:si>
    <x:t xml:space="preserve">Mitigation / Action</x:t>
  </x:si>
  <x:si>
    <x:t xml:space="preserve">Review Date</x:t>
  </x:si>
  <x:si>
    <x:t xml:space="preserve">R-001</x:t>
  </x:si>
  <x:si>
    <x:t xml:space="preserve">Risk</x:t>
  </x:si>
  <x:si>
    <x:t xml:space="preserve">Planning and documentation replace implementation.</x:t>
  </x:si>
  <x:si>
    <x:t xml:space="preserve">High</x:t>
  </x:si>
  <x:si>
    <x:t xml:space="preserve">Jason</x:t>
  </x:si>
  <x:si>
    <x:t xml:space="preserve">Require every work block to advance a WBS deliverable; no new planning artifact without a direct control need.</x:t>
  </x:si>
  <x:si>
    <x:t xml:space="preserve">Open</x:t>
  </x:si>
  <x:si>
    <x:t xml:space="preserve">Primary process risk identified during July 4 checkpoint.</x:t>
  </x:si>
  <x:si>
    <x:t xml:space="preserve">R-002</x:t>
  </x:si>
  <x:si>
    <x:t xml:space="preserve">Overbuilding tests and software-learning exercises delays MVP.</x:t>
  </x:si>
  <x:si>
    <x:t xml:space="preserve">Stop one-test branches; add only capability-level tests and reuse fixtures when it reduces real duplication.</x:t>
  </x:si>
  <x:si>
    <x:t xml:space="preserve">Mitigating</x:t>
  </x:si>
  <x:si>
    <x:t xml:space="preserve">25 tests already provide a useful validator baseline.</x:t>
  </x:si>
  <x:si>
    <x:t xml:space="preserve">R-003</x:t>
  </x:si>
  <x:si>
    <x:t xml:space="preserve">Engineering references or tolerances are wrong despite valid schemas.</x:t>
  </x:si>
  <x:si>
    <x:t xml:space="preserve">Medium</x:t>
  </x:si>
  <x:si>
    <x:t xml:space="preserve">Independently verify seed cases and use a human-review checklist before benchmark admission.</x:t>
  </x:si>
  <x:si>
    <x:t xml:space="preserve">WBS 3.1.</x:t>
  </x:si>
  <x:si>
    <x:t xml:space="preserve">R-004</x:t>
  </x:si>
  <x:si>
    <x:t xml:space="preserve">Scope expands into drawings, standards/GD&amp;T, agent runtimes, multimodal parsing, APIs, observability, or RL before the core evaluator exists.</x:t>
  </x:si>
  <x:si>
    <x:t xml:space="preserve">Record the platform vision in Product Vision and Expansion Backlog, preserve only necessary interface extension points, and pull implementation forward only through a recorded gate decision.</x:t>
  </x:si>
  <x:si>
    <x:t xml:space="preserve">The strategic direction is retained, but all non-MVP capabilities remain deferred.</x:t>
  </x:si>
  <x:si>
    <x:t xml:space="preserve">R-005</x:t>
  </x:si>
  <x:si>
    <x:t xml:space="preserve">AI-generated code is accepted without understanding interfaces or failure modes.</x:t>
  </x:si>
  <x:si>
    <x:t xml:space="preserve">Use short architecture briefings, review inputs/outputs, inspect evidence, and require acceptance tests.</x:t>
  </x:si>
  <x:si>
    <x:t xml:space="preserve">Delegate syntax, retain architectural ownership.</x:t>
  </x:si>
  <x:si>
    <x:t xml:space="preserve">R-006</x:t>
  </x:si>
  <x:si>
    <x:t xml:space="preserve">Confidential Outlier or employer information enters the public portfolio.</x:t>
  </x:si>
  <x:si>
    <x:t xml:space="preserve">Low</x:t>
  </x:si>
  <x:si>
    <x:t xml:space="preserve">Use only synthetic, public, self-authored, or authorized content; review artifacts before commit.</x:t>
  </x:si>
  <x:si>
    <x:t xml:space="preserve">Non-negotiable data boundary.</x:t>
  </x:si>
  <x:si>
    <x:t xml:space="preserve">I-001</x:t>
  </x:si>
  <x:si>
    <x:t xml:space="preserve">Issue</x:t>
  </x:si>
  <x:si>
    <x:t xml:space="preserve">Actual duration for July 4 PR #3–#5 work was not recorded.</x:t>
  </x:si>
  <x:si>
    <x:t xml:space="preserve">N/A</x:t>
  </x:si>
  <x:si>
    <x:t xml:space="preserve">Actuals entered in Work Block Log; formula-driven summaries recalculated.</x:t>
  </x:si>
  <x:si>
    <x:t xml:space="preserve">Closed</x:t>
  </x:si>
  <x:si>
    <x:t xml:space="preserve">Resolved from the confirmed July 4 timeline: WB-004 = 1.53 h and WB-005 = 1.33 h.</x:t>
  </x:si>
  <x:si>
    <x:t xml:space="preserve">I-002</x:t>
  </x:si>
  <x:si>
    <x:t xml:space="preserve">Architecture document update is prepared but not yet confirmed committed.</x:t>
  </x:si>
  <x:si>
    <x:t xml:space="preserve">Commit docs/architecture.md with the rebaselined workbook.</x:t>
  </x:si>
  <x:si>
    <x:t xml:space="preserve">Resolved by commit c71676d on 2026-07-04.</x:t>
  </x:si>
  <x:si>
    <x:t xml:space="preserve">Artifact and Evidence Register</x:t>
  </x:si>
  <x:si>
    <x:t xml:space="preserve">Evidence ID</x:t>
  </x:si>
  <x:si>
    <x:t xml:space="preserve">Location / Commit</x:t>
  </x:si>
  <x:si>
    <x:t xml:space="preserve">Acceptance Supported</x:t>
  </x:si>
  <x:si>
    <x:t xml:space="preserve">EV-001</x:t>
  </x:si>
  <x:si>
    <x:t xml:space="preserve">Python 3.14.2 virtual environment and repository commissioning verified.</x:t>
  </x:si>
  <x:si>
    <x:t xml:space="preserve">Environment</x:t>
  </x:si>
  <x:si>
    <x:t xml:space="preserve">Local repository</x:t>
  </x:si>
  <x:si>
    <x:t xml:space="preserve">Environment baseline</x:t>
  </x:si>
  <x:si>
    <x:t xml:space="preserve">Accepted</x:t>
  </x:si>
  <x:si>
    <x:t xml:space="preserve">Starter repository operational.</x:t>
  </x:si>
  <x:si>
    <x:t xml:space="preserve">EV-002</x:t>
  </x:si>
  <x:si>
    <x:t xml:space="preserve">First controlled feature/PR cycle and unknown-case regression.</x:t>
  </x:si>
  <x:si>
    <x:t xml:space="preserve">Git / Test</x:t>
  </x:si>
  <x:si>
    <x:t xml:space="preserve">PR #1; merge 29f4879</x:t>
  </x:si>
  <x:si>
    <x:t xml:space="preserve">Git baseline; controlled errors</x:t>
  </x:si>
  <x:si>
    <x:t xml:space="preserve">20 tests passed.</x:t>
  </x:si>
  <x:si>
    <x:t xml:space="preserve">EV-003</x:t>
  </x:si>
  <x:si>
    <x:t xml:space="preserve">Targeted load_case_by_id and CLI inspect decoupling.</x:t>
  </x:si>
  <x:si>
    <x:t xml:space="preserve">Code / Test</x:t>
  </x:si>
  <x:si>
    <x:t xml:space="preserve">PR #2; merge 84ae42e</x:t>
  </x:si>
  <x:si>
    <x:t xml:space="preserve">Targeted case loading</x:t>
  </x:si>
  <x:si>
    <x:t xml:space="preserve">22 tests passed.</x:t>
  </x:si>
  <x:si>
    <x:t xml:space="preserve">EV-004</x:t>
  </x:si>
  <x:si>
    <x:t xml:space="preserve">Inspect case isolation regression.</x:t>
  </x:si>
  <x:si>
    <x:t xml:space="preserve">Test</x:t>
  </x:si>
  <x:si>
    <x:t xml:space="preserve">PR #3; merge 90ead34</x:t>
  </x:si>
  <x:si>
    <x:t xml:space="preserve">Unrelated invalid case does not block inspect</x:t>
  </x:si>
  <x:si>
    <x:t xml:space="preserve">23 tests passed.</x:t>
  </x:si>
  <x:si>
    <x:t xml:space="preserve">EV-005</x:t>
  </x:si>
  <x:si>
    <x:t xml:space="preserve">Evaluator weight-sum seeded-defect test.</x:t>
  </x:si>
  <x:si>
    <x:t xml:space="preserve">PR #4; merge 8399f1f</x:t>
  </x:si>
  <x:si>
    <x:t xml:space="preserve">Invalid scoring configuration rejected</x:t>
  </x:si>
  <x:si>
    <x:t xml:space="preserve">24 tests passed.</x:t>
  </x:si>
  <x:si>
    <x:t xml:space="preserve">EV-006</x:t>
  </x:si>
  <x:si>
    <x:t xml:space="preserve">Missing input-asset seeded-defect test.</x:t>
  </x:si>
  <x:si>
    <x:t xml:space="preserve">PR #5; merge 0205c60</x:t>
  </x:si>
  <x:si>
    <x:t xml:space="preserve">Missing declared assets rejected</x:t>
  </x:si>
  <x:si>
    <x:t xml:space="preserve">25 tests passed.</x:t>
  </x:si>
  <x:si>
    <x:t xml:space="preserve">EV-007</x:t>
  </x:si>
  <x:si>
    <x:t xml:space="preserve">Architecture checkpoint draft defines current layers, implemented state, and next milestone.</x:t>
  </x:si>
  <x:si>
    <x:t xml:space="preserve">Documentation</x:t>
  </x:si>
  <x:si>
    <x:t xml:space="preserve">Architecture understanding</x:t>
  </x:si>
  <x:si>
    <x:t xml:space="preserve">Committed in c71676d.</x:t>
  </x:si>
  <x:si>
    <x:t xml:space="preserve">EV-008</x:t>
  </x:si>
  <x:si>
    <x:t xml:space="preserve">Aggressive 8-week MVP rebaseline and control registers.</x:t>
  </x:si>
  <x:si>
    <x:t xml:space="preserve">Control baseline</x:t>
  </x:si>
  <x:si>
    <x:t xml:space="preserve">Committed in c71676d and adopted as the controlling project workbook.</x:t>
  </x:si>
  <x:si>
    <x:t xml:space="preserve">EV-009</x:t>
  </x:si>
  <x:si>
    <x:t xml:space="preserve">Architecture and MVP control baseline committed and pushed with a clean main branch.</x:t>
  </x:si>
  <x:si>
    <x:t xml:space="preserve">Git / Project control</x:t>
  </x:si>
  <x:si>
    <x:t xml:space="preserve">c71676d</x:t>
  </x:si>
  <x:si>
    <x:t xml:space="preserve">Repository main and origin/main synchronized.</x:t>
  </x:si>
  <x:si>
    <x:t xml:space="preserve">EV-010</x:t>
  </x:si>
  <x:si>
    <x:t xml:space="preserve">0.2 / All</x:t>
  </x:si>
  <x:si>
    <x:t xml:space="preserve">Strategic product vision, architecture invariants, future capability ladder, commercial workflow hypothesis, and MVP guardrails recorded in the controlling workbook.</x:t>
  </x:si>
  <x:si>
    <x:t xml:space="preserve">Project control / Architecture</x:t>
  </x:si>
  <x:si>
    <x:t xml:space="preserve">gantt_updated_2026-07-05.xlsx — Product Vision, AI Context, Decision Register</x:t>
  </x:si>
  <x:si>
    <x:t xml:space="preserve">Long-term direction retained without changing MVP baseline</x:t>
  </x:si>
  <x:si>
    <x:t xml:space="preserve">No actual work hours added because duration was not explicitly provided.</x:t>
  </x:si>
  <x:si>
    <x:t xml:space="preserve">Post-MVP Expansion Backlog — Not Part of the Controlling MVP Baseline</x:t>
  </x:si>
  <x:si>
    <x:t xml:space="preserve">These capabilities preserve the twelve-month strategy without allowing it to delay the first useful product. Select expansion work only after Gate 6 and a recorded decision.</x:t>
  </x:si>
  <x:si>
    <x:t xml:space="preserve">Theme</x:t>
  </x:si>
  <x:si>
    <x:t xml:space="preserve">Deferred Capability</x:t>
  </x:si>
  <x:si>
    <x:t xml:space="preserve">Why Deferred</x:t>
  </x:si>
  <x:si>
    <x:t xml:space="preserve">Entry Criteria</x:t>
  </x:si>
  <x:si>
    <x:t xml:space="preserve">Priority</x:t>
  </x:si>
  <x:si>
    <x:t xml:space="preserve">Rough Hours</x:t>
  </x:si>
  <x:si>
    <x:t xml:space="preserve">Source Phase</x:t>
  </x:si>
  <x:si>
    <x:t xml:space="preserve">X-01</x:t>
  </x:si>
  <x:si>
    <x:t xml:space="preserve">Benchmark scale</x:t>
  </x:si>
  <x:si>
    <x:t xml:space="preserve">Expand from 5 to 20+ cases</x:t>
  </x:si>
  <x:si>
    <x:t xml:space="preserve">MVP needs proof of flow before breadth.</x:t>
  </x:si>
  <x:si>
    <x:t xml:space="preserve">MVP benchmark stable and case authoring template proven.</x:t>
  </x:si>
  <x:si>
    <x:t xml:space="preserve">Next</x:t>
  </x:si>
  <x:si>
    <x:t xml:space="preserve">30</x:t>
  </x:si>
  <x:si>
    <x:t xml:space="preserve">Case Foundation / Evaluation Engine</x:t>
  </x:si>
  <x:si>
    <x:t xml:space="preserve">Deferred</x:t>
  </x:si>
  <x:si>
    <x:t xml:space="preserve">X-02</x:t>
  </x:si>
  <x:si>
    <x:t xml:space="preserve">Multimodal</x:t>
  </x:si>
  <x:si>
    <x:t xml:space="preserve">Drawing/document assurance: PDFs, vector drawings, tables, images, and later native CAD metadata; structured findings and redline verification</x:t>
  </x:si>
  <x:si>
    <x:t xml:space="preserve">Adds parsing, vision, symbol/entity extraction, heterogeneous artifacts, and location-aware evidence.</x:t>
  </x:si>
  <x:si>
    <x:t xml:space="preserve">JSON evaluator stable; one high-value drawing/document workflow selected; deterministic ground truth available.</x:t>
  </x:si>
  <x:si>
    <x:t xml:space="preserve">50</x:t>
  </x:si>
  <x:si>
    <x:t xml:space="preserve">X-03</x:t>
  </x:si>
  <x:si>
    <x:t xml:space="preserve">Agent runtime</x:t>
  </x:si>
  <x:si>
    <x:t xml:space="preserve">Bounded engineering-review agent runtime, trace capture, proposed redlines/corrections, re-evaluation, and human approval routing</x:t>
  </x:si>
  <x:si>
    <x:t xml:space="preserve">Agent execution is not required to prove evaluator correctness and adds permissions, tools, state, and safety controls.</x:t>
  </x:si>
  <x:si>
    <x:t xml:space="preserve">MVP released; sandbox, least-privilege plan, trace schema, and artifact evaluator approved.</x:t>
  </x:si>
  <x:si>
    <x:t xml:space="preserve">45</x:t>
  </x:si>
  <x:si>
    <x:t xml:space="preserve">OpenClaw</x:t>
  </x:si>
  <x:si>
    <x:t xml:space="preserve">X-04</x:t>
  </x:si>
  <x:si>
    <x:t xml:space="preserve">Process evaluation</x:t>
  </x:si>
  <x:si>
    <x:t xml:space="preserve">Trajectory schema and process-quality scoring for retrieval, file/tool use, revision selection, verification, correction, and efficiency</x:t>
  </x:si>
  <x:si>
    <x:t xml:space="preserve">Requires real agent traces and calibrated process criteria separate from final artifact quality.</x:t>
  </x:si>
  <x:si>
    <x:t xml:space="preserve">At least 10 preserved agent runs exist across representative success and failure modes.</x:t>
  </x:si>
  <x:si>
    <x:t xml:space="preserve">OpenClaw / RL</x:t>
  </x:si>
  <x:si>
    <x:t xml:space="preserve">X-05</x:t>
  </x:si>
  <x:si>
    <x:t xml:space="preserve">Comparative study</x:t>
  </x:si>
  <x:si>
    <x:t xml:space="preserve">Compare OpenClaw, direct model, and another harness</x:t>
  </x:si>
  <x:si>
    <x:t xml:space="preserve">Meaningful only after identical-task evaluator is stable.</x:t>
  </x:si>
  <x:si>
    <x:t xml:space="preserve">Two runtimes integrated on same cases.</x:t>
  </x:si>
  <x:si>
    <x:t xml:space="preserve">Comparative Harness</x:t>
  </x:si>
  <x:si>
    <x:t xml:space="preserve">X-06</x:t>
  </x:si>
  <x:si>
    <x:t xml:space="preserve">Observability</x:t>
  </x:si>
  <x:si>
    <x:t xml:space="preserve">Latency, cost, token, trace, and session dashboards</x:t>
  </x:si>
  <x:si>
    <x:t xml:space="preserve">Useful after repeatable runs exist.</x:t>
  </x:si>
  <x:si>
    <x:t xml:space="preserve">Result and trace schemas stable; multiple runs available.</x:t>
  </x:si>
  <x:si>
    <x:t xml:space="preserve">25</x:t>
  </x:si>
  <x:si>
    <x:t xml:space="preserve">X-07</x:t>
  </x:si>
  <x:si>
    <x:t xml:space="preserve">API and storage</x:t>
  </x:si>
  <x:si>
    <x:t xml:space="preserve">FastAPI plus SQLite/PostgreSQL result service</x:t>
  </x:si>
  <x:si>
    <x:t xml:space="preserve">CLI and files are sufficient for MVP.</x:t>
  </x:si>
  <x:si>
    <x:t xml:space="preserve">Local result contract stable and external consumer identified.</x:t>
  </x:si>
  <x:si>
    <x:t xml:space="preserve">35</x:t>
  </x:si>
  <x:si>
    <x:t xml:space="preserve">Deployment</x:t>
  </x:si>
  <x:si>
    <x:t xml:space="preserve">X-08</x:t>
  </x:si>
  <x:si>
    <x:t xml:space="preserve">RAG</x:t>
  </x:si>
  <x:si>
    <x:t xml:space="preserve">Public engineering corpus and grounding evaluation</x:t>
  </x:si>
  <x:si>
    <x:t xml:space="preserve">Separate workflow and data problem.</x:t>
  </x:si>
  <x:si>
    <x:t xml:space="preserve">Core evaluator stable; corpus and retrieval success criteria defined.</x:t>
  </x:si>
  <x:si>
    <x:t xml:space="preserve">X-09</x:t>
  </x:si>
  <x:si>
    <x:t xml:space="preserve">Docker and hosted demo</x:t>
  </x:si>
  <x:si>
    <x:t xml:space="preserve">Local reproducibility is enough for first portfolio release.</x:t>
  </x:si>
  <x:si>
    <x:t xml:space="preserve">MVP stable; hosted access has clear job-market value.</x:t>
  </x:si>
  <x:si>
    <x:t xml:space="preserve">X-10</x:t>
  </x:si>
  <x:si>
    <x:t xml:space="preserve">Governance</x:t>
  </x:si>
  <x:si>
    <x:t xml:space="preserve">System card, risk register, data policy, incident playbook</x:t>
  </x:si>
  <x:si>
    <x:t xml:space="preserve">Full governance pack is excessive before a working system.</x:t>
  </x:si>
  <x:si>
    <x:t xml:space="preserve">MVP behaviour and risks are evidenced.</x:t>
  </x:si>
  <x:si>
    <x:t xml:space="preserve">20</x:t>
  </x:si>
  <x:si>
    <x:t xml:space="preserve">X-11</x:t>
  </x:si>
  <x:si>
    <x:t xml:space="preserve">Adaptation</x:t>
  </x:si>
  <x:si>
    <x:t xml:space="preserve">Offline process-reward dataset and calibration</x:t>
  </x:si>
  <x:si>
    <x:t xml:space="preserve">Requires traces, labels, and evaluator stability.</x:t>
  </x:si>
  <x:si>
    <x:t xml:space="preserve">Process evaluation dataset exists.</x:t>
  </x:si>
  <x:si>
    <x:t xml:space="preserve">40</x:t>
  </x:si>
  <x:si>
    <x:t xml:space="preserve">OpenClaw-RL / RLAnything</x:t>
  </x:si>
  <x:si>
    <x:t xml:space="preserve">X-12</x:t>
  </x:si>
  <x:si>
    <x:t xml:space="preserve">RL research</x:t>
  </x:si>
  <x:si>
    <x:t xml:space="preserve">LoRA or selected agentic-RL experiments</x:t>
  </x:si>
  <x:si>
    <x:t xml:space="preserve">High compute and dependency burden; weak early portfolio ROI.</x:t>
  </x:si>
  <x:si>
    <x:t xml:space="preserve">Python/PyTorch/statistics competence and calibrated reward system exist.</x:t>
  </x:si>
  <x:si>
    <x:t xml:space="preserve">80+</x:t>
  </x:si>
  <x:si>
    <x:t xml:space="preserve">X-13</x:t>
  </x:si>
  <x:si>
    <x:t xml:space="preserve">Cross-document assurance</x:t>
  </x:si>
  <x:si>
    <x:t xml:space="preserve">Drawing↔BOM↔data sheet↔specification↔revision-register consistency checks</x:t>
  </x:si>
  <x:si>
    <x:t xml:space="preserve">Requires controlled identifiers, source mappings, and multiple artifact adapters.</x:t>
  </x:si>
  <x:si>
    <x:t xml:space="preserve">Structured document assurance works on one source type; mappings and ground truth are reviewed.</x:t>
  </x:si>
  <x:si>
    <x:t xml:space="preserve">Workflow Assurance</x:t>
  </x:si>
  <x:si>
    <x:t xml:space="preserve">X-14</x:t>
  </x:si>
  <x:si>
    <x:t xml:space="preserve">Standards / GD&amp;T</x:t>
  </x:si>
  <x:si>
    <x:t xml:space="preserve">ISO/company drafting-rule checks and bounded GD&amp;T proposal, syntax, consistency, manufacturability, and inspection assurance</x:t>
  </x:si>
  <x:si>
    <x:t xml:space="preserve">Functional design intent, licensed standards access, and human engineering review are required.</x:t>
  </x:si>
  <x:si>
    <x:t xml:space="preserve">Multimodal drawing extraction is reliable; controlled standards corpus and calibrated cases exist.</x:t>
  </x:si>
  <x:si>
    <x:t xml:space="preserve">60</x:t>
  </x:si>
  <x:si>
    <x:t xml:space="preserve">Drawing Assurance</x:t>
  </x:si>
  <x:si>
    <x:t xml:space="preserve">X-15</x:t>
  </x:si>
  <x:si>
    <x:t xml:space="preserve">Commercial workflow</x:t>
  </x:si>
  <x:si>
    <x:t xml:space="preserve">Pre-release engineered-to-order package assurance across drawings, BOMs, calculations, specifications, vendor data, and revision history</x:t>
  </x:si>
  <x:si>
    <x:t xml:space="preserve">High integration and liability burden; should follow narrower validated pilots.</x:t>
  </x:si>
  <x:si>
    <x:t xml:space="preserve">At least two narrower workflows show repeatable customer value, controlled false-negative risk, and human release gates.</x:t>
  </x:si>
  <x:si>
    <x:t xml:space="preserve">Platform Integration</x:t>
  </x:si>
  <x:si>
    <x:t xml:space="preserve">AI Project Context — Read at the Start of Every Work Block</x:t>
  </x:si>
  <x:si>
    <x:t xml:space="preserve">This sheet is a compact machine-readable and human-readable handoff. Read Product Vision for the strategic direction; controlling operational detail remains in Detailed Gantt, Work Block Log, Decision Register, Risks &amp; Issues, and Evidence Register.</x:t>
  </x:si>
  <x:si>
    <x:t xml:space="preserve">Current State</x:t>
  </x:si>
  <x:si>
    <x:t xml:space="preserve">Last updated</x:t>
  </x:si>
  <x:si>
    <x:t xml:space="preserve">2026-08-23</x:t>
  </x:si>
  <x:si>
    <x:t xml:space="preserve">Planned hours</x:t>
  </x:si>
  <x:si>
    <x:t xml:space="preserve">76</x:t>
  </x:si>
  <x:si>
    <x:t xml:space="preserve">Repository state</x:t>
  </x:si>
  <x:si>
    <x:t xml:space="preserve">Tests</x:t>
  </x:si>
  <x:si>
    <x:t xml:space="preserve">Seed cases</x:t>
  </x:si>
  <x:si>
    <x:t xml:space="preserve">MECH-001 to MECH-003</x:t>
  </x:si>
  <x:si>
    <x:t xml:space="preserve">PRs merged</x:t>
  </x:si>
  <x:si>
    <x:t xml:space="preserve">Current capability</x:t>
  </x:si>
  <x:si>
    <x:t xml:space="preserve">Not implemented</x:t>
  </x:si>
  <x:si>
    <x:t xml:space="preserve">Next WBS</x:t>
  </x:si>
  <x:si>
    <x:t xml:space="preserve">Immediate next action</x:t>
  </x:si>
  <x:si>
    <x:t xml:space="preserve">Do not do next</x:t>
  </x:si>
  <x:si>
    <x:t xml:space="preserve">More isolated validator tests, API/database, PDF/CAD parsing, redlining, standards/GD&amp;T, multimodal, OpenClaw/agents, observability, deployment, or RL.</x:t>
  </x:si>
  <x:si>
    <x:t xml:space="preserve">MVP interface</x:t>
  </x:si>
  <x:si>
    <x:t xml:space="preserve">CLI</x:t>
  </x:si>
  <x:si>
    <x:t xml:space="preserve">Candidate type</x:t>
  </x:si>
  <x:si>
    <x:t xml:space="preserve">JSON</x:t>
  </x:si>
  <x:si>
    <x:t xml:space="preserve">Strategic direction</x:t>
  </x:si>
  <x:si>
    <x:t xml:space="preserve">Mechanical Engineering Workflow Assurance Platform; current harness is its evaluation kernel.</x:t>
  </x:si>
  <x:si>
    <x:t xml:space="preserve">Future scope</x:t>
  </x:si>
  <x:si>
    <x:t xml:space="preserve">Drawing/document/package assurance, cross-document consistency, redlining, standards/GD&amp;T assistance, and bounded agents.</x:t>
  </x:si>
  <x:si>
    <x:t xml:space="preserve">Scope control</x:t>
  </x:si>
  <x:si>
    <x:t xml:space="preserve">Preserve interfaces now; do not implement deferred capabilities before Gate 6.</x:t>
  </x:si>
  <x:si>
    <x:t xml:space="preserve">Vision source</x:t>
  </x:si>
  <x:si>
    <x:t xml:space="preserve">Product Vision; D-009; D-010</x:t>
  </x:si>
  <x:si>
    <x:t xml:space="preserve">Required Start-of-Block Protocol</x:t>
  </x:si>
  <x:si>
    <x:t xml:space="preserve">Required End-of-Block Protocol</x:t>
  </x:si>
  <x:si>
    <x:t xml:space="preserve">Read Start Here and the current/next rows in Detailed Gantt.</x:t>
  </x:si>
  <x:si>
    <x:t xml:space="preserve">Add one Work Block Log row with actual hours only if known.</x:t>
  </x:si>
  <x:si>
    <x:t xml:space="preserve">Read the last three Work Block Log rows.</x:t>
  </x:si>
  <x:si>
    <x:t xml:space="preserve">Update Detailed Gantt status, percent complete, evidence, notes, and next action.</x:t>
  </x:si>
  <x:si>
    <x:t xml:space="preserve">Check open decisions, risks/issues, and pending evidence.</x:t>
  </x:si>
  <x:si>
    <x:t xml:space="preserve">Add or update Evidence Register entries.</x:t>
  </x:si>
  <x:si>
    <x:t xml:space="preserve">State the active WBS, objective, expected duration, and definition of done.</x:t>
  </x:si>
  <x:si>
    <x:t xml:space="preserve">Record material decisions, blockers, risks, or scope changes.</x:t>
  </x:si>
  <x:si>
    <x:t xml:space="preserve">Reject work that does not directly advance the MVP unless a recorded decision changes scope.</x:t>
  </x:si>
  <x:si>
    <x:t xml:space="preserve">Confirm branch/commit/test state and identify the exact next action.</x:t>
  </x:si>
  <x:si>
    <x:t xml:space="preserve">Architecture and Product Boundaries</x:t>
  </x:si>
  <x:si>
    <x:t xml:space="preserve">MVP Definition of Done</x:t>
  </x:si>
  <x:si>
    <x:t xml:space="preserve">Task</x:t>
  </x:si>
  <x:si>
    <x:t xml:space="preserve">Instructions, inputs, deliverable, constraints, evaluation intent.</x:t>
  </x:si>
  <x:si>
    <x:t xml:space="preserve">Valid engineering cases and candidate JSON artifacts.</x:t>
  </x:si>
  <x:si>
    <x:t xml:space="preserve">Agent</x:t>
  </x:si>
  <x:si>
    <x:t xml:space="preserve">Direct model, OpenClaw, another harness, or human-created candidate.</x:t>
  </x:si>
  <x:si>
    <x:t xml:space="preserve">Mandatory gates and deterministic checks.</x:t>
  </x:si>
  <x:si>
    <x:t xml:space="preserve">Files, tools, permissions, shell/GUI conditions.</x:t>
  </x:si>
  <x:si>
    <x:t xml:space="preserve">Weighted score, pass/fail, failure modes, and evidence.</x:t>
  </x:si>
  <x:si>
    <x:t xml:space="preserve">Trace / Artifacts</x:t>
  </x:si>
  <x:si>
    <x:t xml:space="preserve">Actions, tool calls, state changes, errors, corrections, outputs.</x:t>
  </x:si>
  <x:si>
    <x:t xml:space="preserve">evaluate CLI command with stable exit codes.</x:t>
  </x:si>
  <x:si>
    <x:t xml:space="preserve">Evaluator</x:t>
  </x:si>
  <x:si>
    <x:t xml:space="preserve">Gates, deterministic checks, tolerances, scoring, failure evidence.</x:t>
  </x:si>
  <x:si>
    <x:t xml:space="preserve">Immutable structured result records.</x:t>
  </x:si>
  <x:si>
    <x:t xml:space="preserve">Results</x:t>
  </x:si>
  <x:si>
    <x:t xml:space="preserve">Immutable score, pass/fail, evidence, versions, artifact locations.</x:t>
  </x:si>
  <x:si>
    <x:t xml:space="preserve">Five reviewed cases with at least one held-out case.</x:t>
  </x:si>
  <x:si>
    <x:t xml:space="preserve">Separation rule</x:t>
  </x:si>
  <x:si>
    <x:t xml:space="preserve">Case definitions are versioned benchmark inputs; run data is generated evidence. Do not mix them.</x:t>
  </x:si>
  <x:si>
    <x:t xml:space="preserve">Small reproducible benchmark and representative failure summary.</x:t>
  </x:si>
  <x:si>
    <x:t xml:space="preserve">Engineering boundary</x:t>
  </x:si>
  <x:si>
    <x:t xml:space="preserve">No engineering sign-off, stamped deliverables, autonomous release, or final safety-critical decisions.</x:t>
  </x:si>
  <x:si>
    <x:t xml:space="preserve">CI, README, architecture docs, one portfolio demo, and v0.1.0 tag.</x:t>
  </x:si>
  <x:si>
    <x:t xml:space="preserve">Current Evidence and Known Gaps</x:t>
  </x:si>
  <x:si>
    <x:t xml:space="preserve">PR #1–#5 merged; 25 tests pass; seed cases validate; targeted inspect and key validator defects covered.</x:t>
  </x:si>
  <x:si>
    <x:t xml:space="preserve">Gap</x:t>
  </x:si>
  <x:si>
    <x:t xml:space="preserve">No candidate evaluation engine exists.</x:t>
  </x:si>
  <x:si>
    <x:t xml:space="preserve">Response</x:t>
  </x:si>
  <x:si>
    <x:t xml:space="preserve">Build WBS 1.1–1.5 next.</x:t>
  </x:si>
  <x:si>
    <x:t xml:space="preserve">Architecture and controlling Gantt workbook committed in c71676d.</x:t>
  </x:si>
  <x:si>
    <x:t xml:space="preserve">No open commit gap.</x:t>
  </x:si>
  <x:si>
    <x:t xml:space="preserve">Begin WBS 1.1 in the next work block.</x:t>
  </x:si>
  <x:si>
    <x:t xml:space="preserve">Known logged time is 7.55 hours through WB-006.</x:t>
  </x:si>
  <x:si>
    <x:t xml:space="preserve">No known time-entry gap.</x:t>
  </x:si>
  <x:si>
    <x:t xml:space="preserve">Record future actuals only when explicitly known.</x:t>
  </x:si>
  <x:si>
    <x:t xml:space="preserve">Strategic platform direction is recorded in Product Vision, Decision Register, AI Context, and Expansion Backlog.</x:t>
  </x:si>
  <x:si>
    <x:t xml:space="preserve">Post-MVP expansion sequence is intentionally unselected.</x:t>
  </x:si>
  <x:si>
    <x:t xml:space="preserve">Select the first expansion only after MVP Gate 6 using customer value and evaluator maturity.</x:t>
  </x:si>
  <x:si>
    <x:t xml:space="preserve">Control rule</x:t>
  </x:si>
  <x:si>
    <x:t xml:space="preserve">One branch per coherent capability; tests support product.</x:t>
  </x:si>
  <x:si>
    <x:t xml:space="preserve">Planning or test-building may displace implementation.</x:t>
  </x:si>
  <x:si>
    <x:t xml:space="preserve">Every block must close a WBS deliverable.</x:t>
  </x:si>
  <x:si>
    <x:t xml:space="preserve">Strategic Product Direction</x:t>
  </x:si>
  <x:si>
    <x:t xml:space="preserve">Current MVP role</x:t>
  </x:si>
  <x:si>
    <x:t xml:space="preserve">Evaluation kernel: cases, candidate artifacts, deterministic gates/checks, scoring, evidence, CLI, results, benchmark, and release proof.</x:t>
  </x:si>
  <x:si>
    <x:t xml:space="preserve">Future input surface</x:t>
  </x:si>
  <x:si>
    <x:t xml:space="preserve">Technical PDFs, drawings, native CAD metadata, calculations, BOMs, data sheets, specifications, QA/QC records, turnover packages, and agent traces.</x:t>
  </x:si>
  <x:si>
    <x:t xml:space="preserve">Future output surface</x:t>
  </x:si>
  <x:si>
    <x:t xml:space="preserve">Issue registers, evidence-linked findings, redlines, corrected candidates, cross-document discrepancy reports, review packages, and regression results.</x:t>
  </x:si>
  <x:si>
    <x:t xml:space="preserve">Highest-value hypothesis</x:t>
  </x:si>
  <x:si>
    <x:t xml:space="preserve">Pre-release assurance for engineered-to-order packages to prevent wrong-revision, material, dimension, interface, procurement, fabrication, field, and turnover failures.</x:t>
  </x:si>
  <x:si>
    <x:t xml:space="preserve">Architecture invariant</x:t>
  </x:si>
  <x:si>
    <x:t xml:space="preserve">The agent remains replaceable and the evaluator independent; task, environment, trace/artifacts, evaluator, and results remain separate.</x:t>
  </x:si>
  <x:si>
    <x:t xml:space="preserve">Human-reviewed assistance only. No autonomous engineering release, sign-off, stamping, final code-compliance opinion, or safety-critical control.</x:t>
  </x:si>
  <x:si>
    <x:t xml:space="preserve">Immediate implication</x:t>
  </x:si>
  <x:si>
    <x:t xml:space="preserve">WBS 1.1 and 2.2 preserve small extension points; all drawing, standards, CAD, and agent implementation remains deferred.</x:t>
  </x:si>
  <x:si>
    <x:t xml:space="preserve">Key Metrics</x:t>
  </x:si>
  <x:si>
    <x:t xml:space="preserve">Current Focus</x:t>
  </x:si>
  <x:si>
    <x:t xml:space="preserve">Next Build WBS</x:t>
  </x:si>
  <x:si>
    <x:t xml:space="preserve">Known Logged Hours</x:t>
  </x:si>
  <x:si>
    <x:t xml:space="preserve">Current product state</x:t>
  </x:si>
  <x:si>
    <x:t xml:space="preserve">Weighted Progress</x:t>
  </x:si>
  <x:si>
    <x:t xml:space="preserve">Tests Passing</x:t>
  </x:si>
  <x:si>
    <x:t xml:space="preserve">Primary risk</x:t>
  </x:si>
  <x:si>
    <x:t xml:space="preserve">Planning or test activity displaces implementation.</x:t>
  </x:si>
  <x:si>
    <x:t xml:space="preserve">Seed Cases</x:t>
  </x:si>
  <x:si>
    <x:t xml:space="preserve">OpenClaw, multimodal, API/database, observability, deployment, governance pack, and RL.</x:t>
  </x:si>
  <x:si>
    <x:t xml:space="preserve">Merged PRs</x:t>
  </x:si>
  <x:si>
    <x:t xml:space="preserve">Data boundary</x:t>
  </x:si>
  <x:si>
    <x:t xml:space="preserve">Public, synthetic, self-authored, or authorized data only.</x:t>
  </x:si>
  <x:si>
    <x:t xml:space="preserve">Current Main</x:t>
  </x:si>
  <x:si>
    <x:t xml:space="preserve">Phase Progress</x:t>
  </x:si>
  <x:si>
    <x:t xml:space="preserve">Next Three Deliverables</x:t>
  </x:si>
  <x:si>
    <x:t xml:space="preserve">Deliverable</x:t>
  </x:si>
  <x:si>
    <x:t xml:space="preserve">Definition of Done</x:t>
  </x:si>
  <x:si>
    <x:t xml:space="preserve">Branch</x:t>
  </x:si>
  <x:si>
    <x:t xml:space="preserve">Mechanical Engineering Workflow Assurance Platform — Product Vision</x:t>
  </x:si>
  <x:si>
    <x:t xml:space="preserve">The current Mechanical Technical Document Evaluation Harness is the platform’s evaluation kernel. The MVP remains a narrow JSON-first CLI release; future drawing, document, standards, and agent capabilities must build through stable interfaces rather than expanding the MVP.</x:t>
  </x:si>
  <x:si>
    <x:t xml:space="preserve">North Star</x:t>
  </x:si>
  <x:si>
    <x:t xml:space="preserve">Strategic product</x:t>
  </x:si>
  <x:si>
    <x:t xml:space="preserve">Mechanical Engineering Workflow Assurance Platform</x:t>
  </x:si>
  <x:si>
    <x:t xml:space="preserve">Current product</x:t>
  </x:si>
  <x:si>
    <x:t xml:space="preserve">Mechanical Technical Document Evaluation Harness v0.1 — the deterministic evaluation kernel</x:t>
  </x:si>
  <x:si>
    <x:t xml:space="preserve">Purpose</x:t>
  </x:si>
  <x:si>
    <x:t xml:space="preserve">Evaluate and assist mechanical engineering document, drawing, calculation, QA/QC, turnover, and agent workflows with traceable evidence.</x:t>
  </x:si>
  <x:si>
    <x:t xml:space="preserve">Primary value</x:t>
  </x:si>
  <x:si>
    <x:t xml:space="preserve">Reduce review labour, prevent wrong-revision and cross-document errors, catch release defects before procurement, fabrication, field installation, or turnover.</x:t>
  </x:si>
  <x:si>
    <x:t xml:space="preserve">Human boundary</x:t>
  </x:si>
  <x:si>
    <x:t xml:space="preserve">Outputs are flags, evidence, drafts, proposals, and review packages. Qualified humans retain approval, authentication, engineering sign-off, and final safety-critical decisions.</x:t>
  </x:si>
  <x:si>
    <x:t xml:space="preserve">Capability Ladder</x:t>
  </x:si>
  <x:si>
    <x:t xml:space="preserve">Level</x:t>
  </x:si>
  <x:si>
    <x:t xml:space="preserve">Stage</x:t>
  </x:si>
  <x:si>
    <x:t xml:space="preserve">Capability</x:t>
  </x:si>
  <x:si>
    <x:t xml:space="preserve">Example Deliverable</x:t>
  </x:si>
  <x:si>
    <x:t xml:space="preserve">Economic Value</x:t>
  </x:si>
  <x:si>
    <x:t xml:space="preserve">Scope Rule</x:t>
  </x:si>
  <x:si>
    <x:t xml:space="preserve">MVP</x:t>
  </x:si>
  <x:si>
    <x:t xml:space="preserve">Structured deterministic evaluation kernel</x:t>
  </x:si>
  <x:si>
    <x:t xml:space="preserve">CLI score, pass/fail, gates, checks, evidence, immutable result JSON</x:t>
  </x:si>
  <x:si>
    <x:t xml:space="preserve">Proves repeatable assurance logic and creates the foundation for every later workflow</x:t>
  </x:si>
  <x:si>
    <x:t xml:space="preserve">Current WBS 1.1–5.3</x:t>
  </x:si>
  <x:si>
    <x:t xml:space="preserve">Ship before expansion</x:t>
  </x:si>
  <x:si>
    <x:t xml:space="preserve">Post-MVP</x:t>
  </x:si>
  <x:si>
    <x:t xml:space="preserve">Structured multi-document and package assurance</x:t>
  </x:si>
  <x:si>
    <x:t xml:space="preserve">Turnover/package completeness report; revision and field consistency checks</x:t>
  </x:si>
  <x:si>
    <x:t xml:space="preserve">Cuts coordinator review time and rejection loops</x:t>
  </x:si>
  <x:si>
    <x:t xml:space="preserve">MVP released; one high-value workflow selected</x:t>
  </x:si>
  <x:si>
    <x:t xml:space="preserve">Expansion decision after Gate 6</x:t>
  </x:si>
  <x:si>
    <x:t xml:space="preserve">Multimodal drawing/document assurance</x:t>
  </x:si>
  <x:si>
    <x:t xml:space="preserve">PDF/drawing/table/image findings with page, region, entity, expected, and actual evidence</x:t>
  </x:si>
  <x:si>
    <x:t xml:space="preserve">Finds missing dimensions, revision conflicts, annotation defects, and unsupported claims</x:t>
  </x:si>
  <x:si>
    <x:t xml:space="preserve">Stable evaluator; controlled parser/vision benchmark</x:t>
  </x:si>
  <x:si>
    <x:t xml:space="preserve">Deterministic-first</x:t>
  </x:si>
  <x:si>
    <x:t xml:space="preserve">Cross-document consistency</x:t>
  </x:si>
  <x:si>
    <x:t xml:space="preserve">Drawing↔BOM↔data sheet↔specification↔revision-register discrepancy report</x:t>
  </x:si>
  <x:si>
    <x:t xml:space="preserve">Prevents procurement, fabrication, and field rework caused by inconsistent release packages</x:t>
  </x:si>
  <x:si>
    <x:t xml:space="preserve">Common identifiers and source mappings defined</x:t>
  </x:si>
  <x:si>
    <x:t xml:space="preserve">Human release gate</x:t>
  </x:si>
  <x:si>
    <x:t xml:space="preserve">Bounded agent-assisted review and redlining</x:t>
  </x:si>
  <x:si>
    <x:t xml:space="preserve">Agent trace, issue register, proposed redline, corrected candidate, and re-evaluation record</x:t>
  </x:si>
  <x:si>
    <x:t xml:space="preserve">Automates repetitive review actions while preserving independent assurance</x:t>
  </x:si>
  <x:si>
    <x:t xml:space="preserve">Sandbox, least privilege, trace schema, stable artifact evaluator</x:t>
  </x:si>
  <x:si>
    <x:t xml:space="preserve">Evaluator independent of agent runtime</x:t>
  </x:si>
  <x:si>
    <x:t xml:space="preserve">Standards and GD&amp;T assistance</x:t>
  </x:si>
  <x:si>
    <x:t xml:space="preserve">ISO/company-rule findings; candidate datum scheme and feature-control proposals for review</x:t>
  </x:si>
  <x:si>
    <x:t xml:space="preserve">Reduces drafting/checking effort and detects ambiguous, conflicting, or costly tolerancing</x:t>
  </x:si>
  <x:si>
    <x:t xml:space="preserve">Controlled standards corpus, functional inputs, calibrated review cases</x:t>
  </x:si>
  <x:si>
    <x:t xml:space="preserve">Proposal/assurance only; no autonomous release</x:t>
  </x:si>
  <x:si>
    <x:t xml:space="preserve">Commercial target</x:t>
  </x:si>
  <x:si>
    <x:t xml:space="preserve">Pre-release engineered-to-order package assurance</x:t>
  </x:si>
  <x:si>
    <x:t xml:space="preserve">Integrated hold/release review package across drawings, BOMs, calculations, vendor data, and specifications</x:t>
  </x:si>
  <x:si>
    <x:t xml:space="preserve">Avoiding one major wrong-material, revision, dimensional, or interface release can exceed months of development cost</x:t>
  </x:si>
  <x:si>
    <x:t xml:space="preserve">Repeated customer evidence and validated false-negative controls</x:t>
  </x:si>
  <x:si>
    <x:t xml:space="preserve">Future</x:t>
  </x:si>
  <x:si>
    <x:t xml:space="preserve">Productize only after successful pilots</x:t>
  </x:si>
  <x:si>
    <x:t xml:space="preserve">Architecture Invariants</x:t>
  </x:si>
  <x:si>
    <x:t xml:space="preserve">Task separation</x:t>
  </x:si>
  <x:si>
    <x:t xml:space="preserve">Instructions, inputs, deliverable, constraints, and evaluation intent remain independent of the producing system.</x:t>
  </x:si>
  <x:si>
    <x:t xml:space="preserve">Replaceable agent</x:t>
  </x:si>
  <x:si>
    <x:t xml:space="preserve">OpenClaw, another harness, a direct model, a scripted workflow, or a human may produce the same candidate contract.</x:t>
  </x:si>
  <x:si>
    <x:t xml:space="preserve">Controlled environment</x:t>
  </x:si>
  <x:si>
    <x:t xml:space="preserve">Files, tools, permissions, shell/GUI state, and destructive/external actions are explicitly bounded and logged.</x:t>
  </x:si>
  <x:si>
    <x:t xml:space="preserve">Versioned artifacts</x:t>
  </x:si>
  <x:si>
    <x:t xml:space="preserve">Case definitions are benchmark inputs; candidate files, traces, redlines, and result records are generated evidence.</x:t>
  </x:si>
  <x:si>
    <x:t xml:space="preserve">Independent evaluator</x:t>
  </x:si>
  <x:si>
    <x:t xml:space="preserve">The evaluator does not trust the producing agent and remains executable without that runtime.</x:t>
  </x:si>
  <x:si>
    <x:t xml:space="preserve">Evidence-first results</x:t>
  </x:si>
  <x:si>
    <x:t xml:space="preserve">Failures support expected/actual values, severity, source references, artifact locations, and reproducible check logic.</x:t>
  </x:si>
  <x:si>
    <x:t xml:space="preserve">Use artifact-based checks wherever practical; use narrow evidence-anchored model judges only when no practical deterministic alternative exists.</x:t>
  </x:si>
  <x:si>
    <x:t xml:space="preserve">Human approval</x:t>
  </x:si>
  <x:si>
    <x:t xml:space="preserve">No engineering sign-off, autonomous release, stamped deliverables, code-compliance opinion, or unreviewed safety-critical control.</x:t>
  </x:si>
  <x:si>
    <x:t xml:space="preserve">Highest-Value Future Workflow Hypothesis</x:t>
  </x:si>
  <x:si>
    <x:t xml:space="preserve">Workflow</x:t>
  </x:si>
  <x:si>
    <x:t xml:space="preserve">Pre-release assurance for engineered-to-order manufacturing, fabrication, skid, equipment, or industrial package releases.</x:t>
  </x:si>
  <x:si>
    <x:t xml:space="preserve">Inputs</x:t>
  </x:si>
  <x:si>
    <x:t xml:space="preserve">Controlled drawings, 3D/native metadata where available, BOM, calculations, customer specification, vendor data, purchase requirements, revision history, and prior review comments.</x:t>
  </x:si>
  <x:si>
    <x:t xml:space="preserve">Agent work</x:t>
  </x:si>
  <x:si>
    <x:t xml:space="preserve">Retrieve correct revisions, inspect files/tools, compare requirements, draft redlines, propose corrections, and produce a review package.</x:t>
  </x:si>
  <x:si>
    <x:t xml:space="preserve">Evaluator work</x:t>
  </x:si>
  <x:si>
    <x:t xml:space="preserve">Enforce file/revision gates; compare identifiers, dimensions, units, materials, quantities, interfaces, and dispositions; preserve check-level evidence.</x:t>
  </x:si>
  <x:si>
    <x:t xml:space="preserve">Output</x:t>
  </x:si>
  <x:si>
    <x:t xml:space="preserve">Mandatory-hold findings, scored issue register, redlined artifacts, corrected candidate, trace, and human review package.</x:t>
  </x:si>
  <x:si>
    <x:t xml:space="preserve">Money mechanism</x:t>
  </x:si>
  <x:si>
    <x:t xml:space="preserve">Reduce checking hours and prevent wrong-revision fabrication, incorrect procurement, dimensional clashes, re-machining, field modification, client rejection, schedule delay, and repeat NCRs.</x:t>
  </x:si>
  <x:si>
    <x:t xml:space="preserve">Commercial path</x:t>
  </x:si>
  <x:si>
    <x:t xml:space="preserve">Start with a fixed-scope pilot and independent acceptance benchmark; productize only after the same workflow succeeds across multiple customers.</x:t>
  </x:si>
  <x:si>
    <x:t xml:space="preserve">MVP Scope Guardrail and Immediate Interface Requirements</x:t>
  </x:si>
  <x:si>
    <x:t xml:space="preserve">MVP remains</x:t>
  </x:si>
  <x:si>
    <x:t xml:space="preserve">JSON candidate loading, mandatory gates, deterministic checks, weighted scoring, failure evidence, CLI, immutable results, five cases, benchmark, CI, docs, and demo.</x:t>
  </x:si>
  <x:si>
    <x:t xml:space="preserve">Not in MVP</x:t>
  </x:si>
  <x:si>
    <x:t xml:space="preserve">PDF/CAD parsing, drawing redlines, standards databases, GD&amp;T generation, agent runtime integration, APIs, databases, observability, RAG, deployment, reward models, or RL.</x:t>
  </x:si>
  <x:si>
    <x:t xml:space="preserve">WBS 1.1 requirement</x:t>
  </x:si>
  <x:si>
    <x:t xml:space="preserve">Use a small extensible candidate envelope: schema_version, case_id, candidate_id, artifact_type, artifacts, payload, and optional provenance.</x:t>
  </x:si>
  <x:si>
    <x:t xml:space="preserve">WBS 2.2 requirement</x:t>
  </x:si>
  <x:si>
    <x:t xml:space="preserve">Result records should permit failure mode/severity, expected/actual evidence, artifact location, source-reference, cost/latency, and regression-status extension points.</x:t>
  </x:si>
  <x:si>
    <x:t xml:space="preserve">Change trigger</x:t>
  </x:si>
  <x:si>
    <x:t xml:space="preserve">Pull a deferred capability into the baseline only through a recorded decision after the MVP completion gate or when a concrete interface conflict makes it unavoidable.</x:t>
  </x:si>
</x:sst>
</file>

<file path=xl/styles.xml><?xml version="1.0" encoding="utf-8"?>
<x:styleSheet xmlns:x="http://schemas.openxmlformats.org/spreadsheetml/2006/main">
  <x:numFmts count="5">
    <x:numFmt numFmtId="164" formatCode="yyyy\-mm\-dd"/>
    <x:numFmt numFmtId="165" formatCode="0.0%"/>
    <x:numFmt numFmtId="166" formatCode="mmm\ d"/>
    <x:numFmt numFmtId="167" formatCode="0.0"/>
    <x:numFmt numFmtId="200" formatCode="yyyy-mm-dd"/>
  </x:numFmts>
  <x:fonts count="25">
    <x:font>
      <x:sz val="11"/>
      <x:name val="Carlito"/>
    </x:font>
    <x:font>
      <x:b/>
      <x:sz val="16"/>
      <x:color rgb="FFFFFFFF"/>
      <x:name val="Aptos"/>
    </x:font>
    <x:font>
      <x:b/>
      <x:sz val="10"/>
      <x:color rgb="FFFFFFFF"/>
      <x:name val="Aptos"/>
    </x:font>
    <x:font>
      <x:sz val="10"/>
      <x:name val="Aptos"/>
    </x:font>
    <x:font>
      <x:b/>
      <x:sz val="10"/>
      <x:name val="Aptos"/>
    </x:font>
    <x:font>
      <x:b/>
      <x:sz val="10"/>
      <x:color rgb="FF0F172A"/>
      <x:name val="Aptos"/>
    </x:font>
    <x:font>
      <x:b/>
      <x:sz val="16"/>
      <x:name val="Aptos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  <x:font>
      <x:b/>
      <x:i/>
      <x:sz val="10"/>
      <x:color rgb="FF0F172A"/>
      <x:name val="Aptos"/>
    </x:font>
    <x:font>
      <x:i/>
      <x:sz val="10"/>
      <x:name val="Aptos"/>
    </x:font>
    <x:font>
      <x:b/>
      <x:sz val="12"/>
      <x:color rgb="FFFFFFFF"/>
      <x:name val="Aptos"/>
    </x:font>
    <x:font>
      <x:b/>
      <x:sz val="12"/>
      <x:color rgb="FFFFFFFF"/>
      <x:name val="Carlito"/>
    </x:font>
    <x:font>
      <x:b/>
      <x:sz val="11"/>
      <x:name val="Carlito"/>
    </x:font>
    <x:font>
      <x:sz val="10"/>
      <x:color rgb="FF000000"/>
      <x:name val="Aptos"/>
    </x:font>
    <x:font>
      <x:i/>
      <x:sz val="10"/>
      <x:color rgb="FF000000"/>
      <x:name val="Aptos"/>
    </x:font>
    <x:font>
      <x:i/>
      <x:sz val="10"/>
      <x:color rgb="FF595959"/>
      <x:name val="Carlito"/>
    </x:font>
    <x:font>
      <x:b/>
      <x:sz val="11"/>
      <x:color rgb="FF1F1F1F"/>
      <x:name val="Carlito"/>
    </x:font>
    <x:font>
      <x:sz val="11"/>
      <x:color rgb="FF1F1F1F"/>
      <x:name val="Carlito"/>
    </x:font>
    <x:font>
      <x:i/>
      <x:sz val="10"/>
      <x:color rgb="FF595959"/>
      <x:name val="Aptos"/>
    </x:font>
    <x:font>
      <x:b/>
      <x:sz val="10"/>
      <x:color rgb="FF1F1F1F"/>
      <x:name val="Aptos"/>
    </x:font>
    <x:font>
      <x:sz val="10"/>
      <x:color rgb="FF1F1F1F"/>
      <x:name val="Aptos"/>
    </x:font>
    <x:font>
      <x:sz val="10"/>
      <x:color rgb="FF1F2937"/>
      <x:name val="Aptos"/>
    </x:font>
    <x:font>
      <x:b/>
      <x:sz val="10"/>
      <x:color rgb="FF1F2937"/>
      <x:name val="Aptos"/>
    </x:font>
  </x:fonts>
  <x:fills count="42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334155"/>
      </x:patternFill>
    </x:fill>
    <x:fill>
      <x:patternFill patternType="solid">
        <x:fgColor rgb="FFF8FAFC"/>
      </x:patternFill>
    </x:fill>
    <x:fill>
      <x:patternFill patternType="solid">
        <x:fgColor rgb="FFE2E8F0"/>
      </x:patternFill>
    </x:fill>
    <x:fill>
      <x:patternFill patternType="solid">
        <x:fgColor rgb="FF1E3A5F"/>
      </x:patternFill>
    </x:fill>
    <x:fill>
      <x:patternFill patternType="solid">
        <x:fgColor rgb="FF64748B"/>
      </x:patternFill>
    </x:fill>
    <x:fill>
      <x:patternFill patternType="solid">
        <x:fgColor rgb="FF2563EB"/>
      </x:patternFill>
    </x:fill>
    <x:fill>
      <x:patternFill patternType="solid">
        <x:fgColor rgb="FF0F766E"/>
      </x:patternFill>
    </x:fill>
    <x:fill>
      <x:patternFill patternType="solid">
        <x:fgColor rgb="FF7C3AED"/>
      </x:patternFill>
    </x:fill>
    <x:fill>
      <x:patternFill patternType="solid">
        <x:fgColor rgb="FFD97706"/>
      </x:patternFill>
    </x:fill>
    <x:fill>
      <x:patternFill patternType="solid">
        <x:fgColor rgb="FFB91C1C"/>
      </x:patternFill>
    </x:fill>
    <x:fill>
      <x:patternFill patternType="solid">
        <x:fgColor rgb="FF0891B2"/>
      </x:patternFill>
    </x:fill>
    <x:fill>
      <x:patternFill patternType="solid">
        <x:fgColor rgb="FF15803D"/>
      </x:patternFill>
    </x:fill>
    <x:fill>
      <x:patternFill patternType="solid">
        <x:fgColor rgb="FFF59E0B"/>
      </x:patternFill>
    </x:fill>
    <x:fill>
      <x:patternFill patternType="solid">
        <x:fgColor rgb="FFFFF7ED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D9E1F2"/>
      </x:patternFill>
    </x:fill>
    <x:fill>
      <x:patternFill patternType="solid">
        <x:fgColor rgb="FF7F8C8D"/>
      </x:patternFill>
    </x:fill>
    <x:fill>
      <x:patternFill patternType="solid">
        <x:fgColor rgb="FFEAF3F8"/>
      </x:patternFill>
    </x:fill>
    <x:fill>
      <x:patternFill patternType="solid">
        <x:fgColor rgb="FF2F75B5"/>
      </x:patternFill>
    </x:fill>
    <x:fill>
      <x:patternFill patternType="solid">
        <x:fgColor rgb="FF0F766E"/>
      </x:patternFill>
    </x:fill>
    <x:fill>
      <x:patternFill patternType="solid">
        <x:fgColor rgb="FF8064A2"/>
      </x:patternFill>
    </x:fill>
    <x:fill>
      <x:patternFill patternType="solid">
        <x:fgColor rgb="FFC55A11"/>
      </x:patternFill>
    </x:fill>
    <x:fill>
      <x:patternFill patternType="solid">
        <x:fgColor rgb="FF548235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2E75B6"/>
      </x:patternFill>
    </x:fill>
    <x:fill>
      <x:patternFill patternType="solid">
        <x:fgColor rgb="FFD9E2F3"/>
      </x:patternFill>
    </x:fill>
    <x:fill>
      <x:patternFill patternType="solid">
        <x:fgColor rgb="FFEAF2F8"/>
      </x:patternFill>
    </x:fill>
    <x:fill>
      <x:patternFill patternType="solid">
        <x:fgColor rgb="FFE5E7EB"/>
      </x:patternFill>
    </x:fill>
    <x:fill>
      <x:patternFill patternType="solid">
        <x:fgColor rgb="FFDBEAFE"/>
      </x:patternFill>
    </x:fill>
    <x:fill>
      <x:patternFill patternType="solid">
        <x:fgColor rgb="FFCCFBF1"/>
      </x:patternFill>
    </x:fill>
    <x:fill>
      <x:patternFill patternType="solid">
        <x:fgColor rgb="FFFEF3C7"/>
      </x:patternFill>
    </x:fill>
    <x:fill>
      <x:patternFill patternType="solid">
        <x:fgColor rgb="FFFEE2E2"/>
      </x:patternFill>
    </x:fill>
    <x:fill>
      <x:patternFill patternType="solid">
        <x:fgColor rgb="FFE0E7FF"/>
      </x:patternFill>
    </x:fill>
    <x:fill>
      <x:patternFill patternType="solid">
        <x:fgColor rgb="FFF8FAFC"/>
      </x:patternFill>
    </x:fill>
  </x:fills>
  <x:borders count="43">
    <x:border/>
    <x:border/>
    <x:border/>
    <x:border/>
    <x:border/>
    <x:border/>
    <x:border/>
    <x:border/>
    <x:border/>
    <x:border/>
    <x:border/>
    <x:border/>
    <x:border/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</x:borders>
  <x:cellStyleXfs count="1">
    <x:xf numFmtId="0" fontId="0" fillId="0" borderId="0"/>
  </x:cellStyleXfs>
  <x:cellXfs count="642">
    <x:xf numFmtId="0" fontId="0" fillId="0" borderId="0" xfId="0"/>
    <x:xf numFmtId="0" fontId="3" fillId="0" borderId="0" xfId="0" applyFont="1"/>
    <x:xf numFmtId="0" fontId="2" fillId="3" borderId="0" xfId="0" applyFont="1" applyFill="1" applyAlignment="1">
      <x:alignment vertical="center"/>
    </x:xf>
    <x:xf numFmtId="0" fontId="3" fillId="0" borderId="0" xfId="0" applyFont="1" applyAlignment="1">
      <x:alignment vertical="top" wrapText="1"/>
    </x:xf>
    <x:xf numFmtId="0" fontId="2" fillId="6" borderId="0" xfId="0" applyFont="1" applyFill="1" applyAlignment="1">
      <x:alignment horizontal="center" vertical="center" wrapText="1"/>
    </x:xf>
    <x:xf numFmtId="0" fontId="3" fillId="0" borderId="10" xfId="0" applyFont="1" applyBorder="1" applyAlignment="1">
      <x:alignment vertical="top" wrapText="1"/>
    </x:xf>
    <x:xf numFmtId="0" fontId="3" fillId="0" borderId="11" xfId="0" applyFont="1" applyBorder="1" applyAlignment="1">
      <x:alignment vertical="top" wrapText="1"/>
    </x:xf>
    <x:xf numFmtId="164" fontId="3" fillId="0" borderId="11" xfId="0" applyNumberFormat="1" applyFont="1" applyBorder="1" applyAlignment="1">
      <x:alignment vertical="top" wrapText="1"/>
    </x:xf>
    <x:xf numFmtId="0" fontId="3" fillId="0" borderId="12" xfId="0" applyFont="1" applyBorder="1" applyAlignment="1">
      <x:alignment vertical="top" wrapText="1"/>
    </x:xf>
    <x:xf numFmtId="0" fontId="2" fillId="7" borderId="13" xfId="0" applyFont="1" applyFill="1" applyBorder="1" applyAlignment="1">
      <x:alignment horizontal="center"/>
    </x:xf>
    <x:xf numFmtId="0" fontId="3" fillId="4" borderId="13" xfId="0" applyFont="1" applyFill="1" applyBorder="1"/>
    <x:xf numFmtId="0" fontId="2" fillId="10" borderId="11" xfId="0" applyFont="1" applyFill="1" applyBorder="1" applyAlignment="1">
      <x:alignment vertical="top" wrapText="1"/>
    </x:xf>
    <x:xf numFmtId="0" fontId="2" fillId="11" borderId="11" xfId="0" applyFont="1" applyFill="1" applyBorder="1" applyAlignment="1">
      <x:alignment vertical="top" wrapText="1"/>
    </x:xf>
    <x:xf numFmtId="0" fontId="2" fillId="12" borderId="11" xfId="0" applyFont="1" applyFill="1" applyBorder="1" applyAlignment="1">
      <x:alignment vertical="top" wrapText="1"/>
    </x:xf>
    <x:xf numFmtId="0" fontId="2" fillId="12" borderId="13" xfId="0" applyFont="1" applyFill="1" applyBorder="1" applyAlignment="1">
      <x:alignment horizontal="center"/>
    </x:xf>
    <x:xf numFmtId="0" fontId="2" fillId="13" borderId="11" xfId="0" applyFont="1" applyFill="1" applyBorder="1" applyAlignment="1">
      <x:alignment vertical="top" wrapText="1"/>
    </x:xf>
    <x:xf numFmtId="0" fontId="2" fillId="13" borderId="13" xfId="0" applyFont="1" applyFill="1" applyBorder="1" applyAlignment="1">
      <x:alignment horizontal="center"/>
    </x:xf>
    <x:xf numFmtId="0" fontId="2" fillId="14" borderId="11" xfId="0" applyFont="1" applyFill="1" applyBorder="1" applyAlignment="1">
      <x:alignment vertical="top" wrapText="1"/>
    </x:xf>
    <x:xf numFmtId="0" fontId="2" fillId="14" borderId="13" xfId="0" applyFont="1" applyFill="1" applyBorder="1" applyAlignment="1">
      <x:alignment horizontal="center"/>
    </x:xf>
    <x:xf numFmtId="0" fontId="2" fillId="2" borderId="11" xfId="0" applyFont="1" applyFill="1" applyBorder="1"/>
    <x:xf numFmtId="9" fontId="2" fillId="2" borderId="11" xfId="0" applyNumberFormat="1" applyFont="1" applyFill="1" applyBorder="1"/>
    <x:xf numFmtId="0" fontId="2" fillId="2" borderId="12" xfId="0" applyFont="1" applyFill="1" applyBorder="1"/>
    <x:xf numFmtId="166" fontId="5" fillId="5" borderId="0" xfId="0" applyNumberFormat="1" applyFont="1" applyFill="1" applyAlignment="1">
      <x:alignment horizontal="center" vertical="center" wrapText="1"/>
    </x:xf>
    <x:xf numFmtId="0" fontId="3" fillId="0" borderId="11" xfId="0" applyFont="1" applyBorder="1" applyAlignment="1">
      <x:alignment horizontal="center" vertical="top" wrapText="1"/>
    </x:xf>
    <x:xf numFmtId="164" fontId="3" fillId="0" borderId="11" xfId="0" applyNumberFormat="1" applyFont="1" applyBorder="1" applyAlignment="1">
      <x:alignment horizontal="center" vertical="top" wrapText="1"/>
    </x:xf>
    <x:xf numFmtId="9" fontId="3" fillId="0" borderId="11" xfId="0" applyNumberFormat="1" applyFont="1" applyBorder="1" applyAlignment="1">
      <x:alignment horizontal="center" vertical="top" wrapText="1"/>
    </x:xf>
    <x:xf numFmtId="0" fontId="3" fillId="0" borderId="3" xfId="0" applyFont="1" applyBorder="1" applyAlignment="1">
      <x:alignment horizontal="center"/>
    </x:xf>
    <x:xf numFmtId="0" fontId="3" fillId="0" borderId="4" xfId="0" applyFont="1" applyBorder="1" applyAlignment="1">
      <x:alignment horizontal="center"/>
    </x:xf>
    <x:xf numFmtId="0" fontId="3" fillId="0" borderId="0" xfId="0" applyFont="1" applyAlignment="1">
      <x:alignment horizontal="center"/>
    </x:xf>
    <x:xf numFmtId="0" fontId="3" fillId="0" borderId="6" xfId="0" applyFont="1" applyBorder="1" applyAlignment="1">
      <x:alignment horizontal="center"/>
    </x:xf>
    <x:xf numFmtId="0" fontId="2" fillId="7" borderId="12" xfId="0" applyFont="1" applyFill="1" applyBorder="1" applyAlignment="1">
      <x:alignment horizontal="center" vertical="center"/>
    </x:xf>
    <x:xf numFmtId="0" fontId="3" fillId="0" borderId="5" xfId="0" applyFont="1" applyBorder="1" applyAlignment="1">
      <x:alignment horizontal="center"/>
    </x:xf>
    <x:xf numFmtId="0" fontId="2" fillId="7" borderId="11" xfId="0" applyFont="1" applyFill="1" applyBorder="1" applyAlignment="1">
      <x:alignment horizontal="center" vertical="center"/>
    </x:xf>
    <x:xf numFmtId="0" fontId="2" fillId="9" borderId="13" xfId="0" applyFont="1" applyFill="1" applyBorder="1" applyAlignment="1">
      <x:alignment horizontal="center" vertical="center"/>
    </x:xf>
    <x:xf numFmtId="0" fontId="2" fillId="9" borderId="10" xfId="0" applyFont="1" applyFill="1" applyBorder="1" applyAlignment="1">
      <x:alignment horizontal="center" vertical="center"/>
    </x:xf>
    <x:xf numFmtId="0" fontId="2" fillId="9" borderId="12" xfId="0" applyFont="1" applyFill="1" applyBorder="1" applyAlignment="1">
      <x:alignment horizontal="center" vertical="center"/>
    </x:xf>
    <x:xf numFmtId="0" fontId="2" fillId="10" borderId="10" xfId="0" applyFont="1" applyFill="1" applyBorder="1" applyAlignment="1">
      <x:alignment horizontal="center" vertical="center"/>
    </x:xf>
    <x:xf numFmtId="0" fontId="2" fillId="10" borderId="12" xfId="0" applyFont="1" applyFill="1" applyBorder="1" applyAlignment="1">
      <x:alignment horizontal="center" vertical="center"/>
    </x:xf>
    <x:xf numFmtId="0" fontId="2" fillId="10" borderId="13" xfId="0" applyFont="1" applyFill="1" applyBorder="1" applyAlignment="1">
      <x:alignment horizontal="center" vertical="center"/>
    </x:xf>
    <x:xf numFmtId="0" fontId="2" fillId="11" borderId="13" xfId="0" applyFont="1" applyFill="1" applyBorder="1" applyAlignment="1">
      <x:alignment horizontal="center" vertical="center"/>
    </x:xf>
    <x:xf numFmtId="0" fontId="2" fillId="11" borderId="10" xfId="0" applyFont="1" applyFill="1" applyBorder="1" applyAlignment="1">
      <x:alignment horizontal="center" vertical="center"/>
    </x:xf>
    <x:xf numFmtId="0" fontId="2" fillId="11" borderId="12" xfId="0" applyFont="1" applyFill="1" applyBorder="1" applyAlignment="1">
      <x:alignment horizontal="center" vertical="center"/>
    </x:xf>
    <x:xf numFmtId="0" fontId="2" fillId="11" borderId="11" xfId="0" applyFont="1" applyFill="1" applyBorder="1" applyAlignment="1">
      <x:alignment horizontal="center" vertical="center"/>
    </x:xf>
    <x:xf numFmtId="0" fontId="2" fillId="12" borderId="13" xfId="0" applyFont="1" applyFill="1" applyBorder="1" applyAlignment="1">
      <x:alignment horizontal="center" vertical="center"/>
    </x:xf>
    <x:xf numFmtId="0" fontId="2" fillId="12" borderId="10" xfId="0" applyFont="1" applyFill="1" applyBorder="1" applyAlignment="1">
      <x:alignment horizontal="center" vertical="center"/>
    </x:xf>
    <x:xf numFmtId="0" fontId="2" fillId="12" borderId="12" xfId="0" applyFont="1" applyFill="1" applyBorder="1" applyAlignment="1">
      <x:alignment horizontal="center" vertical="center"/>
    </x:xf>
    <x:xf numFmtId="0" fontId="2" fillId="13" borderId="13" xfId="0" applyFont="1" applyFill="1" applyBorder="1" applyAlignment="1">
      <x:alignment horizontal="center" vertical="center"/>
    </x:xf>
    <x:xf numFmtId="0" fontId="2" fillId="13" borderId="10" xfId="0" applyFont="1" applyFill="1" applyBorder="1" applyAlignment="1">
      <x:alignment horizontal="center" vertical="center"/>
    </x:xf>
    <x:xf numFmtId="0" fontId="2" fillId="13" borderId="12" xfId="0" applyFont="1" applyFill="1" applyBorder="1" applyAlignment="1">
      <x:alignment horizontal="center" vertical="center"/>
    </x:xf>
    <x:xf numFmtId="0" fontId="2" fillId="14" borderId="13" xfId="0" applyFont="1" applyFill="1" applyBorder="1" applyAlignment="1">
      <x:alignment horizontal="center" vertical="center"/>
    </x:xf>
    <x:xf numFmtId="0" fontId="2" fillId="14" borderId="10" xfId="0" applyFont="1" applyFill="1" applyBorder="1" applyAlignment="1">
      <x:alignment horizontal="center" vertical="center"/>
    </x:xf>
    <x:xf numFmtId="0" fontId="2" fillId="14" borderId="12" xfId="0" applyFont="1" applyFill="1" applyBorder="1" applyAlignment="1">
      <x:alignment horizontal="center" vertical="center"/>
    </x:xf>
    <x:xf numFmtId="0" fontId="3" fillId="0" borderId="7" xfId="0" applyFont="1" applyBorder="1" applyAlignment="1">
      <x:alignment horizontal="center"/>
    </x:xf>
    <x:xf numFmtId="0" fontId="3" fillId="0" borderId="8" xfId="0" applyFont="1" applyBorder="1" applyAlignment="1">
      <x:alignment horizontal="center"/>
    </x:xf>
    <x:xf numFmtId="0" fontId="3" fillId="0" borderId="10" xfId="0" applyFont="1" applyBorder="1" applyAlignment="1">
      <x:alignment wrapText="1"/>
    </x:xf>
    <x:xf numFmtId="164" fontId="3" fillId="0" borderId="11" xfId="0" applyNumberFormat="1" applyFont="1" applyBorder="1" applyAlignment="1">
      <x:alignment wrapText="1"/>
    </x:xf>
    <x:xf numFmtId="0" fontId="3" fillId="0" borderId="11" xfId="0" applyFont="1" applyBorder="1" applyAlignment="1">
      <x:alignment wrapText="1"/>
    </x:xf>
    <x:xf numFmtId="0" fontId="3" fillId="0" borderId="12" xfId="0" applyFont="1" applyBorder="1" applyAlignment="1">
      <x:alignment wrapText="1"/>
    </x:xf>
    <x:xf numFmtId="0" fontId="3" fillId="16" borderId="10" xfId="0" applyFont="1" applyFill="1" applyBorder="1" applyAlignment="1">
      <x:alignment wrapText="1"/>
    </x:xf>
    <x:xf numFmtId="164" fontId="3" fillId="16" borderId="11" xfId="0" applyNumberFormat="1" applyFont="1" applyFill="1" applyBorder="1" applyAlignment="1">
      <x:alignment wrapText="1"/>
    </x:xf>
    <x:xf numFmtId="0" fontId="3" fillId="16" borderId="11" xfId="0" applyFont="1" applyFill="1" applyBorder="1" applyAlignment="1">
      <x:alignment wrapText="1"/>
    </x:xf>
    <x:xf numFmtId="0" fontId="3" fillId="16" borderId="12" xfId="0" applyFont="1" applyFill="1" applyBorder="1" applyAlignment="1">
      <x:alignment wrapText="1"/>
    </x:xf>
    <x:xf numFmtId="165" fontId="3" fillId="0" borderId="11" xfId="0" applyNumberFormat="1" applyFont="1" applyBorder="1" applyAlignment="1">
      <x:alignment wrapText="1"/>
    </x:xf>
    <x:xf numFmtId="164" fontId="3" fillId="0" borderId="12" xfId="0" applyNumberFormat="1" applyFont="1" applyBorder="1" applyAlignment="1">
      <x:alignment wrapText="1"/>
    </x:xf>
    <x:xf numFmtId="0" fontId="2" fillId="14" borderId="11" xfId="0" applyFont="1" applyFill="1" applyBorder="1" applyAlignment="1">
      <x:alignment wrapText="1"/>
    </x:xf>
    <x:xf numFmtId="0" fontId="6" fillId="0" borderId="0" xfId="0" applyFont="1"/>
    <x:xf numFmtId="9" fontId="3" fillId="0" borderId="0" xfId="0" applyNumberFormat="1" applyFont="1" applyAlignment="1">
      <x:alignment horizontal="center" vertical="top" wrapText="1"/>
    </x:xf>
    <x:xf numFmtId="2" fontId="3" fillId="0" borderId="0" xfId="0" applyNumberFormat="1" applyFont="1" applyAlignment="1">
      <x:alignment horizontal="center" vertical="top" wrapText="1"/>
    </x:xf>
    <x:xf numFmtId="2" fontId="3" fillId="0" borderId="0" xfId="0" applyNumberFormat="1" applyFont="1" applyAlignment="1">
      <x:alignment wrapText="1"/>
    </x:xf>
    <x:xf numFmtId="0" fontId="3" fillId="4" borderId="2" xfId="0" applyFont="1" applyFill="1" applyBorder="1" applyAlignment="1">
      <x:alignment vertical="top" wrapText="1"/>
    </x:xf>
    <x:xf numFmtId="0" fontId="3" fillId="4" borderId="3" xfId="0" applyFont="1" applyFill="1" applyBorder="1" applyAlignment="1">
      <x:alignment vertical="top" wrapText="1"/>
    </x:xf>
    <x:xf numFmtId="0" fontId="3" fillId="4" borderId="4" xfId="0" applyFont="1" applyFill="1" applyBorder="1" applyAlignment="1">
      <x:alignment vertical="top" wrapText="1"/>
    </x:xf>
    <x:xf numFmtId="0" fontId="3" fillId="4" borderId="0" xfId="0" applyFont="1" applyFill="1" applyAlignment="1">
      <x:alignment vertical="top" wrapText="1"/>
    </x:xf>
    <x:xf numFmtId="0" fontId="3" fillId="4" borderId="6" xfId="0" applyFont="1" applyFill="1" applyBorder="1" applyAlignment="1">
      <x:alignment vertical="top" wrapText="1"/>
    </x:xf>
    <x:xf numFmtId="0" fontId="3" fillId="4" borderId="8" xfId="0" applyFont="1" applyFill="1" applyBorder="1" applyAlignment="1">
      <x:alignment vertical="top" wrapText="1"/>
    </x:xf>
    <x:xf numFmtId="0" fontId="3" fillId="4" borderId="9" xfId="0" applyFont="1" applyFill="1" applyBorder="1" applyAlignment="1">
      <x:alignment vertical="top" wrapText="1"/>
    </x:xf>
    <x:xf numFmtId="0" fontId="1" fillId="2" borderId="0" xfId="0" applyFont="1" applyFill="1" applyAlignment="1">
      <x:alignment vertical="center"/>
    </x:xf>
    <x:xf numFmtId="0" fontId="2" fillId="2" borderId="10" xfId="0" applyFont="1" applyFill="1" applyBorder="1"/>
    <x:xf numFmtId="0" fontId="0" fillId="0" borderId="0" xfId="0" applyAlignment="1">
      <x:alignment wrapText="1"/>
    </x:xf>
    <x:xf numFmtId="0" fontId="9" fillId="17" borderId="0" xfId="0" applyFont="1" applyFill="1"/>
    <x:xf numFmtId="0" fontId="9" fillId="17" borderId="0" xfId="0" applyFont="1" applyFill="1" applyAlignment="1">
      <x:alignment horizontal="center" vertical="center" wrapText="1"/>
    </x:xf>
    <x:xf numFmtId="164" fontId="0" fillId="0" borderId="0" xfId="0" applyNumberFormat="1" applyAlignment="1">
      <x:alignment wrapText="1"/>
    </x:xf>
    <x:xf numFmtId="2" fontId="0" fillId="0" borderId="0" xfId="0" applyNumberFormat="1" applyAlignment="1">
      <x:alignment wrapText="1"/>
    </x:xf>
    <x:xf numFmtId="0" fontId="0" fillId="0" borderId="0" xfId="0" applyAlignment="1">
      <x:alignment vertical="top" wrapText="1"/>
    </x:xf>
    <x:xf numFmtId="164" fontId="0" fillId="0" borderId="0" xfId="0" applyNumberFormat="1" applyAlignment="1">
      <x:alignment vertical="top" wrapText="1"/>
    </x:xf>
    <x:xf numFmtId="2" fontId="0" fillId="0" borderId="0" xfId="0" applyNumberFormat="1" applyAlignment="1">
      <x:alignment vertical="top" wrapText="1"/>
    </x:xf>
    <x:xf numFmtId="0" fontId="2" fillId="17" borderId="0" xfId="0" applyFont="1" applyFill="1" applyAlignment="1">
      <x:alignment vertical="center"/>
    </x:xf>
    <x:xf numFmtId="164" fontId="2" fillId="17" borderId="0" xfId="0" applyNumberFormat="1" applyFont="1" applyFill="1" applyAlignment="1">
      <x:alignment vertical="center"/>
    </x:xf>
    <x:xf numFmtId="0" fontId="2" fillId="17" borderId="0" xfId="0" applyFont="1" applyFill="1" applyAlignment="1">
      <x:alignment horizontal="center" vertical="center" wrapText="1"/>
    </x:xf>
    <x:xf numFmtId="0" fontId="2" fillId="17" borderId="0" xfId="0" applyFont="1" applyFill="1" applyAlignment="1">
      <x:alignment vertical="top" wrapText="1"/>
    </x:xf>
    <x:xf numFmtId="0" fontId="2" fillId="17" borderId="0" xfId="0" applyFont="1" applyFill="1" applyAlignment="1">
      <x:alignment horizontal="center" vertical="top" wrapText="1"/>
    </x:xf>
    <x:xf numFmtId="164" fontId="2" fillId="17" borderId="0" xfId="0" applyNumberFormat="1" applyFont="1" applyFill="1" applyAlignment="1">
      <x:alignment horizontal="center" vertical="top" wrapText="1"/>
    </x:xf>
    <x:xf numFmtId="9" fontId="2" fillId="17" borderId="0" xfId="0" applyNumberFormat="1" applyFont="1" applyFill="1" applyAlignment="1">
      <x:alignment horizontal="center" vertical="top" wrapText="1"/>
    </x:xf>
    <x:xf numFmtId="164" fontId="3" fillId="0" borderId="0" xfId="0" applyNumberFormat="1" applyFont="1" applyAlignment="1">
      <x:alignment horizontal="center" vertical="top" wrapText="1"/>
    </x:xf>
    <x:xf numFmtId="167" fontId="3" fillId="0" borderId="0" xfId="0" applyNumberFormat="1" applyFont="1" applyAlignment="1">
      <x:alignment horizontal="center" vertical="top" wrapText="1"/>
    </x:xf>
    <x:xf numFmtId="167" fontId="2" fillId="17" borderId="0" xfId="0" applyNumberFormat="1" applyFont="1" applyFill="1" applyAlignment="1">
      <x:alignment horizontal="center" vertical="top" wrapText="1"/>
    </x:xf>
    <x:xf numFmtId="2" fontId="2" fillId="17" borderId="0" xfId="0" applyNumberFormat="1" applyFont="1" applyFill="1" applyAlignment="1">
      <x:alignment horizontal="center" vertical="top" wrapText="1"/>
    </x:xf>
    <x:xf numFmtId="0" fontId="3" fillId="0" borderId="0" xfId="0" applyFont="1" applyAlignment="1">
      <x:alignment horizontal="center" vertical="top" wrapText="1"/>
    </x:xf>
    <x:xf numFmtId="0" fontId="2" fillId="8" borderId="0" xfId="0" applyFont="1" applyFill="1" applyAlignment="1">
      <x:alignment vertical="top" wrapText="1"/>
    </x:xf>
    <x:xf numFmtId="0" fontId="2" fillId="9" borderId="0" xfId="0" applyFont="1" applyFill="1" applyAlignment="1">
      <x:alignment vertical="top" wrapText="1"/>
    </x:xf>
    <x:xf numFmtId="0" fontId="2" fillId="10" borderId="0" xfId="0" applyFont="1" applyFill="1" applyAlignment="1">
      <x:alignment vertical="top" wrapText="1"/>
    </x:xf>
    <x:xf numFmtId="0" fontId="2" fillId="7" borderId="0" xfId="0" applyFont="1" applyFill="1" applyAlignment="1">
      <x:alignment horizontal="center" vertical="top" wrapText="1"/>
    </x:xf>
    <x:xf numFmtId="0" fontId="2" fillId="21" borderId="0" xfId="0" applyFont="1" applyFill="1" applyAlignment="1">
      <x:alignment vertical="top" wrapText="1"/>
    </x:xf>
    <x:xf numFmtId="0" fontId="3" fillId="22" borderId="0" xfId="0" applyFont="1" applyFill="1" applyAlignment="1">
      <x:alignment vertical="top" wrapText="1"/>
    </x:xf>
    <x:xf numFmtId="0" fontId="2" fillId="22" borderId="0" xfId="0" applyFont="1" applyFill="1" applyAlignment="1">
      <x:alignment vertical="top" wrapText="1"/>
    </x:xf>
    <x:xf numFmtId="167" fontId="3" fillId="22" borderId="0" xfId="0" applyNumberFormat="1" applyFont="1" applyFill="1" applyAlignment="1">
      <x:alignment horizontal="center" vertical="top" wrapText="1"/>
    </x:xf>
    <x:xf numFmtId="0" fontId="3" fillId="22" borderId="0" xfId="0" applyFont="1" applyFill="1" applyAlignment="1">
      <x:alignment horizontal="center" vertical="top" wrapText="1"/>
    </x:xf>
    <x:xf numFmtId="164" fontId="3" fillId="22" borderId="0" xfId="0" applyNumberFormat="1" applyFont="1" applyFill="1" applyAlignment="1">
      <x:alignment horizontal="center" vertical="top" wrapText="1"/>
    </x:xf>
    <x:xf numFmtId="9" fontId="3" fillId="22" borderId="0" xfId="0" applyNumberFormat="1" applyFont="1" applyFill="1" applyAlignment="1">
      <x:alignment horizontal="center" vertical="top" wrapText="1"/>
    </x:xf>
    <x:xf numFmtId="2" fontId="3" fillId="22" borderId="0" xfId="0" applyNumberFormat="1" applyFont="1" applyFill="1" applyAlignment="1">
      <x:alignment horizontal="center" vertical="top" wrapText="1"/>
    </x:xf>
    <x:xf numFmtId="0" fontId="2" fillId="22" borderId="0" xfId="0" applyFont="1" applyFill="1" applyAlignment="1">
      <x:alignment horizontal="center" vertical="top" wrapText="1"/>
    </x:xf>
    <x:xf numFmtId="0" fontId="2" fillId="23" borderId="0" xfId="0" applyFont="1" applyFill="1" applyAlignment="1">
      <x:alignment vertical="top" wrapText="1"/>
    </x:xf>
    <x:xf numFmtId="0" fontId="2" fillId="24" borderId="0" xfId="0" applyFont="1" applyFill="1" applyAlignment="1">
      <x:alignment vertical="top" wrapText="1"/>
    </x:xf>
    <x:xf numFmtId="0" fontId="2" fillId="25" borderId="0" xfId="0" applyFont="1" applyFill="1" applyAlignment="1">
      <x:alignment vertical="top" wrapText="1"/>
    </x:xf>
    <x:xf numFmtId="0" fontId="2" fillId="26" borderId="0" xfId="0" applyFont="1" applyFill="1" applyAlignment="1">
      <x:alignment vertical="top" wrapText="1"/>
    </x:xf>
    <x:xf numFmtId="0" fontId="2" fillId="27" borderId="0" xfId="0" applyFont="1" applyFill="1" applyAlignment="1">
      <x:alignment vertical="top" wrapText="1"/>
    </x:xf>
    <x:xf numFmtId="164" fontId="2" fillId="17" borderId="0" xfId="0" applyNumberFormat="1" applyFont="1" applyFill="1" applyAlignment="1">
      <x:alignment vertical="top" wrapText="1"/>
    </x:xf>
    <x:xf numFmtId="165" fontId="2" fillId="17" borderId="0" xfId="0" applyNumberFormat="1" applyFont="1" applyFill="1" applyAlignment="1">
      <x:alignment horizontal="center" vertical="center" wrapText="1"/>
    </x:xf>
    <x:xf numFmtId="164" fontId="2" fillId="17" borderId="0" xfId="0" applyNumberFormat="1" applyFont="1" applyFill="1" applyAlignment="1">
      <x:alignment horizontal="center" vertical="center" wrapText="1"/>
    </x:xf>
    <x:xf numFmtId="0" fontId="2" fillId="17" borderId="0" xfId="0" applyFont="1" applyFill="1"/>
    <x:xf numFmtId="2" fontId="3" fillId="0" borderId="0" xfId="0" applyNumberFormat="1" applyFont="1" applyAlignment="1">
      <x:alignment vertical="top" wrapText="1"/>
    </x:xf>
    <x:xf numFmtId="2" fontId="2" fillId="17" borderId="0" xfId="0" applyNumberFormat="1" applyFont="1" applyFill="1" applyAlignment="1">
      <x:alignment vertical="top" wrapText="1"/>
    </x:xf>
    <x:xf numFmtId="9" fontId="3" fillId="0" borderId="0" xfId="0" applyNumberFormat="1" applyFont="1" applyAlignment="1">
      <x:alignment vertical="top" wrapText="1"/>
    </x:xf>
    <x:xf numFmtId="9" fontId="2" fillId="17" borderId="0" xfId="0" applyNumberFormat="1" applyFont="1" applyFill="1" applyAlignment="1">
      <x:alignment vertical="top" wrapText="1"/>
    </x:xf>
    <x:xf numFmtId="164" fontId="3" fillId="0" borderId="0" xfId="0" applyNumberFormat="1" applyFont="1" applyAlignment="1">
      <x:alignment vertical="top" wrapText="1"/>
    </x:xf>
    <x:xf numFmtId="0" fontId="2" fillId="8" borderId="0" xfId="0" applyFont="1" applyFill="1" applyAlignment="1">
      <x:alignment horizontal="center" wrapText="1"/>
    </x:xf>
    <x:xf numFmtId="0" fontId="3" fillId="4" borderId="0" xfId="0" applyFont="1" applyFill="1" applyAlignment="1">
      <x:alignment wrapText="1"/>
    </x:xf>
    <x:xf numFmtId="0" fontId="2" fillId="9" borderId="0" xfId="0" applyFont="1" applyFill="1" applyAlignment="1">
      <x:alignment horizontal="center" wrapText="1"/>
    </x:xf>
    <x:xf numFmtId="0" fontId="2" fillId="10" borderId="0" xfId="0" applyFont="1" applyFill="1" applyAlignment="1">
      <x:alignment horizontal="center" wrapText="1"/>
    </x:xf>
    <x:xf numFmtId="0" fontId="2" fillId="11" borderId="0" xfId="0" applyFont="1" applyFill="1" applyAlignment="1">
      <x:alignment vertical="top" wrapText="1"/>
    </x:xf>
    <x:xf numFmtId="0" fontId="2" fillId="11" borderId="0" xfId="0" applyFont="1" applyFill="1" applyAlignment="1">
      <x:alignment horizontal="center" wrapText="1"/>
    </x:xf>
    <x:xf numFmtId="0" fontId="2" fillId="12" borderId="0" xfId="0" applyFont="1" applyFill="1" applyAlignment="1">
      <x:alignment vertical="top" wrapText="1"/>
    </x:xf>
    <x:xf numFmtId="0" fontId="2" fillId="12" borderId="0" xfId="0" applyFont="1" applyFill="1" applyAlignment="1">
      <x:alignment horizontal="center" wrapText="1"/>
    </x:xf>
    <x:xf numFmtId="0" fontId="2" fillId="13" borderId="0" xfId="0" applyFont="1" applyFill="1" applyAlignment="1">
      <x:alignment vertical="top" wrapText="1"/>
    </x:xf>
    <x:xf numFmtId="0" fontId="2" fillId="17" borderId="0" xfId="0" applyFont="1" applyFill="1" applyAlignment="1">
      <x:alignment wrapText="1"/>
    </x:xf>
    <x:xf numFmtId="164" fontId="2" fillId="17" borderId="0" xfId="0" applyNumberFormat="1" applyFont="1" applyFill="1" applyAlignment="1">
      <x:alignment wrapText="1"/>
    </x:xf>
    <x:xf numFmtId="2" fontId="2" fillId="17" borderId="0" xfId="0" applyNumberFormat="1" applyFont="1" applyFill="1" applyAlignment="1">
      <x:alignment wrapText="1"/>
    </x:xf>
    <x:xf numFmtId="2" fontId="2" fillId="17" borderId="0" xfId="0" applyNumberFormat="1" applyFont="1" applyFill="1" applyAlignment="1">
      <x:alignment horizontal="center" vertical="center" wrapText="1"/>
    </x:xf>
    <x:xf numFmtId="164" fontId="3" fillId="0" borderId="0" xfId="0" applyNumberFormat="1" applyFont="1" applyAlignment="1">
      <x:alignment wrapText="1"/>
    </x:xf>
    <x:xf numFmtId="164" fontId="3" fillId="16" borderId="0" xfId="0" applyNumberFormat="1" applyFont="1" applyFill="1" applyAlignment="1">
      <x:alignment wrapText="1"/>
    </x:xf>
    <x:xf numFmtId="2" fontId="3" fillId="16" borderId="0" xfId="0" applyNumberFormat="1" applyFont="1" applyFill="1" applyAlignment="1">
      <x:alignment wrapText="1"/>
    </x:xf>
    <x:xf numFmtId="0" fontId="3" fillId="0" borderId="0" xfId="0" applyFont="1" applyAlignment="1">
      <x:alignment wrapText="1"/>
    </x:xf>
    <x:xf numFmtId="0" fontId="3" fillId="16" borderId="0" xfId="0" applyFont="1" applyFill="1" applyAlignment="1">
      <x:alignment wrapText="1"/>
    </x:xf>
    <x:xf numFmtId="9" fontId="3" fillId="0" borderId="0" xfId="0" applyNumberFormat="1" applyFont="1" applyAlignment="1">
      <x:alignment wrapText="1"/>
    </x:xf>
    <x:xf numFmtId="9" fontId="2" fillId="17" borderId="0" xfId="0" applyNumberFormat="1" applyFont="1" applyFill="1" applyAlignment="1">
      <x:alignment wrapText="1"/>
    </x:xf>
    <x:xf numFmtId="0" fontId="2" fillId="7" borderId="0" xfId="0" applyFont="1" applyFill="1" applyAlignment="1">
      <x:alignment wrapText="1"/>
    </x:xf>
    <x:xf numFmtId="0" fontId="2" fillId="8" borderId="0" xfId="0" applyFont="1" applyFill="1" applyAlignment="1">
      <x:alignment wrapText="1"/>
    </x:xf>
    <x:xf numFmtId="0" fontId="2" fillId="9" borderId="0" xfId="0" applyFont="1" applyFill="1" applyAlignment="1">
      <x:alignment wrapText="1"/>
    </x:xf>
    <x:xf numFmtId="0" fontId="2" fillId="10" borderId="0" xfId="0" applyFont="1" applyFill="1" applyAlignment="1">
      <x:alignment wrapText="1"/>
    </x:xf>
    <x:xf numFmtId="0" fontId="2" fillId="11" borderId="0" xfId="0" applyFont="1" applyFill="1" applyAlignment="1">
      <x:alignment wrapText="1"/>
    </x:xf>
    <x:xf numFmtId="0" fontId="2" fillId="12" borderId="0" xfId="0" applyFont="1" applyFill="1" applyAlignment="1">
      <x:alignment wrapText="1"/>
    </x:xf>
    <x:xf numFmtId="0" fontId="5" fillId="20" borderId="0" xfId="0" applyFont="1" applyFill="1" applyAlignment="1">
      <x:alignment horizontal="center" vertical="center" wrapText="1"/>
    </x:xf>
    <x:xf numFmtId="0" fontId="2" fillId="20" borderId="0" xfId="0" applyFont="1" applyFill="1" applyAlignment="1">
      <x:alignment horizontal="center" vertical="center" wrapText="1"/>
    </x:xf>
    <x:xf numFmtId="0" fontId="4" fillId="20" borderId="0" xfId="0" applyFont="1" applyFill="1"/>
    <x:xf numFmtId="0" fontId="12" fillId="23" borderId="0" xfId="0" applyFont="1" applyFill="1" applyAlignment="1">
      <x:alignment vertical="center" wrapText="1"/>
    </x:xf>
    <x:xf numFmtId="0" fontId="5" fillId="15" borderId="0" xfId="0" applyFont="1" applyFill="1" applyAlignment="1">
      <x:alignment vertical="top" wrapText="1"/>
    </x:xf>
    <x:xf numFmtId="0" fontId="14" fillId="20" borderId="0" xfId="0" applyFont="1" applyFill="1" applyAlignment="1">
      <x:alignment wrapText="1"/>
    </x:xf>
    <x:xf numFmtId="0" fontId="14" fillId="20" borderId="0" xfId="0" applyFont="1" applyFill="1"/>
    <x:xf numFmtId="0" fontId="2" fillId="17" borderId="0" xfId="0" applyFont="1" applyFill="1" applyAlignment="1">
      <x:alignment vertical="center" wrapText="1"/>
    </x:xf>
    <x:xf numFmtId="164" fontId="3" fillId="28" borderId="0" xfId="0" applyNumberFormat="1" applyFont="1" applyFill="1" applyAlignment="1">
      <x:alignment wrapText="1"/>
    </x:xf>
    <x:xf numFmtId="1" fontId="3" fillId="28" borderId="0" xfId="0" applyNumberFormat="1" applyFont="1" applyFill="1" applyAlignment="1">
      <x:alignment wrapText="1"/>
    </x:xf>
    <x:xf numFmtId="2" fontId="3" fillId="28" borderId="0" xfId="0" applyNumberFormat="1" applyFont="1" applyFill="1" applyAlignment="1">
      <x:alignment wrapText="1"/>
    </x:xf>
    <x:xf numFmtId="9" fontId="3" fillId="28" borderId="0" xfId="0" applyNumberFormat="1" applyFont="1" applyFill="1" applyAlignment="1">
      <x:alignment wrapText="1"/>
    </x:xf>
    <x:xf numFmtId="0" fontId="3" fillId="28" borderId="0" xfId="0" applyFont="1" applyFill="1" applyAlignment="1">
      <x:alignment wrapText="1"/>
    </x:xf>
    <x:xf numFmtId="0" fontId="4" fillId="20" borderId="0" xfId="0" applyFont="1" applyFill="1" applyAlignment="1">
      <x:alignment horizontal="center"/>
    </x:xf>
    <x:xf numFmtId="0" fontId="4" fillId="20" borderId="0" xfId="0" applyFont="1" applyFill="1" applyAlignment="1">
      <x:alignment vertical="top" wrapText="1"/>
    </x:xf>
    <x:xf numFmtId="164" fontId="0" fillId="28" borderId="0" xfId="0" applyNumberFormat="1" applyFill="1"/>
    <x:xf numFmtId="0" fontId="0" fillId="28" borderId="0" xfId="0" applyFill="1"/>
    <x:xf numFmtId="2" fontId="0" fillId="28" borderId="0" xfId="0" applyNumberFormat="1" applyFill="1"/>
    <x:xf numFmtId="9" fontId="0" fillId="28" borderId="0" xfId="0" applyNumberFormat="1" applyFill="1"/>
    <x:xf numFmtId="9" fontId="0" fillId="0" borderId="0" xfId="0" applyNumberFormat="1" applyAlignment="1">
      <x:alignment wrapText="1"/>
    </x:xf>
    <x:xf numFmtId="166" fontId="5" fillId="29" borderId="0" xfId="0" applyNumberFormat="1" applyFont="1" applyFill="1" applyAlignment="1">
      <x:alignment horizontal="center" vertical="center" wrapText="1"/>
    </x:xf>
    <x:xf numFmtId="0" fontId="2" fillId="29" borderId="0" xfId="0" applyFont="1" applyFill="1" applyAlignment="1">
      <x:alignment horizontal="center" vertical="center" wrapText="1"/>
    </x:xf>
    <x:xf numFmtId="0" fontId="3" fillId="29" borderId="0" xfId="0" applyFont="1" applyFill="1" applyAlignment="1">
      <x:alignment horizontal="center" vertical="top" wrapText="1"/>
    </x:xf>
    <x:xf numFmtId="0" fontId="2" fillId="29" borderId="0" xfId="0" applyFont="1" applyFill="1" applyAlignment="1">
      <x:alignment horizontal="center" vertical="top" wrapText="1"/>
    </x:xf>
    <x:xf numFmtId="0" fontId="9" fillId="17" borderId="0" xfId="0" applyFont="1" applyFill="1" applyAlignment="1">
      <x:alignment horizontal="center" vertical="top" wrapText="1"/>
    </x:xf>
    <x:xf numFmtId="0" fontId="15" fillId="29" borderId="0" xfId="0" applyFont="1" applyFill="1"/>
    <x:xf numFmtId="0" fontId="0" fillId="0" borderId="0" xfId="0" applyAlignment="1">
      <x:alignment horizontal="center" vertical="top" wrapText="1"/>
    </x:xf>
    <x:xf numFmtId="1" fontId="0" fillId="0" borderId="0" xfId="0" applyNumberFormat="1" applyAlignment="1">
      <x:alignment vertical="top" wrapText="1"/>
    </x:xf>
    <x:xf numFmtId="0" fontId="9" fillId="30" borderId="14" xfId="0" applyFont="1" applyFill="1" applyBorder="1" applyAlignment="1">
      <x:alignment horizontal="center" vertical="center" wrapText="1"/>
    </x:xf>
    <x:xf numFmtId="0" fontId="9" fillId="30" borderId="16" xfId="0" applyFont="1" applyFill="1" applyBorder="1" applyAlignment="1">
      <x:alignment horizontal="center" vertical="center" wrapText="1"/>
    </x:xf>
    <x:xf numFmtId="0" fontId="9" fillId="30" borderId="15" xfId="0" applyFont="1" applyFill="1" applyBorder="1" applyAlignment="1">
      <x:alignment horizontal="center" vertical="center" wrapText="1"/>
    </x:xf>
    <x:xf numFmtId="0" fontId="0" fillId="0" borderId="17" xfId="0" applyBorder="1" applyAlignment="1">
      <x:alignment vertical="top" wrapText="1"/>
    </x:xf>
    <x:xf numFmtId="0" fontId="0" fillId="0" borderId="18" xfId="0" applyBorder="1" applyAlignment="1">
      <x:alignment vertical="top" wrapText="1"/>
    </x:xf>
    <x:xf numFmtId="0" fontId="0" fillId="0" borderId="19" xfId="0" applyBorder="1" applyAlignment="1">
      <x:alignment vertical="top" wrapText="1"/>
    </x:xf>
    <x:xf numFmtId="0" fontId="0" fillId="0" borderId="20" xfId="0" applyBorder="1" applyAlignment="1">
      <x:alignment vertical="top" wrapText="1"/>
    </x:xf>
    <x:xf numFmtId="0" fontId="0" fillId="0" borderId="21" xfId="0" applyBorder="1" applyAlignment="1">
      <x:alignment vertical="top" wrapText="1"/>
    </x:xf>
    <x:xf numFmtId="0" fontId="0" fillId="0" borderId="22" xfId="0" applyBorder="1" applyAlignment="1">
      <x:alignment vertical="top" wrapText="1"/>
    </x:xf>
    <x:xf numFmtId="0" fontId="0" fillId="0" borderId="23" xfId="0" applyBorder="1" applyAlignment="1">
      <x:alignment vertical="top" wrapText="1"/>
    </x:xf>
    <x:xf numFmtId="0" fontId="0" fillId="0" borderId="24" xfId="0" applyBorder="1" applyAlignment="1">
      <x:alignment vertical="top" wrapText="1"/>
    </x:xf>
    <x:xf numFmtId="0" fontId="21" fillId="33" borderId="25" xfId="0" applyFont="1" applyFill="1" applyBorder="1" applyAlignment="1">
      <x:alignment vertical="top" wrapText="1"/>
    </x:xf>
    <x:xf numFmtId="0" fontId="22" fillId="0" borderId="25" xfId="0" applyFont="1" applyBorder="1" applyAlignment="1">
      <x:alignment vertical="top" wrapText="1"/>
    </x:xf>
    <x:xf numFmtId="0" fontId="21" fillId="33" borderId="26" xfId="0" applyFont="1" applyFill="1" applyBorder="1" applyAlignment="1">
      <x:alignment vertical="top" wrapText="1"/>
    </x:xf>
    <x:xf numFmtId="0" fontId="21" fillId="33" borderId="27" xfId="0" applyFont="1" applyFill="1" applyBorder="1" applyAlignment="1">
      <x:alignment vertical="top" wrapText="1"/>
    </x:xf>
    <x:xf numFmtId="0" fontId="22" fillId="0" borderId="26" xfId="0" applyFont="1" applyBorder="1" applyAlignment="1">
      <x:alignment vertical="top" wrapText="1"/>
    </x:xf>
    <x:xf numFmtId="0" fontId="22" fillId="0" borderId="27" xfId="0" applyFont="1" applyBorder="1" applyAlignment="1">
      <x:alignment vertical="top" wrapText="1"/>
    </x:xf>
    <x:xf numFmtId="164" fontId="0" fillId="0" borderId="18" xfId="0" applyNumberFormat="1" applyBorder="1" applyAlignment="1">
      <x:alignment vertical="top" wrapText="1"/>
    </x:xf>
    <x:xf numFmtId="164" fontId="0" fillId="0" borderId="23" xfId="0" applyNumberFormat="1" applyBorder="1" applyAlignment="1">
      <x:alignment vertical="top" wrapText="1"/>
    </x:xf>
    <x:xf numFmtId="0" fontId="0" fillId="0" borderId="14" xfId="0" applyBorder="1" applyAlignment="1">
      <x:alignment vertical="top" wrapText="1"/>
    </x:xf>
    <x:xf numFmtId="164" fontId="0" fillId="0" borderId="16" xfId="0" applyNumberFormat="1" applyBorder="1" applyAlignment="1">
      <x:alignment vertical="top" wrapText="1"/>
    </x:xf>
    <x:xf numFmtId="0" fontId="0" fillId="0" borderId="16" xfId="0" applyBorder="1" applyAlignment="1">
      <x:alignment vertical="top" wrapText="1"/>
    </x:xf>
    <x:xf numFmtId="0" fontId="0" fillId="0" borderId="15" xfId="0" applyBorder="1" applyAlignment="1">
      <x:alignment vertical="top" wrapText="1"/>
    </x:xf>
    <x:xf numFmtId="0" fontId="18" fillId="33" borderId="25" xfId="0" applyFont="1" applyFill="1" applyBorder="1" applyAlignment="1">
      <x:alignment vertical="top" wrapText="1"/>
    </x:xf>
    <x:xf numFmtId="0" fontId="19" fillId="0" borderId="25" xfId="0" applyFont="1" applyBorder="1" applyAlignment="1">
      <x:alignment vertical="top" wrapText="1"/>
    </x:xf>
    <x:xf numFmtId="0" fontId="1" fillId="17" borderId="0" xfId="0" applyFont="1" applyFill="1" applyAlignment="1">
      <x:alignment horizontal="left" vertical="center"/>
    </x:xf>
    <x:xf numFmtId="0" fontId="1" fillId="2" borderId="0" xfId="0" applyFont="1" applyFill="1" applyAlignment="1">
      <x:alignment vertical="center"/>
    </x:xf>
    <x:xf numFmtId="0" fontId="12" fillId="23" borderId="0" xfId="0" applyFont="1" applyFill="1" applyAlignment="1">
      <x:alignment vertical="center"/>
    </x:xf>
    <x:xf numFmtId="0" fontId="2" fillId="3" borderId="0" xfId="0" applyFont="1" applyFill="1" applyAlignment="1">
      <x:alignment vertical="center"/>
    </x:xf>
    <x:xf numFmtId="0" fontId="3" fillId="0" borderId="0" xfId="0" applyFont="1" applyAlignment="1">
      <x:alignment vertical="top" wrapText="1"/>
    </x:xf>
    <x:xf numFmtId="0" fontId="3" fillId="0" borderId="3" xfId="0" applyFont="1" applyBorder="1" applyAlignment="1">
      <x:alignment vertical="top" wrapText="1"/>
    </x:xf>
    <x:xf numFmtId="0" fontId="3" fillId="0" borderId="4" xfId="0" applyFont="1" applyBorder="1" applyAlignment="1">
      <x:alignment vertical="top" wrapText="1"/>
    </x:xf>
    <x:xf numFmtId="0" fontId="3" fillId="0" borderId="6" xfId="0" applyFont="1" applyBorder="1" applyAlignment="1">
      <x:alignment vertical="top" wrapText="1"/>
    </x:xf>
    <x:xf numFmtId="0" fontId="3" fillId="0" borderId="8" xfId="0" applyFont="1" applyBorder="1" applyAlignment="1">
      <x:alignment vertical="top" wrapText="1"/>
    </x:xf>
    <x:xf numFmtId="0" fontId="3" fillId="0" borderId="9" xfId="0" applyFont="1" applyBorder="1" applyAlignment="1">
      <x:alignment vertical="top" wrapText="1"/>
    </x:xf>
    <x:xf numFmtId="0" fontId="12" fillId="23" borderId="0" xfId="0" applyFont="1" applyFill="1" applyAlignment="1">
      <x:alignment vertical="center" wrapText="1"/>
    </x:xf>
    <x:xf numFmtId="164" fontId="3" fillId="4" borderId="1" xfId="0" applyNumberFormat="1" applyFont="1" applyFill="1" applyBorder="1" applyAlignment="1">
      <x:alignment wrapText="1"/>
    </x:xf>
    <x:xf numFmtId="0" fontId="3" fillId="0" borderId="0" xfId="0" applyFont="1"/>
    <x:xf numFmtId="0" fontId="4" fillId="18" borderId="0" xfId="0" applyFont="1" applyFill="1" applyAlignment="1">
      <x:alignment vertical="center" wrapText="1"/>
    </x:xf>
    <x:xf numFmtId="0" fontId="20" fillId="31" borderId="0" xfId="0" applyFont="1" applyFill="1" applyAlignment="1">
      <x:alignment horizontal="left" vertical="center" wrapText="1"/>
    </x:xf>
    <x:xf numFmtId="0" fontId="10" fillId="18" borderId="0" xfId="0" applyFont="1" applyFill="1" applyAlignment="1">
      <x:alignment wrapText="1"/>
    </x:xf>
    <x:xf numFmtId="0" fontId="11" fillId="18" borderId="0" xfId="0" applyFont="1" applyFill="1" applyAlignment="1">
      <x:alignment wrapText="1"/>
    </x:xf>
    <x:xf numFmtId="0" fontId="16" fillId="29" borderId="0" xfId="0" applyFont="1" applyFill="1" applyAlignment="1">
      <x:alignment wrapText="1"/>
    </x:xf>
    <x:xf numFmtId="0" fontId="11" fillId="19" borderId="0" xfId="0" applyFont="1" applyFill="1" applyAlignment="1">
      <x:alignment wrapText="1"/>
    </x:xf>
    <x:xf numFmtId="0" fontId="2" fillId="2" borderId="10" xfId="0" applyFont="1" applyFill="1" applyBorder="1"/>
    <x:xf numFmtId="0" fontId="2" fillId="2" borderId="11" xfId="0" applyFont="1" applyFill="1" applyBorder="1"/>
    <x:xf numFmtId="0" fontId="3" fillId="0" borderId="11" xfId="0" applyFont="1" applyBorder="1" applyAlignment="1">
      <x:alignment vertical="top" wrapText="1"/>
    </x:xf>
    <x:xf numFmtId="164" fontId="3" fillId="0" borderId="11" xfId="0" applyNumberFormat="1" applyFont="1" applyBorder="1" applyAlignment="1">
      <x:alignment vertical="top" wrapText="1"/>
    </x:xf>
    <x:xf numFmtId="0" fontId="3" fillId="0" borderId="12" xfId="0" applyFont="1" applyBorder="1" applyAlignment="1">
      <x:alignment vertical="top" wrapText="1"/>
    </x:xf>
    <x:xf numFmtId="0" fontId="3" fillId="4" borderId="0" xfId="0" applyFont="1" applyFill="1" applyAlignment="1">
      <x:alignment vertical="top" wrapText="1"/>
    </x:xf>
    <x:xf numFmtId="0" fontId="4" fillId="18" borderId="0" xfId="0" applyFont="1" applyFill="1" applyAlignment="1">
      <x:alignment vertical="top" wrapText="1"/>
    </x:xf>
    <x:xf numFmtId="0" fontId="6" fillId="0" borderId="0" xfId="0" applyFont="1"/>
    <x:xf numFmtId="0" fontId="7" fillId="17" borderId="0" xfId="0" applyFont="1" applyFill="1" applyAlignment="1">
      <x:alignment horizontal="left" vertical="center" wrapText="1"/>
    </x:xf>
    <x:xf numFmtId="0" fontId="0" fillId="0" borderId="0" xfId="0" applyAlignment="1">
      <x:alignment wrapText="1"/>
    </x:xf>
    <x:xf numFmtId="0" fontId="8" fillId="18" borderId="0" xfId="0" applyFont="1" applyFill="1" applyAlignment="1">
      <x:alignment wrapText="1"/>
    </x:xf>
    <x:xf numFmtId="0" fontId="7" fillId="17" borderId="0" xfId="0" applyFont="1" applyFill="1" applyAlignment="1">
      <x:alignment horizontal="left" vertical="center"/>
    </x:xf>
    <x:xf numFmtId="0" fontId="0" fillId="0" borderId="0" xfId="0"/>
    <x:xf numFmtId="0" fontId="8" fillId="19" borderId="0" xfId="0" applyFont="1" applyFill="1" applyAlignment="1">
      <x:alignment wrapText="1"/>
    </x:xf>
    <x:xf numFmtId="0" fontId="13" fillId="23" borderId="0" xfId="0" applyFont="1" applyFill="1" applyAlignment="1">
      <x:alignment vertical="center"/>
    </x:xf>
    <x:xf numFmtId="0" fontId="9" fillId="32" borderId="0" xfId="0" applyFont="1" applyFill="1" applyAlignment="1">
      <x:alignment horizontal="left" vertical="center"/>
    </x:xf>
    <x:xf numFmtId="0" fontId="18" fillId="33" borderId="14" xfId="0" applyFont="1" applyFill="1" applyBorder="1" applyAlignment="1">
      <x:alignment vertical="top" wrapText="1"/>
    </x:xf>
    <x:xf numFmtId="0" fontId="18" fillId="33" borderId="15" xfId="0" applyFont="1" applyFill="1" applyBorder="1" applyAlignment="1">
      <x:alignment vertical="top" wrapText="1"/>
    </x:xf>
    <x:xf numFmtId="0" fontId="19" fillId="0" borderId="14" xfId="0" applyFont="1" applyBorder="1" applyAlignment="1">
      <x:alignment vertical="top" wrapText="1"/>
    </x:xf>
    <x:xf numFmtId="0" fontId="19" fillId="0" borderId="16" xfId="0" applyFont="1" applyBorder="1" applyAlignment="1">
      <x:alignment vertical="top" wrapText="1"/>
    </x:xf>
    <x:xf numFmtId="0" fontId="19" fillId="0" borderId="15" xfId="0" applyFont="1" applyBorder="1" applyAlignment="1">
      <x:alignment vertical="top" wrapText="1"/>
    </x:xf>
    <x:xf numFmtId="0" fontId="17" fillId="34" borderId="0" xfId="0" applyFont="1" applyFill="1" applyAlignment="1">
      <x:alignment horizontal="left" vertical="center" wrapText="1"/>
    </x:xf>
    <x:xf numFmtId="0" fontId="0" fillId="28" borderId="0" xfId="0" applyFill="1" applyAlignment="1">
      <x:alignment vertical="center" wrapText="1"/>
    </x:xf>
    <x:xf numFmtId="0" fontId="14" fillId="28" borderId="0" xfId="0" applyFont="1" applyFill="1" applyAlignment="1">
      <x:alignment vertical="center" wrapText="1"/>
    </x:xf>
    <x:xf numFmtId="0" fontId="7" fillId="30" borderId="0" xfId="0" applyFont="1" applyFill="1" applyAlignment="1">
      <x:alignment horizontal="left" vertical="center" wrapText="1"/>
    </x:xf>
    <x:xf numFmtId="0" fontId="17" fillId="31" borderId="0" xfId="0" applyFont="1" applyFill="1" applyAlignment="1">
      <x:alignment horizontal="left" vertical="center" wrapText="1"/>
    </x:xf>
    <x:xf numFmtId="0" fontId="0" fillId="0" borderId="28" xfId="0" applyNumberFormat="1" applyFont="1" applyFill="1" applyBorder="1"/>
    <x:xf numFmtId="0" fontId="3" fillId="0" borderId="28" xfId="0" applyNumberFormat="1" applyFont="1" applyFill="1" applyBorder="1"/>
    <x:xf numFmtId="0" fontId="2" fillId="3" borderId="28" xfId="0" applyNumberFormat="1" applyFont="1" applyFill="1" applyBorder="1" applyAlignment="1">
      <x:alignment vertical="center"/>
    </x:xf>
    <x:xf numFmtId="0" fontId="3" fillId="0" borderId="28" xfId="0" applyNumberFormat="1" applyFont="1" applyFill="1" applyBorder="1" applyAlignment="1">
      <x:alignment vertical="top" wrapText="1"/>
    </x:xf>
    <x:xf numFmtId="0" fontId="2" fillId="6" borderId="28" xfId="0" applyNumberFormat="1" applyFont="1" applyFill="1" applyBorder="1" applyAlignment="1">
      <x:alignment horizontal="center" vertical="center" wrapText="1"/>
    </x:xf>
    <x:xf numFmtId="164" fontId="3" fillId="0" borderId="28" xfId="0" applyNumberFormat="1" applyFont="1" applyFill="1" applyBorder="1" applyAlignment="1">
      <x:alignment vertical="top" wrapText="1"/>
    </x:xf>
    <x:xf numFmtId="0" fontId="2" fillId="7" borderId="28" xfId="0" applyNumberFormat="1" applyFont="1" applyFill="1" applyBorder="1" applyAlignment="1">
      <x:alignment horizontal="center"/>
    </x:xf>
    <x:xf numFmtId="0" fontId="3" fillId="4" borderId="28" xfId="0" applyNumberFormat="1" applyFont="1" applyFill="1" applyBorder="1"/>
    <x:xf numFmtId="0" fontId="2" fillId="10" borderId="28" xfId="0" applyNumberFormat="1" applyFont="1" applyFill="1" applyBorder="1" applyAlignment="1">
      <x:alignment vertical="top" wrapText="1"/>
    </x:xf>
    <x:xf numFmtId="0" fontId="2" fillId="11" borderId="28" xfId="0" applyNumberFormat="1" applyFont="1" applyFill="1" applyBorder="1" applyAlignment="1">
      <x:alignment vertical="top" wrapText="1"/>
    </x:xf>
    <x:xf numFmtId="0" fontId="2" fillId="12" borderId="28" xfId="0" applyNumberFormat="1" applyFont="1" applyFill="1" applyBorder="1" applyAlignment="1">
      <x:alignment vertical="top" wrapText="1"/>
    </x:xf>
    <x:xf numFmtId="0" fontId="2" fillId="12" borderId="28" xfId="0" applyNumberFormat="1" applyFont="1" applyFill="1" applyBorder="1" applyAlignment="1">
      <x:alignment horizontal="center"/>
    </x:xf>
    <x:xf numFmtId="0" fontId="2" fillId="13" borderId="28" xfId="0" applyNumberFormat="1" applyFont="1" applyFill="1" applyBorder="1" applyAlignment="1">
      <x:alignment vertical="top" wrapText="1"/>
    </x:xf>
    <x:xf numFmtId="0" fontId="2" fillId="13" borderId="28" xfId="0" applyNumberFormat="1" applyFont="1" applyFill="1" applyBorder="1" applyAlignment="1">
      <x:alignment horizontal="center"/>
    </x:xf>
    <x:xf numFmtId="0" fontId="2" fillId="14" borderId="28" xfId="0" applyNumberFormat="1" applyFont="1" applyFill="1" applyBorder="1" applyAlignment="1">
      <x:alignment vertical="top" wrapText="1"/>
    </x:xf>
    <x:xf numFmtId="0" fontId="2" fillId="14" borderId="28" xfId="0" applyNumberFormat="1" applyFont="1" applyFill="1" applyBorder="1" applyAlignment="1">
      <x:alignment horizontal="center"/>
    </x:xf>
    <x:xf numFmtId="0" fontId="2" fillId="2" borderId="28" xfId="0" applyNumberFormat="1" applyFont="1" applyFill="1" applyBorder="1"/>
    <x:xf numFmtId="9" fontId="2" fillId="2" borderId="28" xfId="0" applyNumberFormat="1" applyFont="1" applyFill="1" applyBorder="1"/>
    <x:xf numFmtId="166" fontId="5" fillId="5" borderId="28" xfId="0" applyNumberFormat="1" applyFont="1" applyFill="1" applyBorder="1" applyAlignment="1">
      <x:alignment horizontal="center" vertical="center" wrapText="1"/>
    </x:xf>
    <x:xf numFmtId="0" fontId="3" fillId="0" borderId="28" xfId="0" applyNumberFormat="1" applyFont="1" applyFill="1" applyBorder="1" applyAlignment="1">
      <x:alignment horizontal="center" vertical="top" wrapText="1"/>
    </x:xf>
    <x:xf numFmtId="164" fontId="3" fillId="0" borderId="28" xfId="0" applyNumberFormat="1" applyFont="1" applyFill="1" applyBorder="1" applyAlignment="1">
      <x:alignment horizontal="center" vertical="top" wrapText="1"/>
    </x:xf>
    <x:xf numFmtId="9" fontId="3" fillId="0" borderId="28" xfId="0" applyNumberFormat="1" applyFont="1" applyFill="1" applyBorder="1" applyAlignment="1">
      <x:alignment horizontal="center" vertical="top" wrapText="1"/>
    </x:xf>
    <x:xf numFmtId="0" fontId="3" fillId="0" borderId="28" xfId="0" applyNumberFormat="1" applyFont="1" applyFill="1" applyBorder="1" applyAlignment="1">
      <x:alignment horizontal="center"/>
    </x:xf>
    <x:xf numFmtId="0" fontId="2" fillId="7" borderId="28" xfId="0" applyNumberFormat="1" applyFont="1" applyFill="1" applyBorder="1" applyAlignment="1">
      <x:alignment horizontal="center" vertical="center"/>
    </x:xf>
    <x:xf numFmtId="0" fontId="2" fillId="9" borderId="28" xfId="0" applyNumberFormat="1" applyFont="1" applyFill="1" applyBorder="1" applyAlignment="1">
      <x:alignment horizontal="center" vertical="center"/>
    </x:xf>
    <x:xf numFmtId="0" fontId="2" fillId="10" borderId="28" xfId="0" applyNumberFormat="1" applyFont="1" applyFill="1" applyBorder="1" applyAlignment="1">
      <x:alignment horizontal="center" vertical="center"/>
    </x:xf>
    <x:xf numFmtId="0" fontId="2" fillId="11" borderId="28" xfId="0" applyNumberFormat="1" applyFont="1" applyFill="1" applyBorder="1" applyAlignment="1">
      <x:alignment horizontal="center" vertical="center"/>
    </x:xf>
    <x:xf numFmtId="0" fontId="2" fillId="12" borderId="28" xfId="0" applyNumberFormat="1" applyFont="1" applyFill="1" applyBorder="1" applyAlignment="1">
      <x:alignment horizontal="center" vertical="center"/>
    </x:xf>
    <x:xf numFmtId="0" fontId="2" fillId="13" borderId="28" xfId="0" applyNumberFormat="1" applyFont="1" applyFill="1" applyBorder="1" applyAlignment="1">
      <x:alignment horizontal="center" vertical="center"/>
    </x:xf>
    <x:xf numFmtId="0" fontId="2" fillId="14" borderId="28" xfId="0" applyNumberFormat="1" applyFont="1" applyFill="1" applyBorder="1" applyAlignment="1">
      <x:alignment horizontal="center" vertical="center"/>
    </x:xf>
    <x:xf numFmtId="0" fontId="3" fillId="0" borderId="28" xfId="0" applyNumberFormat="1" applyFont="1" applyFill="1" applyBorder="1" applyAlignment="1">
      <x:alignment wrapText="1"/>
    </x:xf>
    <x:xf numFmtId="164" fontId="3" fillId="0" borderId="28" xfId="0" applyNumberFormat="1" applyFont="1" applyFill="1" applyBorder="1" applyAlignment="1">
      <x:alignment wrapText="1"/>
    </x:xf>
    <x:xf numFmtId="0" fontId="3" fillId="16" borderId="28" xfId="0" applyNumberFormat="1" applyFont="1" applyFill="1" applyBorder="1" applyAlignment="1">
      <x:alignment wrapText="1"/>
    </x:xf>
    <x:xf numFmtId="164" fontId="3" fillId="16" borderId="28" xfId="0" applyNumberFormat="1" applyFont="1" applyFill="1" applyBorder="1" applyAlignment="1">
      <x:alignment wrapText="1"/>
    </x:xf>
    <x:xf numFmtId="165" fontId="3" fillId="0" borderId="28" xfId="0" applyNumberFormat="1" applyFont="1" applyFill="1" applyBorder="1" applyAlignment="1">
      <x:alignment wrapText="1"/>
    </x:xf>
    <x:xf numFmtId="0" fontId="2" fillId="14" borderId="28" xfId="0" applyNumberFormat="1" applyFont="1" applyFill="1" applyBorder="1" applyAlignment="1">
      <x:alignment wrapText="1"/>
    </x:xf>
    <x:xf numFmtId="0" fontId="6" fillId="0" borderId="28" xfId="0" applyNumberFormat="1" applyFont="1" applyFill="1" applyBorder="1"/>
    <x:xf numFmtId="2" fontId="3" fillId="0" borderId="28" xfId="0" applyNumberFormat="1" applyFont="1" applyFill="1" applyBorder="1" applyAlignment="1">
      <x:alignment horizontal="center" vertical="top" wrapText="1"/>
    </x:xf>
    <x:xf numFmtId="2" fontId="3" fillId="0" borderId="28" xfId="0" applyNumberFormat="1" applyFont="1" applyFill="1" applyBorder="1" applyAlignment="1">
      <x:alignment wrapText="1"/>
    </x:xf>
    <x:xf numFmtId="0" fontId="3" fillId="4" borderId="28" xfId="0" applyNumberFormat="1" applyFont="1" applyFill="1" applyBorder="1" applyAlignment="1">
      <x:alignment vertical="top" wrapText="1"/>
    </x:xf>
    <x:xf numFmtId="0" fontId="1" fillId="2" borderId="28" xfId="0" applyNumberFormat="1" applyFont="1" applyFill="1" applyBorder="1" applyAlignment="1">
      <x:alignment vertical="center"/>
    </x:xf>
    <x:xf numFmtId="0" fontId="0" fillId="0" borderId="28" xfId="0" applyNumberFormat="1" applyFont="1" applyFill="1" applyBorder="1" applyAlignment="1">
      <x:alignment wrapText="1"/>
    </x:xf>
    <x:xf numFmtId="0" fontId="9" fillId="17" borderId="28" xfId="0" applyNumberFormat="1" applyFont="1" applyFill="1" applyBorder="1"/>
    <x:xf numFmtId="0" fontId="9" fillId="17" borderId="28" xfId="0" applyNumberFormat="1" applyFont="1" applyFill="1" applyBorder="1" applyAlignment="1">
      <x:alignment horizontal="center" vertical="center" wrapText="1"/>
    </x:xf>
    <x:xf numFmtId="164" fontId="0" fillId="0" borderId="28" xfId="0" applyNumberFormat="1" applyFont="1" applyFill="1" applyBorder="1" applyAlignment="1">
      <x:alignment wrapText="1"/>
    </x:xf>
    <x:xf numFmtId="2" fontId="0" fillId="0" borderId="28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vertical="top" wrapText="1"/>
    </x:xf>
    <x:xf numFmtId="164" fontId="0" fillId="0" borderId="28" xfId="0" applyNumberFormat="1" applyFont="1" applyFill="1" applyBorder="1" applyAlignment="1">
      <x:alignment vertical="top" wrapText="1"/>
    </x:xf>
    <x:xf numFmtId="2" fontId="0" fillId="0" borderId="28" xfId="0" applyNumberFormat="1" applyFont="1" applyFill="1" applyBorder="1" applyAlignment="1">
      <x:alignment vertical="top" wrapText="1"/>
    </x:xf>
    <x:xf numFmtId="0" fontId="2" fillId="17" borderId="28" xfId="0" applyNumberFormat="1" applyFont="1" applyFill="1" applyBorder="1" applyAlignment="1">
      <x:alignment vertical="center"/>
    </x:xf>
    <x:xf numFmtId="164" fontId="2" fillId="17" borderId="28" xfId="0" applyNumberFormat="1" applyFont="1" applyFill="1" applyBorder="1" applyAlignment="1">
      <x:alignment vertical="center"/>
    </x:xf>
    <x:xf numFmtId="0" fontId="2" fillId="17" borderId="28" xfId="0" applyNumberFormat="1" applyFont="1" applyFill="1" applyBorder="1" applyAlignment="1">
      <x:alignment horizontal="center" vertical="center" wrapText="1"/>
    </x:xf>
    <x:xf numFmtId="0" fontId="2" fillId="17" borderId="28" xfId="0" applyNumberFormat="1" applyFont="1" applyFill="1" applyBorder="1" applyAlignment="1">
      <x:alignment vertical="top" wrapText="1"/>
    </x:xf>
    <x:xf numFmtId="0" fontId="2" fillId="17" borderId="28" xfId="0" applyNumberFormat="1" applyFont="1" applyFill="1" applyBorder="1" applyAlignment="1">
      <x:alignment horizontal="center" vertical="top" wrapText="1"/>
    </x:xf>
    <x:xf numFmtId="164" fontId="2" fillId="17" borderId="28" xfId="0" applyNumberFormat="1" applyFont="1" applyFill="1" applyBorder="1" applyAlignment="1">
      <x:alignment horizontal="center" vertical="top" wrapText="1"/>
    </x:xf>
    <x:xf numFmtId="9" fontId="2" fillId="17" borderId="28" xfId="0" applyNumberFormat="1" applyFont="1" applyFill="1" applyBorder="1" applyAlignment="1">
      <x:alignment horizontal="center" vertical="top" wrapText="1"/>
    </x:xf>
    <x:xf numFmtId="167" fontId="3" fillId="0" borderId="28" xfId="0" applyNumberFormat="1" applyFont="1" applyFill="1" applyBorder="1" applyAlignment="1">
      <x:alignment horizontal="center" vertical="top" wrapText="1"/>
    </x:xf>
    <x:xf numFmtId="167" fontId="2" fillId="17" borderId="28" xfId="0" applyNumberFormat="1" applyFont="1" applyFill="1" applyBorder="1" applyAlignment="1">
      <x:alignment horizontal="center" vertical="top" wrapText="1"/>
    </x:xf>
    <x:xf numFmtId="2" fontId="2" fillId="17" borderId="28" xfId="0" applyNumberFormat="1" applyFont="1" applyFill="1" applyBorder="1" applyAlignment="1">
      <x:alignment horizontal="center" vertical="top" wrapText="1"/>
    </x:xf>
    <x:xf numFmtId="0" fontId="2" fillId="8" borderId="28" xfId="0" applyNumberFormat="1" applyFont="1" applyFill="1" applyBorder="1" applyAlignment="1">
      <x:alignment vertical="top" wrapText="1"/>
    </x:xf>
    <x:xf numFmtId="0" fontId="2" fillId="9" borderId="28" xfId="0" applyNumberFormat="1" applyFont="1" applyFill="1" applyBorder="1" applyAlignment="1">
      <x:alignment vertical="top" wrapText="1"/>
    </x:xf>
    <x:xf numFmtId="0" fontId="2" fillId="7" borderId="28" xfId="0" applyNumberFormat="1" applyFont="1" applyFill="1" applyBorder="1" applyAlignment="1">
      <x:alignment horizontal="center" vertical="top" wrapText="1"/>
    </x:xf>
    <x:xf numFmtId="0" fontId="2" fillId="21" borderId="28" xfId="0" applyNumberFormat="1" applyFont="1" applyFill="1" applyBorder="1" applyAlignment="1">
      <x:alignment vertical="top" wrapText="1"/>
    </x:xf>
    <x:xf numFmtId="0" fontId="3" fillId="22" borderId="28" xfId="0" applyNumberFormat="1" applyFont="1" applyFill="1" applyBorder="1" applyAlignment="1">
      <x:alignment vertical="top" wrapText="1"/>
    </x:xf>
    <x:xf numFmtId="0" fontId="2" fillId="22" borderId="28" xfId="0" applyNumberFormat="1" applyFont="1" applyFill="1" applyBorder="1" applyAlignment="1">
      <x:alignment vertical="top" wrapText="1"/>
    </x:xf>
    <x:xf numFmtId="167" fontId="3" fillId="22" borderId="28" xfId="0" applyNumberFormat="1" applyFont="1" applyFill="1" applyBorder="1" applyAlignment="1">
      <x:alignment horizontal="center" vertical="top" wrapText="1"/>
    </x:xf>
    <x:xf numFmtId="0" fontId="3" fillId="22" borderId="28" xfId="0" applyNumberFormat="1" applyFont="1" applyFill="1" applyBorder="1" applyAlignment="1">
      <x:alignment horizontal="center" vertical="top" wrapText="1"/>
    </x:xf>
    <x:xf numFmtId="164" fontId="3" fillId="22" borderId="28" xfId="0" applyNumberFormat="1" applyFont="1" applyFill="1" applyBorder="1" applyAlignment="1">
      <x:alignment horizontal="center" vertical="top" wrapText="1"/>
    </x:xf>
    <x:xf numFmtId="9" fontId="3" fillId="22" borderId="28" xfId="0" applyNumberFormat="1" applyFont="1" applyFill="1" applyBorder="1" applyAlignment="1">
      <x:alignment horizontal="center" vertical="top" wrapText="1"/>
    </x:xf>
    <x:xf numFmtId="2" fontId="3" fillId="22" borderId="28" xfId="0" applyNumberFormat="1" applyFont="1" applyFill="1" applyBorder="1" applyAlignment="1">
      <x:alignment horizontal="center" vertical="top" wrapText="1"/>
    </x:xf>
    <x:xf numFmtId="0" fontId="2" fillId="22" borderId="28" xfId="0" applyNumberFormat="1" applyFont="1" applyFill="1" applyBorder="1" applyAlignment="1">
      <x:alignment horizontal="center" vertical="top" wrapText="1"/>
    </x:xf>
    <x:xf numFmtId="0" fontId="2" fillId="23" borderId="28" xfId="0" applyNumberFormat="1" applyFont="1" applyFill="1" applyBorder="1" applyAlignment="1">
      <x:alignment vertical="top" wrapText="1"/>
    </x:xf>
    <x:xf numFmtId="0" fontId="2" fillId="25" borderId="28" xfId="0" applyNumberFormat="1" applyFont="1" applyFill="1" applyBorder="1" applyAlignment="1">
      <x:alignment vertical="top" wrapText="1"/>
    </x:xf>
    <x:xf numFmtId="0" fontId="2" fillId="26" borderId="28" xfId="0" applyNumberFormat="1" applyFont="1" applyFill="1" applyBorder="1" applyAlignment="1">
      <x:alignment vertical="top" wrapText="1"/>
    </x:xf>
    <x:xf numFmtId="0" fontId="2" fillId="27" borderId="28" xfId="0" applyNumberFormat="1" applyFont="1" applyFill="1" applyBorder="1" applyAlignment="1">
      <x:alignment vertical="top" wrapText="1"/>
    </x:xf>
    <x:xf numFmtId="164" fontId="2" fillId="17" borderId="28" xfId="0" applyNumberFormat="1" applyFont="1" applyFill="1" applyBorder="1" applyAlignment="1">
      <x:alignment vertical="top" wrapText="1"/>
    </x:xf>
    <x:xf numFmtId="165" fontId="2" fillId="17" borderId="28" xfId="0" applyNumberFormat="1" applyFont="1" applyFill="1" applyBorder="1" applyAlignment="1">
      <x:alignment horizontal="center" vertical="center" wrapText="1"/>
    </x:xf>
    <x:xf numFmtId="164" fontId="2" fillId="17" borderId="28" xfId="0" applyNumberFormat="1" applyFont="1" applyFill="1" applyBorder="1" applyAlignment="1">
      <x:alignment horizontal="center" vertical="center" wrapText="1"/>
    </x:xf>
    <x:xf numFmtId="0" fontId="2" fillId="17" borderId="28" xfId="0" applyNumberFormat="1" applyFont="1" applyFill="1" applyBorder="1"/>
    <x:xf numFmtId="2" fontId="3" fillId="0" borderId="28" xfId="0" applyNumberFormat="1" applyFont="1" applyFill="1" applyBorder="1" applyAlignment="1">
      <x:alignment vertical="top" wrapText="1"/>
    </x:xf>
    <x:xf numFmtId="2" fontId="2" fillId="17" borderId="28" xfId="0" applyNumberFormat="1" applyFont="1" applyFill="1" applyBorder="1" applyAlignment="1">
      <x:alignment vertical="top" wrapText="1"/>
    </x:xf>
    <x:xf numFmtId="9" fontId="3" fillId="0" borderId="28" xfId="0" applyNumberFormat="1" applyFont="1" applyFill="1" applyBorder="1" applyAlignment="1">
      <x:alignment vertical="top" wrapText="1"/>
    </x:xf>
    <x:xf numFmtId="9" fontId="2" fillId="17" borderId="28" xfId="0" applyNumberFormat="1" applyFont="1" applyFill="1" applyBorder="1" applyAlignment="1">
      <x:alignment vertical="top" wrapText="1"/>
    </x:xf>
    <x:xf numFmtId="0" fontId="2" fillId="8" borderId="28" xfId="0" applyNumberFormat="1" applyFont="1" applyFill="1" applyBorder="1" applyAlignment="1">
      <x:alignment horizontal="center" wrapText="1"/>
    </x:xf>
    <x:xf numFmtId="0" fontId="3" fillId="4" borderId="28" xfId="0" applyNumberFormat="1" applyFont="1" applyFill="1" applyBorder="1" applyAlignment="1">
      <x:alignment wrapText="1"/>
    </x:xf>
    <x:xf numFmtId="0" fontId="2" fillId="9" borderId="28" xfId="0" applyNumberFormat="1" applyFont="1" applyFill="1" applyBorder="1" applyAlignment="1">
      <x:alignment horizontal="center" wrapText="1"/>
    </x:xf>
    <x:xf numFmtId="0" fontId="2" fillId="10" borderId="28" xfId="0" applyNumberFormat="1" applyFont="1" applyFill="1" applyBorder="1" applyAlignment="1">
      <x:alignment horizontal="center" wrapText="1"/>
    </x:xf>
    <x:xf numFmtId="0" fontId="2" fillId="11" borderId="28" xfId="0" applyNumberFormat="1" applyFont="1" applyFill="1" applyBorder="1" applyAlignment="1">
      <x:alignment horizontal="center" wrapText="1"/>
    </x:xf>
    <x:xf numFmtId="0" fontId="2" fillId="12" borderId="28" xfId="0" applyNumberFormat="1" applyFont="1" applyFill="1" applyBorder="1" applyAlignment="1">
      <x:alignment horizontal="center" wrapText="1"/>
    </x:xf>
    <x:xf numFmtId="0" fontId="2" fillId="17" borderId="28" xfId="0" applyNumberFormat="1" applyFont="1" applyFill="1" applyBorder="1" applyAlignment="1">
      <x:alignment wrapText="1"/>
    </x:xf>
    <x:xf numFmtId="164" fontId="2" fillId="17" borderId="28" xfId="0" applyNumberFormat="1" applyFont="1" applyFill="1" applyBorder="1" applyAlignment="1">
      <x:alignment wrapText="1"/>
    </x:xf>
    <x:xf numFmtId="2" fontId="2" fillId="17" borderId="28" xfId="0" applyNumberFormat="1" applyFont="1" applyFill="1" applyBorder="1" applyAlignment="1">
      <x:alignment wrapText="1"/>
    </x:xf>
    <x:xf numFmtId="2" fontId="2" fillId="17" borderId="28" xfId="0" applyNumberFormat="1" applyFont="1" applyFill="1" applyBorder="1" applyAlignment="1">
      <x:alignment horizontal="center" vertical="center" wrapText="1"/>
    </x:xf>
    <x:xf numFmtId="2" fontId="3" fillId="16" borderId="28" xfId="0" applyNumberFormat="1" applyFont="1" applyFill="1" applyBorder="1" applyAlignment="1">
      <x:alignment wrapText="1"/>
    </x:xf>
    <x:xf numFmtId="9" fontId="3" fillId="0" borderId="28" xfId="0" applyNumberFormat="1" applyFont="1" applyFill="1" applyBorder="1" applyAlignment="1">
      <x:alignment wrapText="1"/>
    </x:xf>
    <x:xf numFmtId="9" fontId="2" fillId="17" borderId="28" xfId="0" applyNumberFormat="1" applyFont="1" applyFill="1" applyBorder="1" applyAlignment="1">
      <x:alignment wrapText="1"/>
    </x:xf>
    <x:xf numFmtId="0" fontId="2" fillId="7" borderId="28" xfId="0" applyNumberFormat="1" applyFont="1" applyFill="1" applyBorder="1" applyAlignment="1">
      <x:alignment wrapText="1"/>
    </x:xf>
    <x:xf numFmtId="0" fontId="2" fillId="8" borderId="28" xfId="0" applyNumberFormat="1" applyFont="1" applyFill="1" applyBorder="1" applyAlignment="1">
      <x:alignment wrapText="1"/>
    </x:xf>
    <x:xf numFmtId="0" fontId="2" fillId="9" borderId="28" xfId="0" applyNumberFormat="1" applyFont="1" applyFill="1" applyBorder="1" applyAlignment="1">
      <x:alignment wrapText="1"/>
    </x:xf>
    <x:xf numFmtId="0" fontId="2" fillId="10" borderId="28" xfId="0" applyNumberFormat="1" applyFont="1" applyFill="1" applyBorder="1" applyAlignment="1">
      <x:alignment wrapText="1"/>
    </x:xf>
    <x:xf numFmtId="0" fontId="2" fillId="11" borderId="28" xfId="0" applyNumberFormat="1" applyFont="1" applyFill="1" applyBorder="1" applyAlignment="1">
      <x:alignment wrapText="1"/>
    </x:xf>
    <x:xf numFmtId="0" fontId="2" fillId="12" borderId="28" xfId="0" applyNumberFormat="1" applyFont="1" applyFill="1" applyBorder="1" applyAlignment="1">
      <x:alignment wrapText="1"/>
    </x:xf>
    <x:xf numFmtId="0" fontId="5" fillId="20" borderId="28" xfId="0" applyNumberFormat="1" applyFont="1" applyFill="1" applyBorder="1" applyAlignment="1">
      <x:alignment horizontal="center" vertical="center" wrapText="1"/>
    </x:xf>
    <x:xf numFmtId="0" fontId="2" fillId="20" borderId="28" xfId="0" applyNumberFormat="1" applyFont="1" applyFill="1" applyBorder="1" applyAlignment="1">
      <x:alignment horizontal="center" vertical="center" wrapText="1"/>
    </x:xf>
    <x:xf numFmtId="0" fontId="4" fillId="20" borderId="28" xfId="0" applyNumberFormat="1" applyFont="1" applyFill="1" applyBorder="1"/>
    <x:xf numFmtId="0" fontId="12" fillId="23" borderId="28" xfId="0" applyNumberFormat="1" applyFont="1" applyFill="1" applyBorder="1" applyAlignment="1">
      <x:alignment vertical="center" wrapText="1"/>
    </x:xf>
    <x:xf numFmtId="0" fontId="5" fillId="15" borderId="28" xfId="0" applyNumberFormat="1" applyFont="1" applyFill="1" applyBorder="1" applyAlignment="1">
      <x:alignment vertical="top" wrapText="1"/>
    </x:xf>
    <x:xf numFmtId="0" fontId="14" fillId="20" borderId="28" xfId="0" applyNumberFormat="1" applyFont="1" applyFill="1" applyBorder="1" applyAlignment="1">
      <x:alignment wrapText="1"/>
    </x:xf>
    <x:xf numFmtId="0" fontId="14" fillId="20" borderId="28" xfId="0" applyNumberFormat="1" applyFont="1" applyFill="1" applyBorder="1"/>
    <x:xf numFmtId="0" fontId="2" fillId="17" borderId="28" xfId="0" applyNumberFormat="1" applyFont="1" applyFill="1" applyBorder="1" applyAlignment="1">
      <x:alignment vertical="center" wrapText="1"/>
    </x:xf>
    <x:xf numFmtId="164" fontId="3" fillId="28" borderId="28" xfId="0" applyNumberFormat="1" applyFont="1" applyFill="1" applyBorder="1" applyAlignment="1">
      <x:alignment wrapText="1"/>
    </x:xf>
    <x:xf numFmtId="1" fontId="3" fillId="28" borderId="28" xfId="0" applyNumberFormat="1" applyFont="1" applyFill="1" applyBorder="1" applyAlignment="1">
      <x:alignment wrapText="1"/>
    </x:xf>
    <x:xf numFmtId="2" fontId="3" fillId="28" borderId="28" xfId="0" applyNumberFormat="1" applyFont="1" applyFill="1" applyBorder="1" applyAlignment="1">
      <x:alignment wrapText="1"/>
    </x:xf>
    <x:xf numFmtId="9" fontId="3" fillId="28" borderId="28" xfId="0" applyNumberFormat="1" applyFont="1" applyFill="1" applyBorder="1" applyAlignment="1">
      <x:alignment wrapText="1"/>
    </x:xf>
    <x:xf numFmtId="0" fontId="3" fillId="28" borderId="28" xfId="0" applyNumberFormat="1" applyFont="1" applyFill="1" applyBorder="1" applyAlignment="1">
      <x:alignment wrapText="1"/>
    </x:xf>
    <x:xf numFmtId="0" fontId="4" fillId="20" borderId="28" xfId="0" applyNumberFormat="1" applyFont="1" applyFill="1" applyBorder="1" applyAlignment="1">
      <x:alignment horizontal="center"/>
    </x:xf>
    <x:xf numFmtId="0" fontId="4" fillId="20" borderId="28" xfId="0" applyNumberFormat="1" applyFont="1" applyFill="1" applyBorder="1" applyAlignment="1">
      <x:alignment vertical="top" wrapText="1"/>
    </x:xf>
    <x:xf numFmtId="164" fontId="0" fillId="28" borderId="28" xfId="0" applyNumberFormat="1" applyFont="1" applyFill="1" applyBorder="1"/>
    <x:xf numFmtId="0" fontId="0" fillId="28" borderId="28" xfId="0" applyNumberFormat="1" applyFont="1" applyFill="1" applyBorder="1"/>
    <x:xf numFmtId="2" fontId="0" fillId="28" borderId="28" xfId="0" applyNumberFormat="1" applyFont="1" applyFill="1" applyBorder="1"/>
    <x:xf numFmtId="9" fontId="0" fillId="28" borderId="28" xfId="0" applyNumberFormat="1" applyFont="1" applyFill="1" applyBorder="1"/>
    <x:xf numFmtId="9" fontId="0" fillId="0" borderId="28" xfId="0" applyNumberFormat="1" applyFont="1" applyFill="1" applyBorder="1" applyAlignment="1">
      <x:alignment wrapText="1"/>
    </x:xf>
    <x:xf numFmtId="166" fontId="5" fillId="29" borderId="28" xfId="0" applyNumberFormat="1" applyFont="1" applyFill="1" applyBorder="1" applyAlignment="1">
      <x:alignment horizontal="center" vertical="center" wrapText="1"/>
    </x:xf>
    <x:xf numFmtId="0" fontId="2" fillId="29" borderId="28" xfId="0" applyNumberFormat="1" applyFont="1" applyFill="1" applyBorder="1" applyAlignment="1">
      <x:alignment horizontal="center" vertical="center" wrapText="1"/>
    </x:xf>
    <x:xf numFmtId="0" fontId="3" fillId="29" borderId="28" xfId="0" applyNumberFormat="1" applyFont="1" applyFill="1" applyBorder="1" applyAlignment="1">
      <x:alignment horizontal="center" vertical="top" wrapText="1"/>
    </x:xf>
    <x:xf numFmtId="0" fontId="2" fillId="29" borderId="28" xfId="0" applyNumberFormat="1" applyFont="1" applyFill="1" applyBorder="1" applyAlignment="1">
      <x:alignment horizontal="center" vertical="top" wrapText="1"/>
    </x:xf>
    <x:xf numFmtId="0" fontId="9" fillId="17" borderId="28" xfId="0" applyNumberFormat="1" applyFont="1" applyFill="1" applyBorder="1" applyAlignment="1">
      <x:alignment horizontal="center" vertical="top" wrapText="1"/>
    </x:xf>
    <x:xf numFmtId="0" fontId="15" fillId="29" borderId="28" xfId="0" applyNumberFormat="1" applyFont="1" applyFill="1" applyBorder="1"/>
    <x:xf numFmtId="0" fontId="0" fillId="0" borderId="28" xfId="0" applyNumberFormat="1" applyFont="1" applyFill="1" applyBorder="1" applyAlignment="1">
      <x:alignment horizontal="center" vertical="top" wrapText="1"/>
    </x:xf>
    <x:xf numFmtId="1" fontId="0" fillId="0" borderId="28" xfId="0" applyNumberFormat="1" applyFont="1" applyFill="1" applyBorder="1" applyAlignment="1">
      <x:alignment vertical="top" wrapText="1"/>
    </x:xf>
    <x:xf numFmtId="0" fontId="9" fillId="30" borderId="29" xfId="0" applyNumberFormat="1" applyFont="1" applyFill="1" applyBorder="1" applyAlignment="1">
      <x:alignment horizontal="center" vertical="center" wrapText="1"/>
    </x:xf>
    <x:xf numFmtId="0" fontId="9" fillId="30" borderId="30" xfId="0" applyNumberFormat="1" applyFont="1" applyFill="1" applyBorder="1" applyAlignment="1">
      <x:alignment horizontal="center" vertical="center" wrapText="1"/>
    </x:xf>
    <x:xf numFmtId="0" fontId="9" fillId="30" borderId="31" xfId="0" applyNumberFormat="1" applyFont="1" applyFill="1" applyBorder="1" applyAlignment="1">
      <x:alignment horizontal="center" vertical="center" wrapText="1"/>
    </x:xf>
    <x:xf numFmtId="0" fontId="0" fillId="0" borderId="32" xfId="0" applyNumberFormat="1" applyFont="1" applyFill="1" applyBorder="1" applyAlignment="1">
      <x:alignment vertical="top"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21" fillId="33" borderId="40" xfId="0" applyNumberFormat="1" applyFont="1" applyFill="1" applyBorder="1" applyAlignment="1">
      <x:alignment vertical="top" wrapText="1"/>
    </x:xf>
    <x:xf numFmtId="0" fontId="22" fillId="0" borderId="40" xfId="0" applyNumberFormat="1" applyFont="1" applyFill="1" applyBorder="1" applyAlignment="1">
      <x:alignment vertical="top" wrapText="1"/>
    </x:xf>
    <x:xf numFmtId="0" fontId="21" fillId="33" borderId="41" xfId="0" applyNumberFormat="1" applyFont="1" applyFill="1" applyBorder="1" applyAlignment="1">
      <x:alignment vertical="top" wrapText="1"/>
    </x:xf>
    <x:xf numFmtId="0" fontId="21" fillId="33" borderId="42" xfId="0" applyNumberFormat="1" applyFont="1" applyFill="1" applyBorder="1" applyAlignment="1">
      <x:alignment vertical="top" wrapText="1"/>
    </x:xf>
    <x:xf numFmtId="0" fontId="22" fillId="0" borderId="41" xfId="0" applyNumberFormat="1" applyFont="1" applyFill="1" applyBorder="1" applyAlignment="1">
      <x:alignment vertical="top" wrapText="1"/>
    </x:xf>
    <x:xf numFmtId="0" fontId="22" fillId="0" borderId="42" xfId="0" applyNumberFormat="1" applyFont="1" applyFill="1" applyBorder="1" applyAlignment="1">
      <x:alignment vertical="top" wrapText="1"/>
    </x:xf>
    <x:xf numFmtId="164" fontId="0" fillId="0" borderId="33" xfId="0" applyNumberFormat="1" applyFont="1" applyFill="1" applyBorder="1" applyAlignment="1">
      <x:alignment vertical="top" wrapText="1"/>
    </x:xf>
    <x:xf numFmtId="164" fontId="0" fillId="0" borderId="38" xfId="0" applyNumberFormat="1" applyFont="1" applyFill="1" applyBorder="1" applyAlignment="1">
      <x:alignment vertical="top" wrapText="1"/>
    </x:xf>
    <x:xf numFmtId="0" fontId="0" fillId="0" borderId="29" xfId="0" applyNumberFormat="1" applyFont="1" applyFill="1" applyBorder="1" applyAlignment="1">
      <x:alignment vertical="top" wrapText="1"/>
    </x:xf>
    <x:xf numFmtId="164" fontId="0" fillId="0" borderId="30" xfId="0" applyNumberFormat="1" applyFont="1" applyFill="1" applyBorder="1" applyAlignment="1">
      <x:alignment vertical="top" wrapText="1"/>
    </x:xf>
    <x:xf numFmtId="0" fontId="0" fillId="0" borderId="30" xfId="0" applyNumberFormat="1" applyFont="1" applyFill="1" applyBorder="1" applyAlignment="1">
      <x:alignment vertical="top" wrapText="1"/>
    </x:xf>
    <x:xf numFmtId="0" fontId="0" fillId="0" borderId="31" xfId="0" applyNumberFormat="1" applyFont="1" applyFill="1" applyBorder="1" applyAlignment="1">
      <x:alignment vertical="top" wrapText="1"/>
    </x:xf>
    <x:xf numFmtId="0" fontId="18" fillId="33" borderId="40" xfId="0" applyNumberFormat="1" applyFont="1" applyFill="1" applyBorder="1" applyAlignment="1">
      <x:alignment vertical="top" wrapText="1"/>
    </x:xf>
    <x:xf numFmtId="0" fontId="19" fillId="0" borderId="40" xfId="0" applyNumberFormat="1" applyFont="1" applyFill="1" applyBorder="1" applyAlignment="1">
      <x:alignment vertical="top" wrapText="1"/>
    </x:xf>
    <x:xf numFmtId="0" fontId="1" fillId="17" borderId="28" xfId="0" applyNumberFormat="1" applyFont="1" applyFill="1" applyBorder="1" applyAlignment="1">
      <x:alignment horizontal="left" vertical="center"/>
    </x:xf>
    <x:xf numFmtId="0" fontId="12" fillId="23" borderId="28" xfId="0" applyNumberFormat="1" applyFont="1" applyFill="1" applyBorder="1" applyAlignment="1">
      <x:alignment vertical="center"/>
    </x:xf>
    <x:xf numFmtId="164" fontId="3" fillId="4" borderId="28" xfId="0" applyNumberFormat="1" applyFont="1" applyFill="1" applyBorder="1" applyAlignment="1">
      <x:alignment wrapText="1"/>
    </x:xf>
    <x:xf numFmtId="0" fontId="4" fillId="18" borderId="28" xfId="0" applyNumberFormat="1" applyFont="1" applyFill="1" applyBorder="1" applyAlignment="1">
      <x:alignment vertical="center" wrapText="1"/>
    </x:xf>
    <x:xf numFmtId="0" fontId="20" fillId="31" borderId="28" xfId="0" applyNumberFormat="1" applyFont="1" applyFill="1" applyBorder="1" applyAlignment="1">
      <x:alignment horizontal="left" vertical="center" wrapText="1"/>
    </x:xf>
    <x:xf numFmtId="0" fontId="10" fillId="18" borderId="28" xfId="0" applyNumberFormat="1" applyFont="1" applyFill="1" applyBorder="1" applyAlignment="1">
      <x:alignment wrapText="1"/>
    </x:xf>
    <x:xf numFmtId="0" fontId="11" fillId="18" borderId="28" xfId="0" applyNumberFormat="1" applyFont="1" applyFill="1" applyBorder="1" applyAlignment="1">
      <x:alignment wrapText="1"/>
    </x:xf>
    <x:xf numFmtId="0" fontId="16" fillId="29" borderId="28" xfId="0" applyNumberFormat="1" applyFont="1" applyFill="1" applyBorder="1" applyAlignment="1">
      <x:alignment wrapText="1"/>
    </x:xf>
    <x:xf numFmtId="0" fontId="11" fillId="19" borderId="28" xfId="0" applyNumberFormat="1" applyFont="1" applyFill="1" applyBorder="1" applyAlignment="1">
      <x:alignment wrapText="1"/>
    </x:xf>
    <x:xf numFmtId="0" fontId="4" fillId="18" borderId="28" xfId="0" applyNumberFormat="1" applyFont="1" applyFill="1" applyBorder="1" applyAlignment="1">
      <x:alignment vertical="top" wrapText="1"/>
    </x:xf>
    <x:xf numFmtId="0" fontId="7" fillId="17" borderId="28" xfId="0" applyNumberFormat="1" applyFont="1" applyFill="1" applyBorder="1" applyAlignment="1">
      <x:alignment horizontal="left" vertical="center" wrapText="1"/>
    </x:xf>
    <x:xf numFmtId="0" fontId="8" fillId="18" borderId="28" xfId="0" applyNumberFormat="1" applyFont="1" applyFill="1" applyBorder="1" applyAlignment="1">
      <x:alignment wrapText="1"/>
    </x:xf>
    <x:xf numFmtId="0" fontId="7" fillId="17" borderId="28" xfId="0" applyNumberFormat="1" applyFont="1" applyFill="1" applyBorder="1" applyAlignment="1">
      <x:alignment horizontal="left" vertical="center"/>
    </x:xf>
    <x:xf numFmtId="0" fontId="8" fillId="19" borderId="28" xfId="0" applyNumberFormat="1" applyFont="1" applyFill="1" applyBorder="1" applyAlignment="1">
      <x:alignment wrapText="1"/>
    </x:xf>
    <x:xf numFmtId="0" fontId="13" fillId="23" borderId="28" xfId="0" applyNumberFormat="1" applyFont="1" applyFill="1" applyBorder="1" applyAlignment="1">
      <x:alignment vertical="center"/>
    </x:xf>
    <x:xf numFmtId="0" fontId="9" fillId="32" borderId="28" xfId="0" applyNumberFormat="1" applyFont="1" applyFill="1" applyBorder="1" applyAlignment="1">
      <x:alignment horizontal="left" vertical="center"/>
    </x:xf>
    <x:xf numFmtId="0" fontId="18" fillId="33" borderId="29" xfId="0" applyNumberFormat="1" applyFont="1" applyFill="1" applyBorder="1" applyAlignment="1">
      <x:alignment vertical="top" wrapText="1"/>
    </x:xf>
    <x:xf numFmtId="0" fontId="18" fillId="33" borderId="31" xfId="0" applyNumberFormat="1" applyFont="1" applyFill="1" applyBorder="1" applyAlignment="1">
      <x:alignment vertical="top" wrapText="1"/>
    </x:xf>
    <x:xf numFmtId="0" fontId="19" fillId="0" borderId="29" xfId="0" applyNumberFormat="1" applyFont="1" applyFill="1" applyBorder="1" applyAlignment="1">
      <x:alignment vertical="top" wrapText="1"/>
    </x:xf>
    <x:xf numFmtId="0" fontId="19" fillId="0" borderId="30" xfId="0" applyNumberFormat="1" applyFont="1" applyFill="1" applyBorder="1" applyAlignment="1">
      <x:alignment vertical="top" wrapText="1"/>
    </x:xf>
    <x:xf numFmtId="0" fontId="19" fillId="0" borderId="31" xfId="0" applyNumberFormat="1" applyFont="1" applyFill="1" applyBorder="1" applyAlignment="1">
      <x:alignment vertical="top" wrapText="1"/>
    </x:xf>
    <x:xf numFmtId="0" fontId="17" fillId="31" borderId="28" xfId="0" applyNumberFormat="1" applyFont="1" applyFill="1" applyBorder="1" applyAlignment="1">
      <x:alignment horizontal="left" vertical="center" wrapText="1"/>
    </x:xf>
    <x:xf numFmtId="0" fontId="0" fillId="28" borderId="28" xfId="0" applyNumberFormat="1" applyFont="1" applyFill="1" applyBorder="1" applyAlignment="1">
      <x:alignment vertical="center" wrapText="1"/>
    </x:xf>
    <x:xf numFmtId="0" fontId="14" fillId="28" borderId="28" xfId="0" applyNumberFormat="1" applyFont="1" applyFill="1" applyBorder="1" applyAlignment="1">
      <x:alignment vertical="center" wrapText="1"/>
    </x:xf>
    <x:xf numFmtId="0" fontId="7" fillId="30" borderId="28" xfId="0" applyNumberFormat="1" applyFont="1" applyFill="1" applyBorder="1" applyAlignment="1">
      <x:alignment horizontal="left" vertical="center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28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" fontId="0" fillId="0" borderId="0" xfId="0" applyNumberFormat="1" applyFont="1" applyFill="1" applyBorder="1" applyAlignment="1">
      <x:alignment vertical="top" wrapText="1"/>
    </x:xf>
    <x:xf numFmtId="1" fontId="0" fillId="0" borderId="0" xfId="0" applyNumberFormat="1" applyFont="1" applyFill="1" applyBorder="1" applyAlignment="1">
      <x:alignment vertical="top" wrapText="1"/>
    </x:xf>
    <x:xf numFmtId="164" fontId="3" fillId="0" borderId="0" xfId="0" applyNumberFormat="1" applyFont="1" applyFill="1" applyBorder="1" applyAlignment="1">
      <x:alignment horizontal="center" vertical="top" wrapText="1"/>
    </x:xf>
    <x:xf numFmtId="9" fontId="3" fillId="0" borderId="0" xfId="0" applyNumberFormat="1" applyFont="1" applyFill="1" applyBorder="1" applyAlignment="1">
      <x:alignment horizontal="center" vertical="top" wrapText="1"/>
    </x:xf>
    <x:xf numFmtId="2" fontId="3" fillId="0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vertical="top" wrapText="1"/>
    </x:xf>
    <x:xf numFmtId="164" fontId="3" fillId="22" borderId="0" xfId="0" applyNumberFormat="1" applyFont="1" applyFill="1" applyBorder="1" applyAlignment="1">
      <x:alignment horizontal="center" vertical="top" wrapText="1"/>
    </x:xf>
    <x:xf numFmtId="9" fontId="3" fillId="22" borderId="0" xfId="0" applyNumberFormat="1" applyFont="1" applyFill="1" applyBorder="1" applyAlignment="1">
      <x:alignment horizontal="center" vertical="top" wrapText="1"/>
    </x:xf>
    <x:xf numFmtId="2" fontId="3" fillId="22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2" fillId="22" borderId="0" xfId="0" applyNumberFormat="1" applyFont="1" applyFill="1" applyBorder="1" applyAlignment="1">
      <x:alignment horizontal="center" vertical="top"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28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14" fillId="20" borderId="0" xfId="0" applyNumberFormat="1" applyFont="1" applyFill="1" applyBorder="1" applyAlignment="1">
      <x:alignment wrapText="1"/>
    </x:xf>
    <x:xf numFmtId="0" fontId="18" fillId="33" borderId="25" xfId="0" applyNumberFormat="1" applyFont="1" applyFill="1" applyBorder="1" applyAlignment="1">
      <x:alignment vertical="top" wrapText="1"/>
    </x:xf>
    <x:xf numFmtId="0" fontId="19" fillId="0" borderId="2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3" fillId="0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 applyAlignment="1">
      <x:alignment horizontal="center" vertical="center" wrapText="1"/>
    </x:xf>
    <x:xf numFmtId="164" fontId="3" fillId="0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/>
    <x:xf numFmtId="0" fontId="2" fillId="10" borderId="0" xfId="0" applyNumberFormat="1" applyFont="1" applyFill="1" applyBorder="1" applyAlignment="1">
      <x:alignment vertical="top" wrapText="1"/>
    </x:xf>
    <x:xf numFmtId="0" fontId="2" fillId="11" borderId="0" xfId="0" applyNumberFormat="1" applyFont="1" applyFill="1" applyBorder="1" applyAlignment="1">
      <x:alignment vertical="top" wrapText="1"/>
    </x:xf>
    <x:xf numFmtId="0" fontId="2" fillId="12" borderId="0" xfId="0" applyNumberFormat="1" applyFont="1" applyFill="1" applyBorder="1" applyAlignment="1">
      <x:alignment vertical="top" wrapText="1"/>
    </x:xf>
    <x:xf numFmtId="0" fontId="2" fillId="12" borderId="0" xfId="0" applyNumberFormat="1" applyFont="1" applyFill="1" applyBorder="1" applyAlignment="1">
      <x:alignment horizontal="center"/>
    </x:xf>
    <x:xf numFmtId="0" fontId="2" fillId="13" borderId="0" xfId="0" applyNumberFormat="1" applyFont="1" applyFill="1" applyBorder="1" applyAlignment="1">
      <x:alignment vertical="top" wrapText="1"/>
    </x:xf>
    <x:xf numFmtId="0" fontId="2" fillId="13" borderId="0" xfId="0" applyNumberFormat="1" applyFont="1" applyFill="1" applyBorder="1" applyAlignment="1">
      <x:alignment horizontal="center"/>
    </x:xf>
    <x:xf numFmtId="0" fontId="2" fillId="14" borderId="0" xfId="0" applyNumberFormat="1" applyFont="1" applyFill="1" applyBorder="1" applyAlignment="1">
      <x:alignment vertical="top" wrapText="1"/>
    </x:xf>
    <x:xf numFmtId="0" fontId="2" fillId="14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/>
    <x:xf numFmtId="9" fontId="2" fillId="2" borderId="0" xfId="0" applyNumberFormat="1" applyFont="1" applyFill="1" applyBorder="1"/>
    <x:xf numFmtId="166" fontId="5" fillId="5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center"/>
    </x:xf>
    <x:xf numFmtId="0" fontId="2" fillId="9" borderId="0" xfId="0" applyNumberFormat="1" applyFont="1" applyFill="1" applyBorder="1" applyAlignment="1">
      <x:alignment horizontal="center" vertical="center"/>
    </x:xf>
    <x:xf numFmtId="0" fontId="2" fillId="10" borderId="0" xfId="0" applyNumberFormat="1" applyFont="1" applyFill="1" applyBorder="1" applyAlignment="1">
      <x:alignment horizontal="center" vertical="center"/>
    </x:xf>
    <x:xf numFmtId="0" fontId="2" fillId="11" borderId="0" xfId="0" applyNumberFormat="1" applyFont="1" applyFill="1" applyBorder="1" applyAlignment="1">
      <x:alignment horizontal="center" vertical="center"/>
    </x:xf>
    <x:xf numFmtId="0" fontId="2" fillId="12" borderId="0" xfId="0" applyNumberFormat="1" applyFont="1" applyFill="1" applyBorder="1" applyAlignment="1">
      <x:alignment horizontal="center" vertical="center"/>
    </x:xf>
    <x:xf numFmtId="0" fontId="2" fillId="13" borderId="0" xfId="0" applyNumberFormat="1" applyFont="1" applyFill="1" applyBorder="1" applyAlignment="1">
      <x:alignment horizontal="center" vertical="center"/>
    </x:xf>
    <x:xf numFmtId="0" fontId="2" fillId="14" borderId="0" xfId="0" applyNumberFormat="1" applyFont="1" applyFill="1" applyBorder="1" applyAlignment="1">
      <x:alignment horizontal="center" vertical="center"/>
    </x:xf>
    <x:xf numFmtId="164" fontId="3" fillId="0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wrapText="1"/>
    </x:xf>
    <x:xf numFmtId="164" fontId="3" fillId="16" borderId="0" xfId="0" applyNumberFormat="1" applyFont="1" applyFill="1" applyBorder="1" applyAlignment="1">
      <x:alignment wrapText="1"/>
    </x:xf>
    <x:xf numFmtId="165" fontId="3" fillId="0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2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/>
    </x:xf>
    <x:xf numFmtId="0" fontId="9" fillId="17" borderId="0" xfId="0" applyNumberFormat="1" applyFont="1" applyFill="1" applyBorder="1"/>
    <x:xf numFmtId="0" fontId="9" fillId="17" borderId="0" xfId="0" applyNumberFormat="1" applyFont="1" applyFill="1" applyBorder="1" applyAlignment="1">
      <x:alignment horizontal="center" vertical="center" wrapText="1"/>
    </x:xf>
    <x:xf numFmtId="164" fontId="0" fillId="0" borderId="0" xfId="0" applyNumberFormat="1" applyFont="1" applyFill="1" applyBorder="1" applyAlignment="1">
      <x:alignment wrapText="1"/>
    </x:xf>
    <x:xf numFmtId="2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vertical="top" wrapText="1"/>
    </x:xf>
    <x:xf numFmtId="0" fontId="2" fillId="17" borderId="0" xfId="0" applyNumberFormat="1" applyFont="1" applyFill="1" applyBorder="1" applyAlignment="1">
      <x:alignment vertical="center"/>
    </x:xf>
    <x:xf numFmtId="164" fontId="2" fillId="17" borderId="0" xfId="0" applyNumberFormat="1" applyFont="1" applyFill="1" applyBorder="1" applyAlignment="1">
      <x:alignment vertical="center"/>
    </x:xf>
    <x:xf numFmtId="0" fontId="2" fillId="17" borderId="0" xfId="0" applyNumberFormat="1" applyFont="1" applyFill="1" applyBorder="1" applyAlignment="1">
      <x:alignment horizontal="center" vertical="center" wrapText="1"/>
    </x:xf>
    <x:xf numFmtId="0" fontId="2" fillId="17" borderId="0" xfId="0" applyNumberFormat="1" applyFont="1" applyFill="1" applyBorder="1" applyAlignment="1">
      <x:alignment vertical="top" wrapText="1"/>
    </x:xf>
    <x:xf numFmtId="0" fontId="2" fillId="17" borderId="0" xfId="0" applyNumberFormat="1" applyFont="1" applyFill="1" applyBorder="1" applyAlignment="1">
      <x:alignment horizontal="center" vertical="top" wrapText="1"/>
    </x:xf>
    <x:xf numFmtId="164" fontId="2" fillId="17" borderId="0" xfId="0" applyNumberFormat="1" applyFont="1" applyFill="1" applyBorder="1" applyAlignment="1">
      <x:alignment horizontal="center" vertical="top" wrapText="1"/>
    </x:xf>
    <x:xf numFmtId="9" fontId="2" fillId="17" borderId="0" xfId="0" applyNumberFormat="1" applyFont="1" applyFill="1" applyBorder="1" applyAlignment="1">
      <x:alignment horizontal="center" vertical="top" wrapText="1"/>
    </x:xf>
    <x:xf numFmtId="167" fontId="3" fillId="0" borderId="0" xfId="0" applyNumberFormat="1" applyFont="1" applyFill="1" applyBorder="1" applyAlignment="1">
      <x:alignment horizontal="center" vertical="top" wrapText="1"/>
    </x:xf>
    <x:xf numFmtId="167" fontId="2" fillId="17" borderId="0" xfId="0" applyNumberFormat="1" applyFont="1" applyFill="1" applyBorder="1" applyAlignment="1">
      <x:alignment horizontal="center" vertical="top" wrapText="1"/>
    </x:xf>
    <x:xf numFmtId="2" fontId="2" fillId="17" borderId="0" xfId="0" applyNumberFormat="1" applyFont="1" applyFill="1" applyBorder="1" applyAlignment="1">
      <x:alignment horizontal="center" vertical="top" wrapText="1"/>
    </x:xf>
    <x:xf numFmtId="0" fontId="2" fillId="8" borderId="0" xfId="0" applyNumberFormat="1" applyFont="1" applyFill="1" applyBorder="1" applyAlignment="1">
      <x:alignment vertical="top" wrapText="1"/>
    </x:xf>
    <x:xf numFmtId="0" fontId="2" fillId="9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 applyAlignment="1">
      <x:alignment horizontal="center" vertical="top" wrapText="1"/>
    </x:xf>
    <x:xf numFmtId="0" fontId="2" fillId="21" borderId="0" xfId="0" applyNumberFormat="1" applyFont="1" applyFill="1" applyBorder="1" applyAlignment="1">
      <x:alignment vertical="top" wrapText="1"/>
    </x:xf>
    <x:xf numFmtId="0" fontId="2" fillId="22" borderId="0" xfId="0" applyNumberFormat="1" applyFont="1" applyFill="1" applyBorder="1" applyAlignment="1">
      <x:alignment vertical="top" wrapText="1"/>
    </x:xf>
    <x:xf numFmtId="167" fontId="3" fillId="22" borderId="0" xfId="0" applyNumberFormat="1" applyFont="1" applyFill="1" applyBorder="1" applyAlignment="1">
      <x:alignment horizontal="center" vertical="top" wrapText="1"/>
    </x:xf>
    <x:xf numFmtId="0" fontId="2" fillId="23" borderId="0" xfId="0" applyNumberFormat="1" applyFont="1" applyFill="1" applyBorder="1" applyAlignment="1">
      <x:alignment vertical="top" wrapText="1"/>
    </x:xf>
    <x:xf numFmtId="0" fontId="2" fillId="25" borderId="0" xfId="0" applyNumberFormat="1" applyFont="1" applyFill="1" applyBorder="1" applyAlignment="1">
      <x:alignment vertical="top" wrapText="1"/>
    </x:xf>
    <x:xf numFmtId="0" fontId="2" fillId="26" borderId="0" xfId="0" applyNumberFormat="1" applyFont="1" applyFill="1" applyBorder="1" applyAlignment="1">
      <x:alignment vertical="top" wrapText="1"/>
    </x:xf>
    <x:xf numFmtId="0" fontId="2" fillId="27" borderId="0" xfId="0" applyNumberFormat="1" applyFont="1" applyFill="1" applyBorder="1" applyAlignment="1">
      <x:alignment vertical="top" wrapText="1"/>
    </x:xf>
    <x:xf numFmtId="164" fontId="2" fillId="17" borderId="0" xfId="0" applyNumberFormat="1" applyFont="1" applyFill="1" applyBorder="1" applyAlignment="1">
      <x:alignment vertical="top" wrapText="1"/>
    </x:xf>
    <x:xf numFmtId="165" fontId="2" fillId="17" borderId="0" xfId="0" applyNumberFormat="1" applyFont="1" applyFill="1" applyBorder="1" applyAlignment="1">
      <x:alignment horizontal="center" vertical="center" wrapText="1"/>
    </x:xf>
    <x:xf numFmtId="164" fontId="2" fillId="17" borderId="0" xfId="0" applyNumberFormat="1" applyFont="1" applyFill="1" applyBorder="1" applyAlignment="1">
      <x:alignment horizontal="center" vertical="center" wrapText="1"/>
    </x:xf>
    <x:xf numFmtId="0" fontId="2" fillId="17" borderId="0" xfId="0" applyNumberFormat="1" applyFont="1" applyFill="1" applyBorder="1"/>
    <x:xf numFmtId="2" fontId="3" fillId="0" borderId="0" xfId="0" applyNumberFormat="1" applyFont="1" applyFill="1" applyBorder="1" applyAlignment="1">
      <x:alignment vertical="top" wrapText="1"/>
    </x:xf>
    <x:xf numFmtId="2" fontId="2" fillId="17" borderId="0" xfId="0" applyNumberFormat="1" applyFont="1" applyFill="1" applyBorder="1" applyAlignment="1">
      <x:alignment vertical="top" wrapText="1"/>
    </x:xf>
    <x:xf numFmtId="9" fontId="3" fillId="0" borderId="0" xfId="0" applyNumberFormat="1" applyFont="1" applyFill="1" applyBorder="1" applyAlignment="1">
      <x:alignment vertical="top" wrapText="1"/>
    </x:xf>
    <x:xf numFmtId="9" fontId="2" fillId="17" borderId="0" xfId="0" applyNumberFormat="1" applyFont="1" applyFill="1" applyBorder="1" applyAlignment="1">
      <x:alignment vertical="top" wrapText="1"/>
    </x:xf>
    <x:xf numFmtId="0" fontId="2" fillId="8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2" fillId="10" borderId="0" xfId="0" applyNumberFormat="1" applyFont="1" applyFill="1" applyBorder="1" applyAlignment="1">
      <x:alignment horizontal="center" wrapText="1"/>
    </x:xf>
    <x:xf numFmtId="0" fontId="2" fillId="11" borderId="0" xfId="0" applyNumberFormat="1" applyFont="1" applyFill="1" applyBorder="1" applyAlignment="1">
      <x:alignment horizontal="center" wrapText="1"/>
    </x:xf>
    <x:xf numFmtId="0" fontId="2" fillId="12" borderId="0" xfId="0" applyNumberFormat="1" applyFont="1" applyFill="1" applyBorder="1" applyAlignment="1">
      <x:alignment horizontal="center" wrapText="1"/>
    </x:xf>
    <x:xf numFmtId="0" fontId="2" fillId="17" borderId="0" xfId="0" applyNumberFormat="1" applyFont="1" applyFill="1" applyBorder="1" applyAlignment="1">
      <x:alignment wrapText="1"/>
    </x:xf>
    <x:xf numFmtId="164" fontId="2" fillId="17" borderId="0" xfId="0" applyNumberFormat="1" applyFont="1" applyFill="1" applyBorder="1" applyAlignment="1">
      <x:alignment wrapText="1"/>
    </x:xf>
    <x:xf numFmtId="2" fontId="2" fillId="17" borderId="0" xfId="0" applyNumberFormat="1" applyFont="1" applyFill="1" applyBorder="1" applyAlignment="1">
      <x:alignment wrapText="1"/>
    </x:xf>
    <x:xf numFmtId="2" fontId="2" fillId="17" borderId="0" xfId="0" applyNumberFormat="1" applyFont="1" applyFill="1" applyBorder="1" applyAlignment="1">
      <x:alignment horizontal="center" vertical="center" wrapText="1"/>
    </x:xf>
    <x:xf numFmtId="2" fontId="3" fillId="16" borderId="0" xfId="0" applyNumberFormat="1" applyFont="1" applyFill="1" applyBorder="1" applyAlignment="1">
      <x:alignment wrapText="1"/>
    </x:xf>
    <x:xf numFmtId="9" fontId="3" fillId="0" borderId="0" xfId="0" applyNumberFormat="1" applyFont="1" applyFill="1" applyBorder="1" applyAlignment="1">
      <x:alignment wrapText="1"/>
    </x:xf>
    <x:xf numFmtId="9" fontId="2" fillId="17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wrapText="1"/>
    </x:xf>
    <x:xf numFmtId="0" fontId="5" fillId="20" borderId="0" xfId="0" applyNumberFormat="1" applyFont="1" applyFill="1" applyBorder="1" applyAlignment="1">
      <x:alignment horizontal="center" vertical="center" wrapText="1"/>
    </x:xf>
    <x:xf numFmtId="0" fontId="2" fillId="20" borderId="0" xfId="0" applyNumberFormat="1" applyFont="1" applyFill="1" applyBorder="1" applyAlignment="1">
      <x:alignment horizontal="center" vertical="center" wrapText="1"/>
    </x:xf>
    <x:xf numFmtId="0" fontId="4" fillId="20" borderId="0" xfId="0" applyNumberFormat="1" applyFont="1" applyFill="1" applyBorder="1"/>
    <x:xf numFmtId="0" fontId="12" fillId="23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vertical="top" wrapText="1"/>
    </x:xf>
    <x:xf numFmtId="0" fontId="14" fillId="20" borderId="0" xfId="0" applyNumberFormat="1" applyFont="1" applyFill="1" applyBorder="1"/>
    <x:xf numFmtId="0" fontId="2" fillId="17" borderId="0" xfId="0" applyNumberFormat="1" applyFont="1" applyFill="1" applyBorder="1" applyAlignment="1">
      <x:alignment vertical="center" wrapText="1"/>
    </x:xf>
    <x:xf numFmtId="164" fontId="3" fillId="28" borderId="0" xfId="0" applyNumberFormat="1" applyFont="1" applyFill="1" applyBorder="1" applyAlignment="1">
      <x:alignment wrapText="1"/>
    </x:xf>
    <x:xf numFmtId="1" fontId="3" fillId="28" borderId="0" xfId="0" applyNumberFormat="1" applyFont="1" applyFill="1" applyBorder="1" applyAlignment="1">
      <x:alignment wrapText="1"/>
    </x:xf>
    <x:xf numFmtId="2" fontId="3" fillId="28" borderId="0" xfId="0" applyNumberFormat="1" applyFont="1" applyFill="1" applyBorder="1" applyAlignment="1">
      <x:alignment wrapText="1"/>
    </x:xf>
    <x:xf numFmtId="9" fontId="3" fillId="28" borderId="0" xfId="0" applyNumberFormat="1" applyFont="1" applyFill="1" applyBorder="1" applyAlignment="1">
      <x:alignment wrapText="1"/>
    </x:xf>
    <x:xf numFmtId="0" fontId="3" fillId="28" borderId="0" xfId="0" applyNumberFormat="1" applyFont="1" applyFill="1" applyBorder="1" applyAlignment="1">
      <x:alignment wrapText="1"/>
    </x:xf>
    <x:xf numFmtId="0" fontId="4" fillId="20" borderId="0" xfId="0" applyNumberFormat="1" applyFont="1" applyFill="1" applyBorder="1" applyAlignment="1">
      <x:alignment horizontal="center"/>
    </x:xf>
    <x:xf numFmtId="0" fontId="4" fillId="20" borderId="0" xfId="0" applyNumberFormat="1" applyFont="1" applyFill="1" applyBorder="1" applyAlignment="1">
      <x:alignment vertical="top" wrapText="1"/>
    </x:xf>
    <x:xf numFmtId="164" fontId="0" fillId="28" borderId="0" xfId="0" applyNumberFormat="1" applyFont="1" applyFill="1" applyBorder="1"/>
    <x:xf numFmtId="0" fontId="0" fillId="28" borderId="0" xfId="0" applyNumberFormat="1" applyFont="1" applyFill="1" applyBorder="1"/>
    <x:xf numFmtId="2" fontId="0" fillId="28" borderId="0" xfId="0" applyNumberFormat="1" applyFont="1" applyFill="1" applyBorder="1"/>
    <x:xf numFmtId="9" fontId="0" fillId="28" borderId="0" xfId="0" applyNumberFormat="1" applyFont="1" applyFill="1" applyBorder="1"/>
    <x:xf numFmtId="9" fontId="0" fillId="0" borderId="0" xfId="0" applyNumberFormat="1" applyFont="1" applyFill="1" applyBorder="1" applyAlignment="1">
      <x:alignment wrapText="1"/>
    </x:xf>
    <x:xf numFmtId="166" fontId="5" fillId="29" borderId="0" xfId="0" applyNumberFormat="1" applyFont="1" applyFill="1" applyBorder="1" applyAlignment="1">
      <x:alignment horizontal="center" vertical="center" wrapText="1"/>
    </x:xf>
    <x:xf numFmtId="0" fontId="2" fillId="29" borderId="0" xfId="0" applyNumberFormat="1" applyFont="1" applyFill="1" applyBorder="1" applyAlignment="1">
      <x:alignment horizontal="center" vertical="center" wrapText="1"/>
    </x:xf>
    <x:xf numFmtId="0" fontId="3" fillId="29" borderId="0" xfId="0" applyNumberFormat="1" applyFont="1" applyFill="1" applyBorder="1" applyAlignment="1">
      <x:alignment horizontal="center" vertical="top" wrapText="1"/>
    </x:xf>
    <x:xf numFmtId="0" fontId="2" fillId="29" borderId="0" xfId="0" applyNumberFormat="1" applyFont="1" applyFill="1" applyBorder="1" applyAlignment="1">
      <x:alignment horizontal="center" vertical="top" wrapText="1"/>
    </x:xf>
    <x:xf numFmtId="0" fontId="9" fillId="17" borderId="0" xfId="0" applyNumberFormat="1" applyFont="1" applyFill="1" applyBorder="1" applyAlignment="1">
      <x:alignment horizontal="center" vertical="top" wrapText="1"/>
    </x:xf>
    <x:xf numFmtId="0" fontId="15" fillId="29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 vertical="top" wrapText="1"/>
    </x:xf>
    <x:xf numFmtId="0" fontId="9" fillId="30" borderId="14" xfId="0" applyNumberFormat="1" applyFont="1" applyFill="1" applyBorder="1" applyAlignment="1">
      <x:alignment horizontal="center" vertical="center" wrapText="1"/>
    </x:xf>
    <x:xf numFmtId="0" fontId="9" fillId="30" borderId="16" xfId="0" applyNumberFormat="1" applyFont="1" applyFill="1" applyBorder="1" applyAlignment="1">
      <x:alignment horizontal="center" vertical="center" wrapText="1"/>
    </x:xf>
    <x:xf numFmtId="0" fontId="9" fillId="30" borderId="15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21" fillId="33" borderId="25" xfId="0" applyNumberFormat="1" applyFont="1" applyFill="1" applyBorder="1" applyAlignment="1">
      <x:alignment vertical="top" wrapText="1"/>
    </x:xf>
    <x:xf numFmtId="0" fontId="22" fillId="0" borderId="25" xfId="0" applyNumberFormat="1" applyFont="1" applyFill="1" applyBorder="1" applyAlignment="1">
      <x:alignment vertical="top" wrapText="1"/>
    </x:xf>
    <x:xf numFmtId="0" fontId="21" fillId="33" borderId="26" xfId="0" applyNumberFormat="1" applyFont="1" applyFill="1" applyBorder="1" applyAlignment="1">
      <x:alignment vertical="top" wrapText="1"/>
    </x:xf>
    <x:xf numFmtId="0" fontId="21" fillId="33" borderId="27" xfId="0" applyNumberFormat="1" applyFont="1" applyFill="1" applyBorder="1" applyAlignment="1">
      <x:alignment vertical="top" wrapText="1"/>
    </x:xf>
    <x:xf numFmtId="0" fontId="22" fillId="0" borderId="26" xfId="0" applyNumberFormat="1" applyFont="1" applyFill="1" applyBorder="1" applyAlignment="1">
      <x:alignment vertical="top" wrapText="1"/>
    </x:xf>
    <x:xf numFmtId="0" fontId="22" fillId="0" borderId="27" xfId="0" applyNumberFormat="1" applyFont="1" applyFill="1" applyBorder="1" applyAlignment="1">
      <x:alignment vertical="top" wrapText="1"/>
    </x:xf>
    <x:xf numFmtId="164" fontId="0" fillId="0" borderId="18" xfId="0" applyNumberFormat="1" applyFont="1" applyFill="1" applyBorder="1" applyAlignment="1">
      <x:alignment vertical="top" wrapText="1"/>
    </x:xf>
    <x:xf numFmtId="164" fontId="0" fillId="0" borderId="2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164" fontId="0" fillId="0" borderId="16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1" fillId="17" borderId="0" xfId="0" applyNumberFormat="1" applyFont="1" applyFill="1" applyBorder="1" applyAlignment="1">
      <x:alignment horizontal="left" vertical="center"/>
    </x:xf>
    <x:xf numFmtId="0" fontId="12" fillId="23" borderId="0" xfId="0" applyNumberFormat="1" applyFont="1" applyFill="1" applyBorder="1" applyAlignment="1">
      <x:alignment vertical="center"/>
    </x:xf>
    <x:xf numFmtId="164" fontId="3" fillId="4" borderId="0" xfId="0" applyNumberFormat="1" applyFont="1" applyFill="1" applyBorder="1" applyAlignment="1">
      <x:alignment wrapText="1"/>
    </x:xf>
    <x:xf numFmtId="0" fontId="4" fillId="18" borderId="0" xfId="0" applyNumberFormat="1" applyFont="1" applyFill="1" applyBorder="1" applyAlignment="1">
      <x:alignment vertical="center" wrapText="1"/>
    </x:xf>
    <x:xf numFmtId="0" fontId="20" fillId="31" borderId="0" xfId="0" applyNumberFormat="1" applyFont="1" applyFill="1" applyBorder="1" applyAlignment="1">
      <x:alignment horizontal="left" vertical="center" wrapText="1"/>
    </x:xf>
    <x:xf numFmtId="0" fontId="10" fillId="18" borderId="0" xfId="0" applyNumberFormat="1" applyFont="1" applyFill="1" applyBorder="1" applyAlignment="1">
      <x:alignment wrapText="1"/>
    </x:xf>
    <x:xf numFmtId="0" fontId="11" fillId="18" borderId="0" xfId="0" applyNumberFormat="1" applyFont="1" applyFill="1" applyBorder="1" applyAlignment="1">
      <x:alignment wrapText="1"/>
    </x:xf>
    <x:xf numFmtId="0" fontId="16" fillId="29" borderId="0" xfId="0" applyNumberFormat="1" applyFont="1" applyFill="1" applyBorder="1" applyAlignment="1">
      <x:alignment wrapText="1"/>
    </x:xf>
    <x:xf numFmtId="0" fontId="11" fillId="19" borderId="0" xfId="0" applyNumberFormat="1" applyFont="1" applyFill="1" applyBorder="1" applyAlignment="1">
      <x:alignment wrapText="1"/>
    </x:xf>
    <x:xf numFmtId="0" fontId="4" fillId="18" borderId="0" xfId="0" applyNumberFormat="1" applyFont="1" applyFill="1" applyBorder="1" applyAlignment="1">
      <x:alignment vertical="top" wrapText="1"/>
    </x:xf>
    <x:xf numFmtId="0" fontId="7" fillId="17" borderId="0" xfId="0" applyNumberFormat="1" applyFont="1" applyFill="1" applyBorder="1" applyAlignment="1">
      <x:alignment horizontal="left" vertical="center" wrapText="1"/>
    </x:xf>
    <x:xf numFmtId="0" fontId="8" fillId="18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horizontal="left" vertical="center"/>
    </x:xf>
    <x:xf numFmtId="0" fontId="8" fillId="19" borderId="0" xfId="0" applyNumberFormat="1" applyFont="1" applyFill="1" applyBorder="1" applyAlignment="1">
      <x:alignment wrapText="1"/>
    </x:xf>
    <x:xf numFmtId="0" fontId="13" fillId="23" borderId="0" xfId="0" applyNumberFormat="1" applyFont="1" applyFill="1" applyBorder="1" applyAlignment="1">
      <x:alignment vertical="center"/>
    </x:xf>
    <x:xf numFmtId="0" fontId="9" fillId="32" borderId="0" xfId="0" applyNumberFormat="1" applyFont="1" applyFill="1" applyBorder="1" applyAlignment="1">
      <x:alignment horizontal="left" vertical="center"/>
    </x:xf>
    <x:xf numFmtId="0" fontId="18" fillId="33" borderId="14" xfId="0" applyNumberFormat="1" applyFont="1" applyFill="1" applyBorder="1" applyAlignment="1">
      <x:alignment vertical="top" wrapText="1"/>
    </x:xf>
    <x:xf numFmtId="0" fontId="18" fillId="33" borderId="15" xfId="0" applyNumberFormat="1" applyFont="1" applyFill="1" applyBorder="1" applyAlignment="1">
      <x:alignment vertical="top" wrapText="1"/>
    </x:xf>
    <x:xf numFmtId="0" fontId="19" fillId="0" borderId="14" xfId="0" applyNumberFormat="1" applyFont="1" applyFill="1" applyBorder="1" applyAlignment="1">
      <x:alignment vertical="top" wrapText="1"/>
    </x:xf>
    <x:xf numFmtId="0" fontId="19" fillId="0" borderId="16" xfId="0" applyNumberFormat="1" applyFont="1" applyFill="1" applyBorder="1" applyAlignment="1">
      <x:alignment vertical="top" wrapText="1"/>
    </x:xf>
    <x:xf numFmtId="0" fontId="19" fillId="0" borderId="15" xfId="0" applyNumberFormat="1" applyFont="1" applyFill="1" applyBorder="1" applyAlignment="1">
      <x:alignment vertical="top" wrapText="1"/>
    </x:xf>
    <x:xf numFmtId="0" fontId="17" fillId="31" borderId="0" xfId="0" applyNumberFormat="1" applyFont="1" applyFill="1" applyBorder="1" applyAlignment="1">
      <x:alignment horizontal="left"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14" fillId="2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horizontal="left" vertical="center" wrapText="1"/>
    </x:xf>
    <x:xf numFmtId="0" fontId="23" fillId="22" borderId="0" xfId="0" applyNumberFormat="1" applyFont="1" applyFill="1" applyBorder="1" applyAlignment="1">
      <x:alignment vertical="top" wrapText="1"/>
    </x:xf>
    <x:xf numFmtId="0" fontId="24" fillId="22" borderId="0" xfId="0" applyNumberFormat="1" applyFont="1" applyFill="1" applyBorder="1" applyAlignment="1">
      <x:alignment vertical="top" wrapText="1"/>
    </x:xf>
    <x:xf numFmtId="167" fontId="23" fillId="22" borderId="0" xfId="0" applyNumberFormat="1" applyFont="1" applyFill="1" applyBorder="1" applyAlignment="1">
      <x:alignment horizontal="center" vertical="top" wrapText="1"/>
    </x:xf>
    <x:xf numFmtId="0" fontId="23" fillId="22" borderId="0" xfId="0" applyNumberFormat="1" applyFont="1" applyFill="1" applyBorder="1" applyAlignment="1">
      <x:alignment horizontal="center" vertical="top" wrapText="1"/>
    </x:xf>
    <x:xf numFmtId="164" fontId="23" fillId="22" borderId="0" xfId="0" applyNumberFormat="1" applyFont="1" applyFill="1" applyBorder="1" applyAlignment="1">
      <x:alignment horizontal="center" vertical="top" wrapText="1"/>
    </x:xf>
    <x:xf numFmtId="9" fontId="23" fillId="22" borderId="0" xfId="0" applyNumberFormat="1" applyFont="1" applyFill="1" applyBorder="1" applyAlignment="1">
      <x:alignment horizontal="center" vertical="top" wrapText="1"/>
    </x:xf>
    <x:xf numFmtId="2" fontId="23" fillId="22" borderId="0" xfId="0" applyNumberFormat="1" applyFont="1" applyFill="1" applyBorder="1" applyAlignment="1">
      <x:alignment horizontal="center" vertical="top" wrapText="1"/>
    </x:xf>
    <x:xf numFmtId="0" fontId="24" fillId="22" borderId="0" xfId="0" applyNumberFormat="1" applyFont="1" applyFill="1" applyBorder="1" applyAlignment="1">
      <x:alignment horizontal="center" vertical="top" wrapText="1"/>
    </x:xf>
    <x:xf numFmtId="0" fontId="23" fillId="0" borderId="0" xfId="0" applyNumberFormat="1" applyFont="1" applyFill="1" applyBorder="1" applyAlignment="1">
      <x:alignment vertical="top" wrapText="1"/>
    </x:xf>
    <x:xf numFmtId="0" fontId="24" fillId="21" borderId="0" xfId="0" applyNumberFormat="1" applyFont="1" applyFill="1" applyBorder="1" applyAlignment="1">
      <x:alignment vertical="top" wrapText="1"/>
    </x:xf>
    <x:xf numFmtId="167" fontId="23" fillId="0" borderId="0" xfId="0" applyNumberFormat="1" applyFont="1" applyFill="1" applyBorder="1" applyAlignment="1">
      <x:alignment horizontal="center" vertical="top" wrapText="1"/>
    </x:xf>
    <x:xf numFmtId="0" fontId="23" fillId="0" borderId="0" xfId="0" applyNumberFormat="1" applyFont="1" applyFill="1" applyBorder="1" applyAlignment="1">
      <x:alignment horizontal="center" vertical="top" wrapText="1"/>
    </x:xf>
    <x:xf numFmtId="164" fontId="23" fillId="0" borderId="0" xfId="0" applyNumberFormat="1" applyFont="1" applyFill="1" applyBorder="1" applyAlignment="1">
      <x:alignment horizontal="center" vertical="top" wrapText="1"/>
    </x:xf>
    <x:xf numFmtId="9" fontId="23" fillId="0" borderId="0" xfId="0" applyNumberFormat="1" applyFont="1" applyFill="1" applyBorder="1" applyAlignment="1">
      <x:alignment horizontal="center" vertical="top" wrapText="1"/>
    </x:xf>
    <x:xf numFmtId="2" fontId="23" fillId="0" borderId="0" xfId="0" applyNumberFormat="1" applyFont="1" applyFill="1" applyBorder="1" applyAlignment="1">
      <x:alignment horizontal="center" vertical="top" wrapText="1"/>
    </x:xf>
    <x:xf numFmtId="0" fontId="24" fillId="7" borderId="0" xfId="0" applyNumberFormat="1" applyFont="1" applyFill="1" applyBorder="1" applyAlignment="1">
      <x:alignment horizontal="center" vertical="top" wrapText="1"/>
    </x:xf>
    <x:xf numFmtId="0" fontId="24" fillId="23" borderId="0" xfId="0" applyNumberFormat="1" applyFont="1" applyFill="1" applyBorder="1" applyAlignment="1">
      <x:alignment vertical="top" wrapText="1"/>
    </x:xf>
    <x:xf numFmtId="0" fontId="24" fillId="9" borderId="0" xfId="0" applyNumberFormat="1" applyFont="1" applyFill="1" applyBorder="1" applyAlignment="1">
      <x:alignment vertical="top" wrapText="1"/>
    </x:xf>
    <x:xf numFmtId="0" fontId="24" fillId="25" borderId="0" xfId="0" applyNumberFormat="1" applyFont="1" applyFill="1" applyBorder="1" applyAlignment="1">
      <x:alignment vertical="top" wrapText="1"/>
    </x:xf>
    <x:xf numFmtId="0" fontId="24" fillId="26" borderId="0" xfId="0" applyNumberFormat="1" applyFont="1" applyFill="1" applyBorder="1" applyAlignment="1">
      <x:alignment vertical="top" wrapText="1"/>
    </x:xf>
    <x:xf numFmtId="0" fontId="24" fillId="27" borderId="0" xfId="0" applyNumberFormat="1" applyFont="1" applyFill="1" applyBorder="1" applyAlignment="1">
      <x:alignment vertical="top" wrapText="1"/>
    </x:xf>
    <x:xf numFmtId="0" fontId="24" fillId="35" borderId="0" xfId="0" applyNumberFormat="1" applyFont="1" applyFill="1" applyBorder="1" applyAlignment="1">
      <x:alignment vertical="top" wrapText="1"/>
    </x:xf>
    <x:xf numFmtId="0" fontId="24" fillId="36" borderId="0" xfId="0" applyNumberFormat="1" applyFont="1" applyFill="1" applyBorder="1" applyAlignment="1">
      <x:alignment vertical="top" wrapText="1"/>
    </x:xf>
    <x:xf numFmtId="0" fontId="24" fillId="37" borderId="0" xfId="0" applyNumberFormat="1" applyFont="1" applyFill="1" applyBorder="1" applyAlignment="1">
      <x:alignment vertical="top" wrapText="1"/>
    </x:xf>
    <x:xf numFmtId="0" fontId="24" fillId="38" borderId="0" xfId="0" applyNumberFormat="1" applyFont="1" applyFill="1" applyBorder="1" applyAlignment="1">
      <x:alignment vertical="top" wrapText="1"/>
    </x:xf>
    <x:xf numFmtId="0" fontId="24" fillId="39" borderId="0" xfId="0" applyNumberFormat="1" applyFont="1" applyFill="1" applyBorder="1" applyAlignment="1">
      <x:alignment vertical="top" wrapText="1"/>
    </x:xf>
    <x:xf numFmtId="0" fontId="24" fillId="40" borderId="0" xfId="0" applyNumberFormat="1" applyFont="1" applyFill="1" applyBorder="1" applyAlignment="1">
      <x:alignment vertical="top" wrapText="1"/>
    </x:xf>
    <x:xf numFmtId="0" fontId="24" fillId="41" borderId="0" xfId="0" applyNumberFormat="1" applyFont="1" applyFill="1" applyBorder="1" applyAlignment="1">
      <x:alignment horizontal="center" vertical="top" wrapText="1"/>
    </x:xf>
    <x:xf numFmtId="0" fontId="23" fillId="41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15"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2F75B5"/>
      </x:font>
      <x:fill>
        <x:patternFill>
          <x:bgColor rgb="FF2F75B5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E2F0D9"/>
        </x:patternFill>
      </x:fill>
    </x:dxf>
    <x:dxf>
      <x:font>
        <x:color rgb="FF2F75B5"/>
      </x:font>
      <x:fill>
        <x:patternFill>
          <x:bgColor rgb="FF2F75B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34fd9e593f4098" /><Relationship Type="http://schemas.openxmlformats.org/officeDocument/2006/relationships/theme" Target="/xl/theme/theme1.xml" Id="Rae1f14fd2668418a" /><Relationship Type="http://schemas.openxmlformats.org/officeDocument/2006/relationships/sharedStrings" Target="/xl/sharedStrings.xml" Id="Rfa5a877d9c8a4de6" /><Relationship Type="http://schemas.openxmlformats.org/officeDocument/2006/relationships/worksheet" Target="/xl/worksheets/sheet1.xml" Id="Rac3e4be870864a9e" /><Relationship Type="http://schemas.openxmlformats.org/officeDocument/2006/relationships/worksheet" Target="/xl/worksheets/sheet2.xml" Id="Rf484edd560714ee8" /><Relationship Type="http://schemas.openxmlformats.org/officeDocument/2006/relationships/worksheet" Target="/xl/worksheets/sheet3.xml" Id="Rc0b79f8e1a87423d" /><Relationship Type="http://schemas.openxmlformats.org/officeDocument/2006/relationships/worksheet" Target="/xl/worksheets/sheet4.xml" Id="Rb47a579896fc4b8d" /><Relationship Type="http://schemas.openxmlformats.org/officeDocument/2006/relationships/worksheet" Target="/xl/worksheets/sheet5.xml" Id="Rf2b6595315ca42b9" /><Relationship Type="http://schemas.openxmlformats.org/officeDocument/2006/relationships/worksheet" Target="/xl/worksheets/sheet6.xml" Id="R9b73ec51c32c4a6a" /><Relationship Type="http://schemas.openxmlformats.org/officeDocument/2006/relationships/worksheet" Target="/xl/worksheets/sheet7.xml" Id="R400653be8011480f" /><Relationship Type="http://schemas.openxmlformats.org/officeDocument/2006/relationships/worksheet" Target="/xl/worksheets/sheet8.xml" Id="R71cc5bfa5ba747bf" /><Relationship Type="http://schemas.openxmlformats.org/officeDocument/2006/relationships/worksheet" Target="/xl/worksheets/sheet9.xml" Id="Rc9bb4e0267264490" /><Relationship Type="http://schemas.openxmlformats.org/officeDocument/2006/relationships/worksheet" Target="/xl/worksheets/sheet10.xml" Id="R5bfbd3a7cb8b476d" /><Relationship Type="http://schemas.openxmlformats.org/officeDocument/2006/relationships/worksheet" Target="/xl/worksheets/sheet11.xml" Id="R630d577b64ab448a" /><Relationship Type="http://schemas.openxmlformats.org/officeDocument/2006/relationships/worksheet" Target="/xl/worksheets/sheet12.xml" Id="R1a2562bcea1940d7" /><Relationship Type="http://schemas.openxmlformats.org/officeDocument/2006/relationships/worksheet" Target="/xl/worksheets/sheet13.xml" Id="Rd032302e68f94af1" /><Relationship Type="http://schemas.openxmlformats.org/officeDocument/2006/relationships/worksheet" Target="/xl/worksheets/sheet14.xml" Id="Re668930dcfc44b74" /><Relationship Type="http://schemas.openxmlformats.org/officeDocument/2006/relationships/worksheet" Target="/xl/worksheets/sheet15.xml" Id="Rc216255b2fc44c69" /><Relationship Type="http://schemas.openxmlformats.org/officeDocument/2006/relationships/worksheet" Target="/xl/worksheets/sheet16.xml" Id="R0c9a39be5a33423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199261da9214ec6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1795b95406bc42c0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14c0863306ad4409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plotArea>
      <c:layout/>
      <c:lineChart>
        <c:grouping val="standard"/>
        <c:varyColors val="1"/>
        <c:ser>
          <c:idx val="0"/>
          <c:order val="0"/>
          <c:tx>
            <c:v>Planned Hours</c:v>
          </c:tx>
          <c:cat>
            <c:strRef>
              <c:f>'Weekly Control'!$A$4:$A$55</c:f>
              <c:strCache>
                <c:ptCount val="9"/>
                <c:pt idx="0">
                  <c:v>Week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'Weekly Control'!$D$4:$D$55</c:f>
              <c:numCache>
                <c:formatCode>0.00</c:formatCode>
                <c:ptCount val="9"/>
                <c:pt idx="0">
                  <c:v>0</c:v>
                </c:pt>
                <c:pt idx="1">
                  <c:v>8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8</c:v>
                </c:pt>
              </c:numCache>
            </c:numRef>
          </c:val>
          <c:smooth val="0"/>
        </c:ser>
        <c:ser>
          <c:idx val="1"/>
          <c:order val="1"/>
          <c:tx>
            <c:v>Actual Hours</c:v>
          </c:tx>
          <c:cat>
            <c:strRef>
              <c:f>'Weekly Control'!$A$4:$A$55</c:f>
              <c:strCache>
                <c:ptCount val="9"/>
                <c:pt idx="0">
                  <c:v>Week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'Weekly Control'!$E$4:$E$55</c:f>
              <c:numCache>
                <c:formatCode>0.00</c:formatCode>
                <c:ptCount val="9"/>
                <c:pt idx="0">
                  <c:v>0</c:v>
                </c:pt>
                <c:pt idx="1">
                  <c:v>7.550000000000001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Planned Hours by Phase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cat>
            <c:strRef>
              <c:f>'Phase Summary'!$B$4:$B$11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'Phase Summary'!$C$4:$C$11</c:f>
              <c:numCache>
                <c:formatCode>0.00</c:formatCode>
                <c:ptCount val="7"/>
                <c:pt idx="0">
                  <c:v>8</c:v>
                </c:pt>
                <c:pt idx="1">
                  <c:v>24</c:v>
                </c:pt>
                <c:pt idx="2">
                  <c:v>14</c:v>
                </c:pt>
                <c:pt idx="3">
                  <c:v>14</c:v>
                </c:pt>
                <c:pt idx="4">
                  <c:v>8</c:v>
                </c:pt>
                <c:pt idx="5">
                  <c:v>8</c:v>
                </c:pt>
                <c:pt idx="6">
                  <c:v>76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Planned vs Actual Hours by Phase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cat>
            <c:strRef>
              <c:f>'MVP Dashboard'!$A$15:$A$20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'MVP Dashboard'!$B$15:$B$20</c:f>
              <c:numCache>
                <c:formatCode>0.00</c:formatCode>
                <c:ptCount val="6"/>
                <c:pt idx="0">
                  <c:v>8</c:v>
                </c:pt>
                <c:pt idx="1">
                  <c:v>24</c:v>
                </c:pt>
                <c:pt idx="2">
                  <c:v>14</c:v>
                </c:pt>
                <c:pt idx="3">
                  <c:v>14</c:v>
                </c:pt>
                <c:pt idx="4">
                  <c:v>8</c:v>
                </c:pt>
                <c:pt idx="5">
                  <c:v>8</c:v>
                </c:pt>
              </c:numCache>
            </c:numRef>
          </c:val>
        </c:ser>
        <c:ser>
          <c:idx val="1"/>
          <c:order val="1"/>
          <c:tx>
            <c:v>Actual Hours</c:v>
          </c:tx>
          <c:cat>
            <c:strRef>
              <c:f>'MVP Dashboard'!$A$15:$A$20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'MVP Dashboard'!$C$15:$C$20</c:f>
              <c:numCache>
                <c:formatCode>0.00</c:formatCode>
                <c:ptCount val="6"/>
                <c:pt idx="0">
                  <c:v>7.550000000000001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13</xdr:col>
      <xdr:colOff>0</xdr:colOff>
      <xdr:row>2</xdr:row>
      <xdr:rowOff>0</xdr:rowOff>
    </xdr:from>
    <xdr:to>
      <xdr:col>22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99261da9214ec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795b95406bc42c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6</xdr:col>
      <xdr:colOff>0</xdr:colOff>
      <xdr:row>11</xdr:row>
      <xdr:rowOff>0</xdr:rowOff>
    </xdr:from>
    <xdr:to>
      <xdr:col>14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c0863306ad440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0717808db567481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fefc42dbf71d426a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3.xml" Id="Ra34cb2037fab474d" /></Relationships>
</file>

<file path=xl/worksheets/sheet1.xml><?xml version="1.0" encoding="utf-8"?>
<x:worksheet xmlns:x="http://schemas.openxmlformats.org/spreadsheetml/2006/main">
  <x:sheetFormatPr defaultRowHeight="14.25"/>
  <x:cols>
    <x:col min="1" max="1" width="22" customWidth="1"/>
    <x:col min="2" max="2" width="34" customWidth="1"/>
    <x:col min="3" max="3" width="4" customWidth="1"/>
    <x:col min="4" max="4" width="22" customWidth="1"/>
    <x:col min="5" max="5" width="58" customWidth="1"/>
    <x:col min="6" max="6" width="4" customWidth="1"/>
    <x:col min="7" max="8" width="18" customWidth="1"/>
  </x:cols>
  <x:sheetData>
    <x:row r="1" ht="30" customHeight="1">
      <x:c r="A1" s="204" t="s">
        <x:v>0</x:v>
      </x:c>
      <x:c r="B1" s="205"/>
      <x:c r="C1" s="205"/>
      <x:c r="D1" s="205"/>
      <x:c r="E1" s="205"/>
      <x:c r="F1" s="205"/>
      <x:c r="G1" s="205"/>
      <x:c r="H1" s="20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26.100000381469727" customHeight="1">
      <x:c r="A2" s="218" t="s">
        <x:v>1</x:v>
      </x:c>
      <x:c r="B2" s="218"/>
      <x:c r="C2" s="218"/>
      <x:c r="D2" s="218"/>
      <x:c r="E2" s="218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21.950000762939453" customHeight="1">
      <x:c r="A3" s="214" t="s">
        <x:v>2</x:v>
      </x:c>
      <x:c r="B3" s="215"/>
      <x:c r="C3" s="1"/>
      <x:c r="D3" s="206" t="s">
        <x:v>3</x:v>
      </x:c>
      <x:c r="E3" s="207"/>
      <x:c r="F3" s="207"/>
      <x:c r="G3" s="207"/>
      <x:c r="H3" s="207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4" customHeight="1">
      <x:c r="A4" s="158" t="s">
        <x:v>4</x:v>
      </x:c>
      <x:c r="B4" s="159" t="s">
        <x:v>5</x:v>
      </x:c>
      <x:c r="C4" s="1"/>
      <x:c r="D4" s="164" t="s">
        <x:v>6</x:v>
      </x:c>
      <x:c r="E4" s="208" t="s">
        <x:v>7</x:v>
      </x:c>
      <x:c r="F4" s="209"/>
      <x:c r="G4" s="209"/>
      <x:c r="H4" s="210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4" customHeight="1">
      <x:c r="A5" s="158" t="s">
        <x:v>8</x:v>
      </x:c>
      <x:c r="B5" s="159">
        <x:v>46202</x:v>
      </x:c>
      <x:c r="C5" s="1"/>
      <x:c r="D5" s="164" t="s">
        <x:v>9</x:v>
      </x:c>
      <x:c r="E5" s="208" t="s">
        <x:v>10</x:v>
      </x:c>
      <x:c r="F5" s="208"/>
      <x:c r="G5" s="208"/>
      <x:c r="H5" s="21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4" customHeight="1">
      <x:c r="A6" s="158" t="s">
        <x:v>11</x:v>
      </x:c>
      <x:c r="B6" s="159">
        <x:v>46257</x:v>
      </x:c>
      <x:c r="C6" s="1"/>
      <x:c r="D6" s="164" t="s">
        <x:v>12</x:v>
      </x:c>
      <x:c r="E6" s="208" t="s">
        <x:v>13</x:v>
      </x:c>
      <x:c r="F6" s="208"/>
      <x:c r="G6" s="208"/>
      <x:c r="H6" s="21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4" customHeight="1">
      <x:c r="A7" s="158" t="s">
        <x:v>14</x:v>
      </x:c>
      <x:c r="B7" s="160" t="s">
        <x:v>15</x:v>
      </x:c>
      <x:c r="C7" s="1"/>
      <x:c r="D7" s="164" t="s">
        <x:v>16</x:v>
      </x:c>
      <x:c r="E7" s="208" t="s">
        <x:v>17</x:v>
      </x:c>
      <x:c r="F7" s="208"/>
      <x:c r="G7" s="208"/>
      <x:c r="H7" s="21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24" customHeight="1">
      <x:c r="A8" s="158" t="s">
        <x:v>18</x:v>
      </x:c>
      <x:c r="B8" s="160">
        <x:v>76</x:v>
      </x:c>
      <x:c r="C8" s="1"/>
      <x:c r="D8" s="164" t="s">
        <x:v>19</x:v>
      </x:c>
      <x:c r="E8" s="208" t="s">
        <x:v>20</x:v>
      </x:c>
      <x:c r="F8" s="208"/>
      <x:c r="G8" s="208"/>
      <x:c r="H8" s="21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4" customHeight="1">
      <x:c r="A9" s="158" t="s">
        <x:v>21</x:v>
      </x:c>
      <x:c r="B9" s="161" t="n">
        <x:f>SUM('Work Block Log'!F5:F200)</x:f>
        <x:v>11.63</x:v>
      </x:c>
      <x:c r="C9" s="1"/>
      <x:c r="D9" s="164" t="s">
        <x:v>22</x:v>
      </x:c>
      <x:c r="E9" s="208" t="s">
        <x:v>23</x:v>
      </x:c>
      <x:c r="F9" s="208"/>
      <x:c r="G9" s="208"/>
      <x:c r="H9" s="21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4" customHeight="1">
      <x:c r="A10" s="158" t="s">
        <x:v>24</x:v>
      </x:c>
      <x:c r="B10" s="162" t="n">
        <x:f>SUMPRODUCT('Detailed Gantt'!F6:F27,'Detailed Gantt'!L6:L27)/SUM('Detailed Gantt'!F6:F27)</x:f>
        <x:v>0.3105263157894737</x:v>
      </x:c>
      <x:c r="C10" s="1"/>
      <x:c r="D10" s="164" t="s">
        <x:v>25</x:v>
      </x:c>
      <x:c r="E10" s="208" t="s">
        <x:v>26</x:v>
      </x:c>
      <x:c r="F10" s="212"/>
      <x:c r="G10" s="212"/>
      <x:c r="H10" s="213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24" customHeight="1">
      <x:c r="A11" s="158" t="s">
        <x:v>27</x:v>
      </x:c>
      <x:c r="B11" s="163" t="str">
        <x:v>main @ 05c025b; 38 tests passing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24" customHeight="1">
      <x:c r="A12" s="119" t="s">
        <x:v>28</x:v>
      </x:c>
      <x:c r="B12" s="163" t="str">
        <x:v>1.3 — Exact, Boolean, set, and contains checks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24" customHeight="1">
      <x:c r="A13" s="119" t="s">
        <x:v>29</x:v>
      </x:c>
      <x:c r="B13" s="163" t="str">
        <x:v>1.4 — Numeric tolerance checks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207"/>
      <x:c r="B14" s="207"/>
      <x:c r="C14" s="207"/>
      <x:c r="D14" s="207"/>
      <x:c r="E14" s="207"/>
      <x:c r="F14" s="207"/>
      <x:c r="G14" s="207"/>
      <x:c r="H14" s="207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21.950000762939453" customHeight="1">
      <x:c r="A15" s="214" t="s">
        <x:v>30</x:v>
      </x:c>
      <x:c r="B15" s="214"/>
      <x:c r="C15" s="154"/>
      <x:c r="D15" s="214" t="s">
        <x:v>31</x:v>
      </x:c>
      <x:c r="E15" s="214"/>
      <x:c r="F15" s="214"/>
      <x:c r="G15" s="214"/>
      <x:c r="H15" s="214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33.95000076293945" customHeight="1">
      <x:c r="A16" s="165" t="s">
        <x:v>6</x:v>
      </x:c>
      <x:c r="B16" s="72" t="s">
        <x:v>32</x:v>
      </x:c>
      <x:c r="C16" s="72"/>
      <x:c r="D16" s="165" t="s">
        <x:v>33</x:v>
      </x:c>
      <x:c r="E16" s="72" t="s">
        <x:v>34</x:v>
      </x:c>
      <x:c r="F16" s="72"/>
      <x:c r="G16" s="72"/>
      <x:c r="H16" s="73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33.95000076293945" customHeight="1">
      <x:c r="A17" s="165" t="s">
        <x:v>9</x:v>
      </x:c>
      <x:c r="B17" s="72" t="s">
        <x:v>35</x:v>
      </x:c>
      <x:c r="C17" s="72"/>
      <x:c r="D17" s="165" t="s">
        <x:v>36</x:v>
      </x:c>
      <x:c r="E17" s="72" t="s">
        <x:v>37</x:v>
      </x:c>
      <x:c r="F17" s="72"/>
      <x:c r="G17" s="72"/>
      <x:c r="H17" s="73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33.95000076293945" customHeight="1">
      <x:c r="A18" s="165" t="s">
        <x:v>12</x:v>
      </x:c>
      <x:c r="B18" s="72" t="s">
        <x:v>38</x:v>
      </x:c>
      <x:c r="C18" s="74"/>
      <x:c r="D18" s="165" t="s">
        <x:v>39</x:v>
      </x:c>
      <x:c r="E18" s="72" t="s">
        <x:v>40</x:v>
      </x:c>
      <x:c r="F18" s="74"/>
      <x:c r="G18" s="74"/>
      <x:c r="H18" s="75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33.95000076293945" customHeight="1">
      <x:c r="A19" s="153" t="s">
        <x:v>16</x:v>
      </x:c>
      <x:c r="B19" s="141" t="s">
        <x:v>41</x:v>
      </x:c>
      <x:c r="C19" s="1"/>
      <x:c r="D19" s="153" t="s">
        <x:v>42</x:v>
      </x:c>
      <x:c r="E19" s="141" t="s">
        <x:v>43</x:v>
      </x:c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33.95000076293945" customHeight="1">
      <x:c r="A20" s="153" t="s">
        <x:v>19</x:v>
      </x:c>
      <x:c r="B20" s="141" t="s">
        <x:v>44</x:v>
      </x:c>
      <x:c r="C20" s="1"/>
      <x:c r="D20" s="153" t="s">
        <x:v>45</x:v>
      </x:c>
      <x:c r="E20" s="141" t="s">
        <x:v>46</x:v>
      </x:c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33.95000076293945" customHeight="1">
      <x:c r="A21" s="153" t="s">
        <x:v>22</x:v>
      </x:c>
      <x:c r="B21" s="141" t="s">
        <x:v>47</x:v>
      </x:c>
      <x:c r="C21" s="1"/>
      <x:c r="D21" s="153" t="s">
        <x:v>48</x:v>
      </x:c>
      <x:c r="E21" s="141" t="s">
        <x:v>49</x:v>
      </x:c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33.95000076293945" customHeight="1">
      <x:c r="A22" s="153" t="s">
        <x:v>25</x:v>
      </x:c>
      <x:c r="B22" s="141" t="s">
        <x:v>50</x:v>
      </x:c>
      <x:c r="C22" s="1"/>
      <x:c r="D22" s="153" t="s">
        <x:v>51</x:v>
      </x:c>
      <x:c r="E22" s="141" t="s">
        <x:v>52</x:v>
      </x:c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33.95000076293945" customHeight="1">
      <x:c r="A23" s="153" t="s">
        <x:v>53</x:v>
      </x:c>
      <x:c r="B23" s="141" t="s">
        <x:v>54</x:v>
      </x:c>
      <x:c r="C23" s="1"/>
      <x:c r="D23" s="153" t="s">
        <x:v>55</x:v>
      </x:c>
      <x:c r="E23" s="141" t="s">
        <x:v>56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33.95000076293945" customHeight="1">
      <x:c r="A24" s="1"/>
      <x:c r="B24" s="1"/>
      <x:c r="C24" s="1"/>
      <x:c r="D24" s="153" t="s">
        <x:v>57</x:v>
      </x:c>
      <x:c r="E24" s="141" t="s">
        <x:v>58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33.95000076293945" customHeight="1">
      <x:c r="A25" s="1"/>
      <x:c r="B25" s="1"/>
      <x:c r="C25" s="1"/>
      <x:c r="D25" s="153" t="s">
        <x:v>59</x:v>
      </x:c>
      <x:c r="E25" s="141" t="s">
        <x:v>60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32.099998474121094" customHeight="1">
      <x:c r="A26" s="1"/>
      <x:c r="B26" s="1"/>
      <x:c r="C26" s="1"/>
      <x:c r="D26" s="190" t="s">
        <x:v>61</x:v>
      </x:c>
      <x:c r="E26" s="191" t="s">
        <x:v>62</x:v>
      </x:c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21.950000762939453" customHeight="1">
      <x:c r="A27" s="206" t="s">
        <x:v>63</x:v>
      </x:c>
      <x:c r="B27" s="216"/>
      <x:c r="C27" s="216"/>
      <x:c r="D27" s="216"/>
      <x:c r="E27" s="216"/>
      <x:c r="F27" s="216"/>
      <x:c r="G27" s="216"/>
      <x:c r="H27" s="216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72" customHeight="1">
      <x:c r="A28" s="591" t="str">
        <x:v>The harness now loads candidate artifacts and executes mandatory pre-scoring gates with structured evidence. The next product milestone is WBS 1.3–1.5: deterministic checks, numeric tolerances, and weighted scoring. Do not start CLI/result persistence or deferred multimodal/agent capabilities until the evaluation core is complete.</x:v>
      </x:c>
      <x:c r="B28" s="591"/>
      <x:c r="C28" s="591"/>
      <x:c r="D28" s="591"/>
      <x:c r="E28" s="591"/>
      <x:c r="F28" s="217"/>
      <x:c r="G28" s="217"/>
      <x:c r="H28" s="217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26.100000381469727" customHeight="1">
      <x:c r="A29" s="217"/>
      <x:c r="B29" s="217"/>
      <x:c r="C29" s="217"/>
      <x:c r="D29" s="217"/>
      <x:c r="E29" s="217"/>
      <x:c r="F29" s="217"/>
      <x:c r="G29" s="217"/>
      <x:c r="H29" s="217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26.100000381469727" customHeight="1">
      <x:c r="A30" s="217"/>
      <x:c r="B30" s="217"/>
      <x:c r="C30" s="217"/>
      <x:c r="D30" s="217"/>
      <x:c r="E30" s="217"/>
      <x:c r="F30" s="217"/>
      <x:c r="G30" s="217"/>
      <x:c r="H30" s="217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26.100000381469727" customHeight="1">
      <x:c r="A31" s="217"/>
      <x:c r="B31" s="217"/>
      <x:c r="C31" s="217"/>
      <x:c r="D31" s="217"/>
      <x:c r="E31" s="217"/>
      <x:c r="F31" s="217"/>
      <x:c r="G31" s="217"/>
      <x:c r="H31" s="217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27:H27"/>
    <x:mergeCell ref="A28:H31"/>
    <x:mergeCell ref="A15:B15"/>
    <x:mergeCell ref="D15:H15"/>
    <x:mergeCell ref="A2:E2"/>
    <x:mergeCell ref="E7:H7"/>
    <x:mergeCell ref="E8:H8"/>
    <x:mergeCell ref="E9:H9"/>
    <x:mergeCell ref="E10:H10"/>
    <x:mergeCell ref="A14:H14"/>
    <x:mergeCell ref="A1:H1"/>
    <x:mergeCell ref="D3:H3"/>
    <x:mergeCell ref="E4:H4"/>
    <x:mergeCell ref="E5:H5"/>
    <x:mergeCell ref="E6:H6"/>
    <x:mergeCell ref="A3:B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1" width="7" customWidth="1"/>
    <x:col min="2" max="2" width="28" customWidth="1"/>
    <x:col min="3" max="4" width="12" customWidth="1"/>
    <x:col min="5" max="5" width="11" customWidth="1"/>
    <x:col min="6" max="7" width="12" customWidth="1"/>
    <x:col min="8" max="8" width="31" customWidth="1"/>
    <x:col min="9" max="9" width="40" customWidth="1"/>
    <x:col min="10" max="17" width="8" customWidth="1"/>
    <x:col min="18" max="20" width="10" customWidth="1"/>
  </x:cols>
  <x:sheetData>
    <x:row r="1" ht="27.950000762939453" customHeight="1">
      <x:c r="A1" s="204" t="s">
        <x:v>64</x:v>
      </x:c>
      <x:c r="B1" s="205"/>
      <x:c r="C1" s="205"/>
      <x:c r="D1" s="205"/>
      <x:c r="E1" s="205"/>
      <x:c r="F1" s="205"/>
      <x:c r="G1" s="205"/>
      <x:c r="H1" s="205"/>
      <x:c r="I1" s="205"/>
      <x:c r="J1" s="205"/>
      <x:c r="K1" s="205"/>
      <x:c r="L1" s="205"/>
      <x:c r="M1" s="205"/>
      <x:c r="N1" s="205"/>
      <x:c r="O1" s="205"/>
      <x:c r="P1" s="205"/>
      <x:c r="Q1" s="205"/>
      <x:c r="R1" s="76"/>
      <x:c r="S1" s="76"/>
      <x:c r="T1" s="76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3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88" t="s">
        <x:v>65</x:v>
      </x:c>
      <x:c r="B3" s="88" t="s">
        <x:v>66</x:v>
      </x:c>
      <x:c r="C3" s="88" t="s">
        <x:v>67</x:v>
      </x:c>
      <x:c r="D3" s="117" t="s">
        <x:v>68</x:v>
      </x:c>
      <x:c r="E3" s="118" t="s">
        <x:v>69</x:v>
      </x:c>
      <x:c r="F3" s="118" t="s">
        <x:v>70</x:v>
      </x:c>
      <x:c r="G3" s="88" t="s">
        <x:v>71</x:v>
      </x:c>
      <x:c r="H3" s="88" t="s">
        <x:v>72</x:v>
      </x:c>
      <x:c r="I3" s="88" t="s">
        <x:v>73</x:v>
      </x:c>
      <x:c r="J3" s="88" t="s">
        <x:v>74</x:v>
      </x:c>
      <x:c r="K3" s="88" t="s">
        <x:v>75</x:v>
      </x:c>
      <x:c r="L3" s="88" t="s">
        <x:v>76</x:v>
      </x:c>
      <x:c r="M3" s="88" t="s">
        <x:v>77</x:v>
      </x:c>
      <x:c r="N3" s="88" t="s">
        <x:v>78</x:v>
      </x:c>
      <x:c r="O3" s="88" t="s">
        <x:v>79</x:v>
      </x:c>
      <x:c r="P3" s="88" t="s">
        <x:v>80</x:v>
      </x:c>
      <x:c r="Q3" s="88" t="s">
        <x:v>81</x:v>
      </x:c>
      <x:c r="R3" s="9"/>
      <x:c r="S3" s="9"/>
      <x:c r="T3" s="9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3" t="s">
        <x:v>82</x:v>
      </x:c>
      <x:c r="B4" s="98" t="s">
        <x:v>83</x:v>
      </x:c>
      <x:c r="C4" s="120">
        <x:v>8</x:v>
      </x:c>
      <x:c r="D4" s="120" t="n">
        <x:f>SUMIF('Detailed Gantt'!$B$6:$B$27,B4,'Detailed Gantt'!$M$6:$M$27)</x:f>
        <x:v>7.550000000000001</x:v>
      </x:c>
      <x:c r="E4" s="122" t="n">
        <x:f>IF(C4=0,0,SUMPRODUCT(('Detailed Gantt'!$B$6:$B$27=B4)*'Detailed Gantt'!$F$6:$F$27*'Detailed Gantt'!$L$6:$L$27)/C4)</x:f>
        <x:v>1</x:v>
      </x:c>
      <x:c r="F4" s="124">
        <x:v>46202</x:v>
      </x:c>
      <x:c r="G4" s="124">
        <x:v>46215</x:v>
      </x:c>
      <x:c r="H4" s="3" t="s">
        <x:v>84</x:v>
      </x:c>
      <x:c r="I4" s="125" t="s">
        <x:v>85</x:v>
      </x:c>
      <x:c r="J4" s="125" t="s">
        <x:v>86</x:v>
      </x:c>
      <x:c r="K4" s="126" t="s">
        <x:v>86</x:v>
      </x:c>
      <x:c r="L4" s="126"/>
      <x:c r="M4" s="126"/>
      <x:c r="N4" s="126"/>
      <x:c r="O4" s="126"/>
      <x:c r="P4" s="126"/>
      <x:c r="Q4" s="126"/>
      <x:c r="R4" s="10"/>
      <x:c r="S4" s="10"/>
      <x:c r="T4" s="10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7">
      <x:c r="A5" s="3" t="s">
        <x:v>6</x:v>
      </x:c>
      <x:c r="B5" s="99" t="s">
        <x:v>87</x:v>
      </x:c>
      <x:c r="C5" s="120">
        <x:v>24</x:v>
      </x:c>
      <x:c r="D5" s="120" t="n">
        <x:f>SUMIF('Detailed Gantt'!$B$6:$B$27,B5,'Detailed Gantt'!$M$6:$M$27)</x:f>
        <x:v>4.08</x:v>
      </x:c>
      <x:c r="E5" s="122" t="n">
        <x:f>IF(C5=0,0,SUMPRODUCT(('Detailed Gantt'!$B$6:$B$27=B5)*'Detailed Gantt'!$F$6:$F$27*'Detailed Gantt'!$L$6:$L$27)/C5)</x:f>
        <x:v>0.5625</x:v>
      </x:c>
      <x:c r="F5" s="124">
        <x:v>46209</x:v>
      </x:c>
      <x:c r="G5" s="124">
        <x:v>46229</x:v>
      </x:c>
      <x:c r="H5" s="3" t="s">
        <x:v>88</x:v>
      </x:c>
      <x:c r="I5" s="126" t="s">
        <x:v>89</x:v>
      </x:c>
      <x:c r="J5" s="127"/>
      <x:c r="K5" s="127" t="s">
        <x:v>86</x:v>
      </x:c>
      <x:c r="L5" s="127" t="s">
        <x:v>86</x:v>
      </x:c>
      <x:c r="M5" s="126" t="s">
        <x:v>86</x:v>
      </x:c>
      <x:c r="N5" s="126"/>
      <x:c r="O5" s="126"/>
      <x:c r="P5" s="126"/>
      <x:c r="Q5" s="126"/>
      <x:c r="R5" s="10"/>
      <x:c r="S5" s="10"/>
      <x:c r="T5" s="10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3" t="s">
        <x:v>9</x:v>
      </x:c>
      <x:c r="B6" s="100" t="s">
        <x:v>90</x:v>
      </x:c>
      <x:c r="C6" s="120">
        <x:v>14</x:v>
      </x:c>
      <x:c r="D6" s="120" t="n">
        <x:f>SUMIF('Detailed Gantt'!$B$6:$B$27,B6,'Detailed Gantt'!$M$6:$M$27)</x:f>
        <x:v>0</x:v>
      </x:c>
      <x:c r="E6" s="122" t="n">
        <x:f>IF(C6=0,0,SUMPRODUCT(('Detailed Gantt'!$B$6:$B$27=B6)*'Detailed Gantt'!$F$6:$F$27*'Detailed Gantt'!$L$6:$L$27)/C6)</x:f>
        <x:v>0</x:v>
      </x:c>
      <x:c r="F6" s="124">
        <x:v>46230</x:v>
      </x:c>
      <x:c r="G6" s="124">
        <x:v>46236</x:v>
      </x:c>
      <x:c r="H6" s="3" t="s">
        <x:v>91</x:v>
      </x:c>
      <x:c r="I6" s="126" t="s">
        <x:v>92</x:v>
      </x:c>
      <x:c r="J6" s="126"/>
      <x:c r="K6" s="126"/>
      <x:c r="L6" s="128"/>
      <x:c r="M6" s="128"/>
      <x:c r="N6" s="128" t="s">
        <x:v>86</x:v>
      </x:c>
      <x:c r="O6" s="126"/>
      <x:c r="P6" s="126"/>
      <x:c r="Q6" s="126"/>
      <x:c r="R6" s="10"/>
      <x:c r="S6" s="10"/>
      <x:c r="T6" s="10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3" t="s">
        <x:v>12</x:v>
      </x:c>
      <x:c r="B7" s="129" t="s">
        <x:v>93</x:v>
      </x:c>
      <x:c r="C7" s="120">
        <x:v>14</x:v>
      </x:c>
      <x:c r="D7" s="120" t="n">
        <x:f>SUMIF('Detailed Gantt'!$B$6:$B$27,B7,'Detailed Gantt'!$M$6:$M$27)</x:f>
        <x:v>0</x:v>
      </x:c>
      <x:c r="E7" s="122" t="n">
        <x:f>IF(C7=0,0,SUMPRODUCT(('Detailed Gantt'!$B$6:$B$27=B7)*'Detailed Gantt'!$F$6:$F$27*'Detailed Gantt'!$L$6:$L$27)/C7)</x:f>
        <x:v>0</x:v>
      </x:c>
      <x:c r="F7" s="124">
        <x:v>46209</x:v>
      </x:c>
      <x:c r="G7" s="124">
        <x:v>46243</x:v>
      </x:c>
      <x:c r="H7" s="3" t="s">
        <x:v>94</x:v>
      </x:c>
      <x:c r="I7" s="126" t="s">
        <x:v>95</x:v>
      </x:c>
      <x:c r="J7" s="126"/>
      <x:c r="K7" s="126" t="s">
        <x:v>86</x:v>
      </x:c>
      <x:c r="L7" s="126" t="s">
        <x:v>86</x:v>
      </x:c>
      <x:c r="M7" s="126" t="s">
        <x:v>86</x:v>
      </x:c>
      <x:c r="N7" s="130" t="s">
        <x:v>86</x:v>
      </x:c>
      <x:c r="O7" s="130" t="s">
        <x:v>86</x:v>
      </x:c>
      <x:c r="P7" s="130"/>
      <x:c r="Q7" s="126"/>
      <x:c r="R7" s="10"/>
      <x:c r="S7" s="10"/>
      <x:c r="T7" s="10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3" t="s">
        <x:v>16</x:v>
      </x:c>
      <x:c r="B8" s="131" t="s">
        <x:v>96</x:v>
      </x:c>
      <x:c r="C8" s="120">
        <x:v>8</x:v>
      </x:c>
      <x:c r="D8" s="120" t="n">
        <x:f>SUMIF('Detailed Gantt'!$B$6:$B$27,B8,'Detailed Gantt'!$M$6:$M$27)</x:f>
        <x:v>0</x:v>
      </x:c>
      <x:c r="E8" s="122" t="n">
        <x:f>IF(C8=0,0,SUMPRODUCT(('Detailed Gantt'!$B$6:$B$27=B8)*'Detailed Gantt'!$F$6:$F$27*'Detailed Gantt'!$L$6:$L$27)/C8)</x:f>
        <x:v>0.26249999999999996</x:v>
      </x:c>
      <x:c r="F8" s="124">
        <x:v>46223</x:v>
      </x:c>
      <x:c r="G8" s="124">
        <x:v>46250</x:v>
      </x:c>
      <x:c r="H8" s="3" t="s">
        <x:v>97</x:v>
      </x:c>
      <x:c r="I8" s="126" t="s">
        <x:v>98</x:v>
      </x:c>
      <x:c r="J8" s="126"/>
      <x:c r="K8" s="126"/>
      <x:c r="L8" s="126"/>
      <x:c r="M8" s="126" t="s">
        <x:v>86</x:v>
      </x:c>
      <x:c r="N8" s="126" t="s">
        <x:v>86</x:v>
      </x:c>
      <x:c r="O8" s="126" t="s">
        <x:v>86</x:v>
      </x:c>
      <x:c r="P8" s="132" t="s">
        <x:v>86</x:v>
      </x:c>
      <x:c r="Q8" s="132"/>
      <x:c r="R8" s="14"/>
      <x:c r="S8" s="10"/>
      <x:c r="T8" s="10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3" t="s">
        <x:v>19</x:v>
      </x:c>
      <x:c r="B9" s="133" t="s">
        <x:v>99</x:v>
      </x:c>
      <x:c r="C9" s="120">
        <x:v>8</x:v>
      </x:c>
      <x:c r="D9" s="120" t="n">
        <x:f>SUMIF('Detailed Gantt'!$B$6:$B$27,B9,'Detailed Gantt'!$M$6:$M$27)</x:f>
        <x:v>0</x:v>
      </x:c>
      <x:c r="E9" s="122" t="n">
        <x:f>IF(C9=0,0,SUMPRODUCT(('Detailed Gantt'!$B$6:$B$27=B9)*'Detailed Gantt'!$F$6:$F$27*'Detailed Gantt'!$L$6:$L$27)/C9)</x:f>
        <x:v>0</x:v>
      </x:c>
      <x:c r="F9" s="124">
        <x:v>46244</x:v>
      </x:c>
      <x:c r="G9" s="124">
        <x:v>46257</x:v>
      </x:c>
      <x:c r="H9" s="3" t="s">
        <x:v>100</x:v>
      </x:c>
      <x:c r="I9" s="126" t="s">
        <x:v>101</x:v>
      </x:c>
      <x:c r="J9" s="126"/>
      <x:c r="K9" s="126"/>
      <x:c r="L9" s="126"/>
      <x:c r="M9" s="126"/>
      <x:c r="N9" s="126"/>
      <x:c r="O9" s="126"/>
      <x:c r="P9" s="126" t="s">
        <x:v>86</x:v>
      </x:c>
      <x:c r="Q9" s="126" t="s">
        <x:v>86</x:v>
      </x:c>
      <x:c r="R9" s="16"/>
      <x:c r="S9" s="16"/>
      <x:c r="T9" s="10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7">
      <x:c r="A10" s="89" t="s">
        <x:v>102</x:v>
      </x:c>
      <x:c r="B10" s="89"/>
      <x:c r="C10" s="121" t="n">
        <x:f>SUM(C4:C9)</x:f>
        <x:v>76</x:v>
      </x:c>
      <x:c r="D10" s="121" t="n">
        <x:f>SUM(D4:D9)</x:f>
        <x:v>11.63</x:v>
      </x:c>
      <x:c r="E10" s="123" t="n">
        <x:f>SUMPRODUCT(C4:C9,E4:E9)/C10</x:f>
        <x:v>0.3105263157894737</x:v>
      </x:c>
      <x:c r="F10" s="116"/>
      <x:c r="G10" s="89"/>
      <x:c r="H10" s="89"/>
      <x:c r="I10" s="119"/>
      <x:c r="J10" s="119"/>
      <x:c r="K10" s="119"/>
      <x:c r="L10" s="119"/>
      <x:c r="M10" s="119"/>
      <x:c r="N10" s="119"/>
      <x:c r="O10" s="119"/>
      <x:c r="P10" s="119"/>
      <x:c r="Q10" s="119"/>
      <x:c r="R10" s="10"/>
      <x:c r="S10" s="18"/>
      <x:c r="T10" s="18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77"/>
      <x:c r="B11" s="19"/>
      <x:c r="C11" s="19"/>
      <x:c r="D11" s="20"/>
      <x:c r="E11" s="19"/>
      <x:c r="F11" s="19"/>
      <x:c r="G11" s="19"/>
      <x:c r="H11" s="19"/>
      <x:c r="I11" s="19"/>
      <x:c r="J11" s="19"/>
      <x:c r="K11" s="19"/>
      <x:c r="L11" s="19"/>
      <x:c r="M11" s="19"/>
      <x:c r="N11" s="19"/>
      <x:c r="O11" s="19"/>
      <x:c r="P11" s="19"/>
      <x:c r="Q11" s="19"/>
      <x:c r="R11" s="19"/>
      <x:c r="S11" s="19"/>
      <x:c r="T11" s="2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Q1"/>
  </x:mergeCells>
  <x:conditionalFormatting sqref="J4:Q9">
    <x:cfRule type="expression" dxfId="14" priority="1">
      <x:formula>J4="■"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cols>
    <x:col min="1" max="1" width="8" customWidth="1"/>
    <x:col min="2" max="2" width="26" customWidth="1"/>
    <x:col min="3" max="3" width="34" customWidth="1"/>
    <x:col min="4" max="4" width="45" customWidth="1"/>
    <x:col min="5" max="5" width="14" customWidth="1"/>
    <x:col min="6" max="6" width="11" customWidth="1"/>
    <x:col min="7" max="8" width="9" customWidth="1"/>
    <x:col min="9" max="10" width="12" customWidth="1"/>
    <x:col min="11" max="11" width="13" customWidth="1"/>
    <x:col min="12" max="13" width="11" customWidth="1"/>
    <x:col min="14" max="14" width="13" customWidth="1"/>
    <x:col min="15" max="15" width="11" customWidth="1"/>
    <x:col min="16" max="16" width="28" customWidth="1"/>
    <x:col min="17" max="17" width="34" customWidth="1"/>
    <x:col min="18" max="18" width="42" customWidth="1"/>
    <x:col min="19" max="26" width="7" customWidth="1"/>
    <x:col min="27" max="69" width="5" customWidth="1"/>
  </x:cols>
  <x:sheetData>
    <x:row r="1" ht="15">
      <x:c r="A1" s="86" t="s">
        <x:v>103</x:v>
      </x:c>
      <x:c r="B1" s="87">
        <x:v>46202</x:v>
      </x:c>
      <x:c r="C1" s="87"/>
      <x:c r="D1" s="86" t="s">
        <x:v>104</x:v>
      </x:c>
      <x:c r="E1" s="86">
        <x:v>76</x:v>
      </x:c>
      <x:c r="F1" s="86"/>
      <x:c r="G1" s="86" t="s">
        <x:v>105</x:v>
      </x:c>
      <x:c r="H1" s="87">
        <x:v>46257</x:v>
      </x:c>
      <x:c r="I1" s="86"/>
      <x:c r="J1" s="86" t="s">
        <x:v>106</x:v>
      </x:c>
      <x:c r="K1" s="86" t="s">
        <x:v>107</x:v>
      </x:c>
      <x:c r="L1" s="2"/>
      <x:c r="M1" s="2"/>
      <x:c r="N1" s="2"/>
      <x:c r="O1" s="2"/>
      <x:c r="P1" s="2"/>
      <x:c r="Q1" s="2"/>
      <x:c r="R1" s="176"/>
      <x:c r="S1" s="176"/>
      <x:c r="T1" s="176"/>
      <x:c r="U1" s="176"/>
      <x:c r="V1" s="176"/>
      <x:c r="W1" s="176"/>
      <x:c r="X1" s="176"/>
      <x:c r="Y1" s="176"/>
      <x:c r="Z1" s="176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76"/>
      <x:c r="S2" s="176"/>
      <x:c r="T2" s="176"/>
      <x:c r="U2" s="176"/>
      <x:c r="V2" s="176"/>
      <x:c r="W2" s="176"/>
      <x:c r="X2" s="176"/>
      <x:c r="Y2" s="176"/>
      <x:c r="Z2" s="176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219" t="s">
        <x:v>108</x:v>
      </x:c>
      <x:c r="B3" s="219"/>
      <x:c r="C3" s="220"/>
      <x:c r="D3" s="220"/>
      <x:c r="E3" s="220"/>
      <x:c r="F3" s="220"/>
      <x:c r="G3" s="220"/>
      <x:c r="H3" s="220"/>
      <x:c r="I3" s="220"/>
      <x:c r="J3" s="220"/>
      <x:c r="K3" s="220"/>
      <x:c r="L3" s="220"/>
      <x:c r="M3" s="220"/>
      <x:c r="N3" s="220"/>
      <x:c r="O3" s="220"/>
      <x:c r="P3" s="220"/>
      <x:c r="Q3" s="220"/>
      <x:c r="R3" s="221"/>
      <x:c r="S3" s="176"/>
      <x:c r="T3" s="176"/>
      <x:c r="U3" s="176"/>
      <x:c r="V3" s="176"/>
      <x:c r="W3" s="176"/>
      <x:c r="X3" s="176"/>
      <x:c r="Y3" s="176"/>
      <x:c r="Z3" s="176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.95000076293945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22"/>
      <x:c r="S4" s="171">
        <x:v>46202</x:v>
      </x:c>
      <x:c r="T4" s="171">
        <x:v>46209</x:v>
      </x:c>
      <x:c r="U4" s="171">
        <x:v>46216</x:v>
      </x:c>
      <x:c r="V4" s="171">
        <x:v>46223</x:v>
      </x:c>
      <x:c r="W4" s="171">
        <x:v>46230</x:v>
      </x:c>
      <x:c r="X4" s="171">
        <x:v>46237</x:v>
      </x:c>
      <x:c r="Y4" s="171">
        <x:v>46244</x:v>
      </x:c>
      <x:c r="Z4" s="171">
        <x:v>46251</x:v>
      </x:c>
      <x:c r="AA4" s="22"/>
      <x:c r="AB4" s="22"/>
      <x:c r="AC4" s="22"/>
      <x:c r="AD4" s="22"/>
      <x:c r="AE4" s="22"/>
      <x:c r="AF4" s="22"/>
      <x:c r="AG4" s="22"/>
      <x:c r="AH4" s="22"/>
      <x:c r="AI4" s="22"/>
      <x:c r="AJ4" s="22"/>
      <x:c r="AK4" s="22"/>
      <x:c r="AL4" s="22"/>
      <x:c r="AM4" s="22"/>
      <x:c r="AN4" s="22"/>
      <x:c r="AO4" s="22"/>
      <x:c r="AP4" s="22"/>
      <x:c r="AQ4" s="22"/>
      <x:c r="AR4" s="22"/>
      <x:c r="AS4" s="22"/>
      <x:c r="AT4" s="22"/>
      <x:c r="AU4" s="22"/>
      <x:c r="AV4" s="22"/>
      <x:c r="AW4" s="22"/>
      <x:c r="AX4" s="22"/>
      <x:c r="AY4" s="22"/>
      <x:c r="AZ4" s="22"/>
      <x:c r="BA4" s="22"/>
      <x:c r="BB4" s="22"/>
      <x:c r="BC4" s="22"/>
      <x:c r="BD4" s="22"/>
      <x:c r="BE4" s="22"/>
      <x:c r="BF4" s="22"/>
      <x:c r="BG4" s="22"/>
      <x:c r="BH4" s="22"/>
      <x:c r="BI4" s="22"/>
      <x:c r="BJ4" s="22"/>
      <x:c r="BK4" s="22"/>
      <x:c r="BL4" s="22"/>
      <x:c r="BM4" s="22"/>
      <x:c r="BN4" s="22"/>
      <x:c r="BO4" s="22"/>
      <x:c r="BP4" s="22"/>
      <x:c r="BQ4" s="22"/>
    </x:row>
    <x:row r="5" ht="42" customHeight="1">
      <x:c r="A5" s="494" t="s">
        <x:v>109</x:v>
      </x:c>
      <x:c r="B5" s="494" t="s">
        <x:v>66</x:v>
      </x:c>
      <x:c r="C5" s="494" t="s">
        <x:v>110</x:v>
      </x:c>
      <x:c r="D5" s="494" t="s">
        <x:v>111</x:v>
      </x:c>
      <x:c r="E5" s="494" t="s">
        <x:v>112</x:v>
      </x:c>
      <x:c r="F5" s="494" t="s">
        <x:v>67</x:v>
      </x:c>
      <x:c r="G5" s="494" t="s">
        <x:v>113</x:v>
      </x:c>
      <x:c r="H5" s="494" t="s">
        <x:v>114</x:v>
      </x:c>
      <x:c r="I5" s="494" t="s">
        <x:v>115</x:v>
      </x:c>
      <x:c r="J5" s="494" t="s">
        <x:v>116</x:v>
      </x:c>
      <x:c r="K5" s="494" t="s">
        <x:v>117</x:v>
      </x:c>
      <x:c r="L5" s="494" t="s">
        <x:v>69</x:v>
      </x:c>
      <x:c r="M5" s="494" t="s">
        <x:v>68</x:v>
      </x:c>
      <x:c r="N5" s="494" t="s">
        <x:v>118</x:v>
      </x:c>
      <x:c r="O5" s="494" t="s">
        <x:v>119</x:v>
      </x:c>
      <x:c r="P5" s="494" t="s">
        <x:v>120</x:v>
      </x:c>
      <x:c r="Q5" s="494" t="s">
        <x:v>121</x:v>
      </x:c>
      <x:c r="R5" s="494" t="s">
        <x:v>122</x:v>
      </x:c>
      <x:c r="S5" s="172" t="s">
        <x:v>74</x:v>
      </x:c>
      <x:c r="T5" s="172" t="s">
        <x:v>75</x:v>
      </x:c>
      <x:c r="U5" s="172" t="s">
        <x:v>76</x:v>
      </x:c>
      <x:c r="V5" s="172" t="s">
        <x:v>77</x:v>
      </x:c>
      <x:c r="W5" s="172" t="s">
        <x:v>78</x:v>
      </x:c>
      <x:c r="X5" s="172" t="s">
        <x:v>79</x:v>
      </x:c>
      <x:c r="Y5" s="172" t="s">
        <x:v>80</x:v>
      </x:c>
      <x:c r="Z5" s="172" t="s">
        <x:v>81</x:v>
      </x:c>
      <x:c r="AA5" s="4"/>
      <x:c r="AB5" s="4"/>
      <x:c r="AC5" s="4"/>
      <x:c r="AD5" s="4"/>
      <x:c r="AE5" s="4"/>
      <x:c r="AF5" s="4"/>
      <x:c r="AG5" s="4"/>
      <x:c r="AH5" s="4"/>
      <x:c r="AI5" s="4"/>
      <x:c r="AJ5" s="4"/>
      <x:c r="AK5" s="4"/>
      <x:c r="AL5" s="4"/>
      <x:c r="AM5" s="4"/>
      <x:c r="AN5" s="4"/>
      <x:c r="AO5" s="4"/>
      <x:c r="AP5" s="4"/>
      <x:c r="AQ5" s="4"/>
      <x:c r="AR5" s="4"/>
      <x:c r="AS5" s="4"/>
      <x:c r="AT5" s="4"/>
      <x:c r="AU5" s="4"/>
      <x:c r="AV5" s="4"/>
      <x:c r="AW5" s="4"/>
      <x:c r="AX5" s="4"/>
      <x:c r="AY5" s="4"/>
      <x:c r="AZ5" s="4"/>
      <x:c r="BA5" s="4"/>
      <x:c r="BB5" s="4"/>
      <x:c r="BC5" s="4"/>
      <x:c r="BD5" s="4"/>
      <x:c r="BE5" s="4"/>
      <x:c r="BF5" s="4"/>
      <x:c r="BG5" s="4"/>
      <x:c r="BH5" s="4"/>
      <x:c r="BI5" s="4"/>
      <x:c r="BJ5" s="4"/>
      <x:c r="BK5" s="4"/>
      <x:c r="BL5" s="4"/>
      <x:c r="BM5" s="4"/>
      <x:c r="BN5" s="4"/>
      <x:c r="BO5" s="4"/>
      <x:c r="BP5" s="4"/>
      <x:c r="BQ5" s="4"/>
    </x:row>
    <x:row r="6" ht="42" customHeight="1">
      <x:c r="A6" s="613" t="s">
        <x:v>123</x:v>
      </x:c>
      <x:c r="B6" s="634" t="s">
        <x:v>83</x:v>
      </x:c>
      <x:c r="C6" s="613" t="s">
        <x:v>124</x:v>
      </x:c>
      <x:c r="D6" s="613" t="s">
        <x:v>125</x:v>
      </x:c>
      <x:c r="E6" s="613" t="s">
        <x:v>126</x:v>
      </x:c>
      <x:c r="F6" s="615">
        <x:v>2</x:v>
      </x:c>
      <x:c r="G6" s="616">
        <x:v>1</x:v>
      </x:c>
      <x:c r="H6" s="616">
        <x:v>1</x:v>
      </x:c>
      <x:c r="I6" s="617" t="n">
        <x:f t="shared" ref="I6:I37" si="0">$B$1+(G6-1)*7</x:f>
        <x:v>46202</x:v>
      </x:c>
      <x:c r="J6" s="617" t="n">
        <x:f t="shared" ref="J6:J37" si="1">$B$1+H6*7-1</x:f>
        <x:v>46208</x:v>
      </x:c>
      <x:c r="K6" s="617" t="n">
        <x:f t="shared" ref="K6:K37" si="2">$C$1+H6*7-1</x:f>
        <x:v>6</x:v>
      </x:c>
      <x:c r="L6" s="618">
        <x:v>1</x:v>
      </x:c>
      <x:c r="M6" s="619" t="n">
        <x:f>SUMIF('Work Block Log'!$E$5:$E$200,A6,'Work Block Log'!$F$5:$F$200)</x:f>
        <x:v>2.5</x:v>
      </x:c>
      <x:c r="N6" s="619" t="n">
        <x:f t="shared" ref="N6:N27" si="3">MAX(F6*(1-L6),0)</x:f>
        <x:v>0</x:v>
      </x:c>
      <x:c r="O6" s="619" t="n">
        <x:f t="shared" ref="O6:O37" si="4">M6-F6</x:f>
        <x:v>0.5</x:v>
      </x:c>
      <x:c r="P6" s="616" t="n">
        <x:f t="shared" ref="P6:P37" si="5">MAX(F6*(1-M6),0)</x:f>
        <x:v>0</x:v>
      </x:c>
      <x:c r="Q6" s="613" t="s">
        <x:v>127</x:v>
      </x:c>
      <x:c r="R6" s="640" t="s">
        <x:v>128</x:v>
      </x:c>
      <x:c r="S6" s="173" t="s">
        <x:v>86</x:v>
      </x:c>
      <x:c r="T6" s="173"/>
      <x:c r="U6" s="173"/>
      <x:c r="V6" s="173"/>
      <x:c r="W6" s="173"/>
      <x:c r="X6" s="173"/>
      <x:c r="Y6" s="173"/>
      <x:c r="Z6" s="173"/>
      <x:c r="AA6" s="26"/>
      <x:c r="AB6" s="26"/>
      <x:c r="AC6" s="26"/>
      <x:c r="AD6" s="26"/>
      <x:c r="AE6" s="26"/>
      <x:c r="AF6" s="26"/>
      <x:c r="AG6" s="26"/>
      <x:c r="AH6" s="26"/>
      <x:c r="AI6" s="26"/>
      <x:c r="AJ6" s="26"/>
      <x:c r="AK6" s="26"/>
      <x:c r="AL6" s="26"/>
      <x:c r="AM6" s="26"/>
      <x:c r="AN6" s="26"/>
      <x:c r="AO6" s="26"/>
      <x:c r="AP6" s="26"/>
      <x:c r="AQ6" s="26"/>
      <x:c r="AR6" s="26"/>
      <x:c r="AS6" s="26"/>
      <x:c r="AT6" s="26"/>
      <x:c r="AU6" s="26"/>
      <x:c r="AV6" s="26"/>
      <x:c r="AW6" s="26"/>
      <x:c r="AX6" s="26"/>
      <x:c r="AY6" s="26"/>
      <x:c r="AZ6" s="26"/>
      <x:c r="BA6" s="26"/>
      <x:c r="BB6" s="26"/>
      <x:c r="BC6" s="26"/>
      <x:c r="BD6" s="26"/>
      <x:c r="BE6" s="26"/>
      <x:c r="BF6" s="26"/>
      <x:c r="BG6" s="26"/>
      <x:c r="BH6" s="26"/>
      <x:c r="BI6" s="26"/>
      <x:c r="BJ6" s="26"/>
      <x:c r="BK6" s="26"/>
      <x:c r="BL6" s="26"/>
      <x:c r="BM6" s="26"/>
      <x:c r="BN6" s="26"/>
      <x:c r="BO6" s="26"/>
      <x:c r="BP6" s="26"/>
      <x:c r="BQ6" s="27"/>
    </x:row>
    <x:row r="7" ht="42" customHeight="1">
      <x:c r="A7" s="621" t="s">
        <x:v>129</x:v>
      </x:c>
      <x:c r="B7" s="634" t="s">
        <x:v>83</x:v>
      </x:c>
      <x:c r="C7" s="621" t="s">
        <x:v>130</x:v>
      </x:c>
      <x:c r="D7" s="621" t="s">
        <x:v>131</x:v>
      </x:c>
      <x:c r="E7" s="621" t="s">
        <x:v>123</x:v>
      </x:c>
      <x:c r="F7" s="623">
        <x:v>2</x:v>
      </x:c>
      <x:c r="G7" s="624">
        <x:v>1</x:v>
      </x:c>
      <x:c r="H7" s="624">
        <x:v>2</x:v>
      </x:c>
      <x:c r="I7" s="625">
        <x:f t="shared" si="0"/>
        <x:v>46202</x:v>
      </x:c>
      <x:c r="J7" s="625">
        <x:f t="shared" si="1"/>
        <x:v>46215</x:v>
      </x:c>
      <x:c r="K7" s="625">
        <x:f t="shared" si="2"/>
        <x:v>13</x:v>
      </x:c>
      <x:c r="L7" s="626">
        <x:v>1</x:v>
      </x:c>
      <x:c r="M7" s="627" t="n">
        <x:f>SUMIF('Work Block Log'!$E$5:$E$200,A7,'Work Block Log'!$F$5:$F$200)</x:f>
        <x:v>2.9</x:v>
      </x:c>
      <x:c r="N7" s="627">
        <x:f t="shared" si="3"/>
        <x:v>0</x:v>
      </x:c>
      <x:c r="O7" s="627">
        <x:f t="shared" si="4"/>
        <x:v>0.89999999999999991</x:v>
      </x:c>
      <x:c r="P7" s="624">
        <x:f t="shared" si="5"/>
        <x:v>0</x:v>
      </x:c>
      <x:c r="Q7" s="621" t="s">
        <x:v>132</x:v>
      </x:c>
      <x:c r="R7" s="640" t="s">
        <x:v>133</x:v>
      </x:c>
      <x:c r="S7" s="173" t="s">
        <x:v>86</x:v>
      </x:c>
      <x:c r="T7" s="173" t="s">
        <x:v>86</x:v>
      </x:c>
      <x:c r="U7" s="173"/>
      <x:c r="V7" s="173"/>
      <x:c r="W7" s="173"/>
      <x:c r="X7" s="173"/>
      <x:c r="Y7" s="173"/>
      <x:c r="Z7" s="173"/>
      <x:c r="AA7" s="28"/>
      <x:c r="AB7" s="28"/>
      <x:c r="AC7" s="28"/>
      <x:c r="AD7" s="28"/>
      <x:c r="AE7" s="28"/>
      <x:c r="AF7" s="28"/>
      <x:c r="AG7" s="28"/>
      <x:c r="AH7" s="28"/>
      <x:c r="AI7" s="28"/>
      <x:c r="AJ7" s="28"/>
      <x:c r="AK7" s="28"/>
      <x:c r="AL7" s="28"/>
      <x:c r="AM7" s="28"/>
      <x:c r="AN7" s="28"/>
      <x:c r="AO7" s="28"/>
      <x:c r="AP7" s="28"/>
      <x:c r="AQ7" s="28"/>
      <x:c r="AR7" s="28"/>
      <x:c r="AS7" s="28"/>
      <x:c r="AT7" s="28"/>
      <x:c r="AU7" s="28"/>
      <x:c r="AV7" s="28"/>
      <x:c r="AW7" s="28"/>
      <x:c r="AX7" s="28"/>
      <x:c r="AY7" s="28"/>
      <x:c r="AZ7" s="28"/>
      <x:c r="BA7" s="28"/>
      <x:c r="BB7" s="28"/>
      <x:c r="BC7" s="28"/>
      <x:c r="BD7" s="28"/>
      <x:c r="BE7" s="28"/>
      <x:c r="BF7" s="28"/>
      <x:c r="BG7" s="28"/>
      <x:c r="BH7" s="28"/>
      <x:c r="BI7" s="28"/>
      <x:c r="BJ7" s="28"/>
      <x:c r="BK7" s="28"/>
      <x:c r="BL7" s="28"/>
      <x:c r="BM7" s="28"/>
      <x:c r="BN7" s="28"/>
      <x:c r="BO7" s="28"/>
      <x:c r="BP7" s="28"/>
      <x:c r="BQ7" s="29"/>
    </x:row>
    <x:row r="8" ht="42" customHeight="1">
      <x:c r="A8" s="613" t="s">
        <x:v>134</x:v>
      </x:c>
      <x:c r="B8" s="634" t="s">
        <x:v>83</x:v>
      </x:c>
      <x:c r="C8" s="613" t="s">
        <x:v>135</x:v>
      </x:c>
      <x:c r="D8" s="613" t="s">
        <x:v>136</x:v>
      </x:c>
      <x:c r="E8" s="613" t="s">
        <x:v>123</x:v>
      </x:c>
      <x:c r="F8" s="615">
        <x:v>4</x:v>
      </x:c>
      <x:c r="G8" s="616">
        <x:v>1</x:v>
      </x:c>
      <x:c r="H8" s="616">
        <x:v>1</x:v>
      </x:c>
      <x:c r="I8" s="617">
        <x:f t="shared" si="0"/>
        <x:v>46202</x:v>
      </x:c>
      <x:c r="J8" s="617">
        <x:f t="shared" si="1"/>
        <x:v>46208</x:v>
      </x:c>
      <x:c r="K8" s="617">
        <x:f t="shared" si="2"/>
        <x:v>6</x:v>
      </x:c>
      <x:c r="L8" s="618">
        <x:v>1</x:v>
      </x:c>
      <x:c r="M8" s="619" t="n">
        <x:f>SUMIF('Work Block Log'!$E$5:$E$200,A8,'Work Block Log'!$F$5:$F$200)</x:f>
        <x:v>2.15</x:v>
      </x:c>
      <x:c r="N8" s="619">
        <x:f t="shared" si="3"/>
        <x:v>0</x:v>
      </x:c>
      <x:c r="O8" s="619">
        <x:f t="shared" si="4"/>
        <x:v>-1.85</x:v>
      </x:c>
      <x:c r="P8" s="616">
        <x:f t="shared" si="5"/>
        <x:v>0</x:v>
      </x:c>
      <x:c r="Q8" s="613" t="s">
        <x:v>137</x:v>
      </x:c>
      <x:c r="R8" s="640" t="s">
        <x:v>138</x:v>
      </x:c>
      <x:c r="S8" s="174" t="s">
        <x:v>86</x:v>
      </x:c>
      <x:c r="T8" s="173"/>
      <x:c r="U8" s="173"/>
      <x:c r="V8" s="173"/>
      <x:c r="W8" s="173"/>
      <x:c r="X8" s="173"/>
      <x:c r="Y8" s="173"/>
      <x:c r="Z8" s="173"/>
      <x:c r="AA8" s="28"/>
      <x:c r="AB8" s="28"/>
      <x:c r="AC8" s="28"/>
      <x:c r="AD8" s="28"/>
      <x:c r="AE8" s="28"/>
      <x:c r="AF8" s="28"/>
      <x:c r="AG8" s="28"/>
      <x:c r="AH8" s="28"/>
      <x:c r="AI8" s="28"/>
      <x:c r="AJ8" s="28"/>
      <x:c r="AK8" s="28"/>
      <x:c r="AL8" s="28"/>
      <x:c r="AM8" s="28"/>
      <x:c r="AN8" s="28"/>
      <x:c r="AO8" s="28"/>
      <x:c r="AP8" s="28"/>
      <x:c r="AQ8" s="28"/>
      <x:c r="AR8" s="28"/>
      <x:c r="AS8" s="28"/>
      <x:c r="AT8" s="28"/>
      <x:c r="AU8" s="28"/>
      <x:c r="AV8" s="28"/>
      <x:c r="AW8" s="28"/>
      <x:c r="AX8" s="28"/>
      <x:c r="AY8" s="28"/>
      <x:c r="AZ8" s="28"/>
      <x:c r="BA8" s="28"/>
      <x:c r="BB8" s="28"/>
      <x:c r="BC8" s="28"/>
      <x:c r="BD8" s="28"/>
      <x:c r="BE8" s="28"/>
      <x:c r="BF8" s="28"/>
      <x:c r="BG8" s="28"/>
      <x:c r="BH8" s="28"/>
      <x:c r="BI8" s="28"/>
      <x:c r="BJ8" s="28"/>
      <x:c r="BK8" s="28"/>
      <x:c r="BL8" s="28"/>
      <x:c r="BM8" s="28"/>
      <x:c r="BN8" s="28"/>
      <x:c r="BO8" s="28"/>
      <x:c r="BP8" s="28"/>
      <x:c r="BQ8" s="29"/>
    </x:row>
    <x:row r="9" ht="82" customHeight="1">
      <x:c r="A9" s="621" t="s">
        <x:v>139</x:v>
      </x:c>
      <x:c r="B9" s="635" t="s">
        <x:v>87</x:v>
      </x:c>
      <x:c r="C9" s="621" t="s">
        <x:v>140</x:v>
      </x:c>
      <x:c r="D9" s="621" t="s">
        <x:v>141</x:v>
      </x:c>
      <x:c r="E9" s="621" t="s">
        <x:v>134</x:v>
      </x:c>
      <x:c r="F9" s="623">
        <x:v>4</x:v>
      </x:c>
      <x:c r="G9" s="624">
        <x:v>2</x:v>
      </x:c>
      <x:c r="H9" s="624">
        <x:v>2</x:v>
      </x:c>
      <x:c r="I9" s="625">
        <x:f t="shared" si="0"/>
        <x:v>46209</x:v>
      </x:c>
      <x:c r="J9" s="625">
        <x:f t="shared" si="1"/>
        <x:v>46215</x:v>
      </x:c>
      <x:c r="K9" s="625" t="str">
        <x:f t="shared" si="2"/>
        <x:v>Complete</x:v>
      </x:c>
      <x:c r="L9" s="626" t="n">
        <x:v>1</x:v>
      </x:c>
      <x:c r="M9" s="627" t="n">
        <x:f>SUMIF('Work Block Log'!$E$5:$E$200,A9,'Work Block Log'!$F$5:$F$200)</x:f>
        <x:v>0.73</x:v>
      </x:c>
      <x:c r="N9" s="627" t="n">
        <x:f t="shared" si="3">MAX(F9*(1-L9),0)</x:f>
        <x:v>0</x:v>
      </x:c>
      <x:c r="O9" s="627" t="n">
        <x:f t="shared" si="4">M9-F9</x:f>
        <x:v>-3.27</x:v>
      </x:c>
      <x:c r="P9" s="624" t="str">
        <x:f t="shared" si="5"/>
        <x:v>PR #6 merged in c419dc3; feature commit 2b0b6e7; Gantt closeout ba18051; 31 passing tests.</x:v>
      </x:c>
      <x:c r="Q9" s="621" t="str">
        <x:v>Complete. Preserve the candidate envelope as the input contract for subsequent evaluator work.</x:v>
      </x:c>
      <x:c r="R9" s="641" t="str">
        <x:v>Completed 2026-07-05. Logged implementation plus closeout total: 0.73 h. Candidate examples remain separate from benchmark case definitions.</x:v>
      </x:c>
      <x:c r="S9" s="174"/>
      <x:c r="T9" s="173" t="s">
        <x:v>86</x:v>
      </x:c>
      <x:c r="U9" s="173"/>
      <x:c r="V9" s="173"/>
      <x:c r="W9" s="173"/>
      <x:c r="X9" s="173"/>
      <x:c r="Y9" s="173"/>
      <x:c r="Z9" s="173"/>
      <x:c r="AA9" s="28"/>
      <x:c r="AB9" s="28"/>
      <x:c r="AC9" s="28"/>
      <x:c r="AD9" s="28"/>
      <x:c r="AE9" s="28"/>
      <x:c r="AF9" s="28"/>
      <x:c r="AG9" s="28"/>
      <x:c r="AH9" s="28"/>
      <x:c r="AI9" s="28"/>
      <x:c r="AJ9" s="28"/>
      <x:c r="AK9" s="28"/>
      <x:c r="AL9" s="28"/>
      <x:c r="AM9" s="28"/>
      <x:c r="AN9" s="28"/>
      <x:c r="AO9" s="28"/>
      <x:c r="AP9" s="28"/>
      <x:c r="AQ9" s="28"/>
      <x:c r="AR9" s="28"/>
      <x:c r="AS9" s="28"/>
      <x:c r="AT9" s="28"/>
      <x:c r="AU9" s="28"/>
      <x:c r="AV9" s="28"/>
      <x:c r="AW9" s="28"/>
      <x:c r="AX9" s="28"/>
      <x:c r="AY9" s="28"/>
      <x:c r="AZ9" s="28"/>
      <x:c r="BA9" s="28"/>
      <x:c r="BB9" s="28"/>
      <x:c r="BC9" s="28"/>
      <x:c r="BD9" s="28"/>
      <x:c r="BE9" s="28"/>
      <x:c r="BF9" s="28"/>
      <x:c r="BG9" s="28"/>
      <x:c r="BH9" s="28"/>
      <x:c r="BI9" s="28"/>
      <x:c r="BJ9" s="28"/>
      <x:c r="BK9" s="28"/>
      <x:c r="BL9" s="28"/>
      <x:c r="BM9" s="28"/>
      <x:c r="BN9" s="28"/>
      <x:c r="BO9" s="28"/>
      <x:c r="BP9" s="28"/>
      <x:c r="BQ9" s="29"/>
    </x:row>
    <x:row r="10" ht="82" customHeight="1">
      <x:c r="A10" s="613" t="s">
        <x:v>142</x:v>
      </x:c>
      <x:c r="B10" s="635" t="s">
        <x:v>87</x:v>
      </x:c>
      <x:c r="C10" s="613" t="s">
        <x:v>143</x:v>
      </x:c>
      <x:c r="D10" s="613" t="s">
        <x:v>144</x:v>
      </x:c>
      <x:c r="E10" s="613" t="s">
        <x:v>139</x:v>
      </x:c>
      <x:c r="F10" s="615">
        <x:v>5</x:v>
      </x:c>
      <x:c r="G10" s="616">
        <x:v>2</x:v>
      </x:c>
      <x:c r="H10" s="616">
        <x:v>3</x:v>
      </x:c>
      <x:c r="I10" s="617">
        <x:f t="shared" si="0"/>
        <x:v>46209</x:v>
      </x:c>
      <x:c r="J10" s="617">
        <x:f t="shared" si="1"/>
        <x:v>46222</x:v>
      </x:c>
      <x:c r="K10" s="617" t="str">
        <x:f t="shared" si="2"/>
        <x:v>Complete</x:v>
      </x:c>
      <x:c r="L10" s="618" t="n">
        <x:v>1</x:v>
      </x:c>
      <x:c r="M10" s="619" t="n">
        <x:f>SUMIF('Work Block Log'!$E$5:$E$200,A10,'Work Block Log'!$F$5:$F$200)</x:f>
        <x:v>0.5</x:v>
      </x:c>
      <x:c r="N10" s="619" t="n">
        <x:f t="shared" si="3">MAX(F10*(1-L10),0)</x:f>
        <x:v>0</x:v>
      </x:c>
      <x:c r="O10" s="619" t="n">
        <x:f t="shared" si="4">M10-F10</x:f>
        <x:v>-4.5</x:v>
      </x:c>
      <x:c r="P10" s="616" t="str">
        <x:f t="shared" si="5"/>
        <x:v>c05ef3d merged to main in 05c025b; GateResult engine; seven focused tests; 38 total tests.</x:v>
      </x:c>
      <x:c r="Q10" s="613" t="str">
        <x:v>Begin WBS 1.3: implement CheckResult and deterministic exact, Boolean, set, and contains checks.</x:v>
      </x:c>
      <x:c r="R10" s="640" t="str">
        <x:v>Completed 2026-07-05 in 0.50 h. Gates execute in evaluator order and stop after the first failure. Task specifications declare payload types; Boolean is not accepted as numeric.</x:v>
      </x:c>
      <x:c r="S10" s="174"/>
      <x:c r="T10" s="174" t="s">
        <x:v>86</x:v>
      </x:c>
      <x:c r="U10" s="174" t="s">
        <x:v>86</x:v>
      </x:c>
      <x:c r="V10" s="174"/>
      <x:c r="W10" s="174"/>
      <x:c r="X10" s="174"/>
      <x:c r="Y10" s="174"/>
      <x:c r="Z10" s="174"/>
      <x:c r="AA10" s="32"/>
      <x:c r="AB10" s="32"/>
      <x:c r="AC10" s="32"/>
      <x:c r="AD10" s="32"/>
      <x:c r="AE10" s="32"/>
      <x:c r="AF10" s="32"/>
      <x:c r="AG10" s="32"/>
      <x:c r="AH10" s="32"/>
      <x:c r="AI10" s="32"/>
      <x:c r="AJ10" s="32"/>
      <x:c r="AK10" s="32"/>
      <x:c r="AL10" s="32"/>
      <x:c r="AM10" s="32"/>
      <x:c r="AN10" s="32"/>
      <x:c r="AO10" s="32"/>
      <x:c r="AP10" s="32"/>
      <x:c r="AQ10" s="32"/>
      <x:c r="AR10" s="32"/>
      <x:c r="AS10" s="32"/>
      <x:c r="AT10" s="32"/>
      <x:c r="AU10" s="32"/>
      <x:c r="AV10" s="32"/>
      <x:c r="AW10" s="32"/>
      <x:c r="AX10" s="32"/>
      <x:c r="AY10" s="32"/>
      <x:c r="AZ10" s="32"/>
      <x:c r="BA10" s="32"/>
      <x:c r="BB10" s="32"/>
      <x:c r="BC10" s="32"/>
      <x:c r="BD10" s="32"/>
      <x:c r="BE10" s="32"/>
      <x:c r="BF10" s="32"/>
      <x:c r="BG10" s="32"/>
      <x:c r="BH10" s="32"/>
      <x:c r="BI10" s="32"/>
      <x:c r="BJ10" s="32"/>
      <x:c r="BK10" s="32"/>
      <x:c r="BL10" s="32"/>
      <x:c r="BM10" s="32"/>
      <x:c r="BN10" s="32"/>
      <x:c r="BO10" s="32"/>
      <x:c r="BP10" s="32"/>
      <x:c r="BQ10" s="30"/>
    </x:row>
    <x:row r="11" ht="68" customHeight="1">
      <x:c r="A11" s="621" t="s">
        <x:v>145</x:v>
      </x:c>
      <x:c r="B11" s="635" t="s">
        <x:v>87</x:v>
      </x:c>
      <x:c r="C11" s="621" t="s">
        <x:v>146</x:v>
      </x:c>
      <x:c r="D11" s="621" t="s">
        <x:v>147</x:v>
      </x:c>
      <x:c r="E11" s="621" t="s">
        <x:v>142</x:v>
      </x:c>
      <x:c r="F11" s="623">
        <x:v>5</x:v>
      </x:c>
      <x:c r="G11" s="624">
        <x:v>3</x:v>
      </x:c>
      <x:c r="H11" s="624">
        <x:v>3</x:v>
      </x:c>
      <x:c r="I11" s="625">
        <x:f t="shared" si="0"/>
        <x:v>46216</x:v>
      </x:c>
      <x:c r="J11" s="625">
        <x:f t="shared" si="1"/>
        <x:v>46222</x:v>
      </x:c>
      <x:c r="K11" s="625" t="str">
        <x:f t="shared" si="2"/>
        <x:v>In Progress</x:v>
      </x:c>
      <x:c r="L11" s="626" t="n">
        <x:v>0.9</x:v>
      </x:c>
      <x:c r="M11" s="627" t="n">
        <x:f>SUMIF('Work Block Log'!$E$5:$E$200,A11,'Work Block Log'!$F$5:$F$200)</x:f>
        <x:v>2.85</x:v>
      </x:c>
      <x:c r="N11" s="627" t="n">
        <x:f t="shared" si="3">MAX(F11*(1-L11),0)</x:f>
        <x:v>0.4999999999999999</x:v>
      </x:c>
      <x:c r="O11" s="627" t="n">
        <x:f t="shared" si="4">M11-F11</x:f>
        <x:v>-2.15</x:v>
      </x:c>
      <x:c r="P11" s="624" t="str">
        <x:f t="shared" si="5"/>
        <x:v>feature/deterministic-check-engine; 53f96cc; CheckResult plus exact_match, boolean_equals, set_equals, and contains_all; 12 focused tests committed; final rerun and PR merge pending.</x:v>
      </x:c>
      <x:c r="Q11" s="621" t="str">
        <x:v>Run final focused and full-suite verification; push branch; open and merge PR; sync main; then mark WBS 1.3 complete and begin numeric_close.</x:v>
      </x:c>
      <x:c r="R11" s="641" t="str">
        <x:v>Worked 2026-07-05 from 10:04 AM to 12:55 PM (2.85 h). Implementation is committed on a clean feature branch. Last explicitly confirmed run was 10 focused and 48 total before two final tests were added.</x:v>
      </x:c>
      <x:c r="S11" s="173"/>
      <x:c r="T11" s="173"/>
      <x:c r="U11" s="174" t="s">
        <x:v>86</x:v>
      </x:c>
      <x:c r="V11" s="174"/>
      <x:c r="W11" s="174"/>
      <x:c r="X11" s="174"/>
      <x:c r="Y11" s="174"/>
      <x:c r="Z11" s="174"/>
      <x:c r="AA11" s="32"/>
      <x:c r="AB11" s="32"/>
      <x:c r="AC11" s="32"/>
      <x:c r="AD11" s="32"/>
      <x:c r="AE11" s="32"/>
      <x:c r="AF11" s="32"/>
      <x:c r="AG11" s="32"/>
      <x:c r="AH11" s="32"/>
      <x:c r="AI11" s="32"/>
      <x:c r="AJ11" s="32"/>
      <x:c r="AK11" s="32"/>
      <x:c r="AL11" s="32"/>
      <x:c r="AM11" s="32"/>
      <x:c r="AN11" s="32"/>
      <x:c r="AO11" s="32"/>
      <x:c r="AP11" s="32"/>
      <x:c r="AQ11" s="32"/>
      <x:c r="AR11" s="32"/>
      <x:c r="AS11" s="32"/>
      <x:c r="AT11" s="32"/>
      <x:c r="AU11" s="32"/>
      <x:c r="AV11" s="32"/>
      <x:c r="AW11" s="32"/>
      <x:c r="AX11" s="32"/>
      <x:c r="AY11" s="32"/>
      <x:c r="AZ11" s="32"/>
      <x:c r="BA11" s="32"/>
      <x:c r="BB11" s="32"/>
      <x:c r="BC11" s="32"/>
      <x:c r="BD11" s="32"/>
      <x:c r="BE11" s="32"/>
      <x:c r="BF11" s="32"/>
      <x:c r="BG11" s="32"/>
      <x:c r="BH11" s="32"/>
      <x:c r="BI11" s="32"/>
      <x:c r="BJ11" s="32"/>
      <x:c r="BK11" s="32"/>
      <x:c r="BL11" s="32"/>
      <x:c r="BM11" s="32"/>
      <x:c r="BN11" s="32"/>
      <x:c r="BO11" s="32"/>
      <x:c r="BP11" s="32"/>
      <x:c r="BQ11" s="30"/>
    </x:row>
    <x:row r="12" ht="42" customHeight="1">
      <x:c r="A12" s="613" t="s">
        <x:v>148</x:v>
      </x:c>
      <x:c r="B12" s="635" t="s">
        <x:v>87</x:v>
      </x:c>
      <x:c r="C12" s="613" t="s">
        <x:v>149</x:v>
      </x:c>
      <x:c r="D12" s="613" t="s">
        <x:v>150</x:v>
      </x:c>
      <x:c r="E12" s="613" t="s">
        <x:v>142</x:v>
      </x:c>
      <x:c r="F12" s="615">
        <x:v>4</x:v>
      </x:c>
      <x:c r="G12" s="616">
        <x:v>3</x:v>
      </x:c>
      <x:c r="H12" s="616">
        <x:v>4</x:v>
      </x:c>
      <x:c r="I12" s="617">
        <x:f t="shared" si="0"/>
        <x:v>46216</x:v>
      </x:c>
      <x:c r="J12" s="617">
        <x:f t="shared" si="1"/>
        <x:v>46229</x:v>
      </x:c>
      <x:c r="K12" s="617">
        <x:f t="shared" si="2"/>
        <x:v>27</x:v>
      </x:c>
      <x:c r="L12" s="618">
        <x:v>0</x:v>
      </x:c>
      <x:c r="M12" s="619" t="n">
        <x:f>SUMIF('Work Block Log'!$E$5:$E$200,A12,'Work Block Log'!$F$5:$F$200)</x:f>
        <x:v>0</x:v>
      </x:c>
      <x:c r="N12" s="619">
        <x:f t="shared" si="3"/>
        <x:v>4</x:v>
      </x:c>
      <x:c r="O12" s="619">
        <x:f t="shared" si="4"/>
        <x:v>-4</x:v>
      </x:c>
      <x:c r="P12" s="616">
        <x:f t="shared" si="5"/>
        <x:v>4</x:v>
      </x:c>
      <x:c r="Q12" s="613" t="s">
        <x:v>151</x:v>
      </x:c>
      <x:c r="R12" s="641" t="s">
        <x:v>152</x:v>
      </x:c>
      <x:c r="S12" s="173"/>
      <x:c r="T12" s="173"/>
      <x:c r="U12" s="173" t="s">
        <x:v>86</x:v>
      </x:c>
      <x:c r="V12" s="173" t="s">
        <x:v>86</x:v>
      </x:c>
      <x:c r="W12" s="173"/>
      <x:c r="X12" s="173"/>
      <x:c r="Y12" s="173"/>
      <x:c r="Z12" s="174"/>
      <x:c r="AA12" s="32"/>
      <x:c r="AB12" s="32"/>
      <x:c r="AC12" s="32"/>
      <x:c r="AD12" s="32"/>
      <x:c r="AE12" s="32"/>
      <x:c r="AF12" s="32"/>
      <x:c r="AG12" s="32"/>
      <x:c r="AH12" s="32"/>
      <x:c r="AI12" s="32"/>
      <x:c r="AJ12" s="32"/>
      <x:c r="AK12" s="32"/>
      <x:c r="AL12" s="32"/>
      <x:c r="AM12" s="32"/>
      <x:c r="AN12" s="32"/>
      <x:c r="AO12" s="32"/>
      <x:c r="AP12" s="32"/>
      <x:c r="AQ12" s="32"/>
      <x:c r="AR12" s="32"/>
      <x:c r="AS12" s="32"/>
      <x:c r="AT12" s="32"/>
      <x:c r="AU12" s="32"/>
      <x:c r="AV12" s="32"/>
      <x:c r="AW12" s="32"/>
      <x:c r="AX12" s="32"/>
      <x:c r="AY12" s="32"/>
      <x:c r="AZ12" s="32"/>
      <x:c r="BA12" s="32"/>
      <x:c r="BB12" s="32"/>
      <x:c r="BC12" s="32"/>
      <x:c r="BD12" s="32"/>
      <x:c r="BE12" s="32"/>
      <x:c r="BF12" s="32"/>
      <x:c r="BG12" s="32"/>
      <x:c r="BH12" s="32"/>
      <x:c r="BI12" s="32"/>
      <x:c r="BJ12" s="32"/>
      <x:c r="BK12" s="32"/>
      <x:c r="BL12" s="32"/>
      <x:c r="BM12" s="32"/>
      <x:c r="BN12" s="32"/>
      <x:c r="BO12" s="32"/>
      <x:c r="BP12" s="32"/>
      <x:c r="BQ12" s="30"/>
    </x:row>
    <x:row r="13" ht="42" customHeight="1">
      <x:c r="A13" s="621" t="s">
        <x:v>153</x:v>
      </x:c>
      <x:c r="B13" s="635" t="s">
        <x:v>87</x:v>
      </x:c>
      <x:c r="C13" s="621" t="s">
        <x:v>154</x:v>
      </x:c>
      <x:c r="D13" s="621" t="s">
        <x:v>155</x:v>
      </x:c>
      <x:c r="E13" s="621" t="s">
        <x:v>156</x:v>
      </x:c>
      <x:c r="F13" s="623">
        <x:v>6</x:v>
      </x:c>
      <x:c r="G13" s="624">
        <x:v>4</x:v>
      </x:c>
      <x:c r="H13" s="624">
        <x:v>4</x:v>
      </x:c>
      <x:c r="I13" s="625">
        <x:f t="shared" si="0"/>
        <x:v>46223</x:v>
      </x:c>
      <x:c r="J13" s="625">
        <x:f t="shared" si="1"/>
        <x:v>46229</x:v>
      </x:c>
      <x:c r="K13" s="625">
        <x:f t="shared" si="2"/>
        <x:v>27</x:v>
      </x:c>
      <x:c r="L13" s="626">
        <x:v>0</x:v>
      </x:c>
      <x:c r="M13" s="627" t="n">
        <x:f>SUMIF('Work Block Log'!$E$5:$E$200,A13,'Work Block Log'!$F$5:$F$200)</x:f>
        <x:v>0</x:v>
      </x:c>
      <x:c r="N13" s="627">
        <x:f t="shared" si="3"/>
        <x:v>6</x:v>
      </x:c>
      <x:c r="O13" s="627">
        <x:f t="shared" si="4"/>
        <x:v>-6</x:v>
      </x:c>
      <x:c r="P13" s="624">
        <x:f t="shared" si="5"/>
        <x:v>6</x:v>
      </x:c>
      <x:c r="Q13" s="621" t="s">
        <x:v>157</x:v>
      </x:c>
      <x:c r="R13" s="641" t="s">
        <x:v>158</x:v>
      </x:c>
      <x:c r="S13" s="173"/>
      <x:c r="T13" s="174"/>
      <x:c r="U13" s="173"/>
      <x:c r="V13" s="173" t="s">
        <x:v>86</x:v>
      </x:c>
      <x:c r="W13" s="173"/>
      <x:c r="X13" s="173"/>
      <x:c r="Y13" s="173"/>
      <x:c r="Z13" s="173"/>
      <x:c r="AA13" s="28"/>
      <x:c r="AB13" s="28"/>
      <x:c r="AC13" s="28"/>
      <x:c r="AD13" s="28"/>
      <x:c r="AE13" s="28"/>
      <x:c r="AF13" s="28"/>
      <x:c r="AG13" s="28"/>
      <x:c r="AH13" s="28"/>
      <x:c r="AI13" s="28"/>
      <x:c r="AJ13" s="28"/>
      <x:c r="AK13" s="28"/>
      <x:c r="AL13" s="28"/>
      <x:c r="AM13" s="28"/>
      <x:c r="AN13" s="28"/>
      <x:c r="AO13" s="28"/>
      <x:c r="AP13" s="28"/>
      <x:c r="AQ13" s="28"/>
      <x:c r="AR13" s="28"/>
      <x:c r="AS13" s="28"/>
      <x:c r="AT13" s="28"/>
      <x:c r="AU13" s="28"/>
      <x:c r="AV13" s="28"/>
      <x:c r="AW13" s="28"/>
      <x:c r="AX13" s="28"/>
      <x:c r="AY13" s="28"/>
      <x:c r="AZ13" s="28"/>
      <x:c r="BA13" s="28"/>
      <x:c r="BB13" s="28"/>
      <x:c r="BC13" s="28"/>
      <x:c r="BD13" s="28"/>
      <x:c r="BE13" s="28"/>
      <x:c r="BF13" s="28"/>
      <x:c r="BG13" s="28"/>
      <x:c r="BH13" s="28"/>
      <x:c r="BI13" s="28"/>
      <x:c r="BJ13" s="28"/>
      <x:c r="BK13" s="28"/>
      <x:c r="BL13" s="28"/>
      <x:c r="BM13" s="28"/>
      <x:c r="BN13" s="28"/>
      <x:c r="BO13" s="28"/>
      <x:c r="BP13" s="28"/>
      <x:c r="BQ13" s="29"/>
    </x:row>
    <x:row r="14" ht="42" customHeight="1">
      <x:c r="A14" s="613" t="s">
        <x:v>159</x:v>
      </x:c>
      <x:c r="B14" s="636" t="s">
        <x:v>90</x:v>
      </x:c>
      <x:c r="C14" s="613" t="s">
        <x:v>160</x:v>
      </x:c>
      <x:c r="D14" s="613" t="s">
        <x:v>161</x:v>
      </x:c>
      <x:c r="E14" s="613" t="s">
        <x:v>153</x:v>
      </x:c>
      <x:c r="F14" s="615">
        <x:v>4</x:v>
      </x:c>
      <x:c r="G14" s="616">
        <x:v>5</x:v>
      </x:c>
      <x:c r="H14" s="616">
        <x:v>5</x:v>
      </x:c>
      <x:c r="I14" s="617">
        <x:f t="shared" si="0"/>
        <x:v>46230</x:v>
      </x:c>
      <x:c r="J14" s="617">
        <x:f t="shared" si="1"/>
        <x:v>46236</x:v>
      </x:c>
      <x:c r="K14" s="617">
        <x:f t="shared" si="2"/>
        <x:v>34</x:v>
      </x:c>
      <x:c r="L14" s="618">
        <x:v>0</x:v>
      </x:c>
      <x:c r="M14" s="619" t="n">
        <x:f>SUMIF('Work Block Log'!$E$5:$E$200,A14,'Work Block Log'!$F$5:$F$200)</x:f>
        <x:v>0</x:v>
      </x:c>
      <x:c r="N14" s="619">
        <x:f t="shared" si="3"/>
        <x:v>4</x:v>
      </x:c>
      <x:c r="O14" s="619">
        <x:f t="shared" si="4"/>
        <x:v>-4</x:v>
      </x:c>
      <x:c r="P14" s="616">
        <x:f t="shared" si="5"/>
        <x:v>4</x:v>
      </x:c>
      <x:c r="Q14" s="613" t="s">
        <x:v>162</x:v>
      </x:c>
      <x:c r="R14" s="641" t="s">
        <x:v>163</x:v>
      </x:c>
      <x:c r="S14" s="173"/>
      <x:c r="T14" s="174"/>
      <x:c r="U14" s="174"/>
      <x:c r="V14" s="173"/>
      <x:c r="W14" s="173" t="s">
        <x:v>86</x:v>
      </x:c>
      <x:c r="X14" s="173"/>
      <x:c r="Y14" s="173"/>
      <x:c r="Z14" s="173"/>
      <x:c r="AA14" s="28"/>
      <x:c r="AB14" s="28"/>
      <x:c r="AC14" s="28"/>
      <x:c r="AD14" s="28"/>
      <x:c r="AE14" s="28"/>
      <x:c r="AF14" s="28"/>
      <x:c r="AG14" s="28"/>
      <x:c r="AH14" s="28"/>
      <x:c r="AI14" s="28"/>
      <x:c r="AJ14" s="28"/>
      <x:c r="AK14" s="28"/>
      <x:c r="AL14" s="28"/>
      <x:c r="AM14" s="28"/>
      <x:c r="AN14" s="28"/>
      <x:c r="AO14" s="28"/>
      <x:c r="AP14" s="28"/>
      <x:c r="AQ14" s="28"/>
      <x:c r="AR14" s="28"/>
      <x:c r="AS14" s="28"/>
      <x:c r="AT14" s="28"/>
      <x:c r="AU14" s="28"/>
      <x:c r="AV14" s="28"/>
      <x:c r="AW14" s="28"/>
      <x:c r="AX14" s="28"/>
      <x:c r="AY14" s="28"/>
      <x:c r="AZ14" s="28"/>
      <x:c r="BA14" s="28"/>
      <x:c r="BB14" s="28"/>
      <x:c r="BC14" s="28"/>
      <x:c r="BD14" s="28"/>
      <x:c r="BE14" s="28"/>
      <x:c r="BF14" s="28"/>
      <x:c r="BG14" s="28"/>
      <x:c r="BH14" s="28"/>
      <x:c r="BI14" s="28"/>
      <x:c r="BJ14" s="28"/>
      <x:c r="BK14" s="28"/>
      <x:c r="BL14" s="28"/>
      <x:c r="BM14" s="28"/>
      <x:c r="BN14" s="28"/>
      <x:c r="BO14" s="28"/>
      <x:c r="BP14" s="28"/>
      <x:c r="BQ14" s="29"/>
    </x:row>
    <x:row r="15" ht="62.099998474121094" customHeight="1">
      <x:c r="A15" s="621" t="s">
        <x:v>164</x:v>
      </x:c>
      <x:c r="B15" s="636" t="s">
        <x:v>90</x:v>
      </x:c>
      <x:c r="C15" s="621" t="s">
        <x:v>165</x:v>
      </x:c>
      <x:c r="D15" s="621" t="s">
        <x:v>166</x:v>
      </x:c>
      <x:c r="E15" s="621" t="s">
        <x:v>153</x:v>
      </x:c>
      <x:c r="F15" s="623">
        <x:v>4</x:v>
      </x:c>
      <x:c r="G15" s="624">
        <x:v>5</x:v>
      </x:c>
      <x:c r="H15" s="624">
        <x:v>5</x:v>
      </x:c>
      <x:c r="I15" s="625">
        <x:f t="shared" si="0"/>
        <x:v>46230</x:v>
      </x:c>
      <x:c r="J15" s="625">
        <x:f t="shared" si="1"/>
        <x:v>46236</x:v>
      </x:c>
      <x:c r="K15" s="625">
        <x:f t="shared" si="2"/>
        <x:v>34</x:v>
      </x:c>
      <x:c r="L15" s="626">
        <x:v>0</x:v>
      </x:c>
      <x:c r="M15" s="627" t="n">
        <x:f>SUMIF('Work Block Log'!$E$5:$E$200,A15,'Work Block Log'!$F$5:$F$200)</x:f>
        <x:v>0</x:v>
      </x:c>
      <x:c r="N15" s="627">
        <x:f t="shared" si="3"/>
        <x:v>4</x:v>
      </x:c>
      <x:c r="O15" s="627">
        <x:f t="shared" si="4"/>
        <x:v>-4</x:v>
      </x:c>
      <x:c r="P15" s="624">
        <x:f t="shared" si="5"/>
        <x:v>4</x:v>
      </x:c>
      <x:c r="Q15" s="621" t="s">
        <x:v>167</x:v>
      </x:c>
      <x:c r="R15" s="641" t="s">
        <x:v>168</x:v>
      </x:c>
      <x:c r="S15" s="173"/>
      <x:c r="T15" s="173"/>
      <x:c r="U15" s="174"/>
      <x:c r="V15" s="174"/>
      <x:c r="W15" s="173" t="s">
        <x:v>86</x:v>
      </x:c>
      <x:c r="X15" s="173"/>
      <x:c r="Y15" s="173"/>
      <x:c r="Z15" s="173"/>
      <x:c r="AA15" s="28"/>
      <x:c r="AB15" s="28"/>
      <x:c r="AC15" s="28"/>
      <x:c r="AD15" s="28"/>
      <x:c r="AE15" s="28"/>
      <x:c r="AF15" s="28"/>
      <x:c r="AG15" s="28"/>
      <x:c r="AH15" s="28"/>
      <x:c r="AI15" s="28"/>
      <x:c r="AJ15" s="28"/>
      <x:c r="AK15" s="28"/>
      <x:c r="AL15" s="28"/>
      <x:c r="AM15" s="28"/>
      <x:c r="AN15" s="28"/>
      <x:c r="AO15" s="28"/>
      <x:c r="AP15" s="28"/>
      <x:c r="AQ15" s="28"/>
      <x:c r="AR15" s="28"/>
      <x:c r="AS15" s="28"/>
      <x:c r="AT15" s="28"/>
      <x:c r="AU15" s="28"/>
      <x:c r="AV15" s="28"/>
      <x:c r="AW15" s="28"/>
      <x:c r="AX15" s="28"/>
      <x:c r="AY15" s="28"/>
      <x:c r="AZ15" s="28"/>
      <x:c r="BA15" s="28"/>
      <x:c r="BB15" s="28"/>
      <x:c r="BC15" s="28"/>
      <x:c r="BD15" s="28"/>
      <x:c r="BE15" s="28"/>
      <x:c r="BF15" s="28"/>
      <x:c r="BG15" s="28"/>
      <x:c r="BH15" s="28"/>
      <x:c r="BI15" s="28"/>
      <x:c r="BJ15" s="28"/>
      <x:c r="BK15" s="28"/>
      <x:c r="BL15" s="28"/>
      <x:c r="BM15" s="28"/>
      <x:c r="BN15" s="28"/>
      <x:c r="BO15" s="28"/>
      <x:c r="BP15" s="28"/>
      <x:c r="BQ15" s="29"/>
    </x:row>
    <x:row r="16" ht="42" customHeight="1">
      <x:c r="A16" s="613" t="s">
        <x:v>169</x:v>
      </x:c>
      <x:c r="B16" s="636" t="s">
        <x:v>90</x:v>
      </x:c>
      <x:c r="C16" s="613" t="s">
        <x:v>170</x:v>
      </x:c>
      <x:c r="D16" s="613" t="s">
        <x:v>171</x:v>
      </x:c>
      <x:c r="E16" s="613" t="s">
        <x:v>164</x:v>
      </x:c>
      <x:c r="F16" s="615">
        <x:v>3</x:v>
      </x:c>
      <x:c r="G16" s="616">
        <x:v>5</x:v>
      </x:c>
      <x:c r="H16" s="616">
        <x:v>5</x:v>
      </x:c>
      <x:c r="I16" s="617">
        <x:f t="shared" si="0"/>
        <x:v>46230</x:v>
      </x:c>
      <x:c r="J16" s="617">
        <x:f t="shared" si="1"/>
        <x:v>46236</x:v>
      </x:c>
      <x:c r="K16" s="617">
        <x:f t="shared" si="2"/>
        <x:v>34</x:v>
      </x:c>
      <x:c r="L16" s="618">
        <x:v>0</x:v>
      </x:c>
      <x:c r="M16" s="619" t="n">
        <x:f>SUMIF('Work Block Log'!$E$5:$E$200,A16,'Work Block Log'!$F$5:$F$200)</x:f>
        <x:v>0</x:v>
      </x:c>
      <x:c r="N16" s="619">
        <x:f t="shared" si="3"/>
        <x:v>3</x:v>
      </x:c>
      <x:c r="O16" s="619">
        <x:f t="shared" si="4"/>
        <x:v>-3</x:v>
      </x:c>
      <x:c r="P16" s="616">
        <x:f t="shared" si="5"/>
        <x:v>3</x:v>
      </x:c>
      <x:c r="Q16" s="613" t="s">
        <x:v>172</x:v>
      </x:c>
      <x:c r="R16" s="641" t="s">
        <x:v>173</x:v>
      </x:c>
      <x:c r="S16" s="173"/>
      <x:c r="T16" s="173"/>
      <x:c r="U16" s="173"/>
      <x:c r="V16" s="174"/>
      <x:c r="W16" s="174" t="s">
        <x:v>86</x:v>
      </x:c>
      <x:c r="X16" s="174"/>
      <x:c r="Y16" s="173"/>
      <x:c r="Z16" s="173"/>
      <x:c r="AA16" s="28"/>
      <x:c r="AB16" s="28"/>
      <x:c r="AC16" s="28"/>
      <x:c r="AD16" s="28"/>
      <x:c r="AE16" s="28"/>
      <x:c r="AF16" s="28"/>
      <x:c r="AG16" s="28"/>
      <x:c r="AH16" s="28"/>
      <x:c r="AI16" s="28"/>
      <x:c r="AJ16" s="28"/>
      <x:c r="AK16" s="28"/>
      <x:c r="AL16" s="28"/>
      <x:c r="AM16" s="28"/>
      <x:c r="AN16" s="28"/>
      <x:c r="AO16" s="28"/>
      <x:c r="AP16" s="28"/>
      <x:c r="AQ16" s="28"/>
      <x:c r="AR16" s="28"/>
      <x:c r="AS16" s="28"/>
      <x:c r="AT16" s="28"/>
      <x:c r="AU16" s="28"/>
      <x:c r="AV16" s="28"/>
      <x:c r="AW16" s="28"/>
      <x:c r="AX16" s="28"/>
      <x:c r="AY16" s="28"/>
      <x:c r="AZ16" s="28"/>
      <x:c r="BA16" s="28"/>
      <x:c r="BB16" s="28"/>
      <x:c r="BC16" s="28"/>
      <x:c r="BD16" s="28"/>
      <x:c r="BE16" s="28"/>
      <x:c r="BF16" s="28"/>
      <x:c r="BG16" s="28"/>
      <x:c r="BH16" s="28"/>
      <x:c r="BI16" s="28"/>
      <x:c r="BJ16" s="28"/>
      <x:c r="BK16" s="28"/>
      <x:c r="BL16" s="28"/>
      <x:c r="BM16" s="28"/>
      <x:c r="BN16" s="28"/>
      <x:c r="BO16" s="28"/>
      <x:c r="BP16" s="28"/>
      <x:c r="BQ16" s="29"/>
    </x:row>
    <x:row r="17" ht="42" customHeight="1">
      <x:c r="A17" s="621" t="s">
        <x:v>174</x:v>
      </x:c>
      <x:c r="B17" s="636" t="s">
        <x:v>90</x:v>
      </x:c>
      <x:c r="C17" s="621" t="s">
        <x:v>175</x:v>
      </x:c>
      <x:c r="D17" s="621" t="s">
        <x:v>176</x:v>
      </x:c>
      <x:c r="E17" s="621" t="s">
        <x:v>177</x:v>
      </x:c>
      <x:c r="F17" s="623">
        <x:v>3</x:v>
      </x:c>
      <x:c r="G17" s="624">
        <x:v>5</x:v>
      </x:c>
      <x:c r="H17" s="624">
        <x:v>5</x:v>
      </x:c>
      <x:c r="I17" s="625">
        <x:f t="shared" si="0"/>
        <x:v>46230</x:v>
      </x:c>
      <x:c r="J17" s="625">
        <x:f t="shared" si="1"/>
        <x:v>46236</x:v>
      </x:c>
      <x:c r="K17" s="625">
        <x:f t="shared" si="2"/>
        <x:v>34</x:v>
      </x:c>
      <x:c r="L17" s="626">
        <x:v>0</x:v>
      </x:c>
      <x:c r="M17" s="627" t="n">
        <x:f>SUMIF('Work Block Log'!$E$5:$E$200,A17,'Work Block Log'!$F$5:$F$200)</x:f>
        <x:v>0</x:v>
      </x:c>
      <x:c r="N17" s="627">
        <x:f t="shared" si="3"/>
        <x:v>3</x:v>
      </x:c>
      <x:c r="O17" s="627">
        <x:f t="shared" si="4"/>
        <x:v>-3</x:v>
      </x:c>
      <x:c r="P17" s="624">
        <x:f t="shared" si="5"/>
        <x:v>3</x:v>
      </x:c>
      <x:c r="Q17" s="621" t="s">
        <x:v>178</x:v>
      </x:c>
      <x:c r="R17" s="641" t="s">
        <x:v>179</x:v>
      </x:c>
      <x:c r="S17" s="173"/>
      <x:c r="T17" s="173"/>
      <x:c r="U17" s="173"/>
      <x:c r="V17" s="173"/>
      <x:c r="W17" s="173" t="s">
        <x:v>86</x:v>
      </x:c>
      <x:c r="X17" s="174"/>
      <x:c r="Y17" s="174"/>
      <x:c r="Z17" s="173"/>
      <x:c r="AA17" s="28"/>
      <x:c r="AB17" s="28"/>
      <x:c r="AC17" s="28"/>
      <x:c r="AD17" s="28"/>
      <x:c r="AE17" s="28"/>
      <x:c r="AF17" s="28"/>
      <x:c r="AG17" s="28"/>
      <x:c r="AH17" s="28"/>
      <x:c r="AI17" s="28"/>
      <x:c r="AJ17" s="28"/>
      <x:c r="AK17" s="28"/>
      <x:c r="AL17" s="28"/>
      <x:c r="AM17" s="28"/>
      <x:c r="AN17" s="28"/>
      <x:c r="AO17" s="28"/>
      <x:c r="AP17" s="28"/>
      <x:c r="AQ17" s="28"/>
      <x:c r="AR17" s="28"/>
      <x:c r="AS17" s="28"/>
      <x:c r="AT17" s="28"/>
      <x:c r="AU17" s="28"/>
      <x:c r="AV17" s="28"/>
      <x:c r="AW17" s="28"/>
      <x:c r="AX17" s="28"/>
      <x:c r="AY17" s="28"/>
      <x:c r="AZ17" s="28"/>
      <x:c r="BA17" s="28"/>
      <x:c r="BB17" s="28"/>
      <x:c r="BC17" s="28"/>
      <x:c r="BD17" s="28"/>
      <x:c r="BE17" s="28"/>
      <x:c r="BF17" s="28"/>
      <x:c r="BG17" s="28"/>
      <x:c r="BH17" s="28"/>
      <x:c r="BI17" s="28"/>
      <x:c r="BJ17" s="28"/>
      <x:c r="BK17" s="28"/>
      <x:c r="BL17" s="28"/>
      <x:c r="BM17" s="28"/>
      <x:c r="BN17" s="28"/>
      <x:c r="BO17" s="28"/>
      <x:c r="BP17" s="28"/>
      <x:c r="BQ17" s="29"/>
    </x:row>
    <x:row r="18" ht="42" customHeight="1">
      <x:c r="A18" s="613" t="s">
        <x:v>180</x:v>
      </x:c>
      <x:c r="B18" s="637" t="s">
        <x:v>93</x:v>
      </x:c>
      <x:c r="C18" s="613" t="s">
        <x:v>181</x:v>
      </x:c>
      <x:c r="D18" s="613" t="s">
        <x:v>182</x:v>
      </x:c>
      <x:c r="E18" s="613" t="s">
        <x:v>134</x:v>
      </x:c>
      <x:c r="F18" s="615">
        <x:v>4</x:v>
      </x:c>
      <x:c r="G18" s="616">
        <x:v>2</x:v>
      </x:c>
      <x:c r="H18" s="616">
        <x:v>3</x:v>
      </x:c>
      <x:c r="I18" s="617">
        <x:f t="shared" si="0"/>
        <x:v>46209</x:v>
      </x:c>
      <x:c r="J18" s="617">
        <x:f t="shared" si="1"/>
        <x:v>46222</x:v>
      </x:c>
      <x:c r="K18" s="617">
        <x:f t="shared" si="2"/>
        <x:v>20</x:v>
      </x:c>
      <x:c r="L18" s="618">
        <x:v>0</x:v>
      </x:c>
      <x:c r="M18" s="619" t="n">
        <x:f>SUMIF('Work Block Log'!$E$5:$E$200,A18,'Work Block Log'!$F$5:$F$200)</x:f>
        <x:v>0</x:v>
      </x:c>
      <x:c r="N18" s="619">
        <x:f t="shared" si="3"/>
        <x:v>4</x:v>
      </x:c>
      <x:c r="O18" s="619">
        <x:f t="shared" si="4"/>
        <x:v>-4</x:v>
      </x:c>
      <x:c r="P18" s="616">
        <x:f t="shared" si="5"/>
        <x:v>4</x:v>
      </x:c>
      <x:c r="Q18" s="613" t="s">
        <x:v>183</x:v>
      </x:c>
      <x:c r="R18" s="641" t="s">
        <x:v>184</x:v>
      </x:c>
      <x:c r="S18" s="173"/>
      <x:c r="T18" s="173" t="s">
        <x:v>86</x:v>
      </x:c>
      <x:c r="U18" s="173" t="s">
        <x:v>86</x:v>
      </x:c>
      <x:c r="V18" s="173"/>
      <x:c r="W18" s="173"/>
      <x:c r="X18" s="173"/>
      <x:c r="Y18" s="174"/>
      <x:c r="Z18" s="173"/>
      <x:c r="AA18" s="28"/>
      <x:c r="AB18" s="28"/>
      <x:c r="AC18" s="28"/>
      <x:c r="AD18" s="28"/>
      <x:c r="AE18" s="28"/>
      <x:c r="AF18" s="28"/>
      <x:c r="AG18" s="28"/>
      <x:c r="AH18" s="28"/>
      <x:c r="AI18" s="28"/>
      <x:c r="AJ18" s="28"/>
      <x:c r="AK18" s="28"/>
      <x:c r="AL18" s="28"/>
      <x:c r="AM18" s="28"/>
      <x:c r="AN18" s="28"/>
      <x:c r="AO18" s="28"/>
      <x:c r="AP18" s="28"/>
      <x:c r="AQ18" s="28"/>
      <x:c r="AR18" s="28"/>
      <x:c r="AS18" s="28"/>
      <x:c r="AT18" s="28"/>
      <x:c r="AU18" s="28"/>
      <x:c r="AV18" s="28"/>
      <x:c r="AW18" s="28"/>
      <x:c r="AX18" s="28"/>
      <x:c r="AY18" s="28"/>
      <x:c r="AZ18" s="28"/>
      <x:c r="BA18" s="28"/>
      <x:c r="BB18" s="28"/>
      <x:c r="BC18" s="28"/>
      <x:c r="BD18" s="28"/>
      <x:c r="BE18" s="28"/>
      <x:c r="BF18" s="28"/>
      <x:c r="BG18" s="28"/>
      <x:c r="BH18" s="28"/>
      <x:c r="BI18" s="28"/>
      <x:c r="BJ18" s="28"/>
      <x:c r="BK18" s="28"/>
      <x:c r="BL18" s="28"/>
      <x:c r="BM18" s="28"/>
      <x:c r="BN18" s="28"/>
      <x:c r="BO18" s="28"/>
      <x:c r="BP18" s="28"/>
      <x:c r="BQ18" s="29"/>
    </x:row>
    <x:row r="19" ht="42" customHeight="1">
      <x:c r="A19" s="621" t="s">
        <x:v>185</x:v>
      </x:c>
      <x:c r="B19" s="637" t="s">
        <x:v>93</x:v>
      </x:c>
      <x:c r="C19" s="621" t="s">
        <x:v>186</x:v>
      </x:c>
      <x:c r="D19" s="621" t="s">
        <x:v>187</x:v>
      </x:c>
      <x:c r="E19" s="621" t="s">
        <x:v>188</x:v>
      </x:c>
      <x:c r="F19" s="623">
        <x:v>5</x:v>
      </x:c>
      <x:c r="G19" s="624">
        <x:v>6</x:v>
      </x:c>
      <x:c r="H19" s="624">
        <x:v>6</x:v>
      </x:c>
      <x:c r="I19" s="625">
        <x:f t="shared" si="0"/>
        <x:v>46237</x:v>
      </x:c>
      <x:c r="J19" s="625">
        <x:f t="shared" si="1"/>
        <x:v>46243</x:v>
      </x:c>
      <x:c r="K19" s="625">
        <x:f t="shared" si="2"/>
        <x:v>41</x:v>
      </x:c>
      <x:c r="L19" s="626">
        <x:v>0</x:v>
      </x:c>
      <x:c r="M19" s="627" t="n">
        <x:f>SUMIF('Work Block Log'!$E$5:$E$200,A19,'Work Block Log'!$F$5:$F$200)</x:f>
        <x:v>0</x:v>
      </x:c>
      <x:c r="N19" s="627">
        <x:f t="shared" si="3"/>
        <x:v>5</x:v>
      </x:c>
      <x:c r="O19" s="627">
        <x:f t="shared" si="4"/>
        <x:v>-5</x:v>
      </x:c>
      <x:c r="P19" s="624">
        <x:f t="shared" si="5"/>
        <x:v>5</x:v>
      </x:c>
      <x:c r="Q19" s="621" t="s">
        <x:v>189</x:v>
      </x:c>
      <x:c r="R19" s="641" t="s">
        <x:v>190</x:v>
      </x:c>
      <x:c r="S19" s="173"/>
      <x:c r="T19" s="173"/>
      <x:c r="U19" s="173"/>
      <x:c r="V19" s="173"/>
      <x:c r="W19" s="173"/>
      <x:c r="X19" s="173" t="s">
        <x:v>86</x:v>
      </x:c>
      <x:c r="Y19" s="173"/>
      <x:c r="Z19" s="174"/>
      <x:c r="AA19" s="28"/>
      <x:c r="AB19" s="28"/>
      <x:c r="AC19" s="28"/>
      <x:c r="AD19" s="28"/>
      <x:c r="AE19" s="28"/>
      <x:c r="AF19" s="28"/>
      <x:c r="AG19" s="28"/>
      <x:c r="AH19" s="28"/>
      <x:c r="AI19" s="28"/>
      <x:c r="AJ19" s="28"/>
      <x:c r="AK19" s="28"/>
      <x:c r="AL19" s="28"/>
      <x:c r="AM19" s="28"/>
      <x:c r="AN19" s="28"/>
      <x:c r="AO19" s="28"/>
      <x:c r="AP19" s="28"/>
      <x:c r="AQ19" s="28"/>
      <x:c r="AR19" s="28"/>
      <x:c r="AS19" s="28"/>
      <x:c r="AT19" s="28"/>
      <x:c r="AU19" s="28"/>
      <x:c r="AV19" s="28"/>
      <x:c r="AW19" s="28"/>
      <x:c r="AX19" s="28"/>
      <x:c r="AY19" s="28"/>
      <x:c r="AZ19" s="28"/>
      <x:c r="BA19" s="28"/>
      <x:c r="BB19" s="28"/>
      <x:c r="BC19" s="28"/>
      <x:c r="BD19" s="28"/>
      <x:c r="BE19" s="28"/>
      <x:c r="BF19" s="28"/>
      <x:c r="BG19" s="28"/>
      <x:c r="BH19" s="28"/>
      <x:c r="BI19" s="28"/>
      <x:c r="BJ19" s="28"/>
      <x:c r="BK19" s="28"/>
      <x:c r="BL19" s="28"/>
      <x:c r="BM19" s="28"/>
      <x:c r="BN19" s="28"/>
      <x:c r="BO19" s="28"/>
      <x:c r="BP19" s="28"/>
      <x:c r="BQ19" s="29"/>
    </x:row>
    <x:row r="20" ht="42" customHeight="1">
      <x:c r="A20" s="613" t="s">
        <x:v>191</x:v>
      </x:c>
      <x:c r="B20" s="637" t="s">
        <x:v>93</x:v>
      </x:c>
      <x:c r="C20" s="613" t="s">
        <x:v>192</x:v>
      </x:c>
      <x:c r="D20" s="613" t="s">
        <x:v>193</x:v>
      </x:c>
      <x:c r="E20" s="613" t="s">
        <x:v>185</x:v>
      </x:c>
      <x:c r="F20" s="615">
        <x:v>2</x:v>
      </x:c>
      <x:c r="G20" s="616">
        <x:v>6</x:v>
      </x:c>
      <x:c r="H20" s="616">
        <x:v>6</x:v>
      </x:c>
      <x:c r="I20" s="617">
        <x:f t="shared" si="0"/>
        <x:v>46237</x:v>
      </x:c>
      <x:c r="J20" s="617">
        <x:f t="shared" si="1"/>
        <x:v>46243</x:v>
      </x:c>
      <x:c r="K20" s="617">
        <x:f t="shared" si="2"/>
        <x:v>41</x:v>
      </x:c>
      <x:c r="L20" s="618">
        <x:v>0</x:v>
      </x:c>
      <x:c r="M20" s="619" t="n">
        <x:f>SUMIF('Work Block Log'!$E$5:$E$200,A20,'Work Block Log'!$F$5:$F$200)</x:f>
        <x:v>0</x:v>
      </x:c>
      <x:c r="N20" s="619">
        <x:f t="shared" si="3"/>
        <x:v>2</x:v>
      </x:c>
      <x:c r="O20" s="619">
        <x:f t="shared" si="4"/>
        <x:v>-2</x:v>
      </x:c>
      <x:c r="P20" s="616">
        <x:f t="shared" si="5"/>
        <x:v>2</x:v>
      </x:c>
      <x:c r="Q20" s="613" t="s">
        <x:v>194</x:v>
      </x:c>
      <x:c r="R20" s="641" t="s">
        <x:v>195</x:v>
      </x:c>
      <x:c r="S20" s="173"/>
      <x:c r="T20" s="173"/>
      <x:c r="U20" s="173"/>
      <x:c r="V20" s="173"/>
      <x:c r="W20" s="173"/>
      <x:c r="X20" s="173" t="s">
        <x:v>86</x:v>
      </x:c>
      <x:c r="Y20" s="173"/>
      <x:c r="Z20" s="173"/>
      <x:c r="AA20" s="33"/>
      <x:c r="AB20" s="28"/>
      <x:c r="AC20" s="28"/>
      <x:c r="AD20" s="28"/>
      <x:c r="AE20" s="28"/>
      <x:c r="AF20" s="28"/>
      <x:c r="AG20" s="28"/>
      <x:c r="AH20" s="28"/>
      <x:c r="AI20" s="28"/>
      <x:c r="AJ20" s="28"/>
      <x:c r="AK20" s="28"/>
      <x:c r="AL20" s="28"/>
      <x:c r="AM20" s="28"/>
      <x:c r="AN20" s="28"/>
      <x:c r="AO20" s="28"/>
      <x:c r="AP20" s="28"/>
      <x:c r="AQ20" s="28"/>
      <x:c r="AR20" s="28"/>
      <x:c r="AS20" s="28"/>
      <x:c r="AT20" s="28"/>
      <x:c r="AU20" s="28"/>
      <x:c r="AV20" s="28"/>
      <x:c r="AW20" s="28"/>
      <x:c r="AX20" s="28"/>
      <x:c r="AY20" s="28"/>
      <x:c r="AZ20" s="28"/>
      <x:c r="BA20" s="28"/>
      <x:c r="BB20" s="28"/>
      <x:c r="BC20" s="28"/>
      <x:c r="BD20" s="28"/>
      <x:c r="BE20" s="28"/>
      <x:c r="BF20" s="28"/>
      <x:c r="BG20" s="28"/>
      <x:c r="BH20" s="28"/>
      <x:c r="BI20" s="28"/>
      <x:c r="BJ20" s="28"/>
      <x:c r="BK20" s="28"/>
      <x:c r="BL20" s="28"/>
      <x:c r="BM20" s="28"/>
      <x:c r="BN20" s="28"/>
      <x:c r="BO20" s="28"/>
      <x:c r="BP20" s="28"/>
      <x:c r="BQ20" s="29"/>
    </x:row>
    <x:row r="21" ht="42" customHeight="1">
      <x:c r="A21" s="621" t="s">
        <x:v>196</x:v>
      </x:c>
      <x:c r="B21" s="637" t="s">
        <x:v>93</x:v>
      </x:c>
      <x:c r="C21" s="621" t="s">
        <x:v>197</x:v>
      </x:c>
      <x:c r="D21" s="621" t="s">
        <x:v>198</x:v>
      </x:c>
      <x:c r="E21" s="621" t="s">
        <x:v>199</x:v>
      </x:c>
      <x:c r="F21" s="623">
        <x:v>3</x:v>
      </x:c>
      <x:c r="G21" s="624">
        <x:v>6</x:v>
      </x:c>
      <x:c r="H21" s="624">
        <x:v>6</x:v>
      </x:c>
      <x:c r="I21" s="625">
        <x:f t="shared" si="0"/>
        <x:v>46237</x:v>
      </x:c>
      <x:c r="J21" s="625">
        <x:f t="shared" si="1"/>
        <x:v>46243</x:v>
      </x:c>
      <x:c r="K21" s="625">
        <x:f t="shared" si="2"/>
        <x:v>41</x:v>
      </x:c>
      <x:c r="L21" s="626">
        <x:v>0</x:v>
      </x:c>
      <x:c r="M21" s="627" t="n">
        <x:f>SUMIF('Work Block Log'!$E$5:$E$200,A21,'Work Block Log'!$F$5:$F$200)</x:f>
        <x:v>0</x:v>
      </x:c>
      <x:c r="N21" s="627">
        <x:f t="shared" si="3"/>
        <x:v>3</x:v>
      </x:c>
      <x:c r="O21" s="627">
        <x:f t="shared" si="4"/>
        <x:v>-3</x:v>
      </x:c>
      <x:c r="P21" s="624">
        <x:f t="shared" si="5"/>
        <x:v>3</x:v>
      </x:c>
      <x:c r="Q21" s="621" t="s">
        <x:v>200</x:v>
      </x:c>
      <x:c r="R21" s="641" t="s">
        <x:v>201</x:v>
      </x:c>
      <x:c r="S21" s="173"/>
      <x:c r="T21" s="173"/>
      <x:c r="U21" s="173"/>
      <x:c r="V21" s="173"/>
      <x:c r="W21" s="173"/>
      <x:c r="X21" s="173" t="s">
        <x:v>86</x:v>
      </x:c>
      <x:c r="Y21" s="173"/>
      <x:c r="Z21" s="173"/>
      <x:c r="AA21" s="34"/>
      <x:c r="AB21" s="35"/>
      <x:c r="AC21" s="28"/>
      <x:c r="AD21" s="28"/>
      <x:c r="AE21" s="28"/>
      <x:c r="AF21" s="28"/>
      <x:c r="AG21" s="28"/>
      <x:c r="AH21" s="28"/>
      <x:c r="AI21" s="28"/>
      <x:c r="AJ21" s="28"/>
      <x:c r="AK21" s="28"/>
      <x:c r="AL21" s="28"/>
      <x:c r="AM21" s="28"/>
      <x:c r="AN21" s="28"/>
      <x:c r="AO21" s="28"/>
      <x:c r="AP21" s="28"/>
      <x:c r="AQ21" s="28"/>
      <x:c r="AR21" s="28"/>
      <x:c r="AS21" s="28"/>
      <x:c r="AT21" s="28"/>
      <x:c r="AU21" s="28"/>
      <x:c r="AV21" s="28"/>
      <x:c r="AW21" s="28"/>
      <x:c r="AX21" s="28"/>
      <x:c r="AY21" s="28"/>
      <x:c r="AZ21" s="28"/>
      <x:c r="BA21" s="28"/>
      <x:c r="BB21" s="28"/>
      <x:c r="BC21" s="28"/>
      <x:c r="BD21" s="28"/>
      <x:c r="BE21" s="28"/>
      <x:c r="BF21" s="28"/>
      <x:c r="BG21" s="28"/>
      <x:c r="BH21" s="28"/>
      <x:c r="BI21" s="28"/>
      <x:c r="BJ21" s="28"/>
      <x:c r="BK21" s="28"/>
      <x:c r="BL21" s="28"/>
      <x:c r="BM21" s="28"/>
      <x:c r="BN21" s="28"/>
      <x:c r="BO21" s="28"/>
      <x:c r="BP21" s="28"/>
      <x:c r="BQ21" s="29"/>
    </x:row>
    <x:row r="22" ht="42" customHeight="1">
      <x:c r="A22" s="613" t="s">
        <x:v>202</x:v>
      </x:c>
      <x:c r="B22" s="638" t="s">
        <x:v>96</x:v>
      </x:c>
      <x:c r="C22" s="613" t="s">
        <x:v>203</x:v>
      </x:c>
      <x:c r="D22" s="613" t="s">
        <x:v>204</x:v>
      </x:c>
      <x:c r="E22" s="613" t="s">
        <x:v>153</x:v>
      </x:c>
      <x:c r="F22" s="615">
        <x:v>3</x:v>
      </x:c>
      <x:c r="G22" s="616">
        <x:v>4</x:v>
      </x:c>
      <x:c r="H22" s="616">
        <x:v>6</x:v>
      </x:c>
      <x:c r="I22" s="617">
        <x:f t="shared" si="0"/>
        <x:v>46223</x:v>
      </x:c>
      <x:c r="J22" s="617">
        <x:f t="shared" si="1"/>
        <x:v>46243</x:v>
      </x:c>
      <x:c r="K22" s="617">
        <x:f t="shared" si="2"/>
        <x:v>41</x:v>
      </x:c>
      <x:c r="L22" s="618">
        <x:v>0.35</x:v>
      </x:c>
      <x:c r="M22" s="619" t="n">
        <x:f>SUMIF('Work Block Log'!$E$5:$E$200,A22,'Work Block Log'!$F$5:$F$200)</x:f>
        <x:v>0</x:v>
      </x:c>
      <x:c r="N22" s="619">
        <x:f t="shared" si="3"/>
        <x:v>1.9500000000000002</x:v>
      </x:c>
      <x:c r="O22" s="619">
        <x:f t="shared" si="4"/>
        <x:v>-3</x:v>
      </x:c>
      <x:c r="P22" s="616">
        <x:f t="shared" si="5"/>
        <x:v>3</x:v>
      </x:c>
      <x:c r="Q22" s="613" t="s">
        <x:v>205</x:v>
      </x:c>
      <x:c r="R22" s="641" t="s">
        <x:v>206</x:v>
      </x:c>
      <x:c r="S22" s="173"/>
      <x:c r="T22" s="173"/>
      <x:c r="U22" s="173"/>
      <x:c r="V22" s="173" t="s">
        <x:v>86</x:v>
      </x:c>
      <x:c r="W22" s="173" t="s">
        <x:v>86</x:v>
      </x:c>
      <x:c r="X22" s="173" t="s">
        <x:v>86</x:v>
      </x:c>
      <x:c r="Y22" s="173"/>
      <x:c r="Z22" s="173"/>
      <x:c r="AA22" s="28"/>
      <x:c r="AB22" s="34"/>
      <x:c r="AC22" s="35"/>
      <x:c r="AD22" s="28"/>
      <x:c r="AE22" s="28"/>
      <x:c r="AF22" s="28"/>
      <x:c r="AG22" s="28"/>
      <x:c r="AH22" s="28"/>
      <x:c r="AI22" s="28"/>
      <x:c r="AJ22" s="28"/>
      <x:c r="AK22" s="28"/>
      <x:c r="AL22" s="28"/>
      <x:c r="AM22" s="28"/>
      <x:c r="AN22" s="28"/>
      <x:c r="AO22" s="28"/>
      <x:c r="AP22" s="28"/>
      <x:c r="AQ22" s="28"/>
      <x:c r="AR22" s="28"/>
      <x:c r="AS22" s="28"/>
      <x:c r="AT22" s="28"/>
      <x:c r="AU22" s="28"/>
      <x:c r="AV22" s="28"/>
      <x:c r="AW22" s="28"/>
      <x:c r="AX22" s="28"/>
      <x:c r="AY22" s="28"/>
      <x:c r="AZ22" s="28"/>
      <x:c r="BA22" s="28"/>
      <x:c r="BB22" s="28"/>
      <x:c r="BC22" s="28"/>
      <x:c r="BD22" s="28"/>
      <x:c r="BE22" s="28"/>
      <x:c r="BF22" s="28"/>
      <x:c r="BG22" s="28"/>
      <x:c r="BH22" s="28"/>
      <x:c r="BI22" s="28"/>
      <x:c r="BJ22" s="28"/>
      <x:c r="BK22" s="28"/>
      <x:c r="BL22" s="28"/>
      <x:c r="BM22" s="28"/>
      <x:c r="BN22" s="28"/>
      <x:c r="BO22" s="28"/>
      <x:c r="BP22" s="28"/>
      <x:c r="BQ22" s="29"/>
    </x:row>
    <x:row r="23" ht="42" customHeight="1">
      <x:c r="A23" s="621" t="s">
        <x:v>207</x:v>
      </x:c>
      <x:c r="B23" s="638" t="s">
        <x:v>96</x:v>
      </x:c>
      <x:c r="C23" s="621" t="s">
        <x:v>208</x:v>
      </x:c>
      <x:c r="D23" s="621" t="s">
        <x:v>209</x:v>
      </x:c>
      <x:c r="E23" s="621" t="s">
        <x:v>202</x:v>
      </x:c>
      <x:c r="F23" s="623">
        <x:v>2</x:v>
      </x:c>
      <x:c r="G23" s="624">
        <x:v>7</x:v>
      </x:c>
      <x:c r="H23" s="624">
        <x:v>7</x:v>
      </x:c>
      <x:c r="I23" s="625">
        <x:f t="shared" si="0"/>
        <x:v>46244</x:v>
      </x:c>
      <x:c r="J23" s="625">
        <x:f t="shared" si="1"/>
        <x:v>46250</x:v>
      </x:c>
      <x:c r="K23" s="625">
        <x:f t="shared" si="2"/>
        <x:v>48</x:v>
      </x:c>
      <x:c r="L23" s="626">
        <x:v>0</x:v>
      </x:c>
      <x:c r="M23" s="627" t="n">
        <x:f>SUMIF('Work Block Log'!$E$5:$E$200,A23,'Work Block Log'!$F$5:$F$200)</x:f>
        <x:v>0</x:v>
      </x:c>
      <x:c r="N23" s="627">
        <x:f t="shared" si="3"/>
        <x:v>2</x:v>
      </x:c>
      <x:c r="O23" s="627">
        <x:f t="shared" si="4"/>
        <x:v>-2</x:v>
      </x:c>
      <x:c r="P23" s="624">
        <x:f t="shared" si="5"/>
        <x:v>2</x:v>
      </x:c>
      <x:c r="Q23" s="621" t="s">
        <x:v>210</x:v>
      </x:c>
      <x:c r="R23" s="641" t="s">
        <x:v>211</x:v>
      </x:c>
      <x:c r="S23" s="173"/>
      <x:c r="T23" s="173"/>
      <x:c r="U23" s="173"/>
      <x:c r="V23" s="173"/>
      <x:c r="W23" s="173"/>
      <x:c r="X23" s="173"/>
      <x:c r="Y23" s="173" t="s">
        <x:v>86</x:v>
      </x:c>
      <x:c r="Z23" s="173"/>
      <x:c r="AA23" s="28"/>
      <x:c r="AB23" s="28"/>
      <x:c r="AC23" s="34"/>
      <x:c r="AD23" s="35"/>
      <x:c r="AE23" s="28"/>
      <x:c r="AF23" s="28"/>
      <x:c r="AG23" s="28"/>
      <x:c r="AH23" s="28"/>
      <x:c r="AI23" s="28"/>
      <x:c r="AJ23" s="28"/>
      <x:c r="AK23" s="28"/>
      <x:c r="AL23" s="28"/>
      <x:c r="AM23" s="28"/>
      <x:c r="AN23" s="28"/>
      <x:c r="AO23" s="28"/>
      <x:c r="AP23" s="28"/>
      <x:c r="AQ23" s="28"/>
      <x:c r="AR23" s="28"/>
      <x:c r="AS23" s="28"/>
      <x:c r="AT23" s="28"/>
      <x:c r="AU23" s="28"/>
      <x:c r="AV23" s="28"/>
      <x:c r="AW23" s="28"/>
      <x:c r="AX23" s="28"/>
      <x:c r="AY23" s="28"/>
      <x:c r="AZ23" s="28"/>
      <x:c r="BA23" s="28"/>
      <x:c r="BB23" s="28"/>
      <x:c r="BC23" s="28"/>
      <x:c r="BD23" s="28"/>
      <x:c r="BE23" s="28"/>
      <x:c r="BF23" s="28"/>
      <x:c r="BG23" s="28"/>
      <x:c r="BH23" s="28"/>
      <x:c r="BI23" s="28"/>
      <x:c r="BJ23" s="28"/>
      <x:c r="BK23" s="28"/>
      <x:c r="BL23" s="28"/>
      <x:c r="BM23" s="28"/>
      <x:c r="BN23" s="28"/>
      <x:c r="BO23" s="28"/>
      <x:c r="BP23" s="28"/>
      <x:c r="BQ23" s="29"/>
    </x:row>
    <x:row r="24" ht="42" customHeight="1">
      <x:c r="A24" s="613" t="s">
        <x:v>212</x:v>
      </x:c>
      <x:c r="B24" s="638" t="s">
        <x:v>96</x:v>
      </x:c>
      <x:c r="C24" s="613" t="s">
        <x:v>213</x:v>
      </x:c>
      <x:c r="D24" s="613" t="s">
        <x:v>214</x:v>
      </x:c>
      <x:c r="E24" s="613" t="s">
        <x:v>215</x:v>
      </x:c>
      <x:c r="F24" s="615">
        <x:v>3</x:v>
      </x:c>
      <x:c r="G24" s="616">
        <x:v>7</x:v>
      </x:c>
      <x:c r="H24" s="616">
        <x:v>7</x:v>
      </x:c>
      <x:c r="I24" s="617">
        <x:f t="shared" si="0"/>
        <x:v>46244</x:v>
      </x:c>
      <x:c r="J24" s="617">
        <x:f t="shared" si="1"/>
        <x:v>46250</x:v>
      </x:c>
      <x:c r="K24" s="617">
        <x:f t="shared" si="2"/>
        <x:v>48</x:v>
      </x:c>
      <x:c r="L24" s="618">
        <x:v>0.35</x:v>
      </x:c>
      <x:c r="M24" s="619" t="n">
        <x:f>SUMIF('Work Block Log'!$E$5:$E$200,A24,'Work Block Log'!$F$5:$F$200)</x:f>
        <x:v>0</x:v>
      </x:c>
      <x:c r="N24" s="619">
        <x:f t="shared" si="3"/>
        <x:v>1.9500000000000002</x:v>
      </x:c>
      <x:c r="O24" s="619">
        <x:f t="shared" si="4"/>
        <x:v>-3</x:v>
      </x:c>
      <x:c r="P24" s="616">
        <x:f t="shared" si="5"/>
        <x:v>3</x:v>
      </x:c>
      <x:c r="Q24" s="613" t="s">
        <x:v>216</x:v>
      </x:c>
      <x:c r="R24" s="641" t="s">
        <x:v>217</x:v>
      </x:c>
      <x:c r="S24" s="173"/>
      <x:c r="T24" s="173"/>
      <x:c r="U24" s="173"/>
      <x:c r="V24" s="173"/>
      <x:c r="W24" s="173"/>
      <x:c r="X24" s="173"/>
      <x:c r="Y24" s="173" t="s">
        <x:v>86</x:v>
      </x:c>
      <x:c r="Z24" s="173"/>
      <x:c r="AA24" s="28"/>
      <x:c r="AB24" s="28"/>
      <x:c r="AC24" s="28"/>
      <x:c r="AD24" s="34"/>
      <x:c r="AE24" s="35"/>
      <x:c r="AF24" s="28"/>
      <x:c r="AG24" s="28"/>
      <x:c r="AH24" s="28"/>
      <x:c r="AI24" s="28"/>
      <x:c r="AJ24" s="28"/>
      <x:c r="AK24" s="28"/>
      <x:c r="AL24" s="28"/>
      <x:c r="AM24" s="28"/>
      <x:c r="AN24" s="28"/>
      <x:c r="AO24" s="28"/>
      <x:c r="AP24" s="28"/>
      <x:c r="AQ24" s="28"/>
      <x:c r="AR24" s="28"/>
      <x:c r="AS24" s="28"/>
      <x:c r="AT24" s="28"/>
      <x:c r="AU24" s="28"/>
      <x:c r="AV24" s="28"/>
      <x:c r="AW24" s="28"/>
      <x:c r="AX24" s="28"/>
      <x:c r="AY24" s="28"/>
      <x:c r="AZ24" s="28"/>
      <x:c r="BA24" s="28"/>
      <x:c r="BB24" s="28"/>
      <x:c r="BC24" s="28"/>
      <x:c r="BD24" s="28"/>
      <x:c r="BE24" s="28"/>
      <x:c r="BF24" s="28"/>
      <x:c r="BG24" s="28"/>
      <x:c r="BH24" s="28"/>
      <x:c r="BI24" s="28"/>
      <x:c r="BJ24" s="28"/>
      <x:c r="BK24" s="28"/>
      <x:c r="BL24" s="28"/>
      <x:c r="BM24" s="28"/>
      <x:c r="BN24" s="28"/>
      <x:c r="BO24" s="28"/>
      <x:c r="BP24" s="28"/>
      <x:c r="BQ24" s="29"/>
    </x:row>
    <x:row r="25" ht="42" customHeight="1">
      <x:c r="A25" s="621" t="s">
        <x:v>218</x:v>
      </x:c>
      <x:c r="B25" s="639" t="s">
        <x:v>99</x:v>
      </x:c>
      <x:c r="C25" s="621" t="s">
        <x:v>219</x:v>
      </x:c>
      <x:c r="D25" s="621" t="s">
        <x:v>220</x:v>
      </x:c>
      <x:c r="E25" s="621" t="s">
        <x:v>221</x:v>
      </x:c>
      <x:c r="F25" s="623">
        <x:v>3</x:v>
      </x:c>
      <x:c r="G25" s="624">
        <x:v>7</x:v>
      </x:c>
      <x:c r="H25" s="624">
        <x:v>7</x:v>
      </x:c>
      <x:c r="I25" s="625">
        <x:f t="shared" si="0"/>
        <x:v>46244</x:v>
      </x:c>
      <x:c r="J25" s="625">
        <x:f t="shared" si="1"/>
        <x:v>46250</x:v>
      </x:c>
      <x:c r="K25" s="625">
        <x:f t="shared" si="2"/>
        <x:v>48</x:v>
      </x:c>
      <x:c r="L25" s="626">
        <x:v>0</x:v>
      </x:c>
      <x:c r="M25" s="627" t="n">
        <x:f>SUMIF('Work Block Log'!$E$5:$E$200,A25,'Work Block Log'!$F$5:$F$200)</x:f>
        <x:v>0</x:v>
      </x:c>
      <x:c r="N25" s="627">
        <x:f t="shared" si="3"/>
        <x:v>3</x:v>
      </x:c>
      <x:c r="O25" s="627">
        <x:f t="shared" si="4"/>
        <x:v>-3</x:v>
      </x:c>
      <x:c r="P25" s="624">
        <x:f t="shared" si="5"/>
        <x:v>3</x:v>
      </x:c>
      <x:c r="Q25" s="621" t="s">
        <x:v>222</x:v>
      </x:c>
      <x:c r="R25" s="641" t="s">
        <x:v>223</x:v>
      </x:c>
      <x:c r="S25" s="173"/>
      <x:c r="T25" s="173"/>
      <x:c r="U25" s="173"/>
      <x:c r="V25" s="173"/>
      <x:c r="W25" s="173"/>
      <x:c r="X25" s="173"/>
      <x:c r="Y25" s="173" t="s">
        <x:v>86</x:v>
      </x:c>
      <x:c r="Z25" s="173"/>
      <x:c r="AA25" s="28"/>
      <x:c r="AB25" s="28"/>
      <x:c r="AC25" s="28"/>
      <x:c r="AD25" s="28"/>
      <x:c r="AE25" s="34"/>
      <x:c r="AF25" s="35"/>
      <x:c r="AG25" s="28"/>
      <x:c r="AH25" s="28"/>
      <x:c r="AI25" s="28"/>
      <x:c r="AJ25" s="28"/>
      <x:c r="AK25" s="28"/>
      <x:c r="AL25" s="28"/>
      <x:c r="AM25" s="28"/>
      <x:c r="AN25" s="28"/>
      <x:c r="AO25" s="28"/>
      <x:c r="AP25" s="28"/>
      <x:c r="AQ25" s="28"/>
      <x:c r="AR25" s="28"/>
      <x:c r="AS25" s="28"/>
      <x:c r="AT25" s="28"/>
      <x:c r="AU25" s="28"/>
      <x:c r="AV25" s="28"/>
      <x:c r="AW25" s="28"/>
      <x:c r="AX25" s="28"/>
      <x:c r="AY25" s="28"/>
      <x:c r="AZ25" s="28"/>
      <x:c r="BA25" s="28"/>
      <x:c r="BB25" s="28"/>
      <x:c r="BC25" s="28"/>
      <x:c r="BD25" s="28"/>
      <x:c r="BE25" s="28"/>
      <x:c r="BF25" s="28"/>
      <x:c r="BG25" s="28"/>
      <x:c r="BH25" s="28"/>
      <x:c r="BI25" s="28"/>
      <x:c r="BJ25" s="28"/>
      <x:c r="BK25" s="28"/>
      <x:c r="BL25" s="28"/>
      <x:c r="BM25" s="28"/>
      <x:c r="BN25" s="28"/>
      <x:c r="BO25" s="28"/>
      <x:c r="BP25" s="28"/>
      <x:c r="BQ25" s="29"/>
    </x:row>
    <x:row r="26" ht="42" customHeight="1">
      <x:c r="A26" s="613" t="s">
        <x:v>224</x:v>
      </x:c>
      <x:c r="B26" s="639" t="s">
        <x:v>99</x:v>
      </x:c>
      <x:c r="C26" s="613" t="s">
        <x:v>225</x:v>
      </x:c>
      <x:c r="D26" s="613" t="s">
        <x:v>226</x:v>
      </x:c>
      <x:c r="E26" s="613" t="s">
        <x:v>218</x:v>
      </x:c>
      <x:c r="F26" s="615">
        <x:v>2</x:v>
      </x:c>
      <x:c r="G26" s="616">
        <x:v>8</x:v>
      </x:c>
      <x:c r="H26" s="616">
        <x:v>8</x:v>
      </x:c>
      <x:c r="I26" s="617">
        <x:f t="shared" si="0"/>
        <x:v>46251</x:v>
      </x:c>
      <x:c r="J26" s="617">
        <x:f t="shared" si="1"/>
        <x:v>46257</x:v>
      </x:c>
      <x:c r="K26" s="617">
        <x:f t="shared" si="2"/>
        <x:v>55</x:v>
      </x:c>
      <x:c r="L26" s="618">
        <x:v>0</x:v>
      </x:c>
      <x:c r="M26" s="619" t="n">
        <x:f>SUMIF('Work Block Log'!$E$5:$E$200,A26,'Work Block Log'!$F$5:$F$200)</x:f>
        <x:v>0</x:v>
      </x:c>
      <x:c r="N26" s="619">
        <x:f t="shared" si="3"/>
        <x:v>2</x:v>
      </x:c>
      <x:c r="O26" s="619">
        <x:f t="shared" si="4"/>
        <x:v>-2</x:v>
      </x:c>
      <x:c r="P26" s="616">
        <x:f t="shared" si="5"/>
        <x:v>2</x:v>
      </x:c>
      <x:c r="Q26" s="613" t="s">
        <x:v>227</x:v>
      </x:c>
      <x:c r="R26" s="641" t="s">
        <x:v>228</x:v>
      </x:c>
      <x:c r="S26" s="173"/>
      <x:c r="T26" s="173"/>
      <x:c r="U26" s="173"/>
      <x:c r="V26" s="173"/>
      <x:c r="W26" s="173"/>
      <x:c r="X26" s="173"/>
      <x:c r="Y26" s="173"/>
      <x:c r="Z26" s="173" t="s">
        <x:v>86</x:v>
      </x:c>
      <x:c r="AA26" s="28"/>
      <x:c r="AB26" s="28"/>
      <x:c r="AC26" s="28"/>
      <x:c r="AD26" s="28"/>
      <x:c r="AE26" s="28"/>
      <x:c r="AF26" s="33"/>
      <x:c r="AG26" s="28"/>
      <x:c r="AH26" s="28"/>
      <x:c r="AI26" s="28"/>
      <x:c r="AJ26" s="28"/>
      <x:c r="AK26" s="28"/>
      <x:c r="AL26" s="28"/>
      <x:c r="AM26" s="28"/>
      <x:c r="AN26" s="28"/>
      <x:c r="AO26" s="28"/>
      <x:c r="AP26" s="28"/>
      <x:c r="AQ26" s="28"/>
      <x:c r="AR26" s="28"/>
      <x:c r="AS26" s="28"/>
      <x:c r="AT26" s="28"/>
      <x:c r="AU26" s="28"/>
      <x:c r="AV26" s="28"/>
      <x:c r="AW26" s="28"/>
      <x:c r="AX26" s="28"/>
      <x:c r="AY26" s="28"/>
      <x:c r="AZ26" s="28"/>
      <x:c r="BA26" s="28"/>
      <x:c r="BB26" s="28"/>
      <x:c r="BC26" s="28"/>
      <x:c r="BD26" s="28"/>
      <x:c r="BE26" s="28"/>
      <x:c r="BF26" s="28"/>
      <x:c r="BG26" s="28"/>
      <x:c r="BH26" s="28"/>
      <x:c r="BI26" s="28"/>
      <x:c r="BJ26" s="28"/>
      <x:c r="BK26" s="28"/>
      <x:c r="BL26" s="28"/>
      <x:c r="BM26" s="28"/>
      <x:c r="BN26" s="28"/>
      <x:c r="BO26" s="28"/>
      <x:c r="BP26" s="28"/>
      <x:c r="BQ26" s="29"/>
    </x:row>
    <x:row r="27" ht="42" customHeight="1">
      <x:c r="A27" s="621" t="s">
        <x:v>229</x:v>
      </x:c>
      <x:c r="B27" s="639" t="s">
        <x:v>99</x:v>
      </x:c>
      <x:c r="C27" s="621" t="s">
        <x:v>230</x:v>
      </x:c>
      <x:c r="D27" s="621" t="s">
        <x:v>231</x:v>
      </x:c>
      <x:c r="E27" s="621" t="s">
        <x:v>232</x:v>
      </x:c>
      <x:c r="F27" s="623">
        <x:v>3</x:v>
      </x:c>
      <x:c r="G27" s="624">
        <x:v>8</x:v>
      </x:c>
      <x:c r="H27" s="624">
        <x:v>8</x:v>
      </x:c>
      <x:c r="I27" s="625">
        <x:f t="shared" si="0"/>
        <x:v>46251</x:v>
      </x:c>
      <x:c r="J27" s="625">
        <x:f t="shared" si="1"/>
        <x:v>46257</x:v>
      </x:c>
      <x:c r="K27" s="625">
        <x:f t="shared" si="2"/>
        <x:v>55</x:v>
      </x:c>
      <x:c r="L27" s="626">
        <x:v>0</x:v>
      </x:c>
      <x:c r="M27" s="627" t="n">
        <x:f>SUMIF('Work Block Log'!$E$5:$E$200,A27,'Work Block Log'!$F$5:$F$200)</x:f>
        <x:v>0</x:v>
      </x:c>
      <x:c r="N27" s="627">
        <x:f t="shared" si="3"/>
        <x:v>3</x:v>
      </x:c>
      <x:c r="O27" s="627">
        <x:f t="shared" si="4"/>
        <x:v>-3</x:v>
      </x:c>
      <x:c r="P27" s="624">
        <x:f t="shared" si="5"/>
        <x:v>3</x:v>
      </x:c>
      <x:c r="Q27" s="621" t="s">
        <x:v>233</x:v>
      </x:c>
      <x:c r="R27" s="641" t="s">
        <x:v>234</x:v>
      </x:c>
      <x:c r="S27" s="173"/>
      <x:c r="T27" s="173"/>
      <x:c r="U27" s="173"/>
      <x:c r="V27" s="173"/>
      <x:c r="W27" s="173"/>
      <x:c r="X27" s="173"/>
      <x:c r="Y27" s="173"/>
      <x:c r="Z27" s="173" t="s">
        <x:v>86</x:v>
      </x:c>
      <x:c r="AA27" s="28"/>
      <x:c r="AB27" s="28"/>
      <x:c r="AC27" s="28"/>
      <x:c r="AD27" s="28"/>
      <x:c r="AE27" s="28"/>
      <x:c r="AF27" s="28"/>
      <x:c r="AG27" s="33"/>
      <x:c r="AH27" s="28"/>
      <x:c r="AI27" s="28"/>
      <x:c r="AJ27" s="28"/>
      <x:c r="AK27" s="28"/>
      <x:c r="AL27" s="28"/>
      <x:c r="AM27" s="28"/>
      <x:c r="AN27" s="28"/>
      <x:c r="AO27" s="28"/>
      <x:c r="AP27" s="28"/>
      <x:c r="AQ27" s="28"/>
      <x:c r="AR27" s="28"/>
      <x:c r="AS27" s="28"/>
      <x:c r="AT27" s="28"/>
      <x:c r="AU27" s="28"/>
      <x:c r="AV27" s="28"/>
      <x:c r="AW27" s="28"/>
      <x:c r="AX27" s="28"/>
      <x:c r="AY27" s="28"/>
      <x:c r="AZ27" s="28"/>
      <x:c r="BA27" s="28"/>
      <x:c r="BB27" s="28"/>
      <x:c r="BC27" s="28"/>
      <x:c r="BD27" s="28"/>
      <x:c r="BE27" s="28"/>
      <x:c r="BF27" s="28"/>
      <x:c r="BG27" s="28"/>
      <x:c r="BH27" s="28"/>
      <x:c r="BI27" s="28"/>
      <x:c r="BJ27" s="28"/>
      <x:c r="BK27" s="28"/>
      <x:c r="BL27" s="28"/>
      <x:c r="BM27" s="28"/>
      <x:c r="BN27" s="28"/>
      <x:c r="BO27" s="28"/>
      <x:c r="BP27" s="28"/>
      <x:c r="BQ27" s="29"/>
    </x:row>
    <x:row r="28" ht="42" customHeight="1">
      <x:c r="A28" s="3"/>
      <x:c r="B28" s="100"/>
      <x:c r="C28" s="3"/>
      <x:c r="D28" s="3"/>
      <x:c r="E28" s="3"/>
      <x:c r="F28" s="94"/>
      <x:c r="G28" s="97"/>
      <x:c r="H28" s="97"/>
      <x:c r="I28" s="93">
        <x:f t="shared" si="0"/>
        <x:v>46195</x:v>
      </x:c>
      <x:c r="J28" s="93">
        <x:f t="shared" si="1"/>
        <x:v>46201</x:v>
      </x:c>
      <x:c r="K28" s="93">
        <x:f t="shared" si="2"/>
        <x:v>-1</x:v>
      </x:c>
      <x:c r="L28" s="66"/>
      <x:c r="M28" s="67"/>
      <x:c r="N28" s="67"/>
      <x:c r="O28" s="67">
        <x:f t="shared" si="4"/>
        <x:v>0</x:v>
      </x:c>
      <x:c r="P28" s="97">
        <x:f t="shared" si="5"/>
        <x:v>0</x:v>
      </x:c>
      <x:c r="Q28" s="3"/>
      <x:c r="R28" s="97"/>
      <x:c r="S28" s="173"/>
      <x:c r="T28" s="173"/>
      <x:c r="U28" s="173"/>
      <x:c r="V28" s="173"/>
      <x:c r="W28" s="173"/>
      <x:c r="X28" s="173"/>
      <x:c r="Y28" s="173"/>
      <x:c r="Z28" s="173"/>
      <x:c r="AA28" s="28"/>
      <x:c r="AB28" s="28"/>
      <x:c r="AC28" s="28"/>
      <x:c r="AD28" s="28"/>
      <x:c r="AE28" s="28"/>
      <x:c r="AF28" s="28"/>
      <x:c r="AG28" s="28"/>
      <x:c r="AH28" s="36"/>
      <x:c r="AI28" s="37"/>
      <x:c r="AJ28" s="28"/>
      <x:c r="AK28" s="28"/>
      <x:c r="AL28" s="28"/>
      <x:c r="AM28" s="28"/>
      <x:c r="AN28" s="28"/>
      <x:c r="AO28" s="28"/>
      <x:c r="AP28" s="28"/>
      <x:c r="AQ28" s="28"/>
      <x:c r="AR28" s="28"/>
      <x:c r="AS28" s="28"/>
      <x:c r="AT28" s="28"/>
      <x:c r="AU28" s="28"/>
      <x:c r="AV28" s="28"/>
      <x:c r="AW28" s="28"/>
      <x:c r="AX28" s="28"/>
      <x:c r="AY28" s="28"/>
      <x:c r="AZ28" s="28"/>
      <x:c r="BA28" s="28"/>
      <x:c r="BB28" s="28"/>
      <x:c r="BC28" s="28"/>
      <x:c r="BD28" s="28"/>
      <x:c r="BE28" s="28"/>
      <x:c r="BF28" s="28"/>
      <x:c r="BG28" s="28"/>
      <x:c r="BH28" s="28"/>
      <x:c r="BI28" s="28"/>
      <x:c r="BJ28" s="28"/>
      <x:c r="BK28" s="28"/>
      <x:c r="BL28" s="28"/>
      <x:c r="BM28" s="28"/>
      <x:c r="BN28" s="28"/>
      <x:c r="BO28" s="28"/>
      <x:c r="BP28" s="28"/>
      <x:c r="BQ28" s="29"/>
    </x:row>
    <x:row r="29" ht="42" customHeight="1">
      <x:c r="A29" s="89" t="s">
        <x:v>102</x:v>
      </x:c>
      <x:c r="B29" s="89"/>
      <x:c r="C29" s="89"/>
      <x:c r="D29" s="89"/>
      <x:c r="E29" s="89"/>
      <x:c r="F29" s="95" t="n">
        <x:f>SUM(F6:F27)</x:f>
        <x:v>76</x:v>
      </x:c>
      <x:c r="G29" s="90"/>
      <x:c r="H29" s="90"/>
      <x:c r="I29" s="91">
        <x:f t="shared" si="0"/>
        <x:v>46195</x:v>
      </x:c>
      <x:c r="J29" s="91">
        <x:f t="shared" si="1"/>
        <x:v>46201</x:v>
      </x:c>
      <x:c r="K29" s="91">
        <x:f t="shared" si="2"/>
        <x:v>-1</x:v>
      </x:c>
      <x:c r="L29" s="92" t="n">
        <x:f>SUMPRODUCT(F6:F27,L6:L27)/F29</x:f>
        <x:v>0.3105263157894737</x:v>
      </x:c>
      <x:c r="M29" s="96" t="n">
        <x:f>SUM(M6:M27)</x:f>
        <x:v>11.63</x:v>
      </x:c>
      <x:c r="N29" s="96" t="n">
        <x:f>SUM(N6:N27)</x:f>
        <x:v>52.400000000000006</x:v>
      </x:c>
      <x:c r="O29" s="96">
        <x:f t="shared" si="4"/>
        <x:v>-68.45</x:v>
      </x:c>
      <x:c r="P29" s="90">
        <x:f t="shared" si="5"/>
        <x:v>0</x:v>
      </x:c>
      <x:c r="Q29" s="89"/>
      <x:c r="R29" s="90"/>
      <x:c r="S29" s="173"/>
      <x:c r="T29" s="173"/>
      <x:c r="U29" s="173"/>
      <x:c r="V29" s="173"/>
      <x:c r="W29" s="173"/>
      <x:c r="X29" s="173"/>
      <x:c r="Y29" s="173"/>
      <x:c r="Z29" s="173"/>
      <x:c r="AA29" s="28"/>
      <x:c r="AB29" s="28"/>
      <x:c r="AC29" s="28"/>
      <x:c r="AD29" s="28"/>
      <x:c r="AE29" s="28"/>
      <x:c r="AF29" s="28"/>
      <x:c r="AG29" s="28"/>
      <x:c r="AH29" s="28"/>
      <x:c r="AI29" s="36"/>
      <x:c r="AJ29" s="37"/>
      <x:c r="AK29" s="28"/>
      <x:c r="AL29" s="28"/>
      <x:c r="AM29" s="28"/>
      <x:c r="AN29" s="28"/>
      <x:c r="AO29" s="28"/>
      <x:c r="AP29" s="28"/>
      <x:c r="AQ29" s="28"/>
      <x:c r="AR29" s="28"/>
      <x:c r="AS29" s="28"/>
      <x:c r="AT29" s="28"/>
      <x:c r="AU29" s="28"/>
      <x:c r="AV29" s="28"/>
      <x:c r="AW29" s="28"/>
      <x:c r="AX29" s="28"/>
      <x:c r="AY29" s="28"/>
      <x:c r="AZ29" s="28"/>
      <x:c r="BA29" s="28"/>
      <x:c r="BB29" s="28"/>
      <x:c r="BC29" s="28"/>
      <x:c r="BD29" s="28"/>
      <x:c r="BE29" s="28"/>
      <x:c r="BF29" s="28"/>
      <x:c r="BG29" s="28"/>
      <x:c r="BH29" s="28"/>
      <x:c r="BI29" s="28"/>
      <x:c r="BJ29" s="28"/>
      <x:c r="BK29" s="28"/>
      <x:c r="BL29" s="28"/>
      <x:c r="BM29" s="28"/>
      <x:c r="BN29" s="28"/>
      <x:c r="BO29" s="28"/>
      <x:c r="BP29" s="28"/>
      <x:c r="BQ29" s="29"/>
    </x:row>
    <x:row r="30" ht="42" customHeight="1">
      <x:c r="A30" s="5"/>
      <x:c r="B30" s="11"/>
      <x:c r="C30" s="6"/>
      <x:c r="D30" s="6"/>
      <x:c r="E30" s="6"/>
      <x:c r="F30" s="23"/>
      <x:c r="G30" s="23"/>
      <x:c r="H30" s="23"/>
      <x:c r="I30" s="23">
        <x:f t="shared" si="0"/>
        <x:v>46195</x:v>
      </x:c>
      <x:c r="J30" s="24">
        <x:f t="shared" si="1"/>
        <x:v>46201</x:v>
      </x:c>
      <x:c r="K30" s="24">
        <x:f t="shared" si="2"/>
        <x:v>-1</x:v>
      </x:c>
      <x:c r="L30" s="23"/>
      <x:c r="M30" s="25"/>
      <x:c r="N30" s="23"/>
      <x:c r="O30" s="23">
        <x:f t="shared" si="4"/>
        <x:v>0</x:v>
      </x:c>
      <x:c r="P30" s="23">
        <x:f t="shared" si="5"/>
        <x:v>0</x:v>
      </x:c>
      <x:c r="Q30" s="8"/>
      <x:c r="R30" s="31"/>
      <x:c r="S30" s="28"/>
      <x:c r="T30" s="28"/>
      <x:c r="U30" s="28"/>
      <x:c r="V30" s="28"/>
      <x:c r="W30" s="28"/>
      <x:c r="X30" s="28"/>
      <x:c r="Y30" s="28"/>
      <x:c r="Z30" s="28"/>
      <x:c r="AA30" s="28"/>
      <x:c r="AB30" s="28"/>
      <x:c r="AC30" s="28"/>
      <x:c r="AD30" s="28"/>
      <x:c r="AE30" s="28"/>
      <x:c r="AF30" s="28"/>
      <x:c r="AG30" s="28"/>
      <x:c r="AH30" s="28"/>
      <x:c r="AI30" s="28"/>
      <x:c r="AJ30" s="36"/>
      <x:c r="AK30" s="37"/>
      <x:c r="AL30" s="28"/>
      <x:c r="AM30" s="28"/>
      <x:c r="AN30" s="28"/>
      <x:c r="AO30" s="28"/>
      <x:c r="AP30" s="28"/>
      <x:c r="AQ30" s="28"/>
      <x:c r="AR30" s="28"/>
      <x:c r="AS30" s="28"/>
      <x:c r="AT30" s="28"/>
      <x:c r="AU30" s="28"/>
      <x:c r="AV30" s="28"/>
      <x:c r="AW30" s="28"/>
      <x:c r="AX30" s="28"/>
      <x:c r="AY30" s="28"/>
      <x:c r="AZ30" s="28"/>
      <x:c r="BA30" s="28"/>
      <x:c r="BB30" s="28"/>
      <x:c r="BC30" s="28"/>
      <x:c r="BD30" s="28"/>
      <x:c r="BE30" s="28"/>
      <x:c r="BF30" s="28"/>
      <x:c r="BG30" s="28"/>
      <x:c r="BH30" s="28"/>
      <x:c r="BI30" s="28"/>
      <x:c r="BJ30" s="28"/>
      <x:c r="BK30" s="28"/>
      <x:c r="BL30" s="28"/>
      <x:c r="BM30" s="28"/>
      <x:c r="BN30" s="28"/>
      <x:c r="BO30" s="28"/>
      <x:c r="BP30" s="28"/>
      <x:c r="BQ30" s="29"/>
    </x:row>
    <x:row r="31" ht="42" customHeight="1">
      <x:c r="A31" s="5"/>
      <x:c r="B31" s="11"/>
      <x:c r="C31" s="6"/>
      <x:c r="D31" s="6"/>
      <x:c r="E31" s="6"/>
      <x:c r="F31" s="23"/>
      <x:c r="G31" s="23"/>
      <x:c r="H31" s="23"/>
      <x:c r="I31" s="23">
        <x:f t="shared" si="0"/>
        <x:v>46195</x:v>
      </x:c>
      <x:c r="J31" s="24">
        <x:f t="shared" si="1"/>
        <x:v>46201</x:v>
      </x:c>
      <x:c r="K31" s="24">
        <x:f t="shared" si="2"/>
        <x:v>-1</x:v>
      </x:c>
      <x:c r="L31" s="23"/>
      <x:c r="M31" s="25"/>
      <x:c r="N31" s="23"/>
      <x:c r="O31" s="23">
        <x:f t="shared" si="4"/>
        <x:v>0</x:v>
      </x:c>
      <x:c r="P31" s="23">
        <x:f t="shared" si="5"/>
        <x:v>0</x:v>
      </x:c>
      <x:c r="Q31" s="8"/>
      <x:c r="R31" s="31"/>
      <x:c r="S31" s="28"/>
      <x:c r="T31" s="28"/>
      <x:c r="U31" s="28"/>
      <x:c r="V31" s="28"/>
      <x:c r="W31" s="28"/>
      <x:c r="X31" s="28"/>
      <x:c r="Y31" s="28"/>
      <x:c r="Z31" s="28"/>
      <x:c r="AA31" s="28"/>
      <x:c r="AB31" s="28"/>
      <x:c r="AC31" s="28"/>
      <x:c r="AD31" s="28"/>
      <x:c r="AE31" s="28"/>
      <x:c r="AF31" s="28"/>
      <x:c r="AG31" s="28"/>
      <x:c r="AH31" s="28"/>
      <x:c r="AI31" s="28"/>
      <x:c r="AJ31" s="28"/>
      <x:c r="AK31" s="38"/>
      <x:c r="AL31" s="28"/>
      <x:c r="AM31" s="28"/>
      <x:c r="AN31" s="28"/>
      <x:c r="AO31" s="28"/>
      <x:c r="AP31" s="28"/>
      <x:c r="AQ31" s="28"/>
      <x:c r="AR31" s="28"/>
      <x:c r="AS31" s="28"/>
      <x:c r="AT31" s="28"/>
      <x:c r="AU31" s="28"/>
      <x:c r="AV31" s="28"/>
      <x:c r="AW31" s="28"/>
      <x:c r="AX31" s="28"/>
      <x:c r="AY31" s="28"/>
      <x:c r="AZ31" s="28"/>
      <x:c r="BA31" s="28"/>
      <x:c r="BB31" s="28"/>
      <x:c r="BC31" s="28"/>
      <x:c r="BD31" s="28"/>
      <x:c r="BE31" s="28"/>
      <x:c r="BF31" s="28"/>
      <x:c r="BG31" s="28"/>
      <x:c r="BH31" s="28"/>
      <x:c r="BI31" s="28"/>
      <x:c r="BJ31" s="28"/>
      <x:c r="BK31" s="28"/>
      <x:c r="BL31" s="28"/>
      <x:c r="BM31" s="28"/>
      <x:c r="BN31" s="28"/>
      <x:c r="BO31" s="28"/>
      <x:c r="BP31" s="28"/>
      <x:c r="BQ31" s="29"/>
    </x:row>
    <x:row r="32" ht="42" customHeight="1">
      <x:c r="A32" s="5"/>
      <x:c r="B32" s="11"/>
      <x:c r="C32" s="6"/>
      <x:c r="D32" s="6"/>
      <x:c r="E32" s="6"/>
      <x:c r="F32" s="23"/>
      <x:c r="G32" s="23"/>
      <x:c r="H32" s="23"/>
      <x:c r="I32" s="23">
        <x:f t="shared" si="0"/>
        <x:v>46195</x:v>
      </x:c>
      <x:c r="J32" s="24">
        <x:f t="shared" si="1"/>
        <x:v>46201</x:v>
      </x:c>
      <x:c r="K32" s="24">
        <x:f t="shared" si="2"/>
        <x:v>-1</x:v>
      </x:c>
      <x:c r="L32" s="23"/>
      <x:c r="M32" s="25"/>
      <x:c r="N32" s="23"/>
      <x:c r="O32" s="23">
        <x:f t="shared" si="4"/>
        <x:v>0</x:v>
      </x:c>
      <x:c r="P32" s="23">
        <x:f t="shared" si="5"/>
        <x:v>0</x:v>
      </x:c>
      <x:c r="Q32" s="8"/>
      <x:c r="R32" s="31"/>
      <x:c r="S32" s="28"/>
      <x:c r="T32" s="28"/>
      <x:c r="U32" s="28"/>
      <x:c r="V32" s="28"/>
      <x:c r="W32" s="28"/>
      <x:c r="X32" s="28"/>
      <x:c r="Y32" s="28"/>
      <x:c r="Z32" s="28"/>
      <x:c r="AA32" s="28"/>
      <x:c r="AB32" s="28"/>
      <x:c r="AC32" s="28"/>
      <x:c r="AD32" s="28"/>
      <x:c r="AE32" s="28"/>
      <x:c r="AF32" s="28"/>
      <x:c r="AG32" s="28"/>
      <x:c r="AH32" s="28"/>
      <x:c r="AI32" s="28"/>
      <x:c r="AJ32" s="28"/>
      <x:c r="AK32" s="28"/>
      <x:c r="AL32" s="38"/>
      <x:c r="AM32" s="28"/>
      <x:c r="AN32" s="28"/>
      <x:c r="AO32" s="28"/>
      <x:c r="AP32" s="28"/>
      <x:c r="AQ32" s="28"/>
      <x:c r="AR32" s="28"/>
      <x:c r="AS32" s="28"/>
      <x:c r="AT32" s="28"/>
      <x:c r="AU32" s="28"/>
      <x:c r="AV32" s="28"/>
      <x:c r="AW32" s="28"/>
      <x:c r="AX32" s="28"/>
      <x:c r="AY32" s="28"/>
      <x:c r="AZ32" s="28"/>
      <x:c r="BA32" s="28"/>
      <x:c r="BB32" s="28"/>
      <x:c r="BC32" s="28"/>
      <x:c r="BD32" s="28"/>
      <x:c r="BE32" s="28"/>
      <x:c r="BF32" s="28"/>
      <x:c r="BG32" s="28"/>
      <x:c r="BH32" s="28"/>
      <x:c r="BI32" s="28"/>
      <x:c r="BJ32" s="28"/>
      <x:c r="BK32" s="28"/>
      <x:c r="BL32" s="28"/>
      <x:c r="BM32" s="28"/>
      <x:c r="BN32" s="28"/>
      <x:c r="BO32" s="28"/>
      <x:c r="BP32" s="28"/>
      <x:c r="BQ32" s="29"/>
    </x:row>
    <x:row r="33" ht="42" customHeight="1">
      <x:c r="A33" s="5"/>
      <x:c r="B33" s="11"/>
      <x:c r="C33" s="6"/>
      <x:c r="D33" s="6"/>
      <x:c r="E33" s="6"/>
      <x:c r="F33" s="23"/>
      <x:c r="G33" s="23"/>
      <x:c r="H33" s="23"/>
      <x:c r="I33" s="23">
        <x:f t="shared" si="0"/>
        <x:v>46195</x:v>
      </x:c>
      <x:c r="J33" s="24">
        <x:f t="shared" si="1"/>
        <x:v>46201</x:v>
      </x:c>
      <x:c r="K33" s="24">
        <x:f t="shared" si="2"/>
        <x:v>-1</x:v>
      </x:c>
      <x:c r="L33" s="23"/>
      <x:c r="M33" s="25"/>
      <x:c r="N33" s="23"/>
      <x:c r="O33" s="23">
        <x:f t="shared" si="4"/>
        <x:v>0</x:v>
      </x:c>
      <x:c r="P33" s="23">
        <x:f t="shared" si="5"/>
        <x:v>0</x:v>
      </x:c>
      <x:c r="Q33" s="8"/>
      <x:c r="R33" s="31"/>
      <x:c r="S33" s="28"/>
      <x:c r="T33" s="28"/>
      <x:c r="U33" s="28"/>
      <x:c r="V33" s="28"/>
      <x:c r="W33" s="28"/>
      <x:c r="X33" s="28"/>
      <x:c r="Y33" s="28"/>
      <x:c r="Z33" s="28"/>
      <x:c r="AA33" s="28"/>
      <x:c r="AB33" s="28"/>
      <x:c r="AC33" s="28"/>
      <x:c r="AD33" s="28"/>
      <x:c r="AE33" s="28"/>
      <x:c r="AF33" s="28"/>
      <x:c r="AG33" s="28"/>
      <x:c r="AH33" s="28"/>
      <x:c r="AI33" s="28"/>
      <x:c r="AJ33" s="28"/>
      <x:c r="AK33" s="28"/>
      <x:c r="AL33" s="36"/>
      <x:c r="AM33" s="37"/>
      <x:c r="AN33" s="28"/>
      <x:c r="AO33" s="28"/>
      <x:c r="AP33" s="28"/>
      <x:c r="AQ33" s="28"/>
      <x:c r="AR33" s="28"/>
      <x:c r="AS33" s="28"/>
      <x:c r="AT33" s="28"/>
      <x:c r="AU33" s="28"/>
      <x:c r="AV33" s="28"/>
      <x:c r="AW33" s="28"/>
      <x:c r="AX33" s="28"/>
      <x:c r="AY33" s="28"/>
      <x:c r="AZ33" s="28"/>
      <x:c r="BA33" s="28"/>
      <x:c r="BB33" s="28"/>
      <x:c r="BC33" s="28"/>
      <x:c r="BD33" s="28"/>
      <x:c r="BE33" s="28"/>
      <x:c r="BF33" s="28"/>
      <x:c r="BG33" s="28"/>
      <x:c r="BH33" s="28"/>
      <x:c r="BI33" s="28"/>
      <x:c r="BJ33" s="28"/>
      <x:c r="BK33" s="28"/>
      <x:c r="BL33" s="28"/>
      <x:c r="BM33" s="28"/>
      <x:c r="BN33" s="28"/>
      <x:c r="BO33" s="28"/>
      <x:c r="BP33" s="28"/>
      <x:c r="BQ33" s="29"/>
    </x:row>
    <x:row r="34" ht="42" customHeight="1">
      <x:c r="A34" s="5"/>
      <x:c r="B34" s="11"/>
      <x:c r="C34" s="6"/>
      <x:c r="D34" s="6"/>
      <x:c r="E34" s="6"/>
      <x:c r="F34" s="23"/>
      <x:c r="G34" s="23"/>
      <x:c r="H34" s="23"/>
      <x:c r="I34" s="23">
        <x:f t="shared" si="0"/>
        <x:v>46195</x:v>
      </x:c>
      <x:c r="J34" s="24">
        <x:f t="shared" si="1"/>
        <x:v>46201</x:v>
      </x:c>
      <x:c r="K34" s="24">
        <x:f t="shared" si="2"/>
        <x:v>-1</x:v>
      </x:c>
      <x:c r="L34" s="23"/>
      <x:c r="M34" s="25"/>
      <x:c r="N34" s="23"/>
      <x:c r="O34" s="23">
        <x:f t="shared" si="4"/>
        <x:v>0</x:v>
      </x:c>
      <x:c r="P34" s="23">
        <x:f t="shared" si="5"/>
        <x:v>0</x:v>
      </x:c>
      <x:c r="Q34" s="8"/>
      <x:c r="R34" s="31"/>
      <x:c r="S34" s="28"/>
      <x:c r="T34" s="28"/>
      <x:c r="U34" s="28"/>
      <x:c r="V34" s="28"/>
      <x:c r="W34" s="28"/>
      <x:c r="X34" s="28"/>
      <x:c r="Y34" s="28"/>
      <x:c r="Z34" s="28"/>
      <x:c r="AA34" s="28"/>
      <x:c r="AB34" s="28"/>
      <x:c r="AC34" s="28"/>
      <x:c r="AD34" s="28"/>
      <x:c r="AE34" s="28"/>
      <x:c r="AF34" s="28"/>
      <x:c r="AG34" s="28"/>
      <x:c r="AH34" s="28"/>
      <x:c r="AI34" s="28"/>
      <x:c r="AJ34" s="28"/>
      <x:c r="AK34" s="28"/>
      <x:c r="AL34" s="28"/>
      <x:c r="AM34" s="36"/>
      <x:c r="AN34" s="37"/>
      <x:c r="AO34" s="28"/>
      <x:c r="AP34" s="28"/>
      <x:c r="AQ34" s="28"/>
      <x:c r="AR34" s="28"/>
      <x:c r="AS34" s="28"/>
      <x:c r="AT34" s="28"/>
      <x:c r="AU34" s="28"/>
      <x:c r="AV34" s="28"/>
      <x:c r="AW34" s="28"/>
      <x:c r="AX34" s="28"/>
      <x:c r="AY34" s="28"/>
      <x:c r="AZ34" s="28"/>
      <x:c r="BA34" s="28"/>
      <x:c r="BB34" s="28"/>
      <x:c r="BC34" s="28"/>
      <x:c r="BD34" s="28"/>
      <x:c r="BE34" s="28"/>
      <x:c r="BF34" s="28"/>
      <x:c r="BG34" s="28"/>
      <x:c r="BH34" s="28"/>
      <x:c r="BI34" s="28"/>
      <x:c r="BJ34" s="28"/>
      <x:c r="BK34" s="28"/>
      <x:c r="BL34" s="28"/>
      <x:c r="BM34" s="28"/>
      <x:c r="BN34" s="28"/>
      <x:c r="BO34" s="28"/>
      <x:c r="BP34" s="28"/>
      <x:c r="BQ34" s="29"/>
    </x:row>
    <x:row r="35" ht="42" customHeight="1">
      <x:c r="A35" s="5"/>
      <x:c r="B35" s="11"/>
      <x:c r="C35" s="6"/>
      <x:c r="D35" s="6"/>
      <x:c r="E35" s="6"/>
      <x:c r="F35" s="23"/>
      <x:c r="G35" s="23"/>
      <x:c r="H35" s="23"/>
      <x:c r="I35" s="23">
        <x:f t="shared" si="0"/>
        <x:v>46195</x:v>
      </x:c>
      <x:c r="J35" s="24">
        <x:f t="shared" si="1"/>
        <x:v>46201</x:v>
      </x:c>
      <x:c r="K35" s="24">
        <x:f t="shared" si="2"/>
        <x:v>-1</x:v>
      </x:c>
      <x:c r="L35" s="23"/>
      <x:c r="M35" s="25"/>
      <x:c r="N35" s="23"/>
      <x:c r="O35" s="23">
        <x:f t="shared" si="4"/>
        <x:v>0</x:v>
      </x:c>
      <x:c r="P35" s="23">
        <x:f t="shared" si="5"/>
        <x:v>0</x:v>
      </x:c>
      <x:c r="Q35" s="8"/>
      <x:c r="R35" s="31"/>
      <x:c r="S35" s="28"/>
      <x:c r="T35" s="28"/>
      <x:c r="U35" s="28"/>
      <x:c r="V35" s="28"/>
      <x:c r="W35" s="28"/>
      <x:c r="X35" s="28"/>
      <x:c r="Y35" s="28"/>
      <x:c r="Z35" s="28"/>
      <x:c r="AA35" s="28"/>
      <x:c r="AB35" s="28"/>
      <x:c r="AC35" s="28"/>
      <x:c r="AD35" s="28"/>
      <x:c r="AE35" s="28"/>
      <x:c r="AF35" s="28"/>
      <x:c r="AG35" s="28"/>
      <x:c r="AH35" s="28"/>
      <x:c r="AI35" s="28"/>
      <x:c r="AJ35" s="28"/>
      <x:c r="AK35" s="28"/>
      <x:c r="AL35" s="28"/>
      <x:c r="AM35" s="28"/>
      <x:c r="AN35" s="28"/>
      <x:c r="AO35" s="38"/>
      <x:c r="AP35" s="28"/>
      <x:c r="AQ35" s="28"/>
      <x:c r="AR35" s="28"/>
      <x:c r="AS35" s="28"/>
      <x:c r="AT35" s="28"/>
      <x:c r="AU35" s="28"/>
      <x:c r="AV35" s="28"/>
      <x:c r="AW35" s="28"/>
      <x:c r="AX35" s="28"/>
      <x:c r="AY35" s="28"/>
      <x:c r="AZ35" s="28"/>
      <x:c r="BA35" s="28"/>
      <x:c r="BB35" s="28"/>
      <x:c r="BC35" s="28"/>
      <x:c r="BD35" s="28"/>
      <x:c r="BE35" s="28"/>
      <x:c r="BF35" s="28"/>
      <x:c r="BG35" s="28"/>
      <x:c r="BH35" s="28"/>
      <x:c r="BI35" s="28"/>
      <x:c r="BJ35" s="28"/>
      <x:c r="BK35" s="28"/>
      <x:c r="BL35" s="28"/>
      <x:c r="BM35" s="28"/>
      <x:c r="BN35" s="28"/>
      <x:c r="BO35" s="28"/>
      <x:c r="BP35" s="28"/>
      <x:c r="BQ35" s="29"/>
    </x:row>
    <x:row r="36" ht="42" customHeight="1">
      <x:c r="A36" s="5"/>
      <x:c r="B36" s="12"/>
      <x:c r="C36" s="6"/>
      <x:c r="D36" s="6"/>
      <x:c r="E36" s="6"/>
      <x:c r="F36" s="23"/>
      <x:c r="G36" s="23"/>
      <x:c r="H36" s="23"/>
      <x:c r="I36" s="23">
        <x:f t="shared" si="0"/>
        <x:v>46195</x:v>
      </x:c>
      <x:c r="J36" s="24">
        <x:f t="shared" si="1"/>
        <x:v>46201</x:v>
      </x:c>
      <x:c r="K36" s="24">
        <x:f t="shared" si="2"/>
        <x:v>-1</x:v>
      </x:c>
      <x:c r="L36" s="23"/>
      <x:c r="M36" s="25"/>
      <x:c r="N36" s="23"/>
      <x:c r="O36" s="23">
        <x:f t="shared" si="4"/>
        <x:v>0</x:v>
      </x:c>
      <x:c r="P36" s="23">
        <x:f t="shared" si="5"/>
        <x:v>0</x:v>
      </x:c>
      <x:c r="Q36" s="8"/>
      <x:c r="R36" s="31"/>
      <x:c r="S36" s="28"/>
      <x:c r="T36" s="28"/>
      <x:c r="U36" s="28"/>
      <x:c r="V36" s="28"/>
      <x:c r="W36" s="28"/>
      <x:c r="X36" s="28"/>
      <x:c r="Y36" s="28"/>
      <x:c r="Z36" s="28"/>
      <x:c r="AA36" s="28"/>
      <x:c r="AB36" s="28"/>
      <x:c r="AC36" s="28"/>
      <x:c r="AD36" s="28"/>
      <x:c r="AE36" s="28"/>
      <x:c r="AF36" s="28"/>
      <x:c r="AG36" s="28"/>
      <x:c r="AH36" s="28"/>
      <x:c r="AI36" s="28"/>
      <x:c r="AJ36" s="28"/>
      <x:c r="AK36" s="28"/>
      <x:c r="AL36" s="28"/>
      <x:c r="AM36" s="28"/>
      <x:c r="AN36" s="28"/>
      <x:c r="AO36" s="28"/>
      <x:c r="AP36" s="39"/>
      <x:c r="AQ36" s="28"/>
      <x:c r="AR36" s="28"/>
      <x:c r="AS36" s="28"/>
      <x:c r="AT36" s="28"/>
      <x:c r="AU36" s="28"/>
      <x:c r="AV36" s="28"/>
      <x:c r="AW36" s="28"/>
      <x:c r="AX36" s="28"/>
      <x:c r="AY36" s="28"/>
      <x:c r="AZ36" s="28"/>
      <x:c r="BA36" s="28"/>
      <x:c r="BB36" s="28"/>
      <x:c r="BC36" s="28"/>
      <x:c r="BD36" s="28"/>
      <x:c r="BE36" s="28"/>
      <x:c r="BF36" s="28"/>
      <x:c r="BG36" s="28"/>
      <x:c r="BH36" s="28"/>
      <x:c r="BI36" s="28"/>
      <x:c r="BJ36" s="28"/>
      <x:c r="BK36" s="28"/>
      <x:c r="BL36" s="28"/>
      <x:c r="BM36" s="28"/>
      <x:c r="BN36" s="28"/>
      <x:c r="BO36" s="28"/>
      <x:c r="BP36" s="28"/>
      <x:c r="BQ36" s="29"/>
    </x:row>
    <x:row r="37" ht="42" customHeight="1">
      <x:c r="A37" s="5"/>
      <x:c r="B37" s="12"/>
      <x:c r="C37" s="6"/>
      <x:c r="D37" s="6"/>
      <x:c r="E37" s="6"/>
      <x:c r="F37" s="23"/>
      <x:c r="G37" s="23"/>
      <x:c r="H37" s="23"/>
      <x:c r="I37" s="23">
        <x:f t="shared" si="0"/>
        <x:v>46195</x:v>
      </x:c>
      <x:c r="J37" s="24">
        <x:f t="shared" si="1"/>
        <x:v>46201</x:v>
      </x:c>
      <x:c r="K37" s="24">
        <x:f t="shared" si="2"/>
        <x:v>-1</x:v>
      </x:c>
      <x:c r="L37" s="23"/>
      <x:c r="M37" s="25"/>
      <x:c r="N37" s="23"/>
      <x:c r="O37" s="23">
        <x:f t="shared" si="4"/>
        <x:v>0</x:v>
      </x:c>
      <x:c r="P37" s="23">
        <x:f t="shared" si="5"/>
        <x:v>0</x:v>
      </x:c>
      <x:c r="Q37" s="8"/>
      <x:c r="R37" s="31"/>
      <x:c r="S37" s="28"/>
      <x:c r="T37" s="28"/>
      <x:c r="U37" s="28"/>
      <x:c r="V37" s="28"/>
      <x:c r="W37" s="28"/>
      <x:c r="X37" s="28"/>
      <x:c r="Y37" s="28"/>
      <x:c r="Z37" s="28"/>
      <x:c r="AA37" s="28"/>
      <x:c r="AB37" s="28"/>
      <x:c r="AC37" s="28"/>
      <x:c r="AD37" s="28"/>
      <x:c r="AE37" s="28"/>
      <x:c r="AF37" s="28"/>
      <x:c r="AG37" s="28"/>
      <x:c r="AH37" s="28"/>
      <x:c r="AI37" s="28"/>
      <x:c r="AJ37" s="28"/>
      <x:c r="AK37" s="28"/>
      <x:c r="AL37" s="28"/>
      <x:c r="AM37" s="28"/>
      <x:c r="AN37" s="28"/>
      <x:c r="AO37" s="28"/>
      <x:c r="AP37" s="40"/>
      <x:c r="AQ37" s="41"/>
      <x:c r="AR37" s="28"/>
      <x:c r="AS37" s="28"/>
      <x:c r="AT37" s="28"/>
      <x:c r="AU37" s="28"/>
      <x:c r="AV37" s="28"/>
      <x:c r="AW37" s="28"/>
      <x:c r="AX37" s="28"/>
      <x:c r="AY37" s="28"/>
      <x:c r="AZ37" s="28"/>
      <x:c r="BA37" s="28"/>
      <x:c r="BB37" s="28"/>
      <x:c r="BC37" s="28"/>
      <x:c r="BD37" s="28"/>
      <x:c r="BE37" s="28"/>
      <x:c r="BF37" s="28"/>
      <x:c r="BG37" s="28"/>
      <x:c r="BH37" s="28"/>
      <x:c r="BI37" s="28"/>
      <x:c r="BJ37" s="28"/>
      <x:c r="BK37" s="28"/>
      <x:c r="BL37" s="28"/>
      <x:c r="BM37" s="28"/>
      <x:c r="BN37" s="28"/>
      <x:c r="BO37" s="28"/>
      <x:c r="BP37" s="28"/>
      <x:c r="BQ37" s="29"/>
    </x:row>
    <x:row r="38" ht="42" customHeight="1">
      <x:c r="A38" s="5"/>
      <x:c r="B38" s="12"/>
      <x:c r="C38" s="6"/>
      <x:c r="D38" s="6"/>
      <x:c r="E38" s="6"/>
      <x:c r="F38" s="23"/>
      <x:c r="G38" s="23"/>
      <x:c r="H38" s="23"/>
      <x:c r="I38" s="23" t="n">
        <x:f t="shared" ref="I38:I63" si="6">H38-G38+1</x:f>
        <x:v>1</x:v>
      </x:c>
      <x:c r="J38" s="24" t="n">
        <x:f t="shared" ref="J38:J63" si="7">$C$1+(G38-1)*7</x:f>
        <x:v>-7</x:v>
      </x:c>
      <x:c r="K38" s="24" t="n">
        <x:f t="shared" ref="K38:K63" si="8">$C$1+H38*7-1</x:f>
        <x:v>-1</x:v>
      </x:c>
      <x:c r="L38" s="23"/>
      <x:c r="M38" s="25"/>
      <x:c r="N38" s="23"/>
      <x:c r="O38" s="23" t="str">
        <x:f t="shared" ref="O38:O63" si="9">IF(N38="","",N38-F38)</x:f>
      </x:c>
      <x:c r="P38" s="23" t="n">
        <x:f t="shared" ref="P38:P63" si="10">MAX(F38*(1-M38),0)</x:f>
        <x:v>0</x:v>
      </x:c>
      <x:c r="Q38" s="8"/>
      <x:c r="R38" s="31"/>
      <x:c r="S38" s="28"/>
      <x:c r="T38" s="28"/>
      <x:c r="U38" s="28"/>
      <x:c r="V38" s="28"/>
      <x:c r="W38" s="28"/>
      <x:c r="X38" s="28"/>
      <x:c r="Y38" s="28"/>
      <x:c r="Z38" s="28"/>
      <x:c r="AA38" s="28"/>
      <x:c r="AB38" s="28"/>
      <x:c r="AC38" s="28"/>
      <x:c r="AD38" s="28"/>
      <x:c r="AE38" s="28"/>
      <x:c r="AF38" s="28"/>
      <x:c r="AG38" s="28"/>
      <x:c r="AH38" s="28"/>
      <x:c r="AI38" s="28"/>
      <x:c r="AJ38" s="28"/>
      <x:c r="AK38" s="28"/>
      <x:c r="AL38" s="28"/>
      <x:c r="AM38" s="28"/>
      <x:c r="AN38" s="28"/>
      <x:c r="AO38" s="28"/>
      <x:c r="AP38" s="28"/>
      <x:c r="AQ38" s="40"/>
      <x:c r="AR38" s="42"/>
      <x:c r="AS38" s="41"/>
      <x:c r="AT38" s="28"/>
      <x:c r="AU38" s="28"/>
      <x:c r="AV38" s="28"/>
      <x:c r="AW38" s="28"/>
      <x:c r="AX38" s="28"/>
      <x:c r="AY38" s="28"/>
      <x:c r="AZ38" s="28"/>
      <x:c r="BA38" s="28"/>
      <x:c r="BB38" s="28"/>
      <x:c r="BC38" s="28"/>
      <x:c r="BD38" s="28"/>
      <x:c r="BE38" s="28"/>
      <x:c r="BF38" s="28"/>
      <x:c r="BG38" s="28"/>
      <x:c r="BH38" s="28"/>
      <x:c r="BI38" s="28"/>
      <x:c r="BJ38" s="28"/>
      <x:c r="BK38" s="28"/>
      <x:c r="BL38" s="28"/>
      <x:c r="BM38" s="28"/>
      <x:c r="BN38" s="28"/>
      <x:c r="BO38" s="28"/>
      <x:c r="BP38" s="28"/>
      <x:c r="BQ38" s="29"/>
    </x:row>
    <x:row r="39" ht="42" customHeight="1">
      <x:c r="A39" s="5"/>
      <x:c r="B39" s="12"/>
      <x:c r="C39" s="6"/>
      <x:c r="D39" s="6"/>
      <x:c r="E39" s="6"/>
      <x:c r="F39" s="23"/>
      <x:c r="G39" s="23"/>
      <x:c r="H39" s="23"/>
      <x:c r="I39" s="23">
        <x:f t="shared" si="6"/>
        <x:v>1</x:v>
      </x:c>
      <x:c r="J39" s="24">
        <x:f t="shared" si="7"/>
        <x:v>-7</x:v>
      </x:c>
      <x:c r="K39" s="24">
        <x:f t="shared" si="8"/>
        <x:v>-1</x:v>
      </x:c>
      <x:c r="L39" s="23"/>
      <x:c r="M39" s="25"/>
      <x:c r="N39" s="23"/>
      <x:c r="O39" s="23" t="str">
        <x:f t="shared" si="9"/>
      </x:c>
      <x:c r="P39" s="23">
        <x:f t="shared" si="10"/>
        <x:v>0</x:v>
      </x:c>
      <x:c r="Q39" s="8"/>
      <x:c r="R39" s="31"/>
      <x:c r="S39" s="28"/>
      <x:c r="T39" s="28"/>
      <x:c r="U39" s="28"/>
      <x:c r="V39" s="28"/>
      <x:c r="W39" s="28"/>
      <x:c r="X39" s="28"/>
      <x:c r="Y39" s="28"/>
      <x:c r="Z39" s="28"/>
      <x:c r="AA39" s="28"/>
      <x:c r="AB39" s="28"/>
      <x:c r="AC39" s="28"/>
      <x:c r="AD39" s="28"/>
      <x:c r="AE39" s="28"/>
      <x:c r="AF39" s="28"/>
      <x:c r="AG39" s="28"/>
      <x:c r="AH39" s="28"/>
      <x:c r="AI39" s="28"/>
      <x:c r="AJ39" s="28"/>
      <x:c r="AK39" s="28"/>
      <x:c r="AL39" s="28"/>
      <x:c r="AM39" s="28"/>
      <x:c r="AN39" s="28"/>
      <x:c r="AO39" s="28"/>
      <x:c r="AP39" s="28"/>
      <x:c r="AQ39" s="28"/>
      <x:c r="AR39" s="28"/>
      <x:c r="AS39" s="40"/>
      <x:c r="AT39" s="41"/>
      <x:c r="AU39" s="28"/>
      <x:c r="AV39" s="28"/>
      <x:c r="AW39" s="28"/>
      <x:c r="AX39" s="28"/>
      <x:c r="AY39" s="28"/>
      <x:c r="AZ39" s="28"/>
      <x:c r="BA39" s="28"/>
      <x:c r="BB39" s="28"/>
      <x:c r="BC39" s="28"/>
      <x:c r="BD39" s="28"/>
      <x:c r="BE39" s="28"/>
      <x:c r="BF39" s="28"/>
      <x:c r="BG39" s="28"/>
      <x:c r="BH39" s="28"/>
      <x:c r="BI39" s="28"/>
      <x:c r="BJ39" s="28"/>
      <x:c r="BK39" s="28"/>
      <x:c r="BL39" s="28"/>
      <x:c r="BM39" s="28"/>
      <x:c r="BN39" s="28"/>
      <x:c r="BO39" s="28"/>
      <x:c r="BP39" s="28"/>
      <x:c r="BQ39" s="29"/>
    </x:row>
    <x:row r="40" ht="42" customHeight="1">
      <x:c r="A40" s="5"/>
      <x:c r="B40" s="12"/>
      <x:c r="C40" s="6"/>
      <x:c r="D40" s="6"/>
      <x:c r="E40" s="6"/>
      <x:c r="F40" s="23"/>
      <x:c r="G40" s="23"/>
      <x:c r="H40" s="23"/>
      <x:c r="I40" s="23">
        <x:f t="shared" si="6"/>
        <x:v>1</x:v>
      </x:c>
      <x:c r="J40" s="24">
        <x:f t="shared" si="7"/>
        <x:v>-7</x:v>
      </x:c>
      <x:c r="K40" s="24">
        <x:f t="shared" si="8"/>
        <x:v>-1</x:v>
      </x:c>
      <x:c r="L40" s="23"/>
      <x:c r="M40" s="25"/>
      <x:c r="N40" s="23"/>
      <x:c r="O40" s="23" t="str">
        <x:f t="shared" si="9"/>
      </x:c>
      <x:c r="P40" s="23">
        <x:f t="shared" si="10"/>
        <x:v>0</x:v>
      </x:c>
      <x:c r="Q40" s="8"/>
      <x:c r="R40" s="31"/>
      <x:c r="S40" s="28"/>
      <x:c r="T40" s="28"/>
      <x:c r="U40" s="28"/>
      <x:c r="V40" s="28"/>
      <x:c r="W40" s="28"/>
      <x:c r="X40" s="28"/>
      <x:c r="Y40" s="28"/>
      <x:c r="Z40" s="28"/>
      <x:c r="AA40" s="28"/>
      <x:c r="AB40" s="28"/>
      <x:c r="AC40" s="28"/>
      <x:c r="AD40" s="28"/>
      <x:c r="AE40" s="28"/>
      <x:c r="AF40" s="28"/>
      <x:c r="AG40" s="28"/>
      <x:c r="AH40" s="28"/>
      <x:c r="AI40" s="28"/>
      <x:c r="AJ40" s="28"/>
      <x:c r="AK40" s="28"/>
      <x:c r="AL40" s="28"/>
      <x:c r="AM40" s="28"/>
      <x:c r="AN40" s="28"/>
      <x:c r="AO40" s="28"/>
      <x:c r="AP40" s="28"/>
      <x:c r="AQ40" s="28"/>
      <x:c r="AR40" s="28"/>
      <x:c r="AS40" s="28"/>
      <x:c r="AT40" s="40"/>
      <x:c r="AU40" s="41"/>
      <x:c r="AV40" s="28"/>
      <x:c r="AW40" s="28"/>
      <x:c r="AX40" s="28"/>
      <x:c r="AY40" s="28"/>
      <x:c r="AZ40" s="28"/>
      <x:c r="BA40" s="28"/>
      <x:c r="BB40" s="28"/>
      <x:c r="BC40" s="28"/>
      <x:c r="BD40" s="28"/>
      <x:c r="BE40" s="28"/>
      <x:c r="BF40" s="28"/>
      <x:c r="BG40" s="28"/>
      <x:c r="BH40" s="28"/>
      <x:c r="BI40" s="28"/>
      <x:c r="BJ40" s="28"/>
      <x:c r="BK40" s="28"/>
      <x:c r="BL40" s="28"/>
      <x:c r="BM40" s="28"/>
      <x:c r="BN40" s="28"/>
      <x:c r="BO40" s="28"/>
      <x:c r="BP40" s="28"/>
      <x:c r="BQ40" s="29"/>
    </x:row>
    <x:row r="41" ht="42" customHeight="1">
      <x:c r="A41" s="5"/>
      <x:c r="B41" s="12"/>
      <x:c r="C41" s="6"/>
      <x:c r="D41" s="6"/>
      <x:c r="E41" s="6"/>
      <x:c r="F41" s="23"/>
      <x:c r="G41" s="23"/>
      <x:c r="H41" s="23"/>
      <x:c r="I41" s="23">
        <x:f t="shared" si="6"/>
        <x:v>1</x:v>
      </x:c>
      <x:c r="J41" s="24">
        <x:f t="shared" si="7"/>
        <x:v>-7</x:v>
      </x:c>
      <x:c r="K41" s="24">
        <x:f t="shared" si="8"/>
        <x:v>-1</x:v>
      </x:c>
      <x:c r="L41" s="23"/>
      <x:c r="M41" s="25"/>
      <x:c r="N41" s="23"/>
      <x:c r="O41" s="23" t="str">
        <x:f t="shared" si="9"/>
      </x:c>
      <x:c r="P41" s="23">
        <x:f t="shared" si="10"/>
        <x:v>0</x:v>
      </x:c>
      <x:c r="Q41" s="8"/>
      <x:c r="R41" s="31"/>
      <x:c r="S41" s="28"/>
      <x:c r="T41" s="28"/>
      <x:c r="U41" s="28"/>
      <x:c r="V41" s="28"/>
      <x:c r="W41" s="28"/>
      <x:c r="X41" s="28"/>
      <x:c r="Y41" s="28"/>
      <x:c r="Z41" s="28"/>
      <x:c r="AA41" s="28"/>
      <x:c r="AB41" s="28"/>
      <x:c r="AC41" s="28"/>
      <x:c r="AD41" s="28"/>
      <x:c r="AE41" s="28"/>
      <x:c r="AF41" s="28"/>
      <x:c r="AG41" s="28"/>
      <x:c r="AH41" s="28"/>
      <x:c r="AI41" s="28"/>
      <x:c r="AJ41" s="28"/>
      <x:c r="AK41" s="28"/>
      <x:c r="AL41" s="28"/>
      <x:c r="AM41" s="28"/>
      <x:c r="AN41" s="28"/>
      <x:c r="AO41" s="28"/>
      <x:c r="AP41" s="28"/>
      <x:c r="AQ41" s="28"/>
      <x:c r="AR41" s="28"/>
      <x:c r="AS41" s="28"/>
      <x:c r="AT41" s="28"/>
      <x:c r="AU41" s="40"/>
      <x:c r="AV41" s="41"/>
      <x:c r="AW41" s="28"/>
      <x:c r="AX41" s="28"/>
      <x:c r="AY41" s="28"/>
      <x:c r="AZ41" s="28"/>
      <x:c r="BA41" s="28"/>
      <x:c r="BB41" s="28"/>
      <x:c r="BC41" s="28"/>
      <x:c r="BD41" s="28"/>
      <x:c r="BE41" s="28"/>
      <x:c r="BF41" s="28"/>
      <x:c r="BG41" s="28"/>
      <x:c r="BH41" s="28"/>
      <x:c r="BI41" s="28"/>
      <x:c r="BJ41" s="28"/>
      <x:c r="BK41" s="28"/>
      <x:c r="BL41" s="28"/>
      <x:c r="BM41" s="28"/>
      <x:c r="BN41" s="28"/>
      <x:c r="BO41" s="28"/>
      <x:c r="BP41" s="28"/>
      <x:c r="BQ41" s="29"/>
    </x:row>
    <x:row r="42" ht="42" customHeight="1">
      <x:c r="A42" s="5"/>
      <x:c r="B42" s="12"/>
      <x:c r="C42" s="6"/>
      <x:c r="D42" s="6"/>
      <x:c r="E42" s="6"/>
      <x:c r="F42" s="23"/>
      <x:c r="G42" s="23"/>
      <x:c r="H42" s="23"/>
      <x:c r="I42" s="23">
        <x:f t="shared" si="6"/>
        <x:v>1</x:v>
      </x:c>
      <x:c r="J42" s="24">
        <x:f t="shared" si="7"/>
        <x:v>-7</x:v>
      </x:c>
      <x:c r="K42" s="24">
        <x:f t="shared" si="8"/>
        <x:v>-1</x:v>
      </x:c>
      <x:c r="L42" s="23"/>
      <x:c r="M42" s="25"/>
      <x:c r="N42" s="23"/>
      <x:c r="O42" s="23" t="str">
        <x:f t="shared" si="9"/>
      </x:c>
      <x:c r="P42" s="23">
        <x:f t="shared" si="10"/>
        <x:v>0</x:v>
      </x:c>
      <x:c r="Q42" s="8"/>
      <x:c r="R42" s="31"/>
      <x:c r="S42" s="28"/>
      <x:c r="T42" s="28"/>
      <x:c r="U42" s="28"/>
      <x:c r="V42" s="28"/>
      <x:c r="W42" s="28"/>
      <x:c r="X42" s="28"/>
      <x:c r="Y42" s="28"/>
      <x:c r="Z42" s="28"/>
      <x:c r="AA42" s="28"/>
      <x:c r="AB42" s="28"/>
      <x:c r="AC42" s="28"/>
      <x:c r="AD42" s="28"/>
      <x:c r="AE42" s="28"/>
      <x:c r="AF42" s="28"/>
      <x:c r="AG42" s="28"/>
      <x:c r="AH42" s="28"/>
      <x:c r="AI42" s="28"/>
      <x:c r="AJ42" s="28"/>
      <x:c r="AK42" s="28"/>
      <x:c r="AL42" s="28"/>
      <x:c r="AM42" s="28"/>
      <x:c r="AN42" s="28"/>
      <x:c r="AO42" s="28"/>
      <x:c r="AP42" s="28"/>
      <x:c r="AQ42" s="28"/>
      <x:c r="AR42" s="28"/>
      <x:c r="AS42" s="28"/>
      <x:c r="AT42" s="28"/>
      <x:c r="AU42" s="28"/>
      <x:c r="AV42" s="28"/>
      <x:c r="AW42" s="39"/>
      <x:c r="AX42" s="28"/>
      <x:c r="AY42" s="28"/>
      <x:c r="AZ42" s="28"/>
      <x:c r="BA42" s="28"/>
      <x:c r="BB42" s="28"/>
      <x:c r="BC42" s="28"/>
      <x:c r="BD42" s="28"/>
      <x:c r="BE42" s="28"/>
      <x:c r="BF42" s="28"/>
      <x:c r="BG42" s="28"/>
      <x:c r="BH42" s="28"/>
      <x:c r="BI42" s="28"/>
      <x:c r="BJ42" s="28"/>
      <x:c r="BK42" s="28"/>
      <x:c r="BL42" s="28"/>
      <x:c r="BM42" s="28"/>
      <x:c r="BN42" s="28"/>
      <x:c r="BO42" s="28"/>
      <x:c r="BP42" s="28"/>
      <x:c r="BQ42" s="29"/>
    </x:row>
    <x:row r="43" ht="42" customHeight="1">
      <x:c r="A43" s="5"/>
      <x:c r="B43" s="13"/>
      <x:c r="C43" s="6"/>
      <x:c r="D43" s="6"/>
      <x:c r="E43" s="6"/>
      <x:c r="F43" s="23"/>
      <x:c r="G43" s="23"/>
      <x:c r="H43" s="23"/>
      <x:c r="I43" s="23">
        <x:f t="shared" si="6"/>
        <x:v>1</x:v>
      </x:c>
      <x:c r="J43" s="24">
        <x:f t="shared" si="7"/>
        <x:v>-7</x:v>
      </x:c>
      <x:c r="K43" s="24">
        <x:f t="shared" si="8"/>
        <x:v>-1</x:v>
      </x:c>
      <x:c r="L43" s="23"/>
      <x:c r="M43" s="25"/>
      <x:c r="N43" s="23"/>
      <x:c r="O43" s="23" t="str">
        <x:f t="shared" si="9"/>
      </x:c>
      <x:c r="P43" s="23">
        <x:f t="shared" si="10"/>
        <x:v>0</x:v>
      </x:c>
      <x:c r="Q43" s="8"/>
      <x:c r="R43" s="31"/>
      <x:c r="S43" s="28"/>
      <x:c r="T43" s="28"/>
      <x:c r="U43" s="28"/>
      <x:c r="V43" s="28"/>
      <x:c r="W43" s="28"/>
      <x:c r="X43" s="28"/>
      <x:c r="Y43" s="28"/>
      <x:c r="Z43" s="28"/>
      <x:c r="AA43" s="28"/>
      <x:c r="AB43" s="28"/>
      <x:c r="AC43" s="28"/>
      <x:c r="AD43" s="28"/>
      <x:c r="AE43" s="28"/>
      <x:c r="AF43" s="28"/>
      <x:c r="AG43" s="28"/>
      <x:c r="AH43" s="28"/>
      <x:c r="AI43" s="28"/>
      <x:c r="AJ43" s="28"/>
      <x:c r="AK43" s="28"/>
      <x:c r="AL43" s="28"/>
      <x:c r="AM43" s="28"/>
      <x:c r="AN43" s="28"/>
      <x:c r="AO43" s="28"/>
      <x:c r="AP43" s="28"/>
      <x:c r="AQ43" s="28"/>
      <x:c r="AR43" s="28"/>
      <x:c r="AS43" s="28"/>
      <x:c r="AT43" s="28"/>
      <x:c r="AU43" s="28"/>
      <x:c r="AV43" s="28"/>
      <x:c r="AW43" s="28"/>
      <x:c r="AX43" s="43"/>
      <x:c r="AY43" s="28"/>
      <x:c r="AZ43" s="28"/>
      <x:c r="BA43" s="28"/>
      <x:c r="BB43" s="28"/>
      <x:c r="BC43" s="28"/>
      <x:c r="BD43" s="28"/>
      <x:c r="BE43" s="28"/>
      <x:c r="BF43" s="28"/>
      <x:c r="BG43" s="28"/>
      <x:c r="BH43" s="28"/>
      <x:c r="BI43" s="28"/>
      <x:c r="BJ43" s="28"/>
      <x:c r="BK43" s="28"/>
      <x:c r="BL43" s="28"/>
      <x:c r="BM43" s="28"/>
      <x:c r="BN43" s="28"/>
      <x:c r="BO43" s="28"/>
      <x:c r="BP43" s="28"/>
      <x:c r="BQ43" s="29"/>
    </x:row>
    <x:row r="44" ht="42" customHeight="1">
      <x:c r="A44" s="5"/>
      <x:c r="B44" s="13"/>
      <x:c r="C44" s="6"/>
      <x:c r="D44" s="6"/>
      <x:c r="E44" s="6"/>
      <x:c r="F44" s="23"/>
      <x:c r="G44" s="23"/>
      <x:c r="H44" s="23"/>
      <x:c r="I44" s="23">
        <x:f t="shared" si="6"/>
        <x:v>1</x:v>
      </x:c>
      <x:c r="J44" s="24">
        <x:f t="shared" si="7"/>
        <x:v>-7</x:v>
      </x:c>
      <x:c r="K44" s="24">
        <x:f t="shared" si="8"/>
        <x:v>-1</x:v>
      </x:c>
      <x:c r="L44" s="23"/>
      <x:c r="M44" s="25"/>
      <x:c r="N44" s="23"/>
      <x:c r="O44" s="23" t="str">
        <x:f t="shared" si="9"/>
      </x:c>
      <x:c r="P44" s="23">
        <x:f t="shared" si="10"/>
        <x:v>0</x:v>
      </x:c>
      <x:c r="Q44" s="8"/>
      <x:c r="R44" s="31"/>
      <x:c r="S44" s="28"/>
      <x:c r="T44" s="28"/>
      <x:c r="U44" s="28"/>
      <x:c r="V44" s="28"/>
      <x:c r="W44" s="28"/>
      <x:c r="X44" s="28"/>
      <x:c r="Y44" s="28"/>
      <x:c r="Z44" s="28"/>
      <x:c r="AA44" s="28"/>
      <x:c r="AB44" s="28"/>
      <x:c r="AC44" s="28"/>
      <x:c r="AD44" s="28"/>
      <x:c r="AE44" s="28"/>
      <x:c r="AF44" s="28"/>
      <x:c r="AG44" s="28"/>
      <x:c r="AH44" s="28"/>
      <x:c r="AI44" s="28"/>
      <x:c r="AJ44" s="28"/>
      <x:c r="AK44" s="28"/>
      <x:c r="AL44" s="28"/>
      <x:c r="AM44" s="28"/>
      <x:c r="AN44" s="28"/>
      <x:c r="AO44" s="28"/>
      <x:c r="AP44" s="28"/>
      <x:c r="AQ44" s="28"/>
      <x:c r="AR44" s="28"/>
      <x:c r="AS44" s="28"/>
      <x:c r="AT44" s="28"/>
      <x:c r="AU44" s="28"/>
      <x:c r="AV44" s="28"/>
      <x:c r="AW44" s="28"/>
      <x:c r="AX44" s="28"/>
      <x:c r="AY44" s="44"/>
      <x:c r="AZ44" s="45"/>
      <x:c r="BA44" s="28"/>
      <x:c r="BB44" s="28"/>
      <x:c r="BC44" s="28"/>
      <x:c r="BD44" s="28"/>
      <x:c r="BE44" s="28"/>
      <x:c r="BF44" s="28"/>
      <x:c r="BG44" s="28"/>
      <x:c r="BH44" s="28"/>
      <x:c r="BI44" s="28"/>
      <x:c r="BJ44" s="28"/>
      <x:c r="BK44" s="28"/>
      <x:c r="BL44" s="28"/>
      <x:c r="BM44" s="28"/>
      <x:c r="BN44" s="28"/>
      <x:c r="BO44" s="28"/>
      <x:c r="BP44" s="28"/>
      <x:c r="BQ44" s="29"/>
    </x:row>
    <x:row r="45" ht="42" customHeight="1">
      <x:c r="A45" s="5"/>
      <x:c r="B45" s="13"/>
      <x:c r="C45" s="6"/>
      <x:c r="D45" s="6"/>
      <x:c r="E45" s="6"/>
      <x:c r="F45" s="23"/>
      <x:c r="G45" s="23"/>
      <x:c r="H45" s="23"/>
      <x:c r="I45" s="23">
        <x:f t="shared" si="6"/>
        <x:v>1</x:v>
      </x:c>
      <x:c r="J45" s="24">
        <x:f t="shared" si="7"/>
        <x:v>-7</x:v>
      </x:c>
      <x:c r="K45" s="24">
        <x:f t="shared" si="8"/>
        <x:v>-1</x:v>
      </x:c>
      <x:c r="L45" s="23"/>
      <x:c r="M45" s="25"/>
      <x:c r="N45" s="23"/>
      <x:c r="O45" s="23" t="str">
        <x:f t="shared" si="9"/>
      </x:c>
      <x:c r="P45" s="23">
        <x:f t="shared" si="10"/>
        <x:v>0</x:v>
      </x:c>
      <x:c r="Q45" s="8"/>
      <x:c r="R45" s="31"/>
      <x:c r="S45" s="28"/>
      <x:c r="T45" s="28"/>
      <x:c r="U45" s="28"/>
      <x:c r="V45" s="28"/>
      <x:c r="W45" s="28"/>
      <x:c r="X45" s="28"/>
      <x:c r="Y45" s="28"/>
      <x:c r="Z45" s="28"/>
      <x:c r="AA45" s="28"/>
      <x:c r="AB45" s="28"/>
      <x:c r="AC45" s="28"/>
      <x:c r="AD45" s="28"/>
      <x:c r="AE45" s="28"/>
      <x:c r="AF45" s="28"/>
      <x:c r="AG45" s="28"/>
      <x:c r="AH45" s="28"/>
      <x:c r="AI45" s="28"/>
      <x:c r="AJ45" s="28"/>
      <x:c r="AK45" s="28"/>
      <x:c r="AL45" s="28"/>
      <x:c r="AM45" s="28"/>
      <x:c r="AN45" s="28"/>
      <x:c r="AO45" s="28"/>
      <x:c r="AP45" s="28"/>
      <x:c r="AQ45" s="28"/>
      <x:c r="AR45" s="28"/>
      <x:c r="AS45" s="28"/>
      <x:c r="AT45" s="28"/>
      <x:c r="AU45" s="28"/>
      <x:c r="AV45" s="28"/>
      <x:c r="AW45" s="28"/>
      <x:c r="AX45" s="28"/>
      <x:c r="AY45" s="28"/>
      <x:c r="AZ45" s="44"/>
      <x:c r="BA45" s="45"/>
      <x:c r="BB45" s="28"/>
      <x:c r="BC45" s="28"/>
      <x:c r="BD45" s="28"/>
      <x:c r="BE45" s="28"/>
      <x:c r="BF45" s="28"/>
      <x:c r="BG45" s="28"/>
      <x:c r="BH45" s="28"/>
      <x:c r="BI45" s="28"/>
      <x:c r="BJ45" s="28"/>
      <x:c r="BK45" s="28"/>
      <x:c r="BL45" s="28"/>
      <x:c r="BM45" s="28"/>
      <x:c r="BN45" s="28"/>
      <x:c r="BO45" s="28"/>
      <x:c r="BP45" s="28"/>
      <x:c r="BQ45" s="29"/>
    </x:row>
    <x:row r="46" ht="42" customHeight="1">
      <x:c r="A46" s="5"/>
      <x:c r="B46" s="13"/>
      <x:c r="C46" s="6"/>
      <x:c r="D46" s="6"/>
      <x:c r="E46" s="6"/>
      <x:c r="F46" s="23"/>
      <x:c r="G46" s="23"/>
      <x:c r="H46" s="23"/>
      <x:c r="I46" s="23">
        <x:f t="shared" si="6"/>
        <x:v>1</x:v>
      </x:c>
      <x:c r="J46" s="24">
        <x:f t="shared" si="7"/>
        <x:v>-7</x:v>
      </x:c>
      <x:c r="K46" s="24">
        <x:f t="shared" si="8"/>
        <x:v>-1</x:v>
      </x:c>
      <x:c r="L46" s="23"/>
      <x:c r="M46" s="25"/>
      <x:c r="N46" s="23"/>
      <x:c r="O46" s="23" t="str">
        <x:f t="shared" si="9"/>
      </x:c>
      <x:c r="P46" s="23">
        <x:f t="shared" si="10"/>
        <x:v>0</x:v>
      </x:c>
      <x:c r="Q46" s="8"/>
      <x:c r="R46" s="31"/>
      <x:c r="S46" s="28"/>
      <x:c r="T46" s="28"/>
      <x:c r="U46" s="28"/>
      <x:c r="V46" s="28"/>
      <x:c r="W46" s="28"/>
      <x:c r="X46" s="28"/>
      <x:c r="Y46" s="28"/>
      <x:c r="Z46" s="28"/>
      <x:c r="AA46" s="28"/>
      <x:c r="AB46" s="28"/>
      <x:c r="AC46" s="28"/>
      <x:c r="AD46" s="28"/>
      <x:c r="AE46" s="28"/>
      <x:c r="AF46" s="28"/>
      <x:c r="AG46" s="28"/>
      <x:c r="AH46" s="28"/>
      <x:c r="AI46" s="28"/>
      <x:c r="AJ46" s="28"/>
      <x:c r="AK46" s="28"/>
      <x:c r="AL46" s="28"/>
      <x:c r="AM46" s="28"/>
      <x:c r="AN46" s="28"/>
      <x:c r="AO46" s="28"/>
      <x:c r="AP46" s="28"/>
      <x:c r="AQ46" s="28"/>
      <x:c r="AR46" s="28"/>
      <x:c r="AS46" s="28"/>
      <x:c r="AT46" s="28"/>
      <x:c r="AU46" s="28"/>
      <x:c r="AV46" s="28"/>
      <x:c r="AW46" s="28"/>
      <x:c r="AX46" s="28"/>
      <x:c r="AY46" s="28"/>
      <x:c r="AZ46" s="28"/>
      <x:c r="BA46" s="43"/>
      <x:c r="BB46" s="28"/>
      <x:c r="BC46" s="28"/>
      <x:c r="BD46" s="28"/>
      <x:c r="BE46" s="28"/>
      <x:c r="BF46" s="28"/>
      <x:c r="BG46" s="28"/>
      <x:c r="BH46" s="28"/>
      <x:c r="BI46" s="28"/>
      <x:c r="BJ46" s="28"/>
      <x:c r="BK46" s="28"/>
      <x:c r="BL46" s="28"/>
      <x:c r="BM46" s="28"/>
      <x:c r="BN46" s="28"/>
      <x:c r="BO46" s="28"/>
      <x:c r="BP46" s="28"/>
      <x:c r="BQ46" s="29"/>
    </x:row>
    <x:row r="47" ht="42" customHeight="1">
      <x:c r="A47" s="5"/>
      <x:c r="B47" s="13"/>
      <x:c r="C47" s="6"/>
      <x:c r="D47" s="6"/>
      <x:c r="E47" s="6"/>
      <x:c r="F47" s="23"/>
      <x:c r="G47" s="23"/>
      <x:c r="H47" s="23"/>
      <x:c r="I47" s="23">
        <x:f t="shared" si="6"/>
        <x:v>1</x:v>
      </x:c>
      <x:c r="J47" s="24">
        <x:f t="shared" si="7"/>
        <x:v>-7</x:v>
      </x:c>
      <x:c r="K47" s="24">
        <x:f t="shared" si="8"/>
        <x:v>-1</x:v>
      </x:c>
      <x:c r="L47" s="23"/>
      <x:c r="M47" s="25"/>
      <x:c r="N47" s="23"/>
      <x:c r="O47" s="23" t="str">
        <x:f t="shared" si="9"/>
      </x:c>
      <x:c r="P47" s="23">
        <x:f t="shared" si="10"/>
        <x:v>0</x:v>
      </x:c>
      <x:c r="Q47" s="8"/>
      <x:c r="R47" s="31"/>
      <x:c r="S47" s="28"/>
      <x:c r="T47" s="28"/>
      <x:c r="U47" s="28"/>
      <x:c r="V47" s="28"/>
      <x:c r="W47" s="28"/>
      <x:c r="X47" s="28"/>
      <x:c r="Y47" s="28"/>
      <x:c r="Z47" s="28"/>
      <x:c r="AA47" s="28"/>
      <x:c r="AB47" s="28"/>
      <x:c r="AC47" s="28"/>
      <x:c r="AD47" s="28"/>
      <x:c r="AE47" s="28"/>
      <x:c r="AF47" s="28"/>
      <x:c r="AG47" s="28"/>
      <x:c r="AH47" s="28"/>
      <x:c r="AI47" s="28"/>
      <x:c r="AJ47" s="28"/>
      <x:c r="AK47" s="28"/>
      <x:c r="AL47" s="28"/>
      <x:c r="AM47" s="28"/>
      <x:c r="AN47" s="28"/>
      <x:c r="AO47" s="28"/>
      <x:c r="AP47" s="28"/>
      <x:c r="AQ47" s="28"/>
      <x:c r="AR47" s="28"/>
      <x:c r="AS47" s="28"/>
      <x:c r="AT47" s="28"/>
      <x:c r="AU47" s="28"/>
      <x:c r="AV47" s="28"/>
      <x:c r="AW47" s="28"/>
      <x:c r="AX47" s="28"/>
      <x:c r="AY47" s="28"/>
      <x:c r="AZ47" s="28"/>
      <x:c r="BA47" s="28"/>
      <x:c r="BB47" s="44"/>
      <x:c r="BC47" s="45"/>
      <x:c r="BD47" s="28"/>
      <x:c r="BE47" s="28"/>
      <x:c r="BF47" s="28"/>
      <x:c r="BG47" s="28"/>
      <x:c r="BH47" s="28"/>
      <x:c r="BI47" s="28"/>
      <x:c r="BJ47" s="28"/>
      <x:c r="BK47" s="28"/>
      <x:c r="BL47" s="28"/>
      <x:c r="BM47" s="28"/>
      <x:c r="BN47" s="28"/>
      <x:c r="BO47" s="28"/>
      <x:c r="BP47" s="28"/>
      <x:c r="BQ47" s="29"/>
    </x:row>
    <x:row r="48" ht="42" customHeight="1">
      <x:c r="A48" s="5"/>
      <x:c r="B48" s="13"/>
      <x:c r="C48" s="6"/>
      <x:c r="D48" s="6"/>
      <x:c r="E48" s="6"/>
      <x:c r="F48" s="23"/>
      <x:c r="G48" s="23"/>
      <x:c r="H48" s="23"/>
      <x:c r="I48" s="23">
        <x:f t="shared" si="6"/>
        <x:v>1</x:v>
      </x:c>
      <x:c r="J48" s="24">
        <x:f t="shared" si="7"/>
        <x:v>-7</x:v>
      </x:c>
      <x:c r="K48" s="24">
        <x:f t="shared" si="8"/>
        <x:v>-1</x:v>
      </x:c>
      <x:c r="L48" s="23"/>
      <x:c r="M48" s="25"/>
      <x:c r="N48" s="23"/>
      <x:c r="O48" s="23" t="str">
        <x:f t="shared" si="9"/>
      </x:c>
      <x:c r="P48" s="23">
        <x:f t="shared" si="10"/>
        <x:v>0</x:v>
      </x:c>
      <x:c r="Q48" s="8"/>
      <x:c r="R48" s="31"/>
      <x:c r="S48" s="28"/>
      <x:c r="T48" s="28"/>
      <x:c r="U48" s="28"/>
      <x:c r="V48" s="28"/>
      <x:c r="W48" s="28"/>
      <x:c r="X48" s="28"/>
      <x:c r="Y48" s="28"/>
      <x:c r="Z48" s="28"/>
      <x:c r="AA48" s="28"/>
      <x:c r="AB48" s="28"/>
      <x:c r="AC48" s="28"/>
      <x:c r="AD48" s="28"/>
      <x:c r="AE48" s="28"/>
      <x:c r="AF48" s="28"/>
      <x:c r="AG48" s="28"/>
      <x:c r="AH48" s="28"/>
      <x:c r="AI48" s="28"/>
      <x:c r="AJ48" s="28"/>
      <x:c r="AK48" s="28"/>
      <x:c r="AL48" s="28"/>
      <x:c r="AM48" s="28"/>
      <x:c r="AN48" s="28"/>
      <x:c r="AO48" s="28"/>
      <x:c r="AP48" s="28"/>
      <x:c r="AQ48" s="28"/>
      <x:c r="AR48" s="28"/>
      <x:c r="AS48" s="28"/>
      <x:c r="AT48" s="28"/>
      <x:c r="AU48" s="28"/>
      <x:c r="AV48" s="28"/>
      <x:c r="AW48" s="28"/>
      <x:c r="AX48" s="28"/>
      <x:c r="AY48" s="28"/>
      <x:c r="AZ48" s="28"/>
      <x:c r="BA48" s="28"/>
      <x:c r="BB48" s="28"/>
      <x:c r="BC48" s="44"/>
      <x:c r="BD48" s="45"/>
      <x:c r="BE48" s="28"/>
      <x:c r="BF48" s="28"/>
      <x:c r="BG48" s="28"/>
      <x:c r="BH48" s="28"/>
      <x:c r="BI48" s="28"/>
      <x:c r="BJ48" s="28"/>
      <x:c r="BK48" s="28"/>
      <x:c r="BL48" s="28"/>
      <x:c r="BM48" s="28"/>
      <x:c r="BN48" s="28"/>
      <x:c r="BO48" s="28"/>
      <x:c r="BP48" s="28"/>
      <x:c r="BQ48" s="29"/>
    </x:row>
    <x:row r="49" ht="42" customHeight="1">
      <x:c r="A49" s="5"/>
      <x:c r="B49" s="13"/>
      <x:c r="C49" s="6"/>
      <x:c r="D49" s="6"/>
      <x:c r="E49" s="6"/>
      <x:c r="F49" s="23"/>
      <x:c r="G49" s="23"/>
      <x:c r="H49" s="23"/>
      <x:c r="I49" s="23">
        <x:f t="shared" si="6"/>
        <x:v>1</x:v>
      </x:c>
      <x:c r="J49" s="24">
        <x:f t="shared" si="7"/>
        <x:v>-7</x:v>
      </x:c>
      <x:c r="K49" s="24">
        <x:f t="shared" si="8"/>
        <x:v>-1</x:v>
      </x:c>
      <x:c r="L49" s="23"/>
      <x:c r="M49" s="25"/>
      <x:c r="N49" s="23"/>
      <x:c r="O49" s="23" t="str">
        <x:f t="shared" si="9"/>
      </x:c>
      <x:c r="P49" s="23">
        <x:f t="shared" si="10"/>
        <x:v>0</x:v>
      </x:c>
      <x:c r="Q49" s="8"/>
      <x:c r="R49" s="31"/>
      <x:c r="S49" s="28"/>
      <x:c r="T49" s="28"/>
      <x:c r="U49" s="28"/>
      <x:c r="V49" s="28"/>
      <x:c r="W49" s="28"/>
      <x:c r="X49" s="28"/>
      <x:c r="Y49" s="28"/>
      <x:c r="Z49" s="28"/>
      <x:c r="AA49" s="28"/>
      <x:c r="AB49" s="28"/>
      <x:c r="AC49" s="28"/>
      <x:c r="AD49" s="28"/>
      <x:c r="AE49" s="28"/>
      <x:c r="AF49" s="28"/>
      <x:c r="AG49" s="28"/>
      <x:c r="AH49" s="28"/>
      <x:c r="AI49" s="28"/>
      <x:c r="AJ49" s="28"/>
      <x:c r="AK49" s="28"/>
      <x:c r="AL49" s="28"/>
      <x:c r="AM49" s="28"/>
      <x:c r="AN49" s="28"/>
      <x:c r="AO49" s="28"/>
      <x:c r="AP49" s="28"/>
      <x:c r="AQ49" s="28"/>
      <x:c r="AR49" s="28"/>
      <x:c r="AS49" s="28"/>
      <x:c r="AT49" s="28"/>
      <x:c r="AU49" s="28"/>
      <x:c r="AV49" s="28"/>
      <x:c r="AW49" s="28"/>
      <x:c r="AX49" s="28"/>
      <x:c r="AY49" s="28"/>
      <x:c r="AZ49" s="28"/>
      <x:c r="BA49" s="28"/>
      <x:c r="BB49" s="28"/>
      <x:c r="BC49" s="28"/>
      <x:c r="BD49" s="28"/>
      <x:c r="BE49" s="44"/>
      <x:c r="BF49" s="45"/>
      <x:c r="BG49" s="28"/>
      <x:c r="BH49" s="28"/>
      <x:c r="BI49" s="28"/>
      <x:c r="BJ49" s="28"/>
      <x:c r="BK49" s="28"/>
      <x:c r="BL49" s="28"/>
      <x:c r="BM49" s="28"/>
      <x:c r="BN49" s="28"/>
      <x:c r="BO49" s="28"/>
      <x:c r="BP49" s="28"/>
      <x:c r="BQ49" s="29"/>
    </x:row>
    <x:row r="50" ht="42" customHeight="1">
      <x:c r="A50" s="5"/>
      <x:c r="B50" s="13"/>
      <x:c r="C50" s="6"/>
      <x:c r="D50" s="6"/>
      <x:c r="E50" s="6"/>
      <x:c r="F50" s="23"/>
      <x:c r="G50" s="23"/>
      <x:c r="H50" s="23"/>
      <x:c r="I50" s="23">
        <x:f t="shared" si="6"/>
        <x:v>1</x:v>
      </x:c>
      <x:c r="J50" s="24">
        <x:f t="shared" si="7"/>
        <x:v>-7</x:v>
      </x:c>
      <x:c r="K50" s="24">
        <x:f t="shared" si="8"/>
        <x:v>-1</x:v>
      </x:c>
      <x:c r="L50" s="23"/>
      <x:c r="M50" s="25"/>
      <x:c r="N50" s="23"/>
      <x:c r="O50" s="23" t="str">
        <x:f t="shared" si="9"/>
      </x:c>
      <x:c r="P50" s="23">
        <x:f t="shared" si="10"/>
        <x:v>0</x:v>
      </x:c>
      <x:c r="Q50" s="8"/>
      <x:c r="R50" s="31"/>
      <x:c r="S50" s="28"/>
      <x:c r="T50" s="28"/>
      <x:c r="U50" s="28"/>
      <x:c r="V50" s="28"/>
      <x:c r="W50" s="28"/>
      <x:c r="X50" s="28"/>
      <x:c r="Y50" s="28"/>
      <x:c r="Z50" s="28"/>
      <x:c r="AA50" s="28"/>
      <x:c r="AB50" s="28"/>
      <x:c r="AC50" s="28"/>
      <x:c r="AD50" s="28"/>
      <x:c r="AE50" s="28"/>
      <x:c r="AF50" s="28"/>
      <x:c r="AG50" s="28"/>
      <x:c r="AH50" s="28"/>
      <x:c r="AI50" s="28"/>
      <x:c r="AJ50" s="28"/>
      <x:c r="AK50" s="28"/>
      <x:c r="AL50" s="28"/>
      <x:c r="AM50" s="28"/>
      <x:c r="AN50" s="28"/>
      <x:c r="AO50" s="28"/>
      <x:c r="AP50" s="28"/>
      <x:c r="AQ50" s="28"/>
      <x:c r="AR50" s="28"/>
      <x:c r="AS50" s="28"/>
      <x:c r="AT50" s="28"/>
      <x:c r="AU50" s="28"/>
      <x:c r="AV50" s="28"/>
      <x:c r="AW50" s="28"/>
      <x:c r="AX50" s="28"/>
      <x:c r="AY50" s="28"/>
      <x:c r="AZ50" s="28"/>
      <x:c r="BA50" s="28"/>
      <x:c r="BB50" s="28"/>
      <x:c r="BC50" s="28"/>
      <x:c r="BD50" s="28"/>
      <x:c r="BE50" s="28"/>
      <x:c r="BF50" s="28"/>
      <x:c r="BG50" s="43"/>
      <x:c r="BH50" s="28"/>
      <x:c r="BI50" s="28"/>
      <x:c r="BJ50" s="28"/>
      <x:c r="BK50" s="28"/>
      <x:c r="BL50" s="28"/>
      <x:c r="BM50" s="28"/>
      <x:c r="BN50" s="28"/>
      <x:c r="BO50" s="28"/>
      <x:c r="BP50" s="28"/>
      <x:c r="BQ50" s="29"/>
    </x:row>
    <x:row r="51" ht="42" customHeight="1">
      <x:c r="A51" s="5"/>
      <x:c r="B51" s="15"/>
      <x:c r="C51" s="6"/>
      <x:c r="D51" s="6"/>
      <x:c r="E51" s="6"/>
      <x:c r="F51" s="23"/>
      <x:c r="G51" s="23"/>
      <x:c r="H51" s="23"/>
      <x:c r="I51" s="23">
        <x:f t="shared" si="6"/>
        <x:v>1</x:v>
      </x:c>
      <x:c r="J51" s="24">
        <x:f t="shared" si="7"/>
        <x:v>-7</x:v>
      </x:c>
      <x:c r="K51" s="24">
        <x:f t="shared" si="8"/>
        <x:v>-1</x:v>
      </x:c>
      <x:c r="L51" s="23"/>
      <x:c r="M51" s="25"/>
      <x:c r="N51" s="23"/>
      <x:c r="O51" s="23" t="str">
        <x:f t="shared" si="9"/>
      </x:c>
      <x:c r="P51" s="23">
        <x:f t="shared" si="10"/>
        <x:v>0</x:v>
      </x:c>
      <x:c r="Q51" s="8"/>
      <x:c r="R51" s="31"/>
      <x:c r="S51" s="28"/>
      <x:c r="T51" s="28"/>
      <x:c r="U51" s="28"/>
      <x:c r="V51" s="28"/>
      <x:c r="W51" s="28"/>
      <x:c r="X51" s="28"/>
      <x:c r="Y51" s="28"/>
      <x:c r="Z51" s="28"/>
      <x:c r="AA51" s="28"/>
      <x:c r="AB51" s="28"/>
      <x:c r="AC51" s="28"/>
      <x:c r="AD51" s="28"/>
      <x:c r="AE51" s="28"/>
      <x:c r="AF51" s="28"/>
      <x:c r="AG51" s="28"/>
      <x:c r="AH51" s="28"/>
      <x:c r="AI51" s="28"/>
      <x:c r="AJ51" s="28"/>
      <x:c r="AK51" s="28"/>
      <x:c r="AL51" s="28"/>
      <x:c r="AM51" s="28"/>
      <x:c r="AN51" s="28"/>
      <x:c r="AO51" s="28"/>
      <x:c r="AP51" s="28"/>
      <x:c r="AQ51" s="28"/>
      <x:c r="AR51" s="28"/>
      <x:c r="AS51" s="28"/>
      <x:c r="AT51" s="28"/>
      <x:c r="AU51" s="28"/>
      <x:c r="AV51" s="28"/>
      <x:c r="AW51" s="28"/>
      <x:c r="AX51" s="28"/>
      <x:c r="AY51" s="28"/>
      <x:c r="AZ51" s="28"/>
      <x:c r="BA51" s="28"/>
      <x:c r="BB51" s="28"/>
      <x:c r="BC51" s="28"/>
      <x:c r="BD51" s="28"/>
      <x:c r="BE51" s="28"/>
      <x:c r="BF51" s="28"/>
      <x:c r="BG51" s="28"/>
      <x:c r="BH51" s="46"/>
      <x:c r="BI51" s="28"/>
      <x:c r="BJ51" s="28"/>
      <x:c r="BK51" s="28"/>
      <x:c r="BL51" s="28"/>
      <x:c r="BM51" s="28"/>
      <x:c r="BN51" s="28"/>
      <x:c r="BO51" s="28"/>
      <x:c r="BP51" s="28"/>
      <x:c r="BQ51" s="29"/>
    </x:row>
    <x:row r="52" ht="42" customHeight="1">
      <x:c r="A52" s="5"/>
      <x:c r="B52" s="15"/>
      <x:c r="C52" s="6"/>
      <x:c r="D52" s="6"/>
      <x:c r="E52" s="6"/>
      <x:c r="F52" s="23"/>
      <x:c r="G52" s="23"/>
      <x:c r="H52" s="23"/>
      <x:c r="I52" s="23">
        <x:f t="shared" si="6"/>
        <x:v>1</x:v>
      </x:c>
      <x:c r="J52" s="24">
        <x:f t="shared" si="7"/>
        <x:v>-7</x:v>
      </x:c>
      <x:c r="K52" s="24">
        <x:f t="shared" si="8"/>
        <x:v>-1</x:v>
      </x:c>
      <x:c r="L52" s="23"/>
      <x:c r="M52" s="25"/>
      <x:c r="N52" s="23"/>
      <x:c r="O52" s="23" t="str">
        <x:f t="shared" si="9"/>
      </x:c>
      <x:c r="P52" s="23">
        <x:f t="shared" si="10"/>
        <x:v>0</x:v>
      </x:c>
      <x:c r="Q52" s="8"/>
      <x:c r="R52" s="31"/>
      <x:c r="S52" s="28"/>
      <x:c r="T52" s="28"/>
      <x:c r="U52" s="28"/>
      <x:c r="V52" s="28"/>
      <x:c r="W52" s="28"/>
      <x:c r="X52" s="28"/>
      <x:c r="Y52" s="28"/>
      <x:c r="Z52" s="28"/>
      <x:c r="AA52" s="28"/>
      <x:c r="AB52" s="28"/>
      <x:c r="AC52" s="28"/>
      <x:c r="AD52" s="28"/>
      <x:c r="AE52" s="28"/>
      <x:c r="AF52" s="28"/>
      <x:c r="AG52" s="28"/>
      <x:c r="AH52" s="28"/>
      <x:c r="AI52" s="28"/>
      <x:c r="AJ52" s="28"/>
      <x:c r="AK52" s="28"/>
      <x:c r="AL52" s="28"/>
      <x:c r="AM52" s="28"/>
      <x:c r="AN52" s="28"/>
      <x:c r="AO52" s="28"/>
      <x:c r="AP52" s="28"/>
      <x:c r="AQ52" s="28"/>
      <x:c r="AR52" s="28"/>
      <x:c r="AS52" s="28"/>
      <x:c r="AT52" s="28"/>
      <x:c r="AU52" s="28"/>
      <x:c r="AV52" s="28"/>
      <x:c r="AW52" s="28"/>
      <x:c r="AX52" s="28"/>
      <x:c r="AY52" s="28"/>
      <x:c r="AZ52" s="28"/>
      <x:c r="BA52" s="28"/>
      <x:c r="BB52" s="28"/>
      <x:c r="BC52" s="28"/>
      <x:c r="BD52" s="28"/>
      <x:c r="BE52" s="28"/>
      <x:c r="BF52" s="28"/>
      <x:c r="BG52" s="28"/>
      <x:c r="BH52" s="47"/>
      <x:c r="BI52" s="48"/>
      <x:c r="BJ52" s="28"/>
      <x:c r="BK52" s="28"/>
      <x:c r="BL52" s="28"/>
      <x:c r="BM52" s="28"/>
      <x:c r="BN52" s="28"/>
      <x:c r="BO52" s="28"/>
      <x:c r="BP52" s="28"/>
      <x:c r="BQ52" s="29"/>
    </x:row>
    <x:row r="53" ht="42" customHeight="1">
      <x:c r="A53" s="5"/>
      <x:c r="B53" s="15"/>
      <x:c r="C53" s="6"/>
      <x:c r="D53" s="6"/>
      <x:c r="E53" s="6"/>
      <x:c r="F53" s="23"/>
      <x:c r="G53" s="23"/>
      <x:c r="H53" s="23"/>
      <x:c r="I53" s="23">
        <x:f t="shared" si="6"/>
        <x:v>1</x:v>
      </x:c>
      <x:c r="J53" s="24">
        <x:f t="shared" si="7"/>
        <x:v>-7</x:v>
      </x:c>
      <x:c r="K53" s="24">
        <x:f t="shared" si="8"/>
        <x:v>-1</x:v>
      </x:c>
      <x:c r="L53" s="23"/>
      <x:c r="M53" s="25"/>
      <x:c r="N53" s="23"/>
      <x:c r="O53" s="23" t="str">
        <x:f t="shared" si="9"/>
      </x:c>
      <x:c r="P53" s="23">
        <x:f t="shared" si="10"/>
        <x:v>0</x:v>
      </x:c>
      <x:c r="Q53" s="8"/>
      <x:c r="R53" s="31"/>
      <x:c r="S53" s="28"/>
      <x:c r="T53" s="28"/>
      <x:c r="U53" s="28"/>
      <x:c r="V53" s="28"/>
      <x:c r="W53" s="28"/>
      <x:c r="X53" s="28"/>
      <x:c r="Y53" s="28"/>
      <x:c r="Z53" s="28"/>
      <x:c r="AA53" s="28"/>
      <x:c r="AB53" s="28"/>
      <x:c r="AC53" s="28"/>
      <x:c r="AD53" s="28"/>
      <x:c r="AE53" s="28"/>
      <x:c r="AF53" s="28"/>
      <x:c r="AG53" s="28"/>
      <x:c r="AH53" s="28"/>
      <x:c r="AI53" s="28"/>
      <x:c r="AJ53" s="28"/>
      <x:c r="AK53" s="28"/>
      <x:c r="AL53" s="28"/>
      <x:c r="AM53" s="28"/>
      <x:c r="AN53" s="28"/>
      <x:c r="AO53" s="28"/>
      <x:c r="AP53" s="28"/>
      <x:c r="AQ53" s="28"/>
      <x:c r="AR53" s="28"/>
      <x:c r="AS53" s="28"/>
      <x:c r="AT53" s="28"/>
      <x:c r="AU53" s="28"/>
      <x:c r="AV53" s="28"/>
      <x:c r="AW53" s="28"/>
      <x:c r="AX53" s="28"/>
      <x:c r="AY53" s="28"/>
      <x:c r="AZ53" s="28"/>
      <x:c r="BA53" s="28"/>
      <x:c r="BB53" s="28"/>
      <x:c r="BC53" s="28"/>
      <x:c r="BD53" s="28"/>
      <x:c r="BE53" s="28"/>
      <x:c r="BF53" s="28"/>
      <x:c r="BG53" s="28"/>
      <x:c r="BH53" s="28"/>
      <x:c r="BI53" s="47"/>
      <x:c r="BJ53" s="48"/>
      <x:c r="BK53" s="28"/>
      <x:c r="BL53" s="28"/>
      <x:c r="BM53" s="28"/>
      <x:c r="BN53" s="28"/>
      <x:c r="BO53" s="28"/>
      <x:c r="BP53" s="28"/>
      <x:c r="BQ53" s="29"/>
    </x:row>
    <x:row r="54" ht="42" customHeight="1">
      <x:c r="A54" s="5"/>
      <x:c r="B54" s="15"/>
      <x:c r="C54" s="6"/>
      <x:c r="D54" s="6"/>
      <x:c r="E54" s="6"/>
      <x:c r="F54" s="23"/>
      <x:c r="G54" s="23"/>
      <x:c r="H54" s="23"/>
      <x:c r="I54" s="23">
        <x:f t="shared" si="6"/>
        <x:v>1</x:v>
      </x:c>
      <x:c r="J54" s="24">
        <x:f t="shared" si="7"/>
        <x:v>-7</x:v>
      </x:c>
      <x:c r="K54" s="24">
        <x:f t="shared" si="8"/>
        <x:v>-1</x:v>
      </x:c>
      <x:c r="L54" s="23"/>
      <x:c r="M54" s="25"/>
      <x:c r="N54" s="23"/>
      <x:c r="O54" s="23" t="str">
        <x:f t="shared" si="9"/>
      </x:c>
      <x:c r="P54" s="23">
        <x:f t="shared" si="10"/>
        <x:v>0</x:v>
      </x:c>
      <x:c r="Q54" s="8"/>
      <x:c r="R54" s="31"/>
      <x:c r="S54" s="28"/>
      <x:c r="T54" s="28"/>
      <x:c r="U54" s="28"/>
      <x:c r="V54" s="28"/>
      <x:c r="W54" s="28"/>
      <x:c r="X54" s="28"/>
      <x:c r="Y54" s="28"/>
      <x:c r="Z54" s="28"/>
      <x:c r="AA54" s="28"/>
      <x:c r="AB54" s="28"/>
      <x:c r="AC54" s="28"/>
      <x:c r="AD54" s="28"/>
      <x:c r="AE54" s="28"/>
      <x:c r="AF54" s="28"/>
      <x:c r="AG54" s="28"/>
      <x:c r="AH54" s="28"/>
      <x:c r="AI54" s="28"/>
      <x:c r="AJ54" s="28"/>
      <x:c r="AK54" s="28"/>
      <x:c r="AL54" s="28"/>
      <x:c r="AM54" s="28"/>
      <x:c r="AN54" s="28"/>
      <x:c r="AO54" s="28"/>
      <x:c r="AP54" s="28"/>
      <x:c r="AQ54" s="28"/>
      <x:c r="AR54" s="28"/>
      <x:c r="AS54" s="28"/>
      <x:c r="AT54" s="28"/>
      <x:c r="AU54" s="28"/>
      <x:c r="AV54" s="28"/>
      <x:c r="AW54" s="28"/>
      <x:c r="AX54" s="28"/>
      <x:c r="AY54" s="28"/>
      <x:c r="AZ54" s="28"/>
      <x:c r="BA54" s="28"/>
      <x:c r="BB54" s="28"/>
      <x:c r="BC54" s="28"/>
      <x:c r="BD54" s="28"/>
      <x:c r="BE54" s="28"/>
      <x:c r="BF54" s="28"/>
      <x:c r="BG54" s="28"/>
      <x:c r="BH54" s="28"/>
      <x:c r="BI54" s="28"/>
      <x:c r="BJ54" s="47"/>
      <x:c r="BK54" s="48"/>
      <x:c r="BL54" s="28"/>
      <x:c r="BM54" s="28"/>
      <x:c r="BN54" s="28"/>
      <x:c r="BO54" s="28"/>
      <x:c r="BP54" s="28"/>
      <x:c r="BQ54" s="29"/>
    </x:row>
    <x:row r="55" ht="42" customHeight="1">
      <x:c r="A55" s="5"/>
      <x:c r="B55" s="15"/>
      <x:c r="C55" s="6"/>
      <x:c r="D55" s="6"/>
      <x:c r="E55" s="6"/>
      <x:c r="F55" s="23"/>
      <x:c r="G55" s="23"/>
      <x:c r="H55" s="23"/>
      <x:c r="I55" s="23">
        <x:f t="shared" si="6"/>
        <x:v>1</x:v>
      </x:c>
      <x:c r="J55" s="24">
        <x:f t="shared" si="7"/>
        <x:v>-7</x:v>
      </x:c>
      <x:c r="K55" s="24">
        <x:f t="shared" si="8"/>
        <x:v>-1</x:v>
      </x:c>
      <x:c r="L55" s="23"/>
      <x:c r="M55" s="25"/>
      <x:c r="N55" s="23"/>
      <x:c r="O55" s="23" t="str">
        <x:f t="shared" si="9"/>
      </x:c>
      <x:c r="P55" s="23">
        <x:f t="shared" si="10"/>
        <x:v>0</x:v>
      </x:c>
      <x:c r="Q55" s="8"/>
      <x:c r="R55" s="31"/>
      <x:c r="S55" s="28"/>
      <x:c r="T55" s="28"/>
      <x:c r="U55" s="28"/>
      <x:c r="V55" s="28"/>
      <x:c r="W55" s="28"/>
      <x:c r="X55" s="28"/>
      <x:c r="Y55" s="28"/>
      <x:c r="Z55" s="28"/>
      <x:c r="AA55" s="28"/>
      <x:c r="AB55" s="28"/>
      <x:c r="AC55" s="28"/>
      <x:c r="AD55" s="28"/>
      <x:c r="AE55" s="28"/>
      <x:c r="AF55" s="28"/>
      <x:c r="AG55" s="28"/>
      <x:c r="AH55" s="28"/>
      <x:c r="AI55" s="28"/>
      <x:c r="AJ55" s="28"/>
      <x:c r="AK55" s="28"/>
      <x:c r="AL55" s="28"/>
      <x:c r="AM55" s="28"/>
      <x:c r="AN55" s="28"/>
      <x:c r="AO55" s="28"/>
      <x:c r="AP55" s="28"/>
      <x:c r="AQ55" s="28"/>
      <x:c r="AR55" s="28"/>
      <x:c r="AS55" s="28"/>
      <x:c r="AT55" s="28"/>
      <x:c r="AU55" s="28"/>
      <x:c r="AV55" s="28"/>
      <x:c r="AW55" s="28"/>
      <x:c r="AX55" s="28"/>
      <x:c r="AY55" s="28"/>
      <x:c r="AZ55" s="28"/>
      <x:c r="BA55" s="28"/>
      <x:c r="BB55" s="28"/>
      <x:c r="BC55" s="28"/>
      <x:c r="BD55" s="28"/>
      <x:c r="BE55" s="28"/>
      <x:c r="BF55" s="28"/>
      <x:c r="BG55" s="28"/>
      <x:c r="BH55" s="28"/>
      <x:c r="BI55" s="28"/>
      <x:c r="BJ55" s="28"/>
      <x:c r="BK55" s="47"/>
      <x:c r="BL55" s="48"/>
      <x:c r="BM55" s="28"/>
      <x:c r="BN55" s="28"/>
      <x:c r="BO55" s="28"/>
      <x:c r="BP55" s="28"/>
      <x:c r="BQ55" s="29"/>
    </x:row>
    <x:row r="56" ht="42" customHeight="1">
      <x:c r="A56" s="5"/>
      <x:c r="B56" s="15"/>
      <x:c r="C56" s="6"/>
      <x:c r="D56" s="6"/>
      <x:c r="E56" s="6"/>
      <x:c r="F56" s="23"/>
      <x:c r="G56" s="23"/>
      <x:c r="H56" s="23"/>
      <x:c r="I56" s="23">
        <x:f t="shared" si="6"/>
        <x:v>1</x:v>
      </x:c>
      <x:c r="J56" s="24">
        <x:f t="shared" si="7"/>
        <x:v>-7</x:v>
      </x:c>
      <x:c r="K56" s="24">
        <x:f t="shared" si="8"/>
        <x:v>-1</x:v>
      </x:c>
      <x:c r="L56" s="23"/>
      <x:c r="M56" s="25"/>
      <x:c r="N56" s="23"/>
      <x:c r="O56" s="23" t="str">
        <x:f t="shared" si="9"/>
      </x:c>
      <x:c r="P56" s="23">
        <x:f t="shared" si="10"/>
        <x:v>0</x:v>
      </x:c>
      <x:c r="Q56" s="8"/>
      <x:c r="R56" s="31"/>
      <x:c r="S56" s="28"/>
      <x:c r="T56" s="28"/>
      <x:c r="U56" s="28"/>
      <x:c r="V56" s="28"/>
      <x:c r="W56" s="28"/>
      <x:c r="X56" s="28"/>
      <x:c r="Y56" s="28"/>
      <x:c r="Z56" s="28"/>
      <x:c r="AA56" s="28"/>
      <x:c r="AB56" s="28"/>
      <x:c r="AC56" s="28"/>
      <x:c r="AD56" s="28"/>
      <x:c r="AE56" s="28"/>
      <x:c r="AF56" s="28"/>
      <x:c r="AG56" s="28"/>
      <x:c r="AH56" s="28"/>
      <x:c r="AI56" s="28"/>
      <x:c r="AJ56" s="28"/>
      <x:c r="AK56" s="28"/>
      <x:c r="AL56" s="28"/>
      <x:c r="AM56" s="28"/>
      <x:c r="AN56" s="28"/>
      <x:c r="AO56" s="28"/>
      <x:c r="AP56" s="28"/>
      <x:c r="AQ56" s="28"/>
      <x:c r="AR56" s="28"/>
      <x:c r="AS56" s="28"/>
      <x:c r="AT56" s="28"/>
      <x:c r="AU56" s="28"/>
      <x:c r="AV56" s="28"/>
      <x:c r="AW56" s="28"/>
      <x:c r="AX56" s="28"/>
      <x:c r="AY56" s="28"/>
      <x:c r="AZ56" s="28"/>
      <x:c r="BA56" s="28"/>
      <x:c r="BB56" s="28"/>
      <x:c r="BC56" s="28"/>
      <x:c r="BD56" s="28"/>
      <x:c r="BE56" s="28"/>
      <x:c r="BF56" s="28"/>
      <x:c r="BG56" s="28"/>
      <x:c r="BH56" s="28"/>
      <x:c r="BI56" s="28"/>
      <x:c r="BJ56" s="28"/>
      <x:c r="BK56" s="28"/>
      <x:c r="BL56" s="46"/>
      <x:c r="BM56" s="28"/>
      <x:c r="BN56" s="28"/>
      <x:c r="BO56" s="28"/>
      <x:c r="BP56" s="28"/>
      <x:c r="BQ56" s="29"/>
    </x:row>
    <x:row r="57" ht="42" customHeight="1">
      <x:c r="A57" s="5"/>
      <x:c r="B57" s="17"/>
      <x:c r="C57" s="6"/>
      <x:c r="D57" s="6"/>
      <x:c r="E57" s="6"/>
      <x:c r="F57" s="23"/>
      <x:c r="G57" s="23"/>
      <x:c r="H57" s="23"/>
      <x:c r="I57" s="23">
        <x:f t="shared" si="6"/>
        <x:v>1</x:v>
      </x:c>
      <x:c r="J57" s="24">
        <x:f t="shared" si="7"/>
        <x:v>-7</x:v>
      </x:c>
      <x:c r="K57" s="24">
        <x:f t="shared" si="8"/>
        <x:v>-1</x:v>
      </x:c>
      <x:c r="L57" s="23"/>
      <x:c r="M57" s="25"/>
      <x:c r="N57" s="23"/>
      <x:c r="O57" s="23" t="str">
        <x:f t="shared" si="9"/>
      </x:c>
      <x:c r="P57" s="23">
        <x:f t="shared" si="10"/>
        <x:v>0</x:v>
      </x:c>
      <x:c r="Q57" s="8"/>
      <x:c r="R57" s="31"/>
      <x:c r="S57" s="28"/>
      <x:c r="T57" s="28"/>
      <x:c r="U57" s="28"/>
      <x:c r="V57" s="28"/>
      <x:c r="W57" s="28"/>
      <x:c r="X57" s="28"/>
      <x:c r="Y57" s="28"/>
      <x:c r="Z57" s="28"/>
      <x:c r="AA57" s="28"/>
      <x:c r="AB57" s="28"/>
      <x:c r="AC57" s="28"/>
      <x:c r="AD57" s="28"/>
      <x:c r="AE57" s="28"/>
      <x:c r="AF57" s="28"/>
      <x:c r="AG57" s="28"/>
      <x:c r="AH57" s="28"/>
      <x:c r="AI57" s="28"/>
      <x:c r="AJ57" s="28"/>
      <x:c r="AK57" s="28"/>
      <x:c r="AL57" s="28"/>
      <x:c r="AM57" s="28"/>
      <x:c r="AN57" s="28"/>
      <x:c r="AO57" s="28"/>
      <x:c r="AP57" s="28"/>
      <x:c r="AQ57" s="28"/>
      <x:c r="AR57" s="28"/>
      <x:c r="AS57" s="28"/>
      <x:c r="AT57" s="28"/>
      <x:c r="AU57" s="28"/>
      <x:c r="AV57" s="28"/>
      <x:c r="AW57" s="28"/>
      <x:c r="AX57" s="28"/>
      <x:c r="AY57" s="28"/>
      <x:c r="AZ57" s="28"/>
      <x:c r="BA57" s="28"/>
      <x:c r="BB57" s="28"/>
      <x:c r="BC57" s="28"/>
      <x:c r="BD57" s="28"/>
      <x:c r="BE57" s="28"/>
      <x:c r="BF57" s="28"/>
      <x:c r="BG57" s="28"/>
      <x:c r="BH57" s="28"/>
      <x:c r="BI57" s="28"/>
      <x:c r="BJ57" s="28"/>
      <x:c r="BK57" s="28"/>
      <x:c r="BL57" s="28"/>
      <x:c r="BM57" s="49"/>
      <x:c r="BN57" s="28"/>
      <x:c r="BO57" s="28"/>
      <x:c r="BP57" s="28"/>
      <x:c r="BQ57" s="29"/>
    </x:row>
    <x:row r="58" ht="42" customHeight="1">
      <x:c r="A58" s="5"/>
      <x:c r="B58" s="17"/>
      <x:c r="C58" s="6"/>
      <x:c r="D58" s="6"/>
      <x:c r="E58" s="6"/>
      <x:c r="F58" s="23"/>
      <x:c r="G58" s="23"/>
      <x:c r="H58" s="23"/>
      <x:c r="I58" s="23">
        <x:f t="shared" si="6"/>
        <x:v>1</x:v>
      </x:c>
      <x:c r="J58" s="24">
        <x:f t="shared" si="7"/>
        <x:v>-7</x:v>
      </x:c>
      <x:c r="K58" s="24">
        <x:f t="shared" si="8"/>
        <x:v>-1</x:v>
      </x:c>
      <x:c r="L58" s="23"/>
      <x:c r="M58" s="25"/>
      <x:c r="N58" s="23"/>
      <x:c r="O58" s="23" t="str">
        <x:f t="shared" si="9"/>
      </x:c>
      <x:c r="P58" s="23">
        <x:f t="shared" si="10"/>
        <x:v>0</x:v>
      </x:c>
      <x:c r="Q58" s="8"/>
      <x:c r="R58" s="31"/>
      <x:c r="S58" s="28"/>
      <x:c r="T58" s="28"/>
      <x:c r="U58" s="28"/>
      <x:c r="V58" s="28"/>
      <x:c r="W58" s="28"/>
      <x:c r="X58" s="28"/>
      <x:c r="Y58" s="28"/>
      <x:c r="Z58" s="28"/>
      <x:c r="AA58" s="28"/>
      <x:c r="AB58" s="28"/>
      <x:c r="AC58" s="28"/>
      <x:c r="AD58" s="28"/>
      <x:c r="AE58" s="28"/>
      <x:c r="AF58" s="28"/>
      <x:c r="AG58" s="28"/>
      <x:c r="AH58" s="28"/>
      <x:c r="AI58" s="28"/>
      <x:c r="AJ58" s="28"/>
      <x:c r="AK58" s="28"/>
      <x:c r="AL58" s="28"/>
      <x:c r="AM58" s="28"/>
      <x:c r="AN58" s="28"/>
      <x:c r="AO58" s="28"/>
      <x:c r="AP58" s="28"/>
      <x:c r="AQ58" s="28"/>
      <x:c r="AR58" s="28"/>
      <x:c r="AS58" s="28"/>
      <x:c r="AT58" s="28"/>
      <x:c r="AU58" s="28"/>
      <x:c r="AV58" s="28"/>
      <x:c r="AW58" s="28"/>
      <x:c r="AX58" s="28"/>
      <x:c r="AY58" s="28"/>
      <x:c r="AZ58" s="28"/>
      <x:c r="BA58" s="28"/>
      <x:c r="BB58" s="28"/>
      <x:c r="BC58" s="28"/>
      <x:c r="BD58" s="28"/>
      <x:c r="BE58" s="28"/>
      <x:c r="BF58" s="28"/>
      <x:c r="BG58" s="28"/>
      <x:c r="BH58" s="28"/>
      <x:c r="BI58" s="28"/>
      <x:c r="BJ58" s="28"/>
      <x:c r="BK58" s="28"/>
      <x:c r="BL58" s="28"/>
      <x:c r="BM58" s="50"/>
      <x:c r="BN58" s="51"/>
      <x:c r="BO58" s="28"/>
      <x:c r="BP58" s="28"/>
      <x:c r="BQ58" s="29"/>
    </x:row>
    <x:row r="59" ht="42" customHeight="1">
      <x:c r="A59" s="5"/>
      <x:c r="B59" s="17"/>
      <x:c r="C59" s="6"/>
      <x:c r="D59" s="6"/>
      <x:c r="E59" s="6"/>
      <x:c r="F59" s="23"/>
      <x:c r="G59" s="23"/>
      <x:c r="H59" s="23"/>
      <x:c r="I59" s="23">
        <x:f t="shared" si="6"/>
        <x:v>1</x:v>
      </x:c>
      <x:c r="J59" s="24">
        <x:f t="shared" si="7"/>
        <x:v>-7</x:v>
      </x:c>
      <x:c r="K59" s="24">
        <x:f t="shared" si="8"/>
        <x:v>-1</x:v>
      </x:c>
      <x:c r="L59" s="23"/>
      <x:c r="M59" s="25"/>
      <x:c r="N59" s="23"/>
      <x:c r="O59" s="23" t="str">
        <x:f t="shared" si="9"/>
      </x:c>
      <x:c r="P59" s="23">
        <x:f t="shared" si="10"/>
        <x:v>0</x:v>
      </x:c>
      <x:c r="Q59" s="8"/>
      <x:c r="R59" s="31"/>
      <x:c r="S59" s="28"/>
      <x:c r="T59" s="28"/>
      <x:c r="U59" s="28"/>
      <x:c r="V59" s="28"/>
      <x:c r="W59" s="28"/>
      <x:c r="X59" s="28"/>
      <x:c r="Y59" s="28"/>
      <x:c r="Z59" s="28"/>
      <x:c r="AA59" s="28"/>
      <x:c r="AB59" s="28"/>
      <x:c r="AC59" s="28"/>
      <x:c r="AD59" s="28"/>
      <x:c r="AE59" s="28"/>
      <x:c r="AF59" s="28"/>
      <x:c r="AG59" s="28"/>
      <x:c r="AH59" s="28"/>
      <x:c r="AI59" s="28"/>
      <x:c r="AJ59" s="28"/>
      <x:c r="AK59" s="28"/>
      <x:c r="AL59" s="28"/>
      <x:c r="AM59" s="28"/>
      <x:c r="AN59" s="28"/>
      <x:c r="AO59" s="28"/>
      <x:c r="AP59" s="28"/>
      <x:c r="AQ59" s="28"/>
      <x:c r="AR59" s="28"/>
      <x:c r="AS59" s="28"/>
      <x:c r="AT59" s="28"/>
      <x:c r="AU59" s="28"/>
      <x:c r="AV59" s="28"/>
      <x:c r="AW59" s="28"/>
      <x:c r="AX59" s="28"/>
      <x:c r="AY59" s="28"/>
      <x:c r="AZ59" s="28"/>
      <x:c r="BA59" s="28"/>
      <x:c r="BB59" s="28"/>
      <x:c r="BC59" s="28"/>
      <x:c r="BD59" s="28"/>
      <x:c r="BE59" s="28"/>
      <x:c r="BF59" s="28"/>
      <x:c r="BG59" s="28"/>
      <x:c r="BH59" s="28"/>
      <x:c r="BI59" s="28"/>
      <x:c r="BJ59" s="28"/>
      <x:c r="BK59" s="28"/>
      <x:c r="BL59" s="28"/>
      <x:c r="BM59" s="28"/>
      <x:c r="BN59" s="50"/>
      <x:c r="BO59" s="51"/>
      <x:c r="BP59" s="28"/>
      <x:c r="BQ59" s="29"/>
    </x:row>
    <x:row r="60" ht="42" customHeight="1">
      <x:c r="A60" s="5"/>
      <x:c r="B60" s="17"/>
      <x:c r="C60" s="6"/>
      <x:c r="D60" s="6"/>
      <x:c r="E60" s="6"/>
      <x:c r="F60" s="23"/>
      <x:c r="G60" s="23"/>
      <x:c r="H60" s="23"/>
      <x:c r="I60" s="23">
        <x:f t="shared" si="6"/>
        <x:v>1</x:v>
      </x:c>
      <x:c r="J60" s="24">
        <x:f t="shared" si="7"/>
        <x:v>-7</x:v>
      </x:c>
      <x:c r="K60" s="24">
        <x:f t="shared" si="8"/>
        <x:v>-1</x:v>
      </x:c>
      <x:c r="L60" s="23"/>
      <x:c r="M60" s="25"/>
      <x:c r="N60" s="23"/>
      <x:c r="O60" s="23" t="str">
        <x:f t="shared" si="9"/>
      </x:c>
      <x:c r="P60" s="23">
        <x:f t="shared" si="10"/>
        <x:v>0</x:v>
      </x:c>
      <x:c r="Q60" s="8"/>
      <x:c r="R60" s="31"/>
      <x:c r="S60" s="28"/>
      <x:c r="T60" s="28"/>
      <x:c r="U60" s="28"/>
      <x:c r="V60" s="28"/>
      <x:c r="W60" s="28"/>
      <x:c r="X60" s="28"/>
      <x:c r="Y60" s="28"/>
      <x:c r="Z60" s="28"/>
      <x:c r="AA60" s="28"/>
      <x:c r="AB60" s="28"/>
      <x:c r="AC60" s="28"/>
      <x:c r="AD60" s="28"/>
      <x:c r="AE60" s="28"/>
      <x:c r="AF60" s="28"/>
      <x:c r="AG60" s="28"/>
      <x:c r="AH60" s="28"/>
      <x:c r="AI60" s="28"/>
      <x:c r="AJ60" s="28"/>
      <x:c r="AK60" s="28"/>
      <x:c r="AL60" s="28"/>
      <x:c r="AM60" s="28"/>
      <x:c r="AN60" s="28"/>
      <x:c r="AO60" s="28"/>
      <x:c r="AP60" s="28"/>
      <x:c r="AQ60" s="28"/>
      <x:c r="AR60" s="28"/>
      <x:c r="AS60" s="28"/>
      <x:c r="AT60" s="28"/>
      <x:c r="AU60" s="28"/>
      <x:c r="AV60" s="28"/>
      <x:c r="AW60" s="28"/>
      <x:c r="AX60" s="28"/>
      <x:c r="AY60" s="28"/>
      <x:c r="AZ60" s="28"/>
      <x:c r="BA60" s="28"/>
      <x:c r="BB60" s="28"/>
      <x:c r="BC60" s="28"/>
      <x:c r="BD60" s="28"/>
      <x:c r="BE60" s="28"/>
      <x:c r="BF60" s="28"/>
      <x:c r="BG60" s="28"/>
      <x:c r="BH60" s="28"/>
      <x:c r="BI60" s="28"/>
      <x:c r="BJ60" s="28"/>
      <x:c r="BK60" s="28"/>
      <x:c r="BL60" s="28"/>
      <x:c r="BM60" s="28"/>
      <x:c r="BN60" s="28"/>
      <x:c r="BO60" s="49"/>
      <x:c r="BP60" s="28"/>
      <x:c r="BQ60" s="29"/>
    </x:row>
    <x:row r="61" ht="42" customHeight="1">
      <x:c r="A61" s="5"/>
      <x:c r="B61" s="17"/>
      <x:c r="C61" s="6"/>
      <x:c r="D61" s="6"/>
      <x:c r="E61" s="6"/>
      <x:c r="F61" s="23"/>
      <x:c r="G61" s="23"/>
      <x:c r="H61" s="23"/>
      <x:c r="I61" s="23">
        <x:f t="shared" si="6"/>
        <x:v>1</x:v>
      </x:c>
      <x:c r="J61" s="24">
        <x:f t="shared" si="7"/>
        <x:v>-7</x:v>
      </x:c>
      <x:c r="K61" s="24">
        <x:f t="shared" si="8"/>
        <x:v>-1</x:v>
      </x:c>
      <x:c r="L61" s="23"/>
      <x:c r="M61" s="25"/>
      <x:c r="N61" s="23"/>
      <x:c r="O61" s="23" t="str">
        <x:f t="shared" si="9"/>
      </x:c>
      <x:c r="P61" s="23">
        <x:f t="shared" si="10"/>
        <x:v>0</x:v>
      </x:c>
      <x:c r="Q61" s="8"/>
      <x:c r="R61" s="31"/>
      <x:c r="S61" s="28"/>
      <x:c r="T61" s="28"/>
      <x:c r="U61" s="28"/>
      <x:c r="V61" s="28"/>
      <x:c r="W61" s="28"/>
      <x:c r="X61" s="28"/>
      <x:c r="Y61" s="28"/>
      <x:c r="Z61" s="28"/>
      <x:c r="AA61" s="28"/>
      <x:c r="AB61" s="28"/>
      <x:c r="AC61" s="28"/>
      <x:c r="AD61" s="28"/>
      <x:c r="AE61" s="28"/>
      <x:c r="AF61" s="28"/>
      <x:c r="AG61" s="28"/>
      <x:c r="AH61" s="28"/>
      <x:c r="AI61" s="28"/>
      <x:c r="AJ61" s="28"/>
      <x:c r="AK61" s="28"/>
      <x:c r="AL61" s="28"/>
      <x:c r="AM61" s="28"/>
      <x:c r="AN61" s="28"/>
      <x:c r="AO61" s="28"/>
      <x:c r="AP61" s="28"/>
      <x:c r="AQ61" s="28"/>
      <x:c r="AR61" s="28"/>
      <x:c r="AS61" s="28"/>
      <x:c r="AT61" s="28"/>
      <x:c r="AU61" s="28"/>
      <x:c r="AV61" s="28"/>
      <x:c r="AW61" s="28"/>
      <x:c r="AX61" s="28"/>
      <x:c r="AY61" s="28"/>
      <x:c r="AZ61" s="28"/>
      <x:c r="BA61" s="28"/>
      <x:c r="BB61" s="28"/>
      <x:c r="BC61" s="28"/>
      <x:c r="BD61" s="28"/>
      <x:c r="BE61" s="28"/>
      <x:c r="BF61" s="28"/>
      <x:c r="BG61" s="28"/>
      <x:c r="BH61" s="28"/>
      <x:c r="BI61" s="28"/>
      <x:c r="BJ61" s="28"/>
      <x:c r="BK61" s="28"/>
      <x:c r="BL61" s="28"/>
      <x:c r="BM61" s="28"/>
      <x:c r="BN61" s="28"/>
      <x:c r="BO61" s="28"/>
      <x:c r="BP61" s="49"/>
      <x:c r="BQ61" s="29"/>
    </x:row>
    <x:row r="62" ht="42" customHeight="1">
      <x:c r="A62" s="5"/>
      <x:c r="B62" s="17"/>
      <x:c r="C62" s="6"/>
      <x:c r="D62" s="6"/>
      <x:c r="E62" s="6"/>
      <x:c r="F62" s="23"/>
      <x:c r="G62" s="23"/>
      <x:c r="H62" s="23"/>
      <x:c r="I62" s="23">
        <x:f t="shared" si="6"/>
        <x:v>1</x:v>
      </x:c>
      <x:c r="J62" s="24">
        <x:f t="shared" si="7"/>
        <x:v>-7</x:v>
      </x:c>
      <x:c r="K62" s="24">
        <x:f t="shared" si="8"/>
        <x:v>-1</x:v>
      </x:c>
      <x:c r="L62" s="23"/>
      <x:c r="M62" s="25"/>
      <x:c r="N62" s="23"/>
      <x:c r="O62" s="23" t="str">
        <x:f t="shared" si="9"/>
      </x:c>
      <x:c r="P62" s="23">
        <x:f t="shared" si="10"/>
        <x:v>0</x:v>
      </x:c>
      <x:c r="Q62" s="8"/>
      <x:c r="R62" s="31"/>
      <x:c r="S62" s="28"/>
      <x:c r="T62" s="28"/>
      <x:c r="U62" s="28"/>
      <x:c r="V62" s="28"/>
      <x:c r="W62" s="28"/>
      <x:c r="X62" s="28"/>
      <x:c r="Y62" s="28"/>
      <x:c r="Z62" s="28"/>
      <x:c r="AA62" s="28"/>
      <x:c r="AB62" s="28"/>
      <x:c r="AC62" s="28"/>
      <x:c r="AD62" s="28"/>
      <x:c r="AE62" s="28"/>
      <x:c r="AF62" s="28"/>
      <x:c r="AG62" s="28"/>
      <x:c r="AH62" s="28"/>
      <x:c r="AI62" s="28"/>
      <x:c r="AJ62" s="28"/>
      <x:c r="AK62" s="28"/>
      <x:c r="AL62" s="28"/>
      <x:c r="AM62" s="28"/>
      <x:c r="AN62" s="28"/>
      <x:c r="AO62" s="28"/>
      <x:c r="AP62" s="28"/>
      <x:c r="AQ62" s="28"/>
      <x:c r="AR62" s="28"/>
      <x:c r="AS62" s="28"/>
      <x:c r="AT62" s="28"/>
      <x:c r="AU62" s="28"/>
      <x:c r="AV62" s="28"/>
      <x:c r="AW62" s="28"/>
      <x:c r="AX62" s="28"/>
      <x:c r="AY62" s="28"/>
      <x:c r="AZ62" s="28"/>
      <x:c r="BA62" s="28"/>
      <x:c r="BB62" s="28"/>
      <x:c r="BC62" s="28"/>
      <x:c r="BD62" s="28"/>
      <x:c r="BE62" s="28"/>
      <x:c r="BF62" s="28"/>
      <x:c r="BG62" s="28"/>
      <x:c r="BH62" s="28"/>
      <x:c r="BI62" s="28"/>
      <x:c r="BJ62" s="28"/>
      <x:c r="BK62" s="28"/>
      <x:c r="BL62" s="28"/>
      <x:c r="BM62" s="28"/>
      <x:c r="BN62" s="28"/>
      <x:c r="BO62" s="28"/>
      <x:c r="BP62" s="50"/>
      <x:c r="BQ62" s="51"/>
    </x:row>
    <x:row r="63" ht="42" customHeight="1">
      <x:c r="A63" s="5"/>
      <x:c r="B63" s="17"/>
      <x:c r="C63" s="6"/>
      <x:c r="D63" s="6"/>
      <x:c r="E63" s="6"/>
      <x:c r="F63" s="23"/>
      <x:c r="G63" s="23"/>
      <x:c r="H63" s="23"/>
      <x:c r="I63" s="23">
        <x:f t="shared" si="6"/>
        <x:v>1</x:v>
      </x:c>
      <x:c r="J63" s="24">
        <x:f t="shared" si="7"/>
        <x:v>-7</x:v>
      </x:c>
      <x:c r="K63" s="24">
        <x:f t="shared" si="8"/>
        <x:v>-1</x:v>
      </x:c>
      <x:c r="L63" s="23"/>
      <x:c r="M63" s="25"/>
      <x:c r="N63" s="23"/>
      <x:c r="O63" s="23" t="str">
        <x:f t="shared" si="9"/>
      </x:c>
      <x:c r="P63" s="23">
        <x:f t="shared" si="10"/>
        <x:v>0</x:v>
      </x:c>
      <x:c r="Q63" s="8"/>
      <x:c r="R63" s="52"/>
      <x:c r="S63" s="53"/>
      <x:c r="T63" s="53"/>
      <x:c r="U63" s="53"/>
      <x:c r="V63" s="53"/>
      <x:c r="W63" s="53"/>
      <x:c r="X63" s="53"/>
      <x:c r="Y63" s="53"/>
      <x:c r="Z63" s="53"/>
      <x:c r="AA63" s="53"/>
      <x:c r="AB63" s="53"/>
      <x:c r="AC63" s="53"/>
      <x:c r="AD63" s="53"/>
      <x:c r="AE63" s="53"/>
      <x:c r="AF63" s="53"/>
      <x:c r="AG63" s="53"/>
      <x:c r="AH63" s="53"/>
      <x:c r="AI63" s="53"/>
      <x:c r="AJ63" s="53"/>
      <x:c r="AK63" s="53"/>
      <x:c r="AL63" s="53"/>
      <x:c r="AM63" s="53"/>
      <x:c r="AN63" s="53"/>
      <x:c r="AO63" s="53"/>
      <x:c r="AP63" s="53"/>
      <x:c r="AQ63" s="53"/>
      <x:c r="AR63" s="53"/>
      <x:c r="AS63" s="53"/>
      <x:c r="AT63" s="53"/>
      <x:c r="AU63" s="53"/>
      <x:c r="AV63" s="53"/>
      <x:c r="AW63" s="53"/>
      <x:c r="AX63" s="53"/>
      <x:c r="AY63" s="53"/>
      <x:c r="AZ63" s="53"/>
      <x:c r="BA63" s="53"/>
      <x:c r="BB63" s="53"/>
      <x:c r="BC63" s="53"/>
      <x:c r="BD63" s="53"/>
      <x:c r="BE63" s="53"/>
      <x:c r="BF63" s="53"/>
      <x:c r="BG63" s="53"/>
      <x:c r="BH63" s="53"/>
      <x:c r="BI63" s="53"/>
      <x:c r="BJ63" s="53"/>
      <x:c r="BK63" s="53"/>
      <x:c r="BL63" s="53"/>
      <x:c r="BM63" s="53"/>
      <x:c r="BN63" s="53"/>
      <x:c r="BO63" s="53"/>
      <x:c r="BP63" s="53"/>
      <x:c r="BQ63" s="49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3:R3"/>
  </x:mergeCells>
  <x:conditionalFormatting sqref="K6:K27">
    <x:cfRule type="expression" dxfId="13" priority="11">
      <x:formula>K6="Complete"</x:formula>
    </x:cfRule>
    <x:cfRule type="expression" dxfId="12" priority="12">
      <x:formula>K6="In Progress"</x:formula>
    </x:cfRule>
    <x:cfRule type="expression" dxfId="11" priority="13">
      <x:formula>K6="Blocked"</x:formula>
    </x:cfRule>
    <x:cfRule type="expression" dxfId="10" priority="16">
      <x:formula>K6="Complete"</x:formula>
    </x:cfRule>
    <x:cfRule type="expression" dxfId="9" priority="17">
      <x:formula>K6="In Progress"</x:formula>
    </x:cfRule>
    <x:cfRule type="expression" dxfId="8" priority="18">
      <x:formula>K6="Blocked"</x:formula>
    </x:cfRule>
  </x:conditionalFormatting>
  <x:conditionalFormatting sqref="L6:L27">
    <x:cfRule type="dataBar" priority="10">
      <x:dataBar>
        <x:cfvo type="min"/>
        <x:cfvo type="max"/>
        <x:color rgb="FF2F75B5"/>
      </x:dataBar>
    </x:cfRule>
    <x:cfRule type="dataBar" priority="15">
      <x:dataBar>
        <x:cfvo type="min"/>
        <x:cfvo type="max"/>
        <x:color rgb="FF2F75B5"/>
      </x:dataBar>
    </x:cfRule>
    <x:cfRule type="dataBar" priority="2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{063DC311-2080-FF25-3757-9AC640565C53}</x14:id>
        </x:ext>
      </x:extLst>
    </x:cfRule>
    <x:cfRule type="dataBar" priority="2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{C0AFF14F-9D94-F3D6-12B8-079A9CDD4DAD}</x14:id>
        </x:ext>
      </x:extLst>
    </x:cfRule>
  </x:conditionalFormatting>
  <x:conditionalFormatting sqref="L6:L63">
    <x:cfRule type="expression" dxfId="7" priority="1">
      <x:formula>L6="Complete"</x:formula>
    </x:cfRule>
    <x:cfRule type="expression" dxfId="6" priority="2">
      <x:formula>L6="In Progress"</x:formula>
    </x:cfRule>
    <x:cfRule type="expression" dxfId="5" priority="3">
      <x:formula>L6="On Hold"</x:formula>
    </x:cfRule>
  </x:conditionalFormatting>
  <x:conditionalFormatting sqref="M6:M63">
    <x:cfRule type="dataBar" priority="4">
      <x:dataBar>
        <x:cfvo type="min"/>
        <x:cfvo type="max"/>
        <x:color rgb="FF2563EB"/>
      </x:dataBar>
    </x:cfRule>
    <x:cfRule type="dataBar" priority="7">
      <x:dataBar>
        <x:cfvo type="min"/>
        <x:cfvo type="max"/>
        <x:color rgb="FF2563EB"/>
      </x:dataBar>
    </x:cfRule>
    <x:cfRule type="dataBar" priority="8">
      <x:dataBar>
        <x:cfvo type="min"/>
        <x:cfvo type="max"/>
        <x:color rgb="FF2563EB"/>
      </x:dataBar>
    </x:cfRule>
    <x:cfRule type="dataBar" priority="9">
      <x:dataBar>
        <x:cfvo type="min"/>
        <x:cfvo type="max"/>
        <x:color rgb="FF2563EB"/>
      </x:dataBar>
    </x:cfRule>
    <x:cfRule type="dataBar" priority="20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{B05FFF90-18D4-A5A7-8560-2BA14D3F5BBD}</x14:id>
        </x:ext>
      </x:extLst>
    </x:cfRule>
  </x:conditionalFormatting>
  <x:conditionalFormatting sqref="O6:O63">
    <x:cfRule type="cellIs" dxfId="4" priority="5" operator="greaterThan">
      <x:formula>0</x:formula>
    </x:cfRule>
    <x:cfRule type="cellIs" dxfId="3" priority="6" operator="lessThan">
      <x:formula>0</x:formula>
    </x:cfRule>
  </x:conditionalFormatting>
  <x:conditionalFormatting sqref="S6:Z27">
    <x:cfRule type="expression" dxfId="2" priority="14">
      <x:formula>S6="■"</x:formula>
    </x:cfRule>
  </x:conditionalFormatting>
  <x:dataValidations count="2">
    <x:dataValidation type="list" sqref="L6:L63">
      <x:formula1>"Not Started,In Progress,Complete,On Hold"</x:formula1>
    </x:dataValidation>
    <x:dataValidation type="list" sqref="K6:K27">
      <x:formula1>"Not Started,In Progress,Complete,Blocked,Deferred"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1" id="{063DC311-2080-FF25-3757-9AC640565C53}">
            <x14:dataBar>
              <x14:cfvo type="min"/>
              <x14:cfvo type="max"/>
              <x14:fillColor rgb="FF2F75B5"/>
              <x14:negativeFillColor auto="1"/>
              <x14:axisColor auto="1"/>
            </x14:dataBar>
          </x14:cfRule>
          <x14:cfRule type="dataBar" priority="21" id="{C0AFF14F-9D94-F3D6-12B8-079A9CDD4DAD}">
            <x14:dataBar>
              <x14:cfvo type="min"/>
              <x14:cfvo type="max"/>
              <x14:fillColor rgb="FF2F75B5"/>
              <x14:negativeFillColor auto="1"/>
              <x14:axisColor auto="1"/>
            </x14:dataBar>
          </x14:cfRule>
          <xm:sqref>L6:L27</xm:sqref>
        </x14:conditionalFormatting>
        <x14:conditionalFormatting>
          <x14:cfRule type="dataBar" priority="20" id="{B05FFF90-18D4-A5A7-8560-2BA14D3F5BBD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M6:M63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4.25"/>
  <x:cols>
    <x:col min="1" max="1" width="8" customWidth="1"/>
    <x:col min="2" max="5" width="12" customWidth="1"/>
    <x:col min="6" max="6" width="11" customWidth="1"/>
    <x:col min="7" max="8" width="14" customWidth="1"/>
    <x:col min="9" max="9" width="15" customWidth="1"/>
    <x:col min="10" max="10" width="34" customWidth="1"/>
    <x:col min="11" max="11" width="13" customWidth="1"/>
    <x:col min="12" max="12" width="52" customWidth="1"/>
  </x:cols>
  <x:sheetData>
    <x:row r="1" ht="27.950000762939453" customHeight="1">
      <x:c r="A1" s="204" t="s">
        <x:v>235</x:v>
      </x:c>
      <x:c r="B1" s="205"/>
      <x:c r="C1" s="205"/>
      <x:c r="D1" s="205"/>
      <x:c r="E1" s="205"/>
      <x:c r="F1" s="205"/>
      <x:c r="G1" s="205"/>
      <x:c r="H1" s="205"/>
      <x:c r="I1" s="205"/>
      <x:c r="J1" s="205"/>
      <x:c r="K1" s="205"/>
      <x:c r="L1" s="20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222" t="s">
        <x:v>236</x:v>
      </x:c>
      <x:c r="B2" s="222"/>
      <x:c r="C2" s="222"/>
      <x:c r="D2" s="222"/>
      <x:c r="E2" s="222"/>
      <x:c r="F2" s="222"/>
      <x:c r="G2" s="222"/>
      <x:c r="H2" s="222"/>
      <x:c r="I2" s="222"/>
      <x:c r="J2" s="222"/>
      <x:c r="K2" s="222"/>
      <x:c r="L2" s="222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36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88" t="s">
        <x:v>237</x:v>
      </x:c>
      <x:c r="B4" s="118" t="s">
        <x:v>238</x:v>
      </x:c>
      <x:c r="C4" s="118" t="s">
        <x:v>239</x:v>
      </x:c>
      <x:c r="D4" s="88" t="s">
        <x:v>67</x:v>
      </x:c>
      <x:c r="E4" s="137" t="s">
        <x:v>68</x:v>
      </x:c>
      <x:c r="F4" s="137" t="str">
        <x:f t="shared" ref="F4:F35" si="0">IF(E4="","",E4-D4)</x:f>
        <x:v>Weekly Variance</x:v>
      </x:c>
      <x:c r="G4" s="88" t="s">
        <x:v>240</x:v>
      </x:c>
      <x:c r="H4" s="88" t="s">
        <x:v>241</x:v>
      </x:c>
      <x:c r="I4" s="88" t="str">
        <x:f t="shared" ref="I4:I35" si="1">MAX(576-G4,0)</x:f>
        <x:v>Remaining Hours</x:v>
      </x:c>
      <x:c r="J4" s="88" t="s">
        <x:v>242</x:v>
      </x:c>
      <x:c r="K4" s="88" t="s">
        <x:v>117</x:v>
      </x:c>
      <x:c r="L4" s="88" t="s">
        <x:v>243</x:v>
      </x:c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68" customHeight="1">
      <x:c r="A5" s="141">
        <x:v>1</x:v>
      </x:c>
      <x:c r="B5" s="138">
        <x:v>46202</x:v>
      </x:c>
      <x:c r="C5" s="138">
        <x:v>46208</x:v>
      </x:c>
      <x:c r="D5" s="68">
        <x:v>8</x:v>
      </x:c>
      <x:c r="E5" s="68" t="n">
        <x:f>SUMIF('Work Block Log'!$G$5:$G$200,A5,'Work Block Log'!$F$5:$F$200)</x:f>
        <x:v>11.63</x:v>
      </x:c>
      <x:c r="F5" s="68" t="n">
        <x:f t="shared" si="0">IF(E5="","",E5-D5)</x:f>
        <x:v>3.630000000000001</x:v>
      </x:c>
      <x:c r="G5" s="68" t="n">
        <x:f t="shared" ref="G5:G36" si="2">SUM($D$5:D5)</x:f>
        <x:v>8</x:v>
      </x:c>
      <x:c r="H5" s="68" t="n">
        <x:f t="shared" ref="H5:H36" si="3">SUM($E$5:E5)</x:f>
        <x:v>11.63</x:v>
      </x:c>
      <x:c r="I5" s="68" t="n">
        <x:f t="shared" si="1">MAX($G$13-H5,0)</x:f>
        <x:v>64.37</x:v>
      </x:c>
      <x:c r="J5" s="141" t="s">
        <x:v>244</x:v>
      </x:c>
      <x:c r="K5" s="141" t="str">
        <x:v>In Progress</x:v>
      </x:c>
      <x:c r="L5" s="448" t="str">
        <x:v>Known logged time through WB-010: 11.63 h. WBS 1.1 and 1.2 are complete and merged. WBS 1.3 non-numeric deterministic checks are implemented in feature commit 53f96cc and assessed at 90% complete; final 12-test/full-suite verification, PR merge, and main synchronization remain. Current main is 05c025b; last explicitly confirmed full suite is 48 tests.</x:v>
      </x:c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141">
        <x:v>2</x:v>
      </x:c>
      <x:c r="B6" s="138">
        <x:v>46209</x:v>
      </x:c>
      <x:c r="C6" s="138">
        <x:v>46215</x:v>
      </x:c>
      <x:c r="D6" s="68">
        <x:v>10</x:v>
      </x:c>
      <x:c r="E6" s="68" t="n">
        <x:f>SUMIF('Work Block Log'!$G$5:$G$200,A6,'Work Block Log'!$F$5:$F$200)</x:f>
        <x:v>0</x:v>
      </x:c>
      <x:c r="F6" s="68" t="str">
        <x:f t="shared" si="0">IF(E6="","",E6-D6)</x:f>
      </x:c>
      <x:c r="G6" s="68" t="n">
        <x:f t="shared" si="2">SUM($D$5:D6)</x:f>
        <x:v>18</x:v>
      </x:c>
      <x:c r="H6" s="68" t="n">
        <x:f t="shared" si="3">SUM($E$5:E6)</x:f>
        <x:v>11.63</x:v>
      </x:c>
      <x:c r="I6" s="68" t="n">
        <x:f t="shared" si="1">MAX($G$13-H6,0)</x:f>
        <x:v>64.37</x:v>
      </x:c>
      <x:c r="J6" s="141" t="s">
        <x:v>245</x:v>
      </x:c>
      <x:c r="K6" s="141" t="s">
        <x:v>246</x:v>
      </x:c>
      <x:c r="L6" s="14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141">
        <x:v>3</x:v>
      </x:c>
      <x:c r="B7" s="138">
        <x:v>46216</x:v>
      </x:c>
      <x:c r="C7" s="138">
        <x:v>46222</x:v>
      </x:c>
      <x:c r="D7" s="68">
        <x:v>10</x:v>
      </x:c>
      <x:c r="E7" s="68" t="n">
        <x:f>SUMIF('Work Block Log'!$G$5:$G$200,A7,'Work Block Log'!$F$5:$F$200)</x:f>
        <x:v>0</x:v>
      </x:c>
      <x:c r="F7" s="68" t="str">
        <x:f t="shared" si="0">IF(E7="","",E7-D7)</x:f>
      </x:c>
      <x:c r="G7" s="68" t="n">
        <x:f t="shared" si="2">SUM($D$5:D7)</x:f>
        <x:v>28</x:v>
      </x:c>
      <x:c r="H7" s="68" t="n">
        <x:f t="shared" si="3">SUM($E$5:E7)</x:f>
        <x:v>11.63</x:v>
      </x:c>
      <x:c r="I7" s="68" t="n">
        <x:f t="shared" si="1">MAX($G$13-H7,0)</x:f>
        <x:v>64.37</x:v>
      </x:c>
      <x:c r="J7" s="141" t="s">
        <x:v>247</x:v>
      </x:c>
      <x:c r="K7" s="141" t="s">
        <x:v>246</x:v>
      </x:c>
      <x:c r="L7" s="14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141">
        <x:v>4</x:v>
      </x:c>
      <x:c r="B8" s="138">
        <x:v>46223</x:v>
      </x:c>
      <x:c r="C8" s="138">
        <x:v>46229</x:v>
      </x:c>
      <x:c r="D8" s="68">
        <x:v>10</x:v>
      </x:c>
      <x:c r="E8" s="68" t="n">
        <x:f>SUMIF('Work Block Log'!$G$5:$G$200,A8,'Work Block Log'!$F$5:$F$200)</x:f>
        <x:v>0</x:v>
      </x:c>
      <x:c r="F8" s="68" t="str">
        <x:f t="shared" si="0">IF(E8="","",E8-D8)</x:f>
      </x:c>
      <x:c r="G8" s="68" t="n">
        <x:f t="shared" si="2">SUM($D$5:D8)</x:f>
        <x:v>38</x:v>
      </x:c>
      <x:c r="H8" s="68" t="n">
        <x:f t="shared" si="3">SUM($E$5:E8)</x:f>
        <x:v>11.63</x:v>
      </x:c>
      <x:c r="I8" s="68" t="n">
        <x:f t="shared" si="1">MAX($G$13-H8,0)</x:f>
        <x:v>64.37</x:v>
      </x:c>
      <x:c r="J8" s="141" t="s">
        <x:v>248</x:v>
      </x:c>
      <x:c r="K8" s="141" t="s">
        <x:v>246</x:v>
      </x:c>
      <x:c r="L8" s="14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141">
        <x:v>5</x:v>
      </x:c>
      <x:c r="B9" s="138">
        <x:v>46230</x:v>
      </x:c>
      <x:c r="C9" s="138">
        <x:v>46236</x:v>
      </x:c>
      <x:c r="D9" s="68">
        <x:v>10</x:v>
      </x:c>
      <x:c r="E9" s="68" t="n">
        <x:f>SUMIF('Work Block Log'!$G$5:$G$200,A9,'Work Block Log'!$F$5:$F$200)</x:f>
        <x:v>0</x:v>
      </x:c>
      <x:c r="F9" s="68" t="str">
        <x:f t="shared" si="0">IF(E9="","",E9-D9)</x:f>
      </x:c>
      <x:c r="G9" s="68" t="n">
        <x:f t="shared" si="2">SUM($D$5:D9)</x:f>
        <x:v>48</x:v>
      </x:c>
      <x:c r="H9" s="68" t="n">
        <x:f t="shared" si="3">SUM($E$5:E9)</x:f>
        <x:v>11.63</x:v>
      </x:c>
      <x:c r="I9" s="68" t="n">
        <x:f t="shared" si="1">MAX($G$13-H9,0)</x:f>
        <x:v>64.37</x:v>
      </x:c>
      <x:c r="J9" s="141" t="s">
        <x:v>249</x:v>
      </x:c>
      <x:c r="K9" s="141" t="s">
        <x:v>246</x:v>
      </x:c>
      <x:c r="L9" s="14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141">
        <x:v>6</x:v>
      </x:c>
      <x:c r="B10" s="138">
        <x:v>46237</x:v>
      </x:c>
      <x:c r="C10" s="138">
        <x:v>46243</x:v>
      </x:c>
      <x:c r="D10" s="68">
        <x:v>10</x:v>
      </x:c>
      <x:c r="E10" s="68" t="n">
        <x:f>SUMIF('Work Block Log'!$G$5:$G$200,A10,'Work Block Log'!$F$5:$F$200)</x:f>
        <x:v>0</x:v>
      </x:c>
      <x:c r="F10" s="68" t="str">
        <x:f t="shared" si="0">IF(E10="","",E10-D10)</x:f>
      </x:c>
      <x:c r="G10" s="68" t="n">
        <x:f t="shared" si="2">SUM($D$5:D10)</x:f>
        <x:v>58</x:v>
      </x:c>
      <x:c r="H10" s="68" t="n">
        <x:f t="shared" si="3">SUM($E$5:E10)</x:f>
        <x:v>11.63</x:v>
      </x:c>
      <x:c r="I10" s="68" t="n">
        <x:f t="shared" si="1">MAX($G$13-H10,0)</x:f>
        <x:v>64.37</x:v>
      </x:c>
      <x:c r="J10" s="141" t="s">
        <x:v>250</x:v>
      </x:c>
      <x:c r="K10" s="141" t="s">
        <x:v>246</x:v>
      </x:c>
      <x:c r="L10" s="14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141">
        <x:v>7</x:v>
      </x:c>
      <x:c r="B11" s="138">
        <x:v>46244</x:v>
      </x:c>
      <x:c r="C11" s="138">
        <x:v>46250</x:v>
      </x:c>
      <x:c r="D11" s="68">
        <x:v>10</x:v>
      </x:c>
      <x:c r="E11" s="68" t="n">
        <x:f>SUMIF('Work Block Log'!$G$5:$G$200,A11,'Work Block Log'!$F$5:$F$200)</x:f>
        <x:v>0</x:v>
      </x:c>
      <x:c r="F11" s="68" t="str">
        <x:f t="shared" si="0">IF(E11="","",E11-D11)</x:f>
      </x:c>
      <x:c r="G11" s="68" t="n">
        <x:f t="shared" si="2">SUM($D$5:D11)</x:f>
        <x:v>68</x:v>
      </x:c>
      <x:c r="H11" s="68" t="n">
        <x:f t="shared" si="3">SUM($E$5:E11)</x:f>
        <x:v>11.63</x:v>
      </x:c>
      <x:c r="I11" s="68" t="n">
        <x:f t="shared" si="1">MAX($G$13-H11,0)</x:f>
        <x:v>64.37</x:v>
      </x:c>
      <x:c r="J11" s="141" t="s">
        <x:v>251</x:v>
      </x:c>
      <x:c r="K11" s="141" t="s">
        <x:v>246</x:v>
      </x:c>
      <x:c r="L11" s="14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142">
        <x:v>8</x:v>
      </x:c>
      <x:c r="B12" s="139">
        <x:v>46251</x:v>
      </x:c>
      <x:c r="C12" s="139">
        <x:v>46257</x:v>
      </x:c>
      <x:c r="D12" s="140">
        <x:v>8</x:v>
      </x:c>
      <x:c r="E12" s="140" t="n">
        <x:f>SUMIF('Work Block Log'!$G$5:$G$200,A12,'Work Block Log'!$F$5:$F$200)</x:f>
        <x:v>0</x:v>
      </x:c>
      <x:c r="F12" s="140" t="str">
        <x:f t="shared" si="0">IF(E12="","",E12-D12)</x:f>
      </x:c>
      <x:c r="G12" s="140" t="n">
        <x:f t="shared" si="2">SUM($D$5:D12)</x:f>
        <x:v>76</x:v>
      </x:c>
      <x:c r="H12" s="140" t="n">
        <x:f t="shared" si="3">SUM($E$5:E12)</x:f>
        <x:v>11.63</x:v>
      </x:c>
      <x:c r="I12" s="140" t="n">
        <x:f t="shared" si="1">MAX($G$13-H12,0)</x:f>
        <x:v>64.37</x:v>
      </x:c>
      <x:c r="J12" s="142" t="s">
        <x:v>252</x:v>
      </x:c>
      <x:c r="K12" s="142" t="s">
        <x:v>246</x:v>
      </x:c>
      <x:c r="L12" s="142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54"/>
      <x:c r="B13" s="55"/>
      <x:c r="C13" s="55"/>
      <x:c r="D13" s="56"/>
      <x:c r="E13" s="56"/>
      <x:c r="F13" s="56" t="str">
        <x:f t="shared" si="0"/>
      </x:c>
      <x:c r="G13" s="56">
        <x:f t="shared" si="2"/>
        <x:v>76</x:v>
      </x:c>
      <x:c r="H13" s="56">
        <x:f t="shared" si="3"/>
        <x:v>7.5500000000000007</x:v>
      </x:c>
      <x:c r="I13" s="56">
        <x:f t="shared" si="1"/>
        <x:v>500</x:v>
      </x:c>
      <x:c r="J13" s="56"/>
      <x:c r="K13" s="56"/>
      <x:c r="L13" s="57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54"/>
      <x:c r="B14" s="55"/>
      <x:c r="C14" s="55"/>
      <x:c r="D14" s="56"/>
      <x:c r="E14" s="56"/>
      <x:c r="F14" s="56" t="str">
        <x:f t="shared" si="0"/>
      </x:c>
      <x:c r="G14" s="56">
        <x:f t="shared" si="2"/>
        <x:v>76</x:v>
      </x:c>
      <x:c r="H14" s="56">
        <x:f t="shared" si="3"/>
        <x:v>7.5500000000000007</x:v>
      </x:c>
      <x:c r="I14" s="56">
        <x:f t="shared" si="1"/>
        <x:v>500</x:v>
      </x:c>
      <x:c r="J14" s="56"/>
      <x:c r="K14" s="56"/>
      <x:c r="L14" s="57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54"/>
      <x:c r="B15" s="55"/>
      <x:c r="C15" s="55"/>
      <x:c r="D15" s="56"/>
      <x:c r="E15" s="56"/>
      <x:c r="F15" s="56" t="str">
        <x:f t="shared" si="0"/>
      </x:c>
      <x:c r="G15" s="56">
        <x:f t="shared" si="2"/>
        <x:v>76</x:v>
      </x:c>
      <x:c r="H15" s="56">
        <x:f t="shared" si="3"/>
        <x:v>7.5500000000000007</x:v>
      </x:c>
      <x:c r="I15" s="56">
        <x:f t="shared" si="1"/>
        <x:v>500</x:v>
      </x:c>
      <x:c r="J15" s="56"/>
      <x:c r="K15" s="56"/>
      <x:c r="L15" s="57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54"/>
      <x:c r="B16" s="55"/>
      <x:c r="C16" s="55"/>
      <x:c r="D16" s="56"/>
      <x:c r="E16" s="56"/>
      <x:c r="F16" s="56" t="str">
        <x:f t="shared" si="0"/>
      </x:c>
      <x:c r="G16" s="56">
        <x:f t="shared" si="2"/>
        <x:v>76</x:v>
      </x:c>
      <x:c r="H16" s="56">
        <x:f t="shared" si="3"/>
        <x:v>7.5500000000000007</x:v>
      </x:c>
      <x:c r="I16" s="56">
        <x:f t="shared" si="1"/>
        <x:v>500</x:v>
      </x:c>
      <x:c r="J16" s="56"/>
      <x:c r="K16" s="56"/>
      <x:c r="L16" s="57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54"/>
      <x:c r="B17" s="55"/>
      <x:c r="C17" s="55"/>
      <x:c r="D17" s="56"/>
      <x:c r="E17" s="56"/>
      <x:c r="F17" s="56" t="str">
        <x:f t="shared" si="0"/>
      </x:c>
      <x:c r="G17" s="56">
        <x:f t="shared" si="2"/>
        <x:v>76</x:v>
      </x:c>
      <x:c r="H17" s="56">
        <x:f t="shared" si="3"/>
        <x:v>7.5500000000000007</x:v>
      </x:c>
      <x:c r="I17" s="56">
        <x:f t="shared" si="1"/>
        <x:v>500</x:v>
      </x:c>
      <x:c r="J17" s="56"/>
      <x:c r="K17" s="56"/>
      <x:c r="L17" s="57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54"/>
      <x:c r="B18" s="55"/>
      <x:c r="C18" s="55"/>
      <x:c r="D18" s="56"/>
      <x:c r="E18" s="56"/>
      <x:c r="F18" s="56" t="str">
        <x:f t="shared" si="0"/>
      </x:c>
      <x:c r="G18" s="56">
        <x:f t="shared" si="2"/>
        <x:v>76</x:v>
      </x:c>
      <x:c r="H18" s="56">
        <x:f t="shared" si="3"/>
        <x:v>7.5500000000000007</x:v>
      </x:c>
      <x:c r="I18" s="56">
        <x:f t="shared" si="1"/>
        <x:v>500</x:v>
      </x:c>
      <x:c r="J18" s="56"/>
      <x:c r="K18" s="56"/>
      <x:c r="L18" s="57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54"/>
      <x:c r="B19" s="55"/>
      <x:c r="C19" s="55"/>
      <x:c r="D19" s="56"/>
      <x:c r="E19" s="56"/>
      <x:c r="F19" s="56" t="str">
        <x:f t="shared" si="0"/>
      </x:c>
      <x:c r="G19" s="56">
        <x:f t="shared" si="2"/>
        <x:v>76</x:v>
      </x:c>
      <x:c r="H19" s="56">
        <x:f t="shared" si="3"/>
        <x:v>7.5500000000000007</x:v>
      </x:c>
      <x:c r="I19" s="56">
        <x:f t="shared" si="1"/>
        <x:v>500</x:v>
      </x:c>
      <x:c r="J19" s="56"/>
      <x:c r="K19" s="56"/>
      <x:c r="L19" s="57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54"/>
      <x:c r="B20" s="55"/>
      <x:c r="C20" s="55"/>
      <x:c r="D20" s="56"/>
      <x:c r="E20" s="56"/>
      <x:c r="F20" s="56" t="str">
        <x:f t="shared" si="0"/>
      </x:c>
      <x:c r="G20" s="56">
        <x:f t="shared" si="2"/>
        <x:v>76</x:v>
      </x:c>
      <x:c r="H20" s="56">
        <x:f t="shared" si="3"/>
        <x:v>7.5500000000000007</x:v>
      </x:c>
      <x:c r="I20" s="56">
        <x:f t="shared" si="1"/>
        <x:v>500</x:v>
      </x:c>
      <x:c r="J20" s="56"/>
      <x:c r="K20" s="56"/>
      <x:c r="L20" s="57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54"/>
      <x:c r="B21" s="55"/>
      <x:c r="C21" s="55"/>
      <x:c r="D21" s="56"/>
      <x:c r="E21" s="56"/>
      <x:c r="F21" s="56" t="str">
        <x:f t="shared" si="0"/>
      </x:c>
      <x:c r="G21" s="56">
        <x:f t="shared" si="2"/>
        <x:v>76</x:v>
      </x:c>
      <x:c r="H21" s="56">
        <x:f t="shared" si="3"/>
        <x:v>7.5500000000000007</x:v>
      </x:c>
      <x:c r="I21" s="56">
        <x:f t="shared" si="1"/>
        <x:v>500</x:v>
      </x:c>
      <x:c r="J21" s="56"/>
      <x:c r="K21" s="56"/>
      <x:c r="L21" s="57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54"/>
      <x:c r="B22" s="55"/>
      <x:c r="C22" s="55"/>
      <x:c r="D22" s="56"/>
      <x:c r="E22" s="56"/>
      <x:c r="F22" s="56" t="str">
        <x:f t="shared" si="0"/>
      </x:c>
      <x:c r="G22" s="56">
        <x:f t="shared" si="2"/>
        <x:v>76</x:v>
      </x:c>
      <x:c r="H22" s="56">
        <x:f t="shared" si="3"/>
        <x:v>7.5500000000000007</x:v>
      </x:c>
      <x:c r="I22" s="56">
        <x:f t="shared" si="1"/>
        <x:v>500</x:v>
      </x:c>
      <x:c r="J22" s="56"/>
      <x:c r="K22" s="56"/>
      <x:c r="L22" s="57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54"/>
      <x:c r="B23" s="55"/>
      <x:c r="C23" s="55"/>
      <x:c r="D23" s="56"/>
      <x:c r="E23" s="56"/>
      <x:c r="F23" s="56" t="str">
        <x:f t="shared" si="0"/>
      </x:c>
      <x:c r="G23" s="56">
        <x:f t="shared" si="2"/>
        <x:v>76</x:v>
      </x:c>
      <x:c r="H23" s="56">
        <x:f t="shared" si="3"/>
        <x:v>7.5500000000000007</x:v>
      </x:c>
      <x:c r="I23" s="56">
        <x:f t="shared" si="1"/>
        <x:v>500</x:v>
      </x:c>
      <x:c r="J23" s="56"/>
      <x:c r="K23" s="56"/>
      <x:c r="L23" s="57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54"/>
      <x:c r="B24" s="55"/>
      <x:c r="C24" s="55"/>
      <x:c r="D24" s="56"/>
      <x:c r="E24" s="56"/>
      <x:c r="F24" s="56" t="str">
        <x:f t="shared" si="0"/>
      </x:c>
      <x:c r="G24" s="56">
        <x:f t="shared" si="2"/>
        <x:v>76</x:v>
      </x:c>
      <x:c r="H24" s="56">
        <x:f t="shared" si="3"/>
        <x:v>7.5500000000000007</x:v>
      </x:c>
      <x:c r="I24" s="56">
        <x:f t="shared" si="1"/>
        <x:v>500</x:v>
      </x:c>
      <x:c r="J24" s="56"/>
      <x:c r="K24" s="56"/>
      <x:c r="L24" s="57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54"/>
      <x:c r="B25" s="55"/>
      <x:c r="C25" s="55"/>
      <x:c r="D25" s="56"/>
      <x:c r="E25" s="56"/>
      <x:c r="F25" s="56" t="str">
        <x:f t="shared" si="0"/>
      </x:c>
      <x:c r="G25" s="56">
        <x:f t="shared" si="2"/>
        <x:v>76</x:v>
      </x:c>
      <x:c r="H25" s="56">
        <x:f t="shared" si="3"/>
        <x:v>7.5500000000000007</x:v>
      </x:c>
      <x:c r="I25" s="56">
        <x:f t="shared" si="1"/>
        <x:v>500</x:v>
      </x:c>
      <x:c r="J25" s="56"/>
      <x:c r="K25" s="56"/>
      <x:c r="L25" s="57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54"/>
      <x:c r="B26" s="55"/>
      <x:c r="C26" s="55"/>
      <x:c r="D26" s="56"/>
      <x:c r="E26" s="56"/>
      <x:c r="F26" s="56" t="str">
        <x:f t="shared" si="0"/>
      </x:c>
      <x:c r="G26" s="56">
        <x:f t="shared" si="2"/>
        <x:v>76</x:v>
      </x:c>
      <x:c r="H26" s="56">
        <x:f t="shared" si="3"/>
        <x:v>7.5500000000000007</x:v>
      </x:c>
      <x:c r="I26" s="56">
        <x:f t="shared" si="1"/>
        <x:v>500</x:v>
      </x:c>
      <x:c r="J26" s="56"/>
      <x:c r="K26" s="56"/>
      <x:c r="L26" s="57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58"/>
      <x:c r="B27" s="59"/>
      <x:c r="C27" s="59"/>
      <x:c r="D27" s="60"/>
      <x:c r="E27" s="60"/>
      <x:c r="F27" s="60" t="str">
        <x:f t="shared" si="0"/>
      </x:c>
      <x:c r="G27" s="60">
        <x:f t="shared" si="2"/>
        <x:v>76</x:v>
      </x:c>
      <x:c r="H27" s="60">
        <x:f t="shared" si="3"/>
        <x:v>7.5500000000000007</x:v>
      </x:c>
      <x:c r="I27" s="60">
        <x:f t="shared" si="1"/>
        <x:v>500</x:v>
      </x:c>
      <x:c r="J27" s="60"/>
      <x:c r="K27" s="60"/>
      <x:c r="L27" s="6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54"/>
      <x:c r="B28" s="55"/>
      <x:c r="C28" s="55"/>
      <x:c r="D28" s="56"/>
      <x:c r="E28" s="56"/>
      <x:c r="F28" s="56" t="str">
        <x:f t="shared" si="0"/>
      </x:c>
      <x:c r="G28" s="56">
        <x:f t="shared" si="2"/>
        <x:v>76</x:v>
      </x:c>
      <x:c r="H28" s="56">
        <x:f t="shared" si="3"/>
        <x:v>7.5500000000000007</x:v>
      </x:c>
      <x:c r="I28" s="56">
        <x:f t="shared" si="1"/>
        <x:v>500</x:v>
      </x:c>
      <x:c r="J28" s="56"/>
      <x:c r="K28" s="56"/>
      <x:c r="L28" s="57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54"/>
      <x:c r="B29" s="55"/>
      <x:c r="C29" s="55"/>
      <x:c r="D29" s="56"/>
      <x:c r="E29" s="56"/>
      <x:c r="F29" s="56" t="str">
        <x:f t="shared" si="0"/>
      </x:c>
      <x:c r="G29" s="56">
        <x:f t="shared" si="2"/>
        <x:v>76</x:v>
      </x:c>
      <x:c r="H29" s="56">
        <x:f t="shared" si="3"/>
        <x:v>7.5500000000000007</x:v>
      </x:c>
      <x:c r="I29" s="56">
        <x:f t="shared" si="1"/>
        <x:v>500</x:v>
      </x:c>
      <x:c r="J29" s="56"/>
      <x:c r="K29" s="56"/>
      <x:c r="L29" s="57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54"/>
      <x:c r="B30" s="55"/>
      <x:c r="C30" s="55"/>
      <x:c r="D30" s="56"/>
      <x:c r="E30" s="56"/>
      <x:c r="F30" s="56" t="str">
        <x:f t="shared" si="0"/>
      </x:c>
      <x:c r="G30" s="56">
        <x:f t="shared" si="2"/>
        <x:v>76</x:v>
      </x:c>
      <x:c r="H30" s="56">
        <x:f t="shared" si="3"/>
        <x:v>7.5500000000000007</x:v>
      </x:c>
      <x:c r="I30" s="56">
        <x:f t="shared" si="1"/>
        <x:v>500</x:v>
      </x:c>
      <x:c r="J30" s="56"/>
      <x:c r="K30" s="56"/>
      <x:c r="L30" s="57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54"/>
      <x:c r="B31" s="55"/>
      <x:c r="C31" s="55"/>
      <x:c r="D31" s="56"/>
      <x:c r="E31" s="56"/>
      <x:c r="F31" s="56" t="str">
        <x:f t="shared" si="0"/>
      </x:c>
      <x:c r="G31" s="56">
        <x:f t="shared" si="2"/>
        <x:v>76</x:v>
      </x:c>
      <x:c r="H31" s="56">
        <x:f t="shared" si="3"/>
        <x:v>7.5500000000000007</x:v>
      </x:c>
      <x:c r="I31" s="56">
        <x:f t="shared" si="1"/>
        <x:v>500</x:v>
      </x:c>
      <x:c r="J31" s="56"/>
      <x:c r="K31" s="56"/>
      <x:c r="L31" s="57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54"/>
      <x:c r="B32" s="55"/>
      <x:c r="C32" s="55"/>
      <x:c r="D32" s="56"/>
      <x:c r="E32" s="56"/>
      <x:c r="F32" s="56" t="str">
        <x:f t="shared" si="0"/>
      </x:c>
      <x:c r="G32" s="56">
        <x:f t="shared" si="2"/>
        <x:v>76</x:v>
      </x:c>
      <x:c r="H32" s="56">
        <x:f t="shared" si="3"/>
        <x:v>7.5500000000000007</x:v>
      </x:c>
      <x:c r="I32" s="56">
        <x:f t="shared" si="1"/>
        <x:v>500</x:v>
      </x:c>
      <x:c r="J32" s="56"/>
      <x:c r="K32" s="56"/>
      <x:c r="L32" s="57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54"/>
      <x:c r="B33" s="55"/>
      <x:c r="C33" s="55"/>
      <x:c r="D33" s="56"/>
      <x:c r="E33" s="56"/>
      <x:c r="F33" s="56" t="str">
        <x:f t="shared" si="0"/>
      </x:c>
      <x:c r="G33" s="56">
        <x:f t="shared" si="2"/>
        <x:v>76</x:v>
      </x:c>
      <x:c r="H33" s="56">
        <x:f t="shared" si="3"/>
        <x:v>7.5500000000000007</x:v>
      </x:c>
      <x:c r="I33" s="56">
        <x:f t="shared" si="1"/>
        <x:v>500</x:v>
      </x:c>
      <x:c r="J33" s="56"/>
      <x:c r="K33" s="56"/>
      <x:c r="L33" s="57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54"/>
      <x:c r="B34" s="55"/>
      <x:c r="C34" s="55"/>
      <x:c r="D34" s="56"/>
      <x:c r="E34" s="56"/>
      <x:c r="F34" s="56" t="str">
        <x:f t="shared" si="0"/>
      </x:c>
      <x:c r="G34" s="56">
        <x:f t="shared" si="2"/>
        <x:v>76</x:v>
      </x:c>
      <x:c r="H34" s="56">
        <x:f t="shared" si="3"/>
        <x:v>7.5500000000000007</x:v>
      </x:c>
      <x:c r="I34" s="56">
        <x:f t="shared" si="1"/>
        <x:v>500</x:v>
      </x:c>
      <x:c r="J34" s="56"/>
      <x:c r="K34" s="56"/>
      <x:c r="L34" s="57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54"/>
      <x:c r="B35" s="55"/>
      <x:c r="C35" s="55"/>
      <x:c r="D35" s="56"/>
      <x:c r="E35" s="56"/>
      <x:c r="F35" s="56" t="str">
        <x:f t="shared" si="0"/>
      </x:c>
      <x:c r="G35" s="56">
        <x:f t="shared" si="2"/>
        <x:v>76</x:v>
      </x:c>
      <x:c r="H35" s="56">
        <x:f t="shared" si="3"/>
        <x:v>7.5500000000000007</x:v>
      </x:c>
      <x:c r="I35" s="56">
        <x:f t="shared" si="1"/>
        <x:v>500</x:v>
      </x:c>
      <x:c r="J35" s="56"/>
      <x:c r="K35" s="56"/>
      <x:c r="L35" s="57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54"/>
      <x:c r="B36" s="55"/>
      <x:c r="C36" s="55"/>
      <x:c r="D36" s="56"/>
      <x:c r="E36" s="56"/>
      <x:c r="F36" s="56" t="str">
        <x:f t="shared" ref="F36:F55" si="4">IF(E36="","",E36-D36)</x:f>
      </x:c>
      <x:c r="G36" s="56">
        <x:f t="shared" si="2"/>
        <x:v>76</x:v>
      </x:c>
      <x:c r="H36" s="56">
        <x:f t="shared" si="3"/>
        <x:v>7.5500000000000007</x:v>
      </x:c>
      <x:c r="I36" s="56" t="n">
        <x:f t="shared" ref="I36:I55" si="5">MAX(576-G36,0)</x:f>
        <x:v>500</x:v>
      </x:c>
      <x:c r="J36" s="56"/>
      <x:c r="K36" s="56"/>
      <x:c r="L36" s="57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54"/>
      <x:c r="B37" s="55"/>
      <x:c r="C37" s="55"/>
      <x:c r="D37" s="56"/>
      <x:c r="E37" s="56"/>
      <x:c r="F37" s="56" t="str">
        <x:f t="shared" si="4"/>
      </x:c>
      <x:c r="G37" s="56" t="n">
        <x:f t="shared" ref="G37:G55" si="6">G36+D37</x:f>
        <x:v>76</x:v>
      </x:c>
      <x:c r="H37" s="56" t="n">
        <x:f t="shared" ref="H37:H55" si="7">H36+IF(E37="",0,E37)</x:f>
        <x:v>7.550000000000001</x:v>
      </x:c>
      <x:c r="I37" s="56">
        <x:f t="shared" si="5"/>
        <x:v>500</x:v>
      </x:c>
      <x:c r="J37" s="56"/>
      <x:c r="K37" s="56"/>
      <x:c r="L37" s="57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54"/>
      <x:c r="B38" s="55"/>
      <x:c r="C38" s="55"/>
      <x:c r="D38" s="56"/>
      <x:c r="E38" s="56"/>
      <x:c r="F38" s="56" t="str">
        <x:f t="shared" si="4"/>
      </x:c>
      <x:c r="G38" s="56">
        <x:f t="shared" si="6"/>
        <x:v>76</x:v>
      </x:c>
      <x:c r="H38" s="56">
        <x:f t="shared" si="7"/>
        <x:v>7.5500000000000007</x:v>
      </x:c>
      <x:c r="I38" s="56">
        <x:f t="shared" si="5"/>
        <x:v>500</x:v>
      </x:c>
      <x:c r="J38" s="56"/>
      <x:c r="K38" s="56"/>
      <x:c r="L38" s="57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54"/>
      <x:c r="B39" s="55"/>
      <x:c r="C39" s="55"/>
      <x:c r="D39" s="56"/>
      <x:c r="E39" s="56"/>
      <x:c r="F39" s="56" t="str">
        <x:f t="shared" si="4"/>
      </x:c>
      <x:c r="G39" s="56">
        <x:f t="shared" si="6"/>
        <x:v>76</x:v>
      </x:c>
      <x:c r="H39" s="56">
        <x:f t="shared" si="7"/>
        <x:v>7.5500000000000007</x:v>
      </x:c>
      <x:c r="I39" s="56">
        <x:f t="shared" si="5"/>
        <x:v>500</x:v>
      </x:c>
      <x:c r="J39" s="56"/>
      <x:c r="K39" s="56"/>
      <x:c r="L39" s="57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54"/>
      <x:c r="B40" s="55"/>
      <x:c r="C40" s="55"/>
      <x:c r="D40" s="56"/>
      <x:c r="E40" s="56"/>
      <x:c r="F40" s="56" t="str">
        <x:f t="shared" si="4"/>
      </x:c>
      <x:c r="G40" s="56">
        <x:f t="shared" si="6"/>
        <x:v>76</x:v>
      </x:c>
      <x:c r="H40" s="56">
        <x:f t="shared" si="7"/>
        <x:v>7.5500000000000007</x:v>
      </x:c>
      <x:c r="I40" s="56">
        <x:f t="shared" si="5"/>
        <x:v>500</x:v>
      </x:c>
      <x:c r="J40" s="56"/>
      <x:c r="K40" s="56"/>
      <x:c r="L40" s="57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54"/>
      <x:c r="B41" s="55"/>
      <x:c r="C41" s="55"/>
      <x:c r="D41" s="56"/>
      <x:c r="E41" s="56"/>
      <x:c r="F41" s="56" t="str">
        <x:f t="shared" si="4"/>
      </x:c>
      <x:c r="G41" s="56">
        <x:f t="shared" si="6"/>
        <x:v>76</x:v>
      </x:c>
      <x:c r="H41" s="56">
        <x:f t="shared" si="7"/>
        <x:v>7.5500000000000007</x:v>
      </x:c>
      <x:c r="I41" s="56">
        <x:f t="shared" si="5"/>
        <x:v>500</x:v>
      </x:c>
      <x:c r="J41" s="56"/>
      <x:c r="K41" s="56"/>
      <x:c r="L41" s="57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54"/>
      <x:c r="B42" s="55"/>
      <x:c r="C42" s="55"/>
      <x:c r="D42" s="56"/>
      <x:c r="E42" s="56"/>
      <x:c r="F42" s="56" t="str">
        <x:f t="shared" si="4"/>
      </x:c>
      <x:c r="G42" s="56">
        <x:f t="shared" si="6"/>
        <x:v>76</x:v>
      </x:c>
      <x:c r="H42" s="56">
        <x:f t="shared" si="7"/>
        <x:v>7.5500000000000007</x:v>
      </x:c>
      <x:c r="I42" s="56">
        <x:f t="shared" si="5"/>
        <x:v>500</x:v>
      </x:c>
      <x:c r="J42" s="56"/>
      <x:c r="K42" s="56"/>
      <x:c r="L42" s="57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54"/>
      <x:c r="B43" s="55"/>
      <x:c r="C43" s="55"/>
      <x:c r="D43" s="56"/>
      <x:c r="E43" s="56"/>
      <x:c r="F43" s="56" t="str">
        <x:f t="shared" si="4"/>
      </x:c>
      <x:c r="G43" s="56">
        <x:f t="shared" si="6"/>
        <x:v>76</x:v>
      </x:c>
      <x:c r="H43" s="56">
        <x:f t="shared" si="7"/>
        <x:v>7.5500000000000007</x:v>
      </x:c>
      <x:c r="I43" s="56">
        <x:f t="shared" si="5"/>
        <x:v>500</x:v>
      </x:c>
      <x:c r="J43" s="56"/>
      <x:c r="K43" s="56"/>
      <x:c r="L43" s="57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54"/>
      <x:c r="B44" s="55"/>
      <x:c r="C44" s="55"/>
      <x:c r="D44" s="56"/>
      <x:c r="E44" s="56"/>
      <x:c r="F44" s="56" t="str">
        <x:f t="shared" si="4"/>
      </x:c>
      <x:c r="G44" s="56">
        <x:f t="shared" si="6"/>
        <x:v>76</x:v>
      </x:c>
      <x:c r="H44" s="56">
        <x:f t="shared" si="7"/>
        <x:v>7.5500000000000007</x:v>
      </x:c>
      <x:c r="I44" s="56">
        <x:f t="shared" si="5"/>
        <x:v>500</x:v>
      </x:c>
      <x:c r="J44" s="56"/>
      <x:c r="K44" s="56"/>
      <x:c r="L44" s="57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58"/>
      <x:c r="B45" s="59"/>
      <x:c r="C45" s="59"/>
      <x:c r="D45" s="60"/>
      <x:c r="E45" s="60"/>
      <x:c r="F45" s="60" t="str">
        <x:f t="shared" si="4"/>
      </x:c>
      <x:c r="G45" s="60">
        <x:f t="shared" si="6"/>
        <x:v>76</x:v>
      </x:c>
      <x:c r="H45" s="60">
        <x:f t="shared" si="7"/>
        <x:v>7.5500000000000007</x:v>
      </x:c>
      <x:c r="I45" s="60">
        <x:f t="shared" si="5"/>
        <x:v>500</x:v>
      </x:c>
      <x:c r="J45" s="60"/>
      <x:c r="K45" s="60"/>
      <x:c r="L45" s="6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54"/>
      <x:c r="B46" s="55"/>
      <x:c r="C46" s="55"/>
      <x:c r="D46" s="56"/>
      <x:c r="E46" s="56"/>
      <x:c r="F46" s="56" t="str">
        <x:f t="shared" si="4"/>
      </x:c>
      <x:c r="G46" s="56">
        <x:f t="shared" si="6"/>
        <x:v>76</x:v>
      </x:c>
      <x:c r="H46" s="56">
        <x:f t="shared" si="7"/>
        <x:v>7.5500000000000007</x:v>
      </x:c>
      <x:c r="I46" s="56">
        <x:f t="shared" si="5"/>
        <x:v>500</x:v>
      </x:c>
      <x:c r="J46" s="56"/>
      <x:c r="K46" s="56"/>
      <x:c r="L46" s="57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54"/>
      <x:c r="B47" s="55"/>
      <x:c r="C47" s="55"/>
      <x:c r="D47" s="56"/>
      <x:c r="E47" s="56"/>
      <x:c r="F47" s="56" t="str">
        <x:f t="shared" si="4"/>
      </x:c>
      <x:c r="G47" s="56">
        <x:f t="shared" si="6"/>
        <x:v>76</x:v>
      </x:c>
      <x:c r="H47" s="56">
        <x:f t="shared" si="7"/>
        <x:v>7.5500000000000007</x:v>
      </x:c>
      <x:c r="I47" s="56">
        <x:f t="shared" si="5"/>
        <x:v>500</x:v>
      </x:c>
      <x:c r="J47" s="56"/>
      <x:c r="K47" s="56"/>
      <x:c r="L47" s="57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54"/>
      <x:c r="B48" s="55"/>
      <x:c r="C48" s="55"/>
      <x:c r="D48" s="56"/>
      <x:c r="E48" s="56"/>
      <x:c r="F48" s="56" t="str">
        <x:f t="shared" si="4"/>
      </x:c>
      <x:c r="G48" s="56">
        <x:f t="shared" si="6"/>
        <x:v>76</x:v>
      </x:c>
      <x:c r="H48" s="56">
        <x:f t="shared" si="7"/>
        <x:v>7.5500000000000007</x:v>
      </x:c>
      <x:c r="I48" s="56">
        <x:f t="shared" si="5"/>
        <x:v>500</x:v>
      </x:c>
      <x:c r="J48" s="56"/>
      <x:c r="K48" s="56"/>
      <x:c r="L48" s="57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54"/>
      <x:c r="B49" s="55"/>
      <x:c r="C49" s="55"/>
      <x:c r="D49" s="56"/>
      <x:c r="E49" s="56"/>
      <x:c r="F49" s="56" t="str">
        <x:f t="shared" si="4"/>
      </x:c>
      <x:c r="G49" s="56">
        <x:f t="shared" si="6"/>
        <x:v>76</x:v>
      </x:c>
      <x:c r="H49" s="56">
        <x:f t="shared" si="7"/>
        <x:v>7.5500000000000007</x:v>
      </x:c>
      <x:c r="I49" s="56">
        <x:f t="shared" si="5"/>
        <x:v>500</x:v>
      </x:c>
      <x:c r="J49" s="56"/>
      <x:c r="K49" s="56"/>
      <x:c r="L49" s="57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54"/>
      <x:c r="B50" s="55"/>
      <x:c r="C50" s="55"/>
      <x:c r="D50" s="56"/>
      <x:c r="E50" s="56"/>
      <x:c r="F50" s="56" t="str">
        <x:f t="shared" si="4"/>
      </x:c>
      <x:c r="G50" s="56">
        <x:f t="shared" si="6"/>
        <x:v>76</x:v>
      </x:c>
      <x:c r="H50" s="56">
        <x:f t="shared" si="7"/>
        <x:v>7.5500000000000007</x:v>
      </x:c>
      <x:c r="I50" s="56">
        <x:f t="shared" si="5"/>
        <x:v>500</x:v>
      </x:c>
      <x:c r="J50" s="56"/>
      <x:c r="K50" s="56"/>
      <x:c r="L50" s="57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54"/>
      <x:c r="B51" s="55"/>
      <x:c r="C51" s="55"/>
      <x:c r="D51" s="56"/>
      <x:c r="E51" s="56"/>
      <x:c r="F51" s="56" t="str">
        <x:f t="shared" si="4"/>
      </x:c>
      <x:c r="G51" s="56">
        <x:f t="shared" si="6"/>
        <x:v>76</x:v>
      </x:c>
      <x:c r="H51" s="56">
        <x:f t="shared" si="7"/>
        <x:v>7.5500000000000007</x:v>
      </x:c>
      <x:c r="I51" s="56">
        <x:f t="shared" si="5"/>
        <x:v>500</x:v>
      </x:c>
      <x:c r="J51" s="56"/>
      <x:c r="K51" s="56"/>
      <x:c r="L51" s="57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54"/>
      <x:c r="B52" s="55"/>
      <x:c r="C52" s="55"/>
      <x:c r="D52" s="56"/>
      <x:c r="E52" s="56"/>
      <x:c r="F52" s="56" t="str">
        <x:f t="shared" si="4"/>
      </x:c>
      <x:c r="G52" s="56">
        <x:f t="shared" si="6"/>
        <x:v>76</x:v>
      </x:c>
      <x:c r="H52" s="56">
        <x:f t="shared" si="7"/>
        <x:v>7.5500000000000007</x:v>
      </x:c>
      <x:c r="I52" s="56">
        <x:f t="shared" si="5"/>
        <x:v>500</x:v>
      </x:c>
      <x:c r="J52" s="56"/>
      <x:c r="K52" s="56"/>
      <x:c r="L52" s="57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54"/>
      <x:c r="B53" s="55"/>
      <x:c r="C53" s="55"/>
      <x:c r="D53" s="56"/>
      <x:c r="E53" s="56"/>
      <x:c r="F53" s="56" t="str">
        <x:f t="shared" si="4"/>
      </x:c>
      <x:c r="G53" s="56">
        <x:f t="shared" si="6"/>
        <x:v>76</x:v>
      </x:c>
      <x:c r="H53" s="56">
        <x:f t="shared" si="7"/>
        <x:v>7.5500000000000007</x:v>
      </x:c>
      <x:c r="I53" s="56">
        <x:f t="shared" si="5"/>
        <x:v>500</x:v>
      </x:c>
      <x:c r="J53" s="56"/>
      <x:c r="K53" s="56"/>
      <x:c r="L53" s="57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54"/>
      <x:c r="B54" s="55"/>
      <x:c r="C54" s="55"/>
      <x:c r="D54" s="56"/>
      <x:c r="E54" s="56"/>
      <x:c r="F54" s="56" t="str">
        <x:f t="shared" si="4"/>
      </x:c>
      <x:c r="G54" s="56">
        <x:f t="shared" si="6"/>
        <x:v>76</x:v>
      </x:c>
      <x:c r="H54" s="56">
        <x:f t="shared" si="7"/>
        <x:v>7.5500000000000007</x:v>
      </x:c>
      <x:c r="I54" s="56">
        <x:f t="shared" si="5"/>
        <x:v>500</x:v>
      </x:c>
      <x:c r="J54" s="56"/>
      <x:c r="K54" s="56"/>
      <x:c r="L54" s="57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58"/>
      <x:c r="B55" s="59"/>
      <x:c r="C55" s="59"/>
      <x:c r="D55" s="60"/>
      <x:c r="E55" s="60"/>
      <x:c r="F55" s="60" t="str">
        <x:f t="shared" si="4"/>
      </x:c>
      <x:c r="G55" s="60">
        <x:f t="shared" si="6"/>
        <x:v>76</x:v>
      </x:c>
      <x:c r="H55" s="60">
        <x:f t="shared" si="7"/>
        <x:v>7.5500000000000007</x:v>
      </x:c>
      <x:c r="I55" s="60">
        <x:f t="shared" si="5"/>
        <x:v>500</x:v>
      </x:c>
      <x:c r="J55" s="60"/>
      <x:c r="K55" s="60"/>
      <x:c r="L55" s="6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L1"/>
    <x:mergeCell ref="A2:L2"/>
  </x:mergeCells>
  <x:conditionalFormatting sqref="D4:D55">
    <x:cfRule type="dataBar" priority="3">
      <x:dataBar>
        <x:cfvo type="min"/>
        <x:cfvo type="max"/>
        <x:color rgb="FF2563EB"/>
      </x:dataBar>
    </x:cfRule>
    <x:cfRule type="dataBar" priority="5">
      <x:dataBar>
        <x:cfvo type="min"/>
        <x:cfvo type="max"/>
        <x:color rgb="FF2563EB"/>
      </x:dataBar>
    </x:cfRule>
    <x:cfRule type="dataBar" priority="7">
      <x:dataBar>
        <x:cfvo type="min"/>
        <x:cfvo type="max"/>
        <x:color rgb="FF2563EB"/>
      </x:dataBar>
    </x:cfRule>
    <x:cfRule type="dataBar" priority="9">
      <x:dataBar>
        <x:cfvo type="min"/>
        <x:cfvo type="max"/>
        <x:color rgb="FF2563EB"/>
      </x:dataBar>
    </x:cfRule>
    <x:cfRule type="dataBar" priority="11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{B9CF9B83-EEEF-806F-3865-A7F6C560F42A}</x14:id>
        </x:ext>
      </x:extLst>
    </x:cfRule>
  </x:conditionalFormatting>
  <x:conditionalFormatting sqref="E4:E55">
    <x:cfRule type="dataBar" priority="4">
      <x:dataBar>
        <x:cfvo type="min"/>
        <x:cfvo type="max"/>
        <x:color rgb="FF16A34A"/>
      </x:dataBar>
    </x:cfRule>
    <x:cfRule type="dataBar" priority="6">
      <x:dataBar>
        <x:cfvo type="min"/>
        <x:cfvo type="max"/>
        <x:color rgb="FF16A34A"/>
      </x:dataBar>
    </x:cfRule>
    <x:cfRule type="dataBar" priority="8">
      <x:dataBar>
        <x:cfvo type="min"/>
        <x:cfvo type="max"/>
        <x:color rgb="FF16A34A"/>
      </x:dataBar>
    </x:cfRule>
    <x:cfRule type="dataBar" priority="10">
      <x:dataBar>
        <x:cfvo type="min"/>
        <x:cfvo type="max"/>
        <x:color rgb="FF16A34A"/>
      </x:dataBar>
    </x:cfRule>
    <x:cfRule type="dataBar" priority="12">
      <x:dataBar>
        <x:cfvo type="min"/>
        <x:cfvo type="max"/>
        <x:color rgb="FF16A34A"/>
      </x:dataBar>
      <x:extLst>
        <x:ext xmlns:x14="http://schemas.microsoft.com/office/spreadsheetml/2009/9/main" uri="{B025F937-C7B1-47D3-B67F-A62EFF666E3E}">
          <x14:id>{C5949B8B-F80D-9915-0B44-DA00EAF5A662}</x14:id>
        </x:ext>
      </x:extLst>
    </x:cfRule>
  </x:conditionalFormatting>
  <x:conditionalFormatting sqref="F4:F55">
    <x:cfRule type="cellIs" dxfId="1" priority="1" operator="greaterThan">
      <x:formula>0</x:formula>
    </x:cfRule>
    <x:cfRule type="cellIs" dxfId="0" priority="2" operator="lessThan">
      <x:formula>0</x:formula>
    </x:cfRule>
  </x:conditionalFormatting>
  <x:dataValidations count="2">
    <x:dataValidation type="list" sqref="K4:K55">
      <x:formula1>"Not Started,In Progress,Complete,Missed,Replanned"</x:formula1>
    </x:dataValidation>
    <x:dataValidation type="list" sqref="K5:K12">
      <x:formula1>"Not Started,In Progress,Complete,Blocked"</x:formula1>
    </x:dataValidation>
  </x:dataValidations>
  <x:pageMargins left="0.7" right="0.7" top="0.75" bottom="0.75" header="0.3" footer="0.3"/>
  <x:drawing xmlns:r="http://schemas.openxmlformats.org/officeDocument/2006/relationships" r:id="R0717808db567481e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1" id="{B9CF9B83-EEEF-806F-3865-A7F6C560F42A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D4:D55</xm:sqref>
        </x14:conditionalFormatting>
        <x14:conditionalFormatting>
          <x14:cfRule type="dataBar" priority="12" id="{C5949B8B-F80D-9915-0B44-DA00EAF5A662}">
            <x14:dataBar>
              <x14:cfvo type="min"/>
              <x14:cfvo type="max"/>
              <x14:fillColor rgb="FF16A34A"/>
              <x14:negativeFillColor auto="1"/>
              <x14:axisColor auto="1"/>
            </x14:dataBar>
          </x14:cfRule>
          <xm:sqref>E4:E55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FormatPr defaultRowHeight="14.25"/>
  <x:cols>
    <x:col min="1" max="1" width="7" customWidth="1"/>
    <x:col min="2" max="2" width="30" customWidth="1"/>
    <x:col min="3" max="4" width="14" customWidth="1"/>
    <x:col min="5" max="7" width="12" customWidth="1"/>
    <x:col min="8" max="8" width="38" customWidth="1"/>
  </x:cols>
  <x:sheetData>
    <x:row r="1" ht="27.950000762939453" customHeight="1">
      <x:c r="A1" s="204" t="s">
        <x:v>253</x:v>
      </x:c>
      <x:c r="B1" s="205"/>
      <x:c r="C1" s="205"/>
      <x:c r="D1" s="205"/>
      <x:c r="E1" s="205"/>
      <x:c r="F1" s="205"/>
      <x:c r="G1" s="205"/>
      <x:c r="H1" s="20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88" t="s">
        <x:v>65</x:v>
      </x:c>
      <x:c r="B3" s="88" t="s">
        <x:v>66</x:v>
      </x:c>
      <x:c r="C3" s="88" t="s">
        <x:v>67</x:v>
      </x:c>
      <x:c r="D3" s="88" t="s">
        <x:v>68</x:v>
      </x:c>
      <x:c r="E3" s="88" t="s">
        <x:v>69</x:v>
      </x:c>
      <x:c r="F3" s="88" t="s">
        <x:v>70</x:v>
      </x:c>
      <x:c r="G3" s="88" t="s">
        <x:v>71</x:v>
      </x:c>
      <x:c r="H3" s="88" t="s">
        <x:v>254</x:v>
      </x:c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15">
      <x:c r="A4" s="141" t="s">
        <x:v>82</x:v>
      </x:c>
      <x:c r="B4" s="145" t="s">
        <x:v>83</x:v>
      </x:c>
      <x:c r="C4" s="68">
        <x:v>8</x:v>
      </x:c>
      <x:c r="D4" s="68" t="n">
        <x:f>SUMIF('Detailed Gantt'!$B$6:$B$27,B4,'Detailed Gantt'!$M$6:$M$27)</x:f>
        <x:v>7.550000000000001</x:v>
      </x:c>
      <x:c r="E4" s="143" t="n">
        <x:f>IF(C4=0,0,SUMPRODUCT(('Detailed Gantt'!$B$6:$B$27=B4)*'Detailed Gantt'!$F$6:$F$27*'Detailed Gantt'!$L$6:$L$27)/C4)</x:f>
        <x:v>1</x:v>
      </x:c>
      <x:c r="F4" s="138">
        <x:v>46202</x:v>
      </x:c>
      <x:c r="G4" s="138">
        <x:v>46215</x:v>
      </x:c>
      <x:c r="H4" s="141" t="s">
        <x:v>84</x:v>
      </x:c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15">
      <x:c r="A5" s="141" t="s">
        <x:v>6</x:v>
      </x:c>
      <x:c r="B5" s="146" t="s">
        <x:v>87</x:v>
      </x:c>
      <x:c r="C5" s="68">
        <x:v>24</x:v>
      </x:c>
      <x:c r="D5" s="68" t="n">
        <x:f>SUMIF('Detailed Gantt'!$B$6:$B$27,B5,'Detailed Gantt'!$M$6:$M$27)</x:f>
        <x:v>4.08</x:v>
      </x:c>
      <x:c r="E5" s="143" t="n">
        <x:f>IF(C5=0,0,SUMPRODUCT(('Detailed Gantt'!$B$6:$B$27=B5)*'Detailed Gantt'!$F$6:$F$27*'Detailed Gantt'!$L$6:$L$27)/C5)</x:f>
        <x:v>0.5625</x:v>
      </x:c>
      <x:c r="F5" s="138">
        <x:v>46209</x:v>
      </x:c>
      <x:c r="G5" s="138">
        <x:v>46229</x:v>
      </x:c>
      <x:c r="H5" s="141" t="s">
        <x:v>88</x:v>
      </x:c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141" t="s">
        <x:v>9</x:v>
      </x:c>
      <x:c r="B6" s="147" t="s">
        <x:v>90</x:v>
      </x:c>
      <x:c r="C6" s="68">
        <x:v>14</x:v>
      </x:c>
      <x:c r="D6" s="68" t="n">
        <x:f>SUMIF('Detailed Gantt'!$B$6:$B$27,B6,'Detailed Gantt'!$M$6:$M$27)</x:f>
        <x:v>0</x:v>
      </x:c>
      <x:c r="E6" s="143" t="n">
        <x:f>IF(C6=0,0,SUMPRODUCT(('Detailed Gantt'!$B$6:$B$27=B6)*'Detailed Gantt'!$F$6:$F$27*'Detailed Gantt'!$L$6:$L$27)/C6)</x:f>
        <x:v>0</x:v>
      </x:c>
      <x:c r="F6" s="138">
        <x:v>46230</x:v>
      </x:c>
      <x:c r="G6" s="138">
        <x:v>46236</x:v>
      </x:c>
      <x:c r="H6" s="141" t="s">
        <x:v>91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141" t="s">
        <x:v>12</x:v>
      </x:c>
      <x:c r="B7" s="148" t="s">
        <x:v>93</x:v>
      </x:c>
      <x:c r="C7" s="68">
        <x:v>14</x:v>
      </x:c>
      <x:c r="D7" s="68" t="n">
        <x:f>SUMIF('Detailed Gantt'!$B$6:$B$27,B7,'Detailed Gantt'!$M$6:$M$27)</x:f>
        <x:v>0</x:v>
      </x:c>
      <x:c r="E7" s="143" t="n">
        <x:f>IF(C7=0,0,SUMPRODUCT(('Detailed Gantt'!$B$6:$B$27=B7)*'Detailed Gantt'!$F$6:$F$27*'Detailed Gantt'!$L$6:$L$27)/C7)</x:f>
        <x:v>0</x:v>
      </x:c>
      <x:c r="F7" s="138">
        <x:v>46209</x:v>
      </x:c>
      <x:c r="G7" s="138">
        <x:v>46243</x:v>
      </x:c>
      <x:c r="H7" s="141" t="s">
        <x:v>94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141" t="s">
        <x:v>16</x:v>
      </x:c>
      <x:c r="B8" s="149" t="s">
        <x:v>96</x:v>
      </x:c>
      <x:c r="C8" s="68">
        <x:v>8</x:v>
      </x:c>
      <x:c r="D8" s="68" t="n">
        <x:f>SUMIF('Detailed Gantt'!$B$6:$B$27,B8,'Detailed Gantt'!$M$6:$M$27)</x:f>
        <x:v>0</x:v>
      </x:c>
      <x:c r="E8" s="143" t="n">
        <x:f>IF(C8=0,0,SUMPRODUCT(('Detailed Gantt'!$B$6:$B$27=B8)*'Detailed Gantt'!$F$6:$F$27*'Detailed Gantt'!$L$6:$L$27)/C8)</x:f>
        <x:v>0.26249999999999996</x:v>
      </x:c>
      <x:c r="F8" s="138">
        <x:v>46223</x:v>
      </x:c>
      <x:c r="G8" s="138">
        <x:v>46250</x:v>
      </x:c>
      <x:c r="H8" s="141" t="s">
        <x:v>97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141" t="s">
        <x:v>19</x:v>
      </x:c>
      <x:c r="B9" s="150" t="s">
        <x:v>99</x:v>
      </x:c>
      <x:c r="C9" s="68">
        <x:v>8</x:v>
      </x:c>
      <x:c r="D9" s="68" t="n">
        <x:f>SUMIF('Detailed Gantt'!$B$6:$B$27,B9,'Detailed Gantt'!$M$6:$M$27)</x:f>
        <x:v>0</x:v>
      </x:c>
      <x:c r="E9" s="143" t="n">
        <x:f>IF(C9=0,0,SUMPRODUCT(('Detailed Gantt'!$B$6:$B$27=B9)*'Detailed Gantt'!$F$6:$F$27*'Detailed Gantt'!$L$6:$L$27)/C9)</x:f>
        <x:v>0</x:v>
      </x:c>
      <x:c r="F9" s="138">
        <x:v>46244</x:v>
      </x:c>
      <x:c r="G9" s="138">
        <x:v>46257</x:v>
      </x:c>
      <x:c r="H9" s="141" t="s">
        <x:v>100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134" t="s">
        <x:v>255</x:v>
      </x:c>
      <x:c r="B10" s="134"/>
      <x:c r="C10" s="136" t="n">
        <x:f>SUM(C4:C9)</x:f>
        <x:v>76</x:v>
      </x:c>
      <x:c r="D10" s="136" t="n">
        <x:f>SUM(D4:D9)</x:f>
        <x:v>11.63</x:v>
      </x:c>
      <x:c r="E10" s="144" t="n">
        <x:f>SUMPRODUCT(C4:C9,E4:E9)/C10</x:f>
        <x:v>0.3105263157894737</x:v>
      </x:c>
      <x:c r="F10" s="135"/>
      <x:c r="G10" s="134"/>
      <x:c r="H10" s="134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54"/>
      <x:c r="B11" s="64"/>
      <x:c r="C11" s="56"/>
      <x:c r="D11" s="62"/>
      <x:c r="E11" s="55"/>
      <x:c r="F11" s="63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223"/>
      <x:c r="B12" s="224"/>
      <x:c r="C12" s="19"/>
      <x:c r="D12" s="20"/>
      <x:c r="E12" s="19"/>
      <x:c r="F12" s="2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H1"/>
    <x:mergeCell ref="A12:B12"/>
  </x:mergeCells>
  <x:pageMargins left="0.7" right="0.7" top="0.75" bottom="0.75" header="0.3" footer="0.3"/>
  <x:drawing xmlns:r="http://schemas.openxmlformats.org/officeDocument/2006/relationships" r:id="Rfefc42dbf71d426a"/>
</x:worksheet>
</file>

<file path=xl/worksheets/sheet6.xml><?xml version="1.0" encoding="utf-8"?>
<x:worksheet xmlns:x="http://schemas.openxmlformats.org/spreadsheetml/2006/main">
  <x:sheetFormatPr defaultRowHeight="14.25"/>
  <x:cols>
    <x:col min="1" max="1" width="11" customWidth="1"/>
    <x:col min="2" max="2" width="12" customWidth="1"/>
    <x:col min="3" max="4" width="13" customWidth="1"/>
    <x:col min="5" max="5" width="48" customWidth="1"/>
    <x:col min="6" max="7" width="36" customWidth="1"/>
  </x:cols>
  <x:sheetData>
    <x:row r="1" ht="27.950000762939453" customHeight="1">
      <x:c r="A1" s="204" t="s">
        <x:v>256</x:v>
      </x:c>
      <x:c r="B1" s="205"/>
      <x:c r="C1" s="205"/>
      <x:c r="D1" s="205"/>
      <x:c r="E1" s="205"/>
      <x:c r="F1" s="205"/>
      <x:c r="G1" s="205"/>
      <x:c r="H1" s="76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.75">
      <x:c r="A3" s="206" t="s">
        <x:v>257</x:v>
      </x:c>
      <x:c r="B3" s="207"/>
      <x:c r="C3" s="207"/>
      <x:c r="D3" s="207"/>
      <x:c r="E3" s="207"/>
      <x:c r="F3" s="207"/>
      <x:c r="G3" s="207"/>
      <x:c r="H3" s="2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135">
      <x:c r="A4" s="151" t="s">
        <x:v>258</x:v>
      </x:c>
      <x:c r="B4" s="3" t="s">
        <x:v>259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81">
      <x:c r="A5" s="151" t="s">
        <x:v>260</x:v>
      </x:c>
      <x:c r="B5" s="3" t="s">
        <x:v>261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08">
      <x:c r="A6" s="151" t="s">
        <x:v>262</x:v>
      </x:c>
      <x:c r="B6" s="3" t="s">
        <x:v>263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35">
      <x:c r="A7" s="151" t="s">
        <x:v>264</x:v>
      </x:c>
      <x:c r="B7" s="3" t="s">
        <x:v>265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67.5">
      <x:c r="A8" s="151" t="s">
        <x:v>266</x:v>
      </x:c>
      <x:c r="B8" s="3" t="s">
        <x:v>267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35">
      <x:c r="A9" s="151" t="s">
        <x:v>268</x:v>
      </x:c>
      <x:c r="B9" s="3" t="s">
        <x:v>269</x:v>
      </x:c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08">
      <x:c r="A10" s="151" t="s">
        <x:v>270</x:v>
      </x:c>
      <x:c r="B10" s="3" t="s">
        <x:v>271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75.5">
      <x:c r="A11" s="151" t="s">
        <x:v>272</x:v>
      </x:c>
      <x:c r="B11" s="3" t="s">
        <x:v>273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75.5">
      <x:c r="A12" s="153" t="s">
        <x:v>274</x:v>
      </x:c>
      <x:c r="B12" s="141" t="s">
        <x:v>275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62">
      <x:c r="A13" s="153" t="s">
        <x:v>276</x:v>
      </x:c>
      <x:c r="B13" s="141" t="s">
        <x:v>277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75.5">
      <x:c r="A14" s="152" t="s">
        <x:v>278</x:v>
      </x:c>
      <x:c r="B14" s="4" t="s">
        <x:v>279</x:v>
      </x:c>
      <x:c r="C14" s="4"/>
      <x:c r="D14" s="4"/>
      <x:c r="E14" s="4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44.099998474121094" customHeight="1">
      <x:c r="A15" s="192" t="s">
        <x:v>280</x:v>
      </x:c>
      <x:c r="B15" s="194" t="s">
        <x:v>281</x:v>
      </x:c>
      <x:c r="C15" s="7"/>
      <x:c r="D15" s="6"/>
      <x:c r="E15" s="8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44.099998474121094" customHeight="1">
      <x:c r="A16" s="193" t="s">
        <x:v>282</x:v>
      </x:c>
      <x:c r="B16" s="195" t="s">
        <x:v>283</x:v>
      </x:c>
      <x:c r="C16" s="7"/>
      <x:c r="D16" s="6"/>
      <x:c r="E16" s="8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214" t="s">
        <x:v>284</x:v>
      </x:c>
      <x:c r="B17" s="225"/>
      <x:c r="C17" s="226"/>
      <x:c r="D17" s="225"/>
      <x:c r="E17" s="227"/>
      <x:c r="F17" s="216"/>
      <x:c r="G17" s="216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88" t="s">
        <x:v>254</x:v>
      </x:c>
      <x:c r="B18" s="88" t="s">
        <x:v>285</x:v>
      </x:c>
      <x:c r="C18" s="118" t="s">
        <x:v>286</x:v>
      </x:c>
      <x:c r="D18" s="88" t="s">
        <x:v>117</x:v>
      </x:c>
      <x:c r="E18" s="88" t="s">
        <x:v>287</x:v>
      </x:c>
      <x:c r="F18" s="88" t="s">
        <x:v>288</x:v>
      </x:c>
      <x:c r="G18" s="88" t="s">
        <x:v>289</x:v>
      </x:c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27">
      <x:c r="A19" s="155" t="s">
        <x:v>290</x:v>
      </x:c>
      <x:c r="B19" s="3">
        <x:v>2</x:v>
      </x:c>
      <x:c r="C19" s="124">
        <x:v>46215</x:v>
      </x:c>
      <x:c r="D19" s="3" t="s">
        <x:v>291</x:v>
      </x:c>
      <x:c r="E19" s="3" t="s">
        <x:v>292</x:v>
      </x:c>
      <x:c r="F19" s="141" t="s">
        <x:v>293</x:v>
      </x:c>
      <x:c r="G19" s="141" t="s">
        <x:v>294</x:v>
      </x:c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27">
      <x:c r="A20" s="155" t="s">
        <x:v>295</x:v>
      </x:c>
      <x:c r="B20" s="3">
        <x:v>2</x:v>
      </x:c>
      <x:c r="C20" s="124">
        <x:v>46215</x:v>
      </x:c>
      <x:c r="D20" s="3" t="s">
        <x:v>296</x:v>
      </x:c>
      <x:c r="E20" s="3" t="s">
        <x:v>297</x:v>
      </x:c>
      <x:c r="F20" s="141" t="s">
        <x:v>298</x:v>
      </x:c>
      <x:c r="G20" s="141" t="s">
        <x:v>299</x:v>
      </x:c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27">
      <x:c r="A21" s="155" t="s">
        <x:v>300</x:v>
      </x:c>
      <x:c r="B21" s="3">
        <x:v>4</x:v>
      </x:c>
      <x:c r="C21" s="124">
        <x:v>46229</x:v>
      </x:c>
      <x:c r="D21" s="3" t="s">
        <x:v>296</x:v>
      </x:c>
      <x:c r="E21" s="3" t="s">
        <x:v>301</x:v>
      </x:c>
      <x:c r="F21" s="141" t="s">
        <x:v>302</x:v>
      </x:c>
      <x:c r="G21" s="141" t="s">
        <x:v>303</x:v>
      </x:c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27">
      <x:c r="A22" s="155" t="s">
        <x:v>304</x:v>
      </x:c>
      <x:c r="B22" s="3">
        <x:v>5</x:v>
      </x:c>
      <x:c r="C22" s="124">
        <x:v>46236</x:v>
      </x:c>
      <x:c r="D22" s="3" t="s">
        <x:v>296</x:v>
      </x:c>
      <x:c r="E22" s="3" t="s">
        <x:v>305</x:v>
      </x:c>
      <x:c r="F22" s="141" t="s">
        <x:v>306</x:v>
      </x:c>
      <x:c r="G22" s="141" t="s">
        <x:v>307</x:v>
      </x:c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27">
      <x:c r="A23" s="141" t="s">
        <x:v>308</x:v>
      </x:c>
      <x:c r="B23" s="141">
        <x:v>6</x:v>
      </x:c>
      <x:c r="C23" s="138">
        <x:v>46243</x:v>
      </x:c>
      <x:c r="D23" s="141" t="s">
        <x:v>296</x:v>
      </x:c>
      <x:c r="E23" s="141" t="s">
        <x:v>309</x:v>
      </x:c>
      <x:c r="F23" s="141" t="s">
        <x:v>310</x:v>
      </x:c>
      <x:c r="G23" s="141" t="s">
        <x:v>311</x:v>
      </x:c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27">
      <x:c r="A24" s="141" t="s">
        <x:v>312</x:v>
      </x:c>
      <x:c r="B24" s="141">
        <x:v>7</x:v>
      </x:c>
      <x:c r="C24" s="138">
        <x:v>46250</x:v>
      </x:c>
      <x:c r="D24" s="141" t="s">
        <x:v>296</x:v>
      </x:c>
      <x:c r="E24" s="141" t="s">
        <x:v>313</x:v>
      </x:c>
      <x:c r="F24" s="141" t="s">
        <x:v>314</x:v>
      </x:c>
      <x:c r="G24" s="141" t="s">
        <x:v>315</x:v>
      </x:c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27">
      <x:c r="A25" s="141" t="s">
        <x:v>316</x:v>
      </x:c>
      <x:c r="B25" s="141">
        <x:v>8</x:v>
      </x:c>
      <x:c r="C25" s="138">
        <x:v>46257</x:v>
      </x:c>
      <x:c r="D25" s="141" t="s">
        <x:v>296</x:v>
      </x:c>
      <x:c r="E25" s="141" t="s">
        <x:v>317</x:v>
      </x:c>
      <x:c r="F25" s="141" t="s">
        <x:v>318</x:v>
      </x:c>
      <x:c r="G25" s="141" t="s">
        <x:v>319</x:v>
      </x:c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2"/>
      <x:c r="B26" s="2"/>
      <x:c r="C26" s="2"/>
      <x:c r="D26" s="2"/>
      <x:c r="E26" s="2"/>
      <x:c r="F26" s="2"/>
      <x:c r="G26" s="2"/>
      <x:c r="H26" s="2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69"/>
      <x:c r="B27" s="70"/>
      <x:c r="C27" s="70"/>
      <x:c r="D27" s="70"/>
      <x:c r="E27" s="70"/>
      <x:c r="F27" s="70"/>
      <x:c r="G27" s="70"/>
      <x:c r="H27" s="7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214" t="s">
        <x:v>320</x:v>
      </x:c>
      <x:c r="B28" s="228"/>
      <x:c r="C28" s="228"/>
      <x:c r="D28" s="228"/>
      <x:c r="E28" s="228"/>
      <x:c r="F28" s="228"/>
      <x:c r="G28" s="228"/>
      <x:c r="H28" s="73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229" t="s">
        <x:v>321</x:v>
      </x:c>
      <x:c r="B29" s="229"/>
      <x:c r="C29" s="229"/>
      <x:c r="D29" s="229"/>
      <x:c r="E29" s="229"/>
      <x:c r="F29" s="229"/>
      <x:c r="G29" s="229"/>
      <x:c r="H29" s="73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229"/>
      <x:c r="B30" s="229"/>
      <x:c r="C30" s="229"/>
      <x:c r="D30" s="229"/>
      <x:c r="E30" s="229"/>
      <x:c r="F30" s="229"/>
      <x:c r="G30" s="229"/>
      <x:c r="H30" s="75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G1"/>
    <x:mergeCell ref="A3:G3"/>
    <x:mergeCell ref="A17:G17"/>
    <x:mergeCell ref="A28:G28"/>
    <x:mergeCell ref="A29:G30"/>
  </x:mergeCells>
  <x:dataValidations count="1">
    <x:dataValidation type="list" sqref="D19:D25">
      <x:formula1>"Planned,In Progress,Passed,Failed,Deferred"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25"/>
  <x:cols>
    <x:col min="1" max="1" width="42" customWidth="1"/>
    <x:col min="2" max="2" width="52" customWidth="1"/>
    <x:col min="3" max="3" width="18" customWidth="1"/>
    <x:col min="4" max="5" width="34" customWidth="1"/>
  </x:cols>
  <x:sheetData>
    <x:row r="1" ht="27.950000762939453" customHeight="1">
      <x:c r="A1" s="204" t="s">
        <x:v>322</x:v>
      </x:c>
      <x:c r="B1" s="205"/>
      <x:c r="C1" s="205"/>
      <x:c r="D1" s="205"/>
      <x:c r="E1" s="230"/>
      <x:c r="F1" s="65"/>
      <x:c r="G1" s="65"/>
      <x:c r="H1" s="6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88" t="s">
        <x:v>323</x:v>
      </x:c>
      <x:c r="B3" s="88" t="s">
        <x:v>324</x:v>
      </x:c>
      <x:c r="C3" s="88" t="s">
        <x:v>325</x:v>
      </x:c>
      <x:c r="D3" s="88" t="s">
        <x:v>326</x:v>
      </x:c>
      <x:c r="E3" s="88" t="s">
        <x:v>327</x:v>
      </x:c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3" t="s">
        <x:v>328</x:v>
      </x:c>
      <x:c r="B4" s="3" t="s">
        <x:v>329</x:v>
      </x:c>
      <x:c r="C4" s="3" t="s">
        <x:v>330</x:v>
      </x:c>
      <x:c r="D4" s="3" t="s">
        <x:v>331</x:v>
      </x:c>
      <x:c r="E4" s="141" t="s">
        <x:v>332</x:v>
      </x:c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7">
      <x:c r="A5" s="3" t="s">
        <x:v>333</x:v>
      </x:c>
      <x:c r="B5" s="3" t="s">
        <x:v>334</x:v>
      </x:c>
      <x:c r="C5" s="3" t="s">
        <x:v>330</x:v>
      </x:c>
      <x:c r="D5" s="3" t="s">
        <x:v>335</x:v>
      </x:c>
      <x:c r="E5" s="141" t="s">
        <x:v>336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7">
      <x:c r="A6" s="3" t="s">
        <x:v>337</x:v>
      </x:c>
      <x:c r="B6" s="3" t="s">
        <x:v>338</x:v>
      </x:c>
      <x:c r="C6" s="3" t="s">
        <x:v>339</x:v>
      </x:c>
      <x:c r="D6" s="3" t="s">
        <x:v>340</x:v>
      </x:c>
      <x:c r="E6" s="141" t="s">
        <x:v>341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7">
      <x:c r="A7" s="3" t="s">
        <x:v>342</x:v>
      </x:c>
      <x:c r="B7" s="3" t="s">
        <x:v>343</x:v>
      </x:c>
      <x:c r="C7" s="3" t="s">
        <x:v>344</x:v>
      </x:c>
      <x:c r="D7" s="3" t="s">
        <x:v>345</x:v>
      </x:c>
      <x:c r="E7" s="141" t="s">
        <x:v>346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40.5">
      <x:c r="A8" s="3" t="s">
        <x:v>347</x:v>
      </x:c>
      <x:c r="B8" s="3" t="s">
        <x:v>348</x:v>
      </x:c>
      <x:c r="C8" s="3" t="s">
        <x:v>344</x:v>
      </x:c>
      <x:c r="D8" s="3" t="s">
        <x:v>345</x:v>
      </x:c>
      <x:c r="E8" s="141" t="s">
        <x:v>349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7">
      <x:c r="A9" s="3" t="s">
        <x:v>350</x:v>
      </x:c>
      <x:c r="B9" s="3" t="s">
        <x:v>351</x:v>
      </x:c>
      <x:c r="C9" s="3" t="s">
        <x:v>352</x:v>
      </x:c>
      <x:c r="D9" s="3" t="s">
        <x:v>353</x:v>
      </x:c>
      <x:c r="E9" s="141" t="s">
        <x:v>354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7">
      <x:c r="A10" s="141" t="s">
        <x:v>355</x:v>
      </x:c>
      <x:c r="B10" s="141" t="s">
        <x:v>356</x:v>
      </x:c>
      <x:c r="C10" s="141" t="s">
        <x:v>352</x:v>
      </x:c>
      <x:c r="D10" s="141" t="s">
        <x:v>357</x:v>
      </x:c>
      <x:c r="E10" s="141" t="s">
        <x:v>358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27">
      <x:c r="A11" s="141" t="s">
        <x:v>359</x:v>
      </x:c>
      <x:c r="B11" s="141" t="s">
        <x:v>360</x:v>
      </x:c>
      <x:c r="C11" s="141" t="s">
        <x:v>352</x:v>
      </x:c>
      <x:c r="D11" s="141" t="s">
        <x:v>361</x:v>
      </x:c>
      <x:c r="E11" s="141" t="s">
        <x:v>358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27">
      <x:c r="A12" s="141" t="s">
        <x:v>362</x:v>
      </x:c>
      <x:c r="B12" s="141" t="s">
        <x:v>363</x:v>
      </x:c>
      <x:c r="C12" s="141" t="s">
        <x:v>344</x:v>
      </x:c>
      <x:c r="D12" s="141" t="s">
        <x:v>345</x:v>
      </x:c>
      <x:c r="E12" s="141" t="s">
        <x:v>364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41"/>
      <x:c r="B13" s="141"/>
      <x:c r="C13" s="141"/>
      <x:c r="D13" s="141"/>
      <x:c r="E13" s="14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41"/>
      <x:c r="B14" s="141"/>
      <x:c r="C14" s="141"/>
      <x:c r="D14" s="141"/>
      <x:c r="E14" s="14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41"/>
      <x:c r="B15" s="141"/>
      <x:c r="C15" s="141"/>
      <x:c r="D15" s="141"/>
      <x:c r="E15" s="14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41"/>
      <x:c r="B16" s="141"/>
      <x:c r="C16" s="141"/>
      <x:c r="D16" s="141"/>
      <x:c r="E16" s="14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41"/>
      <x:c r="B17" s="141"/>
      <x:c r="C17" s="141"/>
      <x:c r="D17" s="141"/>
      <x:c r="E17" s="14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41"/>
      <x:c r="B18" s="141"/>
      <x:c r="C18" s="141"/>
      <x:c r="D18" s="141"/>
      <x:c r="E18" s="14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41"/>
      <x:c r="B19" s="141"/>
      <x:c r="C19" s="141"/>
      <x:c r="D19" s="141"/>
      <x:c r="E19" s="14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41"/>
      <x:c r="B20" s="141"/>
      <x:c r="C20" s="141"/>
      <x:c r="D20" s="141"/>
      <x:c r="E20" s="14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E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4.25"/>
  <x:cols>
    <x:col min="1" max="1" width="10" customWidth="1"/>
    <x:col min="2" max="2" width="28" customWidth="1"/>
    <x:col min="3" max="3" width="34" customWidth="1"/>
    <x:col min="4" max="4" width="42" customWidth="1"/>
    <x:col min="5" max="20" width="13" customWidth="1"/>
  </x:cols>
  <x:sheetData>
    <x:row r="1" ht="27.950000762939453" customHeight="1">
      <x:c r="A1" s="231" t="s">
        <x:v>365</x:v>
      </x:c>
      <x:c r="B1" s="232"/>
      <x:c r="C1" s="232"/>
      <x:c r="D1" s="232"/>
      <x:c r="E1" s="232"/>
      <x:c r="F1" s="232"/>
      <x:c r="G1" s="232"/>
      <x:c r="H1" s="232"/>
      <x:c r="I1" s="232"/>
      <x:c r="J1" s="232"/>
      <x:c r="K1" s="232"/>
      <x:c r="L1" s="232"/>
      <x:c r="M1" s="232"/>
      <x:c r="N1" s="232"/>
      <x:c r="O1" s="232"/>
      <x:c r="P1" s="232"/>
      <x:c r="Q1" s="232"/>
      <x:c r="R1" s="232"/>
      <x:c r="S1" s="232"/>
      <x:c r="T1" s="232"/>
    </x:row>
    <x:row r="2">
      <x:c r="A2" s="233" t="s">
        <x:v>366</x:v>
      </x:c>
      <x:c r="B2" s="233"/>
      <x:c r="C2" s="233"/>
      <x:c r="D2" s="233"/>
      <x:c r="E2" s="233"/>
      <x:c r="F2" s="233"/>
      <x:c r="G2" s="233"/>
      <x:c r="H2" s="233"/>
      <x:c r="I2" s="233"/>
      <x:c r="J2" s="233"/>
      <x:c r="K2" s="233"/>
      <x:c r="L2" s="233"/>
      <x:c r="M2" s="233"/>
      <x:c r="N2" s="233"/>
      <x:c r="O2" s="233"/>
      <x:c r="P2" s="233"/>
      <x:c r="Q2" s="233"/>
      <x:c r="R2" s="233"/>
      <x:c r="S2" s="233"/>
      <x:c r="T2" s="233"/>
    </x:row>
    <x:row r="4">
      <x:c r="A4" t="s">
        <x:v>103</x:v>
      </x:c>
      <x:c r="C4">
        <x:v>46202</x:v>
      </x:c>
      <x:c r="D4" t="s">
        <x:v>104</x:v>
      </x:c>
      <x:c r="G4">
        <x:v>576</x:v>
      </x:c>
      <x:c r="H4" t="s">
        <x:v>367</x:v>
      </x:c>
      <x:c r="L4" t="s">
        <x:v>368</x:v>
      </x:c>
    </x:row>
    <x:row r="6">
      <x:c r="A6" t="s">
        <x:v>369</x:v>
      </x:c>
      <x:c r="C6" t="s">
        <x:v>370</x:v>
      </x:c>
    </x:row>
    <x:row r="8">
      <x:c r="A8" t="s">
        <x:v>109</x:v>
      </x:c>
      <x:c r="B8" t="s">
        <x:v>66</x:v>
      </x:c>
      <x:c r="C8" t="s">
        <x:v>110</x:v>
      </x:c>
      <x:c r="D8" t="s">
        <x:v>111</x:v>
      </x:c>
      <x:c r="E8" t="s">
        <x:v>112</x:v>
      </x:c>
      <x:c r="F8" t="s">
        <x:v>67</x:v>
      </x:c>
      <x:c r="G8" t="s">
        <x:v>113</x:v>
      </x:c>
      <x:c r="H8" t="s">
        <x:v>114</x:v>
      </x:c>
      <x:c r="I8" t="s">
        <x:v>371</x:v>
      </x:c>
      <x:c r="J8" t="s">
        <x:v>115</x:v>
      </x:c>
      <x:c r="K8" t="s">
        <x:v>116</x:v>
      </x:c>
      <x:c r="L8" t="s">
        <x:v>117</x:v>
      </x:c>
      <x:c r="M8" t="s">
        <x:v>69</x:v>
      </x:c>
      <x:c r="N8" t="s">
        <x:v>68</x:v>
      </x:c>
      <x:c r="O8" t="s">
        <x:v>119</x:v>
      </x:c>
      <x:c r="P8" t="s">
        <x:v>118</x:v>
      </x:c>
      <x:c r="Q8" t="s">
        <x:v>122</x:v>
      </x:c>
    </x:row>
    <x:row r="9">
      <x:c r="A9" t="s">
        <x:v>123</x:v>
      </x:c>
      <x:c r="B9" t="s">
        <x:v>372</x:v>
      </x:c>
      <x:c r="C9" t="s">
        <x:v>373</x:v>
      </x:c>
      <x:c r="D9" t="s">
        <x:v>374</x:v>
      </x:c>
      <x:c r="E9" t="s">
        <x:v>126</x:v>
      </x:c>
      <x:c r="F9">
        <x:v>4</x:v>
      </x:c>
      <x:c r="G9">
        <x:v>1</x:v>
      </x:c>
      <x:c r="H9">
        <x:v>1</x:v>
      </x:c>
      <x:c r="I9">
        <x:v>1</x:v>
      </x:c>
      <x:c r="J9">
        <x:v>46202</x:v>
      </x:c>
      <x:c r="K9">
        <x:v>46208</x:v>
      </x:c>
      <x:c r="L9" t="s">
        <x:v>375</x:v>
      </x:c>
      <x:c r="M9">
        <x:v>1</x:v>
      </x:c>
      <x:c r="N9">
        <x:v>1.5</x:v>
      </x:c>
      <x:c r="O9">
        <x:v>-2.5</x:v>
      </x:c>
      <x:c r="P9">
        <x:v>0</x:v>
      </x:c>
      <x:c r="Q9" t="s">
        <x:v>376</x:v>
      </x:c>
    </x:row>
    <x:row r="10">
      <x:c r="A10" t="s">
        <x:v>129</x:v>
      </x:c>
      <x:c r="B10" t="s">
        <x:v>372</x:v>
      </x:c>
      <x:c r="C10" t="s">
        <x:v>377</x:v>
      </x:c>
      <x:c r="D10" t="s">
        <x:v>378</x:v>
      </x:c>
      <x:c r="E10" t="s">
        <x:v>123</x:v>
      </x:c>
      <x:c r="F10">
        <x:v>4</x:v>
      </x:c>
      <x:c r="G10">
        <x:v>1</x:v>
      </x:c>
      <x:c r="H10">
        <x:v>1</x:v>
      </x:c>
      <x:c r="I10">
        <x:v>1</x:v>
      </x:c>
      <x:c r="J10">
        <x:v>46202</x:v>
      </x:c>
      <x:c r="K10">
        <x:v>46208</x:v>
      </x:c>
      <x:c r="L10" t="s">
        <x:v>375</x:v>
      </x:c>
      <x:c r="M10">
        <x:v>1</x:v>
      </x:c>
      <x:c r="P10">
        <x:v>0</x:v>
      </x:c>
      <x:c r="Q10" t="s">
        <x:v>379</x:v>
      </x:c>
    </x:row>
    <x:row r="11">
      <x:c r="A11" t="s">
        <x:v>134</x:v>
      </x:c>
      <x:c r="B11" t="s">
        <x:v>372</x:v>
      </x:c>
      <x:c r="C11" t="s">
        <x:v>380</x:v>
      </x:c>
      <x:c r="D11" t="s">
        <x:v>381</x:v>
      </x:c>
      <x:c r="E11" t="s">
        <x:v>123</x:v>
      </x:c>
      <x:c r="F11">
        <x:v>4</x:v>
      </x:c>
      <x:c r="G11">
        <x:v>1</x:v>
      </x:c>
      <x:c r="H11">
        <x:v>2</x:v>
      </x:c>
      <x:c r="I11">
        <x:v>2</x:v>
      </x:c>
      <x:c r="J11">
        <x:v>46202</x:v>
      </x:c>
      <x:c r="K11">
        <x:v>46215</x:v>
      </x:c>
      <x:c r="L11" t="s">
        <x:v>382</x:v>
      </x:c>
      <x:c r="M11">
        <x:v>0.5</x:v>
      </x:c>
      <x:c r="P11">
        <x:v>2</x:v>
      </x:c>
      <x:c r="Q11" t="s">
        <x:v>383</x:v>
      </x:c>
    </x:row>
    <x:row r="12">
      <x:c r="A12" t="s">
        <x:v>384</x:v>
      </x:c>
      <x:c r="B12" t="s">
        <x:v>372</x:v>
      </x:c>
      <x:c r="C12" t="s">
        <x:v>385</x:v>
      </x:c>
      <x:c r="D12" t="s">
        <x:v>386</x:v>
      </x:c>
      <x:c r="E12" t="s">
        <x:v>129</x:v>
      </x:c>
      <x:c r="F12">
        <x:v>4</x:v>
      </x:c>
      <x:c r="G12">
        <x:v>2</x:v>
      </x:c>
      <x:c r="H12">
        <x:v>2</x:v>
      </x:c>
      <x:c r="I12">
        <x:v>1</x:v>
      </x:c>
      <x:c r="J12">
        <x:v>46209</x:v>
      </x:c>
      <x:c r="K12">
        <x:v>46215</x:v>
      </x:c>
      <x:c r="L12" t="s">
        <x:v>246</x:v>
      </x:c>
      <x:c r="M12">
        <x:v>0</x:v>
      </x:c>
      <x:c r="P12">
        <x:v>4</x:v>
      </x:c>
    </x:row>
    <x:row r="13">
      <x:c r="A13" t="s">
        <x:v>387</x:v>
      </x:c>
      <x:c r="B13" t="s">
        <x:v>372</x:v>
      </x:c>
      <x:c r="C13" t="s">
        <x:v>388</x:v>
      </x:c>
      <x:c r="D13" t="s">
        <x:v>389</x:v>
      </x:c>
      <x:c r="E13" t="s">
        <x:v>384</x:v>
      </x:c>
      <x:c r="F13">
        <x:v>12</x:v>
      </x:c>
      <x:c r="G13">
        <x:v>1</x:v>
      </x:c>
      <x:c r="H13">
        <x:v>52</x:v>
      </x:c>
      <x:c r="I13">
        <x:v>52</x:v>
      </x:c>
      <x:c r="J13">
        <x:v>46202</x:v>
      </x:c>
      <x:c r="K13">
        <x:v>46565</x:v>
      </x:c>
      <x:c r="L13" t="s">
        <x:v>382</x:v>
      </x:c>
      <x:c r="M13">
        <x:v>0.02</x:v>
      </x:c>
      <x:c r="P13">
        <x:v>11.76</x:v>
      </x:c>
      <x:c r="Q13" t="s">
        <x:v>390</x:v>
      </x:c>
    </x:row>
    <x:row r="14">
      <x:c r="A14" t="s">
        <x:v>391</x:v>
      </x:c>
      <x:c r="B14" t="s">
        <x:v>372</x:v>
      </x:c>
      <x:c r="C14" t="s">
        <x:v>392</x:v>
      </x:c>
      <x:c r="D14" t="s">
        <x:v>393</x:v>
      </x:c>
      <x:c r="E14" t="s">
        <x:v>384</x:v>
      </x:c>
      <x:c r="F14">
        <x:v>6</x:v>
      </x:c>
      <x:c r="G14">
        <x:v>4</x:v>
      </x:c>
      <x:c r="H14">
        <x:v>52</x:v>
      </x:c>
      <x:c r="I14">
        <x:v>49</x:v>
      </x:c>
      <x:c r="J14">
        <x:v>46223</x:v>
      </x:c>
      <x:c r="K14">
        <x:v>46565</x:v>
      </x:c>
      <x:c r="L14" t="s">
        <x:v>246</x:v>
      </x:c>
      <x:c r="M14">
        <x:v>0</x:v>
      </x:c>
      <x:c r="P14">
        <x:v>6</x:v>
      </x:c>
    </x:row>
    <x:row r="15">
      <x:c r="A15" t="s">
        <x:v>394</x:v>
      </x:c>
      <x:c r="B15" t="s">
        <x:v>372</x:v>
      </x:c>
      <x:c r="C15" t="s">
        <x:v>395</x:v>
      </x:c>
      <x:c r="D15" t="s">
        <x:v>396</x:v>
      </x:c>
      <x:c r="E15" t="s">
        <x:v>384</x:v>
      </x:c>
      <x:c r="F15">
        <x:v>6</x:v>
      </x:c>
      <x:c r="G15">
        <x:v>9</x:v>
      </x:c>
      <x:c r="H15">
        <x:v>52</x:v>
      </x:c>
      <x:c r="I15">
        <x:v>44</x:v>
      </x:c>
      <x:c r="J15">
        <x:v>46258</x:v>
      </x:c>
      <x:c r="K15">
        <x:v>46565</x:v>
      </x:c>
      <x:c r="L15" t="s">
        <x:v>246</x:v>
      </x:c>
      <x:c r="M15">
        <x:v>0</x:v>
      </x:c>
      <x:c r="P15">
        <x:v>6</x:v>
      </x:c>
    </x:row>
    <x:row r="16">
      <x:c r="A16" t="s">
        <x:v>139</x:v>
      </x:c>
      <x:c r="B16" t="s">
        <x:v>397</x:v>
      </x:c>
      <x:c r="C16" t="s">
        <x:v>398</x:v>
      </x:c>
      <x:c r="D16" t="s">
        <x:v>399</x:v>
      </x:c>
      <x:c r="E16" t="s">
        <x:v>134</x:v>
      </x:c>
      <x:c r="F16">
        <x:v>8</x:v>
      </x:c>
      <x:c r="G16">
        <x:v>3</x:v>
      </x:c>
      <x:c r="H16">
        <x:v>3</x:v>
      </x:c>
      <x:c r="I16">
        <x:v>1</x:v>
      </x:c>
      <x:c r="J16">
        <x:v>46216</x:v>
      </x:c>
      <x:c r="K16">
        <x:v>46222</x:v>
      </x:c>
      <x:c r="L16" t="s">
        <x:v>246</x:v>
      </x:c>
      <x:c r="M16">
        <x:v>0</x:v>
      </x:c>
      <x:c r="P16">
        <x:v>8</x:v>
      </x:c>
    </x:row>
    <x:row r="17">
      <x:c r="A17" t="s">
        <x:v>142</x:v>
      </x:c>
      <x:c r="B17" t="s">
        <x:v>397</x:v>
      </x:c>
      <x:c r="C17" t="s">
        <x:v>400</x:v>
      </x:c>
      <x:c r="D17" t="s">
        <x:v>401</x:v>
      </x:c>
      <x:c r="E17" t="s">
        <x:v>139</x:v>
      </x:c>
      <x:c r="F17">
        <x:v>6</x:v>
      </x:c>
      <x:c r="G17">
        <x:v>3</x:v>
      </x:c>
      <x:c r="H17">
        <x:v>4</x:v>
      </x:c>
      <x:c r="I17">
        <x:v>2</x:v>
      </x:c>
      <x:c r="J17">
        <x:v>46216</x:v>
      </x:c>
      <x:c r="K17">
        <x:v>46229</x:v>
      </x:c>
      <x:c r="L17" t="s">
        <x:v>246</x:v>
      </x:c>
      <x:c r="M17">
        <x:v>0</x:v>
      </x:c>
      <x:c r="P17">
        <x:v>6</x:v>
      </x:c>
    </x:row>
    <x:row r="18">
      <x:c r="A18" t="s">
        <x:v>145</x:v>
      </x:c>
      <x:c r="B18" t="s">
        <x:v>397</x:v>
      </x:c>
      <x:c r="C18" t="s">
        <x:v>402</x:v>
      </x:c>
      <x:c r="D18" t="s">
        <x:v>403</x:v>
      </x:c>
      <x:c r="E18" t="s">
        <x:v>142</x:v>
      </x:c>
      <x:c r="F18">
        <x:v>14</x:v>
      </x:c>
      <x:c r="G18">
        <x:v>4</x:v>
      </x:c>
      <x:c r="H18">
        <x:v>5</x:v>
      </x:c>
      <x:c r="I18">
        <x:v>2</x:v>
      </x:c>
      <x:c r="J18">
        <x:v>46223</x:v>
      </x:c>
      <x:c r="K18">
        <x:v>46236</x:v>
      </x:c>
      <x:c r="L18" t="s">
        <x:v>246</x:v>
      </x:c>
      <x:c r="M18">
        <x:v>0</x:v>
      </x:c>
      <x:c r="P18">
        <x:v>14</x:v>
      </x:c>
    </x:row>
    <x:row r="19">
      <x:c r="A19" t="s">
        <x:v>148</x:v>
      </x:c>
      <x:c r="B19" t="s">
        <x:v>397</x:v>
      </x:c>
      <x:c r="C19" t="s">
        <x:v>404</x:v>
      </x:c>
      <x:c r="D19" t="s">
        <x:v>405</x:v>
      </x:c>
      <x:c r="E19" t="s">
        <x:v>145</x:v>
      </x:c>
      <x:c r="F19">
        <x:v>18</x:v>
      </x:c>
      <x:c r="G19">
        <x:v>5</x:v>
      </x:c>
      <x:c r="H19">
        <x:v>7</x:v>
      </x:c>
      <x:c r="I19">
        <x:v>3</x:v>
      </x:c>
      <x:c r="J19">
        <x:v>46230</x:v>
      </x:c>
      <x:c r="K19">
        <x:v>46250</x:v>
      </x:c>
      <x:c r="L19" t="s">
        <x:v>246</x:v>
      </x:c>
      <x:c r="M19">
        <x:v>0</x:v>
      </x:c>
      <x:c r="P19">
        <x:v>18</x:v>
      </x:c>
    </x:row>
    <x:row r="20">
      <x:c r="A20" t="s">
        <x:v>153</x:v>
      </x:c>
      <x:c r="B20" t="s">
        <x:v>397</x:v>
      </x:c>
      <x:c r="C20" t="s">
        <x:v>406</x:v>
      </x:c>
      <x:c r="D20" t="s">
        <x:v>407</x:v>
      </x:c>
      <x:c r="E20" t="s">
        <x:v>148</x:v>
      </x:c>
      <x:c r="F20">
        <x:v>6</x:v>
      </x:c>
      <x:c r="G20">
        <x:v>7</x:v>
      </x:c>
      <x:c r="H20">
        <x:v>8</x:v>
      </x:c>
      <x:c r="I20">
        <x:v>2</x:v>
      </x:c>
      <x:c r="J20">
        <x:v>46244</x:v>
      </x:c>
      <x:c r="K20">
        <x:v>46257</x:v>
      </x:c>
      <x:c r="L20" t="s">
        <x:v>246</x:v>
      </x:c>
      <x:c r="M20">
        <x:v>0</x:v>
      </x:c>
      <x:c r="P20">
        <x:v>6</x:v>
      </x:c>
    </x:row>
    <x:row r="21">
      <x:c r="A21" t="s">
        <x:v>408</x:v>
      </x:c>
      <x:c r="B21" t="s">
        <x:v>397</x:v>
      </x:c>
      <x:c r="C21" t="s">
        <x:v>409</x:v>
      </x:c>
      <x:c r="D21" t="s">
        <x:v>410</x:v>
      </x:c>
      <x:c r="E21" t="s">
        <x:v>153</x:v>
      </x:c>
      <x:c r="F21">
        <x:v>6</x:v>
      </x:c>
      <x:c r="G21">
        <x:v>8</x:v>
      </x:c>
      <x:c r="H21">
        <x:v>8</x:v>
      </x:c>
      <x:c r="I21">
        <x:v>1</x:v>
      </x:c>
      <x:c r="J21">
        <x:v>46251</x:v>
      </x:c>
      <x:c r="K21">
        <x:v>46257</x:v>
      </x:c>
      <x:c r="L21" t="s">
        <x:v>246</x:v>
      </x:c>
      <x:c r="M21">
        <x:v>0</x:v>
      </x:c>
      <x:c r="P21">
        <x:v>6</x:v>
      </x:c>
    </x:row>
    <x:row r="22">
      <x:c r="A22" t="s">
        <x:v>411</x:v>
      </x:c>
      <x:c r="B22" t="s">
        <x:v>397</x:v>
      </x:c>
      <x:c r="C22" t="s">
        <x:v>412</x:v>
      </x:c>
      <x:c r="D22" t="s">
        <x:v>413</x:v>
      </x:c>
      <x:c r="E22" t="s">
        <x:v>408</x:v>
      </x:c>
      <x:c r="F22">
        <x:v>6</x:v>
      </x:c>
      <x:c r="G22">
        <x:v>9</x:v>
      </x:c>
      <x:c r="H22">
        <x:v>9</x:v>
      </x:c>
      <x:c r="I22">
        <x:v>1</x:v>
      </x:c>
      <x:c r="J22">
        <x:v>46258</x:v>
      </x:c>
      <x:c r="K22">
        <x:v>46264</x:v>
      </x:c>
      <x:c r="L22" t="s">
        <x:v>246</x:v>
      </x:c>
      <x:c r="M22">
        <x:v>0</x:v>
      </x:c>
      <x:c r="P22">
        <x:v>6</x:v>
      </x:c>
    </x:row>
    <x:row r="23">
      <x:c r="A23" t="s">
        <x:v>159</x:v>
      </x:c>
      <x:c r="B23" t="s">
        <x:v>414</x:v>
      </x:c>
      <x:c r="C23" t="s">
        <x:v>415</x:v>
      </x:c>
      <x:c r="D23" t="s">
        <x:v>416</x:v>
      </x:c>
      <x:c r="E23" t="s">
        <x:v>411</x:v>
      </x:c>
      <x:c r="F23">
        <x:v>10</x:v>
      </x:c>
      <x:c r="G23">
        <x:v>10</x:v>
      </x:c>
      <x:c r="H23">
        <x:v>10</x:v>
      </x:c>
      <x:c r="I23">
        <x:v>1</x:v>
      </x:c>
      <x:c r="J23">
        <x:v>46265</x:v>
      </x:c>
      <x:c r="K23">
        <x:v>46271</x:v>
      </x:c>
      <x:c r="L23" t="s">
        <x:v>382</x:v>
      </x:c>
      <x:c r="M23">
        <x:v>0.2</x:v>
      </x:c>
      <x:c r="P23">
        <x:v>8</x:v>
      </x:c>
      <x:c r="Q23" t="s">
        <x:v>417</x:v>
      </x:c>
    </x:row>
    <x:row r="24">
      <x:c r="A24" t="s">
        <x:v>164</x:v>
      </x:c>
      <x:c r="B24" t="s">
        <x:v>414</x:v>
      </x:c>
      <x:c r="C24" t="s">
        <x:v>418</x:v>
      </x:c>
      <x:c r="D24" t="s">
        <x:v>419</x:v>
      </x:c>
      <x:c r="E24" t="s">
        <x:v>159</x:v>
      </x:c>
      <x:c r="F24">
        <x:v>12</x:v>
      </x:c>
      <x:c r="G24">
        <x:v>10</x:v>
      </x:c>
      <x:c r="H24">
        <x:v>11</x:v>
      </x:c>
      <x:c r="I24">
        <x:v>2</x:v>
      </x:c>
      <x:c r="J24">
        <x:v>46265</x:v>
      </x:c>
      <x:c r="K24">
        <x:v>46278</x:v>
      </x:c>
      <x:c r="L24" t="s">
        <x:v>382</x:v>
      </x:c>
      <x:c r="M24">
        <x:v>0.15</x:v>
      </x:c>
      <x:c r="N24">
        <x:v>0.62</x:v>
      </x:c>
      <x:c r="O24">
        <x:v>-11.38</x:v>
      </x:c>
      <x:c r="P24">
        <x:v>10.199999999999999</x:v>
      </x:c>
      <x:c r="Q24" t="s">
        <x:v>420</x:v>
      </x:c>
    </x:row>
    <x:row r="25">
      <x:c r="A25" t="s">
        <x:v>169</x:v>
      </x:c>
      <x:c r="B25" t="s">
        <x:v>414</x:v>
      </x:c>
      <x:c r="C25" t="s">
        <x:v>421</x:v>
      </x:c>
      <x:c r="D25" t="s">
        <x:v>422</x:v>
      </x:c>
      <x:c r="E25" t="s">
        <x:v>164</x:v>
      </x:c>
      <x:c r="F25">
        <x:v>14</x:v>
      </x:c>
      <x:c r="G25">
        <x:v>11</x:v>
      </x:c>
      <x:c r="H25">
        <x:v>12</x:v>
      </x:c>
      <x:c r="I25">
        <x:v>2</x:v>
      </x:c>
      <x:c r="J25">
        <x:v>46272</x:v>
      </x:c>
      <x:c r="K25">
        <x:v>46285</x:v>
      </x:c>
      <x:c r="L25" t="s">
        <x:v>375</x:v>
      </x:c>
      <x:c r="M25">
        <x:v>1</x:v>
      </x:c>
      <x:c r="P25">
        <x:v>0</x:v>
      </x:c>
      <x:c r="Q25" t="s">
        <x:v>423</x:v>
      </x:c>
    </x:row>
    <x:row r="26">
      <x:c r="A26" t="s">
        <x:v>174</x:v>
      </x:c>
      <x:c r="B26" t="s">
        <x:v>414</x:v>
      </x:c>
      <x:c r="C26" t="s">
        <x:v>424</x:v>
      </x:c>
      <x:c r="D26" t="s">
        <x:v>425</x:v>
      </x:c>
      <x:c r="E26" t="s">
        <x:v>169</x:v>
      </x:c>
      <x:c r="F26">
        <x:v>10</x:v>
      </x:c>
      <x:c r="G26">
        <x:v>12</x:v>
      </x:c>
      <x:c r="H26">
        <x:v>13</x:v>
      </x:c>
      <x:c r="I26">
        <x:v>2</x:v>
      </x:c>
      <x:c r="J26">
        <x:v>46279</x:v>
      </x:c>
      <x:c r="K26">
        <x:v>46292</x:v>
      </x:c>
      <x:c r="L26" t="s">
        <x:v>246</x:v>
      </x:c>
      <x:c r="M26">
        <x:v>0</x:v>
      </x:c>
      <x:c r="P26">
        <x:v>10</x:v>
      </x:c>
    </x:row>
    <x:row r="27">
      <x:c r="A27" t="s">
        <x:v>426</x:v>
      </x:c>
      <x:c r="B27" t="s">
        <x:v>414</x:v>
      </x:c>
      <x:c r="C27" t="s">
        <x:v>427</x:v>
      </x:c>
      <x:c r="D27" t="s">
        <x:v>428</x:v>
      </x:c>
      <x:c r="E27" t="s">
        <x:v>169</x:v>
      </x:c>
      <x:c r="F27">
        <x:v>10</x:v>
      </x:c>
      <x:c r="G27">
        <x:v>13</x:v>
      </x:c>
      <x:c r="H27">
        <x:v>14</x:v>
      </x:c>
      <x:c r="I27">
        <x:v>2</x:v>
      </x:c>
      <x:c r="J27">
        <x:v>46286</x:v>
      </x:c>
      <x:c r="K27">
        <x:v>46299</x:v>
      </x:c>
      <x:c r="L27" t="s">
        <x:v>246</x:v>
      </x:c>
      <x:c r="M27">
        <x:v>0</x:v>
      </x:c>
      <x:c r="P27">
        <x:v>10</x:v>
      </x:c>
    </x:row>
    <x:row r="28">
      <x:c r="A28" t="s">
        <x:v>429</x:v>
      </x:c>
      <x:c r="B28" t="s">
        <x:v>414</x:v>
      </x:c>
      <x:c r="C28" t="s">
        <x:v>430</x:v>
      </x:c>
      <x:c r="D28" t="s">
        <x:v>431</x:v>
      </x:c>
      <x:c r="E28" t="s">
        <x:v>174</x:v>
      </x:c>
      <x:c r="F28">
        <x:v>8</x:v>
      </x:c>
      <x:c r="G28">
        <x:v>14</x:v>
      </x:c>
      <x:c r="H28">
        <x:v>15</x:v>
      </x:c>
      <x:c r="I28">
        <x:v>2</x:v>
      </x:c>
      <x:c r="J28">
        <x:v>46293</x:v>
      </x:c>
      <x:c r="K28">
        <x:v>46306</x:v>
      </x:c>
      <x:c r="L28" t="s">
        <x:v>246</x:v>
      </x:c>
      <x:c r="M28">
        <x:v>0</x:v>
      </x:c>
      <x:c r="P28">
        <x:v>8</x:v>
      </x:c>
    </x:row>
    <x:row r="29">
      <x:c r="A29" t="s">
        <x:v>432</x:v>
      </x:c>
      <x:c r="B29" t="s">
        <x:v>414</x:v>
      </x:c>
      <x:c r="C29" t="s">
        <x:v>433</x:v>
      </x:c>
      <x:c r="D29" t="s">
        <x:v>434</x:v>
      </x:c>
      <x:c r="E29" t="s">
        <x:v>426</x:v>
      </x:c>
      <x:c r="F29">
        <x:v>4</x:v>
      </x:c>
      <x:c r="G29">
        <x:v>15</x:v>
      </x:c>
      <x:c r="H29">
        <x:v>15</x:v>
      </x:c>
      <x:c r="I29">
        <x:v>1</x:v>
      </x:c>
      <x:c r="J29">
        <x:v>46300</x:v>
      </x:c>
      <x:c r="K29">
        <x:v>46306</x:v>
      </x:c>
      <x:c r="L29" t="s">
        <x:v>246</x:v>
      </x:c>
      <x:c r="M29">
        <x:v>0</x:v>
      </x:c>
      <x:c r="P29">
        <x:v>4</x:v>
      </x:c>
    </x:row>
    <x:row r="30">
      <x:c r="A30" t="s">
        <x:v>435</x:v>
      </x:c>
      <x:c r="B30" t="s">
        <x:v>414</x:v>
      </x:c>
      <x:c r="C30" t="s">
        <x:v>436</x:v>
      </x:c>
      <x:c r="D30" t="s">
        <x:v>437</x:v>
      </x:c>
      <x:c r="E30" t="s">
        <x:v>429</x:v>
      </x:c>
      <x:c r="F30">
        <x:v>4</x:v>
      </x:c>
      <x:c r="G30">
        <x:v>16</x:v>
      </x:c>
      <x:c r="H30">
        <x:v>16</x:v>
      </x:c>
      <x:c r="I30">
        <x:v>1</x:v>
      </x:c>
      <x:c r="J30">
        <x:v>46307</x:v>
      </x:c>
      <x:c r="K30">
        <x:v>46313</x:v>
      </x:c>
      <x:c r="L30" t="s">
        <x:v>246</x:v>
      </x:c>
      <x:c r="M30">
        <x:v>0</x:v>
      </x:c>
      <x:c r="P30">
        <x:v>4</x:v>
      </x:c>
    </x:row>
    <x:row r="31">
      <x:c r="A31" t="s">
        <x:v>180</x:v>
      </x:c>
      <x:c r="B31" t="s">
        <x:v>438</x:v>
      </x:c>
      <x:c r="C31" t="s">
        <x:v>439</x:v>
      </x:c>
      <x:c r="D31" t="s">
        <x:v>440</x:v>
      </x:c>
      <x:c r="E31" t="s">
        <x:v>435</x:v>
      </x:c>
      <x:c r="F31">
        <x:v>18</x:v>
      </x:c>
      <x:c r="G31">
        <x:v>17</x:v>
      </x:c>
      <x:c r="H31">
        <x:v>18</x:v>
      </x:c>
      <x:c r="I31">
        <x:v>2</x:v>
      </x:c>
      <x:c r="J31">
        <x:v>46314</x:v>
      </x:c>
      <x:c r="K31">
        <x:v>46327</x:v>
      </x:c>
      <x:c r="L31" t="s">
        <x:v>246</x:v>
      </x:c>
      <x:c r="M31">
        <x:v>0</x:v>
      </x:c>
      <x:c r="P31">
        <x:v>18</x:v>
      </x:c>
    </x:row>
    <x:row r="32">
      <x:c r="A32" t="s">
        <x:v>185</x:v>
      </x:c>
      <x:c r="B32" t="s">
        <x:v>438</x:v>
      </x:c>
      <x:c r="C32" t="s">
        <x:v>441</x:v>
      </x:c>
      <x:c r="D32" t="s">
        <x:v>442</x:v>
      </x:c>
      <x:c r="E32" t="s">
        <x:v>180</x:v>
      </x:c>
      <x:c r="F32">
        <x:v>12</x:v>
      </x:c>
      <x:c r="G32">
        <x:v>18</x:v>
      </x:c>
      <x:c r="H32">
        <x:v>19</x:v>
      </x:c>
      <x:c r="I32">
        <x:v>2</x:v>
      </x:c>
      <x:c r="J32">
        <x:v>46321</x:v>
      </x:c>
      <x:c r="K32">
        <x:v>46334</x:v>
      </x:c>
      <x:c r="L32" t="s">
        <x:v>246</x:v>
      </x:c>
      <x:c r="M32">
        <x:v>0</x:v>
      </x:c>
      <x:c r="P32">
        <x:v>12</x:v>
      </x:c>
    </x:row>
    <x:row r="33">
      <x:c r="A33" t="s">
        <x:v>191</x:v>
      </x:c>
      <x:c r="B33" t="s">
        <x:v>438</x:v>
      </x:c>
      <x:c r="C33" t="s">
        <x:v>443</x:v>
      </x:c>
      <x:c r="D33" t="s">
        <x:v>444</x:v>
      </x:c>
      <x:c r="E33" t="s">
        <x:v>185</x:v>
      </x:c>
      <x:c r="F33">
        <x:v>12</x:v>
      </x:c>
      <x:c r="G33">
        <x:v>19</x:v>
      </x:c>
      <x:c r="H33">
        <x:v>20</x:v>
      </x:c>
      <x:c r="I33">
        <x:v>2</x:v>
      </x:c>
      <x:c r="J33">
        <x:v>46328</x:v>
      </x:c>
      <x:c r="K33">
        <x:v>46341</x:v>
      </x:c>
      <x:c r="L33" t="s">
        <x:v>246</x:v>
      </x:c>
      <x:c r="M33">
        <x:v>0</x:v>
      </x:c>
      <x:c r="P33">
        <x:v>12</x:v>
      </x:c>
    </x:row>
    <x:row r="34">
      <x:c r="A34" t="s">
        <x:v>196</x:v>
      </x:c>
      <x:c r="B34" t="s">
        <x:v>438</x:v>
      </x:c>
      <x:c r="C34" t="s">
        <x:v>445</x:v>
      </x:c>
      <x:c r="D34" t="s">
        <x:v>446</x:v>
      </x:c>
      <x:c r="E34" t="s">
        <x:v>191</x:v>
      </x:c>
      <x:c r="F34">
        <x:v>8</x:v>
      </x:c>
      <x:c r="G34">
        <x:v>20</x:v>
      </x:c>
      <x:c r="H34">
        <x:v>20</x:v>
      </x:c>
      <x:c r="I34">
        <x:v>1</x:v>
      </x:c>
      <x:c r="J34">
        <x:v>46335</x:v>
      </x:c>
      <x:c r="K34">
        <x:v>46341</x:v>
      </x:c>
      <x:c r="L34" t="s">
        <x:v>246</x:v>
      </x:c>
      <x:c r="M34">
        <x:v>0</x:v>
      </x:c>
      <x:c r="P34">
        <x:v>8</x:v>
      </x:c>
    </x:row>
    <x:row r="35">
      <x:c r="A35" t="s">
        <x:v>447</x:v>
      </x:c>
      <x:c r="B35" t="s">
        <x:v>438</x:v>
      </x:c>
      <x:c r="C35" t="s">
        <x:v>448</x:v>
      </x:c>
      <x:c r="D35" t="s">
        <x:v>449</x:v>
      </x:c>
      <x:c r="E35" t="s">
        <x:v>196</x:v>
      </x:c>
      <x:c r="F35">
        <x:v>10</x:v>
      </x:c>
      <x:c r="G35">
        <x:v>21</x:v>
      </x:c>
      <x:c r="H35">
        <x:v>21</x:v>
      </x:c>
      <x:c r="I35">
        <x:v>1</x:v>
      </x:c>
      <x:c r="J35">
        <x:v>46342</x:v>
      </x:c>
      <x:c r="K35">
        <x:v>46348</x:v>
      </x:c>
      <x:c r="L35" t="s">
        <x:v>246</x:v>
      </x:c>
      <x:c r="M35">
        <x:v>0</x:v>
      </x:c>
      <x:c r="P35">
        <x:v>10</x:v>
      </x:c>
    </x:row>
    <x:row r="36">
      <x:c r="A36" t="s">
        <x:v>450</x:v>
      </x:c>
      <x:c r="B36" t="s">
        <x:v>438</x:v>
      </x:c>
      <x:c r="C36" t="s">
        <x:v>451</x:v>
      </x:c>
      <x:c r="D36" t="s">
        <x:v>452</x:v>
      </x:c>
      <x:c r="E36" t="s">
        <x:v>447</x:v>
      </x:c>
      <x:c r="F36">
        <x:v>10</x:v>
      </x:c>
      <x:c r="G36">
        <x:v>21</x:v>
      </x:c>
      <x:c r="H36">
        <x:v>22</x:v>
      </x:c>
      <x:c r="I36">
        <x:v>2</x:v>
      </x:c>
      <x:c r="J36">
        <x:v>46342</x:v>
      </x:c>
      <x:c r="K36">
        <x:v>46355</x:v>
      </x:c>
      <x:c r="L36" t="s">
        <x:v>246</x:v>
      </x:c>
      <x:c r="M36">
        <x:v>0</x:v>
      </x:c>
      <x:c r="P36">
        <x:v>10</x:v>
      </x:c>
    </x:row>
    <x:row r="37">
      <x:c r="A37" t="s">
        <x:v>453</x:v>
      </x:c>
      <x:c r="B37" t="s">
        <x:v>438</x:v>
      </x:c>
      <x:c r="C37" t="s">
        <x:v>454</x:v>
      </x:c>
      <x:c r="D37" t="s">
        <x:v>455</x:v>
      </x:c>
      <x:c r="E37" t="s">
        <x:v>450</x:v>
      </x:c>
      <x:c r="F37">
        <x:v>10</x:v>
      </x:c>
      <x:c r="G37">
        <x:v>22</x:v>
      </x:c>
      <x:c r="H37">
        <x:v>23</x:v>
      </x:c>
      <x:c r="I37">
        <x:v>2</x:v>
      </x:c>
      <x:c r="J37">
        <x:v>46349</x:v>
      </x:c>
      <x:c r="K37">
        <x:v>46362</x:v>
      </x:c>
      <x:c r="L37" t="s">
        <x:v>246</x:v>
      </x:c>
      <x:c r="M37">
        <x:v>0</x:v>
      </x:c>
      <x:c r="P37">
        <x:v>10</x:v>
      </x:c>
    </x:row>
    <x:row r="38">
      <x:c r="A38" t="s">
        <x:v>456</x:v>
      </x:c>
      <x:c r="B38" t="s">
        <x:v>438</x:v>
      </x:c>
      <x:c r="C38" t="s">
        <x:v>457</x:v>
      </x:c>
      <x:c r="D38" t="s">
        <x:v>458</x:v>
      </x:c>
      <x:c r="E38" t="s">
        <x:v>453</x:v>
      </x:c>
      <x:c r="F38">
        <x:v>8</x:v>
      </x:c>
      <x:c r="G38">
        <x:v>24</x:v>
      </x:c>
      <x:c r="H38">
        <x:v>24</x:v>
      </x:c>
      <x:c r="I38">
        <x:v>1</x:v>
      </x:c>
      <x:c r="J38">
        <x:v>46363</x:v>
      </x:c>
      <x:c r="K38">
        <x:v>46369</x:v>
      </x:c>
      <x:c r="L38" t="s">
        <x:v>246</x:v>
      </x:c>
      <x:c r="M38">
        <x:v>0</x:v>
      </x:c>
      <x:c r="P38">
        <x:v>8</x:v>
      </x:c>
    </x:row>
    <x:row r="39">
      <x:c r="A39" t="s">
        <x:v>202</x:v>
      </x:c>
      <x:c r="B39" t="s">
        <x:v>459</x:v>
      </x:c>
      <x:c r="C39" t="s">
        <x:v>460</x:v>
      </x:c>
      <x:c r="D39" t="s">
        <x:v>461</x:v>
      </x:c>
      <x:c r="E39" t="s">
        <x:v>456</x:v>
      </x:c>
      <x:c r="F39">
        <x:v>8</x:v>
      </x:c>
      <x:c r="G39">
        <x:v>25</x:v>
      </x:c>
      <x:c r="H39">
        <x:v>25</x:v>
      </x:c>
      <x:c r="I39">
        <x:v>1</x:v>
      </x:c>
      <x:c r="J39">
        <x:v>46370</x:v>
      </x:c>
      <x:c r="K39">
        <x:v>46376</x:v>
      </x:c>
      <x:c r="L39" t="s">
        <x:v>246</x:v>
      </x:c>
      <x:c r="M39">
        <x:v>0</x:v>
      </x:c>
      <x:c r="P39">
        <x:v>8</x:v>
      </x:c>
    </x:row>
    <x:row r="40">
      <x:c r="A40" t="s">
        <x:v>207</x:v>
      </x:c>
      <x:c r="B40" t="s">
        <x:v>459</x:v>
      </x:c>
      <x:c r="C40" t="s">
        <x:v>462</x:v>
      </x:c>
      <x:c r="D40" t="s">
        <x:v>463</x:v>
      </x:c>
      <x:c r="E40" t="s">
        <x:v>202</x:v>
      </x:c>
      <x:c r="F40">
        <x:v>10</x:v>
      </x:c>
      <x:c r="G40">
        <x:v>25</x:v>
      </x:c>
      <x:c r="H40">
        <x:v>26</x:v>
      </x:c>
      <x:c r="I40">
        <x:v>2</x:v>
      </x:c>
      <x:c r="J40">
        <x:v>46370</x:v>
      </x:c>
      <x:c r="K40">
        <x:v>46383</x:v>
      </x:c>
      <x:c r="L40" t="s">
        <x:v>246</x:v>
      </x:c>
      <x:c r="M40">
        <x:v>0</x:v>
      </x:c>
      <x:c r="P40">
        <x:v>10</x:v>
      </x:c>
    </x:row>
    <x:row r="41">
      <x:c r="A41" t="s">
        <x:v>212</x:v>
      </x:c>
      <x:c r="B41" t="s">
        <x:v>459</x:v>
      </x:c>
      <x:c r="C41" t="s">
        <x:v>464</x:v>
      </x:c>
      <x:c r="D41" t="s">
        <x:v>465</x:v>
      </x:c>
      <x:c r="E41" t="s">
        <x:v>207</x:v>
      </x:c>
      <x:c r="F41">
        <x:v>18</x:v>
      </x:c>
      <x:c r="G41">
        <x:v>26</x:v>
      </x:c>
      <x:c r="H41">
        <x:v>28</x:v>
      </x:c>
      <x:c r="I41">
        <x:v>3</x:v>
      </x:c>
      <x:c r="J41">
        <x:v>46377</x:v>
      </x:c>
      <x:c r="K41">
        <x:v>46397</x:v>
      </x:c>
      <x:c r="L41" t="s">
        <x:v>246</x:v>
      </x:c>
      <x:c r="M41">
        <x:v>0</x:v>
      </x:c>
      <x:c r="P41">
        <x:v>18</x:v>
      </x:c>
    </x:row>
    <x:row r="42">
      <x:c r="A42" t="s">
        <x:v>466</x:v>
      </x:c>
      <x:c r="B42" t="s">
        <x:v>459</x:v>
      </x:c>
      <x:c r="C42" t="s">
        <x:v>467</x:v>
      </x:c>
      <x:c r="D42" t="s">
        <x:v>468</x:v>
      </x:c>
      <x:c r="E42" t="s">
        <x:v>212</x:v>
      </x:c>
      <x:c r="F42">
        <x:v>14</x:v>
      </x:c>
      <x:c r="G42">
        <x:v>28</x:v>
      </x:c>
      <x:c r="H42">
        <x:v>29</x:v>
      </x:c>
      <x:c r="I42">
        <x:v>2</x:v>
      </x:c>
      <x:c r="J42">
        <x:v>46391</x:v>
      </x:c>
      <x:c r="K42">
        <x:v>46404</x:v>
      </x:c>
      <x:c r="L42" t="s">
        <x:v>246</x:v>
      </x:c>
      <x:c r="M42">
        <x:v>0</x:v>
      </x:c>
      <x:c r="P42">
        <x:v>14</x:v>
      </x:c>
    </x:row>
    <x:row r="43">
      <x:c r="A43" t="s">
        <x:v>469</x:v>
      </x:c>
      <x:c r="B43" t="s">
        <x:v>459</x:v>
      </x:c>
      <x:c r="C43" t="s">
        <x:v>470</x:v>
      </x:c>
      <x:c r="D43" t="s">
        <x:v>471</x:v>
      </x:c>
      <x:c r="E43" t="s">
        <x:v>212</x:v>
      </x:c>
      <x:c r="F43">
        <x:v>14</x:v>
      </x:c>
      <x:c r="G43">
        <x:v>29</x:v>
      </x:c>
      <x:c r="H43">
        <x:v>30</x:v>
      </x:c>
      <x:c r="I43">
        <x:v>2</x:v>
      </x:c>
      <x:c r="J43">
        <x:v>46398</x:v>
      </x:c>
      <x:c r="K43">
        <x:v>46411</x:v>
      </x:c>
      <x:c r="L43" t="s">
        <x:v>246</x:v>
      </x:c>
      <x:c r="M43">
        <x:v>0</x:v>
      </x:c>
      <x:c r="P43">
        <x:v>14</x:v>
      </x:c>
    </x:row>
    <x:row r="44">
      <x:c r="A44" t="s">
        <x:v>472</x:v>
      </x:c>
      <x:c r="B44" t="s">
        <x:v>459</x:v>
      </x:c>
      <x:c r="C44" t="s">
        <x:v>473</x:v>
      </x:c>
      <x:c r="D44" t="s">
        <x:v>474</x:v>
      </x:c>
      <x:c r="E44" t="s">
        <x:v>466</x:v>
      </x:c>
      <x:c r="F44">
        <x:v>20</x:v>
      </x:c>
      <x:c r="G44">
        <x:v>30</x:v>
      </x:c>
      <x:c r="H44">
        <x:v>31</x:v>
      </x:c>
      <x:c r="I44">
        <x:v>2</x:v>
      </x:c>
      <x:c r="J44">
        <x:v>46405</x:v>
      </x:c>
      <x:c r="K44">
        <x:v>46418</x:v>
      </x:c>
      <x:c r="L44" t="s">
        <x:v>246</x:v>
      </x:c>
      <x:c r="M44">
        <x:v>0</x:v>
      </x:c>
      <x:c r="P44">
        <x:v>20</x:v>
      </x:c>
    </x:row>
    <x:row r="45">
      <x:c r="A45" t="s">
        <x:v>475</x:v>
      </x:c>
      <x:c r="B45" t="s">
        <x:v>459</x:v>
      </x:c>
      <x:c r="C45" t="s">
        <x:v>476</x:v>
      </x:c>
      <x:c r="D45" t="s">
        <x:v>477</x:v>
      </x:c>
      <x:c r="E45" t="s">
        <x:v>472</x:v>
      </x:c>
      <x:c r="F45">
        <x:v>12</x:v>
      </x:c>
      <x:c r="G45">
        <x:v>32</x:v>
      </x:c>
      <x:c r="H45">
        <x:v>32</x:v>
      </x:c>
      <x:c r="I45">
        <x:v>1</x:v>
      </x:c>
      <x:c r="J45">
        <x:v>46419</x:v>
      </x:c>
      <x:c r="K45">
        <x:v>46425</x:v>
      </x:c>
      <x:c r="L45" t="s">
        <x:v>246</x:v>
      </x:c>
      <x:c r="M45">
        <x:v>0</x:v>
      </x:c>
      <x:c r="P45">
        <x:v>12</x:v>
      </x:c>
    </x:row>
    <x:row r="46">
      <x:c r="A46" t="s">
        <x:v>218</x:v>
      </x:c>
      <x:c r="B46" t="s">
        <x:v>478</x:v>
      </x:c>
      <x:c r="C46" t="s">
        <x:v>479</x:v>
      </x:c>
      <x:c r="D46" t="s">
        <x:v>480</x:v>
      </x:c>
      <x:c r="E46" t="s">
        <x:v>475</x:v>
      </x:c>
      <x:c r="F46">
        <x:v>10</x:v>
      </x:c>
      <x:c r="G46">
        <x:v>33</x:v>
      </x:c>
      <x:c r="H46">
        <x:v>33</x:v>
      </x:c>
      <x:c r="I46">
        <x:v>1</x:v>
      </x:c>
      <x:c r="J46">
        <x:v>46426</x:v>
      </x:c>
      <x:c r="K46">
        <x:v>46432</x:v>
      </x:c>
      <x:c r="L46" t="s">
        <x:v>246</x:v>
      </x:c>
      <x:c r="M46">
        <x:v>0</x:v>
      </x:c>
      <x:c r="P46">
        <x:v>10</x:v>
      </x:c>
    </x:row>
    <x:row r="47">
      <x:c r="A47" t="s">
        <x:v>224</x:v>
      </x:c>
      <x:c r="B47" t="s">
        <x:v>478</x:v>
      </x:c>
      <x:c r="C47" t="s">
        <x:v>481</x:v>
      </x:c>
      <x:c r="D47" t="s">
        <x:v>482</x:v>
      </x:c>
      <x:c r="E47" t="s">
        <x:v>218</x:v>
      </x:c>
      <x:c r="F47">
        <x:v>16</x:v>
      </x:c>
      <x:c r="G47">
        <x:v>34</x:v>
      </x:c>
      <x:c r="H47">
        <x:v>35</x:v>
      </x:c>
      <x:c r="I47">
        <x:v>2</x:v>
      </x:c>
      <x:c r="J47">
        <x:v>46433</x:v>
      </x:c>
      <x:c r="K47">
        <x:v>46446</x:v>
      </x:c>
      <x:c r="L47" t="s">
        <x:v>246</x:v>
      </x:c>
      <x:c r="M47">
        <x:v>0</x:v>
      </x:c>
      <x:c r="P47">
        <x:v>16</x:v>
      </x:c>
    </x:row>
    <x:row r="48">
      <x:c r="A48" t="s">
        <x:v>229</x:v>
      </x:c>
      <x:c r="B48" t="s">
        <x:v>478</x:v>
      </x:c>
      <x:c r="C48" t="s">
        <x:v>483</x:v>
      </x:c>
      <x:c r="D48" t="s">
        <x:v>484</x:v>
      </x:c>
      <x:c r="E48" t="s">
        <x:v>224</x:v>
      </x:c>
      <x:c r="F48">
        <x:v>12</x:v>
      </x:c>
      <x:c r="G48">
        <x:v>35</x:v>
      </x:c>
      <x:c r="H48">
        <x:v>36</x:v>
      </x:c>
      <x:c r="I48">
        <x:v>2</x:v>
      </x:c>
      <x:c r="J48">
        <x:v>46440</x:v>
      </x:c>
      <x:c r="K48">
        <x:v>46453</x:v>
      </x:c>
      <x:c r="L48" t="s">
        <x:v>246</x:v>
      </x:c>
      <x:c r="M48">
        <x:v>0</x:v>
      </x:c>
      <x:c r="P48">
        <x:v>12</x:v>
      </x:c>
    </x:row>
    <x:row r="49">
      <x:c r="A49" t="s">
        <x:v>485</x:v>
      </x:c>
      <x:c r="B49" t="s">
        <x:v>478</x:v>
      </x:c>
      <x:c r="C49" t="s">
        <x:v>486</x:v>
      </x:c>
      <x:c r="D49" t="s">
        <x:v>487</x:v>
      </x:c>
      <x:c r="E49" t="s">
        <x:v>229</x:v>
      </x:c>
      <x:c r="F49">
        <x:v>10</x:v>
      </x:c>
      <x:c r="G49">
        <x:v>36</x:v>
      </x:c>
      <x:c r="H49">
        <x:v>36</x:v>
      </x:c>
      <x:c r="I49">
        <x:v>1</x:v>
      </x:c>
      <x:c r="J49">
        <x:v>46447</x:v>
      </x:c>
      <x:c r="K49">
        <x:v>46453</x:v>
      </x:c>
      <x:c r="L49" t="s">
        <x:v>246</x:v>
      </x:c>
      <x:c r="M49">
        <x:v>0</x:v>
      </x:c>
      <x:c r="P49">
        <x:v>10</x:v>
      </x:c>
    </x:row>
    <x:row r="50">
      <x:c r="A50" t="s">
        <x:v>488</x:v>
      </x:c>
      <x:c r="B50" t="s">
        <x:v>478</x:v>
      </x:c>
      <x:c r="C50" t="s">
        <x:v>489</x:v>
      </x:c>
      <x:c r="D50" t="s">
        <x:v>490</x:v>
      </x:c>
      <x:c r="E50" t="s">
        <x:v>485</x:v>
      </x:c>
      <x:c r="F50">
        <x:v>16</x:v>
      </x:c>
      <x:c r="G50">
        <x:v>37</x:v>
      </x:c>
      <x:c r="H50">
        <x:v>38</x:v>
      </x:c>
      <x:c r="I50">
        <x:v>2</x:v>
      </x:c>
      <x:c r="J50">
        <x:v>46454</x:v>
      </x:c>
      <x:c r="K50">
        <x:v>46467</x:v>
      </x:c>
      <x:c r="L50" t="s">
        <x:v>246</x:v>
      </x:c>
      <x:c r="M50">
        <x:v>0</x:v>
      </x:c>
      <x:c r="P50">
        <x:v>16</x:v>
      </x:c>
    </x:row>
    <x:row r="51">
      <x:c r="A51" t="s">
        <x:v>491</x:v>
      </x:c>
      <x:c r="B51" t="s">
        <x:v>478</x:v>
      </x:c>
      <x:c r="C51" t="s">
        <x:v>492</x:v>
      </x:c>
      <x:c r="D51" t="s">
        <x:v>493</x:v>
      </x:c>
      <x:c r="E51" t="s">
        <x:v>488</x:v>
      </x:c>
      <x:c r="F51">
        <x:v>14</x:v>
      </x:c>
      <x:c r="G51">
        <x:v>38</x:v>
      </x:c>
      <x:c r="H51">
        <x:v>39</x:v>
      </x:c>
      <x:c r="I51">
        <x:v>2</x:v>
      </x:c>
      <x:c r="J51">
        <x:v>46461</x:v>
      </x:c>
      <x:c r="K51">
        <x:v>46474</x:v>
      </x:c>
      <x:c r="L51" t="s">
        <x:v>246</x:v>
      </x:c>
      <x:c r="M51">
        <x:v>0</x:v>
      </x:c>
      <x:c r="P51">
        <x:v>14</x:v>
      </x:c>
    </x:row>
    <x:row r="52">
      <x:c r="A52" t="s">
        <x:v>494</x:v>
      </x:c>
      <x:c r="B52" t="s">
        <x:v>478</x:v>
      </x:c>
      <x:c r="C52" t="s">
        <x:v>495</x:v>
      </x:c>
      <x:c r="D52" t="s">
        <x:v>496</x:v>
      </x:c>
      <x:c r="E52" t="s">
        <x:v>491</x:v>
      </x:c>
      <x:c r="F52">
        <x:v>16</x:v>
      </x:c>
      <x:c r="G52">
        <x:v>40</x:v>
      </x:c>
      <x:c r="H52">
        <x:v>41</x:v>
      </x:c>
      <x:c r="I52">
        <x:v>2</x:v>
      </x:c>
      <x:c r="J52">
        <x:v>46475</x:v>
      </x:c>
      <x:c r="K52">
        <x:v>46488</x:v>
      </x:c>
      <x:c r="L52" t="s">
        <x:v>246</x:v>
      </x:c>
      <x:c r="M52">
        <x:v>0</x:v>
      </x:c>
      <x:c r="P52">
        <x:v>16</x:v>
      </x:c>
    </x:row>
    <x:row r="53">
      <x:c r="A53" t="s">
        <x:v>497</x:v>
      </x:c>
      <x:c r="B53" t="s">
        <x:v>478</x:v>
      </x:c>
      <x:c r="C53" t="s">
        <x:v>498</x:v>
      </x:c>
      <x:c r="D53" t="s">
        <x:v>499</x:v>
      </x:c>
      <x:c r="E53" t="s">
        <x:v>494</x:v>
      </x:c>
      <x:c r="F53">
        <x:v>10</x:v>
      </x:c>
      <x:c r="G53">
        <x:v>42</x:v>
      </x:c>
      <x:c r="H53">
        <x:v>42</x:v>
      </x:c>
      <x:c r="I53">
        <x:v>1</x:v>
      </x:c>
      <x:c r="J53">
        <x:v>46489</x:v>
      </x:c>
      <x:c r="K53">
        <x:v>46495</x:v>
      </x:c>
      <x:c r="L53" t="s">
        <x:v>246</x:v>
      </x:c>
      <x:c r="M53">
        <x:v>0</x:v>
      </x:c>
      <x:c r="P53">
        <x:v>10</x:v>
      </x:c>
    </x:row>
    <x:row r="54">
      <x:c r="A54" t="s">
        <x:v>500</x:v>
      </x:c>
      <x:c r="B54" t="s">
        <x:v>501</x:v>
      </x:c>
      <x:c r="C54" t="s">
        <x:v>502</x:v>
      </x:c>
      <x:c r="D54" t="s">
        <x:v>503</x:v>
      </x:c>
      <x:c r="E54" t="s">
        <x:v>497</x:v>
      </x:c>
      <x:c r="F54">
        <x:v>6</x:v>
      </x:c>
      <x:c r="G54">
        <x:v>43</x:v>
      </x:c>
      <x:c r="H54">
        <x:v>43</x:v>
      </x:c>
      <x:c r="I54">
        <x:v>1</x:v>
      </x:c>
      <x:c r="J54">
        <x:v>46496</x:v>
      </x:c>
      <x:c r="K54">
        <x:v>46502</x:v>
      </x:c>
      <x:c r="L54" t="s">
        <x:v>246</x:v>
      </x:c>
      <x:c r="M54">
        <x:v>0</x:v>
      </x:c>
      <x:c r="P54">
        <x:v>6</x:v>
      </x:c>
    </x:row>
    <x:row r="55">
      <x:c r="A55" t="s">
        <x:v>504</x:v>
      </x:c>
      <x:c r="B55" t="s">
        <x:v>501</x:v>
      </x:c>
      <x:c r="C55" t="s">
        <x:v>505</x:v>
      </x:c>
      <x:c r="D55" t="s">
        <x:v>506</x:v>
      </x:c>
      <x:c r="E55" t="s">
        <x:v>500</x:v>
      </x:c>
      <x:c r="F55">
        <x:v>10</x:v>
      </x:c>
      <x:c r="G55">
        <x:v>43</x:v>
      </x:c>
      <x:c r="H55">
        <x:v>44</x:v>
      </x:c>
      <x:c r="I55">
        <x:v>2</x:v>
      </x:c>
      <x:c r="J55">
        <x:v>46496</x:v>
      </x:c>
      <x:c r="K55">
        <x:v>46509</x:v>
      </x:c>
      <x:c r="L55" t="s">
        <x:v>246</x:v>
      </x:c>
      <x:c r="M55">
        <x:v>0</x:v>
      </x:c>
      <x:c r="P55">
        <x:v>10</x:v>
      </x:c>
    </x:row>
    <x:row r="56">
      <x:c r="A56" t="s">
        <x:v>507</x:v>
      </x:c>
      <x:c r="B56" t="s">
        <x:v>501</x:v>
      </x:c>
      <x:c r="C56" t="s">
        <x:v>508</x:v>
      </x:c>
      <x:c r="D56" t="s">
        <x:v>509</x:v>
      </x:c>
      <x:c r="E56" t="s">
        <x:v>504</x:v>
      </x:c>
      <x:c r="F56">
        <x:v>14</x:v>
      </x:c>
      <x:c r="G56">
        <x:v>44</x:v>
      </x:c>
      <x:c r="H56">
        <x:v>45</x:v>
      </x:c>
      <x:c r="I56">
        <x:v>2</x:v>
      </x:c>
      <x:c r="J56">
        <x:v>46503</x:v>
      </x:c>
      <x:c r="K56">
        <x:v>46516</x:v>
      </x:c>
      <x:c r="L56" t="s">
        <x:v>246</x:v>
      </x:c>
      <x:c r="M56">
        <x:v>0</x:v>
      </x:c>
      <x:c r="P56">
        <x:v>14</x:v>
      </x:c>
    </x:row>
    <x:row r="57">
      <x:c r="A57" t="s">
        <x:v>510</x:v>
      </x:c>
      <x:c r="B57" t="s">
        <x:v>501</x:v>
      </x:c>
      <x:c r="C57" t="s">
        <x:v>511</x:v>
      </x:c>
      <x:c r="D57" t="s">
        <x:v>512</x:v>
      </x:c>
      <x:c r="E57" t="s">
        <x:v>507</x:v>
      </x:c>
      <x:c r="F57">
        <x:v>8</x:v>
      </x:c>
      <x:c r="G57">
        <x:v>45</x:v>
      </x:c>
      <x:c r="H57">
        <x:v>46</x:v>
      </x:c>
      <x:c r="I57">
        <x:v>2</x:v>
      </x:c>
      <x:c r="J57">
        <x:v>46510</x:v>
      </x:c>
      <x:c r="K57">
        <x:v>46523</x:v>
      </x:c>
      <x:c r="L57" t="s">
        <x:v>246</x:v>
      </x:c>
      <x:c r="M57">
        <x:v>0</x:v>
      </x:c>
      <x:c r="P57">
        <x:v>8</x:v>
      </x:c>
    </x:row>
    <x:row r="58">
      <x:c r="A58" t="s">
        <x:v>513</x:v>
      </x:c>
      <x:c r="B58" t="s">
        <x:v>501</x:v>
      </x:c>
      <x:c r="C58" t="s">
        <x:v>514</x:v>
      </x:c>
      <x:c r="D58" t="s">
        <x:v>515</x:v>
      </x:c>
      <x:c r="E58" t="s">
        <x:v>510</x:v>
      </x:c>
      <x:c r="F58">
        <x:v>10</x:v>
      </x:c>
      <x:c r="G58">
        <x:v>46</x:v>
      </x:c>
      <x:c r="H58">
        <x:v>47</x:v>
      </x:c>
      <x:c r="I58">
        <x:v>2</x:v>
      </x:c>
      <x:c r="J58">
        <x:v>46517</x:v>
      </x:c>
      <x:c r="K58">
        <x:v>46530</x:v>
      </x:c>
      <x:c r="L58" t="s">
        <x:v>246</x:v>
      </x:c>
      <x:c r="M58">
        <x:v>0</x:v>
      </x:c>
      <x:c r="P58">
        <x:v>10</x:v>
      </x:c>
    </x:row>
    <x:row r="59">
      <x:c r="A59" t="s">
        <x:v>516</x:v>
      </x:c>
      <x:c r="B59" t="s">
        <x:v>501</x:v>
      </x:c>
      <x:c r="C59" t="s">
        <x:v>517</x:v>
      </x:c>
      <x:c r="D59" t="s">
        <x:v>518</x:v>
      </x:c>
      <x:c r="E59" t="s">
        <x:v>513</x:v>
      </x:c>
      <x:c r="F59">
        <x:v>4</x:v>
      </x:c>
      <x:c r="G59">
        <x:v>47</x:v>
      </x:c>
      <x:c r="H59">
        <x:v>47</x:v>
      </x:c>
      <x:c r="I59">
        <x:v>1</x:v>
      </x:c>
      <x:c r="J59">
        <x:v>46524</x:v>
      </x:c>
      <x:c r="K59">
        <x:v>46530</x:v>
      </x:c>
      <x:c r="L59" t="s">
        <x:v>246</x:v>
      </x:c>
      <x:c r="M59">
        <x:v>0</x:v>
      </x:c>
      <x:c r="P59">
        <x:v>4</x:v>
      </x:c>
    </x:row>
    <x:row r="60">
      <x:c r="A60" t="s">
        <x:v>519</x:v>
      </x:c>
      <x:c r="B60" t="s">
        <x:v>520</x:v>
      </x:c>
      <x:c r="C60" t="s">
        <x:v>521</x:v>
      </x:c>
      <x:c r="D60" t="s">
        <x:v>522</x:v>
      </x:c>
      <x:c r="E60" t="s">
        <x:v>516</x:v>
      </x:c>
      <x:c r="F60">
        <x:v>12</x:v>
      </x:c>
      <x:c r="G60">
        <x:v>48</x:v>
      </x:c>
      <x:c r="H60">
        <x:v>48</x:v>
      </x:c>
      <x:c r="I60">
        <x:v>1</x:v>
      </x:c>
      <x:c r="J60">
        <x:v>46531</x:v>
      </x:c>
      <x:c r="K60">
        <x:v>46537</x:v>
      </x:c>
      <x:c r="L60" t="s">
        <x:v>246</x:v>
      </x:c>
      <x:c r="M60">
        <x:v>0</x:v>
      </x:c>
      <x:c r="P60">
        <x:v>12</x:v>
      </x:c>
    </x:row>
    <x:row r="61">
      <x:c r="A61" t="s">
        <x:v>523</x:v>
      </x:c>
      <x:c r="B61" t="s">
        <x:v>520</x:v>
      </x:c>
      <x:c r="C61" t="s">
        <x:v>524</x:v>
      </x:c>
      <x:c r="D61" t="s">
        <x:v>525</x:v>
      </x:c>
      <x:c r="E61" t="s">
        <x:v>519</x:v>
      </x:c>
      <x:c r="F61">
        <x:v>10</x:v>
      </x:c>
      <x:c r="G61">
        <x:v>48</x:v>
      </x:c>
      <x:c r="H61">
        <x:v>49</x:v>
      </x:c>
      <x:c r="I61">
        <x:v>2</x:v>
      </x:c>
      <x:c r="J61">
        <x:v>46531</x:v>
      </x:c>
      <x:c r="K61">
        <x:v>46544</x:v>
      </x:c>
      <x:c r="L61" t="s">
        <x:v>246</x:v>
      </x:c>
      <x:c r="M61">
        <x:v>0</x:v>
      </x:c>
      <x:c r="P61">
        <x:v>10</x:v>
      </x:c>
    </x:row>
    <x:row r="62">
      <x:c r="A62" t="s">
        <x:v>526</x:v>
      </x:c>
      <x:c r="B62" t="s">
        <x:v>520</x:v>
      </x:c>
      <x:c r="C62" t="s">
        <x:v>527</x:v>
      </x:c>
      <x:c r="D62" t="s">
        <x:v>528</x:v>
      </x:c>
      <x:c r="E62" t="s">
        <x:v>519</x:v>
      </x:c>
      <x:c r="F62">
        <x:v>10</x:v>
      </x:c>
      <x:c r="G62">
        <x:v>49</x:v>
      </x:c>
      <x:c r="H62">
        <x:v>50</x:v>
      </x:c>
      <x:c r="I62">
        <x:v>2</x:v>
      </x:c>
      <x:c r="J62">
        <x:v>46538</x:v>
      </x:c>
      <x:c r="K62">
        <x:v>46551</x:v>
      </x:c>
      <x:c r="L62" t="s">
        <x:v>246</x:v>
      </x:c>
      <x:c r="M62">
        <x:v>0</x:v>
      </x:c>
      <x:c r="P62">
        <x:v>10</x:v>
      </x:c>
    </x:row>
    <x:row r="63">
      <x:c r="A63" t="s">
        <x:v>529</x:v>
      </x:c>
      <x:c r="B63" t="s">
        <x:v>520</x:v>
      </x:c>
      <x:c r="C63" t="s">
        <x:v>530</x:v>
      </x:c>
      <x:c r="D63" t="s">
        <x:v>531</x:v>
      </x:c>
      <x:c r="E63" t="s">
        <x:v>523</x:v>
      </x:c>
      <x:c r="F63">
        <x:v>10</x:v>
      </x:c>
      <x:c r="G63">
        <x:v>50</x:v>
      </x:c>
      <x:c r="H63">
        <x:v>50</x:v>
      </x:c>
      <x:c r="I63">
        <x:v>1</x:v>
      </x:c>
      <x:c r="J63">
        <x:v>46545</x:v>
      </x:c>
      <x:c r="K63">
        <x:v>46551</x:v>
      </x:c>
      <x:c r="L63" t="s">
        <x:v>246</x:v>
      </x:c>
      <x:c r="M63">
        <x:v>0</x:v>
      </x:c>
      <x:c r="P63">
        <x:v>10</x:v>
      </x:c>
    </x:row>
    <x:row r="64">
      <x:c r="A64" t="s">
        <x:v>532</x:v>
      </x:c>
      <x:c r="B64" t="s">
        <x:v>520</x:v>
      </x:c>
      <x:c r="C64" t="s">
        <x:v>533</x:v>
      </x:c>
      <x:c r="D64" t="s">
        <x:v>534</x:v>
      </x:c>
      <x:c r="E64" t="s">
        <x:v>526</x:v>
      </x:c>
      <x:c r="F64">
        <x:v>8</x:v>
      </x:c>
      <x:c r="G64">
        <x:v>51</x:v>
      </x:c>
      <x:c r="H64">
        <x:v>51</x:v>
      </x:c>
      <x:c r="I64">
        <x:v>1</x:v>
      </x:c>
      <x:c r="J64">
        <x:v>46552</x:v>
      </x:c>
      <x:c r="K64">
        <x:v>46558</x:v>
      </x:c>
      <x:c r="L64" t="s">
        <x:v>246</x:v>
      </x:c>
      <x:c r="M64">
        <x:v>0</x:v>
      </x:c>
      <x:c r="P64">
        <x:v>8</x:v>
      </x:c>
    </x:row>
    <x:row r="65">
      <x:c r="A65" t="s">
        <x:v>535</x:v>
      </x:c>
      <x:c r="B65" t="s">
        <x:v>520</x:v>
      </x:c>
      <x:c r="C65" t="s">
        <x:v>536</x:v>
      </x:c>
      <x:c r="D65" t="s">
        <x:v>537</x:v>
      </x:c>
      <x:c r="E65" t="s">
        <x:v>529</x:v>
      </x:c>
      <x:c r="F65">
        <x:v>6</x:v>
      </x:c>
      <x:c r="G65">
        <x:v>51</x:v>
      </x:c>
      <x:c r="H65">
        <x:v>52</x:v>
      </x:c>
      <x:c r="I65">
        <x:v>2</x:v>
      </x:c>
      <x:c r="J65">
        <x:v>46552</x:v>
      </x:c>
      <x:c r="K65">
        <x:v>46565</x:v>
      </x:c>
      <x:c r="L65" t="s">
        <x:v>246</x:v>
      </x:c>
      <x:c r="M65">
        <x:v>0</x:v>
      </x:c>
      <x:c r="P65">
        <x:v>6</x:v>
      </x:c>
    </x:row>
    <x:row r="66">
      <x:c r="A66" t="s">
        <x:v>538</x:v>
      </x:c>
      <x:c r="B66" t="s">
        <x:v>520</x:v>
      </x:c>
      <x:c r="C66" t="s">
        <x:v>539</x:v>
      </x:c>
      <x:c r="D66" t="s">
        <x:v>540</x:v>
      </x:c>
      <x:c r="E66" t="s">
        <x:v>532</x:v>
      </x:c>
      <x:c r="F66">
        <x:v>4</x:v>
      </x:c>
      <x:c r="G66">
        <x:v>52</x:v>
      </x:c>
      <x:c r="H66">
        <x:v>52</x:v>
      </x:c>
      <x:c r="I66">
        <x:v>1</x:v>
      </x:c>
      <x:c r="J66">
        <x:v>46559</x:v>
      </x:c>
      <x:c r="K66">
        <x:v>46565</x:v>
      </x:c>
      <x:c r="L66" t="s">
        <x:v>246</x:v>
      </x:c>
      <x:c r="M66">
        <x:v>0</x:v>
      </x:c>
      <x:c r="P66">
        <x:v>4</x:v>
      </x:c>
    </x:row>
    <x:row r="69">
      <x:c r="A69" t="s">
        <x:v>541</x:v>
      </x:c>
    </x:row>
    <x:row r="70">
      <x:c r="A70" t="s">
        <x:v>109</x:v>
      </x:c>
      <x:c r="B70" t="s">
        <x:v>66</x:v>
      </x:c>
      <x:c r="C70" t="s">
        <x:v>542</x:v>
      </x:c>
      <x:c r="D70" t="s">
        <x:v>543</x:v>
      </x:c>
      <x:c r="E70" t="s">
        <x:v>70</x:v>
      </x:c>
      <x:c r="F70" t="s">
        <x:v>71</x:v>
      </x:c>
      <x:c r="G70" t="s">
        <x:v>72</x:v>
      </x:c>
      <x:c r="H70" t="s">
        <x:v>73</x:v>
      </x:c>
      <x:c r="I70" t="s">
        <x:v>544</x:v>
      </x:c>
      <x:c r="J70" t="s">
        <x:v>545</x:v>
      </x:c>
      <x:c r="K70" t="s">
        <x:v>546</x:v>
      </x:c>
      <x:c r="L70" t="s">
        <x:v>547</x:v>
      </x:c>
      <x:c r="M70" t="s">
        <x:v>548</x:v>
      </x:c>
      <x:c r="N70" t="s">
        <x:v>549</x:v>
      </x:c>
      <x:c r="O70" t="s">
        <x:v>550</x:v>
      </x:c>
      <x:c r="P70" t="s">
        <x:v>551</x:v>
      </x:c>
      <x:c r="Q70" t="s">
        <x:v>552</x:v>
      </x:c>
      <x:c r="R70" t="s">
        <x:v>553</x:v>
      </x:c>
      <x:c r="S70" t="s">
        <x:v>554</x:v>
      </x:c>
      <x:c r="T70" t="s">
        <x:v>555</x:v>
      </x:c>
    </x:row>
    <x:row r="71">
      <x:c r="A71" t="s">
        <x:v>82</x:v>
      </x:c>
      <x:c r="B71" t="s">
        <x:v>372</x:v>
      </x:c>
      <x:c r="C71">
        <x:v>40</x:v>
      </x:c>
      <x:c r="D71">
        <x:v>6.9444444444444448E-2</x:v>
      </x:c>
      <x:c r="E71">
        <x:v>46202</x:v>
      </x:c>
      <x:c r="F71">
        <x:v>46565</x:v>
      </x:c>
      <x:c r="G71" t="s">
        <x:v>556</x:v>
      </x:c>
      <x:c r="H71" t="s">
        <x:v>557</x:v>
      </x:c>
      <x:c r="I71" t="s">
        <x:v>86</x:v>
      </x:c>
      <x:c r="J71" t="s">
        <x:v>86</x:v>
      </x:c>
      <x:c r="K71" t="s">
        <x:v>86</x:v>
      </x:c>
      <x:c r="L71" t="s">
        <x:v>86</x:v>
      </x:c>
      <x:c r="M71" t="s">
        <x:v>86</x:v>
      </x:c>
      <x:c r="N71" t="s">
        <x:v>86</x:v>
      </x:c>
      <x:c r="O71" t="s">
        <x:v>86</x:v>
      </x:c>
      <x:c r="P71" t="s">
        <x:v>86</x:v>
      </x:c>
      <x:c r="Q71" t="s">
        <x:v>86</x:v>
      </x:c>
      <x:c r="R71" t="s">
        <x:v>86</x:v>
      </x:c>
      <x:c r="S71" t="s">
        <x:v>86</x:v>
      </x:c>
      <x:c r="T71" t="s">
        <x:v>86</x:v>
      </x:c>
    </x:row>
    <x:row r="72">
      <x:c r="A72" t="s">
        <x:v>6</x:v>
      </x:c>
      <x:c r="B72" t="s">
        <x:v>397</x:v>
      </x:c>
      <x:c r="C72">
        <x:v>64</x:v>
      </x:c>
      <x:c r="D72">
        <x:v>0.1111111111111111</x:v>
      </x:c>
      <x:c r="E72">
        <x:v>46216</x:v>
      </x:c>
      <x:c r="F72">
        <x:v>46264</x:v>
      </x:c>
      <x:c r="G72" t="s">
        <x:v>558</x:v>
      </x:c>
      <x:c r="H72" t="s">
        <x:v>559</x:v>
      </x:c>
      <x:c r="I72" t="s">
        <x:v>86</x:v>
      </x:c>
      <x:c r="J72" t="s">
        <x:v>86</x:v>
      </x:c>
    </x:row>
    <x:row r="73">
      <x:c r="A73" t="s">
        <x:v>9</x:v>
      </x:c>
      <x:c r="B73" t="s">
        <x:v>414</x:v>
      </x:c>
      <x:c r="C73">
        <x:v>72</x:v>
      </x:c>
      <x:c r="D73">
        <x:v>0.125</x:v>
      </x:c>
      <x:c r="E73">
        <x:v>46265</x:v>
      </x:c>
      <x:c r="F73">
        <x:v>46313</x:v>
      </x:c>
      <x:c r="G73" t="s">
        <x:v>560</x:v>
      </x:c>
      <x:c r="H73" t="s">
        <x:v>561</x:v>
      </x:c>
      <x:c r="J73" t="s">
        <x:v>86</x:v>
      </x:c>
      <x:c r="K73" t="s">
        <x:v>86</x:v>
      </x:c>
      <x:c r="L73" t="s">
        <x:v>86</x:v>
      </x:c>
    </x:row>
    <x:row r="74">
      <x:c r="A74" t="s">
        <x:v>12</x:v>
      </x:c>
      <x:c r="B74" t="s">
        <x:v>438</x:v>
      </x:c>
      <x:c r="C74">
        <x:v>88</x:v>
      </x:c>
      <x:c r="D74">
        <x:v>0.15277777777777779</x:v>
      </x:c>
      <x:c r="E74">
        <x:v>46314</x:v>
      </x:c>
      <x:c r="F74">
        <x:v>46369</x:v>
      </x:c>
      <x:c r="G74" t="s">
        <x:v>562</x:v>
      </x:c>
      <x:c r="H74" t="s">
        <x:v>563</x:v>
      </x:c>
      <x:c r="L74" t="s">
        <x:v>86</x:v>
      </x:c>
      <x:c r="M74" t="s">
        <x:v>86</x:v>
      </x:c>
      <x:c r="N74" t="s">
        <x:v>86</x:v>
      </x:c>
    </x:row>
    <x:row r="75">
      <x:c r="A75" t="s">
        <x:v>16</x:v>
      </x:c>
      <x:c r="B75" t="s">
        <x:v>459</x:v>
      </x:c>
      <x:c r="C75">
        <x:v>96</x:v>
      </x:c>
      <x:c r="D75">
        <x:v>0.16666666666666666</x:v>
      </x:c>
      <x:c r="E75">
        <x:v>46370</x:v>
      </x:c>
      <x:c r="F75">
        <x:v>46425</x:v>
      </x:c>
      <x:c r="G75" t="s">
        <x:v>564</x:v>
      </x:c>
      <x:c r="H75" t="s">
        <x:v>565</x:v>
      </x:c>
      <x:c r="N75" t="s">
        <x:v>86</x:v>
      </x:c>
      <x:c r="O75" t="s">
        <x:v>86</x:v>
      </x:c>
      <x:c r="P75" t="s">
        <x:v>86</x:v>
      </x:c>
    </x:row>
    <x:row r="76">
      <x:c r="A76" t="s">
        <x:v>19</x:v>
      </x:c>
      <x:c r="B76" t="s">
        <x:v>478</x:v>
      </x:c>
      <x:c r="C76">
        <x:v>104</x:v>
      </x:c>
      <x:c r="D76">
        <x:v>0.18055555555555555</x:v>
      </x:c>
      <x:c r="E76">
        <x:v>46426</x:v>
      </x:c>
      <x:c r="F76">
        <x:v>46495</x:v>
      </x:c>
      <x:c r="G76" t="s">
        <x:v>566</x:v>
      </x:c>
      <x:c r="H76" t="s">
        <x:v>567</x:v>
      </x:c>
      <x:c r="P76" t="s">
        <x:v>86</x:v>
      </x:c>
      <x:c r="Q76" t="s">
        <x:v>86</x:v>
      </x:c>
      <x:c r="R76" t="s">
        <x:v>86</x:v>
      </x:c>
    </x:row>
    <x:row r="77">
      <x:c r="A77" t="s">
        <x:v>22</x:v>
      </x:c>
      <x:c r="B77" t="s">
        <x:v>501</x:v>
      </x:c>
      <x:c r="C77">
        <x:v>52</x:v>
      </x:c>
      <x:c r="D77">
        <x:v>9.0277777777777776E-2</x:v>
      </x:c>
      <x:c r="E77">
        <x:v>46496</x:v>
      </x:c>
      <x:c r="F77">
        <x:v>46530</x:v>
      </x:c>
      <x:c r="G77" t="s">
        <x:v>568</x:v>
      </x:c>
      <x:c r="H77" t="s">
        <x:v>569</x:v>
      </x:c>
      <x:c r="R77" t="s">
        <x:v>86</x:v>
      </x:c>
      <x:c r="S77" t="s">
        <x:v>86</x:v>
      </x:c>
    </x:row>
    <x:row r="78">
      <x:c r="A78" t="s">
        <x:v>25</x:v>
      </x:c>
      <x:c r="B78" t="s">
        <x:v>520</x:v>
      </x:c>
      <x:c r="C78">
        <x:v>60</x:v>
      </x:c>
      <x:c r="D78">
        <x:v>0.10416666666666667</x:v>
      </x:c>
      <x:c r="E78">
        <x:v>46531</x:v>
      </x:c>
      <x:c r="F78">
        <x:v>46565</x:v>
      </x:c>
      <x:c r="G78" t="s">
        <x:v>570</x:v>
      </x:c>
      <x:c r="H78" t="s">
        <x:v>571</x:v>
      </x:c>
      <x:c r="S78" t="s">
        <x:v>86</x:v>
      </x:c>
      <x:c r="T78" t="s">
        <x:v>86</x:v>
      </x:c>
    </x:row>
    <x:row r="79">
      <x:c r="A79" t="s">
        <x:v>572</x:v>
      </x:c>
      <x:c r="C79">
        <x:v>576</x:v>
      </x:c>
      <x:c r="D79">
        <x:v>1</x:v>
      </x:c>
    </x:row>
  </x:sheetData>
  <x:mergeCells>
    <x:mergeCell ref="A1:T1"/>
    <x:mergeCell ref="A2:T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4.25"/>
  <x:cols>
    <x:col min="1" max="1" width="11" customWidth="1"/>
    <x:col min="2" max="2" width="12" customWidth="1"/>
    <x:col min="3" max="4" width="10" customWidth="1"/>
    <x:col min="5" max="5" width="11" customWidth="1"/>
    <x:col min="6" max="6" width="12" customWidth="1"/>
    <x:col min="7" max="7" width="10" customWidth="1"/>
    <x:col min="8" max="8" width="13" customWidth="1"/>
    <x:col min="9" max="9" width="34" customWidth="1"/>
    <x:col min="10" max="11" width="42" customWidth="1"/>
    <x:col min="12" max="12" width="36" customWidth="1"/>
    <x:col min="13" max="13" width="28" customWidth="1"/>
  </x:cols>
  <x:sheetData>
    <x:row r="1" ht="27.950000762939453" customHeight="1">
      <x:c r="A1" s="234" t="s">
        <x:v>573</x:v>
      </x:c>
      <x:c r="B1" s="235"/>
      <x:c r="C1" s="235"/>
      <x:c r="D1" s="235"/>
      <x:c r="E1" s="235"/>
      <x:c r="F1" s="235"/>
      <x:c r="G1" s="235"/>
      <x:c r="H1" s="235"/>
      <x:c r="I1" s="235"/>
      <x:c r="J1" s="235"/>
      <x:c r="K1" s="235"/>
      <x:c r="L1" s="235"/>
      <x:c r="M1" s="235"/>
    </x:row>
    <x:row r="2">
      <x:c r="A2" s="236" t="s">
        <x:v>574</x:v>
      </x:c>
      <x:c r="B2" s="236"/>
      <x:c r="C2" s="236"/>
      <x:c r="D2" s="236"/>
      <x:c r="E2" s="236"/>
      <x:c r="F2" s="236"/>
      <x:c r="G2" s="236"/>
      <x:c r="H2" s="236"/>
      <x:c r="I2" s="236"/>
      <x:c r="J2" s="236"/>
      <x:c r="K2" s="236"/>
      <x:c r="L2" s="236"/>
      <x:c r="M2" s="236"/>
    </x:row>
    <x:row r="4" ht="30">
      <x:c r="A4" s="80" t="s">
        <x:v>575</x:v>
      </x:c>
      <x:c r="B4" s="80" t="s">
        <x:v>576</x:v>
      </x:c>
      <x:c r="C4" s="80" t="s">
        <x:v>70</x:v>
      </x:c>
      <x:c r="D4" s="80" t="s">
        <x:v>577</x:v>
      </x:c>
      <x:c r="E4" s="80" t="s">
        <x:v>578</x:v>
      </x:c>
      <x:c r="F4" s="80" t="s">
        <x:v>68</x:v>
      </x:c>
      <x:c r="G4" s="80" t="s">
        <x:v>579</x:v>
      </x:c>
      <x:c r="H4" s="80" t="s">
        <x:v>117</x:v>
      </x:c>
      <x:c r="I4" s="80" t="s">
        <x:v>580</x:v>
      </x:c>
      <x:c r="J4" s="80" t="s">
        <x:v>581</x:v>
      </x:c>
      <x:c r="K4" s="80" t="s">
        <x:v>582</x:v>
      </x:c>
      <x:c r="L4" s="80" t="s">
        <x:v>121</x:v>
      </x:c>
      <x:c r="M4" s="80" t="s">
        <x:v>583</x:v>
      </x:c>
    </x:row>
    <x:row r="5" ht="42.75">
      <x:c r="A5" s="83" t="s">
        <x:v>584</x:v>
      </x:c>
      <x:c r="B5" s="84">
        <x:v>46201</x:v>
      </x:c>
      <x:c r="C5" s="83"/>
      <x:c r="D5" s="83"/>
      <x:c r="E5" s="83" t="s">
        <x:v>123</x:v>
      </x:c>
      <x:c r="F5" s="85">
        <x:v>2.5</x:v>
      </x:c>
      <x:c r="G5" s="178" t="n">
        <x:f t="shared" ref="G5:G10" si="0">IF(B5="","",MAX(1,INT((B5-DATE(2026,6,29))/7)+1))</x:f>
        <x:v>1</x:v>
      </x:c>
      <x:c r="H5" s="83" t="s">
        <x:v>375</x:v>
      </x:c>
      <x:c r="I5" s="83" t="s">
        <x:v>585</x:v>
      </x:c>
      <x:c r="J5" s="83" t="s">
        <x:v>586</x:v>
      </x:c>
      <x:c r="K5" s="83" t="s">
        <x:v>587</x:v>
      </x:c>
      <x:c r="L5" s="83" t="s">
        <x:v>588</x:v>
      </x:c>
      <x:c r="M5" s="83" t="s">
        <x:v>589</x:v>
      </x:c>
    </x:row>
    <x:row r="6" ht="42.75">
      <x:c r="A6" s="83" t="s">
        <x:v>590</x:v>
      </x:c>
      <x:c r="B6" s="84">
        <x:v>46203</x:v>
      </x:c>
      <x:c r="C6" s="83"/>
      <x:c r="D6" s="83"/>
      <x:c r="E6" s="83" t="s">
        <x:v>129</x:v>
      </x:c>
      <x:c r="F6" s="85">
        <x:v>1.5</x:v>
      </x:c>
      <x:c r="G6" s="178">
        <x:f t="shared" si="0"/>
        <x:v>1</x:v>
      </x:c>
      <x:c r="H6" s="83" t="s">
        <x:v>375</x:v>
      </x:c>
      <x:c r="I6" s="83" t="s">
        <x:v>591</x:v>
      </x:c>
      <x:c r="J6" s="83" t="s">
        <x:v>592</x:v>
      </x:c>
      <x:c r="K6" s="83" t="s">
        <x:v>593</x:v>
      </x:c>
      <x:c r="L6" s="83" t="s">
        <x:v>594</x:v>
      </x:c>
      <x:c r="M6" s="83" t="s">
        <x:v>595</x:v>
      </x:c>
    </x:row>
    <x:row r="7" ht="42.75">
      <x:c r="A7" s="83" t="s">
        <x:v>596</x:v>
      </x:c>
      <x:c r="B7" s="84">
        <x:v>46207</x:v>
      </x:c>
      <x:c r="C7" s="83" t="s">
        <x:v>597</x:v>
      </x:c>
      <x:c r="D7" s="83" t="s">
        <x:v>598</x:v>
      </x:c>
      <x:c r="E7" s="83" t="s">
        <x:v>134</x:v>
      </x:c>
      <x:c r="F7" s="85">
        <x:v>0.62</x:v>
      </x:c>
      <x:c r="G7" s="178">
        <x:f t="shared" si="0"/>
        <x:v>1</x:v>
      </x:c>
      <x:c r="H7" s="83" t="s">
        <x:v>375</x:v>
      </x:c>
      <x:c r="I7" s="83" t="s">
        <x:v>599</x:v>
      </x:c>
      <x:c r="J7" s="83" t="s">
        <x:v>600</x:v>
      </x:c>
      <x:c r="K7" s="83" t="s">
        <x:v>601</x:v>
      </x:c>
      <x:c r="L7" s="83" t="s">
        <x:v>602</x:v>
      </x:c>
      <x:c r="M7" s="83" t="s">
        <x:v>603</x:v>
      </x:c>
    </x:row>
    <x:row r="8" ht="57">
      <x:c r="A8" s="83" t="s">
        <x:v>604</x:v>
      </x:c>
      <x:c r="B8" s="84">
        <x:v>46207</x:v>
      </x:c>
      <x:c r="C8" s="83" t="s">
        <x:v>598</x:v>
      </x:c>
      <x:c r="D8" s="83" t="s">
        <x:v>605</x:v>
      </x:c>
      <x:c r="E8" s="83" t="s">
        <x:v>134</x:v>
      </x:c>
      <x:c r="F8" s="85">
        <x:v>1.53</x:v>
      </x:c>
      <x:c r="G8" s="178">
        <x:f t="shared" si="0"/>
        <x:v>1</x:v>
      </x:c>
      <x:c r="H8" s="83" t="s">
        <x:v>375</x:v>
      </x:c>
      <x:c r="I8" s="83" t="s">
        <x:v>606</x:v>
      </x:c>
      <x:c r="J8" s="83" t="s">
        <x:v>607</x:v>
      </x:c>
      <x:c r="K8" s="83" t="s">
        <x:v>608</x:v>
      </x:c>
      <x:c r="L8" s="83" t="s">
        <x:v>609</x:v>
      </x:c>
      <x:c r="M8" s="83" t="s">
        <x:v>610</x:v>
      </x:c>
    </x:row>
    <x:row r="9" ht="42.75">
      <x:c r="A9" s="83" t="s">
        <x:v>611</x:v>
      </x:c>
      <x:c r="B9" s="84">
        <x:v>46207</x:v>
      </x:c>
      <x:c r="C9" s="83" t="s">
        <x:v>605</x:v>
      </x:c>
      <x:c r="D9" s="83" t="s">
        <x:v>612</x:v>
      </x:c>
      <x:c r="E9" s="83" t="s">
        <x:v>129</x:v>
      </x:c>
      <x:c r="F9" s="85">
        <x:v>1.33</x:v>
      </x:c>
      <x:c r="G9" s="178">
        <x:f t="shared" si="0"/>
        <x:v>1</x:v>
      </x:c>
      <x:c r="H9" s="83" t="s">
        <x:v>375</x:v>
      </x:c>
      <x:c r="I9" s="83" t="s">
        <x:v>613</x:v>
      </x:c>
      <x:c r="J9" s="83" t="s">
        <x:v>614</x:v>
      </x:c>
      <x:c r="K9" s="83" t="s">
        <x:v>615</x:v>
      </x:c>
      <x:c r="L9" s="83" t="s">
        <x:v>616</x:v>
      </x:c>
      <x:c r="M9" s="83" t="s">
        <x:v>617</x:v>
      </x:c>
    </x:row>
    <x:row r="10" ht="42.75">
      <x:c r="A10" s="83" t="s">
        <x:v>618</x:v>
      </x:c>
      <x:c r="B10" s="84">
        <x:v>46207</x:v>
      </x:c>
      <x:c r="C10" s="83" t="s">
        <x:v>612</x:v>
      </x:c>
      <x:c r="D10" s="83" t="s">
        <x:v>619</x:v>
      </x:c>
      <x:c r="E10" s="83" t="s">
        <x:v>129</x:v>
      </x:c>
      <x:c r="F10" s="85">
        <x:v>7.0000000000000007E-2</x:v>
      </x:c>
      <x:c r="G10" s="178">
        <x:f t="shared" si="0"/>
        <x:v>1</x:v>
      </x:c>
      <x:c r="H10" s="83" t="s">
        <x:v>375</x:v>
      </x:c>
      <x:c r="I10" s="83" t="s">
        <x:v>620</x:v>
      </x:c>
      <x:c r="J10" s="83" t="s">
        <x:v>621</x:v>
      </x:c>
      <x:c r="K10" s="83" t="s">
        <x:v>622</x:v>
      </x:c>
      <x:c r="L10" s="83" t="s">
        <x:v>623</x:v>
      </x:c>
      <x:c r="M10" s="83" t="s">
        <x:v>624</x:v>
      </x:c>
    </x:row>
    <x:row r="11" ht="72" customHeight="1">
      <x:c r="A11" s="431" t="str">
        <x:v>WB-007</x:v>
      </x:c>
      <x:c r="B11" s="429" t="n">
        <x:v>46208</x:v>
      </x:c>
      <x:c r="C11" s="431" t="str">
        <x:v>11:00 AM</x:v>
      </x:c>
      <x:c r="D11" s="431" t="str">
        <x:v>11:35 AM</x:v>
      </x:c>
      <x:c r="E11" s="431" t="str">
        <x:v>1.1</x:v>
      </x:c>
      <x:c r="F11" s="432" t="n">
        <x:v>0.58</x:v>
      </x:c>
      <x:c r="G11" s="433" t="n">
        <x:v>1</x:v>
      </x:c>
      <x:c r="H11" s="431" t="str">
        <x:v>Complete</x:v>
      </x:c>
      <x:c r="I11" s="431" t="str">
        <x:v>Define and implement the candidate artifact contract and loader.</x:v>
      </x:c>
      <x:c r="J11" s="431" t="str">
        <x:v>Candidate schema, valid MECH-002 example, LoadedCandidate/load_candidate(), controlled validation failures, contract documentation, six focused tests, and 31 total passing tests.</x:v>
      </x:c>
      <x:c r="K11" s="431" t="str">
        <x:v>Keep the envelope runtime-agnostic; keep case-specific engineering fields inside payload; store example candidates outside versioned case definitions.</x:v>
      </x:c>
      <x:c r="L11" s="431" t="str">
        <x:v>Push the feature branch, open and merge the PR, sync main, then begin WBS 1.2 mandatory gate engine.</x:v>
      </x:c>
      <x:c r="M11" s="431" t="str">
        <x:v>2b0b6e7 — Add candidate artifact contract and loader; PR pending</x:v>
      </x:c>
    </x:row>
    <x:row r="12" ht="78" customHeight="1">
      <x:c r="A12" s="431" t="str">
        <x:v>WB-008</x:v>
      </x:c>
      <x:c r="B12" s="429" t="n">
        <x:v>46208</x:v>
      </x:c>
      <x:c r="C12" s="431" t="str">
        <x:v>11:35 AM</x:v>
      </x:c>
      <x:c r="D12" s="431" t="str">
        <x:v>11:44 AM</x:v>
      </x:c>
      <x:c r="E12" s="431" t="str">
        <x:v>1.1</x:v>
      </x:c>
      <x:c r="F12" s="432" t="n">
        <x:v>0.15</x:v>
      </x:c>
      <x:c r="G12" s="433" t="n">
        <x:v>1</x:v>
      </x:c>
      <x:c r="H12" s="431" t="str">
        <x:v>Complete</x:v>
      </x:c>
      <x:c r="I12" s="431" t="str">
        <x:v>Close WBS 1.1 through PR merge, main synchronization, test verification, and project-control update.</x:v>
      </x:c>
      <x:c r="J12" s="431" t="str">
        <x:v>Candidate artifact capability merged to main in c419dc3; 31 tests passed; updated controlling workbook committed in ba18051.</x:v>
      </x:c>
      <x:c r="K12" s="431" t="str">
        <x:v>A capability is not operationally closed until code, tests, merge evidence, and the controlling Gantt are synchronized. No blocker.</x:v>
      </x:c>
      <x:c r="L12" s="431" t="str">
        <x:v>Begin WBS 1.2 mandatory gate engine.</x:v>
      </x:c>
      <x:c r="M12" s="431" t="str">
        <x:v>PR #6 / merge c419dc3; ba18051 — Record WBS 1.1 completion</x:v>
      </x:c>
    </x:row>
    <x:row r="13" ht="78" customHeight="1">
      <x:c r="A13" s="431" t="str">
        <x:v>WB-009</x:v>
      </x:c>
      <x:c r="B13" s="429" t="n">
        <x:v>46208</x:v>
      </x:c>
      <x:c r="C13" s="431" t="str">
        <x:v>11:44 AM</x:v>
      </x:c>
      <x:c r="D13" s="431" t="str">
        <x:v>12:14 PM</x:v>
      </x:c>
      <x:c r="E13" s="431" t="str">
        <x:v>1.2</x:v>
      </x:c>
      <x:c r="F13" s="432" t="n">
        <x:v>0.5</x:v>
      </x:c>
      <x:c r="G13" s="433" t="n">
        <x:v>1</x:v>
      </x:c>
      <x:c r="H13" s="431" t="str">
        <x:v>Complete</x:v>
      </x:c>
      <x:c r="I13" s="431" t="str">
        <x:v>Implement the mandatory pre-scoring gate engine for candidate artifacts.</x:v>
      </x:c>
      <x:c r="J13" s="431" t="str">
        <x:v>GateResult records and ordered gate execution implemented for output existence, valid object-root JSON, required payload fields, and declared field types; seven focused tests and 38 total tests passed.</x:v>
      </x:c>
      <x:c r="K13" s="431" t="str">
        <x:v>Stop after the first failed gate. Declare payload field types in the task deliverable instead of inferring them from reference answers. Treat Boolean values as distinct from numbers. No blocker.</x:v>
      </x:c>
      <x:c r="L13" s="431" t="str">
        <x:v>Begin WBS 1.3 deterministic exact, Boolean, set, and contains checks.</x:v>
      </x:c>
      <x:c r="M13" s="431" t="str">
        <x:v>c05ef3d — Add mandatory gate engine; merged to main in 05c025b</x:v>
      </x:c>
    </x:row>
    <x:row r="14">
      <x:c r="A14" s="83" t="str">
        <x:v>WB-010</x:v>
      </x:c>
      <x:c r="B14" s="84" t="n">
        <x:v>46208</x:v>
      </x:c>
      <x:c r="C14" s="83" t="str">
        <x:v>10:04 AM</x:v>
      </x:c>
      <x:c r="D14" s="83" t="str">
        <x:v>12:55 PM</x:v>
      </x:c>
      <x:c r="E14" s="83" t="str">
        <x:v>1.3</x:v>
      </x:c>
      <x:c r="F14" s="85" t="n">
        <x:v>2.85</x:v>
      </x:c>
      <x:c r="G14" s="178" t="n">
        <x:v>1</x:v>
      </x:c>
      <x:c r="H14" s="83" t="str">
        <x:v>In Progress</x:v>
      </x:c>
      <x:c r="I14" s="83" t="str">
        <x:v>Implement the deterministic non-numeric check engine and prepare the capability for review and merge.</x:v>
      </x:c>
      <x:c r="J14" s="83" t="str">
        <x:v>Feature commit 53f96cc adds structured CheckResult records and dispatch for exact_match, boolean_equals, set_equals, and contains_all. Twelve focused tests are committed; the last explicitly observed run before the final two tests were added was 10 focused and 48 total.</x:v>
      </x:c>
      <x:c r="K14" s="83" t="str">
        <x:v>Keep comparison logic independent of file loading and candidate-loader objects. Use type-sensitive exact matching; treat missing candidate paths as evaluation failures and missing reference paths or unsupported kinds as configuration errors. numeric_close remains in WBS 1.4. No blocker; final verification and merge are pending.</x:v>
      </x:c>
      <x:c r="L14" s="83" t="str">
        <x:v>Run the 12 focused tests and full suite, push the branch, open and merge the PR, sync main, then close WBS 1.3 and begin WBS 1.4.</x:v>
      </x:c>
      <x:c r="M14" s="83" t="str">
        <x:v>53f96cc — Add deterministic non-numeric check engine; PR pending</x:v>
      </x:c>
    </x:row>
    <x:row r="15">
      <x:c r="A15" s="83"/>
      <x:c r="B15" s="84"/>
      <x:c r="C15" s="83"/>
      <x:c r="D15" s="83"/>
      <x:c r="E15" s="83"/>
      <x:c r="F15" s="85"/>
      <x:c r="G15" s="178"/>
      <x:c r="H15" s="83"/>
      <x:c r="I15" s="83"/>
      <x:c r="J15" s="83"/>
      <x:c r="K15" s="83"/>
      <x:c r="L15" s="83"/>
      <x:c r="M15" s="83"/>
    </x:row>
    <x:row r="16">
      <x:c r="A16" s="83"/>
      <x:c r="B16" s="84"/>
      <x:c r="C16" s="83"/>
      <x:c r="D16" s="83"/>
      <x:c r="E16" s="83"/>
      <x:c r="F16" s="85"/>
      <x:c r="G16" s="178"/>
      <x:c r="H16" s="83"/>
      <x:c r="I16" s="83"/>
      <x:c r="J16" s="83"/>
      <x:c r="K16" s="83"/>
      <x:c r="L16" s="83"/>
      <x:c r="M16" s="83"/>
    </x:row>
    <x:row r="17">
      <x:c r="A17" s="83"/>
      <x:c r="B17" s="84"/>
      <x:c r="C17" s="83"/>
      <x:c r="D17" s="83"/>
      <x:c r="E17" s="83"/>
      <x:c r="F17" s="85"/>
      <x:c r="G17" s="178"/>
      <x:c r="H17" s="83"/>
      <x:c r="I17" s="83"/>
      <x:c r="J17" s="83"/>
      <x:c r="K17" s="83"/>
      <x:c r="L17" s="83"/>
      <x:c r="M17" s="83"/>
    </x:row>
    <x:row r="18">
      <x:c r="A18" s="83"/>
      <x:c r="B18" s="84"/>
      <x:c r="C18" s="83"/>
      <x:c r="D18" s="83"/>
      <x:c r="E18" s="83"/>
      <x:c r="F18" s="85"/>
      <x:c r="G18" s="178"/>
      <x:c r="H18" s="83"/>
      <x:c r="I18" s="83"/>
      <x:c r="J18" s="83"/>
      <x:c r="K18" s="83"/>
      <x:c r="L18" s="83"/>
      <x:c r="M18" s="83"/>
    </x:row>
    <x:row r="19">
      <x:c r="A19" s="83"/>
      <x:c r="B19" s="84"/>
      <x:c r="C19" s="83"/>
      <x:c r="D19" s="83"/>
      <x:c r="E19" s="83"/>
      <x:c r="F19" s="85"/>
      <x:c r="G19" s="178"/>
      <x:c r="H19" s="83"/>
      <x:c r="I19" s="83"/>
      <x:c r="J19" s="83"/>
      <x:c r="K19" s="83"/>
      <x:c r="L19" s="83"/>
      <x:c r="M19" s="83"/>
    </x:row>
    <x:row r="20">
      <x:c r="A20" s="83"/>
      <x:c r="B20" s="84"/>
      <x:c r="C20" s="83"/>
      <x:c r="D20" s="83"/>
      <x:c r="E20" s="83"/>
      <x:c r="F20" s="85"/>
      <x:c r="G20" s="178"/>
      <x:c r="H20" s="83"/>
      <x:c r="I20" s="83"/>
      <x:c r="J20" s="83"/>
      <x:c r="K20" s="83"/>
      <x:c r="L20" s="83"/>
      <x:c r="M20" s="83"/>
    </x:row>
    <x:row r="21">
      <x:c r="A21" s="83"/>
      <x:c r="B21" s="84"/>
      <x:c r="C21" s="83"/>
      <x:c r="D21" s="83"/>
      <x:c r="E21" s="83"/>
      <x:c r="F21" s="85"/>
      <x:c r="G21" s="178"/>
      <x:c r="H21" s="83"/>
      <x:c r="I21" s="83"/>
      <x:c r="J21" s="83"/>
      <x:c r="K21" s="83"/>
      <x:c r="L21" s="83"/>
      <x:c r="M21" s="83"/>
    </x:row>
    <x:row r="22">
      <x:c r="A22" s="83"/>
      <x:c r="B22" s="84"/>
      <x:c r="C22" s="83"/>
      <x:c r="D22" s="83"/>
      <x:c r="E22" s="83"/>
      <x:c r="F22" s="85"/>
      <x:c r="G22" s="178"/>
      <x:c r="H22" s="83"/>
      <x:c r="I22" s="83"/>
      <x:c r="J22" s="83"/>
      <x:c r="K22" s="83"/>
      <x:c r="L22" s="83"/>
      <x:c r="M22" s="83"/>
    </x:row>
    <x:row r="23">
      <x:c r="A23" s="83"/>
      <x:c r="B23" s="84"/>
      <x:c r="C23" s="83"/>
      <x:c r="D23" s="83"/>
      <x:c r="E23" s="83"/>
      <x:c r="F23" s="85"/>
      <x:c r="G23" s="178"/>
      <x:c r="H23" s="83"/>
      <x:c r="I23" s="83"/>
      <x:c r="J23" s="83"/>
      <x:c r="K23" s="83"/>
      <x:c r="L23" s="83"/>
      <x:c r="M23" s="83"/>
    </x:row>
    <x:row r="24">
      <x:c r="A24" s="83"/>
      <x:c r="B24" s="84"/>
      <x:c r="C24" s="83"/>
      <x:c r="D24" s="83"/>
      <x:c r="E24" s="83"/>
      <x:c r="F24" s="85"/>
      <x:c r="G24" s="178"/>
      <x:c r="H24" s="83"/>
      <x:c r="I24" s="83"/>
      <x:c r="J24" s="83"/>
      <x:c r="K24" s="83"/>
      <x:c r="L24" s="83"/>
      <x:c r="M24" s="83"/>
    </x:row>
    <x:row r="25">
      <x:c r="A25" s="83"/>
      <x:c r="B25" s="84"/>
      <x:c r="C25" s="83"/>
      <x:c r="D25" s="83"/>
      <x:c r="E25" s="83"/>
      <x:c r="F25" s="85"/>
      <x:c r="G25" s="178"/>
      <x:c r="H25" s="83"/>
      <x:c r="I25" s="83"/>
      <x:c r="J25" s="83"/>
      <x:c r="K25" s="83"/>
      <x:c r="L25" s="83"/>
      <x:c r="M25" s="83"/>
    </x:row>
    <x:row r="26">
      <x:c r="A26" s="83"/>
      <x:c r="B26" s="84"/>
      <x:c r="C26" s="83"/>
      <x:c r="D26" s="83"/>
      <x:c r="E26" s="83"/>
      <x:c r="F26" s="85"/>
      <x:c r="G26" s="178"/>
      <x:c r="H26" s="83"/>
      <x:c r="I26" s="83"/>
      <x:c r="J26" s="83"/>
      <x:c r="K26" s="83"/>
      <x:c r="L26" s="83"/>
      <x:c r="M26" s="83"/>
    </x:row>
    <x:row r="27">
      <x:c r="A27" s="83"/>
      <x:c r="B27" s="84"/>
      <x:c r="C27" s="83"/>
      <x:c r="D27" s="83"/>
      <x:c r="E27" s="83"/>
      <x:c r="F27" s="85"/>
      <x:c r="G27" s="178"/>
      <x:c r="H27" s="83"/>
      <x:c r="I27" s="83"/>
      <x:c r="J27" s="83"/>
      <x:c r="K27" s="83"/>
      <x:c r="L27" s="83"/>
      <x:c r="M27" s="83"/>
    </x:row>
    <x:row r="28">
      <x:c r="A28" s="83"/>
      <x:c r="B28" s="84"/>
      <x:c r="C28" s="83"/>
      <x:c r="D28" s="83"/>
      <x:c r="E28" s="83"/>
      <x:c r="F28" s="85"/>
      <x:c r="G28" s="178"/>
      <x:c r="H28" s="83"/>
      <x:c r="I28" s="83"/>
      <x:c r="J28" s="83"/>
      <x:c r="K28" s="83"/>
      <x:c r="L28" s="83"/>
      <x:c r="M28" s="83"/>
    </x:row>
    <x:row r="29">
      <x:c r="A29" s="83"/>
      <x:c r="B29" s="84"/>
      <x:c r="C29" s="83"/>
      <x:c r="D29" s="83"/>
      <x:c r="E29" s="83"/>
      <x:c r="F29" s="85"/>
      <x:c r="G29" s="178"/>
      <x:c r="H29" s="83"/>
      <x:c r="I29" s="83"/>
      <x:c r="J29" s="83"/>
      <x:c r="K29" s="83"/>
      <x:c r="L29" s="83"/>
      <x:c r="M29" s="83"/>
    </x:row>
    <x:row r="30">
      <x:c r="A30" s="83"/>
      <x:c r="B30" s="84"/>
      <x:c r="C30" s="83"/>
      <x:c r="D30" s="83"/>
      <x:c r="E30" s="83"/>
      <x:c r="F30" s="85"/>
      <x:c r="G30" s="178"/>
      <x:c r="H30" s="83"/>
      <x:c r="I30" s="83"/>
      <x:c r="J30" s="83"/>
      <x:c r="K30" s="83"/>
      <x:c r="L30" s="83"/>
      <x:c r="M30" s="83"/>
    </x:row>
    <x:row r="31">
      <x:c r="A31" s="83"/>
      <x:c r="B31" s="84"/>
      <x:c r="C31" s="83"/>
      <x:c r="D31" s="83"/>
      <x:c r="E31" s="83"/>
      <x:c r="F31" s="85"/>
      <x:c r="G31" s="178"/>
      <x:c r="H31" s="83"/>
      <x:c r="I31" s="83"/>
      <x:c r="J31" s="83"/>
      <x:c r="K31" s="83"/>
      <x:c r="L31" s="83"/>
      <x:c r="M31" s="83"/>
    </x:row>
    <x:row r="32">
      <x:c r="A32" s="83"/>
      <x:c r="B32" s="84"/>
      <x:c r="C32" s="83"/>
      <x:c r="D32" s="83"/>
      <x:c r="E32" s="83"/>
      <x:c r="F32" s="85"/>
      <x:c r="G32" s="178"/>
      <x:c r="H32" s="83"/>
      <x:c r="I32" s="83"/>
      <x:c r="J32" s="83"/>
      <x:c r="K32" s="83"/>
      <x:c r="L32" s="83"/>
      <x:c r="M32" s="83"/>
    </x:row>
    <x:row r="33">
      <x:c r="A33" s="83"/>
      <x:c r="B33" s="84"/>
      <x:c r="C33" s="83"/>
      <x:c r="D33" s="83"/>
      <x:c r="E33" s="83"/>
      <x:c r="F33" s="85"/>
      <x:c r="G33" s="178"/>
      <x:c r="H33" s="83"/>
      <x:c r="I33" s="83"/>
      <x:c r="J33" s="83"/>
      <x:c r="K33" s="83"/>
      <x:c r="L33" s="83"/>
      <x:c r="M33" s="83"/>
    </x:row>
    <x:row r="34">
      <x:c r="A34" s="83"/>
      <x:c r="B34" s="84"/>
      <x:c r="C34" s="83"/>
      <x:c r="D34" s="83"/>
      <x:c r="E34" s="83"/>
      <x:c r="F34" s="85"/>
      <x:c r="G34" s="178"/>
      <x:c r="H34" s="83"/>
      <x:c r="I34" s="83"/>
      <x:c r="J34" s="83"/>
      <x:c r="K34" s="83"/>
      <x:c r="L34" s="83"/>
      <x:c r="M34" s="83"/>
    </x:row>
    <x:row r="35">
      <x:c r="A35" s="83"/>
      <x:c r="B35" s="84"/>
      <x:c r="C35" s="83"/>
      <x:c r="D35" s="83"/>
      <x:c r="E35" s="83"/>
      <x:c r="F35" s="85"/>
      <x:c r="G35" s="178"/>
      <x:c r="H35" s="83"/>
      <x:c r="I35" s="83"/>
      <x:c r="J35" s="83"/>
      <x:c r="K35" s="83"/>
      <x:c r="L35" s="83"/>
      <x:c r="M35" s="83"/>
    </x:row>
    <x:row r="36">
      <x:c r="A36" s="83"/>
      <x:c r="B36" s="84"/>
      <x:c r="C36" s="83"/>
      <x:c r="D36" s="83"/>
      <x:c r="E36" s="83"/>
      <x:c r="F36" s="85"/>
      <x:c r="G36" s="178"/>
      <x:c r="H36" s="83"/>
      <x:c r="I36" s="83"/>
      <x:c r="J36" s="83"/>
      <x:c r="K36" s="83"/>
      <x:c r="L36" s="83"/>
      <x:c r="M36" s="83"/>
    </x:row>
    <x:row r="37">
      <x:c r="A37" s="83"/>
      <x:c r="B37" s="84"/>
      <x:c r="C37" s="83"/>
      <x:c r="D37" s="83"/>
      <x:c r="E37" s="83"/>
      <x:c r="F37" s="85"/>
      <x:c r="G37" s="178"/>
      <x:c r="H37" s="83"/>
      <x:c r="I37" s="83"/>
      <x:c r="J37" s="83"/>
      <x:c r="K37" s="83"/>
      <x:c r="L37" s="83"/>
      <x:c r="M37" s="83"/>
    </x:row>
    <x:row r="38">
      <x:c r="A38" s="83"/>
      <x:c r="B38" s="84"/>
      <x:c r="C38" s="83"/>
      <x:c r="D38" s="83"/>
      <x:c r="E38" s="83"/>
      <x:c r="F38" s="85"/>
      <x:c r="G38" s="178"/>
      <x:c r="H38" s="83"/>
      <x:c r="I38" s="83"/>
      <x:c r="J38" s="83"/>
      <x:c r="K38" s="83"/>
      <x:c r="L38" s="83"/>
      <x:c r="M38" s="83"/>
    </x:row>
    <x:row r="39">
      <x:c r="A39" s="83"/>
      <x:c r="B39" s="84"/>
      <x:c r="C39" s="83"/>
      <x:c r="D39" s="83"/>
      <x:c r="E39" s="83"/>
      <x:c r="F39" s="85"/>
      <x:c r="G39" s="178"/>
      <x:c r="H39" s="83"/>
      <x:c r="I39" s="83"/>
      <x:c r="J39" s="83"/>
      <x:c r="K39" s="83"/>
      <x:c r="L39" s="83"/>
      <x:c r="M39" s="83"/>
    </x:row>
    <x:row r="40">
      <x:c r="A40" s="83"/>
      <x:c r="B40" s="84"/>
      <x:c r="C40" s="83"/>
      <x:c r="D40" s="83"/>
      <x:c r="E40" s="83"/>
      <x:c r="F40" s="85"/>
      <x:c r="G40" s="178"/>
      <x:c r="H40" s="83"/>
      <x:c r="I40" s="83"/>
      <x:c r="J40" s="83"/>
      <x:c r="K40" s="83"/>
      <x:c r="L40" s="83"/>
      <x:c r="M40" s="83"/>
    </x:row>
    <x:row r="41">
      <x:c r="A41" s="83"/>
      <x:c r="B41" s="84"/>
      <x:c r="C41" s="83"/>
      <x:c r="D41" s="83"/>
      <x:c r="E41" s="83"/>
      <x:c r="F41" s="85"/>
      <x:c r="G41" s="178"/>
      <x:c r="H41" s="83"/>
      <x:c r="I41" s="83"/>
      <x:c r="J41" s="83"/>
      <x:c r="K41" s="83"/>
      <x:c r="L41" s="83"/>
      <x:c r="M41" s="83"/>
    </x:row>
    <x:row r="42">
      <x:c r="A42" s="83"/>
      <x:c r="B42" s="84"/>
      <x:c r="C42" s="83"/>
      <x:c r="D42" s="83"/>
      <x:c r="E42" s="83"/>
      <x:c r="F42" s="85"/>
      <x:c r="G42" s="178"/>
      <x:c r="H42" s="83"/>
      <x:c r="I42" s="83"/>
      <x:c r="J42" s="83"/>
      <x:c r="K42" s="83"/>
      <x:c r="L42" s="83"/>
      <x:c r="M42" s="83"/>
    </x:row>
    <x:row r="43">
      <x:c r="A43" s="83"/>
      <x:c r="B43" s="84"/>
      <x:c r="C43" s="83"/>
      <x:c r="D43" s="83"/>
      <x:c r="E43" s="83"/>
      <x:c r="F43" s="85"/>
      <x:c r="G43" s="178"/>
      <x:c r="H43" s="83"/>
      <x:c r="I43" s="83"/>
      <x:c r="J43" s="83"/>
      <x:c r="K43" s="83"/>
      <x:c r="L43" s="83"/>
      <x:c r="M43" s="83"/>
    </x:row>
    <x:row r="44">
      <x:c r="A44" s="83"/>
      <x:c r="B44" s="84"/>
      <x:c r="C44" s="83"/>
      <x:c r="D44" s="83"/>
      <x:c r="E44" s="83"/>
      <x:c r="F44" s="85"/>
      <x:c r="G44" s="178"/>
      <x:c r="H44" s="83"/>
      <x:c r="I44" s="83"/>
      <x:c r="J44" s="83"/>
      <x:c r="K44" s="83"/>
      <x:c r="L44" s="83"/>
      <x:c r="M44" s="83"/>
    </x:row>
    <x:row r="45">
      <x:c r="A45" s="83"/>
      <x:c r="B45" s="84"/>
      <x:c r="C45" s="83"/>
      <x:c r="D45" s="83"/>
      <x:c r="E45" s="83"/>
      <x:c r="F45" s="85"/>
      <x:c r="G45" s="178"/>
      <x:c r="H45" s="83"/>
      <x:c r="I45" s="83"/>
      <x:c r="J45" s="83"/>
      <x:c r="K45" s="83"/>
      <x:c r="L45" s="83"/>
      <x:c r="M45" s="83"/>
    </x:row>
    <x:row r="46">
      <x:c r="A46" s="83"/>
      <x:c r="B46" s="84"/>
      <x:c r="C46" s="83"/>
      <x:c r="D46" s="83"/>
      <x:c r="E46" s="83"/>
      <x:c r="F46" s="85"/>
      <x:c r="G46" s="178"/>
      <x:c r="H46" s="83"/>
      <x:c r="I46" s="83"/>
      <x:c r="J46" s="83"/>
      <x:c r="K46" s="83"/>
      <x:c r="L46" s="83"/>
      <x:c r="M46" s="83"/>
    </x:row>
    <x:row r="47">
      <x:c r="A47" s="83"/>
      <x:c r="B47" s="84"/>
      <x:c r="C47" s="83"/>
      <x:c r="D47" s="83"/>
      <x:c r="E47" s="83"/>
      <x:c r="F47" s="85"/>
      <x:c r="G47" s="178"/>
      <x:c r="H47" s="83"/>
      <x:c r="I47" s="83"/>
      <x:c r="J47" s="83"/>
      <x:c r="K47" s="83"/>
      <x:c r="L47" s="83"/>
      <x:c r="M47" s="83"/>
    </x:row>
    <x:row r="48">
      <x:c r="A48" s="83"/>
      <x:c r="B48" s="84"/>
      <x:c r="C48" s="83"/>
      <x:c r="D48" s="83"/>
      <x:c r="E48" s="83"/>
      <x:c r="F48" s="85"/>
      <x:c r="G48" s="178"/>
      <x:c r="H48" s="83"/>
      <x:c r="I48" s="83"/>
      <x:c r="J48" s="83"/>
      <x:c r="K48" s="83"/>
      <x:c r="L48" s="83"/>
      <x:c r="M48" s="83"/>
    </x:row>
    <x:row r="49">
      <x:c r="A49" s="83"/>
      <x:c r="B49" s="84"/>
      <x:c r="C49" s="83"/>
      <x:c r="D49" s="83"/>
      <x:c r="E49" s="83"/>
      <x:c r="F49" s="85"/>
      <x:c r="G49" s="178"/>
      <x:c r="H49" s="83"/>
      <x:c r="I49" s="83"/>
      <x:c r="J49" s="83"/>
      <x:c r="K49" s="83"/>
      <x:c r="L49" s="83"/>
      <x:c r="M49" s="83"/>
    </x:row>
    <x:row r="50">
      <x:c r="A50" s="83"/>
      <x:c r="B50" s="84"/>
      <x:c r="C50" s="83"/>
      <x:c r="D50" s="83"/>
      <x:c r="E50" s="83"/>
      <x:c r="F50" s="85"/>
      <x:c r="G50" s="178"/>
      <x:c r="H50" s="83"/>
      <x:c r="I50" s="83"/>
      <x:c r="J50" s="83"/>
      <x:c r="K50" s="83"/>
      <x:c r="L50" s="83"/>
      <x:c r="M50" s="83"/>
    </x:row>
    <x:row r="51">
      <x:c r="A51" s="83"/>
      <x:c r="B51" s="84"/>
      <x:c r="C51" s="83"/>
      <x:c r="D51" s="83"/>
      <x:c r="E51" s="83"/>
      <x:c r="F51" s="85"/>
      <x:c r="G51" s="178"/>
      <x:c r="H51" s="83"/>
      <x:c r="I51" s="83"/>
      <x:c r="J51" s="83"/>
      <x:c r="K51" s="83"/>
      <x:c r="L51" s="83"/>
      <x:c r="M51" s="83"/>
    </x:row>
    <x:row r="52">
      <x:c r="A52" s="83"/>
      <x:c r="B52" s="84"/>
      <x:c r="C52" s="83"/>
      <x:c r="D52" s="83"/>
      <x:c r="E52" s="83"/>
      <x:c r="F52" s="85"/>
      <x:c r="G52" s="178"/>
      <x:c r="H52" s="83"/>
      <x:c r="I52" s="83"/>
      <x:c r="J52" s="83"/>
      <x:c r="K52" s="83"/>
      <x:c r="L52" s="83"/>
      <x:c r="M52" s="83"/>
    </x:row>
    <x:row r="53">
      <x:c r="A53" s="83"/>
      <x:c r="B53" s="84"/>
      <x:c r="C53" s="83"/>
      <x:c r="D53" s="83"/>
      <x:c r="E53" s="83"/>
      <x:c r="F53" s="85"/>
      <x:c r="G53" s="178"/>
      <x:c r="H53" s="83"/>
      <x:c r="I53" s="83"/>
      <x:c r="J53" s="83"/>
      <x:c r="K53" s="83"/>
      <x:c r="L53" s="83"/>
      <x:c r="M53" s="83"/>
    </x:row>
    <x:row r="54">
      <x:c r="A54" s="83"/>
      <x:c r="B54" s="84"/>
      <x:c r="C54" s="83"/>
      <x:c r="D54" s="83"/>
      <x:c r="E54" s="83"/>
      <x:c r="F54" s="85"/>
      <x:c r="G54" s="178"/>
      <x:c r="H54" s="83"/>
      <x:c r="I54" s="83"/>
      <x:c r="J54" s="83"/>
      <x:c r="K54" s="83"/>
      <x:c r="L54" s="83"/>
      <x:c r="M54" s="83"/>
    </x:row>
    <x:row r="55">
      <x:c r="A55" s="83"/>
      <x:c r="B55" s="84"/>
      <x:c r="C55" s="83"/>
      <x:c r="D55" s="83"/>
      <x:c r="E55" s="83"/>
      <x:c r="F55" s="85"/>
      <x:c r="G55" s="178"/>
      <x:c r="H55" s="83"/>
      <x:c r="I55" s="83"/>
      <x:c r="J55" s="83"/>
      <x:c r="K55" s="83"/>
      <x:c r="L55" s="83"/>
      <x:c r="M55" s="83"/>
    </x:row>
    <x:row r="56">
      <x:c r="A56" s="83"/>
      <x:c r="B56" s="84"/>
      <x:c r="C56" s="83"/>
      <x:c r="D56" s="83"/>
      <x:c r="E56" s="83"/>
      <x:c r="F56" s="85"/>
      <x:c r="G56" s="178"/>
      <x:c r="H56" s="83"/>
      <x:c r="I56" s="83"/>
      <x:c r="J56" s="83"/>
      <x:c r="K56" s="83"/>
      <x:c r="L56" s="83"/>
      <x:c r="M56" s="83"/>
    </x:row>
    <x:row r="57">
      <x:c r="A57" s="83"/>
      <x:c r="B57" s="84"/>
      <x:c r="C57" s="83"/>
      <x:c r="D57" s="83"/>
      <x:c r="E57" s="83"/>
      <x:c r="F57" s="85"/>
      <x:c r="G57" s="178"/>
      <x:c r="H57" s="83"/>
      <x:c r="I57" s="83"/>
      <x:c r="J57" s="83"/>
      <x:c r="K57" s="83"/>
      <x:c r="L57" s="83"/>
      <x:c r="M57" s="83"/>
    </x:row>
    <x:row r="58">
      <x:c r="A58" s="83"/>
      <x:c r="B58" s="84"/>
      <x:c r="C58" s="83"/>
      <x:c r="D58" s="83"/>
      <x:c r="E58" s="83"/>
      <x:c r="F58" s="85"/>
      <x:c r="G58" s="178"/>
      <x:c r="H58" s="83"/>
      <x:c r="I58" s="83"/>
      <x:c r="J58" s="83"/>
      <x:c r="K58" s="83"/>
      <x:c r="L58" s="83"/>
      <x:c r="M58" s="83"/>
    </x:row>
    <x:row r="59">
      <x:c r="A59" s="83"/>
      <x:c r="B59" s="84"/>
      <x:c r="C59" s="83"/>
      <x:c r="D59" s="83"/>
      <x:c r="E59" s="83"/>
      <x:c r="F59" s="85"/>
      <x:c r="G59" s="178"/>
      <x:c r="H59" s="83"/>
      <x:c r="I59" s="83"/>
      <x:c r="J59" s="83"/>
      <x:c r="K59" s="83"/>
      <x:c r="L59" s="83"/>
      <x:c r="M59" s="83"/>
    </x:row>
    <x:row r="60">
      <x:c r="A60" s="83"/>
      <x:c r="B60" s="84"/>
      <x:c r="C60" s="83"/>
      <x:c r="D60" s="83"/>
      <x:c r="E60" s="83"/>
      <x:c r="F60" s="85"/>
      <x:c r="G60" s="178"/>
      <x:c r="H60" s="83"/>
      <x:c r="I60" s="83"/>
      <x:c r="J60" s="83"/>
      <x:c r="K60" s="83"/>
      <x:c r="L60" s="83"/>
      <x:c r="M60" s="83"/>
    </x:row>
    <x:row r="61">
      <x:c r="A61" s="83"/>
      <x:c r="B61" s="84"/>
      <x:c r="C61" s="83"/>
      <x:c r="D61" s="83"/>
      <x:c r="E61" s="83"/>
      <x:c r="F61" s="85"/>
      <x:c r="G61" s="178"/>
      <x:c r="H61" s="83"/>
      <x:c r="I61" s="83"/>
      <x:c r="J61" s="83"/>
      <x:c r="K61" s="83"/>
      <x:c r="L61" s="83"/>
      <x:c r="M61" s="83"/>
    </x:row>
    <x:row r="62">
      <x:c r="A62" s="83"/>
      <x:c r="B62" s="84"/>
      <x:c r="C62" s="83"/>
      <x:c r="D62" s="83"/>
      <x:c r="E62" s="83"/>
      <x:c r="F62" s="85"/>
      <x:c r="G62" s="178"/>
      <x:c r="H62" s="83"/>
      <x:c r="I62" s="83"/>
      <x:c r="J62" s="83"/>
      <x:c r="K62" s="83"/>
      <x:c r="L62" s="83"/>
      <x:c r="M62" s="83"/>
    </x:row>
    <x:row r="63">
      <x:c r="A63" s="83"/>
      <x:c r="B63" s="84"/>
      <x:c r="C63" s="83"/>
      <x:c r="D63" s="83"/>
      <x:c r="E63" s="83"/>
      <x:c r="F63" s="85"/>
      <x:c r="G63" s="178"/>
      <x:c r="H63" s="83"/>
      <x:c r="I63" s="83"/>
      <x:c r="J63" s="83"/>
      <x:c r="K63" s="83"/>
      <x:c r="L63" s="83"/>
      <x:c r="M63" s="83"/>
    </x:row>
    <x:row r="64">
      <x:c r="A64" s="83"/>
      <x:c r="B64" s="84"/>
      <x:c r="C64" s="83"/>
      <x:c r="D64" s="83"/>
      <x:c r="E64" s="83"/>
      <x:c r="F64" s="85"/>
      <x:c r="G64" s="178"/>
      <x:c r="H64" s="83"/>
      <x:c r="I64" s="83"/>
      <x:c r="J64" s="83"/>
      <x:c r="K64" s="83"/>
      <x:c r="L64" s="83"/>
      <x:c r="M64" s="83"/>
    </x:row>
    <x:row r="65">
      <x:c r="A65" s="83"/>
      <x:c r="B65" s="84"/>
      <x:c r="C65" s="83"/>
      <x:c r="D65" s="83"/>
      <x:c r="E65" s="83"/>
      <x:c r="F65" s="85"/>
      <x:c r="G65" s="178"/>
      <x:c r="H65" s="83"/>
      <x:c r="I65" s="83"/>
      <x:c r="J65" s="83"/>
      <x:c r="K65" s="83"/>
      <x:c r="L65" s="83"/>
      <x:c r="M65" s="83"/>
    </x:row>
    <x:row r="66">
      <x:c r="A66" s="83"/>
      <x:c r="B66" s="84"/>
      <x:c r="C66" s="83"/>
      <x:c r="D66" s="83"/>
      <x:c r="E66" s="83"/>
      <x:c r="F66" s="85"/>
      <x:c r="G66" s="178"/>
      <x:c r="H66" s="83"/>
      <x:c r="I66" s="83"/>
      <x:c r="J66" s="83"/>
      <x:c r="K66" s="83"/>
      <x:c r="L66" s="83"/>
      <x:c r="M66" s="83"/>
    </x:row>
    <x:row r="67">
      <x:c r="A67" s="83"/>
      <x:c r="B67" s="84"/>
      <x:c r="C67" s="83"/>
      <x:c r="D67" s="83"/>
      <x:c r="E67" s="83"/>
      <x:c r="F67" s="85"/>
      <x:c r="G67" s="178"/>
      <x:c r="H67" s="83"/>
      <x:c r="I67" s="83"/>
      <x:c r="J67" s="83"/>
      <x:c r="K67" s="83"/>
      <x:c r="L67" s="83"/>
      <x:c r="M67" s="83"/>
    </x:row>
    <x:row r="68">
      <x:c r="A68" s="83"/>
      <x:c r="B68" s="84"/>
      <x:c r="C68" s="83"/>
      <x:c r="D68" s="83"/>
      <x:c r="E68" s="83"/>
      <x:c r="F68" s="85"/>
      <x:c r="G68" s="178"/>
      <x:c r="H68" s="83"/>
      <x:c r="I68" s="83"/>
      <x:c r="J68" s="83"/>
      <x:c r="K68" s="83"/>
      <x:c r="L68" s="83"/>
      <x:c r="M68" s="83"/>
    </x:row>
    <x:row r="69">
      <x:c r="A69" s="83"/>
      <x:c r="B69" s="84"/>
      <x:c r="C69" s="83"/>
      <x:c r="D69" s="83"/>
      <x:c r="E69" s="83"/>
      <x:c r="F69" s="85"/>
      <x:c r="G69" s="178"/>
      <x:c r="H69" s="83"/>
      <x:c r="I69" s="83"/>
      <x:c r="J69" s="83"/>
      <x:c r="K69" s="83"/>
      <x:c r="L69" s="83"/>
      <x:c r="M69" s="83"/>
    </x:row>
    <x:row r="70">
      <x:c r="A70" s="83"/>
      <x:c r="B70" s="84"/>
      <x:c r="C70" s="83"/>
      <x:c r="D70" s="83"/>
      <x:c r="E70" s="83"/>
      <x:c r="F70" s="85"/>
      <x:c r="G70" s="178"/>
      <x:c r="H70" s="83"/>
      <x:c r="I70" s="83"/>
      <x:c r="J70" s="83"/>
      <x:c r="K70" s="83"/>
      <x:c r="L70" s="83"/>
      <x:c r="M70" s="83"/>
    </x:row>
    <x:row r="71">
      <x:c r="A71" s="83"/>
      <x:c r="B71" s="84"/>
      <x:c r="C71" s="83"/>
      <x:c r="D71" s="83"/>
      <x:c r="E71" s="83"/>
      <x:c r="F71" s="85"/>
      <x:c r="G71" s="178"/>
      <x:c r="H71" s="83"/>
      <x:c r="I71" s="83"/>
      <x:c r="J71" s="83"/>
      <x:c r="K71" s="83"/>
      <x:c r="L71" s="83"/>
      <x:c r="M71" s="83"/>
    </x:row>
    <x:row r="72">
      <x:c r="A72" s="83"/>
      <x:c r="B72" s="84"/>
      <x:c r="C72" s="83"/>
      <x:c r="D72" s="83"/>
      <x:c r="E72" s="83"/>
      <x:c r="F72" s="85"/>
      <x:c r="G72" s="178"/>
      <x:c r="H72" s="83"/>
      <x:c r="I72" s="83"/>
      <x:c r="J72" s="83"/>
      <x:c r="K72" s="83"/>
      <x:c r="L72" s="83"/>
      <x:c r="M72" s="83"/>
    </x:row>
    <x:row r="73">
      <x:c r="A73" s="83"/>
      <x:c r="B73" s="84"/>
      <x:c r="C73" s="83"/>
      <x:c r="D73" s="83"/>
      <x:c r="E73" s="83"/>
      <x:c r="F73" s="85"/>
      <x:c r="G73" s="178"/>
      <x:c r="H73" s="83"/>
      <x:c r="I73" s="83"/>
      <x:c r="J73" s="83"/>
      <x:c r="K73" s="83"/>
      <x:c r="L73" s="83"/>
      <x:c r="M73" s="83"/>
    </x:row>
    <x:row r="74">
      <x:c r="A74" s="83"/>
      <x:c r="B74" s="84"/>
      <x:c r="C74" s="83"/>
      <x:c r="D74" s="83"/>
      <x:c r="E74" s="83"/>
      <x:c r="F74" s="85"/>
      <x:c r="G74" s="178"/>
      <x:c r="H74" s="83"/>
      <x:c r="I74" s="83"/>
      <x:c r="J74" s="83"/>
      <x:c r="K74" s="83"/>
      <x:c r="L74" s="83"/>
      <x:c r="M74" s="83"/>
    </x:row>
    <x:row r="75">
      <x:c r="A75" s="83"/>
      <x:c r="B75" s="84"/>
      <x:c r="C75" s="83"/>
      <x:c r="D75" s="83"/>
      <x:c r="E75" s="83"/>
      <x:c r="F75" s="85"/>
      <x:c r="G75" s="178"/>
      <x:c r="H75" s="83"/>
      <x:c r="I75" s="83"/>
      <x:c r="J75" s="83"/>
      <x:c r="K75" s="83"/>
      <x:c r="L75" s="83"/>
      <x:c r="M75" s="83"/>
    </x:row>
    <x:row r="76">
      <x:c r="A76" s="83"/>
      <x:c r="B76" s="84"/>
      <x:c r="C76" s="83"/>
      <x:c r="D76" s="83"/>
      <x:c r="E76" s="83"/>
      <x:c r="F76" s="85"/>
      <x:c r="G76" s="178"/>
      <x:c r="H76" s="83"/>
      <x:c r="I76" s="83"/>
      <x:c r="J76" s="83"/>
      <x:c r="K76" s="83"/>
      <x:c r="L76" s="83"/>
      <x:c r="M76" s="83"/>
    </x:row>
    <x:row r="77">
      <x:c r="A77" s="83"/>
      <x:c r="B77" s="84"/>
      <x:c r="C77" s="83"/>
      <x:c r="D77" s="83"/>
      <x:c r="E77" s="83"/>
      <x:c r="F77" s="85"/>
      <x:c r="G77" s="178"/>
      <x:c r="H77" s="83"/>
      <x:c r="I77" s="83"/>
      <x:c r="J77" s="83"/>
      <x:c r="K77" s="83"/>
      <x:c r="L77" s="83"/>
      <x:c r="M77" s="83"/>
    </x:row>
    <x:row r="78">
      <x:c r="A78" s="83"/>
      <x:c r="B78" s="84"/>
      <x:c r="C78" s="83"/>
      <x:c r="D78" s="83"/>
      <x:c r="E78" s="83"/>
      <x:c r="F78" s="85"/>
      <x:c r="G78" s="178"/>
      <x:c r="H78" s="83"/>
      <x:c r="I78" s="83"/>
      <x:c r="J78" s="83"/>
      <x:c r="K78" s="83"/>
      <x:c r="L78" s="83"/>
      <x:c r="M78" s="83"/>
    </x:row>
    <x:row r="79">
      <x:c r="A79" s="83"/>
      <x:c r="B79" s="84"/>
      <x:c r="C79" s="83"/>
      <x:c r="D79" s="83"/>
      <x:c r="E79" s="83"/>
      <x:c r="F79" s="85"/>
      <x:c r="G79" s="178"/>
      <x:c r="H79" s="83"/>
      <x:c r="I79" s="83"/>
      <x:c r="J79" s="83"/>
      <x:c r="K79" s="83"/>
      <x:c r="L79" s="83"/>
      <x:c r="M79" s="83"/>
    </x:row>
    <x:row r="80">
      <x:c r="A80" s="83"/>
      <x:c r="B80" s="84"/>
      <x:c r="C80" s="83"/>
      <x:c r="D80" s="83"/>
      <x:c r="E80" s="83"/>
      <x:c r="F80" s="85"/>
      <x:c r="G80" s="178"/>
      <x:c r="H80" s="83"/>
      <x:c r="I80" s="83"/>
      <x:c r="J80" s="83"/>
      <x:c r="K80" s="83"/>
      <x:c r="L80" s="83"/>
      <x:c r="M80" s="83"/>
    </x:row>
    <x:row r="81">
      <x:c r="A81" s="83"/>
      <x:c r="B81" s="84"/>
      <x:c r="C81" s="83"/>
      <x:c r="D81" s="83"/>
      <x:c r="E81" s="83"/>
      <x:c r="F81" s="85"/>
      <x:c r="G81" s="178"/>
      <x:c r="H81" s="83"/>
      <x:c r="I81" s="83"/>
      <x:c r="J81" s="83"/>
      <x:c r="K81" s="83"/>
      <x:c r="L81" s="83"/>
      <x:c r="M81" s="83"/>
    </x:row>
    <x:row r="82">
      <x:c r="A82" s="83"/>
      <x:c r="B82" s="84"/>
      <x:c r="C82" s="83"/>
      <x:c r="D82" s="83"/>
      <x:c r="E82" s="83"/>
      <x:c r="F82" s="85"/>
      <x:c r="G82" s="178"/>
      <x:c r="H82" s="83"/>
      <x:c r="I82" s="83"/>
      <x:c r="J82" s="83"/>
      <x:c r="K82" s="83"/>
      <x:c r="L82" s="83"/>
      <x:c r="M82" s="83"/>
    </x:row>
    <x:row r="83">
      <x:c r="A83" s="83"/>
      <x:c r="B83" s="84"/>
      <x:c r="C83" s="83"/>
      <x:c r="D83" s="83"/>
      <x:c r="E83" s="83"/>
      <x:c r="F83" s="85"/>
      <x:c r="G83" s="178"/>
      <x:c r="H83" s="83"/>
      <x:c r="I83" s="83"/>
      <x:c r="J83" s="83"/>
      <x:c r="K83" s="83"/>
      <x:c r="L83" s="83"/>
      <x:c r="M83" s="83"/>
    </x:row>
    <x:row r="84">
      <x:c r="A84" s="83"/>
      <x:c r="B84" s="84"/>
      <x:c r="C84" s="83"/>
      <x:c r="D84" s="83"/>
      <x:c r="E84" s="83"/>
      <x:c r="F84" s="85"/>
      <x:c r="G84" s="178"/>
      <x:c r="H84" s="83"/>
      <x:c r="I84" s="83"/>
      <x:c r="J84" s="83"/>
      <x:c r="K84" s="83"/>
      <x:c r="L84" s="83"/>
      <x:c r="M84" s="83"/>
    </x:row>
    <x:row r="85">
      <x:c r="A85" s="83"/>
      <x:c r="B85" s="84"/>
      <x:c r="C85" s="83"/>
      <x:c r="D85" s="83"/>
      <x:c r="E85" s="83"/>
      <x:c r="F85" s="85"/>
      <x:c r="G85" s="178"/>
      <x:c r="H85" s="83"/>
      <x:c r="I85" s="83"/>
      <x:c r="J85" s="83"/>
      <x:c r="K85" s="83"/>
      <x:c r="L85" s="83"/>
      <x:c r="M85" s="83"/>
    </x:row>
    <x:row r="86">
      <x:c r="A86" s="83"/>
      <x:c r="B86" s="84"/>
      <x:c r="C86" s="83"/>
      <x:c r="D86" s="83"/>
      <x:c r="E86" s="83"/>
      <x:c r="F86" s="85"/>
      <x:c r="G86" s="178"/>
      <x:c r="H86" s="83"/>
      <x:c r="I86" s="83"/>
      <x:c r="J86" s="83"/>
      <x:c r="K86" s="83"/>
      <x:c r="L86" s="83"/>
      <x:c r="M86" s="83"/>
    </x:row>
    <x:row r="87">
      <x:c r="A87" s="83"/>
      <x:c r="B87" s="84"/>
      <x:c r="C87" s="83"/>
      <x:c r="D87" s="83"/>
      <x:c r="E87" s="83"/>
      <x:c r="F87" s="85"/>
      <x:c r="G87" s="178"/>
      <x:c r="H87" s="83"/>
      <x:c r="I87" s="83"/>
      <x:c r="J87" s="83"/>
      <x:c r="K87" s="83"/>
      <x:c r="L87" s="83"/>
      <x:c r="M87" s="83"/>
    </x:row>
    <x:row r="88">
      <x:c r="A88" s="83"/>
      <x:c r="B88" s="84"/>
      <x:c r="C88" s="83"/>
      <x:c r="D88" s="83"/>
      <x:c r="E88" s="83"/>
      <x:c r="F88" s="85"/>
      <x:c r="G88" s="178"/>
      <x:c r="H88" s="83"/>
      <x:c r="I88" s="83"/>
      <x:c r="J88" s="83"/>
      <x:c r="K88" s="83"/>
      <x:c r="L88" s="83"/>
      <x:c r="M88" s="83"/>
    </x:row>
    <x:row r="89">
      <x:c r="A89" s="83"/>
      <x:c r="B89" s="84"/>
      <x:c r="C89" s="83"/>
      <x:c r="D89" s="83"/>
      <x:c r="E89" s="83"/>
      <x:c r="F89" s="85"/>
      <x:c r="G89" s="178"/>
      <x:c r="H89" s="83"/>
      <x:c r="I89" s="83"/>
      <x:c r="J89" s="83"/>
      <x:c r="K89" s="83"/>
      <x:c r="L89" s="83"/>
      <x:c r="M89" s="83"/>
    </x:row>
    <x:row r="90">
      <x:c r="A90" s="83"/>
      <x:c r="B90" s="84"/>
      <x:c r="C90" s="83"/>
      <x:c r="D90" s="83"/>
      <x:c r="E90" s="83"/>
      <x:c r="F90" s="85"/>
      <x:c r="G90" s="178"/>
      <x:c r="H90" s="83"/>
      <x:c r="I90" s="83"/>
      <x:c r="J90" s="83"/>
      <x:c r="K90" s="83"/>
      <x:c r="L90" s="83"/>
      <x:c r="M90" s="83"/>
    </x:row>
    <x:row r="91">
      <x:c r="A91" s="83"/>
      <x:c r="B91" s="84"/>
      <x:c r="C91" s="83"/>
      <x:c r="D91" s="83"/>
      <x:c r="E91" s="83"/>
      <x:c r="F91" s="85"/>
      <x:c r="G91" s="178"/>
      <x:c r="H91" s="83"/>
      <x:c r="I91" s="83"/>
      <x:c r="J91" s="83"/>
      <x:c r="K91" s="83"/>
      <x:c r="L91" s="83"/>
      <x:c r="M91" s="83"/>
    </x:row>
    <x:row r="92">
      <x:c r="A92" s="83"/>
      <x:c r="B92" s="84"/>
      <x:c r="C92" s="83"/>
      <x:c r="D92" s="83"/>
      <x:c r="E92" s="83"/>
      <x:c r="F92" s="85"/>
      <x:c r="G92" s="178"/>
      <x:c r="H92" s="83"/>
      <x:c r="I92" s="83"/>
      <x:c r="J92" s="83"/>
      <x:c r="K92" s="83"/>
      <x:c r="L92" s="83"/>
      <x:c r="M92" s="83"/>
    </x:row>
    <x:row r="93">
      <x:c r="A93" s="83"/>
      <x:c r="B93" s="84"/>
      <x:c r="C93" s="83"/>
      <x:c r="D93" s="83"/>
      <x:c r="E93" s="83"/>
      <x:c r="F93" s="85"/>
      <x:c r="G93" s="178"/>
      <x:c r="H93" s="83"/>
      <x:c r="I93" s="83"/>
      <x:c r="J93" s="83"/>
      <x:c r="K93" s="83"/>
      <x:c r="L93" s="83"/>
      <x:c r="M93" s="83"/>
    </x:row>
    <x:row r="94">
      <x:c r="A94" s="83"/>
      <x:c r="B94" s="84"/>
      <x:c r="C94" s="83"/>
      <x:c r="D94" s="83"/>
      <x:c r="E94" s="83"/>
      <x:c r="F94" s="85"/>
      <x:c r="G94" s="178"/>
      <x:c r="H94" s="83"/>
      <x:c r="I94" s="83"/>
      <x:c r="J94" s="83"/>
      <x:c r="K94" s="83"/>
      <x:c r="L94" s="83"/>
      <x:c r="M94" s="83"/>
    </x:row>
    <x:row r="95">
      <x:c r="A95" s="83"/>
      <x:c r="B95" s="84"/>
      <x:c r="C95" s="83"/>
      <x:c r="D95" s="83"/>
      <x:c r="E95" s="83"/>
      <x:c r="F95" s="85"/>
      <x:c r="G95" s="178"/>
      <x:c r="H95" s="83"/>
      <x:c r="I95" s="83"/>
      <x:c r="J95" s="83"/>
      <x:c r="K95" s="83"/>
      <x:c r="L95" s="83"/>
      <x:c r="M95" s="83"/>
    </x:row>
    <x:row r="96">
      <x:c r="A96" s="83"/>
      <x:c r="B96" s="84"/>
      <x:c r="C96" s="83"/>
      <x:c r="D96" s="83"/>
      <x:c r="E96" s="83"/>
      <x:c r="F96" s="85"/>
      <x:c r="G96" s="178"/>
      <x:c r="H96" s="83"/>
      <x:c r="I96" s="83"/>
      <x:c r="J96" s="83"/>
      <x:c r="K96" s="83"/>
      <x:c r="L96" s="83"/>
      <x:c r="M96" s="83"/>
    </x:row>
    <x:row r="97">
      <x:c r="A97" s="83"/>
      <x:c r="B97" s="84"/>
      <x:c r="C97" s="83"/>
      <x:c r="D97" s="83"/>
      <x:c r="E97" s="83"/>
      <x:c r="F97" s="85"/>
      <x:c r="G97" s="178"/>
      <x:c r="H97" s="83"/>
      <x:c r="I97" s="83"/>
      <x:c r="J97" s="83"/>
      <x:c r="K97" s="83"/>
      <x:c r="L97" s="83"/>
      <x:c r="M97" s="83"/>
    </x:row>
    <x:row r="98">
      <x:c r="A98" s="83"/>
      <x:c r="B98" s="84"/>
      <x:c r="C98" s="83"/>
      <x:c r="D98" s="83"/>
      <x:c r="E98" s="83"/>
      <x:c r="F98" s="85"/>
      <x:c r="G98" s="178"/>
      <x:c r="H98" s="83"/>
      <x:c r="I98" s="83"/>
      <x:c r="J98" s="83"/>
      <x:c r="K98" s="83"/>
      <x:c r="L98" s="83"/>
      <x:c r="M98" s="83"/>
    </x:row>
    <x:row r="99">
      <x:c r="A99" s="83"/>
      <x:c r="B99" s="84"/>
      <x:c r="C99" s="83"/>
      <x:c r="D99" s="83"/>
      <x:c r="E99" s="83"/>
      <x:c r="F99" s="85"/>
      <x:c r="G99" s="178"/>
      <x:c r="H99" s="83"/>
      <x:c r="I99" s="83"/>
      <x:c r="J99" s="83"/>
      <x:c r="K99" s="83"/>
      <x:c r="L99" s="83"/>
      <x:c r="M99" s="83"/>
    </x:row>
    <x:row r="100">
      <x:c r="A100" s="83"/>
      <x:c r="B100" s="84"/>
      <x:c r="C100" s="83"/>
      <x:c r="D100" s="83"/>
      <x:c r="E100" s="83"/>
      <x:c r="F100" s="85"/>
      <x:c r="G100" s="178"/>
      <x:c r="H100" s="83"/>
      <x:c r="I100" s="83"/>
      <x:c r="J100" s="83"/>
      <x:c r="K100" s="83"/>
      <x:c r="L100" s="83"/>
      <x:c r="M100" s="83"/>
    </x:row>
    <x:row r="101">
      <x:c r="A101" s="83"/>
      <x:c r="B101" s="84"/>
      <x:c r="C101" s="83"/>
      <x:c r="D101" s="83"/>
      <x:c r="E101" s="83"/>
      <x:c r="F101" s="85"/>
      <x:c r="G101" s="178"/>
      <x:c r="H101" s="83"/>
      <x:c r="I101" s="83"/>
      <x:c r="J101" s="83"/>
      <x:c r="K101" s="83"/>
      <x:c r="L101" s="83"/>
      <x:c r="M101" s="83"/>
    </x:row>
    <x:row r="102">
      <x:c r="A102" s="83"/>
      <x:c r="B102" s="84"/>
      <x:c r="C102" s="83"/>
      <x:c r="D102" s="83"/>
      <x:c r="E102" s="83"/>
      <x:c r="F102" s="85"/>
      <x:c r="G102" s="178"/>
      <x:c r="H102" s="83"/>
      <x:c r="I102" s="83"/>
      <x:c r="J102" s="83"/>
      <x:c r="K102" s="83"/>
      <x:c r="L102" s="83"/>
      <x:c r="M102" s="83"/>
    </x:row>
    <x:row r="103">
      <x:c r="A103" s="83"/>
      <x:c r="B103" s="84"/>
      <x:c r="C103" s="83"/>
      <x:c r="D103" s="83"/>
      <x:c r="E103" s="83"/>
      <x:c r="F103" s="85"/>
      <x:c r="G103" s="178"/>
      <x:c r="H103" s="83"/>
      <x:c r="I103" s="83"/>
      <x:c r="J103" s="83"/>
      <x:c r="K103" s="83"/>
      <x:c r="L103" s="83"/>
      <x:c r="M103" s="83"/>
    </x:row>
    <x:row r="104">
      <x:c r="A104" s="83"/>
      <x:c r="B104" s="84"/>
      <x:c r="C104" s="83"/>
      <x:c r="D104" s="83"/>
      <x:c r="E104" s="83"/>
      <x:c r="F104" s="85"/>
      <x:c r="G104" s="178"/>
      <x:c r="H104" s="83"/>
      <x:c r="I104" s="83"/>
      <x:c r="J104" s="83"/>
      <x:c r="K104" s="83"/>
      <x:c r="L104" s="83"/>
      <x:c r="M104" s="83"/>
    </x:row>
    <x:row r="105">
      <x:c r="A105" s="83"/>
      <x:c r="B105" s="84"/>
      <x:c r="C105" s="83"/>
      <x:c r="D105" s="83"/>
      <x:c r="E105" s="83"/>
      <x:c r="F105" s="85"/>
      <x:c r="G105" s="178"/>
      <x:c r="H105" s="83"/>
      <x:c r="I105" s="83"/>
      <x:c r="J105" s="83"/>
      <x:c r="K105" s="83"/>
      <x:c r="L105" s="83"/>
      <x:c r="M105" s="83"/>
    </x:row>
    <x:row r="106">
      <x:c r="A106" s="83"/>
      <x:c r="B106" s="84"/>
      <x:c r="C106" s="83"/>
      <x:c r="D106" s="83"/>
      <x:c r="E106" s="83"/>
      <x:c r="F106" s="85"/>
      <x:c r="G106" s="178"/>
      <x:c r="H106" s="83"/>
      <x:c r="I106" s="83"/>
      <x:c r="J106" s="83"/>
      <x:c r="K106" s="83"/>
      <x:c r="L106" s="83"/>
      <x:c r="M106" s="83"/>
    </x:row>
    <x:row r="107">
      <x:c r="A107" s="83"/>
      <x:c r="B107" s="84"/>
      <x:c r="C107" s="83"/>
      <x:c r="D107" s="83"/>
      <x:c r="E107" s="83"/>
      <x:c r="F107" s="85"/>
      <x:c r="G107" s="178"/>
      <x:c r="H107" s="83"/>
      <x:c r="I107" s="83"/>
      <x:c r="J107" s="83"/>
      <x:c r="K107" s="83"/>
      <x:c r="L107" s="83"/>
      <x:c r="M107" s="83"/>
    </x:row>
    <x:row r="108">
      <x:c r="A108" s="83"/>
      <x:c r="B108" s="84"/>
      <x:c r="C108" s="83"/>
      <x:c r="D108" s="83"/>
      <x:c r="E108" s="83"/>
      <x:c r="F108" s="85"/>
      <x:c r="G108" s="178"/>
      <x:c r="H108" s="83"/>
      <x:c r="I108" s="83"/>
      <x:c r="J108" s="83"/>
      <x:c r="K108" s="83"/>
      <x:c r="L108" s="83"/>
      <x:c r="M108" s="83"/>
    </x:row>
    <x:row r="109">
      <x:c r="A109" s="83"/>
      <x:c r="B109" s="84"/>
      <x:c r="C109" s="83"/>
      <x:c r="D109" s="83"/>
      <x:c r="E109" s="83"/>
      <x:c r="F109" s="85"/>
      <x:c r="G109" s="178"/>
      <x:c r="H109" s="83"/>
      <x:c r="I109" s="83"/>
      <x:c r="J109" s="83"/>
      <x:c r="K109" s="83"/>
      <x:c r="L109" s="83"/>
      <x:c r="M109" s="83"/>
    </x:row>
    <x:row r="110">
      <x:c r="A110" s="83"/>
      <x:c r="B110" s="84"/>
      <x:c r="C110" s="83"/>
      <x:c r="D110" s="83"/>
      <x:c r="E110" s="83"/>
      <x:c r="F110" s="85"/>
      <x:c r="G110" s="178"/>
      <x:c r="H110" s="83"/>
      <x:c r="I110" s="83"/>
      <x:c r="J110" s="83"/>
      <x:c r="K110" s="83"/>
      <x:c r="L110" s="83"/>
      <x:c r="M110" s="83"/>
    </x:row>
    <x:row r="111">
      <x:c r="A111" s="83"/>
      <x:c r="B111" s="84"/>
      <x:c r="C111" s="83"/>
      <x:c r="D111" s="83"/>
      <x:c r="E111" s="83"/>
      <x:c r="F111" s="85"/>
      <x:c r="G111" s="178"/>
      <x:c r="H111" s="83"/>
      <x:c r="I111" s="83"/>
      <x:c r="J111" s="83"/>
      <x:c r="K111" s="83"/>
      <x:c r="L111" s="83"/>
      <x:c r="M111" s="83"/>
    </x:row>
    <x:row r="112">
      <x:c r="A112" s="83"/>
      <x:c r="B112" s="84"/>
      <x:c r="C112" s="83"/>
      <x:c r="D112" s="83"/>
      <x:c r="E112" s="83"/>
      <x:c r="F112" s="85"/>
      <x:c r="G112" s="178"/>
      <x:c r="H112" s="83"/>
      <x:c r="I112" s="83"/>
      <x:c r="J112" s="83"/>
      <x:c r="K112" s="83"/>
      <x:c r="L112" s="83"/>
      <x:c r="M112" s="83"/>
    </x:row>
    <x:row r="113">
      <x:c r="A113" s="83"/>
      <x:c r="B113" s="84"/>
      <x:c r="C113" s="83"/>
      <x:c r="D113" s="83"/>
      <x:c r="E113" s="83"/>
      <x:c r="F113" s="85"/>
      <x:c r="G113" s="178"/>
      <x:c r="H113" s="83"/>
      <x:c r="I113" s="83"/>
      <x:c r="J113" s="83"/>
      <x:c r="K113" s="83"/>
      <x:c r="L113" s="83"/>
      <x:c r="M113" s="83"/>
    </x:row>
    <x:row r="114">
      <x:c r="A114" s="83"/>
      <x:c r="B114" s="84"/>
      <x:c r="C114" s="83"/>
      <x:c r="D114" s="83"/>
      <x:c r="E114" s="83"/>
      <x:c r="F114" s="85"/>
      <x:c r="G114" s="178"/>
      <x:c r="H114" s="83"/>
      <x:c r="I114" s="83"/>
      <x:c r="J114" s="83"/>
      <x:c r="K114" s="83"/>
      <x:c r="L114" s="83"/>
      <x:c r="M114" s="83"/>
    </x:row>
    <x:row r="115">
      <x:c r="A115" s="83"/>
      <x:c r="B115" s="84"/>
      <x:c r="C115" s="83"/>
      <x:c r="D115" s="83"/>
      <x:c r="E115" s="83"/>
      <x:c r="F115" s="85"/>
      <x:c r="G115" s="178"/>
      <x:c r="H115" s="83"/>
      <x:c r="I115" s="83"/>
      <x:c r="J115" s="83"/>
      <x:c r="K115" s="83"/>
      <x:c r="L115" s="83"/>
      <x:c r="M115" s="83"/>
    </x:row>
    <x:row r="116">
      <x:c r="A116" s="83"/>
      <x:c r="B116" s="84"/>
      <x:c r="C116" s="83"/>
      <x:c r="D116" s="83"/>
      <x:c r="E116" s="83"/>
      <x:c r="F116" s="85"/>
      <x:c r="G116" s="178"/>
      <x:c r="H116" s="83"/>
      <x:c r="I116" s="83"/>
      <x:c r="J116" s="83"/>
      <x:c r="K116" s="83"/>
      <x:c r="L116" s="83"/>
      <x:c r="M116" s="83"/>
    </x:row>
    <x:row r="117">
      <x:c r="A117" s="83"/>
      <x:c r="B117" s="84"/>
      <x:c r="C117" s="83"/>
      <x:c r="D117" s="83"/>
      <x:c r="E117" s="83"/>
      <x:c r="F117" s="85"/>
      <x:c r="G117" s="178"/>
      <x:c r="H117" s="83"/>
      <x:c r="I117" s="83"/>
      <x:c r="J117" s="83"/>
      <x:c r="K117" s="83"/>
      <x:c r="L117" s="83"/>
      <x:c r="M117" s="83"/>
    </x:row>
    <x:row r="118">
      <x:c r="A118" s="83"/>
      <x:c r="B118" s="84"/>
      <x:c r="C118" s="83"/>
      <x:c r="D118" s="83"/>
      <x:c r="E118" s="83"/>
      <x:c r="F118" s="85"/>
      <x:c r="G118" s="178"/>
      <x:c r="H118" s="83"/>
      <x:c r="I118" s="83"/>
      <x:c r="J118" s="83"/>
      <x:c r="K118" s="83"/>
      <x:c r="L118" s="83"/>
      <x:c r="M118" s="83"/>
    </x:row>
    <x:row r="119">
      <x:c r="A119" s="83"/>
      <x:c r="B119" s="84"/>
      <x:c r="C119" s="83"/>
      <x:c r="D119" s="83"/>
      <x:c r="E119" s="83"/>
      <x:c r="F119" s="85"/>
      <x:c r="G119" s="178"/>
      <x:c r="H119" s="83"/>
      <x:c r="I119" s="83"/>
      <x:c r="J119" s="83"/>
      <x:c r="K119" s="83"/>
      <x:c r="L119" s="83"/>
      <x:c r="M119" s="83"/>
    </x:row>
    <x:row r="120">
      <x:c r="A120" s="83"/>
      <x:c r="B120" s="84"/>
      <x:c r="C120" s="83"/>
      <x:c r="D120" s="83"/>
      <x:c r="E120" s="83"/>
      <x:c r="F120" s="85"/>
      <x:c r="G120" s="178"/>
      <x:c r="H120" s="83"/>
      <x:c r="I120" s="83"/>
      <x:c r="J120" s="83"/>
      <x:c r="K120" s="83"/>
      <x:c r="L120" s="83"/>
      <x:c r="M120" s="83"/>
    </x:row>
    <x:row r="121">
      <x:c r="A121" s="83"/>
      <x:c r="B121" s="84"/>
      <x:c r="C121" s="83"/>
      <x:c r="D121" s="83"/>
      <x:c r="E121" s="83"/>
      <x:c r="F121" s="85"/>
      <x:c r="G121" s="178"/>
      <x:c r="H121" s="83"/>
      <x:c r="I121" s="83"/>
      <x:c r="J121" s="83"/>
      <x:c r="K121" s="83"/>
      <x:c r="L121" s="83"/>
      <x:c r="M121" s="83"/>
    </x:row>
    <x:row r="122">
      <x:c r="A122" s="83"/>
      <x:c r="B122" s="84"/>
      <x:c r="C122" s="83"/>
      <x:c r="D122" s="83"/>
      <x:c r="E122" s="83"/>
      <x:c r="F122" s="85"/>
      <x:c r="G122" s="178"/>
      <x:c r="H122" s="83"/>
      <x:c r="I122" s="83"/>
      <x:c r="J122" s="83"/>
      <x:c r="K122" s="83"/>
      <x:c r="L122" s="83"/>
      <x:c r="M122" s="83"/>
    </x:row>
    <x:row r="123">
      <x:c r="A123" s="83"/>
      <x:c r="B123" s="84"/>
      <x:c r="C123" s="83"/>
      <x:c r="D123" s="83"/>
      <x:c r="E123" s="83"/>
      <x:c r="F123" s="85"/>
      <x:c r="G123" s="178"/>
      <x:c r="H123" s="83"/>
      <x:c r="I123" s="83"/>
      <x:c r="J123" s="83"/>
      <x:c r="K123" s="83"/>
      <x:c r="L123" s="83"/>
      <x:c r="M123" s="83"/>
    </x:row>
    <x:row r="124">
      <x:c r="A124" s="83"/>
      <x:c r="B124" s="84"/>
      <x:c r="C124" s="83"/>
      <x:c r="D124" s="83"/>
      <x:c r="E124" s="83"/>
      <x:c r="F124" s="85"/>
      <x:c r="G124" s="178"/>
      <x:c r="H124" s="83"/>
      <x:c r="I124" s="83"/>
      <x:c r="J124" s="83"/>
      <x:c r="K124" s="83"/>
      <x:c r="L124" s="83"/>
      <x:c r="M124" s="83"/>
    </x:row>
    <x:row r="125">
      <x:c r="A125" s="83"/>
      <x:c r="B125" s="84"/>
      <x:c r="C125" s="83"/>
      <x:c r="D125" s="83"/>
      <x:c r="E125" s="83"/>
      <x:c r="F125" s="85"/>
      <x:c r="G125" s="178"/>
      <x:c r="H125" s="83"/>
      <x:c r="I125" s="83"/>
      <x:c r="J125" s="83"/>
      <x:c r="K125" s="83"/>
      <x:c r="L125" s="83"/>
      <x:c r="M125" s="83"/>
    </x:row>
    <x:row r="126">
      <x:c r="A126" s="83"/>
      <x:c r="B126" s="84"/>
      <x:c r="C126" s="83"/>
      <x:c r="D126" s="83"/>
      <x:c r="E126" s="83"/>
      <x:c r="F126" s="85"/>
      <x:c r="G126" s="178"/>
      <x:c r="H126" s="83"/>
      <x:c r="I126" s="83"/>
      <x:c r="J126" s="83"/>
      <x:c r="K126" s="83"/>
      <x:c r="L126" s="83"/>
      <x:c r="M126" s="83"/>
    </x:row>
    <x:row r="127">
      <x:c r="A127" s="83"/>
      <x:c r="B127" s="84"/>
      <x:c r="C127" s="83"/>
      <x:c r="D127" s="83"/>
      <x:c r="E127" s="83"/>
      <x:c r="F127" s="85"/>
      <x:c r="G127" s="178"/>
      <x:c r="H127" s="83"/>
      <x:c r="I127" s="83"/>
      <x:c r="J127" s="83"/>
      <x:c r="K127" s="83"/>
      <x:c r="L127" s="83"/>
      <x:c r="M127" s="83"/>
    </x:row>
    <x:row r="128">
      <x:c r="A128" s="83"/>
      <x:c r="B128" s="84"/>
      <x:c r="C128" s="83"/>
      <x:c r="D128" s="83"/>
      <x:c r="E128" s="83"/>
      <x:c r="F128" s="85"/>
      <x:c r="G128" s="178"/>
      <x:c r="H128" s="83"/>
      <x:c r="I128" s="83"/>
      <x:c r="J128" s="83"/>
      <x:c r="K128" s="83"/>
      <x:c r="L128" s="83"/>
      <x:c r="M128" s="83"/>
    </x:row>
    <x:row r="129">
      <x:c r="A129" s="83"/>
      <x:c r="B129" s="84"/>
      <x:c r="C129" s="83"/>
      <x:c r="D129" s="83"/>
      <x:c r="E129" s="83"/>
      <x:c r="F129" s="85"/>
      <x:c r="G129" s="178"/>
      <x:c r="H129" s="83"/>
      <x:c r="I129" s="83"/>
      <x:c r="J129" s="83"/>
      <x:c r="K129" s="83"/>
      <x:c r="L129" s="83"/>
      <x:c r="M129" s="83"/>
    </x:row>
    <x:row r="130">
      <x:c r="A130" s="83"/>
      <x:c r="B130" s="84"/>
      <x:c r="C130" s="83"/>
      <x:c r="D130" s="83"/>
      <x:c r="E130" s="83"/>
      <x:c r="F130" s="85"/>
      <x:c r="G130" s="178"/>
      <x:c r="H130" s="83"/>
      <x:c r="I130" s="83"/>
      <x:c r="J130" s="83"/>
      <x:c r="K130" s="83"/>
      <x:c r="L130" s="83"/>
      <x:c r="M130" s="83"/>
    </x:row>
    <x:row r="131">
      <x:c r="A131" s="83"/>
      <x:c r="B131" s="84"/>
      <x:c r="C131" s="83"/>
      <x:c r="D131" s="83"/>
      <x:c r="E131" s="83"/>
      <x:c r="F131" s="85"/>
      <x:c r="G131" s="178"/>
      <x:c r="H131" s="83"/>
      <x:c r="I131" s="83"/>
      <x:c r="J131" s="83"/>
      <x:c r="K131" s="83"/>
      <x:c r="L131" s="83"/>
      <x:c r="M131" s="83"/>
    </x:row>
    <x:row r="132">
      <x:c r="A132" s="83"/>
      <x:c r="B132" s="84"/>
      <x:c r="C132" s="83"/>
      <x:c r="D132" s="83"/>
      <x:c r="E132" s="83"/>
      <x:c r="F132" s="85"/>
      <x:c r="G132" s="178"/>
      <x:c r="H132" s="83"/>
      <x:c r="I132" s="83"/>
      <x:c r="J132" s="83"/>
      <x:c r="K132" s="83"/>
      <x:c r="L132" s="83"/>
      <x:c r="M132" s="83"/>
    </x:row>
    <x:row r="133">
      <x:c r="A133" s="83"/>
      <x:c r="B133" s="84"/>
      <x:c r="C133" s="83"/>
      <x:c r="D133" s="83"/>
      <x:c r="E133" s="83"/>
      <x:c r="F133" s="85"/>
      <x:c r="G133" s="178"/>
      <x:c r="H133" s="83"/>
      <x:c r="I133" s="83"/>
      <x:c r="J133" s="83"/>
      <x:c r="K133" s="83"/>
      <x:c r="L133" s="83"/>
      <x:c r="M133" s="83"/>
    </x:row>
    <x:row r="134">
      <x:c r="A134" s="83"/>
      <x:c r="B134" s="84"/>
      <x:c r="C134" s="83"/>
      <x:c r="D134" s="83"/>
      <x:c r="E134" s="83"/>
      <x:c r="F134" s="85"/>
      <x:c r="G134" s="178"/>
      <x:c r="H134" s="83"/>
      <x:c r="I134" s="83"/>
      <x:c r="J134" s="83"/>
      <x:c r="K134" s="83"/>
      <x:c r="L134" s="83"/>
      <x:c r="M134" s="83"/>
    </x:row>
    <x:row r="135">
      <x:c r="A135" s="83"/>
      <x:c r="B135" s="84"/>
      <x:c r="C135" s="83"/>
      <x:c r="D135" s="83"/>
      <x:c r="E135" s="83"/>
      <x:c r="F135" s="85"/>
      <x:c r="G135" s="178"/>
      <x:c r="H135" s="83"/>
      <x:c r="I135" s="83"/>
      <x:c r="J135" s="83"/>
      <x:c r="K135" s="83"/>
      <x:c r="L135" s="83"/>
      <x:c r="M135" s="83"/>
    </x:row>
    <x:row r="136">
      <x:c r="A136" s="83"/>
      <x:c r="B136" s="84"/>
      <x:c r="C136" s="83"/>
      <x:c r="D136" s="83"/>
      <x:c r="E136" s="83"/>
      <x:c r="F136" s="85"/>
      <x:c r="G136" s="178"/>
      <x:c r="H136" s="83"/>
      <x:c r="I136" s="83"/>
      <x:c r="J136" s="83"/>
      <x:c r="K136" s="83"/>
      <x:c r="L136" s="83"/>
      <x:c r="M136" s="83"/>
    </x:row>
    <x:row r="137">
      <x:c r="A137" s="83"/>
      <x:c r="B137" s="84"/>
      <x:c r="C137" s="83"/>
      <x:c r="D137" s="83"/>
      <x:c r="E137" s="83"/>
      <x:c r="F137" s="85"/>
      <x:c r="G137" s="178"/>
      <x:c r="H137" s="83"/>
      <x:c r="I137" s="83"/>
      <x:c r="J137" s="83"/>
      <x:c r="K137" s="83"/>
      <x:c r="L137" s="83"/>
      <x:c r="M137" s="83"/>
    </x:row>
    <x:row r="138">
      <x:c r="A138" s="83"/>
      <x:c r="B138" s="84"/>
      <x:c r="C138" s="83"/>
      <x:c r="D138" s="83"/>
      <x:c r="E138" s="83"/>
      <x:c r="F138" s="85"/>
      <x:c r="G138" s="178"/>
      <x:c r="H138" s="83"/>
      <x:c r="I138" s="83"/>
      <x:c r="J138" s="83"/>
      <x:c r="K138" s="83"/>
      <x:c r="L138" s="83"/>
      <x:c r="M138" s="83"/>
    </x:row>
    <x:row r="139">
      <x:c r="A139" s="83"/>
      <x:c r="B139" s="84"/>
      <x:c r="C139" s="83"/>
      <x:c r="D139" s="83"/>
      <x:c r="E139" s="83"/>
      <x:c r="F139" s="85"/>
      <x:c r="G139" s="178"/>
      <x:c r="H139" s="83"/>
      <x:c r="I139" s="83"/>
      <x:c r="J139" s="83"/>
      <x:c r="K139" s="83"/>
      <x:c r="L139" s="83"/>
      <x:c r="M139" s="83"/>
    </x:row>
    <x:row r="140">
      <x:c r="A140" s="83"/>
      <x:c r="B140" s="84"/>
      <x:c r="C140" s="83"/>
      <x:c r="D140" s="83"/>
      <x:c r="E140" s="83"/>
      <x:c r="F140" s="85"/>
      <x:c r="G140" s="178"/>
      <x:c r="H140" s="83"/>
      <x:c r="I140" s="83"/>
      <x:c r="J140" s="83"/>
      <x:c r="K140" s="83"/>
      <x:c r="L140" s="83"/>
      <x:c r="M140" s="83"/>
    </x:row>
    <x:row r="141">
      <x:c r="A141" s="83"/>
      <x:c r="B141" s="84"/>
      <x:c r="C141" s="83"/>
      <x:c r="D141" s="83"/>
      <x:c r="E141" s="83"/>
      <x:c r="F141" s="85"/>
      <x:c r="G141" s="178"/>
      <x:c r="H141" s="83"/>
      <x:c r="I141" s="83"/>
      <x:c r="J141" s="83"/>
      <x:c r="K141" s="83"/>
      <x:c r="L141" s="83"/>
      <x:c r="M141" s="83"/>
    </x:row>
    <x:row r="142">
      <x:c r="A142" s="83"/>
      <x:c r="B142" s="84"/>
      <x:c r="C142" s="83"/>
      <x:c r="D142" s="83"/>
      <x:c r="E142" s="83"/>
      <x:c r="F142" s="85"/>
      <x:c r="G142" s="178"/>
      <x:c r="H142" s="83"/>
      <x:c r="I142" s="83"/>
      <x:c r="J142" s="83"/>
      <x:c r="K142" s="83"/>
      <x:c r="L142" s="83"/>
      <x:c r="M142" s="83"/>
    </x:row>
    <x:row r="143">
      <x:c r="A143" s="83"/>
      <x:c r="B143" s="84"/>
      <x:c r="C143" s="83"/>
      <x:c r="D143" s="83"/>
      <x:c r="E143" s="83"/>
      <x:c r="F143" s="85"/>
      <x:c r="G143" s="178"/>
      <x:c r="H143" s="83"/>
      <x:c r="I143" s="83"/>
      <x:c r="J143" s="83"/>
      <x:c r="K143" s="83"/>
      <x:c r="L143" s="83"/>
      <x:c r="M143" s="83"/>
    </x:row>
    <x:row r="144">
      <x:c r="A144" s="83"/>
      <x:c r="B144" s="84"/>
      <x:c r="C144" s="83"/>
      <x:c r="D144" s="83"/>
      <x:c r="E144" s="83"/>
      <x:c r="F144" s="85"/>
      <x:c r="G144" s="178"/>
      <x:c r="H144" s="83"/>
      <x:c r="I144" s="83"/>
      <x:c r="J144" s="83"/>
      <x:c r="K144" s="83"/>
      <x:c r="L144" s="83"/>
      <x:c r="M144" s="83"/>
    </x:row>
    <x:row r="145">
      <x:c r="A145" s="83"/>
      <x:c r="B145" s="84"/>
      <x:c r="C145" s="83"/>
      <x:c r="D145" s="83"/>
      <x:c r="E145" s="83"/>
      <x:c r="F145" s="85"/>
      <x:c r="G145" s="178"/>
      <x:c r="H145" s="83"/>
      <x:c r="I145" s="83"/>
      <x:c r="J145" s="83"/>
      <x:c r="K145" s="83"/>
      <x:c r="L145" s="83"/>
      <x:c r="M145" s="83"/>
    </x:row>
    <x:row r="146">
      <x:c r="A146" s="83"/>
      <x:c r="B146" s="84"/>
      <x:c r="C146" s="83"/>
      <x:c r="D146" s="83"/>
      <x:c r="E146" s="83"/>
      <x:c r="F146" s="85"/>
      <x:c r="G146" s="178"/>
      <x:c r="H146" s="83"/>
      <x:c r="I146" s="83"/>
      <x:c r="J146" s="83"/>
      <x:c r="K146" s="83"/>
      <x:c r="L146" s="83"/>
      <x:c r="M146" s="83"/>
    </x:row>
    <x:row r="147">
      <x:c r="A147" s="83"/>
      <x:c r="B147" s="84"/>
      <x:c r="C147" s="83"/>
      <x:c r="D147" s="83"/>
      <x:c r="E147" s="83"/>
      <x:c r="F147" s="85"/>
      <x:c r="G147" s="178"/>
      <x:c r="H147" s="83"/>
      <x:c r="I147" s="83"/>
      <x:c r="J147" s="83"/>
      <x:c r="K147" s="83"/>
      <x:c r="L147" s="83"/>
      <x:c r="M147" s="83"/>
    </x:row>
    <x:row r="148">
      <x:c r="A148" s="83"/>
      <x:c r="B148" s="84"/>
      <x:c r="C148" s="83"/>
      <x:c r="D148" s="83"/>
      <x:c r="E148" s="83"/>
      <x:c r="F148" s="85"/>
      <x:c r="G148" s="178"/>
      <x:c r="H148" s="83"/>
      <x:c r="I148" s="83"/>
      <x:c r="J148" s="83"/>
      <x:c r="K148" s="83"/>
      <x:c r="L148" s="83"/>
      <x:c r="M148" s="83"/>
    </x:row>
    <x:row r="149">
      <x:c r="A149" s="83"/>
      <x:c r="B149" s="84"/>
      <x:c r="C149" s="83"/>
      <x:c r="D149" s="83"/>
      <x:c r="E149" s="83"/>
      <x:c r="F149" s="85"/>
      <x:c r="G149" s="178"/>
      <x:c r="H149" s="83"/>
      <x:c r="I149" s="83"/>
      <x:c r="J149" s="83"/>
      <x:c r="K149" s="83"/>
      <x:c r="L149" s="83"/>
      <x:c r="M149" s="83"/>
    </x:row>
    <x:row r="150">
      <x:c r="A150" s="83"/>
      <x:c r="B150" s="84"/>
      <x:c r="C150" s="83"/>
      <x:c r="D150" s="83"/>
      <x:c r="E150" s="83"/>
      <x:c r="F150" s="85"/>
      <x:c r="G150" s="178"/>
      <x:c r="H150" s="83"/>
      <x:c r="I150" s="83"/>
      <x:c r="J150" s="83"/>
      <x:c r="K150" s="83"/>
      <x:c r="L150" s="83"/>
      <x:c r="M150" s="83"/>
    </x:row>
    <x:row r="151">
      <x:c r="A151" s="83"/>
      <x:c r="B151" s="84"/>
      <x:c r="C151" s="83"/>
      <x:c r="D151" s="83"/>
      <x:c r="E151" s="83"/>
      <x:c r="F151" s="85"/>
      <x:c r="G151" s="178"/>
      <x:c r="H151" s="83"/>
      <x:c r="I151" s="83"/>
      <x:c r="J151" s="83"/>
      <x:c r="K151" s="83"/>
      <x:c r="L151" s="83"/>
      <x:c r="M151" s="83"/>
    </x:row>
    <x:row r="152">
      <x:c r="A152" s="83"/>
      <x:c r="B152" s="84"/>
      <x:c r="C152" s="83"/>
      <x:c r="D152" s="83"/>
      <x:c r="E152" s="83"/>
      <x:c r="F152" s="85"/>
      <x:c r="G152" s="178"/>
      <x:c r="H152" s="83"/>
      <x:c r="I152" s="83"/>
      <x:c r="J152" s="83"/>
      <x:c r="K152" s="83"/>
      <x:c r="L152" s="83"/>
      <x:c r="M152" s="83"/>
    </x:row>
    <x:row r="153">
      <x:c r="A153" s="83"/>
      <x:c r="B153" s="84"/>
      <x:c r="C153" s="83"/>
      <x:c r="D153" s="83"/>
      <x:c r="E153" s="83"/>
      <x:c r="F153" s="85"/>
      <x:c r="G153" s="178"/>
      <x:c r="H153" s="83"/>
      <x:c r="I153" s="83"/>
      <x:c r="J153" s="83"/>
      <x:c r="K153" s="83"/>
      <x:c r="L153" s="83"/>
      <x:c r="M153" s="83"/>
    </x:row>
    <x:row r="154">
      <x:c r="A154" s="83"/>
      <x:c r="B154" s="84"/>
      <x:c r="C154" s="83"/>
      <x:c r="D154" s="83"/>
      <x:c r="E154" s="83"/>
      <x:c r="F154" s="85"/>
      <x:c r="G154" s="178"/>
      <x:c r="H154" s="83"/>
      <x:c r="I154" s="83"/>
      <x:c r="J154" s="83"/>
      <x:c r="K154" s="83"/>
      <x:c r="L154" s="83"/>
      <x:c r="M154" s="83"/>
    </x:row>
    <x:row r="155">
      <x:c r="A155" s="83"/>
      <x:c r="B155" s="84"/>
      <x:c r="C155" s="83"/>
      <x:c r="D155" s="83"/>
      <x:c r="E155" s="83"/>
      <x:c r="F155" s="85"/>
      <x:c r="G155" s="178"/>
      <x:c r="H155" s="83"/>
      <x:c r="I155" s="83"/>
      <x:c r="J155" s="83"/>
      <x:c r="K155" s="83"/>
      <x:c r="L155" s="83"/>
      <x:c r="M155" s="83"/>
    </x:row>
    <x:row r="156">
      <x:c r="A156" s="83"/>
      <x:c r="B156" s="84"/>
      <x:c r="C156" s="83"/>
      <x:c r="D156" s="83"/>
      <x:c r="E156" s="83"/>
      <x:c r="F156" s="85"/>
      <x:c r="G156" s="178"/>
      <x:c r="H156" s="83"/>
      <x:c r="I156" s="83"/>
      <x:c r="J156" s="83"/>
      <x:c r="K156" s="83"/>
      <x:c r="L156" s="83"/>
      <x:c r="M156" s="83"/>
    </x:row>
    <x:row r="157">
      <x:c r="A157" s="83"/>
      <x:c r="B157" s="84"/>
      <x:c r="C157" s="83"/>
      <x:c r="D157" s="83"/>
      <x:c r="E157" s="83"/>
      <x:c r="F157" s="85"/>
      <x:c r="G157" s="178"/>
      <x:c r="H157" s="83"/>
      <x:c r="I157" s="83"/>
      <x:c r="J157" s="83"/>
      <x:c r="K157" s="83"/>
      <x:c r="L157" s="83"/>
      <x:c r="M157" s="83"/>
    </x:row>
    <x:row r="158">
      <x:c r="A158" s="83"/>
      <x:c r="B158" s="84"/>
      <x:c r="C158" s="83"/>
      <x:c r="D158" s="83"/>
      <x:c r="E158" s="83"/>
      <x:c r="F158" s="85"/>
      <x:c r="G158" s="178"/>
      <x:c r="H158" s="83"/>
      <x:c r="I158" s="83"/>
      <x:c r="J158" s="83"/>
      <x:c r="K158" s="83"/>
      <x:c r="L158" s="83"/>
      <x:c r="M158" s="83"/>
    </x:row>
    <x:row r="159">
      <x:c r="A159" s="83"/>
      <x:c r="B159" s="84"/>
      <x:c r="C159" s="83"/>
      <x:c r="D159" s="83"/>
      <x:c r="E159" s="83"/>
      <x:c r="F159" s="85"/>
      <x:c r="G159" s="178"/>
      <x:c r="H159" s="83"/>
      <x:c r="I159" s="83"/>
      <x:c r="J159" s="83"/>
      <x:c r="K159" s="83"/>
      <x:c r="L159" s="83"/>
      <x:c r="M159" s="83"/>
    </x:row>
    <x:row r="160">
      <x:c r="A160" s="83"/>
      <x:c r="B160" s="84"/>
      <x:c r="C160" s="83"/>
      <x:c r="D160" s="83"/>
      <x:c r="E160" s="83"/>
      <x:c r="F160" s="85"/>
      <x:c r="G160" s="178"/>
      <x:c r="H160" s="83"/>
      <x:c r="I160" s="83"/>
      <x:c r="J160" s="83"/>
      <x:c r="K160" s="83"/>
      <x:c r="L160" s="83"/>
      <x:c r="M160" s="83"/>
    </x:row>
    <x:row r="161">
      <x:c r="A161" s="83"/>
      <x:c r="B161" s="84"/>
      <x:c r="C161" s="83"/>
      <x:c r="D161" s="83"/>
      <x:c r="E161" s="83"/>
      <x:c r="F161" s="85"/>
      <x:c r="G161" s="178"/>
      <x:c r="H161" s="83"/>
      <x:c r="I161" s="83"/>
      <x:c r="J161" s="83"/>
      <x:c r="K161" s="83"/>
      <x:c r="L161" s="83"/>
      <x:c r="M161" s="83"/>
    </x:row>
    <x:row r="162">
      <x:c r="A162" s="83"/>
      <x:c r="B162" s="84"/>
      <x:c r="C162" s="83"/>
      <x:c r="D162" s="83"/>
      <x:c r="E162" s="83"/>
      <x:c r="F162" s="85"/>
      <x:c r="G162" s="178"/>
      <x:c r="H162" s="83"/>
      <x:c r="I162" s="83"/>
      <x:c r="J162" s="83"/>
      <x:c r="K162" s="83"/>
      <x:c r="L162" s="83"/>
      <x:c r="M162" s="83"/>
    </x:row>
    <x:row r="163">
      <x:c r="A163" s="83"/>
      <x:c r="B163" s="84"/>
      <x:c r="C163" s="83"/>
      <x:c r="D163" s="83"/>
      <x:c r="E163" s="83"/>
      <x:c r="F163" s="85"/>
      <x:c r="G163" s="178"/>
      <x:c r="H163" s="83"/>
      <x:c r="I163" s="83"/>
      <x:c r="J163" s="83"/>
      <x:c r="K163" s="83"/>
      <x:c r="L163" s="83"/>
      <x:c r="M163" s="83"/>
    </x:row>
    <x:row r="164">
      <x:c r="A164" s="83"/>
      <x:c r="B164" s="84"/>
      <x:c r="C164" s="83"/>
      <x:c r="D164" s="83"/>
      <x:c r="E164" s="83"/>
      <x:c r="F164" s="85"/>
      <x:c r="G164" s="178"/>
      <x:c r="H164" s="83"/>
      <x:c r="I164" s="83"/>
      <x:c r="J164" s="83"/>
      <x:c r="K164" s="83"/>
      <x:c r="L164" s="83"/>
      <x:c r="M164" s="83"/>
    </x:row>
    <x:row r="165">
      <x:c r="A165" s="83"/>
      <x:c r="B165" s="84"/>
      <x:c r="C165" s="83"/>
      <x:c r="D165" s="83"/>
      <x:c r="E165" s="83"/>
      <x:c r="F165" s="85"/>
      <x:c r="G165" s="178"/>
      <x:c r="H165" s="83"/>
      <x:c r="I165" s="83"/>
      <x:c r="J165" s="83"/>
      <x:c r="K165" s="83"/>
      <x:c r="L165" s="83"/>
      <x:c r="M165" s="83"/>
    </x:row>
    <x:row r="166">
      <x:c r="A166" s="83"/>
      <x:c r="B166" s="84"/>
      <x:c r="C166" s="83"/>
      <x:c r="D166" s="83"/>
      <x:c r="E166" s="83"/>
      <x:c r="F166" s="85"/>
      <x:c r="G166" s="178"/>
      <x:c r="H166" s="83"/>
      <x:c r="I166" s="83"/>
      <x:c r="J166" s="83"/>
      <x:c r="K166" s="83"/>
      <x:c r="L166" s="83"/>
      <x:c r="M166" s="83"/>
    </x:row>
    <x:row r="167">
      <x:c r="A167" s="83"/>
      <x:c r="B167" s="84"/>
      <x:c r="C167" s="83"/>
      <x:c r="D167" s="83"/>
      <x:c r="E167" s="83"/>
      <x:c r="F167" s="85"/>
      <x:c r="G167" s="178"/>
      <x:c r="H167" s="83"/>
      <x:c r="I167" s="83"/>
      <x:c r="J167" s="83"/>
      <x:c r="K167" s="83"/>
      <x:c r="L167" s="83"/>
      <x:c r="M167" s="83"/>
    </x:row>
    <x:row r="168">
      <x:c r="A168" s="83"/>
      <x:c r="B168" s="84"/>
      <x:c r="C168" s="83"/>
      <x:c r="D168" s="83"/>
      <x:c r="E168" s="83"/>
      <x:c r="F168" s="85"/>
      <x:c r="G168" s="178"/>
      <x:c r="H168" s="83"/>
      <x:c r="I168" s="83"/>
      <x:c r="J168" s="83"/>
      <x:c r="K168" s="83"/>
      <x:c r="L168" s="83"/>
      <x:c r="M168" s="83"/>
    </x:row>
    <x:row r="169">
      <x:c r="A169" s="83"/>
      <x:c r="B169" s="84"/>
      <x:c r="C169" s="83"/>
      <x:c r="D169" s="83"/>
      <x:c r="E169" s="83"/>
      <x:c r="F169" s="85"/>
      <x:c r="G169" s="178"/>
      <x:c r="H169" s="83"/>
      <x:c r="I169" s="83"/>
      <x:c r="J169" s="83"/>
      <x:c r="K169" s="83"/>
      <x:c r="L169" s="83"/>
      <x:c r="M169" s="83"/>
    </x:row>
    <x:row r="170">
      <x:c r="A170" s="83"/>
      <x:c r="B170" s="84"/>
      <x:c r="C170" s="83"/>
      <x:c r="D170" s="83"/>
      <x:c r="E170" s="83"/>
      <x:c r="F170" s="85"/>
      <x:c r="G170" s="178"/>
      <x:c r="H170" s="83"/>
      <x:c r="I170" s="83"/>
      <x:c r="J170" s="83"/>
      <x:c r="K170" s="83"/>
      <x:c r="L170" s="83"/>
      <x:c r="M170" s="83"/>
    </x:row>
    <x:row r="171">
      <x:c r="A171" s="83"/>
      <x:c r="B171" s="84"/>
      <x:c r="C171" s="83"/>
      <x:c r="D171" s="83"/>
      <x:c r="E171" s="83"/>
      <x:c r="F171" s="85"/>
      <x:c r="G171" s="178"/>
      <x:c r="H171" s="83"/>
      <x:c r="I171" s="83"/>
      <x:c r="J171" s="83"/>
      <x:c r="K171" s="83"/>
      <x:c r="L171" s="83"/>
      <x:c r="M171" s="83"/>
    </x:row>
    <x:row r="172">
      <x:c r="A172" s="83"/>
      <x:c r="B172" s="84"/>
      <x:c r="C172" s="83"/>
      <x:c r="D172" s="83"/>
      <x:c r="E172" s="83"/>
      <x:c r="F172" s="85"/>
      <x:c r="G172" s="178"/>
      <x:c r="H172" s="83"/>
      <x:c r="I172" s="83"/>
      <x:c r="J172" s="83"/>
      <x:c r="K172" s="83"/>
      <x:c r="L172" s="83"/>
      <x:c r="M172" s="83"/>
    </x:row>
    <x:row r="173">
      <x:c r="A173" s="83"/>
      <x:c r="B173" s="84"/>
      <x:c r="C173" s="83"/>
      <x:c r="D173" s="83"/>
      <x:c r="E173" s="83"/>
      <x:c r="F173" s="85"/>
      <x:c r="G173" s="178"/>
      <x:c r="H173" s="83"/>
      <x:c r="I173" s="83"/>
      <x:c r="J173" s="83"/>
      <x:c r="K173" s="83"/>
      <x:c r="L173" s="83"/>
      <x:c r="M173" s="83"/>
    </x:row>
    <x:row r="174">
      <x:c r="A174" s="83"/>
      <x:c r="B174" s="84"/>
      <x:c r="C174" s="83"/>
      <x:c r="D174" s="83"/>
      <x:c r="E174" s="83"/>
      <x:c r="F174" s="85"/>
      <x:c r="G174" s="178"/>
      <x:c r="H174" s="83"/>
      <x:c r="I174" s="83"/>
      <x:c r="J174" s="83"/>
      <x:c r="K174" s="83"/>
      <x:c r="L174" s="83"/>
      <x:c r="M174" s="83"/>
    </x:row>
    <x:row r="175">
      <x:c r="A175" s="83"/>
      <x:c r="B175" s="84"/>
      <x:c r="C175" s="83"/>
      <x:c r="D175" s="83"/>
      <x:c r="E175" s="83"/>
      <x:c r="F175" s="85"/>
      <x:c r="G175" s="178"/>
      <x:c r="H175" s="83"/>
      <x:c r="I175" s="83"/>
      <x:c r="J175" s="83"/>
      <x:c r="K175" s="83"/>
      <x:c r="L175" s="83"/>
      <x:c r="M175" s="83"/>
    </x:row>
    <x:row r="176">
      <x:c r="A176" s="83"/>
      <x:c r="B176" s="84"/>
      <x:c r="C176" s="83"/>
      <x:c r="D176" s="83"/>
      <x:c r="E176" s="83"/>
      <x:c r="F176" s="85"/>
      <x:c r="G176" s="178"/>
      <x:c r="H176" s="83"/>
      <x:c r="I176" s="83"/>
      <x:c r="J176" s="83"/>
      <x:c r="K176" s="83"/>
      <x:c r="L176" s="83"/>
      <x:c r="M176" s="83"/>
    </x:row>
    <x:row r="177">
      <x:c r="A177" s="83"/>
      <x:c r="B177" s="84"/>
      <x:c r="C177" s="83"/>
      <x:c r="D177" s="83"/>
      <x:c r="E177" s="83"/>
      <x:c r="F177" s="85"/>
      <x:c r="G177" s="178"/>
      <x:c r="H177" s="83"/>
      <x:c r="I177" s="83"/>
      <x:c r="J177" s="83"/>
      <x:c r="K177" s="83"/>
      <x:c r="L177" s="83"/>
      <x:c r="M177" s="83"/>
    </x:row>
    <x:row r="178">
      <x:c r="A178" s="83"/>
      <x:c r="B178" s="84"/>
      <x:c r="C178" s="83"/>
      <x:c r="D178" s="83"/>
      <x:c r="E178" s="83"/>
      <x:c r="F178" s="85"/>
      <x:c r="G178" s="178"/>
      <x:c r="H178" s="83"/>
      <x:c r="I178" s="83"/>
      <x:c r="J178" s="83"/>
      <x:c r="K178" s="83"/>
      <x:c r="L178" s="83"/>
      <x:c r="M178" s="83"/>
    </x:row>
    <x:row r="179">
      <x:c r="A179" s="83"/>
      <x:c r="B179" s="84"/>
      <x:c r="C179" s="83"/>
      <x:c r="D179" s="83"/>
      <x:c r="E179" s="83"/>
      <x:c r="F179" s="85"/>
      <x:c r="G179" s="178"/>
      <x:c r="H179" s="83"/>
      <x:c r="I179" s="83"/>
      <x:c r="J179" s="83"/>
      <x:c r="K179" s="83"/>
      <x:c r="L179" s="83"/>
      <x:c r="M179" s="83"/>
    </x:row>
    <x:row r="180">
      <x:c r="A180" s="83"/>
      <x:c r="B180" s="84"/>
      <x:c r="C180" s="83"/>
      <x:c r="D180" s="83"/>
      <x:c r="E180" s="83"/>
      <x:c r="F180" s="85"/>
      <x:c r="G180" s="178"/>
      <x:c r="H180" s="83"/>
      <x:c r="I180" s="83"/>
      <x:c r="J180" s="83"/>
      <x:c r="K180" s="83"/>
      <x:c r="L180" s="83"/>
      <x:c r="M180" s="83"/>
    </x:row>
    <x:row r="181">
      <x:c r="A181" s="83"/>
      <x:c r="B181" s="84"/>
      <x:c r="C181" s="83"/>
      <x:c r="D181" s="83"/>
      <x:c r="E181" s="83"/>
      <x:c r="F181" s="85"/>
      <x:c r="G181" s="178"/>
      <x:c r="H181" s="83"/>
      <x:c r="I181" s="83"/>
      <x:c r="J181" s="83"/>
      <x:c r="K181" s="83"/>
      <x:c r="L181" s="83"/>
      <x:c r="M181" s="83"/>
    </x:row>
    <x:row r="182">
      <x:c r="A182" s="83"/>
      <x:c r="B182" s="84"/>
      <x:c r="C182" s="83"/>
      <x:c r="D182" s="83"/>
      <x:c r="E182" s="83"/>
      <x:c r="F182" s="85"/>
      <x:c r="G182" s="178"/>
      <x:c r="H182" s="83"/>
      <x:c r="I182" s="83"/>
      <x:c r="J182" s="83"/>
      <x:c r="K182" s="83"/>
      <x:c r="L182" s="83"/>
      <x:c r="M182" s="83"/>
    </x:row>
    <x:row r="183">
      <x:c r="A183" s="83"/>
      <x:c r="B183" s="84"/>
      <x:c r="C183" s="83"/>
      <x:c r="D183" s="83"/>
      <x:c r="E183" s="83"/>
      <x:c r="F183" s="85"/>
      <x:c r="G183" s="178"/>
      <x:c r="H183" s="83"/>
      <x:c r="I183" s="83"/>
      <x:c r="J183" s="83"/>
      <x:c r="K183" s="83"/>
      <x:c r="L183" s="83"/>
      <x:c r="M183" s="83"/>
    </x:row>
    <x:row r="184">
      <x:c r="A184" s="83"/>
      <x:c r="B184" s="84"/>
      <x:c r="C184" s="83"/>
      <x:c r="D184" s="83"/>
      <x:c r="E184" s="83"/>
      <x:c r="F184" s="85"/>
      <x:c r="G184" s="178"/>
      <x:c r="H184" s="83"/>
      <x:c r="I184" s="83"/>
      <x:c r="J184" s="83"/>
      <x:c r="K184" s="83"/>
      <x:c r="L184" s="83"/>
      <x:c r="M184" s="83"/>
    </x:row>
    <x:row r="185">
      <x:c r="A185" s="83"/>
      <x:c r="B185" s="84"/>
      <x:c r="C185" s="83"/>
      <x:c r="D185" s="83"/>
      <x:c r="E185" s="83"/>
      <x:c r="F185" s="85"/>
      <x:c r="G185" s="178"/>
      <x:c r="H185" s="83"/>
      <x:c r="I185" s="83"/>
      <x:c r="J185" s="83"/>
      <x:c r="K185" s="83"/>
      <x:c r="L185" s="83"/>
      <x:c r="M185" s="83"/>
    </x:row>
    <x:row r="186">
      <x:c r="A186" s="83"/>
      <x:c r="B186" s="84"/>
      <x:c r="C186" s="83"/>
      <x:c r="D186" s="83"/>
      <x:c r="E186" s="83"/>
      <x:c r="F186" s="85"/>
      <x:c r="G186" s="178"/>
      <x:c r="H186" s="83"/>
      <x:c r="I186" s="83"/>
      <x:c r="J186" s="83"/>
      <x:c r="K186" s="83"/>
      <x:c r="L186" s="83"/>
      <x:c r="M186" s="83"/>
    </x:row>
    <x:row r="187">
      <x:c r="A187" s="83"/>
      <x:c r="B187" s="84"/>
      <x:c r="C187" s="83"/>
      <x:c r="D187" s="83"/>
      <x:c r="E187" s="83"/>
      <x:c r="F187" s="85"/>
      <x:c r="G187" s="178"/>
      <x:c r="H187" s="83"/>
      <x:c r="I187" s="83"/>
      <x:c r="J187" s="83"/>
      <x:c r="K187" s="83"/>
      <x:c r="L187" s="83"/>
      <x:c r="M187" s="83"/>
    </x:row>
    <x:row r="188">
      <x:c r="A188" s="83"/>
      <x:c r="B188" s="84"/>
      <x:c r="C188" s="83"/>
      <x:c r="D188" s="83"/>
      <x:c r="E188" s="83"/>
      <x:c r="F188" s="85"/>
      <x:c r="G188" s="178"/>
      <x:c r="H188" s="83"/>
      <x:c r="I188" s="83"/>
      <x:c r="J188" s="83"/>
      <x:c r="K188" s="83"/>
      <x:c r="L188" s="83"/>
      <x:c r="M188" s="83"/>
    </x:row>
    <x:row r="189">
      <x:c r="A189" s="83"/>
      <x:c r="B189" s="84"/>
      <x:c r="C189" s="83"/>
      <x:c r="D189" s="83"/>
      <x:c r="E189" s="83"/>
      <x:c r="F189" s="85"/>
      <x:c r="G189" s="178"/>
      <x:c r="H189" s="83"/>
      <x:c r="I189" s="83"/>
      <x:c r="J189" s="83"/>
      <x:c r="K189" s="83"/>
      <x:c r="L189" s="83"/>
      <x:c r="M189" s="83"/>
    </x:row>
    <x:row r="190">
      <x:c r="A190" s="83"/>
      <x:c r="B190" s="84"/>
      <x:c r="C190" s="83"/>
      <x:c r="D190" s="83"/>
      <x:c r="E190" s="83"/>
      <x:c r="F190" s="85"/>
      <x:c r="G190" s="178"/>
      <x:c r="H190" s="83"/>
      <x:c r="I190" s="83"/>
      <x:c r="J190" s="83"/>
      <x:c r="K190" s="83"/>
      <x:c r="L190" s="83"/>
      <x:c r="M190" s="83"/>
    </x:row>
    <x:row r="191">
      <x:c r="A191" s="83"/>
      <x:c r="B191" s="84"/>
      <x:c r="C191" s="83"/>
      <x:c r="D191" s="83"/>
      <x:c r="E191" s="83"/>
      <x:c r="F191" s="85"/>
      <x:c r="G191" s="178"/>
      <x:c r="H191" s="83"/>
      <x:c r="I191" s="83"/>
      <x:c r="J191" s="83"/>
      <x:c r="K191" s="83"/>
      <x:c r="L191" s="83"/>
      <x:c r="M191" s="83"/>
    </x:row>
    <x:row r="192">
      <x:c r="A192" s="83"/>
      <x:c r="B192" s="84"/>
      <x:c r="C192" s="83"/>
      <x:c r="D192" s="83"/>
      <x:c r="E192" s="83"/>
      <x:c r="F192" s="85"/>
      <x:c r="G192" s="178"/>
      <x:c r="H192" s="83"/>
      <x:c r="I192" s="83"/>
      <x:c r="J192" s="83"/>
      <x:c r="K192" s="83"/>
      <x:c r="L192" s="83"/>
      <x:c r="M192" s="83"/>
    </x:row>
    <x:row r="193">
      <x:c r="A193" s="83"/>
      <x:c r="B193" s="84"/>
      <x:c r="C193" s="83"/>
      <x:c r="D193" s="83"/>
      <x:c r="E193" s="83"/>
      <x:c r="F193" s="85"/>
      <x:c r="G193" s="178"/>
      <x:c r="H193" s="83"/>
      <x:c r="I193" s="83"/>
      <x:c r="J193" s="83"/>
      <x:c r="K193" s="83"/>
      <x:c r="L193" s="83"/>
      <x:c r="M193" s="83"/>
    </x:row>
    <x:row r="194">
      <x:c r="A194" s="83"/>
      <x:c r="B194" s="84"/>
      <x:c r="C194" s="83"/>
      <x:c r="D194" s="83"/>
      <x:c r="E194" s="83"/>
      <x:c r="F194" s="85"/>
      <x:c r="G194" s="178"/>
      <x:c r="H194" s="83"/>
      <x:c r="I194" s="83"/>
      <x:c r="J194" s="83"/>
      <x:c r="K194" s="83"/>
      <x:c r="L194" s="83"/>
      <x:c r="M194" s="83"/>
    </x:row>
    <x:row r="195">
      <x:c r="A195" s="83"/>
      <x:c r="B195" s="84"/>
      <x:c r="C195" s="83"/>
      <x:c r="D195" s="83"/>
      <x:c r="E195" s="83"/>
      <x:c r="F195" s="85"/>
      <x:c r="G195" s="178"/>
      <x:c r="H195" s="83"/>
      <x:c r="I195" s="83"/>
      <x:c r="J195" s="83"/>
      <x:c r="K195" s="83"/>
      <x:c r="L195" s="83"/>
      <x:c r="M195" s="83"/>
    </x:row>
    <x:row r="196">
      <x:c r="A196" s="83"/>
      <x:c r="B196" s="84"/>
      <x:c r="C196" s="83"/>
      <x:c r="D196" s="83"/>
      <x:c r="E196" s="83"/>
      <x:c r="F196" s="85"/>
      <x:c r="G196" s="178"/>
      <x:c r="H196" s="83"/>
      <x:c r="I196" s="83"/>
      <x:c r="J196" s="83"/>
      <x:c r="K196" s="83"/>
      <x:c r="L196" s="83"/>
      <x:c r="M196" s="83"/>
    </x:row>
    <x:row r="197">
      <x:c r="A197" s="83"/>
      <x:c r="B197" s="84"/>
      <x:c r="C197" s="83"/>
      <x:c r="D197" s="83"/>
      <x:c r="E197" s="83"/>
      <x:c r="F197" s="85"/>
      <x:c r="G197" s="178"/>
      <x:c r="H197" s="83"/>
      <x:c r="I197" s="83"/>
      <x:c r="J197" s="83"/>
      <x:c r="K197" s="83"/>
      <x:c r="L197" s="83"/>
      <x:c r="M197" s="83"/>
    </x:row>
    <x:row r="198">
      <x:c r="A198" s="83"/>
      <x:c r="B198" s="84"/>
      <x:c r="C198" s="83"/>
      <x:c r="D198" s="83"/>
      <x:c r="E198" s="83"/>
      <x:c r="F198" s="85"/>
      <x:c r="G198" s="178"/>
      <x:c r="H198" s="83"/>
      <x:c r="I198" s="83"/>
      <x:c r="J198" s="83"/>
      <x:c r="K198" s="83"/>
      <x:c r="L198" s="83"/>
      <x:c r="M198" s="83"/>
    </x:row>
    <x:row r="199">
      <x:c r="A199" s="83"/>
      <x:c r="B199" s="84"/>
      <x:c r="C199" s="83"/>
      <x:c r="D199" s="83"/>
      <x:c r="E199" s="83"/>
      <x:c r="F199" s="85"/>
      <x:c r="G199" s="178"/>
      <x:c r="H199" s="83"/>
      <x:c r="I199" s="83"/>
      <x:c r="J199" s="83"/>
      <x:c r="K199" s="83"/>
      <x:c r="L199" s="83"/>
      <x:c r="M199" s="83"/>
    </x:row>
    <x:row r="200">
      <x:c r="A200" s="83"/>
      <x:c r="B200" s="84"/>
      <x:c r="C200" s="83"/>
      <x:c r="D200" s="83"/>
      <x:c r="E200" s="83"/>
      <x:c r="F200" s="85"/>
      <x:c r="G200" s="178"/>
      <x:c r="H200" s="83"/>
      <x:c r="I200" s="83"/>
      <x:c r="J200" s="83"/>
      <x:c r="K200" s="83"/>
      <x:c r="L200" s="83"/>
      <x:c r="M200" s="83"/>
    </x:row>
    <x:row r="201">
      <x:c r="A201" s="83"/>
      <x:c r="B201" s="84"/>
      <x:c r="C201" s="83"/>
      <x:c r="D201" s="83"/>
      <x:c r="E201" s="83"/>
      <x:c r="F201" s="85"/>
      <x:c r="G201" s="178"/>
      <x:c r="H201" s="83"/>
      <x:c r="I201" s="83"/>
      <x:c r="J201" s="83"/>
      <x:c r="K201" s="83"/>
      <x:c r="L201" s="83"/>
      <x:c r="M201" s="83"/>
    </x:row>
    <x:row r="202">
      <x:c r="A202" s="83"/>
      <x:c r="B202" s="84"/>
      <x:c r="C202" s="83"/>
      <x:c r="D202" s="83"/>
      <x:c r="E202" s="83"/>
      <x:c r="F202" s="85"/>
      <x:c r="G202" s="178"/>
      <x:c r="H202" s="83"/>
      <x:c r="I202" s="83"/>
      <x:c r="J202" s="83"/>
      <x:c r="K202" s="83"/>
      <x:c r="L202" s="83"/>
      <x:c r="M202" s="83"/>
    </x:row>
    <x:row r="203">
      <x:c r="A203" s="83"/>
      <x:c r="B203" s="84"/>
      <x:c r="C203" s="83"/>
      <x:c r="D203" s="83"/>
      <x:c r="E203" s="83"/>
      <x:c r="F203" s="85"/>
      <x:c r="G203" s="178"/>
      <x:c r="H203" s="83"/>
      <x:c r="I203" s="83"/>
      <x:c r="J203" s="83"/>
      <x:c r="K203" s="83"/>
      <x:c r="L203" s="83"/>
      <x:c r="M203" s="83"/>
    </x:row>
    <x:row r="204">
      <x:c r="A204" s="83"/>
      <x:c r="B204" s="84"/>
      <x:c r="C204" s="83"/>
      <x:c r="D204" s="83"/>
      <x:c r="E204" s="83"/>
      <x:c r="F204" s="85"/>
      <x:c r="G204" s="178"/>
      <x:c r="H204" s="83"/>
      <x:c r="I204" s="83"/>
      <x:c r="J204" s="83"/>
      <x:c r="K204" s="83"/>
      <x:c r="L204" s="83"/>
      <x:c r="M204" s="83"/>
    </x:row>
    <x:row r="205">
      <x:c r="A205" s="83"/>
      <x:c r="B205" s="84"/>
      <x:c r="C205" s="83"/>
      <x:c r="D205" s="83"/>
      <x:c r="E205" s="83"/>
      <x:c r="F205" s="85"/>
      <x:c r="G205" s="178"/>
      <x:c r="H205" s="83"/>
      <x:c r="I205" s="83"/>
      <x:c r="J205" s="83"/>
      <x:c r="K205" s="83"/>
      <x:c r="L205" s="83"/>
      <x:c r="M205" s="83"/>
    </x:row>
    <x:row r="206">
      <x:c r="A206" s="83"/>
      <x:c r="B206" s="84"/>
      <x:c r="C206" s="83"/>
      <x:c r="D206" s="83"/>
      <x:c r="E206" s="83"/>
      <x:c r="F206" s="85"/>
      <x:c r="G206" s="178"/>
      <x:c r="H206" s="83"/>
      <x:c r="I206" s="83"/>
      <x:c r="J206" s="83"/>
      <x:c r="K206" s="83"/>
      <x:c r="L206" s="83"/>
      <x:c r="M206" s="83"/>
    </x:row>
    <x:row r="207">
      <x:c r="A207" s="83"/>
      <x:c r="B207" s="84"/>
      <x:c r="C207" s="83"/>
      <x:c r="D207" s="83"/>
      <x:c r="E207" s="83"/>
      <x:c r="F207" s="85"/>
      <x:c r="G207" s="178"/>
      <x:c r="H207" s="83"/>
      <x:c r="I207" s="83"/>
      <x:c r="J207" s="83"/>
      <x:c r="K207" s="83"/>
      <x:c r="L207" s="83"/>
      <x:c r="M207" s="83"/>
    </x:row>
    <x:row r="208">
      <x:c r="A208" s="83"/>
      <x:c r="B208" s="84"/>
      <x:c r="C208" s="83"/>
      <x:c r="D208" s="83"/>
      <x:c r="E208" s="83"/>
      <x:c r="F208" s="85"/>
      <x:c r="G208" s="178"/>
      <x:c r="H208" s="83"/>
      <x:c r="I208" s="83"/>
      <x:c r="J208" s="83"/>
      <x:c r="K208" s="83"/>
      <x:c r="L208" s="83"/>
      <x:c r="M208" s="83"/>
    </x:row>
    <x:row r="209">
      <x:c r="A209" s="83"/>
      <x:c r="B209" s="84"/>
      <x:c r="C209" s="83"/>
      <x:c r="D209" s="83"/>
      <x:c r="E209" s="83"/>
      <x:c r="F209" s="85"/>
      <x:c r="G209" s="178"/>
      <x:c r="H209" s="83"/>
      <x:c r="I209" s="83"/>
      <x:c r="J209" s="83"/>
      <x:c r="K209" s="83"/>
      <x:c r="L209" s="83"/>
      <x:c r="M209" s="83"/>
    </x:row>
    <x:row r="210">
      <x:c r="A210" s="83"/>
      <x:c r="B210" s="84"/>
      <x:c r="C210" s="83"/>
      <x:c r="D210" s="83"/>
      <x:c r="E210" s="83"/>
      <x:c r="F210" s="85"/>
      <x:c r="G210" s="178"/>
      <x:c r="H210" s="83"/>
      <x:c r="I210" s="83"/>
      <x:c r="J210" s="83"/>
      <x:c r="K210" s="83"/>
      <x:c r="L210" s="83"/>
      <x:c r="M210" s="83"/>
    </x:row>
    <x:row r="211">
      <x:c r="A211" s="83"/>
      <x:c r="B211" s="84"/>
      <x:c r="C211" s="83"/>
      <x:c r="D211" s="83"/>
      <x:c r="E211" s="83"/>
      <x:c r="F211" s="85"/>
      <x:c r="G211" s="178"/>
      <x:c r="H211" s="83"/>
      <x:c r="I211" s="83"/>
      <x:c r="J211" s="83"/>
      <x:c r="K211" s="83"/>
      <x:c r="L211" s="83"/>
      <x:c r="M211" s="83"/>
    </x:row>
    <x:row r="212">
      <x:c r="A212" s="83"/>
      <x:c r="B212" s="84"/>
      <x:c r="C212" s="83"/>
      <x:c r="D212" s="83"/>
      <x:c r="E212" s="83"/>
      <x:c r="F212" s="85"/>
      <x:c r="G212" s="178"/>
      <x:c r="H212" s="83"/>
      <x:c r="I212" s="83"/>
      <x:c r="J212" s="83"/>
      <x:c r="K212" s="83"/>
      <x:c r="L212" s="83"/>
      <x:c r="M212" s="83"/>
    </x:row>
    <x:row r="213">
      <x:c r="A213" s="83"/>
      <x:c r="B213" s="84"/>
      <x:c r="C213" s="83"/>
      <x:c r="D213" s="83"/>
      <x:c r="E213" s="83"/>
      <x:c r="F213" s="85"/>
      <x:c r="G213" s="178"/>
      <x:c r="H213" s="83"/>
      <x:c r="I213" s="83"/>
      <x:c r="J213" s="83"/>
      <x:c r="K213" s="83"/>
      <x:c r="L213" s="83"/>
      <x:c r="M213" s="83"/>
    </x:row>
    <x:row r="214">
      <x:c r="A214" s="83"/>
      <x:c r="B214" s="84"/>
      <x:c r="C214" s="83"/>
      <x:c r="D214" s="83"/>
      <x:c r="E214" s="83"/>
      <x:c r="F214" s="85"/>
      <x:c r="G214" s="178"/>
      <x:c r="H214" s="83"/>
      <x:c r="I214" s="83"/>
      <x:c r="J214" s="83"/>
      <x:c r="K214" s="83"/>
      <x:c r="L214" s="83"/>
      <x:c r="M214" s="83"/>
    </x:row>
    <x:row r="215">
      <x:c r="A215" s="83"/>
      <x:c r="B215" s="84"/>
      <x:c r="C215" s="83"/>
      <x:c r="D215" s="83"/>
      <x:c r="E215" s="83"/>
      <x:c r="F215" s="85"/>
      <x:c r="G215" s="178"/>
      <x:c r="H215" s="83"/>
      <x:c r="I215" s="83"/>
      <x:c r="J215" s="83"/>
      <x:c r="K215" s="83"/>
      <x:c r="L215" s="83"/>
      <x:c r="M215" s="83"/>
    </x:row>
    <x:row r="216">
      <x:c r="A216" s="83"/>
      <x:c r="B216" s="84"/>
      <x:c r="C216" s="83"/>
      <x:c r="D216" s="83"/>
      <x:c r="E216" s="83"/>
      <x:c r="F216" s="85"/>
      <x:c r="G216" s="178"/>
      <x:c r="H216" s="83"/>
      <x:c r="I216" s="83"/>
      <x:c r="J216" s="83"/>
      <x:c r="K216" s="83"/>
      <x:c r="L216" s="83"/>
      <x:c r="M216" s="83"/>
    </x:row>
    <x:row r="217">
      <x:c r="A217" s="83"/>
      <x:c r="B217" s="84"/>
      <x:c r="C217" s="83"/>
      <x:c r="D217" s="83"/>
      <x:c r="E217" s="83"/>
      <x:c r="F217" s="85"/>
      <x:c r="G217" s="178"/>
      <x:c r="H217" s="83"/>
      <x:c r="I217" s="83"/>
      <x:c r="J217" s="83"/>
      <x:c r="K217" s="83"/>
      <x:c r="L217" s="83"/>
      <x:c r="M217" s="83"/>
    </x:row>
    <x:row r="218">
      <x:c r="A218" s="83"/>
      <x:c r="B218" s="84"/>
      <x:c r="C218" s="83"/>
      <x:c r="D218" s="83"/>
      <x:c r="E218" s="83"/>
      <x:c r="F218" s="85"/>
      <x:c r="G218" s="178"/>
      <x:c r="H218" s="83"/>
      <x:c r="I218" s="83"/>
      <x:c r="J218" s="83"/>
      <x:c r="K218" s="83"/>
      <x:c r="L218" s="83"/>
      <x:c r="M218" s="83"/>
    </x:row>
    <x:row r="219">
      <x:c r="A219" s="83"/>
      <x:c r="B219" s="84"/>
      <x:c r="C219" s="83"/>
      <x:c r="D219" s="83"/>
      <x:c r="E219" s="83"/>
      <x:c r="F219" s="85"/>
      <x:c r="G219" s="178"/>
      <x:c r="H219" s="83"/>
      <x:c r="I219" s="83"/>
      <x:c r="J219" s="83"/>
      <x:c r="K219" s="83"/>
      <x:c r="L219" s="83"/>
      <x:c r="M219" s="83"/>
    </x:row>
    <x:row r="220">
      <x:c r="A220" s="83"/>
      <x:c r="B220" s="84"/>
      <x:c r="C220" s="83"/>
      <x:c r="D220" s="83"/>
      <x:c r="E220" s="83"/>
      <x:c r="F220" s="85"/>
      <x:c r="G220" s="178"/>
      <x:c r="H220" s="83"/>
      <x:c r="I220" s="83"/>
      <x:c r="J220" s="83"/>
      <x:c r="K220" s="83"/>
      <x:c r="L220" s="83"/>
      <x:c r="M220" s="83"/>
    </x:row>
  </x:sheetData>
  <x:mergeCells>
    <x:mergeCell ref="A1:M1"/>
    <x:mergeCell ref="A2:M2"/>
  </x:mergeCells>
  <x:dataValidations count="1">
    <x:dataValidation type="list" sqref="H5:H220">
      <x:formula1>"Not Started,In Progress,Complete,Blocked,Cancelled"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4.25"/>
  <x:cols>
    <x:col min="1" max="2" width="12" customWidth="1"/>
    <x:col min="3" max="4" width="45" customWidth="1"/>
    <x:col min="5" max="5" width="12" customWidth="1"/>
    <x:col min="6" max="6" width="16" customWidth="1"/>
    <x:col min="7" max="7" width="32" customWidth="1"/>
    <x:col min="8" max="8" width="38" customWidth="1"/>
  </x:cols>
  <x:sheetData>
    <x:row r="1" ht="27.950000762939453" customHeight="1">
      <x:c r="A1" s="234" t="s">
        <x:v>45</x:v>
      </x:c>
      <x:c r="B1" s="235"/>
      <x:c r="C1" s="235"/>
      <x:c r="D1" s="235"/>
      <x:c r="E1" s="235"/>
      <x:c r="F1" s="235"/>
      <x:c r="G1" s="235"/>
      <x:c r="H1" s="235"/>
    </x:row>
    <x:row r="3" ht="15">
      <x:c r="A3" s="80" t="s">
        <x:v>625</x:v>
      </x:c>
      <x:c r="B3" s="80" t="s">
        <x:v>576</x:v>
      </x:c>
      <x:c r="C3" s="80" t="s">
        <x:v>626</x:v>
      </x:c>
      <x:c r="D3" s="80" t="s">
        <x:v>627</x:v>
      </x:c>
      <x:c r="E3" s="80" t="s">
        <x:v>117</x:v>
      </x:c>
      <x:c r="F3" s="80" t="s">
        <x:v>628</x:v>
      </x:c>
      <x:c r="G3" s="80" t="s">
        <x:v>629</x:v>
      </x:c>
      <x:c r="H3" s="80" t="s">
        <x:v>630</x:v>
      </x:c>
    </x:row>
    <x:row r="4" ht="28.5">
      <x:c r="A4" s="78" t="s">
        <x:v>631</x:v>
      </x:c>
      <x:c r="B4" s="81">
        <x:v>46200</x:v>
      </x:c>
      <x:c r="C4" s="78" t="s">
        <x:v>632</x:v>
      </x:c>
      <x:c r="D4" s="78" t="s">
        <x:v>633</x:v>
      </x:c>
      <x:c r="E4" s="78" t="s">
        <x:v>634</x:v>
      </x:c>
      <x:c r="F4" s="78" t="s">
        <x:v>635</x:v>
      </x:c>
      <x:c r="G4" s="78" t="s">
        <x:v>636</x:v>
      </x:c>
      <x:c r="H4" s="78" t="s">
        <x:v>637</x:v>
      </x:c>
    </x:row>
    <x:row r="5" ht="28.5">
      <x:c r="A5" s="78" t="s">
        <x:v>638</x:v>
      </x:c>
      <x:c r="B5" s="81">
        <x:v>46200</x:v>
      </x:c>
      <x:c r="C5" s="78" t="s">
        <x:v>639</x:v>
      </x:c>
      <x:c r="D5" s="78" t="s">
        <x:v>640</x:v>
      </x:c>
      <x:c r="E5" s="78" t="s">
        <x:v>634</x:v>
      </x:c>
      <x:c r="F5" s="78" t="s">
        <x:v>635</x:v>
      </x:c>
      <x:c r="G5" s="78" t="s">
        <x:v>337</x:v>
      </x:c>
      <x:c r="H5" s="78" t="s">
        <x:v>641</x:v>
      </x:c>
    </x:row>
    <x:row r="6" ht="28.5">
      <x:c r="A6" s="78" t="s">
        <x:v>642</x:v>
      </x:c>
      <x:c r="B6" s="81">
        <x:v>46207</x:v>
      </x:c>
      <x:c r="C6" s="78" t="s">
        <x:v>643</x:v>
      </x:c>
      <x:c r="D6" s="78" t="s">
        <x:v>644</x:v>
      </x:c>
      <x:c r="E6" s="78" t="s">
        <x:v>634</x:v>
      </x:c>
      <x:c r="F6" s="78" t="s">
        <x:v>129</x:v>
      </x:c>
      <x:c r="G6" s="78" t="s">
        <x:v>645</x:v>
      </x:c>
      <x:c r="H6" s="78" t="s">
        <x:v>646</x:v>
      </x:c>
    </x:row>
    <x:row r="7" ht="28.5">
      <x:c r="A7" s="78" t="s">
        <x:v>647</x:v>
      </x:c>
      <x:c r="B7" s="81">
        <x:v>46207</x:v>
      </x:c>
      <x:c r="C7" s="78" t="s">
        <x:v>648</x:v>
      </x:c>
      <x:c r="D7" s="78" t="s">
        <x:v>649</x:v>
      </x:c>
      <x:c r="E7" s="78" t="s">
        <x:v>634</x:v>
      </x:c>
      <x:c r="F7" s="78" t="s">
        <x:v>650</x:v>
      </x:c>
      <x:c r="G7" s="78" t="s">
        <x:v>651</x:v>
      </x:c>
      <x:c r="H7" s="78" t="s">
        <x:v>652</x:v>
      </x:c>
    </x:row>
    <x:row r="8" ht="28.5">
      <x:c r="A8" s="78" t="s">
        <x:v>653</x:v>
      </x:c>
      <x:c r="B8" s="81">
        <x:v>46207</x:v>
      </x:c>
      <x:c r="C8" s="78" t="s">
        <x:v>267</x:v>
      </x:c>
      <x:c r="D8" s="78" t="s">
        <x:v>654</x:v>
      </x:c>
      <x:c r="E8" s="78" t="s">
        <x:v>634</x:v>
      </x:c>
      <x:c r="F8" s="78" t="s">
        <x:v>655</x:v>
      </x:c>
      <x:c r="G8" s="78" t="s">
        <x:v>656</x:v>
      </x:c>
      <x:c r="H8" s="78" t="s">
        <x:v>657</x:v>
      </x:c>
    </x:row>
    <x:row r="9" ht="28.5">
      <x:c r="A9" s="78" t="s">
        <x:v>658</x:v>
      </x:c>
      <x:c r="B9" s="81">
        <x:v>46207</x:v>
      </x:c>
      <x:c r="C9" s="78" t="s">
        <x:v>659</x:v>
      </x:c>
      <x:c r="D9" s="78" t="s">
        <x:v>660</x:v>
      </x:c>
      <x:c r="E9" s="78" t="s">
        <x:v>634</x:v>
      </x:c>
      <x:c r="F9" s="78" t="s">
        <x:v>661</x:v>
      </x:c>
      <x:c r="G9" s="78" t="s">
        <x:v>662</x:v>
      </x:c>
      <x:c r="H9" s="78" t="s">
        <x:v>663</x:v>
      </x:c>
    </x:row>
    <x:row r="10" ht="28.5">
      <x:c r="A10" s="78" t="s">
        <x:v>664</x:v>
      </x:c>
      <x:c r="B10" s="81">
        <x:v>46207</x:v>
      </x:c>
      <x:c r="C10" s="78" t="s">
        <x:v>665</x:v>
      </x:c>
      <x:c r="D10" s="78" t="s">
        <x:v>666</x:v>
      </x:c>
      <x:c r="E10" s="78" t="s">
        <x:v>634</x:v>
      </x:c>
      <x:c r="F10" s="78" t="s">
        <x:v>667</x:v>
      </x:c>
      <x:c r="G10" s="78" t="s">
        <x:v>668</x:v>
      </x:c>
      <x:c r="H10" s="78" t="s">
        <x:v>669</x:v>
      </x:c>
    </x:row>
    <x:row r="11" ht="28.5">
      <x:c r="A11" s="78" t="s">
        <x:v>670</x:v>
      </x:c>
      <x:c r="B11" s="81">
        <x:v>46207</x:v>
      </x:c>
      <x:c r="C11" s="78" t="s">
        <x:v>671</x:v>
      </x:c>
      <x:c r="D11" s="78" t="s">
        <x:v>672</x:v>
      </x:c>
      <x:c r="E11" s="78" t="s">
        <x:v>634</x:v>
      </x:c>
      <x:c r="F11" s="78" t="s">
        <x:v>673</x:v>
      </x:c>
      <x:c r="G11" s="78" t="s">
        <x:v>331</x:v>
      </x:c>
      <x:c r="H11" s="78" t="s">
        <x:v>674</x:v>
      </x:c>
    </x:row>
    <x:row r="12" ht="62.099998474121094" customHeight="1">
      <x:c r="A12" s="182" t="s">
        <x:v>675</x:v>
      </x:c>
      <x:c r="B12" s="196">
        <x:v>46208</x:v>
      </x:c>
      <x:c r="C12" s="183" t="s">
        <x:v>676</x:v>
      </x:c>
      <x:c r="D12" s="183" t="s">
        <x:v>677</x:v>
      </x:c>
      <x:c r="E12" s="183" t="s">
        <x:v>634</x:v>
      </x:c>
      <x:c r="F12" s="183" t="s">
        <x:v>678</x:v>
      </x:c>
      <x:c r="G12" s="183" t="s">
        <x:v>679</x:v>
      </x:c>
      <x:c r="H12" s="184" t="s">
        <x:v>680</x:v>
      </x:c>
    </x:row>
    <x:row r="13" ht="62.099998474121094" customHeight="1">
      <x:c r="A13" s="187" t="s">
        <x:v>681</x:v>
      </x:c>
      <x:c r="B13" s="197">
        <x:v>46208</x:v>
      </x:c>
      <x:c r="C13" s="188" t="s">
        <x:v>682</x:v>
      </x:c>
      <x:c r="D13" s="188" t="s">
        <x:v>683</x:v>
      </x:c>
      <x:c r="E13" s="188" t="s">
        <x:v>634</x:v>
      </x:c>
      <x:c r="F13" s="188" t="s">
        <x:v>684</x:v>
      </x:c>
      <x:c r="G13" s="188" t="s">
        <x:v>685</x:v>
      </x:c>
      <x:c r="H13" s="189" t="s">
        <x:v>686</x:v>
      </x:c>
    </x:row>
    <x:row r="14" ht="82" customHeight="1">
      <x:c r="A14" s="447" t="str">
        <x:v>D-011</x:v>
      </x:c>
      <x:c r="B14" s="445" t="n">
        <x:v>46208</x:v>
      </x:c>
      <x:c r="C14" s="447" t="str">
        <x:v>Run mandatory gates in evaluator-declared order and stop after the first failed gate.</x:v>
      </x:c>
      <x:c r="D14" s="447" t="str">
        <x:v>Later gates depend on evidence established by earlier gates; short-circuiting prevents uncontrolled exceptions and makes the blocking failure explicit.</x:v>
      </x:c>
      <x:c r="E14" s="447" t="str">
        <x:v>Active</x:v>
      </x:c>
      <x:c r="F14" s="447" t="str">
        <x:v>1.2; 1.5</x:v>
      </x:c>
      <x:c r="G14" s="447" t="str">
        <x:v>c05ef3d; tests/test_gate_engine.py</x:v>
      </x:c>
      <x:c r="H14" s="447" t="str">
        <x:v>Revisit only if a future result schema requires explicit skipped-gate records.</x:v>
      </x:c>
    </x:row>
    <x:row r="15" ht="82" customHeight="1">
      <x:c r="A15" s="447" t="str">
        <x:v>D-012</x:v>
      </x:c>
      <x:c r="B15" s="445" t="n">
        <x:v>46208</x:v>
      </x:c>
      <x:c r="C15" s="447" t="str">
        <x:v>Declare candidate payload field types in the task deliverable contract, not by inference from reference answers; Boolean values do not satisfy numeric declarations.</x:v>
      </x:c>
      <x:c r="D15" s="447" t="str">
        <x:v>The deliverable defines the required output contract, while reference artifacts define correct values. Separating these prevents accidental coupling and Python bool/int type leakage.</x:v>
      </x:c>
      <x:c r="E15" s="447" t="str">
        <x:v>Active</x:v>
      </x:c>
      <x:c r="F15" s="447" t="str">
        <x:v>1.2; 1.3; 1.4</x:v>
      </x:c>
      <x:c r="G15" s="447" t="str">
        <x:v>schemas/task.schema.json; specs/tasks/shaft_power_v1.json; c05ef3d</x:v>
      </x:c>
      <x:c r="H15" s="447" t="str">
        <x:v>Revisit if nested payload schemas become necessary after the MVP.</x:v>
      </x:c>
    </x:row>
    <x:row r="16">
      <x:c r="A16" s="78" t="str">
        <x:v>D-013</x:v>
      </x:c>
      <x:c r="B16" s="78" t="n">
        <x:v>46208</x:v>
      </x:c>
      <x:c r="C16" s="78" t="str">
        <x:v>Keep deterministic comparison logic pure: pass candidate payload, reference payload, and evaluator data rather than loader objects or file paths.</x:v>
      </x:c>
      <x:c r="D16" s="78" t="str">
        <x:v>Separating file loading/schema validation from comparison keeps the evaluator reusable across human-created, direct-model, scripted, and future agent artifacts.</x:v>
      </x:c>
      <x:c r="E16" s="78" t="str">
        <x:v>Active</x:v>
      </x:c>
      <x:c r="F16" s="78" t="str">
        <x:v>1.3–1.5</x:v>
      </x:c>
      <x:c r="G16" s="78" t="str">
        <x:v>53f96cc; src/mech_eval_harness/evaluation.py</x:v>
      </x:c>
      <x:c r="H16" s="78" t="str">
        <x:v>Revisit only if end-to-end orchestration exposes a concrete interface conflict.</x:v>
      </x:c>
    </x:row>
    <x:row r="17">
      <x:c r="A17" s="78" t="str">
        <x:v>D-014</x:v>
      </x:c>
      <x:c r="B17" s="78" t="n">
        <x:v>46208</x:v>
      </x:c>
      <x:c r="C17" s="78" t="str">
        <x:v>Use strict deterministic semantics: exact matching is JSON-type-sensitive; set equality ignores order and duplicate count; missing candidate paths fail the check; missing reference paths and unsupported kinds are configuration errors; numeric_close is deferred.</x:v>
      </x:c>
      <x:c r="D17" s="78" t="str">
        <x:v>These rules prevent Python type leakage and accidental success while keeping numeric tolerance work isolated to WBS 1.4.</x:v>
      </x:c>
      <x:c r="E17" s="78" t="str">
        <x:v>Active</x:v>
      </x:c>
      <x:c r="F17" s="78" t="str">
        <x:v>1.3–1.4</x:v>
      </x:c>
      <x:c r="G17" s="78" t="str">
        <x:v>53f96cc; tests/test_deterministic_checks.py</x:v>
      </x:c>
      <x:c r="H17" s="78" t="str">
        <x:v>Revisit only when real benchmark cases demonstrate a requirement not covered by these semantics.</x:v>
      </x:c>
    </x:row>
    <x:row r="18">
      <x:c r="A18" s="78"/>
      <x:c r="B18" s="78"/>
      <x:c r="C18" s="78"/>
      <x:c r="D18" s="78"/>
      <x:c r="E18" s="78"/>
      <x:c r="F18" s="78"/>
      <x:c r="G18" s="78"/>
      <x:c r="H18" s="78"/>
    </x:row>
    <x:row r="19">
      <x:c r="A19" s="78"/>
      <x:c r="B19" s="78"/>
      <x:c r="C19" s="78"/>
      <x:c r="D19" s="78"/>
      <x:c r="E19" s="78"/>
      <x:c r="F19" s="78"/>
      <x:c r="G19" s="78"/>
      <x:c r="H19" s="78"/>
    </x:row>
    <x:row r="20">
      <x:c r="A20" s="78"/>
      <x:c r="B20" s="78"/>
      <x:c r="C20" s="78"/>
      <x:c r="D20" s="78"/>
      <x:c r="E20" s="78"/>
      <x:c r="F20" s="78"/>
      <x:c r="G20" s="78"/>
      <x:c r="H20" s="78"/>
    </x:row>
    <x:row r="21">
      <x:c r="A21" s="78"/>
      <x:c r="B21" s="78"/>
      <x:c r="C21" s="78"/>
      <x:c r="D21" s="78"/>
      <x:c r="E21" s="78"/>
      <x:c r="F21" s="78"/>
      <x:c r="G21" s="78"/>
      <x:c r="H21" s="78"/>
    </x:row>
    <x:row r="22">
      <x:c r="A22" s="78"/>
      <x:c r="B22" s="78"/>
      <x:c r="C22" s="78"/>
      <x:c r="D22" s="78"/>
      <x:c r="E22" s="78"/>
      <x:c r="F22" s="78"/>
      <x:c r="G22" s="78"/>
      <x:c r="H22" s="78"/>
    </x:row>
    <x:row r="23">
      <x:c r="A23" s="78"/>
      <x:c r="B23" s="78"/>
      <x:c r="C23" s="78"/>
      <x:c r="D23" s="78"/>
      <x:c r="E23" s="78"/>
      <x:c r="F23" s="78"/>
      <x:c r="G23" s="78"/>
      <x:c r="H23" s="78"/>
    </x:row>
    <x:row r="24">
      <x:c r="A24" s="78"/>
      <x:c r="B24" s="78"/>
      <x:c r="C24" s="78"/>
      <x:c r="D24" s="78"/>
      <x:c r="E24" s="78"/>
      <x:c r="F24" s="78"/>
      <x:c r="G24" s="78"/>
      <x:c r="H24" s="78"/>
    </x:row>
    <x:row r="25">
      <x:c r="A25" s="78"/>
      <x:c r="B25" s="78"/>
      <x:c r="C25" s="78"/>
      <x:c r="D25" s="78"/>
      <x:c r="E25" s="78"/>
      <x:c r="F25" s="78"/>
      <x:c r="G25" s="78"/>
      <x:c r="H25" s="78"/>
    </x:row>
    <x:row r="26">
      <x:c r="A26" s="78"/>
      <x:c r="B26" s="78"/>
      <x:c r="C26" s="78"/>
      <x:c r="D26" s="78"/>
      <x:c r="E26" s="78"/>
      <x:c r="F26" s="78"/>
      <x:c r="G26" s="78"/>
      <x:c r="H26" s="78"/>
    </x:row>
    <x:row r="27">
      <x:c r="A27" s="78"/>
      <x:c r="B27" s="78"/>
      <x:c r="C27" s="78"/>
      <x:c r="D27" s="78"/>
      <x:c r="E27" s="78"/>
      <x:c r="F27" s="78"/>
      <x:c r="G27" s="78"/>
      <x:c r="H27" s="78"/>
    </x:row>
    <x:row r="28">
      <x:c r="A28" s="78"/>
      <x:c r="B28" s="78"/>
      <x:c r="C28" s="78"/>
      <x:c r="D28" s="78"/>
      <x:c r="E28" s="78"/>
      <x:c r="F28" s="78"/>
      <x:c r="G28" s="78"/>
      <x:c r="H28" s="78"/>
    </x:row>
    <x:row r="29">
      <x:c r="A29" s="78"/>
      <x:c r="B29" s="78"/>
      <x:c r="C29" s="78"/>
      <x:c r="D29" s="78"/>
      <x:c r="E29" s="78"/>
      <x:c r="F29" s="78"/>
      <x:c r="G29" s="78"/>
      <x:c r="H29" s="78"/>
    </x:row>
    <x:row r="30">
      <x:c r="A30" s="78"/>
      <x:c r="B30" s="78"/>
      <x:c r="C30" s="78"/>
      <x:c r="D30" s="78"/>
      <x:c r="E30" s="78"/>
      <x:c r="F30" s="78"/>
      <x:c r="G30" s="78"/>
      <x:c r="H30" s="78"/>
    </x:row>
    <x:row r="31">
      <x:c r="A31" s="78"/>
      <x:c r="B31" s="78"/>
      <x:c r="C31" s="78"/>
      <x:c r="D31" s="78"/>
      <x:c r="E31" s="78"/>
      <x:c r="F31" s="78"/>
      <x:c r="G31" s="78"/>
      <x:c r="H31" s="78"/>
    </x:row>
    <x:row r="32">
      <x:c r="A32" s="78"/>
      <x:c r="B32" s="78"/>
      <x:c r="C32" s="78"/>
      <x:c r="D32" s="78"/>
      <x:c r="E32" s="78"/>
      <x:c r="F32" s="78"/>
      <x:c r="G32" s="78"/>
      <x:c r="H32" s="78"/>
    </x:row>
    <x:row r="33">
      <x:c r="A33" s="78"/>
      <x:c r="B33" s="78"/>
      <x:c r="C33" s="78"/>
      <x:c r="D33" s="78"/>
      <x:c r="E33" s="78"/>
      <x:c r="F33" s="78"/>
      <x:c r="G33" s="78"/>
      <x:c r="H33" s="78"/>
    </x:row>
    <x:row r="34">
      <x:c r="A34" s="78"/>
      <x:c r="B34" s="78"/>
      <x:c r="C34" s="78"/>
      <x:c r="D34" s="78"/>
      <x:c r="E34" s="78"/>
      <x:c r="F34" s="78"/>
      <x:c r="G34" s="78"/>
      <x:c r="H34" s="78"/>
    </x:row>
    <x:row r="35">
      <x:c r="A35" s="78"/>
      <x:c r="B35" s="78"/>
      <x:c r="C35" s="78"/>
      <x:c r="D35" s="78"/>
      <x:c r="E35" s="78"/>
      <x:c r="F35" s="78"/>
      <x:c r="G35" s="78"/>
      <x:c r="H35" s="78"/>
    </x:row>
    <x:row r="36">
      <x:c r="A36" s="78"/>
      <x:c r="B36" s="78"/>
      <x:c r="C36" s="78"/>
      <x:c r="D36" s="78"/>
      <x:c r="E36" s="78"/>
      <x:c r="F36" s="78"/>
      <x:c r="G36" s="78"/>
      <x:c r="H36" s="78"/>
    </x:row>
    <x:row r="37">
      <x:c r="A37" s="78"/>
      <x:c r="B37" s="78"/>
      <x:c r="C37" s="78"/>
      <x:c r="D37" s="78"/>
      <x:c r="E37" s="78"/>
      <x:c r="F37" s="78"/>
      <x:c r="G37" s="78"/>
      <x:c r="H37" s="78"/>
    </x:row>
    <x:row r="38">
      <x:c r="A38" s="78"/>
      <x:c r="B38" s="78"/>
      <x:c r="C38" s="78"/>
      <x:c r="D38" s="78"/>
      <x:c r="E38" s="78"/>
      <x:c r="F38" s="78"/>
      <x:c r="G38" s="78"/>
      <x:c r="H38" s="78"/>
    </x:row>
    <x:row r="39">
      <x:c r="A39" s="78"/>
      <x:c r="B39" s="78"/>
      <x:c r="C39" s="78"/>
      <x:c r="D39" s="78"/>
      <x:c r="E39" s="78"/>
      <x:c r="F39" s="78"/>
      <x:c r="G39" s="78"/>
      <x:c r="H39" s="78"/>
    </x:row>
    <x:row r="40">
      <x:c r="A40" s="78"/>
      <x:c r="B40" s="78"/>
      <x:c r="C40" s="78"/>
      <x:c r="D40" s="78"/>
      <x:c r="E40" s="78"/>
      <x:c r="F40" s="78"/>
      <x:c r="G40" s="78"/>
      <x:c r="H40" s="78"/>
    </x:row>
    <x:row r="41">
      <x:c r="A41" s="78"/>
      <x:c r="B41" s="78"/>
      <x:c r="C41" s="78"/>
      <x:c r="D41" s="78"/>
      <x:c r="E41" s="78"/>
      <x:c r="F41" s="78"/>
      <x:c r="G41" s="78"/>
      <x:c r="H41" s="78"/>
    </x:row>
    <x:row r="42">
      <x:c r="A42" s="78"/>
      <x:c r="B42" s="78"/>
      <x:c r="C42" s="78"/>
      <x:c r="D42" s="78"/>
      <x:c r="E42" s="78"/>
      <x:c r="F42" s="78"/>
      <x:c r="G42" s="78"/>
      <x:c r="H42" s="78"/>
    </x:row>
    <x:row r="43">
      <x:c r="A43" s="78"/>
      <x:c r="B43" s="78"/>
      <x:c r="C43" s="78"/>
      <x:c r="D43" s="78"/>
      <x:c r="E43" s="78"/>
      <x:c r="F43" s="78"/>
      <x:c r="G43" s="78"/>
      <x:c r="H43" s="78"/>
    </x:row>
    <x:row r="44">
      <x:c r="A44" s="78"/>
      <x:c r="B44" s="78"/>
      <x:c r="C44" s="78"/>
      <x:c r="D44" s="78"/>
      <x:c r="E44" s="78"/>
      <x:c r="F44" s="78"/>
      <x:c r="G44" s="78"/>
      <x:c r="H44" s="78"/>
    </x:row>
    <x:row r="45">
      <x:c r="A45" s="78"/>
      <x:c r="B45" s="78"/>
      <x:c r="C45" s="78"/>
      <x:c r="D45" s="78"/>
      <x:c r="E45" s="78"/>
      <x:c r="F45" s="78"/>
      <x:c r="G45" s="78"/>
      <x:c r="H45" s="78"/>
    </x:row>
    <x:row r="46">
      <x:c r="A46" s="78"/>
      <x:c r="B46" s="78"/>
      <x:c r="C46" s="78"/>
      <x:c r="D46" s="78"/>
      <x:c r="E46" s="78"/>
      <x:c r="F46" s="78"/>
      <x:c r="G46" s="78"/>
      <x:c r="H46" s="78"/>
    </x:row>
    <x:row r="47">
      <x:c r="A47" s="78"/>
      <x:c r="B47" s="78"/>
      <x:c r="C47" s="78"/>
      <x:c r="D47" s="78"/>
      <x:c r="E47" s="78"/>
      <x:c r="F47" s="78"/>
      <x:c r="G47" s="78"/>
      <x:c r="H47" s="78"/>
    </x:row>
    <x:row r="48">
      <x:c r="A48" s="78"/>
      <x:c r="B48" s="78"/>
      <x:c r="C48" s="78"/>
      <x:c r="D48" s="78"/>
      <x:c r="E48" s="78"/>
      <x:c r="F48" s="78"/>
      <x:c r="G48" s="78"/>
      <x:c r="H48" s="78"/>
    </x:row>
    <x:row r="49">
      <x:c r="A49" s="78"/>
      <x:c r="B49" s="78"/>
      <x:c r="C49" s="78"/>
      <x:c r="D49" s="78"/>
      <x:c r="E49" s="78"/>
      <x:c r="F49" s="78"/>
      <x:c r="G49" s="78"/>
      <x:c r="H49" s="78"/>
    </x:row>
    <x:row r="50">
      <x:c r="A50" s="78"/>
      <x:c r="B50" s="78"/>
      <x:c r="C50" s="78"/>
      <x:c r="D50" s="78"/>
      <x:c r="E50" s="78"/>
      <x:c r="F50" s="78"/>
      <x:c r="G50" s="78"/>
      <x:c r="H50" s="78"/>
    </x:row>
    <x:row r="51">
      <x:c r="A51" s="78"/>
      <x:c r="B51" s="78"/>
      <x:c r="C51" s="78"/>
      <x:c r="D51" s="78"/>
      <x:c r="E51" s="78"/>
      <x:c r="F51" s="78"/>
      <x:c r="G51" s="78"/>
      <x:c r="H51" s="78"/>
    </x:row>
    <x:row r="52">
      <x:c r="A52" s="78"/>
      <x:c r="B52" s="78"/>
      <x:c r="C52" s="78"/>
      <x:c r="D52" s="78"/>
      <x:c r="E52" s="78"/>
      <x:c r="F52" s="78"/>
      <x:c r="G52" s="78"/>
      <x:c r="H52" s="78"/>
    </x:row>
    <x:row r="53">
      <x:c r="A53" s="78"/>
      <x:c r="B53" s="78"/>
      <x:c r="C53" s="78"/>
      <x:c r="D53" s="78"/>
      <x:c r="E53" s="78"/>
      <x:c r="F53" s="78"/>
      <x:c r="G53" s="78"/>
      <x:c r="H53" s="78"/>
    </x:row>
    <x:row r="54">
      <x:c r="A54" s="78"/>
      <x:c r="B54" s="78"/>
      <x:c r="C54" s="78"/>
      <x:c r="D54" s="78"/>
      <x:c r="E54" s="78"/>
      <x:c r="F54" s="78"/>
      <x:c r="G54" s="78"/>
      <x:c r="H54" s="78"/>
    </x:row>
    <x:row r="55">
      <x:c r="A55" s="78"/>
      <x:c r="B55" s="78"/>
      <x:c r="C55" s="78"/>
      <x:c r="D55" s="78"/>
      <x:c r="E55" s="78"/>
      <x:c r="F55" s="78"/>
      <x:c r="G55" s="78"/>
      <x:c r="H55" s="78"/>
    </x:row>
    <x:row r="56">
      <x:c r="A56" s="78"/>
      <x:c r="B56" s="78"/>
      <x:c r="C56" s="78"/>
      <x:c r="D56" s="78"/>
      <x:c r="E56" s="78"/>
      <x:c r="F56" s="78"/>
      <x:c r="G56" s="78"/>
      <x:c r="H56" s="78"/>
    </x:row>
    <x:row r="57">
      <x:c r="A57" s="78"/>
      <x:c r="B57" s="78"/>
      <x:c r="C57" s="78"/>
      <x:c r="D57" s="78"/>
      <x:c r="E57" s="78"/>
      <x:c r="F57" s="78"/>
      <x:c r="G57" s="78"/>
      <x:c r="H57" s="78"/>
    </x:row>
    <x:row r="58">
      <x:c r="A58" s="78"/>
      <x:c r="B58" s="78"/>
      <x:c r="C58" s="78"/>
      <x:c r="D58" s="78"/>
      <x:c r="E58" s="78"/>
      <x:c r="F58" s="78"/>
      <x:c r="G58" s="78"/>
      <x:c r="H58" s="78"/>
    </x:row>
    <x:row r="59">
      <x:c r="A59" s="78"/>
      <x:c r="B59" s="78"/>
      <x:c r="C59" s="78"/>
      <x:c r="D59" s="78"/>
      <x:c r="E59" s="78"/>
      <x:c r="F59" s="78"/>
      <x:c r="G59" s="78"/>
      <x:c r="H59" s="78"/>
    </x:row>
    <x:row r="60">
      <x:c r="A60" s="78"/>
      <x:c r="B60" s="78"/>
      <x:c r="C60" s="78"/>
      <x:c r="D60" s="78"/>
      <x:c r="E60" s="78"/>
      <x:c r="F60" s="78"/>
      <x:c r="G60" s="78"/>
      <x:c r="H60" s="78"/>
    </x:row>
    <x:row r="61">
      <x:c r="A61" s="78"/>
      <x:c r="B61" s="78"/>
      <x:c r="C61" s="78"/>
      <x:c r="D61" s="78"/>
      <x:c r="E61" s="78"/>
      <x:c r="F61" s="78"/>
      <x:c r="G61" s="78"/>
      <x:c r="H61" s="78"/>
    </x:row>
    <x:row r="62">
      <x:c r="A62" s="78"/>
      <x:c r="B62" s="78"/>
      <x:c r="C62" s="78"/>
      <x:c r="D62" s="78"/>
      <x:c r="E62" s="78"/>
      <x:c r="F62" s="78"/>
      <x:c r="G62" s="78"/>
      <x:c r="H62" s="78"/>
    </x:row>
    <x:row r="63">
      <x:c r="A63" s="78"/>
      <x:c r="B63" s="78"/>
      <x:c r="C63" s="78"/>
      <x:c r="D63" s="78"/>
      <x:c r="E63" s="78"/>
      <x:c r="F63" s="78"/>
      <x:c r="G63" s="78"/>
      <x:c r="H63" s="78"/>
    </x:row>
    <x:row r="64">
      <x:c r="A64" s="78"/>
      <x:c r="B64" s="78"/>
      <x:c r="C64" s="78"/>
      <x:c r="D64" s="78"/>
      <x:c r="E64" s="78"/>
      <x:c r="F64" s="78"/>
      <x:c r="G64" s="78"/>
      <x:c r="H64" s="78"/>
    </x:row>
    <x:row r="65">
      <x:c r="A65" s="78"/>
      <x:c r="B65" s="78"/>
      <x:c r="C65" s="78"/>
      <x:c r="D65" s="78"/>
      <x:c r="E65" s="78"/>
      <x:c r="F65" s="78"/>
      <x:c r="G65" s="78"/>
      <x:c r="H65" s="78"/>
    </x:row>
    <x:row r="66">
      <x:c r="A66" s="78"/>
      <x:c r="B66" s="78"/>
      <x:c r="C66" s="78"/>
      <x:c r="D66" s="78"/>
      <x:c r="E66" s="78"/>
      <x:c r="F66" s="78"/>
      <x:c r="G66" s="78"/>
      <x:c r="H66" s="78"/>
    </x:row>
    <x:row r="67">
      <x:c r="A67" s="78"/>
      <x:c r="B67" s="78"/>
      <x:c r="C67" s="78"/>
      <x:c r="D67" s="78"/>
      <x:c r="E67" s="78"/>
      <x:c r="F67" s="78"/>
      <x:c r="G67" s="78"/>
      <x:c r="H67" s="78"/>
    </x:row>
    <x:row r="68">
      <x:c r="A68" s="78"/>
      <x:c r="B68" s="78"/>
      <x:c r="C68" s="78"/>
      <x:c r="D68" s="78"/>
      <x:c r="E68" s="78"/>
      <x:c r="F68" s="78"/>
      <x:c r="G68" s="78"/>
      <x:c r="H68" s="78"/>
    </x:row>
    <x:row r="69">
      <x:c r="A69" s="78"/>
      <x:c r="B69" s="78"/>
      <x:c r="C69" s="78"/>
      <x:c r="D69" s="78"/>
      <x:c r="E69" s="78"/>
      <x:c r="F69" s="78"/>
      <x:c r="G69" s="78"/>
      <x:c r="H69" s="78"/>
    </x:row>
    <x:row r="70">
      <x:c r="A70" s="78"/>
      <x:c r="B70" s="78"/>
      <x:c r="C70" s="78"/>
      <x:c r="D70" s="78"/>
      <x:c r="E70" s="78"/>
      <x:c r="F70" s="78"/>
      <x:c r="G70" s="78"/>
      <x:c r="H70" s="78"/>
    </x:row>
    <x:row r="71">
      <x:c r="A71" s="78"/>
      <x:c r="B71" s="78"/>
      <x:c r="C71" s="78"/>
      <x:c r="D71" s="78"/>
      <x:c r="E71" s="78"/>
      <x:c r="F71" s="78"/>
      <x:c r="G71" s="78"/>
      <x:c r="H71" s="78"/>
    </x:row>
    <x:row r="72">
      <x:c r="A72" s="78"/>
      <x:c r="B72" s="78"/>
      <x:c r="C72" s="78"/>
      <x:c r="D72" s="78"/>
      <x:c r="E72" s="78"/>
      <x:c r="F72" s="78"/>
      <x:c r="G72" s="78"/>
      <x:c r="H72" s="78"/>
    </x:row>
    <x:row r="73">
      <x:c r="A73" s="78"/>
      <x:c r="B73" s="78"/>
      <x:c r="C73" s="78"/>
      <x:c r="D73" s="78"/>
      <x:c r="E73" s="78"/>
      <x:c r="F73" s="78"/>
      <x:c r="G73" s="78"/>
      <x:c r="H73" s="78"/>
    </x:row>
    <x:row r="74">
      <x:c r="A74" s="78"/>
      <x:c r="B74" s="78"/>
      <x:c r="C74" s="78"/>
      <x:c r="D74" s="78"/>
      <x:c r="E74" s="78"/>
      <x:c r="F74" s="78"/>
      <x:c r="G74" s="78"/>
      <x:c r="H74" s="78"/>
    </x:row>
    <x:row r="75">
      <x:c r="A75" s="78"/>
      <x:c r="B75" s="78"/>
      <x:c r="C75" s="78"/>
      <x:c r="D75" s="78"/>
      <x:c r="E75" s="78"/>
      <x:c r="F75" s="78"/>
      <x:c r="G75" s="78"/>
      <x:c r="H75" s="78"/>
    </x:row>
    <x:row r="76">
      <x:c r="A76" s="78"/>
      <x:c r="B76" s="78"/>
      <x:c r="C76" s="78"/>
      <x:c r="D76" s="78"/>
      <x:c r="E76" s="78"/>
      <x:c r="F76" s="78"/>
      <x:c r="G76" s="78"/>
      <x:c r="H76" s="78"/>
    </x:row>
    <x:row r="77">
      <x:c r="A77" s="78"/>
      <x:c r="B77" s="78"/>
      <x:c r="C77" s="78"/>
      <x:c r="D77" s="78"/>
      <x:c r="E77" s="78"/>
      <x:c r="F77" s="78"/>
      <x:c r="G77" s="78"/>
      <x:c r="H77" s="78"/>
    </x:row>
    <x:row r="78">
      <x:c r="A78" s="78"/>
      <x:c r="B78" s="78"/>
      <x:c r="C78" s="78"/>
      <x:c r="D78" s="78"/>
      <x:c r="E78" s="78"/>
      <x:c r="F78" s="78"/>
      <x:c r="G78" s="78"/>
      <x:c r="H78" s="78"/>
    </x:row>
    <x:row r="79">
      <x:c r="A79" s="78"/>
      <x:c r="B79" s="78"/>
      <x:c r="C79" s="78"/>
      <x:c r="D79" s="78"/>
      <x:c r="E79" s="78"/>
      <x:c r="F79" s="78"/>
      <x:c r="G79" s="78"/>
      <x:c r="H79" s="78"/>
    </x:row>
    <x:row r="80">
      <x:c r="A80" s="78"/>
      <x:c r="B80" s="78"/>
      <x:c r="C80" s="78"/>
      <x:c r="D80" s="78"/>
      <x:c r="E80" s="78"/>
      <x:c r="F80" s="78"/>
      <x:c r="G80" s="78"/>
      <x:c r="H80" s="78"/>
    </x:row>
    <x:row r="81">
      <x:c r="A81" s="78"/>
      <x:c r="B81" s="78"/>
      <x:c r="C81" s="78"/>
      <x:c r="D81" s="78"/>
      <x:c r="E81" s="78"/>
      <x:c r="F81" s="78"/>
      <x:c r="G81" s="78"/>
      <x:c r="H81" s="78"/>
    </x:row>
    <x:row r="82">
      <x:c r="A82" s="78"/>
      <x:c r="B82" s="78"/>
      <x:c r="C82" s="78"/>
      <x:c r="D82" s="78"/>
      <x:c r="E82" s="78"/>
      <x:c r="F82" s="78"/>
      <x:c r="G82" s="78"/>
      <x:c r="H82" s="78"/>
    </x:row>
    <x:row r="83">
      <x:c r="A83" s="78"/>
      <x:c r="B83" s="78"/>
      <x:c r="C83" s="78"/>
      <x:c r="D83" s="78"/>
      <x:c r="E83" s="78"/>
      <x:c r="F83" s="78"/>
      <x:c r="G83" s="78"/>
      <x:c r="H83" s="78"/>
    </x:row>
    <x:row r="84">
      <x:c r="A84" s="78"/>
      <x:c r="B84" s="78"/>
      <x:c r="C84" s="78"/>
      <x:c r="D84" s="78"/>
      <x:c r="E84" s="78"/>
      <x:c r="F84" s="78"/>
      <x:c r="G84" s="78"/>
      <x:c r="H84" s="78"/>
    </x:row>
    <x:row r="85">
      <x:c r="A85" s="78"/>
      <x:c r="B85" s="78"/>
      <x:c r="C85" s="78"/>
      <x:c r="D85" s="78"/>
      <x:c r="E85" s="78"/>
      <x:c r="F85" s="78"/>
      <x:c r="G85" s="78"/>
      <x:c r="H85" s="78"/>
    </x:row>
    <x:row r="86">
      <x:c r="A86" s="78"/>
      <x:c r="B86" s="78"/>
      <x:c r="C86" s="78"/>
      <x:c r="D86" s="78"/>
      <x:c r="E86" s="78"/>
      <x:c r="F86" s="78"/>
      <x:c r="G86" s="78"/>
      <x:c r="H86" s="78"/>
    </x:row>
    <x:row r="87">
      <x:c r="A87" s="78"/>
      <x:c r="B87" s="78"/>
      <x:c r="C87" s="78"/>
      <x:c r="D87" s="78"/>
      <x:c r="E87" s="78"/>
      <x:c r="F87" s="78"/>
      <x:c r="G87" s="78"/>
      <x:c r="H87" s="78"/>
    </x:row>
    <x:row r="88">
      <x:c r="A88" s="78"/>
      <x:c r="B88" s="78"/>
      <x:c r="C88" s="78"/>
      <x:c r="D88" s="78"/>
      <x:c r="E88" s="78"/>
      <x:c r="F88" s="78"/>
      <x:c r="G88" s="78"/>
      <x:c r="H88" s="78"/>
    </x:row>
    <x:row r="89">
      <x:c r="A89" s="78"/>
      <x:c r="B89" s="78"/>
      <x:c r="C89" s="78"/>
      <x:c r="D89" s="78"/>
      <x:c r="E89" s="78"/>
      <x:c r="F89" s="78"/>
      <x:c r="G89" s="78"/>
      <x:c r="H89" s="78"/>
    </x:row>
    <x:row r="90">
      <x:c r="A90" s="78"/>
      <x:c r="B90" s="78"/>
      <x:c r="C90" s="78"/>
      <x:c r="D90" s="78"/>
      <x:c r="E90" s="78"/>
      <x:c r="F90" s="78"/>
      <x:c r="G90" s="78"/>
      <x:c r="H90" s="78"/>
    </x:row>
    <x:row r="91">
      <x:c r="A91" s="78"/>
      <x:c r="B91" s="78"/>
      <x:c r="C91" s="78"/>
      <x:c r="D91" s="78"/>
      <x:c r="E91" s="78"/>
      <x:c r="F91" s="78"/>
      <x:c r="G91" s="78"/>
      <x:c r="H91" s="78"/>
    </x:row>
    <x:row r="92">
      <x:c r="A92" s="78"/>
      <x:c r="B92" s="78"/>
      <x:c r="C92" s="78"/>
      <x:c r="D92" s="78"/>
      <x:c r="E92" s="78"/>
      <x:c r="F92" s="78"/>
      <x:c r="G92" s="78"/>
      <x:c r="H92" s="78"/>
    </x:row>
    <x:row r="93">
      <x:c r="A93" s="78"/>
      <x:c r="B93" s="78"/>
      <x:c r="C93" s="78"/>
      <x:c r="D93" s="78"/>
      <x:c r="E93" s="78"/>
      <x:c r="F93" s="78"/>
      <x:c r="G93" s="78"/>
      <x:c r="H93" s="78"/>
    </x:row>
    <x:row r="94">
      <x:c r="A94" s="78"/>
      <x:c r="B94" s="78"/>
      <x:c r="C94" s="78"/>
      <x:c r="D94" s="78"/>
      <x:c r="E94" s="78"/>
      <x:c r="F94" s="78"/>
      <x:c r="G94" s="78"/>
      <x:c r="H94" s="78"/>
    </x:row>
    <x:row r="95">
      <x:c r="A95" s="78"/>
      <x:c r="B95" s="78"/>
      <x:c r="C95" s="78"/>
      <x:c r="D95" s="78"/>
      <x:c r="E95" s="78"/>
      <x:c r="F95" s="78"/>
      <x:c r="G95" s="78"/>
      <x:c r="H95" s="78"/>
    </x:row>
    <x:row r="96">
      <x:c r="A96" s="78"/>
      <x:c r="B96" s="78"/>
      <x:c r="C96" s="78"/>
      <x:c r="D96" s="78"/>
      <x:c r="E96" s="78"/>
      <x:c r="F96" s="78"/>
      <x:c r="G96" s="78"/>
      <x:c r="H96" s="78"/>
    </x:row>
    <x:row r="97">
      <x:c r="A97" s="78"/>
      <x:c r="B97" s="78"/>
      <x:c r="C97" s="78"/>
      <x:c r="D97" s="78"/>
      <x:c r="E97" s="78"/>
      <x:c r="F97" s="78"/>
      <x:c r="G97" s="78"/>
      <x:c r="H97" s="78"/>
    </x:row>
    <x:row r="98">
      <x:c r="A98" s="78"/>
      <x:c r="B98" s="78"/>
      <x:c r="C98" s="78"/>
      <x:c r="D98" s="78"/>
      <x:c r="E98" s="78"/>
      <x:c r="F98" s="78"/>
      <x:c r="G98" s="78"/>
      <x:c r="H98" s="78"/>
    </x:row>
    <x:row r="99">
      <x:c r="A99" s="78"/>
      <x:c r="B99" s="78"/>
      <x:c r="C99" s="78"/>
      <x:c r="D99" s="78"/>
      <x:c r="E99" s="78"/>
      <x:c r="F99" s="78"/>
      <x:c r="G99" s="78"/>
      <x:c r="H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</x:row>
  </x:sheetData>
  <x:mergeCells>
    <x:mergeCell ref="A1:H1"/>
  </x:mergeCells>
  <x:dataValidations count="1">
    <x:dataValidation type="list" sqref="E4:E100">
      <x:formula1>"Proposed,Active,Superseded,Deferred"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4.25"/>
  <x:cols>
    <x:col min="1" max="2" width="10" customWidth="1"/>
    <x:col min="3" max="3" width="42" customWidth="1"/>
    <x:col min="4" max="6" width="12" customWidth="1"/>
    <x:col min="7" max="7" width="48" customWidth="1"/>
    <x:col min="8" max="8" width="13" customWidth="1"/>
    <x:col min="9" max="9" width="12" customWidth="1"/>
    <x:col min="10" max="10" width="38" customWidth="1"/>
  </x:cols>
  <x:sheetData>
    <x:row r="1" ht="27.950000762939453" customHeight="1">
      <x:c r="A1" s="234" t="s">
        <x:v>687</x:v>
      </x:c>
      <x:c r="B1" s="235"/>
      <x:c r="C1" s="235"/>
      <x:c r="D1" s="235"/>
      <x:c r="E1" s="235"/>
      <x:c r="F1" s="235"/>
      <x:c r="G1" s="235"/>
      <x:c r="H1" s="235"/>
      <x:c r="I1" s="235"/>
      <x:c r="J1" s="235"/>
    </x:row>
    <x:row r="3" ht="30">
      <x:c r="A3" s="80" t="s">
        <x:v>65</x:v>
      </x:c>
      <x:c r="B3" s="80" t="s">
        <x:v>325</x:v>
      </x:c>
      <x:c r="C3" s="80" t="s">
        <x:v>688</x:v>
      </x:c>
      <x:c r="D3" s="80" t="s">
        <x:v>689</x:v>
      </x:c>
      <x:c r="E3" s="80" t="s">
        <x:v>690</x:v>
      </x:c>
      <x:c r="F3" s="80" t="s">
        <x:v>691</x:v>
      </x:c>
      <x:c r="G3" s="80" t="s">
        <x:v>692</x:v>
      </x:c>
      <x:c r="H3" s="80" t="s">
        <x:v>117</x:v>
      </x:c>
      <x:c r="I3" s="80" t="s">
        <x:v>693</x:v>
      </x:c>
      <x:c r="J3" s="80" t="s">
        <x:v>122</x:v>
      </x:c>
    </x:row>
    <x:row r="4" ht="28.5">
      <x:c r="A4" s="78" t="s">
        <x:v>694</x:v>
      </x:c>
      <x:c r="B4" s="78" t="s">
        <x:v>695</x:v>
      </x:c>
      <x:c r="C4" s="78" t="s">
        <x:v>696</x:v>
      </x:c>
      <x:c r="D4" s="78" t="s">
        <x:v>697</x:v>
      </x:c>
      <x:c r="E4" s="78" t="s">
        <x:v>697</x:v>
      </x:c>
      <x:c r="F4" s="78" t="s">
        <x:v>698</x:v>
      </x:c>
      <x:c r="G4" s="78" t="s">
        <x:v>699</x:v>
      </x:c>
      <x:c r="H4" s="78" t="s">
        <x:v>700</x:v>
      </x:c>
      <x:c r="I4" s="81">
        <x:v>46215</x:v>
      </x:c>
      <x:c r="J4" s="78" t="s">
        <x:v>701</x:v>
      </x:c>
    </x:row>
    <x:row r="5" ht="28.5">
      <x:c r="A5" s="78" t="s">
        <x:v>702</x:v>
      </x:c>
      <x:c r="B5" s="78" t="s">
        <x:v>695</x:v>
      </x:c>
      <x:c r="C5" s="78" t="s">
        <x:v>703</x:v>
      </x:c>
      <x:c r="D5" s="78" t="s">
        <x:v>697</x:v>
      </x:c>
      <x:c r="E5" s="78" t="s">
        <x:v>697</x:v>
      </x:c>
      <x:c r="F5" s="78" t="s">
        <x:v>698</x:v>
      </x:c>
      <x:c r="G5" s="78" t="s">
        <x:v>704</x:v>
      </x:c>
      <x:c r="H5" s="78" t="s">
        <x:v>705</x:v>
      </x:c>
      <x:c r="I5" s="81">
        <x:v>46215</x:v>
      </x:c>
      <x:c r="J5" s="78" t="s">
        <x:v>706</x:v>
      </x:c>
    </x:row>
    <x:row r="6" ht="28.5">
      <x:c r="A6" s="78" t="s">
        <x:v>707</x:v>
      </x:c>
      <x:c r="B6" s="78" t="s">
        <x:v>695</x:v>
      </x:c>
      <x:c r="C6" s="78" t="s">
        <x:v>708</x:v>
      </x:c>
      <x:c r="D6" s="78" t="s">
        <x:v>709</x:v>
      </x:c>
      <x:c r="E6" s="78" t="s">
        <x:v>697</x:v>
      </x:c>
      <x:c r="F6" s="78" t="s">
        <x:v>698</x:v>
      </x:c>
      <x:c r="G6" s="78" t="s">
        <x:v>710</x:v>
      </x:c>
      <x:c r="H6" s="78" t="s">
        <x:v>700</x:v>
      </x:c>
      <x:c r="I6" s="81">
        <x:v>46229</x:v>
      </x:c>
      <x:c r="J6" s="78" t="s">
        <x:v>711</x:v>
      </x:c>
    </x:row>
    <x:row r="7" ht="54" customHeight="1">
      <x:c r="A7" s="78" t="s">
        <x:v>712</x:v>
      </x:c>
      <x:c r="B7" s="78" t="s">
        <x:v>695</x:v>
      </x:c>
      <x:c r="C7" s="78" t="s">
        <x:v>713</x:v>
      </x:c>
      <x:c r="D7" s="78" t="s">
        <x:v>709</x:v>
      </x:c>
      <x:c r="E7" s="78" t="s">
        <x:v>697</x:v>
      </x:c>
      <x:c r="F7" s="78" t="s">
        <x:v>698</x:v>
      </x:c>
      <x:c r="G7" s="78" t="s">
        <x:v>714</x:v>
      </x:c>
      <x:c r="H7" s="78" t="s">
        <x:v>705</x:v>
      </x:c>
      <x:c r="I7" s="81">
        <x:v>46257</x:v>
      </x:c>
      <x:c r="J7" s="78" t="s">
        <x:v>715</x:v>
      </x:c>
    </x:row>
    <x:row r="8" ht="28.5">
      <x:c r="A8" s="78" t="s">
        <x:v>716</x:v>
      </x:c>
      <x:c r="B8" s="78" t="s">
        <x:v>695</x:v>
      </x:c>
      <x:c r="C8" s="78" t="s">
        <x:v>717</x:v>
      </x:c>
      <x:c r="D8" s="78" t="s">
        <x:v>709</x:v>
      </x:c>
      <x:c r="E8" s="78" t="s">
        <x:v>709</x:v>
      </x:c>
      <x:c r="F8" s="78" t="s">
        <x:v>698</x:v>
      </x:c>
      <x:c r="G8" s="78" t="s">
        <x:v>718</x:v>
      </x:c>
      <x:c r="H8" s="78" t="s">
        <x:v>700</x:v>
      </x:c>
      <x:c r="I8" s="81">
        <x:v>46222</x:v>
      </x:c>
      <x:c r="J8" s="78" t="s">
        <x:v>719</x:v>
      </x:c>
    </x:row>
    <x:row r="9" ht="28.5">
      <x:c r="A9" s="78" t="s">
        <x:v>720</x:v>
      </x:c>
      <x:c r="B9" s="78" t="s">
        <x:v>695</x:v>
      </x:c>
      <x:c r="C9" s="78" t="s">
        <x:v>721</x:v>
      </x:c>
      <x:c r="D9" s="78" t="s">
        <x:v>722</x:v>
      </x:c>
      <x:c r="E9" s="78" t="s">
        <x:v>697</x:v>
      </x:c>
      <x:c r="F9" s="78" t="s">
        <x:v>698</x:v>
      </x:c>
      <x:c r="G9" s="78" t="s">
        <x:v>723</x:v>
      </x:c>
      <x:c r="H9" s="78" t="s">
        <x:v>700</x:v>
      </x:c>
      <x:c r="I9" s="81">
        <x:v>46257</x:v>
      </x:c>
      <x:c r="J9" s="78" t="s">
        <x:v>724</x:v>
      </x:c>
    </x:row>
    <x:row r="10" ht="28.5">
      <x:c r="A10" s="78" t="s">
        <x:v>725</x:v>
      </x:c>
      <x:c r="B10" s="78" t="s">
        <x:v>726</x:v>
      </x:c>
      <x:c r="C10" s="78" t="s">
        <x:v>727</x:v>
      </x:c>
      <x:c r="D10" s="78" t="s">
        <x:v>728</x:v>
      </x:c>
      <x:c r="E10" s="78" t="s">
        <x:v>722</x:v>
      </x:c>
      <x:c r="F10" s="78" t="s">
        <x:v>698</x:v>
      </x:c>
      <x:c r="G10" s="78" t="s">
        <x:v>729</x:v>
      </x:c>
      <x:c r="H10" s="78" t="s">
        <x:v>730</x:v>
      </x:c>
      <x:c r="I10" s="81">
        <x:v>46208</x:v>
      </x:c>
      <x:c r="J10" s="78" t="s">
        <x:v>731</x:v>
      </x:c>
    </x:row>
    <x:row r="11" ht="28.5">
      <x:c r="A11" s="78" t="s">
        <x:v>732</x:v>
      </x:c>
      <x:c r="B11" s="78" t="s">
        <x:v>726</x:v>
      </x:c>
      <x:c r="C11" s="78" t="s">
        <x:v>733</x:v>
      </x:c>
      <x:c r="D11" s="78" t="s">
        <x:v>728</x:v>
      </x:c>
      <x:c r="E11" s="78" t="s">
        <x:v>709</x:v>
      </x:c>
      <x:c r="F11" s="78" t="s">
        <x:v>698</x:v>
      </x:c>
      <x:c r="G11" s="78" t="s">
        <x:v>734</x:v>
      </x:c>
      <x:c r="H11" s="78" t="s">
        <x:v>730</x:v>
      </x:c>
      <x:c r="I11" s="81">
        <x:v>46209</x:v>
      </x:c>
      <x:c r="J11" s="78" t="s">
        <x:v>735</x:v>
      </x:c>
    </x:row>
    <x:row r="12">
      <x:c r="A12" s="78"/>
      <x:c r="B12" s="78"/>
      <x:c r="C12" s="78"/>
      <x:c r="D12" s="78"/>
      <x:c r="E12" s="78"/>
      <x:c r="F12" s="78"/>
      <x:c r="G12" s="78"/>
      <x:c r="H12" s="78"/>
      <x:c r="I12" s="78"/>
      <x:c r="J12" s="78"/>
    </x:row>
    <x:row r="13">
      <x:c r="A13" s="78"/>
      <x:c r="B13" s="78"/>
      <x:c r="C13" s="78"/>
      <x:c r="D13" s="78"/>
      <x:c r="E13" s="78"/>
      <x:c r="F13" s="78"/>
      <x:c r="G13" s="78"/>
      <x:c r="H13" s="78"/>
      <x:c r="I13" s="78"/>
      <x:c r="J13" s="78"/>
    </x:row>
    <x:row r="14">
      <x:c r="A14" s="78"/>
      <x:c r="B14" s="78"/>
      <x:c r="C14" s="78"/>
      <x:c r="D14" s="78"/>
      <x:c r="E14" s="78"/>
      <x:c r="F14" s="78"/>
      <x:c r="G14" s="78"/>
      <x:c r="H14" s="78"/>
      <x:c r="I14" s="78"/>
      <x:c r="J14" s="78"/>
    </x:row>
    <x:row r="15">
      <x:c r="A15" s="78"/>
      <x:c r="B15" s="78"/>
      <x:c r="C15" s="78"/>
      <x:c r="D15" s="78"/>
      <x:c r="E15" s="78"/>
      <x:c r="F15" s="78"/>
      <x:c r="G15" s="78"/>
      <x:c r="H15" s="78"/>
      <x:c r="I15" s="78"/>
      <x:c r="J15" s="78"/>
    </x:row>
    <x:row r="16">
      <x:c r="A16" s="78"/>
      <x:c r="B16" s="78"/>
      <x:c r="C16" s="78"/>
      <x:c r="D16" s="78"/>
      <x:c r="E16" s="78"/>
      <x:c r="F16" s="78"/>
      <x:c r="G16" s="78"/>
      <x:c r="H16" s="78"/>
      <x:c r="I16" s="78"/>
      <x:c r="J16" s="78"/>
    </x:row>
    <x:row r="17">
      <x:c r="A17" s="78"/>
      <x:c r="B17" s="78"/>
      <x:c r="C17" s="78"/>
      <x:c r="D17" s="78"/>
      <x:c r="E17" s="78"/>
      <x:c r="F17" s="78"/>
      <x:c r="G17" s="78"/>
      <x:c r="H17" s="78"/>
      <x:c r="I17" s="78"/>
      <x:c r="J17" s="78"/>
    </x:row>
    <x:row r="18">
      <x:c r="A18" s="78"/>
      <x:c r="B18" s="78"/>
      <x:c r="C18" s="78"/>
      <x:c r="D18" s="78"/>
      <x:c r="E18" s="78"/>
      <x:c r="F18" s="78"/>
      <x:c r="G18" s="78"/>
      <x:c r="H18" s="78"/>
      <x:c r="I18" s="78"/>
      <x:c r="J18" s="78"/>
    </x:row>
    <x:row r="19">
      <x:c r="A19" s="78"/>
      <x:c r="B19" s="78"/>
      <x:c r="C19" s="78"/>
      <x:c r="D19" s="78"/>
      <x:c r="E19" s="78"/>
      <x:c r="F19" s="78"/>
      <x:c r="G19" s="78"/>
      <x:c r="H19" s="78"/>
      <x:c r="I19" s="78"/>
      <x:c r="J19" s="78"/>
    </x:row>
    <x:row r="20">
      <x:c r="A20" s="78"/>
      <x:c r="B20" s="78"/>
      <x:c r="C20" s="78"/>
      <x:c r="D20" s="78"/>
      <x:c r="E20" s="78"/>
      <x:c r="F20" s="78"/>
      <x:c r="G20" s="78"/>
      <x:c r="H20" s="78"/>
      <x:c r="I20" s="78"/>
      <x:c r="J20" s="78"/>
    </x:row>
    <x:row r="21">
      <x:c r="A21" s="78"/>
      <x:c r="B21" s="78"/>
      <x:c r="C21" s="78"/>
      <x:c r="D21" s="78"/>
      <x:c r="E21" s="78"/>
      <x:c r="F21" s="78"/>
      <x:c r="G21" s="78"/>
      <x:c r="H21" s="78"/>
      <x:c r="I21" s="78"/>
      <x:c r="J21" s="78"/>
    </x:row>
    <x:row r="22">
      <x:c r="A22" s="78"/>
      <x:c r="B22" s="78"/>
      <x:c r="C22" s="78"/>
      <x:c r="D22" s="78"/>
      <x:c r="E22" s="78"/>
      <x:c r="F22" s="78"/>
      <x:c r="G22" s="78"/>
      <x:c r="H22" s="78"/>
      <x:c r="I22" s="78"/>
      <x:c r="J22" s="78"/>
    </x:row>
    <x:row r="23">
      <x:c r="A23" s="78"/>
      <x:c r="B23" s="78"/>
      <x:c r="C23" s="78"/>
      <x:c r="D23" s="78"/>
      <x:c r="E23" s="78"/>
      <x:c r="F23" s="78"/>
      <x:c r="G23" s="78"/>
      <x:c r="H23" s="78"/>
      <x:c r="I23" s="78"/>
      <x:c r="J23" s="78"/>
    </x:row>
    <x:row r="24">
      <x:c r="A24" s="78"/>
      <x:c r="B24" s="78"/>
      <x:c r="C24" s="78"/>
      <x:c r="D24" s="78"/>
      <x:c r="E24" s="78"/>
      <x:c r="F24" s="78"/>
      <x:c r="G24" s="78"/>
      <x:c r="H24" s="78"/>
      <x:c r="I24" s="78"/>
      <x:c r="J24" s="78"/>
    </x:row>
    <x:row r="25">
      <x:c r="A25" s="78"/>
      <x:c r="B25" s="78"/>
      <x:c r="C25" s="78"/>
      <x:c r="D25" s="78"/>
      <x:c r="E25" s="78"/>
      <x:c r="F25" s="78"/>
      <x:c r="G25" s="78"/>
      <x:c r="H25" s="78"/>
      <x:c r="I25" s="78"/>
      <x:c r="J25" s="78"/>
    </x:row>
    <x:row r="26">
      <x:c r="A26" s="78"/>
      <x:c r="B26" s="78"/>
      <x:c r="C26" s="78"/>
      <x:c r="D26" s="78"/>
      <x:c r="E26" s="78"/>
      <x:c r="F26" s="78"/>
      <x:c r="G26" s="78"/>
      <x:c r="H26" s="78"/>
      <x:c r="I26" s="78"/>
      <x:c r="J26" s="78"/>
    </x:row>
    <x:row r="27">
      <x:c r="A27" s="78"/>
      <x:c r="B27" s="78"/>
      <x:c r="C27" s="78"/>
      <x:c r="D27" s="78"/>
      <x:c r="E27" s="78"/>
      <x:c r="F27" s="78"/>
      <x:c r="G27" s="78"/>
      <x:c r="H27" s="78"/>
      <x:c r="I27" s="78"/>
      <x:c r="J27" s="78"/>
    </x:row>
    <x:row r="28">
      <x:c r="A28" s="78"/>
      <x:c r="B28" s="78"/>
      <x:c r="C28" s="78"/>
      <x:c r="D28" s="78"/>
      <x:c r="E28" s="78"/>
      <x:c r="F28" s="78"/>
      <x:c r="G28" s="78"/>
      <x:c r="H28" s="78"/>
      <x:c r="I28" s="78"/>
      <x:c r="J28" s="78"/>
    </x:row>
    <x:row r="29">
      <x:c r="A29" s="78"/>
      <x:c r="B29" s="78"/>
      <x:c r="C29" s="78"/>
      <x:c r="D29" s="78"/>
      <x:c r="E29" s="78"/>
      <x:c r="F29" s="78"/>
      <x:c r="G29" s="78"/>
      <x:c r="H29" s="78"/>
      <x:c r="I29" s="78"/>
      <x:c r="J29" s="78"/>
    </x:row>
    <x:row r="30">
      <x:c r="A30" s="78"/>
      <x:c r="B30" s="78"/>
      <x:c r="C30" s="78"/>
      <x:c r="D30" s="78"/>
      <x:c r="E30" s="78"/>
      <x:c r="F30" s="78"/>
      <x:c r="G30" s="78"/>
      <x:c r="H30" s="78"/>
      <x:c r="I30" s="78"/>
      <x:c r="J30" s="78"/>
    </x:row>
    <x:row r="31">
      <x:c r="A31" s="78"/>
      <x:c r="B31" s="78"/>
      <x:c r="C31" s="78"/>
      <x:c r="D31" s="78"/>
      <x:c r="E31" s="78"/>
      <x:c r="F31" s="78"/>
      <x:c r="G31" s="78"/>
      <x:c r="H31" s="78"/>
      <x:c r="I31" s="78"/>
      <x:c r="J31" s="78"/>
    </x:row>
    <x:row r="32">
      <x:c r="A32" s="78"/>
      <x:c r="B32" s="78"/>
      <x:c r="C32" s="78"/>
      <x:c r="D32" s="78"/>
      <x:c r="E32" s="78"/>
      <x:c r="F32" s="78"/>
      <x:c r="G32" s="78"/>
      <x:c r="H32" s="78"/>
      <x:c r="I32" s="78"/>
      <x:c r="J32" s="78"/>
    </x:row>
    <x:row r="33">
      <x:c r="A33" s="78"/>
      <x:c r="B33" s="78"/>
      <x:c r="C33" s="78"/>
      <x:c r="D33" s="78"/>
      <x:c r="E33" s="78"/>
      <x:c r="F33" s="78"/>
      <x:c r="G33" s="78"/>
      <x:c r="H33" s="78"/>
      <x:c r="I33" s="78"/>
      <x:c r="J33" s="78"/>
    </x:row>
    <x:row r="34">
      <x:c r="A34" s="78"/>
      <x:c r="B34" s="78"/>
      <x:c r="C34" s="78"/>
      <x:c r="D34" s="78"/>
      <x:c r="E34" s="78"/>
      <x:c r="F34" s="78"/>
      <x:c r="G34" s="78"/>
      <x:c r="H34" s="78"/>
      <x:c r="I34" s="78"/>
      <x:c r="J34" s="78"/>
    </x:row>
    <x:row r="35">
      <x:c r="A35" s="78"/>
      <x:c r="B35" s="78"/>
      <x:c r="C35" s="78"/>
      <x:c r="D35" s="78"/>
      <x:c r="E35" s="78"/>
      <x:c r="F35" s="78"/>
      <x:c r="G35" s="78"/>
      <x:c r="H35" s="78"/>
      <x:c r="I35" s="78"/>
      <x:c r="J35" s="78"/>
    </x:row>
    <x:row r="36">
      <x:c r="A36" s="78"/>
      <x:c r="B36" s="78"/>
      <x:c r="C36" s="78"/>
      <x:c r="D36" s="78"/>
      <x:c r="E36" s="78"/>
      <x:c r="F36" s="78"/>
      <x:c r="G36" s="78"/>
      <x:c r="H36" s="78"/>
      <x:c r="I36" s="78"/>
      <x:c r="J36" s="78"/>
    </x:row>
    <x:row r="37">
      <x:c r="A37" s="78"/>
      <x:c r="B37" s="78"/>
      <x:c r="C37" s="78"/>
      <x:c r="D37" s="78"/>
      <x:c r="E37" s="78"/>
      <x:c r="F37" s="78"/>
      <x:c r="G37" s="78"/>
      <x:c r="H37" s="78"/>
      <x:c r="I37" s="78"/>
      <x:c r="J37" s="78"/>
    </x:row>
    <x:row r="38">
      <x:c r="A38" s="78"/>
      <x:c r="B38" s="78"/>
      <x:c r="C38" s="78"/>
      <x:c r="D38" s="78"/>
      <x:c r="E38" s="78"/>
      <x:c r="F38" s="78"/>
      <x:c r="G38" s="78"/>
      <x:c r="H38" s="78"/>
      <x:c r="I38" s="78"/>
      <x:c r="J38" s="78"/>
    </x:row>
    <x:row r="39">
      <x:c r="A39" s="78"/>
      <x:c r="B39" s="78"/>
      <x:c r="C39" s="78"/>
      <x:c r="D39" s="78"/>
      <x:c r="E39" s="78"/>
      <x:c r="F39" s="78"/>
      <x:c r="G39" s="78"/>
      <x:c r="H39" s="78"/>
      <x:c r="I39" s="78"/>
      <x:c r="J39" s="78"/>
    </x:row>
    <x:row r="40">
      <x:c r="A40" s="78"/>
      <x:c r="B40" s="78"/>
      <x:c r="C40" s="78"/>
      <x:c r="D40" s="78"/>
      <x:c r="E40" s="78"/>
      <x:c r="F40" s="78"/>
      <x:c r="G40" s="78"/>
      <x:c r="H40" s="78"/>
      <x:c r="I40" s="78"/>
      <x:c r="J40" s="78"/>
    </x:row>
    <x:row r="41">
      <x:c r="A41" s="78"/>
      <x:c r="B41" s="78"/>
      <x:c r="C41" s="78"/>
      <x:c r="D41" s="78"/>
      <x:c r="E41" s="78"/>
      <x:c r="F41" s="78"/>
      <x:c r="G41" s="78"/>
      <x:c r="H41" s="78"/>
      <x:c r="I41" s="78"/>
      <x:c r="J41" s="78"/>
    </x:row>
    <x:row r="42">
      <x:c r="A42" s="78"/>
      <x:c r="B42" s="78"/>
      <x:c r="C42" s="78"/>
      <x:c r="D42" s="78"/>
      <x:c r="E42" s="78"/>
      <x:c r="F42" s="78"/>
      <x:c r="G42" s="78"/>
      <x:c r="H42" s="78"/>
      <x:c r="I42" s="78"/>
      <x:c r="J42" s="78"/>
    </x:row>
    <x:row r="43">
      <x:c r="A43" s="78"/>
      <x:c r="B43" s="78"/>
      <x:c r="C43" s="78"/>
      <x:c r="D43" s="78"/>
      <x:c r="E43" s="78"/>
      <x:c r="F43" s="78"/>
      <x:c r="G43" s="78"/>
      <x:c r="H43" s="78"/>
      <x:c r="I43" s="78"/>
      <x:c r="J43" s="78"/>
    </x:row>
    <x:row r="44">
      <x:c r="A44" s="78"/>
      <x:c r="B44" s="78"/>
      <x:c r="C44" s="78"/>
      <x:c r="D44" s="78"/>
      <x:c r="E44" s="78"/>
      <x:c r="F44" s="78"/>
      <x:c r="G44" s="78"/>
      <x:c r="H44" s="78"/>
      <x:c r="I44" s="78"/>
      <x:c r="J44" s="78"/>
    </x:row>
    <x:row r="45">
      <x:c r="A45" s="78"/>
      <x:c r="B45" s="78"/>
      <x:c r="C45" s="78"/>
      <x:c r="D45" s="78"/>
      <x:c r="E45" s="78"/>
      <x:c r="F45" s="78"/>
      <x:c r="G45" s="78"/>
      <x:c r="H45" s="78"/>
      <x:c r="I45" s="78"/>
      <x:c r="J45" s="78"/>
    </x:row>
    <x:row r="46">
      <x:c r="A46" s="78"/>
      <x:c r="B46" s="78"/>
      <x:c r="C46" s="78"/>
      <x:c r="D46" s="78"/>
      <x:c r="E46" s="78"/>
      <x:c r="F46" s="78"/>
      <x:c r="G46" s="78"/>
      <x:c r="H46" s="78"/>
      <x:c r="I46" s="78"/>
      <x:c r="J46" s="78"/>
    </x:row>
    <x:row r="47">
      <x:c r="A47" s="78"/>
      <x:c r="B47" s="78"/>
      <x:c r="C47" s="78"/>
      <x:c r="D47" s="78"/>
      <x:c r="E47" s="78"/>
      <x:c r="F47" s="78"/>
      <x:c r="G47" s="78"/>
      <x:c r="H47" s="78"/>
      <x:c r="I47" s="78"/>
      <x:c r="J47" s="78"/>
    </x:row>
    <x:row r="48">
      <x:c r="A48" s="78"/>
      <x:c r="B48" s="78"/>
      <x:c r="C48" s="78"/>
      <x:c r="D48" s="78"/>
      <x:c r="E48" s="78"/>
      <x:c r="F48" s="78"/>
      <x:c r="G48" s="78"/>
      <x:c r="H48" s="78"/>
      <x:c r="I48" s="78"/>
      <x:c r="J48" s="78"/>
    </x:row>
    <x:row r="49">
      <x:c r="A49" s="78"/>
      <x:c r="B49" s="78"/>
      <x:c r="C49" s="78"/>
      <x:c r="D49" s="78"/>
      <x:c r="E49" s="78"/>
      <x:c r="F49" s="78"/>
      <x:c r="G49" s="78"/>
      <x:c r="H49" s="78"/>
      <x:c r="I49" s="78"/>
      <x:c r="J49" s="78"/>
    </x:row>
    <x:row r="50">
      <x:c r="A50" s="78"/>
      <x:c r="B50" s="78"/>
      <x:c r="C50" s="78"/>
      <x:c r="D50" s="78"/>
      <x:c r="E50" s="78"/>
      <x:c r="F50" s="78"/>
      <x:c r="G50" s="78"/>
      <x:c r="H50" s="78"/>
      <x:c r="I50" s="78"/>
      <x:c r="J50" s="78"/>
    </x:row>
    <x:row r="51">
      <x:c r="A51" s="78"/>
      <x:c r="B51" s="78"/>
      <x:c r="C51" s="78"/>
      <x:c r="D51" s="78"/>
      <x:c r="E51" s="78"/>
      <x:c r="F51" s="78"/>
      <x:c r="G51" s="78"/>
      <x:c r="H51" s="78"/>
      <x:c r="I51" s="78"/>
      <x:c r="J51" s="78"/>
    </x:row>
    <x:row r="52">
      <x:c r="A52" s="78"/>
      <x:c r="B52" s="78"/>
      <x:c r="C52" s="78"/>
      <x:c r="D52" s="78"/>
      <x:c r="E52" s="78"/>
      <x:c r="F52" s="78"/>
      <x:c r="G52" s="78"/>
      <x:c r="H52" s="78"/>
      <x:c r="I52" s="78"/>
      <x:c r="J52" s="78"/>
    </x:row>
    <x:row r="53">
      <x:c r="A53" s="78"/>
      <x:c r="B53" s="78"/>
      <x:c r="C53" s="78"/>
      <x:c r="D53" s="78"/>
      <x:c r="E53" s="78"/>
      <x:c r="F53" s="78"/>
      <x:c r="G53" s="78"/>
      <x:c r="H53" s="78"/>
      <x:c r="I53" s="78"/>
      <x:c r="J53" s="78"/>
    </x:row>
    <x:row r="54">
      <x:c r="A54" s="78"/>
      <x:c r="B54" s="78"/>
      <x:c r="C54" s="78"/>
      <x:c r="D54" s="78"/>
      <x:c r="E54" s="78"/>
      <x:c r="F54" s="78"/>
      <x:c r="G54" s="78"/>
      <x:c r="H54" s="78"/>
      <x:c r="I54" s="78"/>
      <x:c r="J54" s="78"/>
    </x:row>
    <x:row r="55">
      <x:c r="A55" s="78"/>
      <x:c r="B55" s="78"/>
      <x:c r="C55" s="78"/>
      <x:c r="D55" s="78"/>
      <x:c r="E55" s="78"/>
      <x:c r="F55" s="78"/>
      <x:c r="G55" s="78"/>
      <x:c r="H55" s="78"/>
      <x:c r="I55" s="78"/>
      <x:c r="J55" s="78"/>
    </x:row>
    <x:row r="56">
      <x:c r="A56" s="78"/>
      <x:c r="B56" s="78"/>
      <x:c r="C56" s="78"/>
      <x:c r="D56" s="78"/>
      <x:c r="E56" s="78"/>
      <x:c r="F56" s="78"/>
      <x:c r="G56" s="78"/>
      <x:c r="H56" s="78"/>
      <x:c r="I56" s="78"/>
      <x:c r="J56" s="78"/>
    </x:row>
    <x:row r="57">
      <x:c r="A57" s="78"/>
      <x:c r="B57" s="78"/>
      <x:c r="C57" s="78"/>
      <x:c r="D57" s="78"/>
      <x:c r="E57" s="78"/>
      <x:c r="F57" s="78"/>
      <x:c r="G57" s="78"/>
      <x:c r="H57" s="78"/>
      <x:c r="I57" s="78"/>
      <x:c r="J57" s="78"/>
    </x:row>
    <x:row r="58">
      <x:c r="A58" s="78"/>
      <x:c r="B58" s="78"/>
      <x:c r="C58" s="78"/>
      <x:c r="D58" s="78"/>
      <x:c r="E58" s="78"/>
      <x:c r="F58" s="78"/>
      <x:c r="G58" s="78"/>
      <x:c r="H58" s="78"/>
      <x:c r="I58" s="78"/>
      <x:c r="J58" s="78"/>
    </x:row>
    <x:row r="59">
      <x:c r="A59" s="78"/>
      <x:c r="B59" s="78"/>
      <x:c r="C59" s="78"/>
      <x:c r="D59" s="78"/>
      <x:c r="E59" s="78"/>
      <x:c r="F59" s="78"/>
      <x:c r="G59" s="78"/>
      <x:c r="H59" s="78"/>
      <x:c r="I59" s="78"/>
      <x:c r="J59" s="78"/>
    </x:row>
    <x:row r="60">
      <x:c r="A60" s="78"/>
      <x:c r="B60" s="78"/>
      <x:c r="C60" s="78"/>
      <x:c r="D60" s="78"/>
      <x:c r="E60" s="78"/>
      <x:c r="F60" s="78"/>
      <x:c r="G60" s="78"/>
      <x:c r="H60" s="78"/>
      <x:c r="I60" s="78"/>
      <x:c r="J60" s="78"/>
    </x:row>
    <x:row r="61">
      <x:c r="A61" s="78"/>
      <x:c r="B61" s="78"/>
      <x:c r="C61" s="78"/>
      <x:c r="D61" s="78"/>
      <x:c r="E61" s="78"/>
      <x:c r="F61" s="78"/>
      <x:c r="G61" s="78"/>
      <x:c r="H61" s="78"/>
      <x:c r="I61" s="78"/>
      <x:c r="J61" s="78"/>
    </x:row>
    <x:row r="62">
      <x:c r="A62" s="78"/>
      <x:c r="B62" s="78"/>
      <x:c r="C62" s="78"/>
      <x:c r="D62" s="78"/>
      <x:c r="E62" s="78"/>
      <x:c r="F62" s="78"/>
      <x:c r="G62" s="78"/>
      <x:c r="H62" s="78"/>
      <x:c r="I62" s="78"/>
      <x:c r="J62" s="78"/>
    </x:row>
    <x:row r="63">
      <x:c r="A63" s="78"/>
      <x:c r="B63" s="78"/>
      <x:c r="C63" s="78"/>
      <x:c r="D63" s="78"/>
      <x:c r="E63" s="78"/>
      <x:c r="F63" s="78"/>
      <x:c r="G63" s="78"/>
      <x:c r="H63" s="78"/>
      <x:c r="I63" s="78"/>
      <x:c r="J63" s="78"/>
    </x:row>
    <x:row r="64">
      <x:c r="A64" s="78"/>
      <x:c r="B64" s="78"/>
      <x:c r="C64" s="78"/>
      <x:c r="D64" s="78"/>
      <x:c r="E64" s="78"/>
      <x:c r="F64" s="78"/>
      <x:c r="G64" s="78"/>
      <x:c r="H64" s="78"/>
      <x:c r="I64" s="78"/>
      <x:c r="J64" s="78"/>
    </x:row>
    <x:row r="65">
      <x:c r="A65" s="78"/>
      <x:c r="B65" s="78"/>
      <x:c r="C65" s="78"/>
      <x:c r="D65" s="78"/>
      <x:c r="E65" s="78"/>
      <x:c r="F65" s="78"/>
      <x:c r="G65" s="78"/>
      <x:c r="H65" s="78"/>
      <x:c r="I65" s="78"/>
      <x:c r="J65" s="78"/>
    </x:row>
    <x:row r="66">
      <x:c r="A66" s="78"/>
      <x:c r="B66" s="78"/>
      <x:c r="C66" s="78"/>
      <x:c r="D66" s="78"/>
      <x:c r="E66" s="78"/>
      <x:c r="F66" s="78"/>
      <x:c r="G66" s="78"/>
      <x:c r="H66" s="78"/>
      <x:c r="I66" s="78"/>
      <x:c r="J66" s="78"/>
    </x:row>
    <x:row r="67">
      <x:c r="A67" s="78"/>
      <x:c r="B67" s="78"/>
      <x:c r="C67" s="78"/>
      <x:c r="D67" s="78"/>
      <x:c r="E67" s="78"/>
      <x:c r="F67" s="78"/>
      <x:c r="G67" s="78"/>
      <x:c r="H67" s="78"/>
      <x:c r="I67" s="78"/>
      <x:c r="J67" s="78"/>
    </x:row>
    <x:row r="68">
      <x:c r="A68" s="78"/>
      <x:c r="B68" s="78"/>
      <x:c r="C68" s="78"/>
      <x:c r="D68" s="78"/>
      <x:c r="E68" s="78"/>
      <x:c r="F68" s="78"/>
      <x:c r="G68" s="78"/>
      <x:c r="H68" s="78"/>
      <x:c r="I68" s="78"/>
      <x:c r="J68" s="78"/>
    </x:row>
    <x:row r="69">
      <x:c r="A69" s="78"/>
      <x:c r="B69" s="78"/>
      <x:c r="C69" s="78"/>
      <x:c r="D69" s="78"/>
      <x:c r="E69" s="78"/>
      <x:c r="F69" s="78"/>
      <x:c r="G69" s="78"/>
      <x:c r="H69" s="78"/>
      <x:c r="I69" s="78"/>
      <x:c r="J69" s="78"/>
    </x:row>
    <x:row r="70">
      <x:c r="A70" s="78"/>
      <x:c r="B70" s="78"/>
      <x:c r="C70" s="78"/>
      <x:c r="D70" s="78"/>
      <x:c r="E70" s="78"/>
      <x:c r="F70" s="78"/>
      <x:c r="G70" s="78"/>
      <x:c r="H70" s="78"/>
      <x:c r="I70" s="78"/>
      <x:c r="J70" s="78"/>
    </x:row>
    <x:row r="71">
      <x:c r="A71" s="78"/>
      <x:c r="B71" s="78"/>
      <x:c r="C71" s="78"/>
      <x:c r="D71" s="78"/>
      <x:c r="E71" s="78"/>
      <x:c r="F71" s="78"/>
      <x:c r="G71" s="78"/>
      <x:c r="H71" s="78"/>
      <x:c r="I71" s="78"/>
      <x:c r="J71" s="78"/>
    </x:row>
    <x:row r="72">
      <x:c r="A72" s="78"/>
      <x:c r="B72" s="78"/>
      <x:c r="C72" s="78"/>
      <x:c r="D72" s="78"/>
      <x:c r="E72" s="78"/>
      <x:c r="F72" s="78"/>
      <x:c r="G72" s="78"/>
      <x:c r="H72" s="78"/>
      <x:c r="I72" s="78"/>
      <x:c r="J72" s="78"/>
    </x:row>
    <x:row r="73">
      <x:c r="A73" s="78"/>
      <x:c r="B73" s="78"/>
      <x:c r="C73" s="78"/>
      <x:c r="D73" s="78"/>
      <x:c r="E73" s="78"/>
      <x:c r="F73" s="78"/>
      <x:c r="G73" s="78"/>
      <x:c r="H73" s="78"/>
      <x:c r="I73" s="78"/>
      <x:c r="J73" s="78"/>
    </x:row>
    <x:row r="74">
      <x:c r="A74" s="78"/>
      <x:c r="B74" s="78"/>
      <x:c r="C74" s="78"/>
      <x:c r="D74" s="78"/>
      <x:c r="E74" s="78"/>
      <x:c r="F74" s="78"/>
      <x:c r="G74" s="78"/>
      <x:c r="H74" s="78"/>
      <x:c r="I74" s="78"/>
      <x:c r="J74" s="78"/>
    </x:row>
    <x:row r="75">
      <x:c r="A75" s="78"/>
      <x:c r="B75" s="78"/>
      <x:c r="C75" s="78"/>
      <x:c r="D75" s="78"/>
      <x:c r="E75" s="78"/>
      <x:c r="F75" s="78"/>
      <x:c r="G75" s="78"/>
      <x:c r="H75" s="78"/>
      <x:c r="I75" s="78"/>
      <x:c r="J75" s="78"/>
    </x:row>
    <x:row r="76">
      <x:c r="A76" s="78"/>
      <x:c r="B76" s="78"/>
      <x:c r="C76" s="78"/>
      <x:c r="D76" s="78"/>
      <x:c r="E76" s="78"/>
      <x:c r="F76" s="78"/>
      <x:c r="G76" s="78"/>
      <x:c r="H76" s="78"/>
      <x:c r="I76" s="78"/>
      <x:c r="J76" s="78"/>
    </x:row>
    <x:row r="77">
      <x:c r="A77" s="78"/>
      <x:c r="B77" s="78"/>
      <x:c r="C77" s="78"/>
      <x:c r="D77" s="78"/>
      <x:c r="E77" s="78"/>
      <x:c r="F77" s="78"/>
      <x:c r="G77" s="78"/>
      <x:c r="H77" s="78"/>
      <x:c r="I77" s="78"/>
      <x:c r="J77" s="78"/>
    </x:row>
    <x:row r="78">
      <x:c r="A78" s="78"/>
      <x:c r="B78" s="78"/>
      <x:c r="C78" s="78"/>
      <x:c r="D78" s="78"/>
      <x:c r="E78" s="78"/>
      <x:c r="F78" s="78"/>
      <x:c r="G78" s="78"/>
      <x:c r="H78" s="78"/>
      <x:c r="I78" s="78"/>
      <x:c r="J78" s="78"/>
    </x:row>
    <x:row r="79">
      <x:c r="A79" s="78"/>
      <x:c r="B79" s="78"/>
      <x:c r="C79" s="78"/>
      <x:c r="D79" s="78"/>
      <x:c r="E79" s="78"/>
      <x:c r="F79" s="78"/>
      <x:c r="G79" s="78"/>
      <x:c r="H79" s="78"/>
      <x:c r="I79" s="78"/>
      <x:c r="J79" s="78"/>
    </x:row>
    <x:row r="80">
      <x:c r="A80" s="78"/>
      <x:c r="B80" s="78"/>
      <x:c r="C80" s="78"/>
      <x:c r="D80" s="78"/>
      <x:c r="E80" s="78"/>
      <x:c r="F80" s="78"/>
      <x:c r="G80" s="78"/>
      <x:c r="H80" s="78"/>
      <x:c r="I80" s="78"/>
      <x:c r="J80" s="78"/>
    </x:row>
    <x:row r="81">
      <x:c r="A81" s="78"/>
      <x:c r="B81" s="78"/>
      <x:c r="C81" s="78"/>
      <x:c r="D81" s="78"/>
      <x:c r="E81" s="78"/>
      <x:c r="F81" s="78"/>
      <x:c r="G81" s="78"/>
      <x:c r="H81" s="78"/>
      <x:c r="I81" s="78"/>
      <x:c r="J81" s="78"/>
    </x:row>
    <x:row r="82">
      <x:c r="A82" s="78"/>
      <x:c r="B82" s="78"/>
      <x:c r="C82" s="78"/>
      <x:c r="D82" s="78"/>
      <x:c r="E82" s="78"/>
      <x:c r="F82" s="78"/>
      <x:c r="G82" s="78"/>
      <x:c r="H82" s="78"/>
      <x:c r="I82" s="78"/>
      <x:c r="J82" s="78"/>
    </x:row>
    <x:row r="83">
      <x:c r="A83" s="78"/>
      <x:c r="B83" s="78"/>
      <x:c r="C83" s="78"/>
      <x:c r="D83" s="78"/>
      <x:c r="E83" s="78"/>
      <x:c r="F83" s="78"/>
      <x:c r="G83" s="78"/>
      <x:c r="H83" s="78"/>
      <x:c r="I83" s="78"/>
      <x:c r="J83" s="78"/>
    </x:row>
    <x:row r="84">
      <x:c r="A84" s="78"/>
      <x:c r="B84" s="78"/>
      <x:c r="C84" s="78"/>
      <x:c r="D84" s="78"/>
      <x:c r="E84" s="78"/>
      <x:c r="F84" s="78"/>
      <x:c r="G84" s="78"/>
      <x:c r="H84" s="78"/>
      <x:c r="I84" s="78"/>
      <x:c r="J84" s="78"/>
    </x:row>
    <x:row r="85">
      <x:c r="A85" s="78"/>
      <x:c r="B85" s="78"/>
      <x:c r="C85" s="78"/>
      <x:c r="D85" s="78"/>
      <x:c r="E85" s="78"/>
      <x:c r="F85" s="78"/>
      <x:c r="G85" s="78"/>
      <x:c r="H85" s="78"/>
      <x:c r="I85" s="78"/>
      <x:c r="J85" s="78"/>
    </x:row>
    <x:row r="86">
      <x:c r="A86" s="78"/>
      <x:c r="B86" s="78"/>
      <x:c r="C86" s="78"/>
      <x:c r="D86" s="78"/>
      <x:c r="E86" s="78"/>
      <x:c r="F86" s="78"/>
      <x:c r="G86" s="78"/>
      <x:c r="H86" s="78"/>
      <x:c r="I86" s="78"/>
      <x:c r="J86" s="78"/>
    </x:row>
    <x:row r="87">
      <x:c r="A87" s="78"/>
      <x:c r="B87" s="78"/>
      <x:c r="C87" s="78"/>
      <x:c r="D87" s="78"/>
      <x:c r="E87" s="78"/>
      <x:c r="F87" s="78"/>
      <x:c r="G87" s="78"/>
      <x:c r="H87" s="78"/>
      <x:c r="I87" s="78"/>
      <x:c r="J87" s="78"/>
    </x:row>
    <x:row r="88">
      <x:c r="A88" s="78"/>
      <x:c r="B88" s="78"/>
      <x:c r="C88" s="78"/>
      <x:c r="D88" s="78"/>
      <x:c r="E88" s="78"/>
      <x:c r="F88" s="78"/>
      <x:c r="G88" s="78"/>
      <x:c r="H88" s="78"/>
      <x:c r="I88" s="78"/>
      <x:c r="J88" s="78"/>
    </x:row>
    <x:row r="89">
      <x:c r="A89" s="78"/>
      <x:c r="B89" s="78"/>
      <x:c r="C89" s="78"/>
      <x:c r="D89" s="78"/>
      <x:c r="E89" s="78"/>
      <x:c r="F89" s="78"/>
      <x:c r="G89" s="78"/>
      <x:c r="H89" s="78"/>
      <x:c r="I89" s="78"/>
      <x:c r="J89" s="78"/>
    </x:row>
    <x:row r="90">
      <x:c r="A90" s="78"/>
      <x:c r="B90" s="78"/>
      <x:c r="C90" s="78"/>
      <x:c r="D90" s="78"/>
      <x:c r="E90" s="78"/>
      <x:c r="F90" s="78"/>
      <x:c r="G90" s="78"/>
      <x:c r="H90" s="78"/>
      <x:c r="I90" s="78"/>
      <x:c r="J90" s="78"/>
    </x:row>
    <x:row r="91">
      <x:c r="A91" s="78"/>
      <x:c r="B91" s="78"/>
      <x:c r="C91" s="78"/>
      <x:c r="D91" s="78"/>
      <x:c r="E91" s="78"/>
      <x:c r="F91" s="78"/>
      <x:c r="G91" s="78"/>
      <x:c r="H91" s="78"/>
      <x:c r="I91" s="78"/>
      <x:c r="J91" s="78"/>
    </x:row>
    <x:row r="92">
      <x:c r="A92" s="78"/>
      <x:c r="B92" s="78"/>
      <x:c r="C92" s="78"/>
      <x:c r="D92" s="78"/>
      <x:c r="E92" s="78"/>
      <x:c r="F92" s="78"/>
      <x:c r="G92" s="78"/>
      <x:c r="H92" s="78"/>
      <x:c r="I92" s="78"/>
      <x:c r="J92" s="78"/>
    </x:row>
    <x:row r="93">
      <x:c r="A93" s="78"/>
      <x:c r="B93" s="78"/>
      <x:c r="C93" s="78"/>
      <x:c r="D93" s="78"/>
      <x:c r="E93" s="78"/>
      <x:c r="F93" s="78"/>
      <x:c r="G93" s="78"/>
      <x:c r="H93" s="78"/>
      <x:c r="I93" s="78"/>
      <x:c r="J93" s="78"/>
    </x:row>
    <x:row r="94">
      <x:c r="A94" s="78"/>
      <x:c r="B94" s="78"/>
      <x:c r="C94" s="78"/>
      <x:c r="D94" s="78"/>
      <x:c r="E94" s="78"/>
      <x:c r="F94" s="78"/>
      <x:c r="G94" s="78"/>
      <x:c r="H94" s="78"/>
      <x:c r="I94" s="78"/>
      <x:c r="J94" s="78"/>
    </x:row>
    <x:row r="95">
      <x:c r="A95" s="78"/>
      <x:c r="B95" s="78"/>
      <x:c r="C95" s="78"/>
      <x:c r="D95" s="78"/>
      <x:c r="E95" s="78"/>
      <x:c r="F95" s="78"/>
      <x:c r="G95" s="78"/>
      <x:c r="H95" s="78"/>
      <x:c r="I95" s="78"/>
      <x:c r="J95" s="78"/>
    </x:row>
    <x:row r="96">
      <x:c r="A96" s="78"/>
      <x:c r="B96" s="78"/>
      <x:c r="C96" s="78"/>
      <x:c r="D96" s="78"/>
      <x:c r="E96" s="78"/>
      <x:c r="F96" s="78"/>
      <x:c r="G96" s="78"/>
      <x:c r="H96" s="78"/>
      <x:c r="I96" s="78"/>
      <x:c r="J96" s="78"/>
    </x:row>
    <x:row r="97">
      <x:c r="A97" s="78"/>
      <x:c r="B97" s="78"/>
      <x:c r="C97" s="78"/>
      <x:c r="D97" s="78"/>
      <x:c r="E97" s="78"/>
      <x:c r="F97" s="78"/>
      <x:c r="G97" s="78"/>
      <x:c r="H97" s="78"/>
      <x:c r="I97" s="78"/>
      <x:c r="J97" s="78"/>
    </x:row>
    <x:row r="98">
      <x:c r="A98" s="78"/>
      <x:c r="B98" s="78"/>
      <x:c r="C98" s="78"/>
      <x:c r="D98" s="78"/>
      <x:c r="E98" s="78"/>
      <x:c r="F98" s="78"/>
      <x:c r="G98" s="78"/>
      <x:c r="H98" s="78"/>
      <x:c r="I98" s="78"/>
      <x:c r="J98" s="78"/>
    </x:row>
    <x:row r="99">
      <x:c r="A99" s="78"/>
      <x:c r="B99" s="78"/>
      <x:c r="C99" s="78"/>
      <x:c r="D99" s="78"/>
      <x:c r="E99" s="78"/>
      <x:c r="F99" s="78"/>
      <x:c r="G99" s="78"/>
      <x:c r="H99" s="78"/>
      <x:c r="I99" s="78"/>
      <x:c r="J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  <x:c r="I100" s="78"/>
      <x:c r="J100" s="78"/>
    </x:row>
    <x:row r="101">
      <x:c r="A101" s="78"/>
      <x:c r="B101" s="78"/>
      <x:c r="C101" s="78"/>
      <x:c r="D101" s="78"/>
      <x:c r="E101" s="78"/>
      <x:c r="F101" s="78"/>
      <x:c r="G101" s="78"/>
      <x:c r="H101" s="78"/>
      <x:c r="I101" s="78"/>
      <x:c r="J101" s="78"/>
    </x:row>
    <x:row r="102">
      <x:c r="A102" s="78"/>
      <x:c r="B102" s="78"/>
      <x:c r="C102" s="78"/>
      <x:c r="D102" s="78"/>
      <x:c r="E102" s="78"/>
      <x:c r="F102" s="78"/>
      <x:c r="G102" s="78"/>
      <x:c r="H102" s="78"/>
      <x:c r="I102" s="78"/>
      <x:c r="J102" s="78"/>
    </x:row>
    <x:row r="103">
      <x:c r="A103" s="78"/>
      <x:c r="B103" s="78"/>
      <x:c r="C103" s="78"/>
      <x:c r="D103" s="78"/>
      <x:c r="E103" s="78"/>
      <x:c r="F103" s="78"/>
      <x:c r="G103" s="78"/>
      <x:c r="H103" s="78"/>
      <x:c r="I103" s="78"/>
      <x:c r="J103" s="78"/>
    </x:row>
    <x:row r="104">
      <x:c r="A104" s="78"/>
      <x:c r="B104" s="78"/>
      <x:c r="C104" s="78"/>
      <x:c r="D104" s="78"/>
      <x:c r="E104" s="78"/>
      <x:c r="F104" s="78"/>
      <x:c r="G104" s="78"/>
      <x:c r="H104" s="78"/>
      <x:c r="I104" s="78"/>
      <x:c r="J104" s="78"/>
    </x:row>
    <x:row r="105">
      <x:c r="A105" s="78"/>
      <x:c r="B105" s="78"/>
      <x:c r="C105" s="78"/>
      <x:c r="D105" s="78"/>
      <x:c r="E105" s="78"/>
      <x:c r="F105" s="78"/>
      <x:c r="G105" s="78"/>
      <x:c r="H105" s="78"/>
      <x:c r="I105" s="78"/>
      <x:c r="J105" s="78"/>
    </x:row>
    <x:row r="106">
      <x:c r="A106" s="78"/>
      <x:c r="B106" s="78"/>
      <x:c r="C106" s="78"/>
      <x:c r="D106" s="78"/>
      <x:c r="E106" s="78"/>
      <x:c r="F106" s="78"/>
      <x:c r="G106" s="78"/>
      <x:c r="H106" s="78"/>
      <x:c r="I106" s="78"/>
      <x:c r="J106" s="78"/>
    </x:row>
    <x:row r="107">
      <x:c r="A107" s="78"/>
      <x:c r="B107" s="78"/>
      <x:c r="C107" s="78"/>
      <x:c r="D107" s="78"/>
      <x:c r="E107" s="78"/>
      <x:c r="F107" s="78"/>
      <x:c r="G107" s="78"/>
      <x:c r="H107" s="78"/>
      <x:c r="I107" s="78"/>
      <x:c r="J107" s="78"/>
    </x:row>
    <x:row r="108">
      <x:c r="A108" s="78"/>
      <x:c r="B108" s="78"/>
      <x:c r="C108" s="78"/>
      <x:c r="D108" s="78"/>
      <x:c r="E108" s="78"/>
      <x:c r="F108" s="78"/>
      <x:c r="G108" s="78"/>
      <x:c r="H108" s="78"/>
      <x:c r="I108" s="78"/>
      <x:c r="J108" s="78"/>
    </x:row>
    <x:row r="109">
      <x:c r="A109" s="78"/>
      <x:c r="B109" s="78"/>
      <x:c r="C109" s="78"/>
      <x:c r="D109" s="78"/>
      <x:c r="E109" s="78"/>
      <x:c r="F109" s="78"/>
      <x:c r="G109" s="78"/>
      <x:c r="H109" s="78"/>
      <x:c r="I109" s="78"/>
      <x:c r="J109" s="78"/>
    </x:row>
    <x:row r="110">
      <x:c r="A110" s="78"/>
      <x:c r="B110" s="78"/>
      <x:c r="C110" s="78"/>
      <x:c r="D110" s="78"/>
      <x:c r="E110" s="78"/>
      <x:c r="F110" s="78"/>
      <x:c r="G110" s="78"/>
      <x:c r="H110" s="78"/>
      <x:c r="I110" s="78"/>
      <x:c r="J110" s="78"/>
    </x:row>
    <x:row r="111">
      <x:c r="A111" s="78"/>
      <x:c r="B111" s="78"/>
      <x:c r="C111" s="78"/>
      <x:c r="D111" s="78"/>
      <x:c r="E111" s="78"/>
      <x:c r="F111" s="78"/>
      <x:c r="G111" s="78"/>
      <x:c r="H111" s="78"/>
      <x:c r="I111" s="78"/>
      <x:c r="J111" s="78"/>
    </x:row>
    <x:row r="112">
      <x:c r="A112" s="78"/>
      <x:c r="B112" s="78"/>
      <x:c r="C112" s="78"/>
      <x:c r="D112" s="78"/>
      <x:c r="E112" s="78"/>
      <x:c r="F112" s="78"/>
      <x:c r="G112" s="78"/>
      <x:c r="H112" s="78"/>
      <x:c r="I112" s="78"/>
      <x:c r="J112" s="78"/>
    </x:row>
    <x:row r="113">
      <x:c r="A113" s="78"/>
      <x:c r="B113" s="78"/>
      <x:c r="C113" s="78"/>
      <x:c r="D113" s="78"/>
      <x:c r="E113" s="78"/>
      <x:c r="F113" s="78"/>
      <x:c r="G113" s="78"/>
      <x:c r="H113" s="78"/>
      <x:c r="I113" s="78"/>
      <x:c r="J113" s="78"/>
    </x:row>
    <x:row r="114">
      <x:c r="A114" s="78"/>
      <x:c r="B114" s="78"/>
      <x:c r="C114" s="78"/>
      <x:c r="D114" s="78"/>
      <x:c r="E114" s="78"/>
      <x:c r="F114" s="78"/>
      <x:c r="G114" s="78"/>
      <x:c r="H114" s="78"/>
      <x:c r="I114" s="78"/>
      <x:c r="J114" s="78"/>
    </x:row>
    <x:row r="115">
      <x:c r="A115" s="78"/>
      <x:c r="B115" s="78"/>
      <x:c r="C115" s="78"/>
      <x:c r="D115" s="78"/>
      <x:c r="E115" s="78"/>
      <x:c r="F115" s="78"/>
      <x:c r="G115" s="78"/>
      <x:c r="H115" s="78"/>
      <x:c r="I115" s="78"/>
      <x:c r="J115" s="78"/>
    </x:row>
    <x:row r="116">
      <x:c r="A116" s="78"/>
      <x:c r="B116" s="78"/>
      <x:c r="C116" s="78"/>
      <x:c r="D116" s="78"/>
      <x:c r="E116" s="78"/>
      <x:c r="F116" s="78"/>
      <x:c r="G116" s="78"/>
      <x:c r="H116" s="78"/>
      <x:c r="I116" s="78"/>
      <x:c r="J116" s="78"/>
    </x:row>
    <x:row r="117">
      <x:c r="A117" s="78"/>
      <x:c r="B117" s="78"/>
      <x:c r="C117" s="78"/>
      <x:c r="D117" s="78"/>
      <x:c r="E117" s="78"/>
      <x:c r="F117" s="78"/>
      <x:c r="G117" s="78"/>
      <x:c r="H117" s="78"/>
      <x:c r="I117" s="78"/>
      <x:c r="J117" s="78"/>
    </x:row>
    <x:row r="118">
      <x:c r="A118" s="78"/>
      <x:c r="B118" s="78"/>
      <x:c r="C118" s="78"/>
      <x:c r="D118" s="78"/>
      <x:c r="E118" s="78"/>
      <x:c r="F118" s="78"/>
      <x:c r="G118" s="78"/>
      <x:c r="H118" s="78"/>
      <x:c r="I118" s="78"/>
      <x:c r="J118" s="78"/>
    </x:row>
    <x:row r="119">
      <x:c r="A119" s="78"/>
      <x:c r="B119" s="78"/>
      <x:c r="C119" s="78"/>
      <x:c r="D119" s="78"/>
      <x:c r="E119" s="78"/>
      <x:c r="F119" s="78"/>
      <x:c r="G119" s="78"/>
      <x:c r="H119" s="78"/>
      <x:c r="I119" s="78"/>
      <x:c r="J119" s="78"/>
    </x:row>
    <x:row r="120">
      <x:c r="A120" s="78"/>
      <x:c r="B120" s="78"/>
      <x:c r="C120" s="78"/>
      <x:c r="D120" s="78"/>
      <x:c r="E120" s="78"/>
      <x:c r="F120" s="78"/>
      <x:c r="G120" s="78"/>
      <x:c r="H120" s="78"/>
      <x:c r="I120" s="78"/>
      <x:c r="J120" s="78"/>
    </x:row>
  </x:sheetData>
  <x:mergeCells>
    <x:mergeCell ref="A1:J1"/>
  </x:mergeCells>
  <x:dataValidations count="4">
    <x:dataValidation type="list" sqref="B4:B120">
      <x:formula1>"Risk,Issue"</x:formula1>
    </x:dataValidation>
    <x:dataValidation type="list" sqref="D4:D120">
      <x:formula1>"Low,Medium,High,N/A"</x:formula1>
    </x:dataValidation>
    <x:dataValidation type="list" sqref="E4:E120">
      <x:formula1>"Low,Medium,High"</x:formula1>
    </x:dataValidation>
    <x:dataValidation type="list" sqref="H4:H120">
      <x:formula1>"Open,Mitigating,Closed,Accepted"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4.25"/>
  <x:cols>
    <x:col min="1" max="2" width="12" customWidth="1"/>
    <x:col min="3" max="3" width="10" customWidth="1"/>
    <x:col min="4" max="4" width="46" customWidth="1"/>
    <x:col min="5" max="5" width="15" customWidth="1"/>
    <x:col min="6" max="6" width="28" customWidth="1"/>
    <x:col min="7" max="7" width="38" customWidth="1"/>
    <x:col min="8" max="8" width="12" customWidth="1"/>
    <x:col min="9" max="9" width="34" customWidth="1"/>
  </x:cols>
  <x:sheetData>
    <x:row r="1" ht="27.950000762939453" customHeight="1">
      <x:c r="A1" s="234" t="s">
        <x:v>736</x:v>
      </x:c>
      <x:c r="B1" s="235"/>
      <x:c r="C1" s="235"/>
      <x:c r="D1" s="235"/>
      <x:c r="E1" s="235"/>
      <x:c r="F1" s="235"/>
      <x:c r="G1" s="235"/>
      <x:c r="H1" s="235"/>
      <x:c r="I1" s="235"/>
    </x:row>
    <x:row r="3" ht="15">
      <x:c r="A3" s="80" t="s">
        <x:v>737</x:v>
      </x:c>
      <x:c r="B3" s="80" t="s">
        <x:v>576</x:v>
      </x:c>
      <x:c r="C3" s="80" t="s">
        <x:v>109</x:v>
      </x:c>
      <x:c r="D3" s="80" t="s">
        <x:v>288</x:v>
      </x:c>
      <x:c r="E3" s="80" t="s">
        <x:v>325</x:v>
      </x:c>
      <x:c r="F3" s="80" t="s">
        <x:v>738</x:v>
      </x:c>
      <x:c r="G3" s="80" t="s">
        <x:v>739</x:v>
      </x:c>
      <x:c r="H3" s="80" t="s">
        <x:v>117</x:v>
      </x:c>
      <x:c r="I3" s="80" t="s">
        <x:v>122</x:v>
      </x:c>
    </x:row>
    <x:row r="4" ht="28.5">
      <x:c r="A4" s="78" t="s">
        <x:v>740</x:v>
      </x:c>
      <x:c r="B4" s="81">
        <x:v>46201</x:v>
      </x:c>
      <x:c r="C4" s="78" t="s">
        <x:v>123</x:v>
      </x:c>
      <x:c r="D4" s="78" t="s">
        <x:v>741</x:v>
      </x:c>
      <x:c r="E4" s="78" t="s">
        <x:v>742</x:v>
      </x:c>
      <x:c r="F4" s="78" t="s">
        <x:v>743</x:v>
      </x:c>
      <x:c r="G4" s="78" t="s">
        <x:v>744</x:v>
      </x:c>
      <x:c r="H4" s="78" t="s">
        <x:v>745</x:v>
      </x:c>
      <x:c r="I4" s="78" t="s">
        <x:v>746</x:v>
      </x:c>
    </x:row>
    <x:row r="5" ht="28.5">
      <x:c r="A5" s="78" t="s">
        <x:v>747</x:v>
      </x:c>
      <x:c r="B5" s="81">
        <x:v>46203</x:v>
      </x:c>
      <x:c r="C5" s="78" t="s">
        <x:v>129</x:v>
      </x:c>
      <x:c r="D5" s="78" t="s">
        <x:v>748</x:v>
      </x:c>
      <x:c r="E5" s="78" t="s">
        <x:v>749</x:v>
      </x:c>
      <x:c r="F5" s="78" t="s">
        <x:v>750</x:v>
      </x:c>
      <x:c r="G5" s="78" t="s">
        <x:v>751</x:v>
      </x:c>
      <x:c r="H5" s="78" t="s">
        <x:v>745</x:v>
      </x:c>
      <x:c r="I5" s="78" t="s">
        <x:v>752</x:v>
      </x:c>
    </x:row>
    <x:row r="6" ht="28.5">
      <x:c r="A6" s="78" t="s">
        <x:v>753</x:v>
      </x:c>
      <x:c r="B6" s="81">
        <x:v>46207</x:v>
      </x:c>
      <x:c r="C6" s="78" t="s">
        <x:v>134</x:v>
      </x:c>
      <x:c r="D6" s="78" t="s">
        <x:v>754</x:v>
      </x:c>
      <x:c r="E6" s="78" t="s">
        <x:v>755</x:v>
      </x:c>
      <x:c r="F6" s="78" t="s">
        <x:v>756</x:v>
      </x:c>
      <x:c r="G6" s="78" t="s">
        <x:v>757</x:v>
      </x:c>
      <x:c r="H6" s="78" t="s">
        <x:v>745</x:v>
      </x:c>
      <x:c r="I6" s="78" t="s">
        <x:v>758</x:v>
      </x:c>
    </x:row>
    <x:row r="7" ht="28.5">
      <x:c r="A7" s="78" t="s">
        <x:v>759</x:v>
      </x:c>
      <x:c r="B7" s="81">
        <x:v>46207</x:v>
      </x:c>
      <x:c r="C7" s="78" t="s">
        <x:v>134</x:v>
      </x:c>
      <x:c r="D7" s="78" t="s">
        <x:v>760</x:v>
      </x:c>
      <x:c r="E7" s="78" t="s">
        <x:v>761</x:v>
      </x:c>
      <x:c r="F7" s="78" t="s">
        <x:v>762</x:v>
      </x:c>
      <x:c r="G7" s="78" t="s">
        <x:v>763</x:v>
      </x:c>
      <x:c r="H7" s="78" t="s">
        <x:v>745</x:v>
      </x:c>
      <x:c r="I7" s="78" t="s">
        <x:v>764</x:v>
      </x:c>
    </x:row>
    <x:row r="8">
      <x:c r="A8" s="78" t="s">
        <x:v>765</x:v>
      </x:c>
      <x:c r="B8" s="81">
        <x:v>46207</x:v>
      </x:c>
      <x:c r="C8" s="78" t="s">
        <x:v>134</x:v>
      </x:c>
      <x:c r="D8" s="78" t="s">
        <x:v>766</x:v>
      </x:c>
      <x:c r="E8" s="78" t="s">
        <x:v>761</x:v>
      </x:c>
      <x:c r="F8" s="78" t="s">
        <x:v>767</x:v>
      </x:c>
      <x:c r="G8" s="78" t="s">
        <x:v>768</x:v>
      </x:c>
      <x:c r="H8" s="78" t="s">
        <x:v>745</x:v>
      </x:c>
      <x:c r="I8" s="78" t="s">
        <x:v>769</x:v>
      </x:c>
    </x:row>
    <x:row r="9">
      <x:c r="A9" s="78" t="s">
        <x:v>770</x:v>
      </x:c>
      <x:c r="B9" s="81">
        <x:v>46207</x:v>
      </x:c>
      <x:c r="C9" s="78" t="s">
        <x:v>134</x:v>
      </x:c>
      <x:c r="D9" s="78" t="s">
        <x:v>771</x:v>
      </x:c>
      <x:c r="E9" s="78" t="s">
        <x:v>761</x:v>
      </x:c>
      <x:c r="F9" s="78" t="s">
        <x:v>772</x:v>
      </x:c>
      <x:c r="G9" s="78" t="s">
        <x:v>773</x:v>
      </x:c>
      <x:c r="H9" s="78" t="s">
        <x:v>745</x:v>
      </x:c>
      <x:c r="I9" s="78" t="s">
        <x:v>774</x:v>
      </x:c>
    </x:row>
    <x:row r="10" ht="28.5">
      <x:c r="A10" s="78" t="s">
        <x:v>775</x:v>
      </x:c>
      <x:c r="B10" s="81">
        <x:v>46207</x:v>
      </x:c>
      <x:c r="C10" s="78" t="s">
        <x:v>129</x:v>
      </x:c>
      <x:c r="D10" s="78" t="s">
        <x:v>776</x:v>
      </x:c>
      <x:c r="E10" s="78" t="s">
        <x:v>777</x:v>
      </x:c>
      <x:c r="F10" s="78" t="s">
        <x:v>337</x:v>
      </x:c>
      <x:c r="G10" s="78" t="s">
        <x:v>778</x:v>
      </x:c>
      <x:c r="H10" s="78" t="s">
        <x:v>745</x:v>
      </x:c>
      <x:c r="I10" s="78" t="s">
        <x:v>779</x:v>
      </x:c>
    </x:row>
    <x:row r="11" ht="28.5">
      <x:c r="A11" s="78" t="s">
        <x:v>780</x:v>
      </x:c>
      <x:c r="B11" s="81">
        <x:v>46207</x:v>
      </x:c>
      <x:c r="C11" s="78" t="s">
        <x:v>129</x:v>
      </x:c>
      <x:c r="D11" s="78" t="s">
        <x:v>781</x:v>
      </x:c>
      <x:c r="E11" s="78" t="s">
        <x:v>330</x:v>
      </x:c>
      <x:c r="F11" s="78" t="s">
        <x:v>335</x:v>
      </x:c>
      <x:c r="G11" s="78" t="s">
        <x:v>782</x:v>
      </x:c>
      <x:c r="H11" s="78" t="s">
        <x:v>745</x:v>
      </x:c>
      <x:c r="I11" s="78" t="s">
        <x:v>783</x:v>
      </x:c>
    </x:row>
    <x:row r="12" ht="28.5">
      <x:c r="A12" s="78" t="s">
        <x:v>784</x:v>
      </x:c>
      <x:c r="B12" s="81">
        <x:v>46207</x:v>
      </x:c>
      <x:c r="C12" s="78" t="s">
        <x:v>129</x:v>
      </x:c>
      <x:c r="D12" s="78" t="s">
        <x:v>785</x:v>
      </x:c>
      <x:c r="E12" s="78" t="s">
        <x:v>786</x:v>
      </x:c>
      <x:c r="F12" s="78" t="s">
        <x:v>787</x:v>
      </x:c>
      <x:c r="G12" s="78" t="s">
        <x:v>84</x:v>
      </x:c>
      <x:c r="H12" s="78" t="s">
        <x:v>745</x:v>
      </x:c>
      <x:c r="I12" s="78" t="s">
        <x:v>788</x:v>
      </x:c>
    </x:row>
    <x:row r="13" ht="60" customHeight="1">
      <x:c r="A13" s="198" t="s">
        <x:v>789</x:v>
      </x:c>
      <x:c r="B13" s="199">
        <x:v>46208</x:v>
      </x:c>
      <x:c r="C13" s="200" t="s">
        <x:v>790</x:v>
      </x:c>
      <x:c r="D13" s="200" t="s">
        <x:v>791</x:v>
      </x:c>
      <x:c r="E13" s="200" t="s">
        <x:v>792</x:v>
      </x:c>
      <x:c r="F13" s="200" t="s">
        <x:v>793</x:v>
      </x:c>
      <x:c r="G13" s="200" t="s">
        <x:v>794</x:v>
      </x:c>
      <x:c r="H13" s="200" t="s">
        <x:v>745</x:v>
      </x:c>
      <x:c r="I13" s="201" t="s">
        <x:v>795</x:v>
      </x:c>
    </x:row>
    <x:row r="14" ht="78" customHeight="1">
      <x:c r="A14" s="447" t="str">
        <x:v>EV-011</x:v>
      </x:c>
      <x:c r="B14" s="445" t="n">
        <x:v>46208</x:v>
      </x:c>
      <x:c r="C14" s="447" t="str">
        <x:v>1.1</x:v>
      </x:c>
      <x:c r="D14" s="447" t="str">
        <x:v>Extensible candidate artifact contract and loader implemented with controlled errors for missing, malformed, non-object, incomplete, and wrong-case candidates; six focused tests and 31 total tests pass.</x:v>
      </x:c>
      <x:c r="E14" s="447" t="str">
        <x:v>Code / Test / Documentation</x:v>
      </x:c>
      <x:c r="F14" s="447" t="str">
        <x:v>2b0b6e7; PR #6 / merge c419dc3; ba18051; schemas/candidate.schema.json; examples/candidates/MECH-002/valid.json</x:v>
      </x:c>
      <x:c r="G14" s="447" t="str">
        <x:v>WBS 1.1 — candidate artifact contract and loader</x:v>
      </x:c>
      <x:c r="H14" s="447" t="str">
        <x:v>Accepted</x:v>
      </x:c>
      <x:c r="I14" s="447" t="str">
        <x:v>Accepted and merged. WBS 1.1 operational closeout completed at 11:44 AM; 31 tests passed.</x:v>
      </x:c>
    </x:row>
    <x:row r="15" ht="78" customHeight="1">
      <x:c r="A15" s="447" t="str">
        <x:v>EV-012</x:v>
      </x:c>
      <x:c r="B15" s="445" t="n">
        <x:v>46208</x:v>
      </x:c>
      <x:c r="C15" s="447" t="str">
        <x:v>1.2</x:v>
      </x:c>
      <x:c r="D15" s="447" t="str">
        <x:v>Mandatory pre-scoring gate engine implemented with structured GateResult evidence and ordered short-circuit execution for missing files, malformed/non-object JSON, missing required payload fields, and declared field-type mismatches.</x:v>
      </x:c>
      <x:c r="E15" s="447" t="str">
        <x:v>Code / Test / Specification</x:v>
      </x:c>
      <x:c r="F15" s="447" t="str">
        <x:v>c05ef3d; merge 05c025b; src/mech_eval_harness/evaluation.py; tests/test_gate_engine.py</x:v>
      </x:c>
      <x:c r="G15" s="447" t="str">
        <x:v>WBS 1.2 — mandatory gate engine</x:v>
      </x:c>
      <x:c r="H15" s="447" t="str">
        <x:v>Accepted</x:v>
      </x:c>
      <x:c r="I15" s="447" t="str">
        <x:v>Seven focused tests and 38 total tests passed. Explicit regression confirms Boolean values do not satisfy numeric field declarations.</x:v>
      </x:c>
    </x:row>
    <x:row r="16">
      <x:c r="A16" s="78" t="str">
        <x:v>EV-013</x:v>
      </x:c>
      <x:c r="B16" s="78" t="n">
        <x:v>46208</x:v>
      </x:c>
      <x:c r="C16" s="78" t="str">
        <x:v>1.3</x:v>
      </x:c>
      <x:c r="D16" s="78" t="str">
        <x:v>Non-numeric deterministic check engine implemented with structured CheckResult records, JSON-type-sensitive exact matching, Boolean equality, set equality, contains-all logic, nested path resolution, failure evidence, and controlled configuration errors.</x:v>
      </x:c>
      <x:c r="E16" s="78" t="str">
        <x:v>Code / Test</x:v>
      </x:c>
      <x:c r="F16" s="78" t="str">
        <x:v>53f96cc; src/mech_eval_harness/evaluation.py; tests/test_deterministic_checks.py</x:v>
      </x:c>
      <x:c r="G16" s="78" t="str">
        <x:v>WBS 1.3 — exact, Boolean, set, and contains checks</x:v>
      </x:c>
      <x:c r="H16" s="78" t="str">
        <x:v>Pending Merge</x:v>
      </x:c>
      <x:c r="I16" s="78" t="str">
        <x:v>Feature branch is clean. Twelve focused tests are committed. The last explicitly observed test run was 10 focused and 48 total before the final two tests were added; final rerun and PR merge remain.</x:v>
      </x:c>
    </x:row>
    <x:row r="17">
      <x:c r="A17" s="78"/>
      <x:c r="B17" s="78"/>
      <x:c r="C17" s="78"/>
      <x:c r="D17" s="78"/>
      <x:c r="E17" s="78"/>
      <x:c r="F17" s="78"/>
      <x:c r="G17" s="78"/>
      <x:c r="H17" s="78"/>
      <x:c r="I17" s="78"/>
    </x:row>
    <x:row r="18">
      <x:c r="A18" s="78"/>
      <x:c r="B18" s="78"/>
      <x:c r="C18" s="78"/>
      <x:c r="D18" s="78"/>
      <x:c r="E18" s="78"/>
      <x:c r="F18" s="78"/>
      <x:c r="G18" s="78"/>
      <x:c r="H18" s="78"/>
      <x:c r="I18" s="78"/>
    </x:row>
    <x:row r="19">
      <x:c r="A19" s="78"/>
      <x:c r="B19" s="78"/>
      <x:c r="C19" s="78"/>
      <x:c r="D19" s="78"/>
      <x:c r="E19" s="78"/>
      <x:c r="F19" s="78"/>
      <x:c r="G19" s="78"/>
      <x:c r="H19" s="78"/>
      <x:c r="I19" s="78"/>
    </x:row>
    <x:row r="20">
      <x:c r="A20" s="78"/>
      <x:c r="B20" s="78"/>
      <x:c r="C20" s="78"/>
      <x:c r="D20" s="78"/>
      <x:c r="E20" s="78"/>
      <x:c r="F20" s="78"/>
      <x:c r="G20" s="78"/>
      <x:c r="H20" s="78"/>
      <x:c r="I20" s="78"/>
    </x:row>
    <x:row r="21">
      <x:c r="A21" s="78"/>
      <x:c r="B21" s="78"/>
      <x:c r="C21" s="78"/>
      <x:c r="D21" s="78"/>
      <x:c r="E21" s="78"/>
      <x:c r="F21" s="78"/>
      <x:c r="G21" s="78"/>
      <x:c r="H21" s="78"/>
      <x:c r="I21" s="78"/>
    </x:row>
    <x:row r="22">
      <x:c r="A22" s="78"/>
      <x:c r="B22" s="78"/>
      <x:c r="C22" s="78"/>
      <x:c r="D22" s="78"/>
      <x:c r="E22" s="78"/>
      <x:c r="F22" s="78"/>
      <x:c r="G22" s="78"/>
      <x:c r="H22" s="78"/>
      <x:c r="I22" s="78"/>
    </x:row>
    <x:row r="23">
      <x:c r="A23" s="78"/>
      <x:c r="B23" s="78"/>
      <x:c r="C23" s="78"/>
      <x:c r="D23" s="78"/>
      <x:c r="E23" s="78"/>
      <x:c r="F23" s="78"/>
      <x:c r="G23" s="78"/>
      <x:c r="H23" s="78"/>
      <x:c r="I23" s="78"/>
    </x:row>
    <x:row r="24">
      <x:c r="A24" s="78"/>
      <x:c r="B24" s="78"/>
      <x:c r="C24" s="78"/>
      <x:c r="D24" s="78"/>
      <x:c r="E24" s="78"/>
      <x:c r="F24" s="78"/>
      <x:c r="G24" s="78"/>
      <x:c r="H24" s="78"/>
      <x:c r="I24" s="78"/>
    </x:row>
    <x:row r="25">
      <x:c r="A25" s="78"/>
      <x:c r="B25" s="78"/>
      <x:c r="C25" s="78"/>
      <x:c r="D25" s="78"/>
      <x:c r="E25" s="78"/>
      <x:c r="F25" s="78"/>
      <x:c r="G25" s="78"/>
      <x:c r="H25" s="78"/>
      <x:c r="I25" s="78"/>
    </x:row>
    <x:row r="26">
      <x:c r="A26" s="78"/>
      <x:c r="B26" s="78"/>
      <x:c r="C26" s="78"/>
      <x:c r="D26" s="78"/>
      <x:c r="E26" s="78"/>
      <x:c r="F26" s="78"/>
      <x:c r="G26" s="78"/>
      <x:c r="H26" s="78"/>
      <x:c r="I26" s="78"/>
    </x:row>
    <x:row r="27">
      <x:c r="A27" s="78"/>
      <x:c r="B27" s="78"/>
      <x:c r="C27" s="78"/>
      <x:c r="D27" s="78"/>
      <x:c r="E27" s="78"/>
      <x:c r="F27" s="78"/>
      <x:c r="G27" s="78"/>
      <x:c r="H27" s="78"/>
      <x:c r="I27" s="78"/>
    </x:row>
    <x:row r="28">
      <x:c r="A28" s="78"/>
      <x:c r="B28" s="78"/>
      <x:c r="C28" s="78"/>
      <x:c r="D28" s="78"/>
      <x:c r="E28" s="78"/>
      <x:c r="F28" s="78"/>
      <x:c r="G28" s="78"/>
      <x:c r="H28" s="78"/>
      <x:c r="I28" s="78"/>
    </x:row>
    <x:row r="29">
      <x:c r="A29" s="78"/>
      <x:c r="B29" s="78"/>
      <x:c r="C29" s="78"/>
      <x:c r="D29" s="78"/>
      <x:c r="E29" s="78"/>
      <x:c r="F29" s="78"/>
      <x:c r="G29" s="78"/>
      <x:c r="H29" s="78"/>
      <x:c r="I29" s="78"/>
    </x:row>
    <x:row r="30">
      <x:c r="A30" s="78"/>
      <x:c r="B30" s="78"/>
      <x:c r="C30" s="78"/>
      <x:c r="D30" s="78"/>
      <x:c r="E30" s="78"/>
      <x:c r="F30" s="78"/>
      <x:c r="G30" s="78"/>
      <x:c r="H30" s="78"/>
      <x:c r="I30" s="78"/>
    </x:row>
    <x:row r="31">
      <x:c r="A31" s="78"/>
      <x:c r="B31" s="78"/>
      <x:c r="C31" s="78"/>
      <x:c r="D31" s="78"/>
      <x:c r="E31" s="78"/>
      <x:c r="F31" s="78"/>
      <x:c r="G31" s="78"/>
      <x:c r="H31" s="78"/>
      <x:c r="I31" s="78"/>
    </x:row>
    <x:row r="32">
      <x:c r="A32" s="78"/>
      <x:c r="B32" s="78"/>
      <x:c r="C32" s="78"/>
      <x:c r="D32" s="78"/>
      <x:c r="E32" s="78"/>
      <x:c r="F32" s="78"/>
      <x:c r="G32" s="78"/>
      <x:c r="H32" s="78"/>
      <x:c r="I32" s="78"/>
    </x:row>
    <x:row r="33">
      <x:c r="A33" s="78"/>
      <x:c r="B33" s="78"/>
      <x:c r="C33" s="78"/>
      <x:c r="D33" s="78"/>
      <x:c r="E33" s="78"/>
      <x:c r="F33" s="78"/>
      <x:c r="G33" s="78"/>
      <x:c r="H33" s="78"/>
      <x:c r="I33" s="78"/>
    </x:row>
    <x:row r="34">
      <x:c r="A34" s="78"/>
      <x:c r="B34" s="78"/>
      <x:c r="C34" s="78"/>
      <x:c r="D34" s="78"/>
      <x:c r="E34" s="78"/>
      <x:c r="F34" s="78"/>
      <x:c r="G34" s="78"/>
      <x:c r="H34" s="78"/>
      <x:c r="I34" s="78"/>
    </x:row>
    <x:row r="35">
      <x:c r="A35" s="78"/>
      <x:c r="B35" s="78"/>
      <x:c r="C35" s="78"/>
      <x:c r="D35" s="78"/>
      <x:c r="E35" s="78"/>
      <x:c r="F35" s="78"/>
      <x:c r="G35" s="78"/>
      <x:c r="H35" s="78"/>
      <x:c r="I35" s="78"/>
    </x:row>
    <x:row r="36">
      <x:c r="A36" s="78"/>
      <x:c r="B36" s="78"/>
      <x:c r="C36" s="78"/>
      <x:c r="D36" s="78"/>
      <x:c r="E36" s="78"/>
      <x:c r="F36" s="78"/>
      <x:c r="G36" s="78"/>
      <x:c r="H36" s="78"/>
      <x:c r="I36" s="78"/>
    </x:row>
    <x:row r="37">
      <x:c r="A37" s="78"/>
      <x:c r="B37" s="78"/>
      <x:c r="C37" s="78"/>
      <x:c r="D37" s="78"/>
      <x:c r="E37" s="78"/>
      <x:c r="F37" s="78"/>
      <x:c r="G37" s="78"/>
      <x:c r="H37" s="78"/>
      <x:c r="I37" s="78"/>
    </x:row>
    <x:row r="38">
      <x:c r="A38" s="78"/>
      <x:c r="B38" s="78"/>
      <x:c r="C38" s="78"/>
      <x:c r="D38" s="78"/>
      <x:c r="E38" s="78"/>
      <x:c r="F38" s="78"/>
      <x:c r="G38" s="78"/>
      <x:c r="H38" s="78"/>
      <x:c r="I38" s="78"/>
    </x:row>
    <x:row r="39">
      <x:c r="A39" s="78"/>
      <x:c r="B39" s="78"/>
      <x:c r="C39" s="78"/>
      <x:c r="D39" s="78"/>
      <x:c r="E39" s="78"/>
      <x:c r="F39" s="78"/>
      <x:c r="G39" s="78"/>
      <x:c r="H39" s="78"/>
      <x:c r="I39" s="78"/>
    </x:row>
    <x:row r="40">
      <x:c r="A40" s="78"/>
      <x:c r="B40" s="78"/>
      <x:c r="C40" s="78"/>
      <x:c r="D40" s="78"/>
      <x:c r="E40" s="78"/>
      <x:c r="F40" s="78"/>
      <x:c r="G40" s="78"/>
      <x:c r="H40" s="78"/>
      <x:c r="I40" s="78"/>
    </x:row>
    <x:row r="41">
      <x:c r="A41" s="78"/>
      <x:c r="B41" s="78"/>
      <x:c r="C41" s="78"/>
      <x:c r="D41" s="78"/>
      <x:c r="E41" s="78"/>
      <x:c r="F41" s="78"/>
      <x:c r="G41" s="78"/>
      <x:c r="H41" s="78"/>
      <x:c r="I41" s="78"/>
    </x:row>
    <x:row r="42">
      <x:c r="A42" s="78"/>
      <x:c r="B42" s="78"/>
      <x:c r="C42" s="78"/>
      <x:c r="D42" s="78"/>
      <x:c r="E42" s="78"/>
      <x:c r="F42" s="78"/>
      <x:c r="G42" s="78"/>
      <x:c r="H42" s="78"/>
      <x:c r="I42" s="78"/>
    </x:row>
    <x:row r="43">
      <x:c r="A43" s="78"/>
      <x:c r="B43" s="78"/>
      <x:c r="C43" s="78"/>
      <x:c r="D43" s="78"/>
      <x:c r="E43" s="78"/>
      <x:c r="F43" s="78"/>
      <x:c r="G43" s="78"/>
      <x:c r="H43" s="78"/>
      <x:c r="I43" s="78"/>
    </x:row>
    <x:row r="44">
      <x:c r="A44" s="78"/>
      <x:c r="B44" s="78"/>
      <x:c r="C44" s="78"/>
      <x:c r="D44" s="78"/>
      <x:c r="E44" s="78"/>
      <x:c r="F44" s="78"/>
      <x:c r="G44" s="78"/>
      <x:c r="H44" s="78"/>
      <x:c r="I44" s="78"/>
    </x:row>
    <x:row r="45">
      <x:c r="A45" s="78"/>
      <x:c r="B45" s="78"/>
      <x:c r="C45" s="78"/>
      <x:c r="D45" s="78"/>
      <x:c r="E45" s="78"/>
      <x:c r="F45" s="78"/>
      <x:c r="G45" s="78"/>
      <x:c r="H45" s="78"/>
      <x:c r="I45" s="78"/>
    </x:row>
    <x:row r="46">
      <x:c r="A46" s="78"/>
      <x:c r="B46" s="78"/>
      <x:c r="C46" s="78"/>
      <x:c r="D46" s="78"/>
      <x:c r="E46" s="78"/>
      <x:c r="F46" s="78"/>
      <x:c r="G46" s="78"/>
      <x:c r="H46" s="78"/>
      <x:c r="I46" s="78"/>
    </x:row>
    <x:row r="47">
      <x:c r="A47" s="78"/>
      <x:c r="B47" s="78"/>
      <x:c r="C47" s="78"/>
      <x:c r="D47" s="78"/>
      <x:c r="E47" s="78"/>
      <x:c r="F47" s="78"/>
      <x:c r="G47" s="78"/>
      <x:c r="H47" s="78"/>
      <x:c r="I47" s="78"/>
    </x:row>
    <x:row r="48">
      <x:c r="A48" s="78"/>
      <x:c r="B48" s="78"/>
      <x:c r="C48" s="78"/>
      <x:c r="D48" s="78"/>
      <x:c r="E48" s="78"/>
      <x:c r="F48" s="78"/>
      <x:c r="G48" s="78"/>
      <x:c r="H48" s="78"/>
      <x:c r="I48" s="78"/>
    </x:row>
    <x:row r="49">
      <x:c r="A49" s="78"/>
      <x:c r="B49" s="78"/>
      <x:c r="C49" s="78"/>
      <x:c r="D49" s="78"/>
      <x:c r="E49" s="78"/>
      <x:c r="F49" s="78"/>
      <x:c r="G49" s="78"/>
      <x:c r="H49" s="78"/>
      <x:c r="I49" s="78"/>
    </x:row>
    <x:row r="50">
      <x:c r="A50" s="78"/>
      <x:c r="B50" s="78"/>
      <x:c r="C50" s="78"/>
      <x:c r="D50" s="78"/>
      <x:c r="E50" s="78"/>
      <x:c r="F50" s="78"/>
      <x:c r="G50" s="78"/>
      <x:c r="H50" s="78"/>
      <x:c r="I50" s="78"/>
    </x:row>
    <x:row r="51">
      <x:c r="A51" s="78"/>
      <x:c r="B51" s="78"/>
      <x:c r="C51" s="78"/>
      <x:c r="D51" s="78"/>
      <x:c r="E51" s="78"/>
      <x:c r="F51" s="78"/>
      <x:c r="G51" s="78"/>
      <x:c r="H51" s="78"/>
      <x:c r="I51" s="78"/>
    </x:row>
    <x:row r="52">
      <x:c r="A52" s="78"/>
      <x:c r="B52" s="78"/>
      <x:c r="C52" s="78"/>
      <x:c r="D52" s="78"/>
      <x:c r="E52" s="78"/>
      <x:c r="F52" s="78"/>
      <x:c r="G52" s="78"/>
      <x:c r="H52" s="78"/>
      <x:c r="I52" s="78"/>
    </x:row>
    <x:row r="53">
      <x:c r="A53" s="78"/>
      <x:c r="B53" s="78"/>
      <x:c r="C53" s="78"/>
      <x:c r="D53" s="78"/>
      <x:c r="E53" s="78"/>
      <x:c r="F53" s="78"/>
      <x:c r="G53" s="78"/>
      <x:c r="H53" s="78"/>
      <x:c r="I53" s="78"/>
    </x:row>
    <x:row r="54">
      <x:c r="A54" s="78"/>
      <x:c r="B54" s="78"/>
      <x:c r="C54" s="78"/>
      <x:c r="D54" s="78"/>
      <x:c r="E54" s="78"/>
      <x:c r="F54" s="78"/>
      <x:c r="G54" s="78"/>
      <x:c r="H54" s="78"/>
      <x:c r="I54" s="78"/>
    </x:row>
    <x:row r="55">
      <x:c r="A55" s="78"/>
      <x:c r="B55" s="78"/>
      <x:c r="C55" s="78"/>
      <x:c r="D55" s="78"/>
      <x:c r="E55" s="78"/>
      <x:c r="F55" s="78"/>
      <x:c r="G55" s="78"/>
      <x:c r="H55" s="78"/>
      <x:c r="I55" s="78"/>
    </x:row>
    <x:row r="56">
      <x:c r="A56" s="78"/>
      <x:c r="B56" s="78"/>
      <x:c r="C56" s="78"/>
      <x:c r="D56" s="78"/>
      <x:c r="E56" s="78"/>
      <x:c r="F56" s="78"/>
      <x:c r="G56" s="78"/>
      <x:c r="H56" s="78"/>
      <x:c r="I56" s="78"/>
    </x:row>
    <x:row r="57">
      <x:c r="A57" s="78"/>
      <x:c r="B57" s="78"/>
      <x:c r="C57" s="78"/>
      <x:c r="D57" s="78"/>
      <x:c r="E57" s="78"/>
      <x:c r="F57" s="78"/>
      <x:c r="G57" s="78"/>
      <x:c r="H57" s="78"/>
      <x:c r="I57" s="78"/>
    </x:row>
    <x:row r="58">
      <x:c r="A58" s="78"/>
      <x:c r="B58" s="78"/>
      <x:c r="C58" s="78"/>
      <x:c r="D58" s="78"/>
      <x:c r="E58" s="78"/>
      <x:c r="F58" s="78"/>
      <x:c r="G58" s="78"/>
      <x:c r="H58" s="78"/>
      <x:c r="I58" s="78"/>
    </x:row>
    <x:row r="59">
      <x:c r="A59" s="78"/>
      <x:c r="B59" s="78"/>
      <x:c r="C59" s="78"/>
      <x:c r="D59" s="78"/>
      <x:c r="E59" s="78"/>
      <x:c r="F59" s="78"/>
      <x:c r="G59" s="78"/>
      <x:c r="H59" s="78"/>
      <x:c r="I59" s="78"/>
    </x:row>
    <x:row r="60">
      <x:c r="A60" s="78"/>
      <x:c r="B60" s="78"/>
      <x:c r="C60" s="78"/>
      <x:c r="D60" s="78"/>
      <x:c r="E60" s="78"/>
      <x:c r="F60" s="78"/>
      <x:c r="G60" s="78"/>
      <x:c r="H60" s="78"/>
      <x:c r="I60" s="78"/>
    </x:row>
    <x:row r="61">
      <x:c r="A61" s="78"/>
      <x:c r="B61" s="78"/>
      <x:c r="C61" s="78"/>
      <x:c r="D61" s="78"/>
      <x:c r="E61" s="78"/>
      <x:c r="F61" s="78"/>
      <x:c r="G61" s="78"/>
      <x:c r="H61" s="78"/>
      <x:c r="I61" s="78"/>
    </x:row>
    <x:row r="62">
      <x:c r="A62" s="78"/>
      <x:c r="B62" s="78"/>
      <x:c r="C62" s="78"/>
      <x:c r="D62" s="78"/>
      <x:c r="E62" s="78"/>
      <x:c r="F62" s="78"/>
      <x:c r="G62" s="78"/>
      <x:c r="H62" s="78"/>
      <x:c r="I62" s="78"/>
    </x:row>
    <x:row r="63">
      <x:c r="A63" s="78"/>
      <x:c r="B63" s="78"/>
      <x:c r="C63" s="78"/>
      <x:c r="D63" s="78"/>
      <x:c r="E63" s="78"/>
      <x:c r="F63" s="78"/>
      <x:c r="G63" s="78"/>
      <x:c r="H63" s="78"/>
      <x:c r="I63" s="78"/>
    </x:row>
    <x:row r="64">
      <x:c r="A64" s="78"/>
      <x:c r="B64" s="78"/>
      <x:c r="C64" s="78"/>
      <x:c r="D64" s="78"/>
      <x:c r="E64" s="78"/>
      <x:c r="F64" s="78"/>
      <x:c r="G64" s="78"/>
      <x:c r="H64" s="78"/>
      <x:c r="I64" s="78"/>
    </x:row>
    <x:row r="65">
      <x:c r="A65" s="78"/>
      <x:c r="B65" s="78"/>
      <x:c r="C65" s="78"/>
      <x:c r="D65" s="78"/>
      <x:c r="E65" s="78"/>
      <x:c r="F65" s="78"/>
      <x:c r="G65" s="78"/>
      <x:c r="H65" s="78"/>
      <x:c r="I65" s="78"/>
    </x:row>
    <x:row r="66">
      <x:c r="A66" s="78"/>
      <x:c r="B66" s="78"/>
      <x:c r="C66" s="78"/>
      <x:c r="D66" s="78"/>
      <x:c r="E66" s="78"/>
      <x:c r="F66" s="78"/>
      <x:c r="G66" s="78"/>
      <x:c r="H66" s="78"/>
      <x:c r="I66" s="78"/>
    </x:row>
    <x:row r="67">
      <x:c r="A67" s="78"/>
      <x:c r="B67" s="78"/>
      <x:c r="C67" s="78"/>
      <x:c r="D67" s="78"/>
      <x:c r="E67" s="78"/>
      <x:c r="F67" s="78"/>
      <x:c r="G67" s="78"/>
      <x:c r="H67" s="78"/>
      <x:c r="I67" s="78"/>
    </x:row>
    <x:row r="68">
      <x:c r="A68" s="78"/>
      <x:c r="B68" s="78"/>
      <x:c r="C68" s="78"/>
      <x:c r="D68" s="78"/>
      <x:c r="E68" s="78"/>
      <x:c r="F68" s="78"/>
      <x:c r="G68" s="78"/>
      <x:c r="H68" s="78"/>
      <x:c r="I68" s="78"/>
    </x:row>
    <x:row r="69">
      <x:c r="A69" s="78"/>
      <x:c r="B69" s="78"/>
      <x:c r="C69" s="78"/>
      <x:c r="D69" s="78"/>
      <x:c r="E69" s="78"/>
      <x:c r="F69" s="78"/>
      <x:c r="G69" s="78"/>
      <x:c r="H69" s="78"/>
      <x:c r="I69" s="78"/>
    </x:row>
    <x:row r="70">
      <x:c r="A70" s="78"/>
      <x:c r="B70" s="78"/>
      <x:c r="C70" s="78"/>
      <x:c r="D70" s="78"/>
      <x:c r="E70" s="78"/>
      <x:c r="F70" s="78"/>
      <x:c r="G70" s="78"/>
      <x:c r="H70" s="78"/>
      <x:c r="I70" s="78"/>
    </x:row>
    <x:row r="71">
      <x:c r="A71" s="78"/>
      <x:c r="B71" s="78"/>
      <x:c r="C71" s="78"/>
      <x:c r="D71" s="78"/>
      <x:c r="E71" s="78"/>
      <x:c r="F71" s="78"/>
      <x:c r="G71" s="78"/>
      <x:c r="H71" s="78"/>
      <x:c r="I71" s="78"/>
    </x:row>
    <x:row r="72">
      <x:c r="A72" s="78"/>
      <x:c r="B72" s="78"/>
      <x:c r="C72" s="78"/>
      <x:c r="D72" s="78"/>
      <x:c r="E72" s="78"/>
      <x:c r="F72" s="78"/>
      <x:c r="G72" s="78"/>
      <x:c r="H72" s="78"/>
      <x:c r="I72" s="78"/>
    </x:row>
    <x:row r="73">
      <x:c r="A73" s="78"/>
      <x:c r="B73" s="78"/>
      <x:c r="C73" s="78"/>
      <x:c r="D73" s="78"/>
      <x:c r="E73" s="78"/>
      <x:c r="F73" s="78"/>
      <x:c r="G73" s="78"/>
      <x:c r="H73" s="78"/>
      <x:c r="I73" s="78"/>
    </x:row>
    <x:row r="74">
      <x:c r="A74" s="78"/>
      <x:c r="B74" s="78"/>
      <x:c r="C74" s="78"/>
      <x:c r="D74" s="78"/>
      <x:c r="E74" s="78"/>
      <x:c r="F74" s="78"/>
      <x:c r="G74" s="78"/>
      <x:c r="H74" s="78"/>
      <x:c r="I74" s="78"/>
    </x:row>
    <x:row r="75">
      <x:c r="A75" s="78"/>
      <x:c r="B75" s="78"/>
      <x:c r="C75" s="78"/>
      <x:c r="D75" s="78"/>
      <x:c r="E75" s="78"/>
      <x:c r="F75" s="78"/>
      <x:c r="G75" s="78"/>
      <x:c r="H75" s="78"/>
      <x:c r="I75" s="78"/>
    </x:row>
    <x:row r="76">
      <x:c r="A76" s="78"/>
      <x:c r="B76" s="78"/>
      <x:c r="C76" s="78"/>
      <x:c r="D76" s="78"/>
      <x:c r="E76" s="78"/>
      <x:c r="F76" s="78"/>
      <x:c r="G76" s="78"/>
      <x:c r="H76" s="78"/>
      <x:c r="I76" s="78"/>
    </x:row>
    <x:row r="77">
      <x:c r="A77" s="78"/>
      <x:c r="B77" s="78"/>
      <x:c r="C77" s="78"/>
      <x:c r="D77" s="78"/>
      <x:c r="E77" s="78"/>
      <x:c r="F77" s="78"/>
      <x:c r="G77" s="78"/>
      <x:c r="H77" s="78"/>
      <x:c r="I77" s="78"/>
    </x:row>
    <x:row r="78">
      <x:c r="A78" s="78"/>
      <x:c r="B78" s="78"/>
      <x:c r="C78" s="78"/>
      <x:c r="D78" s="78"/>
      <x:c r="E78" s="78"/>
      <x:c r="F78" s="78"/>
      <x:c r="G78" s="78"/>
      <x:c r="H78" s="78"/>
      <x:c r="I78" s="78"/>
    </x:row>
    <x:row r="79">
      <x:c r="A79" s="78"/>
      <x:c r="B79" s="78"/>
      <x:c r="C79" s="78"/>
      <x:c r="D79" s="78"/>
      <x:c r="E79" s="78"/>
      <x:c r="F79" s="78"/>
      <x:c r="G79" s="78"/>
      <x:c r="H79" s="78"/>
      <x:c r="I79" s="78"/>
    </x:row>
    <x:row r="80">
      <x:c r="A80" s="78"/>
      <x:c r="B80" s="78"/>
      <x:c r="C80" s="78"/>
      <x:c r="D80" s="78"/>
      <x:c r="E80" s="78"/>
      <x:c r="F80" s="78"/>
      <x:c r="G80" s="78"/>
      <x:c r="H80" s="78"/>
      <x:c r="I80" s="78"/>
    </x:row>
    <x:row r="81">
      <x:c r="A81" s="78"/>
      <x:c r="B81" s="78"/>
      <x:c r="C81" s="78"/>
      <x:c r="D81" s="78"/>
      <x:c r="E81" s="78"/>
      <x:c r="F81" s="78"/>
      <x:c r="G81" s="78"/>
      <x:c r="H81" s="78"/>
      <x:c r="I81" s="78"/>
    </x:row>
    <x:row r="82">
      <x:c r="A82" s="78"/>
      <x:c r="B82" s="78"/>
      <x:c r="C82" s="78"/>
      <x:c r="D82" s="78"/>
      <x:c r="E82" s="78"/>
      <x:c r="F82" s="78"/>
      <x:c r="G82" s="78"/>
      <x:c r="H82" s="78"/>
      <x:c r="I82" s="78"/>
    </x:row>
    <x:row r="83">
      <x:c r="A83" s="78"/>
      <x:c r="B83" s="78"/>
      <x:c r="C83" s="78"/>
      <x:c r="D83" s="78"/>
      <x:c r="E83" s="78"/>
      <x:c r="F83" s="78"/>
      <x:c r="G83" s="78"/>
      <x:c r="H83" s="78"/>
      <x:c r="I83" s="78"/>
    </x:row>
    <x:row r="84">
      <x:c r="A84" s="78"/>
      <x:c r="B84" s="78"/>
      <x:c r="C84" s="78"/>
      <x:c r="D84" s="78"/>
      <x:c r="E84" s="78"/>
      <x:c r="F84" s="78"/>
      <x:c r="G84" s="78"/>
      <x:c r="H84" s="78"/>
      <x:c r="I84" s="78"/>
    </x:row>
    <x:row r="85">
      <x:c r="A85" s="78"/>
      <x:c r="B85" s="78"/>
      <x:c r="C85" s="78"/>
      <x:c r="D85" s="78"/>
      <x:c r="E85" s="78"/>
      <x:c r="F85" s="78"/>
      <x:c r="G85" s="78"/>
      <x:c r="H85" s="78"/>
      <x:c r="I85" s="78"/>
    </x:row>
    <x:row r="86">
      <x:c r="A86" s="78"/>
      <x:c r="B86" s="78"/>
      <x:c r="C86" s="78"/>
      <x:c r="D86" s="78"/>
      <x:c r="E86" s="78"/>
      <x:c r="F86" s="78"/>
      <x:c r="G86" s="78"/>
      <x:c r="H86" s="78"/>
      <x:c r="I86" s="78"/>
    </x:row>
    <x:row r="87">
      <x:c r="A87" s="78"/>
      <x:c r="B87" s="78"/>
      <x:c r="C87" s="78"/>
      <x:c r="D87" s="78"/>
      <x:c r="E87" s="78"/>
      <x:c r="F87" s="78"/>
      <x:c r="G87" s="78"/>
      <x:c r="H87" s="78"/>
      <x:c r="I87" s="78"/>
    </x:row>
    <x:row r="88">
      <x:c r="A88" s="78"/>
      <x:c r="B88" s="78"/>
      <x:c r="C88" s="78"/>
      <x:c r="D88" s="78"/>
      <x:c r="E88" s="78"/>
      <x:c r="F88" s="78"/>
      <x:c r="G88" s="78"/>
      <x:c r="H88" s="78"/>
      <x:c r="I88" s="78"/>
    </x:row>
    <x:row r="89">
      <x:c r="A89" s="78"/>
      <x:c r="B89" s="78"/>
      <x:c r="C89" s="78"/>
      <x:c r="D89" s="78"/>
      <x:c r="E89" s="78"/>
      <x:c r="F89" s="78"/>
      <x:c r="G89" s="78"/>
      <x:c r="H89" s="78"/>
      <x:c r="I89" s="78"/>
    </x:row>
    <x:row r="90">
      <x:c r="A90" s="78"/>
      <x:c r="B90" s="78"/>
      <x:c r="C90" s="78"/>
      <x:c r="D90" s="78"/>
      <x:c r="E90" s="78"/>
      <x:c r="F90" s="78"/>
      <x:c r="G90" s="78"/>
      <x:c r="H90" s="78"/>
      <x:c r="I90" s="78"/>
    </x:row>
    <x:row r="91">
      <x:c r="A91" s="78"/>
      <x:c r="B91" s="78"/>
      <x:c r="C91" s="78"/>
      <x:c r="D91" s="78"/>
      <x:c r="E91" s="78"/>
      <x:c r="F91" s="78"/>
      <x:c r="G91" s="78"/>
      <x:c r="H91" s="78"/>
      <x:c r="I91" s="78"/>
    </x:row>
    <x:row r="92">
      <x:c r="A92" s="78"/>
      <x:c r="B92" s="78"/>
      <x:c r="C92" s="78"/>
      <x:c r="D92" s="78"/>
      <x:c r="E92" s="78"/>
      <x:c r="F92" s="78"/>
      <x:c r="G92" s="78"/>
      <x:c r="H92" s="78"/>
      <x:c r="I92" s="78"/>
    </x:row>
    <x:row r="93">
      <x:c r="A93" s="78"/>
      <x:c r="B93" s="78"/>
      <x:c r="C93" s="78"/>
      <x:c r="D93" s="78"/>
      <x:c r="E93" s="78"/>
      <x:c r="F93" s="78"/>
      <x:c r="G93" s="78"/>
      <x:c r="H93" s="78"/>
      <x:c r="I93" s="78"/>
    </x:row>
    <x:row r="94">
      <x:c r="A94" s="78"/>
      <x:c r="B94" s="78"/>
      <x:c r="C94" s="78"/>
      <x:c r="D94" s="78"/>
      <x:c r="E94" s="78"/>
      <x:c r="F94" s="78"/>
      <x:c r="G94" s="78"/>
      <x:c r="H94" s="78"/>
      <x:c r="I94" s="78"/>
    </x:row>
    <x:row r="95">
      <x:c r="A95" s="78"/>
      <x:c r="B95" s="78"/>
      <x:c r="C95" s="78"/>
      <x:c r="D95" s="78"/>
      <x:c r="E95" s="78"/>
      <x:c r="F95" s="78"/>
      <x:c r="G95" s="78"/>
      <x:c r="H95" s="78"/>
      <x:c r="I95" s="78"/>
    </x:row>
    <x:row r="96">
      <x:c r="A96" s="78"/>
      <x:c r="B96" s="78"/>
      <x:c r="C96" s="78"/>
      <x:c r="D96" s="78"/>
      <x:c r="E96" s="78"/>
      <x:c r="F96" s="78"/>
      <x:c r="G96" s="78"/>
      <x:c r="H96" s="78"/>
      <x:c r="I96" s="78"/>
    </x:row>
    <x:row r="97">
      <x:c r="A97" s="78"/>
      <x:c r="B97" s="78"/>
      <x:c r="C97" s="78"/>
      <x:c r="D97" s="78"/>
      <x:c r="E97" s="78"/>
      <x:c r="F97" s="78"/>
      <x:c r="G97" s="78"/>
      <x:c r="H97" s="78"/>
      <x:c r="I97" s="78"/>
    </x:row>
    <x:row r="98">
      <x:c r="A98" s="78"/>
      <x:c r="B98" s="78"/>
      <x:c r="C98" s="78"/>
      <x:c r="D98" s="78"/>
      <x:c r="E98" s="78"/>
      <x:c r="F98" s="78"/>
      <x:c r="G98" s="78"/>
      <x:c r="H98" s="78"/>
      <x:c r="I98" s="78"/>
    </x:row>
    <x:row r="99">
      <x:c r="A99" s="78"/>
      <x:c r="B99" s="78"/>
      <x:c r="C99" s="78"/>
      <x:c r="D99" s="78"/>
      <x:c r="E99" s="78"/>
      <x:c r="F99" s="78"/>
      <x:c r="G99" s="78"/>
      <x:c r="H99" s="78"/>
      <x:c r="I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  <x:c r="I100" s="78"/>
    </x:row>
    <x:row r="101">
      <x:c r="A101" s="78"/>
      <x:c r="B101" s="78"/>
      <x:c r="C101" s="78"/>
      <x:c r="D101" s="78"/>
      <x:c r="E101" s="78"/>
      <x:c r="F101" s="78"/>
      <x:c r="G101" s="78"/>
      <x:c r="H101" s="78"/>
      <x:c r="I101" s="78"/>
    </x:row>
    <x:row r="102">
      <x:c r="A102" s="78"/>
      <x:c r="B102" s="78"/>
      <x:c r="C102" s="78"/>
      <x:c r="D102" s="78"/>
      <x:c r="E102" s="78"/>
      <x:c r="F102" s="78"/>
      <x:c r="G102" s="78"/>
      <x:c r="H102" s="78"/>
      <x:c r="I102" s="78"/>
    </x:row>
    <x:row r="103">
      <x:c r="A103" s="78"/>
      <x:c r="B103" s="78"/>
      <x:c r="C103" s="78"/>
      <x:c r="D103" s="78"/>
      <x:c r="E103" s="78"/>
      <x:c r="F103" s="78"/>
      <x:c r="G103" s="78"/>
      <x:c r="H103" s="78"/>
      <x:c r="I103" s="78"/>
    </x:row>
    <x:row r="104">
      <x:c r="A104" s="78"/>
      <x:c r="B104" s="78"/>
      <x:c r="C104" s="78"/>
      <x:c r="D104" s="78"/>
      <x:c r="E104" s="78"/>
      <x:c r="F104" s="78"/>
      <x:c r="G104" s="78"/>
      <x:c r="H104" s="78"/>
      <x:c r="I104" s="78"/>
    </x:row>
    <x:row r="105">
      <x:c r="A105" s="78"/>
      <x:c r="B105" s="78"/>
      <x:c r="C105" s="78"/>
      <x:c r="D105" s="78"/>
      <x:c r="E105" s="78"/>
      <x:c r="F105" s="78"/>
      <x:c r="G105" s="78"/>
      <x:c r="H105" s="78"/>
      <x:c r="I105" s="78"/>
    </x:row>
    <x:row r="106">
      <x:c r="A106" s="78"/>
      <x:c r="B106" s="78"/>
      <x:c r="C106" s="78"/>
      <x:c r="D106" s="78"/>
      <x:c r="E106" s="78"/>
      <x:c r="F106" s="78"/>
      <x:c r="G106" s="78"/>
      <x:c r="H106" s="78"/>
      <x:c r="I106" s="78"/>
    </x:row>
    <x:row r="107">
      <x:c r="A107" s="78"/>
      <x:c r="B107" s="78"/>
      <x:c r="C107" s="78"/>
      <x:c r="D107" s="78"/>
      <x:c r="E107" s="78"/>
      <x:c r="F107" s="78"/>
      <x:c r="G107" s="78"/>
      <x:c r="H107" s="78"/>
      <x:c r="I107" s="78"/>
    </x:row>
    <x:row r="108">
      <x:c r="A108" s="78"/>
      <x:c r="B108" s="78"/>
      <x:c r="C108" s="78"/>
      <x:c r="D108" s="78"/>
      <x:c r="E108" s="78"/>
      <x:c r="F108" s="78"/>
      <x:c r="G108" s="78"/>
      <x:c r="H108" s="78"/>
      <x:c r="I108" s="78"/>
    </x:row>
    <x:row r="109">
      <x:c r="A109" s="78"/>
      <x:c r="B109" s="78"/>
      <x:c r="C109" s="78"/>
      <x:c r="D109" s="78"/>
      <x:c r="E109" s="78"/>
      <x:c r="F109" s="78"/>
      <x:c r="G109" s="78"/>
      <x:c r="H109" s="78"/>
      <x:c r="I109" s="78"/>
    </x:row>
    <x:row r="110">
      <x:c r="A110" s="78"/>
      <x:c r="B110" s="78"/>
      <x:c r="C110" s="78"/>
      <x:c r="D110" s="78"/>
      <x:c r="E110" s="78"/>
      <x:c r="F110" s="78"/>
      <x:c r="G110" s="78"/>
      <x:c r="H110" s="78"/>
      <x:c r="I110" s="78"/>
    </x:row>
    <x:row r="111">
      <x:c r="A111" s="78"/>
      <x:c r="B111" s="78"/>
      <x:c r="C111" s="78"/>
      <x:c r="D111" s="78"/>
      <x:c r="E111" s="78"/>
      <x:c r="F111" s="78"/>
      <x:c r="G111" s="78"/>
      <x:c r="H111" s="78"/>
      <x:c r="I111" s="78"/>
    </x:row>
    <x:row r="112">
      <x:c r="A112" s="78"/>
      <x:c r="B112" s="78"/>
      <x:c r="C112" s="78"/>
      <x:c r="D112" s="78"/>
      <x:c r="E112" s="78"/>
      <x:c r="F112" s="78"/>
      <x:c r="G112" s="78"/>
      <x:c r="H112" s="78"/>
      <x:c r="I112" s="78"/>
    </x:row>
    <x:row r="113">
      <x:c r="A113" s="78"/>
      <x:c r="B113" s="78"/>
      <x:c r="C113" s="78"/>
      <x:c r="D113" s="78"/>
      <x:c r="E113" s="78"/>
      <x:c r="F113" s="78"/>
      <x:c r="G113" s="78"/>
      <x:c r="H113" s="78"/>
      <x:c r="I113" s="78"/>
    </x:row>
    <x:row r="114">
      <x:c r="A114" s="78"/>
      <x:c r="B114" s="78"/>
      <x:c r="C114" s="78"/>
      <x:c r="D114" s="78"/>
      <x:c r="E114" s="78"/>
      <x:c r="F114" s="78"/>
      <x:c r="G114" s="78"/>
      <x:c r="H114" s="78"/>
      <x:c r="I114" s="78"/>
    </x:row>
    <x:row r="115">
      <x:c r="A115" s="78"/>
      <x:c r="B115" s="78"/>
      <x:c r="C115" s="78"/>
      <x:c r="D115" s="78"/>
      <x:c r="E115" s="78"/>
      <x:c r="F115" s="78"/>
      <x:c r="G115" s="78"/>
      <x:c r="H115" s="78"/>
      <x:c r="I115" s="78"/>
    </x:row>
    <x:row r="116">
      <x:c r="A116" s="78"/>
      <x:c r="B116" s="78"/>
      <x:c r="C116" s="78"/>
      <x:c r="D116" s="78"/>
      <x:c r="E116" s="78"/>
      <x:c r="F116" s="78"/>
      <x:c r="G116" s="78"/>
      <x:c r="H116" s="78"/>
      <x:c r="I116" s="78"/>
    </x:row>
    <x:row r="117">
      <x:c r="A117" s="78"/>
      <x:c r="B117" s="78"/>
      <x:c r="C117" s="78"/>
      <x:c r="D117" s="78"/>
      <x:c r="E117" s="78"/>
      <x:c r="F117" s="78"/>
      <x:c r="G117" s="78"/>
      <x:c r="H117" s="78"/>
      <x:c r="I117" s="78"/>
    </x:row>
    <x:row r="118">
      <x:c r="A118" s="78"/>
      <x:c r="B118" s="78"/>
      <x:c r="C118" s="78"/>
      <x:c r="D118" s="78"/>
      <x:c r="E118" s="78"/>
      <x:c r="F118" s="78"/>
      <x:c r="G118" s="78"/>
      <x:c r="H118" s="78"/>
      <x:c r="I118" s="78"/>
    </x:row>
    <x:row r="119">
      <x:c r="A119" s="78"/>
      <x:c r="B119" s="78"/>
      <x:c r="C119" s="78"/>
      <x:c r="D119" s="78"/>
      <x:c r="E119" s="78"/>
      <x:c r="F119" s="78"/>
      <x:c r="G119" s="78"/>
      <x:c r="H119" s="78"/>
      <x:c r="I119" s="78"/>
    </x:row>
    <x:row r="120">
      <x:c r="A120" s="78"/>
      <x:c r="B120" s="78"/>
      <x:c r="C120" s="78"/>
      <x:c r="D120" s="78"/>
      <x:c r="E120" s="78"/>
      <x:c r="F120" s="78"/>
      <x:c r="G120" s="78"/>
      <x:c r="H120" s="78"/>
      <x:c r="I120" s="78"/>
    </x:row>
  </x:sheetData>
  <x:mergeCells>
    <x:mergeCell ref="A1:I1"/>
  </x:mergeCells>
  <x:dataValidations count="1">
    <x:dataValidation type="list" sqref="H4:H120">
      <x:formula1>"Pending,Accepted,Rejected,Superseded"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4.25"/>
  <x:cols>
    <x:col min="1" max="1" width="9" customWidth="1"/>
    <x:col min="2" max="2" width="18" customWidth="1"/>
    <x:col min="3" max="3" width="38" customWidth="1"/>
    <x:col min="4" max="5" width="42" customWidth="1"/>
    <x:col min="6" max="6" width="11" customWidth="1"/>
    <x:col min="7" max="7" width="12" customWidth="1"/>
    <x:col min="8" max="8" width="26" customWidth="1"/>
    <x:col min="9" max="9" width="12" customWidth="1"/>
  </x:cols>
  <x:sheetData>
    <x:row r="1" ht="27.950000762939453" customHeight="1">
      <x:c r="A1" s="234" t="s">
        <x:v>796</x:v>
      </x:c>
      <x:c r="B1" s="235"/>
      <x:c r="C1" s="235"/>
      <x:c r="D1" s="235"/>
      <x:c r="E1" s="235"/>
      <x:c r="F1" s="235"/>
      <x:c r="G1" s="235"/>
      <x:c r="H1" s="235"/>
      <x:c r="I1" s="235"/>
    </x:row>
    <x:row r="2">
      <x:c r="A2" s="233" t="s">
        <x:v>797</x:v>
      </x:c>
      <x:c r="B2" s="233"/>
      <x:c r="C2" s="233"/>
      <x:c r="D2" s="233"/>
      <x:c r="E2" s="233"/>
      <x:c r="F2" s="233"/>
      <x:c r="G2" s="233"/>
      <x:c r="H2" s="233"/>
      <x:c r="I2" s="233"/>
    </x:row>
    <x:row r="4" ht="30">
      <x:c r="A4" s="80" t="s">
        <x:v>65</x:v>
      </x:c>
      <x:c r="B4" s="80" t="s">
        <x:v>798</x:v>
      </x:c>
      <x:c r="C4" s="80" t="s">
        <x:v>799</x:v>
      </x:c>
      <x:c r="D4" s="80" t="s">
        <x:v>800</x:v>
      </x:c>
      <x:c r="E4" s="80" t="s">
        <x:v>801</x:v>
      </x:c>
      <x:c r="F4" s="80" t="s">
        <x:v>802</x:v>
      </x:c>
      <x:c r="G4" s="80" t="s">
        <x:v>803</x:v>
      </x:c>
      <x:c r="H4" s="80" t="s">
        <x:v>804</x:v>
      </x:c>
      <x:c r="I4" s="80" t="s">
        <x:v>117</x:v>
      </x:c>
    </x:row>
    <x:row r="5" ht="28.5">
      <x:c r="A5" s="78" t="s">
        <x:v>805</x:v>
      </x:c>
      <x:c r="B5" s="78" t="s">
        <x:v>806</x:v>
      </x:c>
      <x:c r="C5" s="78" t="s">
        <x:v>807</x:v>
      </x:c>
      <x:c r="D5" s="78" t="s">
        <x:v>808</x:v>
      </x:c>
      <x:c r="E5" s="78" t="s">
        <x:v>809</x:v>
      </x:c>
      <x:c r="F5" s="78" t="s">
        <x:v>810</x:v>
      </x:c>
      <x:c r="G5" s="78" t="s">
        <x:v>811</x:v>
      </x:c>
      <x:c r="H5" s="78" t="s">
        <x:v>812</x:v>
      </x:c>
      <x:c r="I5" s="78" t="s">
        <x:v>813</x:v>
      </x:c>
    </x:row>
    <x:row r="6" ht="57">
      <x:c r="A6" s="78" t="s">
        <x:v>814</x:v>
      </x:c>
      <x:c r="B6" s="78" t="s">
        <x:v>815</x:v>
      </x:c>
      <x:c r="C6" s="78" t="s">
        <x:v>816</x:v>
      </x:c>
      <x:c r="D6" s="78" t="s">
        <x:v>817</x:v>
      </x:c>
      <x:c r="E6" s="78" t="s">
        <x:v>818</x:v>
      </x:c>
      <x:c r="F6" s="78" t="s">
        <x:v>697</x:v>
      </x:c>
      <x:c r="G6" s="78" t="s">
        <x:v>819</x:v>
      </x:c>
      <x:c r="H6" s="78" t="s">
        <x:v>815</x:v>
      </x:c>
      <x:c r="I6" s="78" t="s">
        <x:v>813</x:v>
      </x:c>
    </x:row>
    <x:row r="7" ht="57">
      <x:c r="A7" s="78" t="s">
        <x:v>820</x:v>
      </x:c>
      <x:c r="B7" s="78" t="s">
        <x:v>821</x:v>
      </x:c>
      <x:c r="C7" s="78" t="s">
        <x:v>822</x:v>
      </x:c>
      <x:c r="D7" s="78" t="s">
        <x:v>823</x:v>
      </x:c>
      <x:c r="E7" s="78" t="s">
        <x:v>824</x:v>
      </x:c>
      <x:c r="F7" s="78" t="s">
        <x:v>697</x:v>
      </x:c>
      <x:c r="G7" s="78" t="s">
        <x:v>825</x:v>
      </x:c>
      <x:c r="H7" s="78" t="s">
        <x:v>826</x:v>
      </x:c>
      <x:c r="I7" s="78" t="s">
        <x:v>813</x:v>
      </x:c>
    </x:row>
    <x:row r="8" ht="57">
      <x:c r="A8" s="78" t="s">
        <x:v>827</x:v>
      </x:c>
      <x:c r="B8" s="78" t="s">
        <x:v>828</x:v>
      </x:c>
      <x:c r="C8" s="78" t="s">
        <x:v>829</x:v>
      </x:c>
      <x:c r="D8" s="78" t="s">
        <x:v>830</x:v>
      </x:c>
      <x:c r="E8" s="78" t="s">
        <x:v>831</x:v>
      </x:c>
      <x:c r="F8" s="78" t="s">
        <x:v>697</x:v>
      </x:c>
      <x:c r="G8" s="78" t="s">
        <x:v>811</x:v>
      </x:c>
      <x:c r="H8" s="78" t="s">
        <x:v>832</x:v>
      </x:c>
      <x:c r="I8" s="78" t="s">
        <x:v>813</x:v>
      </x:c>
    </x:row>
    <x:row r="9" ht="28.5">
      <x:c r="A9" s="78" t="s">
        <x:v>833</x:v>
      </x:c>
      <x:c r="B9" s="78" t="s">
        <x:v>834</x:v>
      </x:c>
      <x:c r="C9" s="78" t="s">
        <x:v>835</x:v>
      </x:c>
      <x:c r="D9" s="78" t="s">
        <x:v>836</x:v>
      </x:c>
      <x:c r="E9" s="78" t="s">
        <x:v>837</x:v>
      </x:c>
      <x:c r="F9" s="78" t="s">
        <x:v>709</x:v>
      </x:c>
      <x:c r="G9" s="78" t="s">
        <x:v>811</x:v>
      </x:c>
      <x:c r="H9" s="78" t="s">
        <x:v>838</x:v>
      </x:c>
      <x:c r="I9" s="78" t="s">
        <x:v>813</x:v>
      </x:c>
    </x:row>
    <x:row r="10" ht="28.5">
      <x:c r="A10" s="78" t="s">
        <x:v>839</x:v>
      </x:c>
      <x:c r="B10" s="78" t="s">
        <x:v>840</x:v>
      </x:c>
      <x:c r="C10" s="78" t="s">
        <x:v>841</x:v>
      </x:c>
      <x:c r="D10" s="78" t="s">
        <x:v>842</x:v>
      </x:c>
      <x:c r="E10" s="78" t="s">
        <x:v>843</x:v>
      </x:c>
      <x:c r="F10" s="78" t="s">
        <x:v>709</x:v>
      </x:c>
      <x:c r="G10" s="78" t="s">
        <x:v>844</x:v>
      </x:c>
      <x:c r="H10" s="78" t="s">
        <x:v>840</x:v>
      </x:c>
      <x:c r="I10" s="78" t="s">
        <x:v>813</x:v>
      </x:c>
    </x:row>
    <x:row r="11" ht="28.5">
      <x:c r="A11" s="78" t="s">
        <x:v>845</x:v>
      </x:c>
      <x:c r="B11" s="78" t="s">
        <x:v>846</x:v>
      </x:c>
      <x:c r="C11" s="78" t="s">
        <x:v>847</x:v>
      </x:c>
      <x:c r="D11" s="78" t="s">
        <x:v>848</x:v>
      </x:c>
      <x:c r="E11" s="78" t="s">
        <x:v>849</x:v>
      </x:c>
      <x:c r="F11" s="78" t="s">
        <x:v>709</x:v>
      </x:c>
      <x:c r="G11" s="78" t="s">
        <x:v>850</x:v>
      </x:c>
      <x:c r="H11" s="78" t="s">
        <x:v>851</x:v>
      </x:c>
      <x:c r="I11" s="78" t="s">
        <x:v>813</x:v>
      </x:c>
    </x:row>
    <x:row r="12" ht="28.5">
      <x:c r="A12" s="78" t="s">
        <x:v>852</x:v>
      </x:c>
      <x:c r="B12" s="78" t="s">
        <x:v>853</x:v>
      </x:c>
      <x:c r="C12" s="78" t="s">
        <x:v>854</x:v>
      </x:c>
      <x:c r="D12" s="78" t="s">
        <x:v>855</x:v>
      </x:c>
      <x:c r="E12" s="78" t="s">
        <x:v>856</x:v>
      </x:c>
      <x:c r="F12" s="78" t="s">
        <x:v>722</x:v>
      </x:c>
      <x:c r="G12" s="78" t="s">
        <x:v>825</x:v>
      </x:c>
      <x:c r="H12" s="78" t="s">
        <x:v>853</x:v>
      </x:c>
      <x:c r="I12" s="78" t="s">
        <x:v>813</x:v>
      </x:c>
    </x:row>
    <x:row r="13" ht="28.5">
      <x:c r="A13" s="78" t="s">
        <x:v>857</x:v>
      </x:c>
      <x:c r="B13" s="78" t="s">
        <x:v>851</x:v>
      </x:c>
      <x:c r="C13" s="78" t="s">
        <x:v>858</x:v>
      </x:c>
      <x:c r="D13" s="78" t="s">
        <x:v>859</x:v>
      </x:c>
      <x:c r="E13" s="78" t="s">
        <x:v>860</x:v>
      </x:c>
      <x:c r="F13" s="78" t="s">
        <x:v>709</x:v>
      </x:c>
      <x:c r="G13" s="78" t="s">
        <x:v>844</x:v>
      </x:c>
      <x:c r="H13" s="78" t="s">
        <x:v>851</x:v>
      </x:c>
      <x:c r="I13" s="78" t="s">
        <x:v>813</x:v>
      </x:c>
    </x:row>
    <x:row r="14" ht="28.5">
      <x:c r="A14" s="78" t="s">
        <x:v>861</x:v>
      </x:c>
      <x:c r="B14" s="78" t="s">
        <x:v>862</x:v>
      </x:c>
      <x:c r="C14" s="78" t="s">
        <x:v>863</x:v>
      </x:c>
      <x:c r="D14" s="78" t="s">
        <x:v>864</x:v>
      </x:c>
      <x:c r="E14" s="78" t="s">
        <x:v>865</x:v>
      </x:c>
      <x:c r="F14" s="78" t="s">
        <x:v>709</x:v>
      </x:c>
      <x:c r="G14" s="78" t="s">
        <x:v>866</x:v>
      </x:c>
      <x:c r="H14" s="78" t="s">
        <x:v>862</x:v>
      </x:c>
      <x:c r="I14" s="78" t="s">
        <x:v>813</x:v>
      </x:c>
    </x:row>
    <x:row r="15" ht="28.5">
      <x:c r="A15" s="78" t="s">
        <x:v>867</x:v>
      </x:c>
      <x:c r="B15" s="78" t="s">
        <x:v>868</x:v>
      </x:c>
      <x:c r="C15" s="78" t="s">
        <x:v>869</x:v>
      </x:c>
      <x:c r="D15" s="78" t="s">
        <x:v>870</x:v>
      </x:c>
      <x:c r="E15" s="78" t="s">
        <x:v>871</x:v>
      </x:c>
      <x:c r="F15" s="78" t="s">
        <x:v>722</x:v>
      </x:c>
      <x:c r="G15" s="78" t="s">
        <x:v>872</x:v>
      </x:c>
      <x:c r="H15" s="78" t="s">
        <x:v>873</x:v>
      </x:c>
      <x:c r="I15" s="78" t="s">
        <x:v>813</x:v>
      </x:c>
    </x:row>
    <x:row r="16" ht="28.5">
      <x:c r="A16" s="78" t="s">
        <x:v>874</x:v>
      </x:c>
      <x:c r="B16" s="78" t="s">
        <x:v>875</x:v>
      </x:c>
      <x:c r="C16" s="78" t="s">
        <x:v>876</x:v>
      </x:c>
      <x:c r="D16" s="78" t="s">
        <x:v>877</x:v>
      </x:c>
      <x:c r="E16" s="78" t="s">
        <x:v>878</x:v>
      </x:c>
      <x:c r="F16" s="78" t="s">
        <x:v>722</x:v>
      </x:c>
      <x:c r="G16" s="78" t="s">
        <x:v>879</x:v>
      </x:c>
      <x:c r="H16" s="78" t="s">
        <x:v>875</x:v>
      </x:c>
      <x:c r="I16" s="78" t="s">
        <x:v>813</x:v>
      </x:c>
    </x:row>
    <x:row r="17" ht="72" customHeight="1">
      <x:c r="A17" s="182" t="s">
        <x:v>880</x:v>
      </x:c>
      <x:c r="B17" s="183" t="s">
        <x:v>881</x:v>
      </x:c>
      <x:c r="C17" s="183" t="s">
        <x:v>882</x:v>
      </x:c>
      <x:c r="D17" s="183" t="s">
        <x:v>883</x:v>
      </x:c>
      <x:c r="E17" s="183" t="s">
        <x:v>884</x:v>
      </x:c>
      <x:c r="F17" s="183" t="s">
        <x:v>697</x:v>
      </x:c>
      <x:c r="G17" s="183" t="s">
        <x:v>825</x:v>
      </x:c>
      <x:c r="H17" s="183" t="s">
        <x:v>885</x:v>
      </x:c>
      <x:c r="I17" s="184" t="s">
        <x:v>813</x:v>
      </x:c>
    </x:row>
    <x:row r="18" ht="72" customHeight="1">
      <x:c r="A18" s="185" t="s">
        <x:v>886</x:v>
      </x:c>
      <x:c r="B18" s="83" t="s">
        <x:v>887</x:v>
      </x:c>
      <x:c r="C18" s="83" t="s">
        <x:v>888</x:v>
      </x:c>
      <x:c r="D18" s="83" t="s">
        <x:v>889</x:v>
      </x:c>
      <x:c r="E18" s="83" t="s">
        <x:v>890</x:v>
      </x:c>
      <x:c r="F18" s="83" t="s">
        <x:v>697</x:v>
      </x:c>
      <x:c r="G18" s="83" t="s">
        <x:v>891</x:v>
      </x:c>
      <x:c r="H18" s="83" t="s">
        <x:v>892</x:v>
      </x:c>
      <x:c r="I18" s="186" t="s">
        <x:v>813</x:v>
      </x:c>
    </x:row>
    <x:row r="19" ht="72" customHeight="1">
      <x:c r="A19" s="187" t="s">
        <x:v>893</x:v>
      </x:c>
      <x:c r="B19" s="188" t="s">
        <x:v>894</x:v>
      </x:c>
      <x:c r="C19" s="188" t="s">
        <x:v>895</x:v>
      </x:c>
      <x:c r="D19" s="188" t="s">
        <x:v>896</x:v>
      </x:c>
      <x:c r="E19" s="188" t="s">
        <x:v>897</x:v>
      </x:c>
      <x:c r="F19" s="188" t="s">
        <x:v>697</x:v>
      </x:c>
      <x:c r="G19" s="188" t="s">
        <x:v>879</x:v>
      </x:c>
      <x:c r="H19" s="188" t="s">
        <x:v>898</x:v>
      </x:c>
      <x:c r="I19" s="189" t="s">
        <x:v>813</x:v>
      </x:c>
    </x:row>
    <x:row r="20">
      <x:c r="A20" s="78"/>
      <x:c r="B20" s="78"/>
      <x:c r="C20" s="78"/>
      <x:c r="D20" s="78"/>
      <x:c r="E20" s="78"/>
      <x:c r="F20" s="78"/>
      <x:c r="G20" s="78"/>
      <x:c r="H20" s="78"/>
      <x:c r="I20" s="78"/>
    </x:row>
    <x:row r="21">
      <x:c r="A21" s="78"/>
      <x:c r="B21" s="78"/>
      <x:c r="C21" s="78"/>
      <x:c r="D21" s="78"/>
      <x:c r="E21" s="78"/>
      <x:c r="F21" s="78"/>
      <x:c r="G21" s="78"/>
      <x:c r="H21" s="78"/>
      <x:c r="I21" s="78"/>
    </x:row>
    <x:row r="22">
      <x:c r="A22" s="78"/>
      <x:c r="B22" s="78"/>
      <x:c r="C22" s="78"/>
      <x:c r="D22" s="78"/>
      <x:c r="E22" s="78"/>
      <x:c r="F22" s="78"/>
      <x:c r="G22" s="78"/>
      <x:c r="H22" s="78"/>
      <x:c r="I22" s="78"/>
    </x:row>
    <x:row r="23">
      <x:c r="A23" s="78"/>
      <x:c r="B23" s="78"/>
      <x:c r="C23" s="78"/>
      <x:c r="D23" s="78"/>
      <x:c r="E23" s="78"/>
      <x:c r="F23" s="78"/>
      <x:c r="G23" s="78"/>
      <x:c r="H23" s="78"/>
      <x:c r="I23" s="78"/>
    </x:row>
    <x:row r="24">
      <x:c r="A24" s="78"/>
      <x:c r="B24" s="78"/>
      <x:c r="C24" s="78"/>
      <x:c r="D24" s="78"/>
      <x:c r="E24" s="78"/>
      <x:c r="F24" s="78"/>
      <x:c r="G24" s="78"/>
      <x:c r="H24" s="78"/>
      <x:c r="I24" s="78"/>
    </x:row>
    <x:row r="25">
      <x:c r="A25" s="78"/>
      <x:c r="B25" s="78"/>
      <x:c r="C25" s="78"/>
      <x:c r="D25" s="78"/>
      <x:c r="E25" s="78"/>
      <x:c r="F25" s="78"/>
      <x:c r="G25" s="78"/>
      <x:c r="H25" s="78"/>
      <x:c r="I25" s="78"/>
    </x:row>
    <x:row r="26">
      <x:c r="A26" s="78"/>
      <x:c r="B26" s="78"/>
      <x:c r="C26" s="78"/>
      <x:c r="D26" s="78"/>
      <x:c r="E26" s="78"/>
      <x:c r="F26" s="78"/>
      <x:c r="G26" s="78"/>
      <x:c r="H26" s="78"/>
      <x:c r="I26" s="78"/>
    </x:row>
    <x:row r="27">
      <x:c r="A27" s="78"/>
      <x:c r="B27" s="78"/>
      <x:c r="C27" s="78"/>
      <x:c r="D27" s="78"/>
      <x:c r="E27" s="78"/>
      <x:c r="F27" s="78"/>
      <x:c r="G27" s="78"/>
      <x:c r="H27" s="78"/>
      <x:c r="I27" s="78"/>
    </x:row>
    <x:row r="28">
      <x:c r="A28" s="78"/>
      <x:c r="B28" s="78"/>
      <x:c r="C28" s="78"/>
      <x:c r="D28" s="78"/>
      <x:c r="E28" s="78"/>
      <x:c r="F28" s="78"/>
      <x:c r="G28" s="78"/>
      <x:c r="H28" s="78"/>
      <x:c r="I28" s="78"/>
    </x:row>
    <x:row r="29">
      <x:c r="A29" s="78"/>
      <x:c r="B29" s="78"/>
      <x:c r="C29" s="78"/>
      <x:c r="D29" s="78"/>
      <x:c r="E29" s="78"/>
      <x:c r="F29" s="78"/>
      <x:c r="G29" s="78"/>
      <x:c r="H29" s="78"/>
      <x:c r="I29" s="78"/>
    </x:row>
    <x:row r="30">
      <x:c r="A30" s="78"/>
      <x:c r="B30" s="78"/>
      <x:c r="C30" s="78"/>
      <x:c r="D30" s="78"/>
      <x:c r="E30" s="78"/>
      <x:c r="F30" s="78"/>
      <x:c r="G30" s="78"/>
      <x:c r="H30" s="78"/>
      <x:c r="I30" s="78"/>
    </x:row>
    <x:row r="31">
      <x:c r="A31" s="78"/>
      <x:c r="B31" s="78"/>
      <x:c r="C31" s="78"/>
      <x:c r="D31" s="78"/>
      <x:c r="E31" s="78"/>
      <x:c r="F31" s="78"/>
      <x:c r="G31" s="78"/>
      <x:c r="H31" s="78"/>
      <x:c r="I31" s="78"/>
    </x:row>
    <x:row r="32">
      <x:c r="A32" s="78"/>
      <x:c r="B32" s="78"/>
      <x:c r="C32" s="78"/>
      <x:c r="D32" s="78"/>
      <x:c r="E32" s="78"/>
      <x:c r="F32" s="78"/>
      <x:c r="G32" s="78"/>
      <x:c r="H32" s="78"/>
      <x:c r="I32" s="78"/>
    </x:row>
    <x:row r="33">
      <x:c r="A33" s="78"/>
      <x:c r="B33" s="78"/>
      <x:c r="C33" s="78"/>
      <x:c r="D33" s="78"/>
      <x:c r="E33" s="78"/>
      <x:c r="F33" s="78"/>
      <x:c r="G33" s="78"/>
      <x:c r="H33" s="78"/>
      <x:c r="I33" s="78"/>
    </x:row>
    <x:row r="34">
      <x:c r="A34" s="78"/>
      <x:c r="B34" s="78"/>
      <x:c r="C34" s="78"/>
      <x:c r="D34" s="78"/>
      <x:c r="E34" s="78"/>
      <x:c r="F34" s="78"/>
      <x:c r="G34" s="78"/>
      <x:c r="H34" s="78"/>
      <x:c r="I34" s="78"/>
    </x:row>
    <x:row r="35">
      <x:c r="A35" s="78"/>
      <x:c r="B35" s="78"/>
      <x:c r="C35" s="78"/>
      <x:c r="D35" s="78"/>
      <x:c r="E35" s="78"/>
      <x:c r="F35" s="78"/>
      <x:c r="G35" s="78"/>
      <x:c r="H35" s="78"/>
      <x:c r="I35" s="78"/>
    </x:row>
    <x:row r="36">
      <x:c r="A36" s="78"/>
      <x:c r="B36" s="78"/>
      <x:c r="C36" s="78"/>
      <x:c r="D36" s="78"/>
      <x:c r="E36" s="78"/>
      <x:c r="F36" s="78"/>
      <x:c r="G36" s="78"/>
      <x:c r="H36" s="78"/>
      <x:c r="I36" s="78"/>
    </x:row>
    <x:row r="37">
      <x:c r="A37" s="78"/>
      <x:c r="B37" s="78"/>
      <x:c r="C37" s="78"/>
      <x:c r="D37" s="78"/>
      <x:c r="E37" s="78"/>
      <x:c r="F37" s="78"/>
      <x:c r="G37" s="78"/>
      <x:c r="H37" s="78"/>
      <x:c r="I37" s="78"/>
    </x:row>
    <x:row r="38">
      <x:c r="A38" s="78"/>
      <x:c r="B38" s="78"/>
      <x:c r="C38" s="78"/>
      <x:c r="D38" s="78"/>
      <x:c r="E38" s="78"/>
      <x:c r="F38" s="78"/>
      <x:c r="G38" s="78"/>
      <x:c r="H38" s="78"/>
      <x:c r="I38" s="78"/>
    </x:row>
    <x:row r="39">
      <x:c r="A39" s="78"/>
      <x:c r="B39" s="78"/>
      <x:c r="C39" s="78"/>
      <x:c r="D39" s="78"/>
      <x:c r="E39" s="78"/>
      <x:c r="F39" s="78"/>
      <x:c r="G39" s="78"/>
      <x:c r="H39" s="78"/>
      <x:c r="I39" s="78"/>
    </x:row>
    <x:row r="40">
      <x:c r="A40" s="78"/>
      <x:c r="B40" s="78"/>
      <x:c r="C40" s="78"/>
      <x:c r="D40" s="78"/>
      <x:c r="E40" s="78"/>
      <x:c r="F40" s="78"/>
      <x:c r="G40" s="78"/>
      <x:c r="H40" s="78"/>
      <x:c r="I40" s="78"/>
    </x:row>
    <x:row r="41">
      <x:c r="A41" s="78"/>
      <x:c r="B41" s="78"/>
      <x:c r="C41" s="78"/>
      <x:c r="D41" s="78"/>
      <x:c r="E41" s="78"/>
      <x:c r="F41" s="78"/>
      <x:c r="G41" s="78"/>
      <x:c r="H41" s="78"/>
      <x:c r="I41" s="78"/>
    </x:row>
    <x:row r="42">
      <x:c r="A42" s="78"/>
      <x:c r="B42" s="78"/>
      <x:c r="C42" s="78"/>
      <x:c r="D42" s="78"/>
      <x:c r="E42" s="78"/>
      <x:c r="F42" s="78"/>
      <x:c r="G42" s="78"/>
      <x:c r="H42" s="78"/>
      <x:c r="I42" s="78"/>
    </x:row>
    <x:row r="43">
      <x:c r="A43" s="78"/>
      <x:c r="B43" s="78"/>
      <x:c r="C43" s="78"/>
      <x:c r="D43" s="78"/>
      <x:c r="E43" s="78"/>
      <x:c r="F43" s="78"/>
      <x:c r="G43" s="78"/>
      <x:c r="H43" s="78"/>
      <x:c r="I43" s="78"/>
    </x:row>
    <x:row r="44">
      <x:c r="A44" s="78"/>
      <x:c r="B44" s="78"/>
      <x:c r="C44" s="78"/>
      <x:c r="D44" s="78"/>
      <x:c r="E44" s="78"/>
      <x:c r="F44" s="78"/>
      <x:c r="G44" s="78"/>
      <x:c r="H44" s="78"/>
      <x:c r="I44" s="78"/>
    </x:row>
    <x:row r="45">
      <x:c r="A45" s="78"/>
      <x:c r="B45" s="78"/>
      <x:c r="C45" s="78"/>
      <x:c r="D45" s="78"/>
      <x:c r="E45" s="78"/>
      <x:c r="F45" s="78"/>
      <x:c r="G45" s="78"/>
      <x:c r="H45" s="78"/>
      <x:c r="I45" s="78"/>
    </x:row>
    <x:row r="46">
      <x:c r="A46" s="78"/>
      <x:c r="B46" s="78"/>
      <x:c r="C46" s="78"/>
      <x:c r="D46" s="78"/>
      <x:c r="E46" s="78"/>
      <x:c r="F46" s="78"/>
      <x:c r="G46" s="78"/>
      <x:c r="H46" s="78"/>
      <x:c r="I46" s="78"/>
    </x:row>
    <x:row r="47">
      <x:c r="A47" s="78"/>
      <x:c r="B47" s="78"/>
      <x:c r="C47" s="78"/>
      <x:c r="D47" s="78"/>
      <x:c r="E47" s="78"/>
      <x:c r="F47" s="78"/>
      <x:c r="G47" s="78"/>
      <x:c r="H47" s="78"/>
      <x:c r="I47" s="78"/>
    </x:row>
    <x:row r="48">
      <x:c r="A48" s="78"/>
      <x:c r="B48" s="78"/>
      <x:c r="C48" s="78"/>
      <x:c r="D48" s="78"/>
      <x:c r="E48" s="78"/>
      <x:c r="F48" s="78"/>
      <x:c r="G48" s="78"/>
      <x:c r="H48" s="78"/>
      <x:c r="I48" s="78"/>
    </x:row>
    <x:row r="49">
      <x:c r="A49" s="78"/>
      <x:c r="B49" s="78"/>
      <x:c r="C49" s="78"/>
      <x:c r="D49" s="78"/>
      <x:c r="E49" s="78"/>
      <x:c r="F49" s="78"/>
      <x:c r="G49" s="78"/>
      <x:c r="H49" s="78"/>
      <x:c r="I49" s="78"/>
    </x:row>
    <x:row r="50">
      <x:c r="A50" s="78"/>
      <x:c r="B50" s="78"/>
      <x:c r="C50" s="78"/>
      <x:c r="D50" s="78"/>
      <x:c r="E50" s="78"/>
      <x:c r="F50" s="78"/>
      <x:c r="G50" s="78"/>
      <x:c r="H50" s="78"/>
      <x:c r="I50" s="78"/>
    </x:row>
    <x:row r="51">
      <x:c r="A51" s="78"/>
      <x:c r="B51" s="78"/>
      <x:c r="C51" s="78"/>
      <x:c r="D51" s="78"/>
      <x:c r="E51" s="78"/>
      <x:c r="F51" s="78"/>
      <x:c r="G51" s="78"/>
      <x:c r="H51" s="78"/>
      <x:c r="I51" s="78"/>
    </x:row>
    <x:row r="52">
      <x:c r="A52" s="78"/>
      <x:c r="B52" s="78"/>
      <x:c r="C52" s="78"/>
      <x:c r="D52" s="78"/>
      <x:c r="E52" s="78"/>
      <x:c r="F52" s="78"/>
      <x:c r="G52" s="78"/>
      <x:c r="H52" s="78"/>
      <x:c r="I52" s="78"/>
    </x:row>
    <x:row r="53">
      <x:c r="A53" s="78"/>
      <x:c r="B53" s="78"/>
      <x:c r="C53" s="78"/>
      <x:c r="D53" s="78"/>
      <x:c r="E53" s="78"/>
      <x:c r="F53" s="78"/>
      <x:c r="G53" s="78"/>
      <x:c r="H53" s="78"/>
      <x:c r="I53" s="78"/>
    </x:row>
    <x:row r="54">
      <x:c r="A54" s="78"/>
      <x:c r="B54" s="78"/>
      <x:c r="C54" s="78"/>
      <x:c r="D54" s="78"/>
      <x:c r="E54" s="78"/>
      <x:c r="F54" s="78"/>
      <x:c r="G54" s="78"/>
      <x:c r="H54" s="78"/>
      <x:c r="I54" s="78"/>
    </x:row>
    <x:row r="55">
      <x:c r="A55" s="78"/>
      <x:c r="B55" s="78"/>
      <x:c r="C55" s="78"/>
      <x:c r="D55" s="78"/>
      <x:c r="E55" s="78"/>
      <x:c r="F55" s="78"/>
      <x:c r="G55" s="78"/>
      <x:c r="H55" s="78"/>
      <x:c r="I55" s="78"/>
    </x:row>
    <x:row r="56">
      <x:c r="A56" s="78"/>
      <x:c r="B56" s="78"/>
      <x:c r="C56" s="78"/>
      <x:c r="D56" s="78"/>
      <x:c r="E56" s="78"/>
      <x:c r="F56" s="78"/>
      <x:c r="G56" s="78"/>
      <x:c r="H56" s="78"/>
      <x:c r="I56" s="78"/>
    </x:row>
    <x:row r="57">
      <x:c r="A57" s="78"/>
      <x:c r="B57" s="78"/>
      <x:c r="C57" s="78"/>
      <x:c r="D57" s="78"/>
      <x:c r="E57" s="78"/>
      <x:c r="F57" s="78"/>
      <x:c r="G57" s="78"/>
      <x:c r="H57" s="78"/>
      <x:c r="I57" s="78"/>
    </x:row>
    <x:row r="58">
      <x:c r="A58" s="78"/>
      <x:c r="B58" s="78"/>
      <x:c r="C58" s="78"/>
      <x:c r="D58" s="78"/>
      <x:c r="E58" s="78"/>
      <x:c r="F58" s="78"/>
      <x:c r="G58" s="78"/>
      <x:c r="H58" s="78"/>
      <x:c r="I58" s="78"/>
    </x:row>
    <x:row r="59">
      <x:c r="A59" s="78"/>
      <x:c r="B59" s="78"/>
      <x:c r="C59" s="78"/>
      <x:c r="D59" s="78"/>
      <x:c r="E59" s="78"/>
      <x:c r="F59" s="78"/>
      <x:c r="G59" s="78"/>
      <x:c r="H59" s="78"/>
      <x:c r="I59" s="78"/>
    </x:row>
    <x:row r="60">
      <x:c r="A60" s="78"/>
      <x:c r="B60" s="78"/>
      <x:c r="C60" s="78"/>
      <x:c r="D60" s="78"/>
      <x:c r="E60" s="78"/>
      <x:c r="F60" s="78"/>
      <x:c r="G60" s="78"/>
      <x:c r="H60" s="78"/>
      <x:c r="I60" s="78"/>
    </x:row>
    <x:row r="61">
      <x:c r="A61" s="78"/>
      <x:c r="B61" s="78"/>
      <x:c r="C61" s="78"/>
      <x:c r="D61" s="78"/>
      <x:c r="E61" s="78"/>
      <x:c r="F61" s="78"/>
      <x:c r="G61" s="78"/>
      <x:c r="H61" s="78"/>
      <x:c r="I61" s="78"/>
    </x:row>
    <x:row r="62">
      <x:c r="A62" s="78"/>
      <x:c r="B62" s="78"/>
      <x:c r="C62" s="78"/>
      <x:c r="D62" s="78"/>
      <x:c r="E62" s="78"/>
      <x:c r="F62" s="78"/>
      <x:c r="G62" s="78"/>
      <x:c r="H62" s="78"/>
      <x:c r="I62" s="78"/>
    </x:row>
    <x:row r="63">
      <x:c r="A63" s="78"/>
      <x:c r="B63" s="78"/>
      <x:c r="C63" s="78"/>
      <x:c r="D63" s="78"/>
      <x:c r="E63" s="78"/>
      <x:c r="F63" s="78"/>
      <x:c r="G63" s="78"/>
      <x:c r="H63" s="78"/>
      <x:c r="I63" s="78"/>
    </x:row>
    <x:row r="64">
      <x:c r="A64" s="78"/>
      <x:c r="B64" s="78"/>
      <x:c r="C64" s="78"/>
      <x:c r="D64" s="78"/>
      <x:c r="E64" s="78"/>
      <x:c r="F64" s="78"/>
      <x:c r="G64" s="78"/>
      <x:c r="H64" s="78"/>
      <x:c r="I64" s="78"/>
    </x:row>
    <x:row r="65">
      <x:c r="A65" s="78"/>
      <x:c r="B65" s="78"/>
      <x:c r="C65" s="78"/>
      <x:c r="D65" s="78"/>
      <x:c r="E65" s="78"/>
      <x:c r="F65" s="78"/>
      <x:c r="G65" s="78"/>
      <x:c r="H65" s="78"/>
      <x:c r="I65" s="78"/>
    </x:row>
    <x:row r="66">
      <x:c r="A66" s="78"/>
      <x:c r="B66" s="78"/>
      <x:c r="C66" s="78"/>
      <x:c r="D66" s="78"/>
      <x:c r="E66" s="78"/>
      <x:c r="F66" s="78"/>
      <x:c r="G66" s="78"/>
      <x:c r="H66" s="78"/>
      <x:c r="I66" s="78"/>
    </x:row>
    <x:row r="67">
      <x:c r="A67" s="78"/>
      <x:c r="B67" s="78"/>
      <x:c r="C67" s="78"/>
      <x:c r="D67" s="78"/>
      <x:c r="E67" s="78"/>
      <x:c r="F67" s="78"/>
      <x:c r="G67" s="78"/>
      <x:c r="H67" s="78"/>
      <x:c r="I67" s="78"/>
    </x:row>
    <x:row r="68">
      <x:c r="A68" s="78"/>
      <x:c r="B68" s="78"/>
      <x:c r="C68" s="78"/>
      <x:c r="D68" s="78"/>
      <x:c r="E68" s="78"/>
      <x:c r="F68" s="78"/>
      <x:c r="G68" s="78"/>
      <x:c r="H68" s="78"/>
      <x:c r="I68" s="78"/>
    </x:row>
    <x:row r="69">
      <x:c r="A69" s="78"/>
      <x:c r="B69" s="78"/>
      <x:c r="C69" s="78"/>
      <x:c r="D69" s="78"/>
      <x:c r="E69" s="78"/>
      <x:c r="F69" s="78"/>
      <x:c r="G69" s="78"/>
      <x:c r="H69" s="78"/>
      <x:c r="I69" s="78"/>
    </x:row>
    <x:row r="70">
      <x:c r="A70" s="78"/>
      <x:c r="B70" s="78"/>
      <x:c r="C70" s="78"/>
      <x:c r="D70" s="78"/>
      <x:c r="E70" s="78"/>
      <x:c r="F70" s="78"/>
      <x:c r="G70" s="78"/>
      <x:c r="H70" s="78"/>
      <x:c r="I70" s="78"/>
    </x:row>
    <x:row r="71">
      <x:c r="A71" s="78"/>
      <x:c r="B71" s="78"/>
      <x:c r="C71" s="78"/>
      <x:c r="D71" s="78"/>
      <x:c r="E71" s="78"/>
      <x:c r="F71" s="78"/>
      <x:c r="G71" s="78"/>
      <x:c r="H71" s="78"/>
      <x:c r="I71" s="78"/>
    </x:row>
    <x:row r="72">
      <x:c r="A72" s="78"/>
      <x:c r="B72" s="78"/>
      <x:c r="C72" s="78"/>
      <x:c r="D72" s="78"/>
      <x:c r="E72" s="78"/>
      <x:c r="F72" s="78"/>
      <x:c r="G72" s="78"/>
      <x:c r="H72" s="78"/>
      <x:c r="I72" s="78"/>
    </x:row>
    <x:row r="73">
      <x:c r="A73" s="78"/>
      <x:c r="B73" s="78"/>
      <x:c r="C73" s="78"/>
      <x:c r="D73" s="78"/>
      <x:c r="E73" s="78"/>
      <x:c r="F73" s="78"/>
      <x:c r="G73" s="78"/>
      <x:c r="H73" s="78"/>
      <x:c r="I73" s="78"/>
    </x:row>
    <x:row r="74">
      <x:c r="A74" s="78"/>
      <x:c r="B74" s="78"/>
      <x:c r="C74" s="78"/>
      <x:c r="D74" s="78"/>
      <x:c r="E74" s="78"/>
      <x:c r="F74" s="78"/>
      <x:c r="G74" s="78"/>
      <x:c r="H74" s="78"/>
      <x:c r="I74" s="78"/>
    </x:row>
    <x:row r="75">
      <x:c r="A75" s="78"/>
      <x:c r="B75" s="78"/>
      <x:c r="C75" s="78"/>
      <x:c r="D75" s="78"/>
      <x:c r="E75" s="78"/>
      <x:c r="F75" s="78"/>
      <x:c r="G75" s="78"/>
      <x:c r="H75" s="78"/>
      <x:c r="I75" s="78"/>
    </x:row>
    <x:row r="76">
      <x:c r="A76" s="78"/>
      <x:c r="B76" s="78"/>
      <x:c r="C76" s="78"/>
      <x:c r="D76" s="78"/>
      <x:c r="E76" s="78"/>
      <x:c r="F76" s="78"/>
      <x:c r="G76" s="78"/>
      <x:c r="H76" s="78"/>
      <x:c r="I76" s="78"/>
    </x:row>
    <x:row r="77">
      <x:c r="A77" s="78"/>
      <x:c r="B77" s="78"/>
      <x:c r="C77" s="78"/>
      <x:c r="D77" s="78"/>
      <x:c r="E77" s="78"/>
      <x:c r="F77" s="78"/>
      <x:c r="G77" s="78"/>
      <x:c r="H77" s="78"/>
      <x:c r="I77" s="78"/>
    </x:row>
    <x:row r="78">
      <x:c r="A78" s="78"/>
      <x:c r="B78" s="78"/>
      <x:c r="C78" s="78"/>
      <x:c r="D78" s="78"/>
      <x:c r="E78" s="78"/>
      <x:c r="F78" s="78"/>
      <x:c r="G78" s="78"/>
      <x:c r="H78" s="78"/>
      <x:c r="I78" s="78"/>
    </x:row>
    <x:row r="79">
      <x:c r="A79" s="78"/>
      <x:c r="B79" s="78"/>
      <x:c r="C79" s="78"/>
      <x:c r="D79" s="78"/>
      <x:c r="E79" s="78"/>
      <x:c r="F79" s="78"/>
      <x:c r="G79" s="78"/>
      <x:c r="H79" s="78"/>
      <x:c r="I79" s="78"/>
    </x:row>
    <x:row r="80">
      <x:c r="A80" s="78"/>
      <x:c r="B80" s="78"/>
      <x:c r="C80" s="78"/>
      <x:c r="D80" s="78"/>
      <x:c r="E80" s="78"/>
      <x:c r="F80" s="78"/>
      <x:c r="G80" s="78"/>
      <x:c r="H80" s="78"/>
      <x:c r="I80" s="78"/>
    </x:row>
    <x:row r="81">
      <x:c r="A81" s="78"/>
      <x:c r="B81" s="78"/>
      <x:c r="C81" s="78"/>
      <x:c r="D81" s="78"/>
      <x:c r="E81" s="78"/>
      <x:c r="F81" s="78"/>
      <x:c r="G81" s="78"/>
      <x:c r="H81" s="78"/>
      <x:c r="I81" s="78"/>
    </x:row>
    <x:row r="82">
      <x:c r="A82" s="78"/>
      <x:c r="B82" s="78"/>
      <x:c r="C82" s="78"/>
      <x:c r="D82" s="78"/>
      <x:c r="E82" s="78"/>
      <x:c r="F82" s="78"/>
      <x:c r="G82" s="78"/>
      <x:c r="H82" s="78"/>
      <x:c r="I82" s="78"/>
    </x:row>
    <x:row r="83">
      <x:c r="A83" s="78"/>
      <x:c r="B83" s="78"/>
      <x:c r="C83" s="78"/>
      <x:c r="D83" s="78"/>
      <x:c r="E83" s="78"/>
      <x:c r="F83" s="78"/>
      <x:c r="G83" s="78"/>
      <x:c r="H83" s="78"/>
      <x:c r="I83" s="78"/>
    </x:row>
    <x:row r="84">
      <x:c r="A84" s="78"/>
      <x:c r="B84" s="78"/>
      <x:c r="C84" s="78"/>
      <x:c r="D84" s="78"/>
      <x:c r="E84" s="78"/>
      <x:c r="F84" s="78"/>
      <x:c r="G84" s="78"/>
      <x:c r="H84" s="78"/>
      <x:c r="I84" s="78"/>
    </x:row>
    <x:row r="85">
      <x:c r="A85" s="78"/>
      <x:c r="B85" s="78"/>
      <x:c r="C85" s="78"/>
      <x:c r="D85" s="78"/>
      <x:c r="E85" s="78"/>
      <x:c r="F85" s="78"/>
      <x:c r="G85" s="78"/>
      <x:c r="H85" s="78"/>
      <x:c r="I85" s="78"/>
    </x:row>
    <x:row r="86">
      <x:c r="A86" s="78"/>
      <x:c r="B86" s="78"/>
      <x:c r="C86" s="78"/>
      <x:c r="D86" s="78"/>
      <x:c r="E86" s="78"/>
      <x:c r="F86" s="78"/>
      <x:c r="G86" s="78"/>
      <x:c r="H86" s="78"/>
      <x:c r="I86" s="78"/>
    </x:row>
    <x:row r="87">
      <x:c r="A87" s="78"/>
      <x:c r="B87" s="78"/>
      <x:c r="C87" s="78"/>
      <x:c r="D87" s="78"/>
      <x:c r="E87" s="78"/>
      <x:c r="F87" s="78"/>
      <x:c r="G87" s="78"/>
      <x:c r="H87" s="78"/>
      <x:c r="I87" s="78"/>
    </x:row>
    <x:row r="88">
      <x:c r="A88" s="78"/>
      <x:c r="B88" s="78"/>
      <x:c r="C88" s="78"/>
      <x:c r="D88" s="78"/>
      <x:c r="E88" s="78"/>
      <x:c r="F88" s="78"/>
      <x:c r="G88" s="78"/>
      <x:c r="H88" s="78"/>
      <x:c r="I88" s="78"/>
    </x:row>
    <x:row r="89">
      <x:c r="A89" s="78"/>
      <x:c r="B89" s="78"/>
      <x:c r="C89" s="78"/>
      <x:c r="D89" s="78"/>
      <x:c r="E89" s="78"/>
      <x:c r="F89" s="78"/>
      <x:c r="G89" s="78"/>
      <x:c r="H89" s="78"/>
      <x:c r="I89" s="78"/>
    </x:row>
    <x:row r="90">
      <x:c r="A90" s="78"/>
      <x:c r="B90" s="78"/>
      <x:c r="C90" s="78"/>
      <x:c r="D90" s="78"/>
      <x:c r="E90" s="78"/>
      <x:c r="F90" s="78"/>
      <x:c r="G90" s="78"/>
      <x:c r="H90" s="78"/>
      <x:c r="I90" s="78"/>
    </x:row>
    <x:row r="91">
      <x:c r="A91" s="78"/>
      <x:c r="B91" s="78"/>
      <x:c r="C91" s="78"/>
      <x:c r="D91" s="78"/>
      <x:c r="E91" s="78"/>
      <x:c r="F91" s="78"/>
      <x:c r="G91" s="78"/>
      <x:c r="H91" s="78"/>
      <x:c r="I91" s="78"/>
    </x:row>
    <x:row r="92">
      <x:c r="A92" s="78"/>
      <x:c r="B92" s="78"/>
      <x:c r="C92" s="78"/>
      <x:c r="D92" s="78"/>
      <x:c r="E92" s="78"/>
      <x:c r="F92" s="78"/>
      <x:c r="G92" s="78"/>
      <x:c r="H92" s="78"/>
      <x:c r="I92" s="78"/>
    </x:row>
    <x:row r="93">
      <x:c r="A93" s="78"/>
      <x:c r="B93" s="78"/>
      <x:c r="C93" s="78"/>
      <x:c r="D93" s="78"/>
      <x:c r="E93" s="78"/>
      <x:c r="F93" s="78"/>
      <x:c r="G93" s="78"/>
      <x:c r="H93" s="78"/>
      <x:c r="I93" s="78"/>
    </x:row>
    <x:row r="94">
      <x:c r="A94" s="78"/>
      <x:c r="B94" s="78"/>
      <x:c r="C94" s="78"/>
      <x:c r="D94" s="78"/>
      <x:c r="E94" s="78"/>
      <x:c r="F94" s="78"/>
      <x:c r="G94" s="78"/>
      <x:c r="H94" s="78"/>
      <x:c r="I94" s="78"/>
    </x:row>
    <x:row r="95">
      <x:c r="A95" s="78"/>
      <x:c r="B95" s="78"/>
      <x:c r="C95" s="78"/>
      <x:c r="D95" s="78"/>
      <x:c r="E95" s="78"/>
      <x:c r="F95" s="78"/>
      <x:c r="G95" s="78"/>
      <x:c r="H95" s="78"/>
      <x:c r="I95" s="78"/>
    </x:row>
    <x:row r="96">
      <x:c r="A96" s="78"/>
      <x:c r="B96" s="78"/>
      <x:c r="C96" s="78"/>
      <x:c r="D96" s="78"/>
      <x:c r="E96" s="78"/>
      <x:c r="F96" s="78"/>
      <x:c r="G96" s="78"/>
      <x:c r="H96" s="78"/>
      <x:c r="I96" s="78"/>
    </x:row>
    <x:row r="97">
      <x:c r="A97" s="78"/>
      <x:c r="B97" s="78"/>
      <x:c r="C97" s="78"/>
      <x:c r="D97" s="78"/>
      <x:c r="E97" s="78"/>
      <x:c r="F97" s="78"/>
      <x:c r="G97" s="78"/>
      <x:c r="H97" s="78"/>
      <x:c r="I97" s="78"/>
    </x:row>
    <x:row r="98">
      <x:c r="A98" s="78"/>
      <x:c r="B98" s="78"/>
      <x:c r="C98" s="78"/>
      <x:c r="D98" s="78"/>
      <x:c r="E98" s="78"/>
      <x:c r="F98" s="78"/>
      <x:c r="G98" s="78"/>
      <x:c r="H98" s="78"/>
      <x:c r="I98" s="78"/>
    </x:row>
    <x:row r="99">
      <x:c r="A99" s="78"/>
      <x:c r="B99" s="78"/>
      <x:c r="C99" s="78"/>
      <x:c r="D99" s="78"/>
      <x:c r="E99" s="78"/>
      <x:c r="F99" s="78"/>
      <x:c r="G99" s="78"/>
      <x:c r="H99" s="78"/>
      <x:c r="I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  <x:c r="I100" s="78"/>
    </x:row>
  </x:sheetData>
  <x:mergeCells>
    <x:mergeCell ref="A1:I1"/>
    <x:mergeCell ref="A2:I2"/>
  </x:mergeCells>
  <x:dataValidations count="2">
    <x:dataValidation type="list" sqref="F5:F100">
      <x:formula1>"Next,High,Medium,Low"</x:formula1>
    </x:dataValidation>
    <x:dataValidation type="list" sqref="I5:I100">
      <x:formula1>"Deferred,Candidate,Approved,In Progress,Complete"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4.25"/>
  <x:cols>
    <x:col min="1" max="1" width="18" customWidth="1"/>
    <x:col min="2" max="2" width="42" customWidth="1"/>
    <x:col min="3" max="3" width="18" customWidth="1"/>
    <x:col min="4" max="4" width="36" customWidth="1"/>
    <x:col min="5" max="5" width="18" customWidth="1"/>
    <x:col min="6" max="6" width="28" customWidth="1"/>
    <x:col min="7" max="7" width="18" customWidth="1"/>
    <x:col min="8" max="8" width="22" customWidth="1"/>
  </x:cols>
  <x:sheetData>
    <x:row r="1" ht="27.950000762939453" customHeight="1">
      <x:c r="A1" s="234" t="s">
        <x:v>899</x:v>
      </x:c>
      <x:c r="B1" s="235"/>
      <x:c r="C1" s="235"/>
      <x:c r="D1" s="235"/>
      <x:c r="E1" s="235"/>
      <x:c r="F1" s="235"/>
      <x:c r="G1" s="235"/>
      <x:c r="H1" s="235"/>
    </x:row>
    <x:row r="2" ht="32.099998474121094" customHeight="1">
      <x:c r="A2" s="244" t="s">
        <x:v>900</x:v>
      </x:c>
      <x:c r="B2" s="244"/>
      <x:c r="C2" s="244"/>
      <x:c r="D2" s="244"/>
      <x:c r="E2" s="244"/>
      <x:c r="F2" s="244"/>
      <x:c r="G2" s="244"/>
      <x:c r="H2" s="244"/>
    </x:row>
    <x:row r="4" ht="15.75">
      <x:c r="A4" s="237" t="s">
        <x:v>901</x:v>
      </x:c>
      <x:c r="B4" s="235"/>
      <x:c r="C4" s="235"/>
      <x:c r="D4" s="235"/>
      <x:c r="E4" s="235"/>
      <x:c r="F4" s="235"/>
      <x:c r="G4" s="235"/>
      <x:c r="H4" s="235"/>
    </x:row>
    <x:row r="5" ht="42" customHeight="1">
      <x:c r="A5" s="449" t="s">
        <x:v>902</x:v>
      </x:c>
      <x:c r="B5" s="447" t="str">
        <x:v>2026-07-05</x:v>
      </x:c>
      <x:c r="C5" s="449" t="s">
        <x:v>782</x:v>
      </x:c>
      <x:c r="D5" s="447" t="s">
        <x:v>107</x:v>
      </x:c>
      <x:c r="E5" s="449" t="s">
        <x:v>11</x:v>
      </x:c>
      <x:c r="F5" s="447" t="s">
        <x:v>903</x:v>
      </x:c>
      <x:c r="G5" s="449" t="s">
        <x:v>904</x:v>
      </x:c>
      <x:c r="H5" s="447" t="s">
        <x:v>905</x:v>
      </x:c>
    </x:row>
    <x:row r="6" ht="58" customHeight="1">
      <x:c r="A6" s="449" t="s">
        <x:v>906</x:v>
      </x:c>
      <x:c r="B6" s="447" t="str">
        <x:v>main @ 05c025b</x:v>
      </x:c>
      <x:c r="C6" s="449" t="s">
        <x:v>907</x:v>
      </x:c>
      <x:c r="D6" s="447" t="str">
        <x:v>38 passing</x:v>
      </x:c>
      <x:c r="E6" s="449" t="s">
        <x:v>908</x:v>
      </x:c>
      <x:c r="F6" s="447" t="s">
        <x:v>909</x:v>
      </x:c>
      <x:c r="G6" s="449" t="s">
        <x:v>910</x:v>
      </x:c>
      <x:c r="H6" s="447" t="str">
        <x:v>Seven merged PR capabilities; latest mandatory gate engine</x:v>
      </x:c>
    </x:row>
    <x:row r="7" ht="58" customHeight="1">
      <x:c r="A7" s="449" t="s">
        <x:v>911</x:v>
      </x:c>
      <x:c r="B7" s="447" t="str">
        <x:v>Candidate artifact contract/loader plus mandatory ordered gate execution with structured failure evidence.</x:v>
      </x:c>
      <x:c r="C7" s="449" t="s">
        <x:v>912</x:v>
      </x:c>
      <x:c r="D7" s="447" t="str">
        <x:v>Deterministic checks, numeric tolerances, weighted scoring, result records, benchmark, CI, and demo.</x:v>
      </x:c>
      <x:c r="E7" s="449" t="s">
        <x:v>28</x:v>
      </x:c>
      <x:c r="F7" s="447" t="str">
        <x:v>1.3</x:v>
      </x:c>
      <x:c r="G7" s="449" t="s">
        <x:v>913</x:v>
      </x:c>
      <x:c r="H7" s="447" t="str">
        <x:v>1.4</x:v>
      </x:c>
    </x:row>
    <x:row r="8" ht="58" customHeight="1">
      <x:c r="A8" s="449" t="s">
        <x:v>914</x:v>
      </x:c>
      <x:c r="B8" s="447" t="str">
        <x:v>Create feature/deterministic-check-engine; inspect evaluator check usage; implement CheckResult and dispatcher for exact_match, boolean_equals, set_equals, and contains_all.</x:v>
      </x:c>
      <x:c r="C8" s="449" t="s">
        <x:v>915</x:v>
      </x:c>
      <x:c r="D8" s="447" t="s">
        <x:v>916</x:v>
      </x:c>
      <x:c r="E8" s="449" t="s">
        <x:v>917</x:v>
      </x:c>
      <x:c r="F8" s="447" t="s">
        <x:v>918</x:v>
      </x:c>
      <x:c r="G8" s="449" t="s">
        <x:v>919</x:v>
      </x:c>
      <x:c r="H8" s="447" t="s">
        <x:v>920</x:v>
      </x:c>
    </x:row>
    <x:row r="9" ht="48" customHeight="1">
      <x:c r="A9" s="450" t="s">
        <x:v>921</x:v>
      </x:c>
      <x:c r="B9" s="451" t="s">
        <x:v>922</x:v>
      </x:c>
      <x:c r="C9" s="450" t="s">
        <x:v>923</x:v>
      </x:c>
      <x:c r="D9" s="451" t="s">
        <x:v>924</x:v>
      </x:c>
      <x:c r="E9" s="450" t="s">
        <x:v>925</x:v>
      </x:c>
      <x:c r="F9" s="451" t="s">
        <x:v>926</x:v>
      </x:c>
      <x:c r="G9" s="450" t="s">
        <x:v>927</x:v>
      </x:c>
      <x:c r="H9" s="451" t="s">
        <x:v>928</x:v>
      </x:c>
    </x:row>
    <x:row r="10" ht="15.75">
      <x:c r="A10" s="237" t="s">
        <x:v>929</x:v>
      </x:c>
      <x:c r="B10" s="235"/>
      <x:c r="D10" s="237" t="s">
        <x:v>930</x:v>
      </x:c>
      <x:c r="E10" s="235"/>
      <x:c r="F10" s="235"/>
      <x:c r="G10" s="235"/>
      <x:c r="H10" s="235"/>
    </x:row>
    <x:row r="11" ht="30" customHeight="1">
      <x:c r="A11" s="157" t="s">
        <x:v>6</x:v>
      </x:c>
      <x:c r="B11" s="78" t="s">
        <x:v>931</x:v>
      </x:c>
      <x:c r="D11" s="157" t="s">
        <x:v>6</x:v>
      </x:c>
      <x:c r="E11" s="78" t="s">
        <x:v>932</x:v>
      </x:c>
    </x:row>
    <x:row r="12" ht="30" customHeight="1">
      <x:c r="A12" s="157" t="s">
        <x:v>9</x:v>
      </x:c>
      <x:c r="B12" s="78" t="s">
        <x:v>933</x:v>
      </x:c>
      <x:c r="D12" s="157" t="s">
        <x:v>9</x:v>
      </x:c>
      <x:c r="E12" s="78" t="s">
        <x:v>934</x:v>
      </x:c>
    </x:row>
    <x:row r="13" ht="30" customHeight="1">
      <x:c r="A13" s="157" t="s">
        <x:v>12</x:v>
      </x:c>
      <x:c r="B13" s="78" t="s">
        <x:v>935</x:v>
      </x:c>
      <x:c r="D13" s="157" t="s">
        <x:v>12</x:v>
      </x:c>
      <x:c r="E13" s="78" t="s">
        <x:v>936</x:v>
      </x:c>
    </x:row>
    <x:row r="14" ht="30" customHeight="1">
      <x:c r="A14" s="157" t="s">
        <x:v>16</x:v>
      </x:c>
      <x:c r="B14" s="78" t="s">
        <x:v>937</x:v>
      </x:c>
      <x:c r="D14" s="157" t="s">
        <x:v>16</x:v>
      </x:c>
      <x:c r="E14" s="78" t="s">
        <x:v>938</x:v>
      </x:c>
    </x:row>
    <x:row r="15" ht="30" customHeight="1">
      <x:c r="A15" s="157" t="s">
        <x:v>19</x:v>
      </x:c>
      <x:c r="B15" s="78" t="s">
        <x:v>939</x:v>
      </x:c>
      <x:c r="D15" s="157" t="s">
        <x:v>19</x:v>
      </x:c>
      <x:c r="E15" s="78" t="s">
        <x:v>940</x:v>
      </x:c>
    </x:row>
    <x:row r="17" ht="15.75">
      <x:c r="A17" s="237" t="s">
        <x:v>941</x:v>
      </x:c>
      <x:c r="B17" s="235"/>
      <x:c r="D17" s="237" t="s">
        <x:v>942</x:v>
      </x:c>
      <x:c r="E17" s="235"/>
      <x:c r="F17" s="235"/>
      <x:c r="G17" s="235"/>
      <x:c r="H17" s="235"/>
    </x:row>
    <x:row r="18" ht="27.950000762939453" customHeight="1">
      <x:c r="A18" s="157" t="s">
        <x:v>943</x:v>
      </x:c>
      <x:c r="B18" s="78" t="s">
        <x:v>944</x:v>
      </x:c>
      <x:c r="D18" s="157" t="s">
        <x:v>6</x:v>
      </x:c>
      <x:c r="E18" s="78" t="s">
        <x:v>945</x:v>
      </x:c>
    </x:row>
    <x:row r="19" ht="27.950000762939453" customHeight="1">
      <x:c r="A19" s="157" t="s">
        <x:v>946</x:v>
      </x:c>
      <x:c r="B19" s="78" t="s">
        <x:v>947</x:v>
      </x:c>
      <x:c r="D19" s="157" t="s">
        <x:v>9</x:v>
      </x:c>
      <x:c r="E19" s="78" t="s">
        <x:v>948</x:v>
      </x:c>
    </x:row>
    <x:row r="20" ht="27.950000762939453" customHeight="1">
      <x:c r="A20" s="157" t="s">
        <x:v>742</x:v>
      </x:c>
      <x:c r="B20" s="78" t="s">
        <x:v>949</x:v>
      </x:c>
      <x:c r="D20" s="157" t="s">
        <x:v>12</x:v>
      </x:c>
      <x:c r="E20" s="78" t="s">
        <x:v>950</x:v>
      </x:c>
    </x:row>
    <x:row r="21" ht="27.950000762939453" customHeight="1">
      <x:c r="A21" s="157" t="s">
        <x:v>951</x:v>
      </x:c>
      <x:c r="B21" s="78" t="s">
        <x:v>952</x:v>
      </x:c>
      <x:c r="D21" s="157" t="s">
        <x:v>16</x:v>
      </x:c>
      <x:c r="E21" s="78" t="s">
        <x:v>953</x:v>
      </x:c>
    </x:row>
    <x:row r="22" ht="27.950000762939453" customHeight="1">
      <x:c r="A22" s="157" t="s">
        <x:v>954</x:v>
      </x:c>
      <x:c r="B22" s="78" t="s">
        <x:v>955</x:v>
      </x:c>
      <x:c r="D22" s="157" t="s">
        <x:v>19</x:v>
      </x:c>
      <x:c r="E22" s="78" t="s">
        <x:v>956</x:v>
      </x:c>
    </x:row>
    <x:row r="23" ht="27.950000762939453" customHeight="1">
      <x:c r="A23" s="157" t="s">
        <x:v>957</x:v>
      </x:c>
      <x:c r="B23" s="78" t="s">
        <x:v>958</x:v>
      </x:c>
      <x:c r="D23" s="157" t="s">
        <x:v>22</x:v>
      </x:c>
      <x:c r="E23" s="78" t="s">
        <x:v>959</x:v>
      </x:c>
    </x:row>
    <x:row r="24" ht="27.950000762939453" customHeight="1">
      <x:c r="A24" s="157" t="s">
        <x:v>960</x:v>
      </x:c>
      <x:c r="B24" s="78" t="s">
        <x:v>961</x:v>
      </x:c>
      <x:c r="D24" s="157" t="s">
        <x:v>25</x:v>
      </x:c>
      <x:c r="E24" s="78" t="s">
        <x:v>962</x:v>
      </x:c>
    </x:row>
    <x:row r="25" ht="27.950000762939453" customHeight="1">
      <x:c r="A25" s="157" t="s">
        <x:v>963</x:v>
      </x:c>
      <x:c r="B25" s="78" t="s">
        <x:v>964</x:v>
      </x:c>
      <x:c r="D25" s="157" t="s">
        <x:v>53</x:v>
      </x:c>
      <x:c r="E25" s="78" t="s">
        <x:v>965</x:v>
      </x:c>
    </x:row>
    <x:row r="27" ht="15.75">
      <x:c r="A27" s="237" t="s">
        <x:v>966</x:v>
      </x:c>
      <x:c r="B27" s="235"/>
      <x:c r="C27" s="235"/>
      <x:c r="D27" s="235"/>
      <x:c r="E27" s="235"/>
      <x:c r="F27" s="235"/>
      <x:c r="G27" s="235"/>
      <x:c r="H27" s="235"/>
    </x:row>
    <x:row r="28" ht="38.099998474121094" customHeight="1">
      <x:c r="A28" s="156" t="s">
        <x:v>288</x:v>
      </x:c>
      <x:c r="B28" s="78" t="s">
        <x:v>967</x:v>
      </x:c>
      <x:c r="C28" s="156" t="s">
        <x:v>968</x:v>
      </x:c>
      <x:c r="D28" s="78" t="s">
        <x:v>969</x:v>
      </x:c>
      <x:c r="E28" s="156" t="s">
        <x:v>970</x:v>
      </x:c>
      <x:c r="F28" s="78" t="s">
        <x:v>971</x:v>
      </x:c>
      <x:c r="G28" s="156" t="s">
        <x:v>691</x:v>
      </x:c>
      <x:c r="H28" s="78" t="s">
        <x:v>698</x:v>
      </x:c>
    </x:row>
    <x:row r="29" ht="38.099998474121094" customHeight="1">
      <x:c r="A29" s="156" t="s">
        <x:v>288</x:v>
      </x:c>
      <x:c r="B29" s="78" t="s">
        <x:v>972</x:v>
      </x:c>
      <x:c r="C29" s="156" t="s">
        <x:v>968</x:v>
      </x:c>
      <x:c r="D29" s="78" t="s">
        <x:v>973</x:v>
      </x:c>
      <x:c r="E29" s="156" t="s">
        <x:v>970</x:v>
      </x:c>
      <x:c r="F29" s="78" t="s">
        <x:v>974</x:v>
      </x:c>
      <x:c r="G29" s="156" t="s">
        <x:v>691</x:v>
      </x:c>
      <x:c r="H29" s="78" t="s">
        <x:v>698</x:v>
      </x:c>
    </x:row>
    <x:row r="30" ht="38.099998474121094" customHeight="1">
      <x:c r="A30" s="156" t="s">
        <x:v>288</x:v>
      </x:c>
      <x:c r="B30" s="78" t="s">
        <x:v>975</x:v>
      </x:c>
      <x:c r="C30" s="156" t="s">
        <x:v>968</x:v>
      </x:c>
      <x:c r="D30" s="78" t="s">
        <x:v>976</x:v>
      </x:c>
      <x:c r="E30" s="156" t="s">
        <x:v>970</x:v>
      </x:c>
      <x:c r="F30" s="78" t="s">
        <x:v>977</x:v>
      </x:c>
      <x:c r="G30" s="156" t="s">
        <x:v>691</x:v>
      </x:c>
      <x:c r="H30" s="78" t="s">
        <x:v>698</x:v>
      </x:c>
    </x:row>
    <x:row r="31" ht="38.099998474121094" customHeight="1">
      <x:c r="A31" s="156" t="s">
        <x:v>288</x:v>
      </x:c>
      <x:c r="B31" s="78" t="s">
        <x:v>978</x:v>
      </x:c>
      <x:c r="C31" s="156" t="s">
        <x:v>968</x:v>
      </x:c>
      <x:c r="D31" s="78" t="s">
        <x:v>979</x:v>
      </x:c>
      <x:c r="E31" s="156" t="s">
        <x:v>970</x:v>
      </x:c>
      <x:c r="F31" s="78" t="s">
        <x:v>980</x:v>
      </x:c>
      <x:c r="G31" s="156" t="s">
        <x:v>691</x:v>
      </x:c>
      <x:c r="H31" s="78" t="s">
        <x:v>698</x:v>
      </x:c>
    </x:row>
    <x:row r="32" ht="38.099998474121094" customHeight="1">
      <x:c r="A32" s="156" t="s">
        <x:v>981</x:v>
      </x:c>
      <x:c r="B32" s="78" t="s">
        <x:v>982</x:v>
      </x:c>
      <x:c r="C32" s="156" t="s">
        <x:v>695</x:v>
      </x:c>
      <x:c r="D32" s="78" t="s">
        <x:v>983</x:v>
      </x:c>
      <x:c r="E32" s="156" t="s">
        <x:v>970</x:v>
      </x:c>
      <x:c r="F32" s="78" t="s">
        <x:v>984</x:v>
      </x:c>
      <x:c r="G32" s="156" t="s">
        <x:v>691</x:v>
      </x:c>
      <x:c r="H32" s="78" t="s">
        <x:v>698</x:v>
      </x:c>
    </x:row>
    <x:row r="34" ht="15">
      <x:c r="A34" s="238" t="s">
        <x:v>985</x:v>
      </x:c>
      <x:c r="B34" s="238"/>
      <x:c r="C34" s="238"/>
      <x:c r="D34" s="238"/>
      <x:c r="E34" s="238"/>
      <x:c r="F34" s="238"/>
      <x:c r="G34" s="238"/>
      <x:c r="H34" s="238"/>
    </x:row>
    <x:row r="35" ht="42" customHeight="1">
      <x:c r="A35" s="239" t="s">
        <x:v>986</x:v>
      </x:c>
      <x:c r="B35" s="240"/>
      <x:c r="C35" s="241" t="s">
        <x:v>987</x:v>
      </x:c>
      <x:c r="D35" s="242"/>
      <x:c r="E35" s="242"/>
      <x:c r="F35" s="242"/>
      <x:c r="G35" s="242"/>
      <x:c r="H35" s="243"/>
    </x:row>
    <x:row r="36" ht="42" customHeight="1">
      <x:c r="A36" s="239" t="s">
        <x:v>988</x:v>
      </x:c>
      <x:c r="B36" s="240"/>
      <x:c r="C36" s="241" t="s">
        <x:v>989</x:v>
      </x:c>
      <x:c r="D36" s="242"/>
      <x:c r="E36" s="242"/>
      <x:c r="F36" s="242"/>
      <x:c r="G36" s="242"/>
      <x:c r="H36" s="243"/>
    </x:row>
    <x:row r="37" ht="42" customHeight="1">
      <x:c r="A37" s="239" t="s">
        <x:v>990</x:v>
      </x:c>
      <x:c r="B37" s="240"/>
      <x:c r="C37" s="241" t="s">
        <x:v>991</x:v>
      </x:c>
      <x:c r="D37" s="242"/>
      <x:c r="E37" s="242"/>
      <x:c r="F37" s="242"/>
      <x:c r="G37" s="242"/>
      <x:c r="H37" s="243"/>
    </x:row>
    <x:row r="38" ht="42" customHeight="1">
      <x:c r="A38" s="239" t="s">
        <x:v>992</x:v>
      </x:c>
      <x:c r="B38" s="240"/>
      <x:c r="C38" s="241" t="s">
        <x:v>993</x:v>
      </x:c>
      <x:c r="D38" s="242"/>
      <x:c r="E38" s="242"/>
      <x:c r="F38" s="242"/>
      <x:c r="G38" s="242"/>
      <x:c r="H38" s="243"/>
    </x:row>
    <x:row r="39" ht="42" customHeight="1">
      <x:c r="A39" s="239" t="s">
        <x:v>994</x:v>
      </x:c>
      <x:c r="B39" s="240"/>
      <x:c r="C39" s="241" t="s">
        <x:v>995</x:v>
      </x:c>
      <x:c r="D39" s="242"/>
      <x:c r="E39" s="242"/>
      <x:c r="F39" s="242"/>
      <x:c r="G39" s="242"/>
      <x:c r="H39" s="243"/>
    </x:row>
    <x:row r="40" ht="42" customHeight="1">
      <x:c r="A40" s="239" t="s">
        <x:v>963</x:v>
      </x:c>
      <x:c r="B40" s="240"/>
      <x:c r="C40" s="241" t="s">
        <x:v>996</x:v>
      </x:c>
      <x:c r="D40" s="242"/>
      <x:c r="E40" s="242"/>
      <x:c r="F40" s="242"/>
      <x:c r="G40" s="242"/>
      <x:c r="H40" s="243"/>
    </x:row>
    <x:row r="41" ht="42" customHeight="1">
      <x:c r="A41" s="239" t="s">
        <x:v>997</x:v>
      </x:c>
      <x:c r="B41" s="240"/>
      <x:c r="C41" s="241" t="s">
        <x:v>998</x:v>
      </x:c>
      <x:c r="D41" s="242"/>
      <x:c r="E41" s="242"/>
      <x:c r="F41" s="242"/>
      <x:c r="G41" s="242"/>
      <x:c r="H41" s="243"/>
    </x:row>
  </x:sheetData>
  <x:mergeCells>
    <x:mergeCell ref="A40:B40"/>
    <x:mergeCell ref="C40:H40"/>
    <x:mergeCell ref="A41:B41"/>
    <x:mergeCell ref="C41:H41"/>
    <x:mergeCell ref="A2:H2"/>
    <x:mergeCell ref="A37:B37"/>
    <x:mergeCell ref="C37:H37"/>
    <x:mergeCell ref="A38:B38"/>
    <x:mergeCell ref="C38:H38"/>
    <x:mergeCell ref="A39:B39"/>
    <x:mergeCell ref="C39:H39"/>
    <x:mergeCell ref="A27:H27"/>
    <x:mergeCell ref="A34:H34"/>
    <x:mergeCell ref="A35:B35"/>
    <x:mergeCell ref="C35:H35"/>
    <x:mergeCell ref="A36:B36"/>
    <x:mergeCell ref="C36:H36"/>
    <x:mergeCell ref="A1:H1"/>
    <x:mergeCell ref="A4:H4"/>
    <x:mergeCell ref="A10:B10"/>
    <x:mergeCell ref="D10:H10"/>
    <x:mergeCell ref="A17:B17"/>
    <x:mergeCell ref="D17:H17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4.25"/>
  <x:cols>
    <x:col min="1" max="1" width="24" customWidth="1"/>
    <x:col min="2" max="2" width="14" customWidth="1"/>
    <x:col min="3" max="3" width="20" customWidth="1"/>
    <x:col min="4" max="4" width="46" customWidth="1"/>
    <x:col min="5" max="5" width="18" customWidth="1"/>
    <x:col min="6" max="6" width="24" customWidth="1"/>
    <x:col min="7" max="14" width="14" customWidth="1"/>
  </x:cols>
  <x:sheetData>
    <x:row r="1" ht="26" customHeight="1">
      <x:c r="A1" s="234" t="str">
        <x:v>MVP Dashboard — Status as of 2026-07-05</x:v>
      </x:c>
      <x:c r="B1" s="235"/>
      <x:c r="C1" s="235"/>
      <x:c r="D1" s="235"/>
      <x:c r="E1" s="235"/>
      <x:c r="F1" s="235"/>
      <x:c r="G1" s="235"/>
      <x:c r="H1" s="235"/>
      <x:c r="I1" s="235"/>
      <x:c r="J1" s="235"/>
      <x:c r="K1" s="235"/>
      <x:c r="L1" s="235"/>
      <x:c r="M1" s="235"/>
      <x:c r="N1" s="235"/>
    </x:row>
    <x:row r="3" ht="15.75">
      <x:c r="A3" s="237" t="s">
        <x:v>999</x:v>
      </x:c>
      <x:c r="B3" s="235"/>
      <x:c r="C3" s="235"/>
      <x:c r="D3" s="235"/>
      <x:c r="F3" s="237" t="s">
        <x:v>1000</x:v>
      </x:c>
      <x:c r="G3" s="235"/>
      <x:c r="H3" s="235"/>
      <x:c r="I3" s="235"/>
      <x:c r="J3" s="235"/>
      <x:c r="K3" s="235"/>
      <x:c r="L3" s="235"/>
      <x:c r="M3" s="235"/>
      <x:c r="N3" s="235"/>
    </x:row>
    <x:row r="4" ht="30" customHeight="1">
      <x:c r="A4" s="79" t="s">
        <x:v>105</x:v>
      </x:c>
      <x:c r="B4" s="166">
        <x:v>46257</x:v>
      </x:c>
      <x:c r="F4" s="449" t="s">
        <x:v>28</x:v>
      </x:c>
      <x:c r="G4" s="610" t="str">
        <x:v>1.3 — Verify, merge, and close deterministic non-numeric checks</x:v>
      </x:c>
      <x:c r="H4" s="245"/>
      <x:c r="I4" s="246"/>
      <x:c r="J4" s="245"/>
      <x:c r="K4" s="245"/>
      <x:c r="L4" s="246"/>
      <x:c r="M4" s="245"/>
      <x:c r="N4" s="245"/>
    </x:row>
    <x:row r="5" ht="30" customHeight="1">
      <x:c r="A5" s="79" t="s">
        <x:v>67</x:v>
      </x:c>
      <x:c r="B5" s="167">
        <x:v>76</x:v>
      </x:c>
      <x:c r="F5" s="449" t="s">
        <x:v>1001</x:v>
      </x:c>
      <x:c r="G5" s="610" t="str">
        <x:v>1.4 — Numeric tolerance checks</x:v>
      </x:c>
      <x:c r="H5" s="245"/>
      <x:c r="I5" s="246"/>
      <x:c r="J5" s="245"/>
      <x:c r="K5" s="245"/>
      <x:c r="L5" s="246"/>
      <x:c r="M5" s="245"/>
      <x:c r="N5" s="245"/>
    </x:row>
    <x:row r="6" ht="30" customHeight="1">
      <x:c r="A6" s="79" t="s">
        <x:v>1002</x:v>
      </x:c>
      <x:c r="B6" s="168" t="n">
        <x:f>SUM('Work Block Log'!F5:F200)</x:f>
        <x:v>11.63</x:v>
      </x:c>
      <x:c r="F6" s="449" t="s">
        <x:v>1003</x:v>
      </x:c>
      <x:c r="G6" s="610" t="str">
        <x:v>Candidate loading and mandatory gates are merged. Non-numeric deterministic checks are implemented in commit 53f96cc on the feature branch; final verification and merge remain.</x:v>
      </x:c>
      <x:c r="H6" s="245"/>
      <x:c r="I6" s="246"/>
      <x:c r="J6" s="245"/>
      <x:c r="K6" s="245"/>
      <x:c r="L6" s="246"/>
      <x:c r="M6" s="245"/>
      <x:c r="N6" s="245"/>
    </x:row>
    <x:row r="7" ht="30" customHeight="1">
      <x:c r="A7" s="79" t="s">
        <x:v>1004</x:v>
      </x:c>
      <x:c r="B7" s="169" t="n">
        <x:f>SUMPRODUCT('Detailed Gantt'!F6:F27,'Detailed Gantt'!L6:L27)/SUM('Detailed Gantt'!F6:F27)</x:f>
        <x:v>0.3105263157894737</x:v>
      </x:c>
      <x:c r="F7" s="449" t="s">
        <x:v>914</x:v>
      </x:c>
      <x:c r="G7" s="610" t="str">
        <x:v>Run 12 focused tests and the full suite, push feature/deterministic-check-engine, open and merge the PR, sync main, then begin WBS 1.4 numeric_close.</x:v>
      </x:c>
      <x:c r="H7" s="245"/>
      <x:c r="I7" s="246"/>
      <x:c r="J7" s="245"/>
      <x:c r="K7" s="245"/>
      <x:c r="L7" s="246"/>
      <x:c r="M7" s="245"/>
      <x:c r="N7" s="245"/>
    </x:row>
    <x:row r="8" ht="30" customHeight="1">
      <x:c r="A8" s="79" t="s">
        <x:v>1005</x:v>
      </x:c>
      <x:c r="B8" s="167" t="n">
        <x:v>48</x:v>
      </x:c>
      <x:c r="F8" s="449" t="s">
        <x:v>1006</x:v>
      </x:c>
      <x:c r="G8" s="610" t="s">
        <x:v>1007</x:v>
      </x:c>
      <x:c r="H8" s="245"/>
      <x:c r="I8" s="246"/>
      <x:c r="J8" s="245"/>
      <x:c r="K8" s="245"/>
      <x:c r="L8" s="246"/>
      <x:c r="M8" s="245"/>
      <x:c r="N8" s="245"/>
    </x:row>
    <x:row r="9" ht="30" customHeight="1">
      <x:c r="A9" s="79" t="s">
        <x:v>1008</x:v>
      </x:c>
      <x:c r="B9" s="167">
        <x:v>3</x:v>
      </x:c>
      <x:c r="F9" s="449" t="s">
        <x:v>813</x:v>
      </x:c>
      <x:c r="G9" s="610" t="s">
        <x:v>1009</x:v>
      </x:c>
      <x:c r="H9" s="245"/>
      <x:c r="I9" s="246"/>
      <x:c r="J9" s="245"/>
      <x:c r="K9" s="245"/>
      <x:c r="L9" s="246"/>
      <x:c r="M9" s="245"/>
      <x:c r="N9" s="245"/>
    </x:row>
    <x:row r="10" ht="30" customHeight="1">
      <x:c r="A10" s="79" t="s">
        <x:v>1010</x:v>
      </x:c>
      <x:c r="B10" s="167" t="n">
        <x:v>7</x:v>
      </x:c>
      <x:c r="F10" s="156" t="s">
        <x:v>1011</x:v>
      </x:c>
      <x:c r="G10" s="245" t="s">
        <x:v>1012</x:v>
      </x:c>
      <x:c r="H10" s="245"/>
      <x:c r="I10" s="245"/>
      <x:c r="J10" s="245"/>
      <x:c r="K10" s="245"/>
      <x:c r="L10" s="245"/>
      <x:c r="M10" s="245"/>
      <x:c r="N10" s="245"/>
    </x:row>
    <x:row r="11" ht="15">
      <x:c r="A11" s="79" t="s">
        <x:v>1013</x:v>
      </x:c>
      <x:c r="B11" s="167" t="str">
        <x:v>05c025b</x:v>
      </x:c>
    </x:row>
    <x:row r="13" ht="15.75">
      <x:c r="A13" s="237" t="s">
        <x:v>1014</x:v>
      </x:c>
      <x:c r="B13" s="235"/>
      <x:c r="C13" s="235"/>
      <x:c r="D13" s="235"/>
      <x:c r="E13" s="235"/>
    </x:row>
    <x:row r="14" ht="30">
      <x:c r="A14" s="80" t="s">
        <x:v>66</x:v>
      </x:c>
      <x:c r="B14" s="80" t="s">
        <x:v>67</x:v>
      </x:c>
      <x:c r="C14" s="80" t="s">
        <x:v>68</x:v>
      </x:c>
      <x:c r="D14" s="80" t="s">
        <x:v>69</x:v>
      </x:c>
      <x:c r="E14" s="80" t="s">
        <x:v>254</x:v>
      </x:c>
    </x:row>
    <x:row r="15" ht="28.5">
      <x:c r="A15" s="78" t="s">
        <x:v>83</x:v>
      </x:c>
      <x:c r="B15" s="82">
        <x:v>8</x:v>
      </x:c>
      <x:c r="C15" s="82" t="n">
        <x:f>SUMIF('Detailed Gantt'!$B$6:$B$27,A15,'Detailed Gantt'!$M$6:$M$27)</x:f>
        <x:v>7.550000000000001</x:v>
      </x:c>
      <x:c r="D15" s="170" t="n">
        <x:f>IF(B15=0,0,SUMPRODUCT(('Detailed Gantt'!$B$6:$B$27=A15)*'Detailed Gantt'!$F$6:$F$27*'Detailed Gantt'!$L$6:$L$27)/B15)</x:f>
        <x:v>1</x:v>
      </x:c>
      <x:c r="E15" s="78" t="s">
        <x:v>84</x:v>
      </x:c>
    </x:row>
    <x:row r="16" ht="42.75">
      <x:c r="A16" s="78" t="s">
        <x:v>87</x:v>
      </x:c>
      <x:c r="B16" s="82">
        <x:v>24</x:v>
      </x:c>
      <x:c r="C16" s="82" t="n">
        <x:f>SUMIF('Detailed Gantt'!$B$6:$B$27,A16,'Detailed Gantt'!$M$6:$M$27)</x:f>
        <x:v>4.08</x:v>
      </x:c>
      <x:c r="D16" s="170" t="n">
        <x:f>IF(B16=0,0,SUMPRODUCT(('Detailed Gantt'!$B$6:$B$27=A16)*'Detailed Gantt'!$F$6:$F$27*'Detailed Gantt'!$L$6:$L$27)/B16)</x:f>
        <x:v>0.5625</x:v>
      </x:c>
      <x:c r="E16" s="78" t="s">
        <x:v>88</x:v>
      </x:c>
    </x:row>
    <x:row r="17" ht="28.5">
      <x:c r="A17" s="78" t="s">
        <x:v>90</x:v>
      </x:c>
      <x:c r="B17" s="82">
        <x:v>14</x:v>
      </x:c>
      <x:c r="C17" s="82" t="n">
        <x:f>SUMIF('Detailed Gantt'!$B$6:$B$27,A17,'Detailed Gantt'!$M$6:$M$27)</x:f>
        <x:v>0</x:v>
      </x:c>
      <x:c r="D17" s="170" t="n">
        <x:f>IF(B17=0,0,SUMPRODUCT(('Detailed Gantt'!$B$6:$B$27=A17)*'Detailed Gantt'!$F$6:$F$27*'Detailed Gantt'!$L$6:$L$27)/B17)</x:f>
        <x:v>0</x:v>
      </x:c>
      <x:c r="E17" s="78" t="s">
        <x:v>91</x:v>
      </x:c>
    </x:row>
    <x:row r="18" ht="28.5">
      <x:c r="A18" s="78" t="s">
        <x:v>93</x:v>
      </x:c>
      <x:c r="B18" s="82">
        <x:v>14</x:v>
      </x:c>
      <x:c r="C18" s="82" t="n">
        <x:f>SUMIF('Detailed Gantt'!$B$6:$B$27,A18,'Detailed Gantt'!$M$6:$M$27)</x:f>
        <x:v>0</x:v>
      </x:c>
      <x:c r="D18" s="170" t="n">
        <x:f>IF(B18=0,0,SUMPRODUCT(('Detailed Gantt'!$B$6:$B$27=A18)*'Detailed Gantt'!$F$6:$F$27*'Detailed Gantt'!$L$6:$L$27)/B18)</x:f>
        <x:v>0</x:v>
      </x:c>
      <x:c r="E18" s="78" t="s">
        <x:v>94</x:v>
      </x:c>
    </x:row>
    <x:row r="19" ht="42.75">
      <x:c r="A19" s="78" t="s">
        <x:v>96</x:v>
      </x:c>
      <x:c r="B19" s="82">
        <x:v>8</x:v>
      </x:c>
      <x:c r="C19" s="82" t="n">
        <x:f>SUMIF('Detailed Gantt'!$B$6:$B$27,A19,'Detailed Gantt'!$M$6:$M$27)</x:f>
        <x:v>0</x:v>
      </x:c>
      <x:c r="D19" s="170" t="n">
        <x:f>IF(B19=0,0,SUMPRODUCT(('Detailed Gantt'!$B$6:$B$27=A19)*'Detailed Gantt'!$F$6:$F$27*'Detailed Gantt'!$L$6:$L$27)/B19)</x:f>
        <x:v>0.26249999999999996</x:v>
      </x:c>
      <x:c r="E19" s="78" t="s">
        <x:v>97</x:v>
      </x:c>
    </x:row>
    <x:row r="20" ht="28.5">
      <x:c r="A20" s="78" t="s">
        <x:v>99</x:v>
      </x:c>
      <x:c r="B20" s="82">
        <x:v>8</x:v>
      </x:c>
      <x:c r="C20" s="82" t="n">
        <x:f>SUMIF('Detailed Gantt'!$B$6:$B$27,A20,'Detailed Gantt'!$M$6:$M$27)</x:f>
        <x:v>0</x:v>
      </x:c>
      <x:c r="D20" s="170" t="n">
        <x:f>IF(B20=0,0,SUMPRODUCT(('Detailed Gantt'!$B$6:$B$27=A20)*'Detailed Gantt'!$F$6:$F$27*'Detailed Gantt'!$L$6:$L$27)/B20)</x:f>
        <x:v>0</x:v>
      </x:c>
      <x:c r="E20" s="78" t="s">
        <x:v>100</x:v>
      </x:c>
    </x:row>
    <x:row r="23" ht="15.75">
      <x:c r="A23" s="237" t="s">
        <x:v>1015</x:v>
      </x:c>
      <x:c r="B23" s="235"/>
      <x:c r="C23" s="235"/>
      <x:c r="D23" s="235"/>
      <x:c r="E23" s="235"/>
      <x:c r="F23" s="235"/>
      <x:c r="G23" s="235"/>
      <x:c r="H23" s="235"/>
      <x:c r="I23" s="235"/>
      <x:c r="J23" s="235"/>
      <x:c r="K23" s="235"/>
      <x:c r="L23" s="235"/>
      <x:c r="M23" s="235"/>
      <x:c r="N23" s="235"/>
    </x:row>
    <x:row r="24" ht="30" customHeight="1">
      <x:c r="A24" s="175" t="s">
        <x:v>802</x:v>
      </x:c>
      <x:c r="B24" s="175" t="s">
        <x:v>109</x:v>
      </x:c>
      <x:c r="C24" s="175" t="s">
        <x:v>1016</x:v>
      </x:c>
      <x:c r="D24" s="175" t="s">
        <x:v>1017</x:v>
      </x:c>
      <x:c r="E24" s="175" t="s">
        <x:v>285</x:v>
      </x:c>
      <x:c r="F24" s="175" t="s">
        <x:v>1018</x:v>
      </x:c>
      <x:c r="G24" s="175" t="s">
        <x:v>288</x:v>
      </x:c>
      <x:c r="H24" s="175" t="s">
        <x:v>691</x:v>
      </x:c>
    </x:row>
    <x:row r="25" ht="64" customHeight="1">
      <x:c r="A25" s="564" t="n">
        <x:v>1</x:v>
      </x:c>
      <x:c r="B25" s="564" t="str">
        <x:v>1.3</x:v>
      </x:c>
      <x:c r="C25" s="431" t="str">
        <x:v>Exact, Boolean, set, and contains checks</x:v>
      </x:c>
      <x:c r="D25" s="431" t="str">
        <x:v>Supported deterministic checks return pass/fail, expected/actual evidence, and failure mode.</x:v>
      </x:c>
      <x:c r="E25" s="564" t="n">
        <x:v>3</x:v>
      </x:c>
      <x:c r="F25" s="431" t="str">
        <x:v>feature/deterministic-check-engine</x:v>
      </x:c>
      <x:c r="G25" s="431" t="str">
        <x:v>53f96cc; 12 focused tests committed; final verification and PR merge pending</x:v>
      </x:c>
      <x:c r="H25" s="564" t="str">
        <x:v>Jason</x:v>
      </x:c>
    </x:row>
    <x:row r="26" ht="64" customHeight="1">
      <x:c r="A26" s="564" t="n">
        <x:v>2</x:v>
      </x:c>
      <x:c r="B26" s="564" t="str">
        <x:v>1.4</x:v>
      </x:c>
      <x:c r="C26" s="431" t="str">
        <x:v>Numeric tolerance checks</x:v>
      </x:c>
      <x:c r="D26" s="431" t="str">
        <x:v>numeric_close supports absolute tolerance and boundary behaviour with clear evidence.</x:v>
      </x:c>
      <x:c r="E26" s="564" t="n">
        <x:v>3</x:v>
      </x:c>
      <x:c r="F26" s="431" t="str">
        <x:v>feature/deterministic-check-engine</x:v>
      </x:c>
      <x:c r="G26" s="431" t="str">
        <x:v>Boundary/regression tests</x:v>
      </x:c>
      <x:c r="H26" s="564" t="str">
        <x:v>Jason</x:v>
      </x:c>
    </x:row>
    <x:row r="27" ht="64" customHeight="1">
      <x:c r="A27" s="564" t="n">
        <x:v>3</x:v>
      </x:c>
      <x:c r="B27" s="564" t="str">
        <x:v>1.5</x:v>
      </x:c>
      <x:c r="C27" s="431" t="str">
        <x:v>Weighted scoring and failure evidence</x:v>
      </x:c>
      <x:c r="D27" s="431" t="str">
        <x:v>Passed gates plus weighted checks produce score, pass/fail, and structured failure evidence.</x:v>
      </x:c>
      <x:c r="E27" s="564" t="n">
        <x:v>4</x:v>
      </x:c>
      <x:c r="F27" s="431" t="str">
        <x:v>feature/weighted-scoring</x:v>
      </x:c>
      <x:c r="G27" s="431" t="str">
        <x:v>Engine tests + result examples</x:v>
      </x:c>
      <x:c r="H27" s="564" t="str">
        <x:v>Jason</x:v>
      </x:c>
    </x:row>
  </x:sheetData>
  <x:mergeCells>
    <x:mergeCell ref="A1:N1"/>
    <x:mergeCell ref="A3:D3"/>
    <x:mergeCell ref="F3:N3"/>
    <x:mergeCell ref="A13:E13"/>
    <x:mergeCell ref="A23:N23"/>
    <x:mergeCell ref="G4:N4"/>
    <x:mergeCell ref="G5:N5"/>
    <x:mergeCell ref="G6:N6"/>
    <x:mergeCell ref="G7:N7"/>
    <x:mergeCell ref="G8:N8"/>
    <x:mergeCell ref="G9:N9"/>
    <x:mergeCell ref="G10:N10"/>
  </x:mergeCells>
  <x:conditionalFormatting sqref="D15:D20">
    <x:cfRule type="dataBar" priority="1">
      <x:dataBar>
        <x:cfvo type="min"/>
        <x:cfvo type="max"/>
        <x:color rgb="FF2F75B5"/>
      </x:dataBar>
    </x:cfRule>
    <x:cfRule type="dataBar" priority="2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{D1214ACC-5D14-E3A4-5673-BCFD96F7FC1E}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a34cb2037fab474d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1214ACC-5D14-E3A4-5673-BCFD96F7FC1E}">
            <x14:dataBar>
              <x14:cfvo type="min"/>
              <x14:cfvo type="max"/>
              <x14:fillColor rgb="FF2F75B5"/>
              <x14:negativeFillColor auto="1"/>
              <x14:axisColor auto="1"/>
            </x14:dataBar>
          </x14:cfRule>
          <xm:sqref>D15:D20</xm:sqref>
        </x14:conditionalFormatting>
      </x14:conditionalFormattings>
    </x:ext>
  </x:extLst>
</x:worksheet>
</file>

<file path=xl/worksheets/sheet16.xml><?xml version="1.0" encoding="utf-8"?>
<x:worksheet xmlns:x="http://schemas.openxmlformats.org/spreadsheetml/2006/main">
  <x:sheetFormatPr defaultRowHeight="14.25"/>
  <x:cols>
    <x:col min="1" max="1" width="12" customWidth="1"/>
    <x:col min="2" max="2" width="18" customWidth="1"/>
    <x:col min="3" max="3" width="22" customWidth="1"/>
    <x:col min="4" max="5" width="28" customWidth="1"/>
    <x:col min="6" max="6" width="24" customWidth="1"/>
    <x:col min="7" max="7" width="14" customWidth="1"/>
    <x:col min="8" max="8" width="24" customWidth="1"/>
  </x:cols>
  <x:sheetData>
    <x:row r="1" ht="27.950000762939453" customHeight="1">
      <x:c r="A1" s="247" t="s">
        <x:v>1019</x:v>
      </x:c>
      <x:c r="B1" s="247"/>
      <x:c r="C1" s="247"/>
      <x:c r="D1" s="247"/>
      <x:c r="E1" s="247"/>
      <x:c r="F1" s="247"/>
      <x:c r="G1" s="247"/>
      <x:c r="H1" s="247"/>
    </x:row>
    <x:row r="2" ht="42" customHeight="1">
      <x:c r="A2" s="248" t="s">
        <x:v>1020</x:v>
      </x:c>
      <x:c r="B2" s="248"/>
      <x:c r="C2" s="248"/>
      <x:c r="D2" s="248"/>
      <x:c r="E2" s="248"/>
      <x:c r="F2" s="248"/>
      <x:c r="G2" s="248"/>
      <x:c r="H2" s="248"/>
    </x:row>
    <x:row r="4" ht="15">
      <x:c r="A4" s="238" t="s">
        <x:v>1021</x:v>
      </x:c>
      <x:c r="B4" s="238"/>
      <x:c r="C4" s="238"/>
      <x:c r="D4" s="238"/>
      <x:c r="E4" s="238"/>
      <x:c r="F4" s="238"/>
      <x:c r="G4" s="238"/>
      <x:c r="H4" s="238"/>
    </x:row>
    <x:row r="5" ht="33.95000076293945" customHeight="1">
      <x:c r="A5" s="239" t="s">
        <x:v>1022</x:v>
      </x:c>
      <x:c r="B5" s="240"/>
      <x:c r="C5" s="241" t="s">
        <x:v>1023</x:v>
      </x:c>
      <x:c r="D5" s="242"/>
      <x:c r="E5" s="242"/>
      <x:c r="F5" s="242"/>
      <x:c r="G5" s="242"/>
      <x:c r="H5" s="243"/>
    </x:row>
    <x:row r="6" ht="33.95000076293945" customHeight="1">
      <x:c r="A6" s="239" t="s">
        <x:v>1024</x:v>
      </x:c>
      <x:c r="B6" s="240"/>
      <x:c r="C6" s="241" t="s">
        <x:v>1025</x:v>
      </x:c>
      <x:c r="D6" s="242"/>
      <x:c r="E6" s="242"/>
      <x:c r="F6" s="242"/>
      <x:c r="G6" s="242"/>
      <x:c r="H6" s="243"/>
    </x:row>
    <x:row r="7" ht="33.95000076293945" customHeight="1">
      <x:c r="A7" s="239" t="s">
        <x:v>1026</x:v>
      </x:c>
      <x:c r="B7" s="240"/>
      <x:c r="C7" s="241" t="s">
        <x:v>1027</x:v>
      </x:c>
      <x:c r="D7" s="242"/>
      <x:c r="E7" s="242"/>
      <x:c r="F7" s="242"/>
      <x:c r="G7" s="242"/>
      <x:c r="H7" s="243"/>
    </x:row>
    <x:row r="8" ht="33.95000076293945" customHeight="1">
      <x:c r="A8" s="239" t="s">
        <x:v>1028</x:v>
      </x:c>
      <x:c r="B8" s="240"/>
      <x:c r="C8" s="241" t="s">
        <x:v>1029</x:v>
      </x:c>
      <x:c r="D8" s="242"/>
      <x:c r="E8" s="242"/>
      <x:c r="F8" s="242"/>
      <x:c r="G8" s="242"/>
      <x:c r="H8" s="243"/>
    </x:row>
    <x:row r="9" ht="33.95000076293945" customHeight="1">
      <x:c r="A9" s="239" t="s">
        <x:v>1030</x:v>
      </x:c>
      <x:c r="B9" s="240"/>
      <x:c r="C9" s="241" t="s">
        <x:v>1031</x:v>
      </x:c>
      <x:c r="D9" s="242"/>
      <x:c r="E9" s="242"/>
      <x:c r="F9" s="242"/>
      <x:c r="G9" s="242"/>
      <x:c r="H9" s="243"/>
    </x:row>
    <x:row r="11" ht="15">
      <x:c r="A11" s="238" t="s">
        <x:v>1032</x:v>
      </x:c>
      <x:c r="B11" s="238"/>
      <x:c r="C11" s="238"/>
      <x:c r="D11" s="238"/>
      <x:c r="E11" s="238"/>
      <x:c r="F11" s="238"/>
      <x:c r="G11" s="238"/>
      <x:c r="H11" s="238"/>
    </x:row>
    <x:row r="12" ht="33.95000076293945" customHeight="1">
      <x:c r="A12" s="179" t="s">
        <x:v>1033</x:v>
      </x:c>
      <x:c r="B12" s="180" t="s">
        <x:v>1034</x:v>
      </x:c>
      <x:c r="C12" s="180" t="s">
        <x:v>1035</x:v>
      </x:c>
      <x:c r="D12" s="180" t="s">
        <x:v>1036</x:v>
      </x:c>
      <x:c r="E12" s="180" t="s">
        <x:v>1037</x:v>
      </x:c>
      <x:c r="F12" s="180" t="s">
        <x:v>801</x:v>
      </x:c>
      <x:c r="G12" s="180" t="s">
        <x:v>117</x:v>
      </x:c>
      <x:c r="H12" s="181" t="s">
        <x:v>1038</x:v>
      </x:c>
    </x:row>
    <x:row r="13" ht="78" customHeight="1">
      <x:c r="A13" s="182" t="s">
        <x:v>82</x:v>
      </x:c>
      <x:c r="B13" s="183" t="s">
        <x:v>1039</x:v>
      </x:c>
      <x:c r="C13" s="183" t="s">
        <x:v>1040</x:v>
      </x:c>
      <x:c r="D13" s="183" t="s">
        <x:v>1041</x:v>
      </x:c>
      <x:c r="E13" s="183" t="s">
        <x:v>1042</x:v>
      </x:c>
      <x:c r="F13" s="183" t="s">
        <x:v>1043</x:v>
      </x:c>
      <x:c r="G13" s="183" t="s">
        <x:v>634</x:v>
      </x:c>
      <x:c r="H13" s="184" t="s">
        <x:v>1044</x:v>
      </x:c>
    </x:row>
    <x:row r="14" ht="78" customHeight="1">
      <x:c r="A14" s="185" t="s">
        <x:v>6</x:v>
      </x:c>
      <x:c r="B14" s="83" t="s">
        <x:v>1045</x:v>
      </x:c>
      <x:c r="C14" s="83" t="s">
        <x:v>1046</x:v>
      </x:c>
      <x:c r="D14" s="83" t="s">
        <x:v>1047</x:v>
      </x:c>
      <x:c r="E14" s="83" t="s">
        <x:v>1048</x:v>
      </x:c>
      <x:c r="F14" s="83" t="s">
        <x:v>1049</x:v>
      </x:c>
      <x:c r="G14" s="83" t="s">
        <x:v>813</x:v>
      </x:c>
      <x:c r="H14" s="186" t="s">
        <x:v>1050</x:v>
      </x:c>
    </x:row>
    <x:row r="15" ht="78" customHeight="1">
      <x:c r="A15" s="185" t="s">
        <x:v>9</x:v>
      </x:c>
      <x:c r="B15" s="83" t="s">
        <x:v>1045</x:v>
      </x:c>
      <x:c r="C15" s="83" t="s">
        <x:v>1051</x:v>
      </x:c>
      <x:c r="D15" s="83" t="s">
        <x:v>1052</x:v>
      </x:c>
      <x:c r="E15" s="83" t="s">
        <x:v>1053</x:v>
      </x:c>
      <x:c r="F15" s="83" t="s">
        <x:v>1054</x:v>
      </x:c>
      <x:c r="G15" s="83" t="s">
        <x:v>813</x:v>
      </x:c>
      <x:c r="H15" s="186" t="s">
        <x:v>1055</x:v>
      </x:c>
    </x:row>
    <x:row r="16" ht="78" customHeight="1">
      <x:c r="A16" s="185" t="s">
        <x:v>12</x:v>
      </x:c>
      <x:c r="B16" s="83" t="s">
        <x:v>1045</x:v>
      </x:c>
      <x:c r="C16" s="83" t="s">
        <x:v>1056</x:v>
      </x:c>
      <x:c r="D16" s="83" t="s">
        <x:v>1057</x:v>
      </x:c>
      <x:c r="E16" s="83" t="s">
        <x:v>1058</x:v>
      </x:c>
      <x:c r="F16" s="83" t="s">
        <x:v>1059</x:v>
      </x:c>
      <x:c r="G16" s="83" t="s">
        <x:v>813</x:v>
      </x:c>
      <x:c r="H16" s="186" t="s">
        <x:v>1060</x:v>
      </x:c>
    </x:row>
    <x:row r="17" ht="78" customHeight="1">
      <x:c r="A17" s="185" t="s">
        <x:v>16</x:v>
      </x:c>
      <x:c r="B17" s="83" t="s">
        <x:v>1045</x:v>
      </x:c>
      <x:c r="C17" s="83" t="s">
        <x:v>1061</x:v>
      </x:c>
      <x:c r="D17" s="83" t="s">
        <x:v>1062</x:v>
      </x:c>
      <x:c r="E17" s="83" t="s">
        <x:v>1063</x:v>
      </x:c>
      <x:c r="F17" s="83" t="s">
        <x:v>1064</x:v>
      </x:c>
      <x:c r="G17" s="83" t="s">
        <x:v>813</x:v>
      </x:c>
      <x:c r="H17" s="186" t="s">
        <x:v>1065</x:v>
      </x:c>
    </x:row>
    <x:row r="18" ht="78" customHeight="1">
      <x:c r="A18" s="185" t="s">
        <x:v>19</x:v>
      </x:c>
      <x:c r="B18" s="83" t="s">
        <x:v>1045</x:v>
      </x:c>
      <x:c r="C18" s="83" t="s">
        <x:v>1066</x:v>
      </x:c>
      <x:c r="D18" s="83" t="s">
        <x:v>1067</x:v>
      </x:c>
      <x:c r="E18" s="83" t="s">
        <x:v>1068</x:v>
      </x:c>
      <x:c r="F18" s="83" t="s">
        <x:v>1069</x:v>
      </x:c>
      <x:c r="G18" s="83" t="s">
        <x:v>813</x:v>
      </x:c>
      <x:c r="H18" s="186" t="s">
        <x:v>1070</x:v>
      </x:c>
    </x:row>
    <x:row r="19" ht="78" customHeight="1">
      <x:c r="A19" s="187" t="s">
        <x:v>22</x:v>
      </x:c>
      <x:c r="B19" s="188" t="s">
        <x:v>1071</x:v>
      </x:c>
      <x:c r="C19" s="188" t="s">
        <x:v>1072</x:v>
      </x:c>
      <x:c r="D19" s="188" t="s">
        <x:v>1073</x:v>
      </x:c>
      <x:c r="E19" s="188" t="s">
        <x:v>1074</x:v>
      </x:c>
      <x:c r="F19" s="188" t="s">
        <x:v>1075</x:v>
      </x:c>
      <x:c r="G19" s="188" t="s">
        <x:v>1076</x:v>
      </x:c>
      <x:c r="H19" s="189" t="s">
        <x:v>1077</x:v>
      </x:c>
    </x:row>
    <x:row r="21" ht="15">
      <x:c r="A21" s="238" t="s">
        <x:v>1078</x:v>
      </x:c>
      <x:c r="B21" s="238"/>
      <x:c r="C21" s="238"/>
      <x:c r="D21" s="238"/>
      <x:c r="E21" s="238"/>
      <x:c r="F21" s="238"/>
      <x:c r="G21" s="238"/>
      <x:c r="H21" s="238"/>
    </x:row>
    <x:row r="22" ht="38.099998474121094" customHeight="1">
      <x:c r="A22" s="239" t="s">
        <x:v>1079</x:v>
      </x:c>
      <x:c r="B22" s="240"/>
      <x:c r="C22" s="241" t="s">
        <x:v>1080</x:v>
      </x:c>
      <x:c r="D22" s="242"/>
      <x:c r="E22" s="242"/>
      <x:c r="F22" s="242"/>
      <x:c r="G22" s="242"/>
      <x:c r="H22" s="243"/>
    </x:row>
    <x:row r="23" ht="38.099998474121094" customHeight="1">
      <x:c r="A23" s="239" t="s">
        <x:v>1081</x:v>
      </x:c>
      <x:c r="B23" s="240"/>
      <x:c r="C23" s="241" t="s">
        <x:v>1082</x:v>
      </x:c>
      <x:c r="D23" s="242"/>
      <x:c r="E23" s="242"/>
      <x:c r="F23" s="242"/>
      <x:c r="G23" s="242"/>
      <x:c r="H23" s="243"/>
    </x:row>
    <x:row r="24" ht="38.099998474121094" customHeight="1">
      <x:c r="A24" s="239" t="s">
        <x:v>1083</x:v>
      </x:c>
      <x:c r="B24" s="240"/>
      <x:c r="C24" s="241" t="s">
        <x:v>1084</x:v>
      </x:c>
      <x:c r="D24" s="242"/>
      <x:c r="E24" s="242"/>
      <x:c r="F24" s="242"/>
      <x:c r="G24" s="242"/>
      <x:c r="H24" s="243"/>
    </x:row>
    <x:row r="25" ht="38.099998474121094" customHeight="1">
      <x:c r="A25" s="239" t="s">
        <x:v>1085</x:v>
      </x:c>
      <x:c r="B25" s="240"/>
      <x:c r="C25" s="241" t="s">
        <x:v>1086</x:v>
      </x:c>
      <x:c r="D25" s="242"/>
      <x:c r="E25" s="242"/>
      <x:c r="F25" s="242"/>
      <x:c r="G25" s="242"/>
      <x:c r="H25" s="243"/>
    </x:row>
    <x:row r="26" ht="38.099998474121094" customHeight="1">
      <x:c r="A26" s="239" t="s">
        <x:v>1087</x:v>
      </x:c>
      <x:c r="B26" s="240"/>
      <x:c r="C26" s="241" t="s">
        <x:v>1088</x:v>
      </x:c>
      <x:c r="D26" s="242"/>
      <x:c r="E26" s="242"/>
      <x:c r="F26" s="242"/>
      <x:c r="G26" s="242"/>
      <x:c r="H26" s="243"/>
    </x:row>
    <x:row r="27" ht="38.099998474121094" customHeight="1">
      <x:c r="A27" s="239" t="s">
        <x:v>1089</x:v>
      </x:c>
      <x:c r="B27" s="240"/>
      <x:c r="C27" s="241" t="s">
        <x:v>1090</x:v>
      </x:c>
      <x:c r="D27" s="242"/>
      <x:c r="E27" s="242"/>
      <x:c r="F27" s="242"/>
      <x:c r="G27" s="242"/>
      <x:c r="H27" s="243"/>
    </x:row>
    <x:row r="28" ht="38.099998474121094" customHeight="1">
      <x:c r="A28" s="239" t="s">
        <x:v>1055</x:v>
      </x:c>
      <x:c r="B28" s="240"/>
      <x:c r="C28" s="241" t="s">
        <x:v>1091</x:v>
      </x:c>
      <x:c r="D28" s="242"/>
      <x:c r="E28" s="242"/>
      <x:c r="F28" s="242"/>
      <x:c r="G28" s="242"/>
      <x:c r="H28" s="243"/>
    </x:row>
    <x:row r="29" ht="38.099998474121094" customHeight="1">
      <x:c r="A29" s="239" t="s">
        <x:v>1092</x:v>
      </x:c>
      <x:c r="B29" s="240"/>
      <x:c r="C29" s="241" t="s">
        <x:v>1093</x:v>
      </x:c>
      <x:c r="D29" s="242"/>
      <x:c r="E29" s="242"/>
      <x:c r="F29" s="242"/>
      <x:c r="G29" s="242"/>
      <x:c r="H29" s="243"/>
    </x:row>
    <x:row r="31" ht="15">
      <x:c r="A31" s="238" t="s">
        <x:v>1094</x:v>
      </x:c>
      <x:c r="B31" s="238"/>
      <x:c r="C31" s="238"/>
      <x:c r="D31" s="238"/>
      <x:c r="E31" s="238"/>
      <x:c r="F31" s="238"/>
      <x:c r="G31" s="238"/>
      <x:c r="H31" s="238"/>
    </x:row>
    <x:row r="32" ht="39.95000076293945" customHeight="1">
      <x:c r="A32" s="239" t="s">
        <x:v>1095</x:v>
      </x:c>
      <x:c r="B32" s="240"/>
      <x:c r="C32" s="241" t="s">
        <x:v>1096</x:v>
      </x:c>
      <x:c r="D32" s="242"/>
      <x:c r="E32" s="242"/>
      <x:c r="F32" s="242"/>
      <x:c r="G32" s="242"/>
      <x:c r="H32" s="243"/>
    </x:row>
    <x:row r="33" ht="39.95000076293945" customHeight="1">
      <x:c r="A33" s="239" t="s">
        <x:v>1097</x:v>
      </x:c>
      <x:c r="B33" s="240"/>
      <x:c r="C33" s="241" t="s">
        <x:v>1098</x:v>
      </x:c>
      <x:c r="D33" s="242"/>
      <x:c r="E33" s="242"/>
      <x:c r="F33" s="242"/>
      <x:c r="G33" s="242"/>
      <x:c r="H33" s="243"/>
    </x:row>
    <x:row r="34" ht="39.95000076293945" customHeight="1">
      <x:c r="A34" s="239" t="s">
        <x:v>1099</x:v>
      </x:c>
      <x:c r="B34" s="240"/>
      <x:c r="C34" s="241" t="s">
        <x:v>1100</x:v>
      </x:c>
      <x:c r="D34" s="242"/>
      <x:c r="E34" s="242"/>
      <x:c r="F34" s="242"/>
      <x:c r="G34" s="242"/>
      <x:c r="H34" s="243"/>
    </x:row>
    <x:row r="35" ht="39.95000076293945" customHeight="1">
      <x:c r="A35" s="239" t="s">
        <x:v>1101</x:v>
      </x:c>
      <x:c r="B35" s="240"/>
      <x:c r="C35" s="241" t="s">
        <x:v>1102</x:v>
      </x:c>
      <x:c r="D35" s="242"/>
      <x:c r="E35" s="242"/>
      <x:c r="F35" s="242"/>
      <x:c r="G35" s="242"/>
      <x:c r="H35" s="243"/>
    </x:row>
    <x:row r="36" ht="39.95000076293945" customHeight="1">
      <x:c r="A36" s="239" t="s">
        <x:v>1103</x:v>
      </x:c>
      <x:c r="B36" s="240"/>
      <x:c r="C36" s="241" t="s">
        <x:v>1104</x:v>
      </x:c>
      <x:c r="D36" s="242"/>
      <x:c r="E36" s="242"/>
      <x:c r="F36" s="242"/>
      <x:c r="G36" s="242"/>
      <x:c r="H36" s="243"/>
    </x:row>
    <x:row r="37" ht="39.95000076293945" customHeight="1">
      <x:c r="A37" s="239" t="s">
        <x:v>1105</x:v>
      </x:c>
      <x:c r="B37" s="240"/>
      <x:c r="C37" s="241" t="s">
        <x:v>1106</x:v>
      </x:c>
      <x:c r="D37" s="242"/>
      <x:c r="E37" s="242"/>
      <x:c r="F37" s="242"/>
      <x:c r="G37" s="242"/>
      <x:c r="H37" s="243"/>
    </x:row>
    <x:row r="38" ht="39.95000076293945" customHeight="1">
      <x:c r="A38" s="239" t="s">
        <x:v>1107</x:v>
      </x:c>
      <x:c r="B38" s="240"/>
      <x:c r="C38" s="241" t="s">
        <x:v>1108</x:v>
      </x:c>
      <x:c r="D38" s="242"/>
      <x:c r="E38" s="242"/>
      <x:c r="F38" s="242"/>
      <x:c r="G38" s="242"/>
      <x:c r="H38" s="243"/>
    </x:row>
    <x:row r="40" ht="15">
      <x:c r="A40" s="238" t="s">
        <x:v>1109</x:v>
      </x:c>
      <x:c r="B40" s="238"/>
      <x:c r="C40" s="238"/>
      <x:c r="D40" s="238"/>
      <x:c r="E40" s="238"/>
      <x:c r="F40" s="238"/>
      <x:c r="G40" s="238"/>
      <x:c r="H40" s="238"/>
    </x:row>
    <x:row r="41" ht="42" customHeight="1">
      <x:c r="A41" s="239" t="s">
        <x:v>1110</x:v>
      </x:c>
      <x:c r="B41" s="240"/>
      <x:c r="C41" s="241" t="s">
        <x:v>1111</x:v>
      </x:c>
      <x:c r="D41" s="242"/>
      <x:c r="E41" s="242"/>
      <x:c r="F41" s="242"/>
      <x:c r="G41" s="242"/>
      <x:c r="H41" s="243"/>
    </x:row>
    <x:row r="42" ht="42" customHeight="1">
      <x:c r="A42" s="239" t="s">
        <x:v>1112</x:v>
      </x:c>
      <x:c r="B42" s="240"/>
      <x:c r="C42" s="241" t="s">
        <x:v>1113</x:v>
      </x:c>
      <x:c r="D42" s="242"/>
      <x:c r="E42" s="242"/>
      <x:c r="F42" s="242"/>
      <x:c r="G42" s="242"/>
      <x:c r="H42" s="243"/>
    </x:row>
    <x:row r="43" ht="42" customHeight="1">
      <x:c r="A43" s="239" t="s">
        <x:v>1114</x:v>
      </x:c>
      <x:c r="B43" s="240"/>
      <x:c r="C43" s="241" t="s">
        <x:v>1115</x:v>
      </x:c>
      <x:c r="D43" s="242"/>
      <x:c r="E43" s="242"/>
      <x:c r="F43" s="242"/>
      <x:c r="G43" s="242"/>
      <x:c r="H43" s="243"/>
    </x:row>
    <x:row r="44" ht="42" customHeight="1">
      <x:c r="A44" s="239" t="s">
        <x:v>1116</x:v>
      </x:c>
      <x:c r="B44" s="240"/>
      <x:c r="C44" s="241" t="s">
        <x:v>1117</x:v>
      </x:c>
      <x:c r="D44" s="242"/>
      <x:c r="E44" s="242"/>
      <x:c r="F44" s="242"/>
      <x:c r="G44" s="242"/>
      <x:c r="H44" s="243"/>
    </x:row>
    <x:row r="45" ht="42" customHeight="1">
      <x:c r="A45" s="239" t="s">
        <x:v>1118</x:v>
      </x:c>
      <x:c r="B45" s="240"/>
      <x:c r="C45" s="241" t="s">
        <x:v>1119</x:v>
      </x:c>
      <x:c r="D45" s="242"/>
      <x:c r="E45" s="242"/>
      <x:c r="F45" s="242"/>
      <x:c r="G45" s="242"/>
      <x:c r="H45" s="243"/>
    </x:row>
  </x:sheetData>
  <x:mergeCells>
    <x:mergeCell ref="A43:B43"/>
    <x:mergeCell ref="C43:H43"/>
    <x:mergeCell ref="A44:B44"/>
    <x:mergeCell ref="C44:H44"/>
    <x:mergeCell ref="A45:B45"/>
    <x:mergeCell ref="C45:H45"/>
    <x:mergeCell ref="A40:H40"/>
    <x:mergeCell ref="A41:B41"/>
    <x:mergeCell ref="C41:H41"/>
    <x:mergeCell ref="A42:B42"/>
    <x:mergeCell ref="C42:H42"/>
    <x:mergeCell ref="A36:B36"/>
    <x:mergeCell ref="C36:H36"/>
    <x:mergeCell ref="A37:B37"/>
    <x:mergeCell ref="C37:H37"/>
    <x:mergeCell ref="A38:B38"/>
    <x:mergeCell ref="C38:H38"/>
    <x:mergeCell ref="A33:B33"/>
    <x:mergeCell ref="C33:H33"/>
    <x:mergeCell ref="A34:B34"/>
    <x:mergeCell ref="C34:H34"/>
    <x:mergeCell ref="A35:B35"/>
    <x:mergeCell ref="C35:H35"/>
    <x:mergeCell ref="A29:B29"/>
    <x:mergeCell ref="C29:H29"/>
    <x:mergeCell ref="A31:H31"/>
    <x:mergeCell ref="A32:B32"/>
    <x:mergeCell ref="C32:H32"/>
    <x:mergeCell ref="A26:B26"/>
    <x:mergeCell ref="C26:H26"/>
    <x:mergeCell ref="A27:B27"/>
    <x:mergeCell ref="C27:H27"/>
    <x:mergeCell ref="A28:B28"/>
    <x:mergeCell ref="C28:H28"/>
    <x:mergeCell ref="A23:B23"/>
    <x:mergeCell ref="C23:H23"/>
    <x:mergeCell ref="A24:B24"/>
    <x:mergeCell ref="C24:H24"/>
    <x:mergeCell ref="A25:B25"/>
    <x:mergeCell ref="C25:H25"/>
    <x:mergeCell ref="A9:B9"/>
    <x:mergeCell ref="C9:H9"/>
    <x:mergeCell ref="A11:H11"/>
    <x:mergeCell ref="A21:H21"/>
    <x:mergeCell ref="A22:B22"/>
    <x:mergeCell ref="C22:H22"/>
    <x:mergeCell ref="A6:B6"/>
    <x:mergeCell ref="C6:H6"/>
    <x:mergeCell ref="A7:B7"/>
    <x:mergeCell ref="C7:H7"/>
    <x:mergeCell ref="A8:B8"/>
    <x:mergeCell ref="C8:H8"/>
    <x:mergeCell ref="A1:H1"/>
    <x:mergeCell ref="A2:H2"/>
    <x:mergeCell ref="A4:H4"/>
    <x:mergeCell ref="A5:B5"/>
    <x:mergeCell ref="C5:H5"/>
  </x:mergeCells>
  <x:pageMargins left="0.7" right="0.7" top="0.75" bottom="0.75" header="0.3" footer="0.3"/>
</x:worksheet>
</file>