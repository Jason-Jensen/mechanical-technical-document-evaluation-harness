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9227d25e1134379" /></Relationships>
</file>

<file path=xl/workbook.xml><?xml version="1.0" encoding="utf-8"?>
<x:workbook xmlns:x="http://schemas.openxmlformats.org/spreadsheetml/2006/main">
  <x:sheets>
    <x:sheet xmlns:r="http://schemas.openxmlformats.org/officeDocument/2006/relationships" name="Start Here" sheetId="1" r:id="R7fe84ed4dfcb43ea"/>
    <x:sheet xmlns:r="http://schemas.openxmlformats.org/officeDocument/2006/relationships" name="Executive Gantt" sheetId="2" r:id="R156a47fc10f14053"/>
    <x:sheet xmlns:r="http://schemas.openxmlformats.org/officeDocument/2006/relationships" name="Detailed Gantt" sheetId="3" r:id="Rfc07bd71f64c4ede"/>
    <x:sheet xmlns:r="http://schemas.openxmlformats.org/officeDocument/2006/relationships" name="Weekly Control" sheetId="4" r:id="R5cc17644ad784dbb"/>
    <x:sheet xmlns:r="http://schemas.openxmlformats.org/officeDocument/2006/relationships" name="Phase Summary" sheetId="5" r:id="R7d02ec171c124b87"/>
    <x:sheet xmlns:r="http://schemas.openxmlformats.org/officeDocument/2006/relationships" name="Assumptions &amp; Gates" sheetId="6" r:id="Rcdfce75798ee45f1"/>
    <x:sheet xmlns:r="http://schemas.openxmlformats.org/officeDocument/2006/relationships" name="Sources" sheetId="7" r:id="Rc77884fd94024047"/>
    <x:sheet xmlns:r="http://schemas.openxmlformats.org/officeDocument/2006/relationships" name="Legacy Baseline" sheetId="8" r:id="Rd7e96fcd402b474b"/>
    <x:sheet xmlns:r="http://schemas.openxmlformats.org/officeDocument/2006/relationships" name="Work Block Log" sheetId="9" r:id="R26b433bdb1ea4b61"/>
    <x:sheet xmlns:r="http://schemas.openxmlformats.org/officeDocument/2006/relationships" name="Decision Register" sheetId="10" r:id="R26d83a95e57b4485"/>
    <x:sheet xmlns:r="http://schemas.openxmlformats.org/officeDocument/2006/relationships" name="Risks &amp; Issues" sheetId="11" r:id="Ra23948b408da4808"/>
    <x:sheet xmlns:r="http://schemas.openxmlformats.org/officeDocument/2006/relationships" name="Evidence Register" sheetId="12" r:id="Rf37f0c951a08439c"/>
    <x:sheet xmlns:r="http://schemas.openxmlformats.org/officeDocument/2006/relationships" name="Expansion Backlog" sheetId="13" r:id="Rd78fd80bf4974a66"/>
    <x:sheet xmlns:r="http://schemas.openxmlformats.org/officeDocument/2006/relationships" name="AI Context" sheetId="14" r:id="R887ce418d31b4230"/>
    <x:sheet xmlns:r="http://schemas.openxmlformats.org/officeDocument/2006/relationships" name="MVP Dashboard" sheetId="15" r:id="Rd222dfea21b24ee4"/>
    <x:sheet xmlns:r="http://schemas.openxmlformats.org/officeDocument/2006/relationships" name="Product Vision" sheetId="16" r:id="R30c83f620f154247"/>
    <x:sheet xmlns:r="http://schemas.openxmlformats.org/officeDocument/2006/relationships" name="Pilot Gantt" sheetId="17" r:id="R1aac838be2a94a93"/>
    <x:sheet xmlns:r="http://schemas.openxmlformats.org/officeDocument/2006/relationships" name="Pilot Dashboard" sheetId="18" r:id="Re60eab58bb3841fc"/>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<x:sst xmlns:x="http://schemas.openxmlformats.org/spreadsheetml/2006/main">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</x:sst>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1">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13a2cba75614349" /><Relationship Type="http://schemas.openxmlformats.org/officeDocument/2006/relationships/theme" Target="/xl/theme/theme1.xml" Id="Rdb1b991acd6c4605" /><Relationship Type="http://schemas.openxmlformats.org/officeDocument/2006/relationships/sharedStrings" Target="/xl/sharedStrings.xml" Id="R6c7864263a8c469a" /><Relationship Type="http://schemas.openxmlformats.org/officeDocument/2006/relationships/worksheet" Target="/xl/worksheets/sheet1.xml" Id="R7fe84ed4dfcb43ea" /><Relationship Type="http://schemas.openxmlformats.org/officeDocument/2006/relationships/worksheet" Target="/xl/worksheets/sheet2.xml" Id="R156a47fc10f14053" /><Relationship Type="http://schemas.openxmlformats.org/officeDocument/2006/relationships/worksheet" Target="/xl/worksheets/sheet3.xml" Id="Rfc07bd71f64c4ede" /><Relationship Type="http://schemas.openxmlformats.org/officeDocument/2006/relationships/worksheet" Target="/xl/worksheets/sheet4.xml" Id="R5cc17644ad784dbb" /><Relationship Type="http://schemas.openxmlformats.org/officeDocument/2006/relationships/worksheet" Target="/xl/worksheets/sheet5.xml" Id="R7d02ec171c124b87" /><Relationship Type="http://schemas.openxmlformats.org/officeDocument/2006/relationships/worksheet" Target="/xl/worksheets/sheet6.xml" Id="Rcdfce75798ee45f1" /><Relationship Type="http://schemas.openxmlformats.org/officeDocument/2006/relationships/worksheet" Target="/xl/worksheets/sheet7.xml" Id="Rc77884fd94024047" /><Relationship Type="http://schemas.openxmlformats.org/officeDocument/2006/relationships/worksheet" Target="/xl/worksheets/sheet8.xml" Id="Rd7e96fcd402b474b" /><Relationship Type="http://schemas.openxmlformats.org/officeDocument/2006/relationships/worksheet" Target="/xl/worksheets/sheet9.xml" Id="R26b433bdb1ea4b61" /><Relationship Type="http://schemas.openxmlformats.org/officeDocument/2006/relationships/worksheet" Target="/xl/worksheets/sheet10.xml" Id="R26d83a95e57b4485" /><Relationship Type="http://schemas.openxmlformats.org/officeDocument/2006/relationships/worksheet" Target="/xl/worksheets/sheet11.xml" Id="Ra23948b408da4808" /><Relationship Type="http://schemas.openxmlformats.org/officeDocument/2006/relationships/worksheet" Target="/xl/worksheets/sheet12.xml" Id="Rf37f0c951a08439c" /><Relationship Type="http://schemas.openxmlformats.org/officeDocument/2006/relationships/worksheet" Target="/xl/worksheets/sheet13.xml" Id="Rd78fd80bf4974a66" /><Relationship Type="http://schemas.openxmlformats.org/officeDocument/2006/relationships/worksheet" Target="/xl/worksheets/sheet14.xml" Id="R887ce418d31b4230" /><Relationship Type="http://schemas.openxmlformats.org/officeDocument/2006/relationships/worksheet" Target="/xl/worksheets/sheet15.xml" Id="Rd222dfea21b24ee4" /><Relationship Type="http://schemas.openxmlformats.org/officeDocument/2006/relationships/worksheet" Target="/xl/worksheets/sheet16.xml" Id="R30c83f620f154247" /><Relationship Type="http://schemas.openxmlformats.org/officeDocument/2006/relationships/worksheet" Target="/xl/worksheets/sheet17.xml" Id="R1aac838be2a94a93" /><Relationship Type="http://schemas.openxmlformats.org/officeDocument/2006/relationships/worksheet" Target="/xl/worksheets/sheet18.xml" Id="Re60eab58bb3841fc" /></Relationships>
</file>

<file path=xl/drawings/_rels/drawing1.xml.rels>&#65279;<?xml version="1.0" encoding="utf-8"?><Relationships xmlns="http://schemas.openxmlformats.org/package/2006/relationships"><Relationship Type="http://schemas.openxmlformats.org/officeDocument/2006/relationships/chart" Target="/xl/drawings/charts/chart1.xml" Id="R4ef286c6349640c4" /></Relationships>
</file>

<file path=xl/drawings/_rels/drawing2.xml.rels>&#65279;<?xml version="1.0" encoding="utf-8"?><Relationships xmlns="http://schemas.openxmlformats.org/package/2006/relationships"><Relationship Type="http://schemas.openxmlformats.org/officeDocument/2006/relationships/chart" Target="/xl/drawings/charts/chart2.xml" Id="R29c34aa2bba64571" /></Relationships>
</file>

<file path=xl/drawings/_rels/drawing3.xml.rels>&#65279;<?xml version="1.0" encoding="utf-8"?><Relationships xmlns="http://schemas.openxmlformats.org/package/2006/relationships"><Relationship Type="http://schemas.openxmlformats.org/officeDocument/2006/relationships/chart" Target="/xl/drawings/charts/chart3.xml" Id="Rb2397f93577041e6"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ef286c6349640c4"/>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9c34aa2bba64571"/>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2397f93577041e6"/>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92c3c2e7c53d4840" /></Relationships>
</file>

<file path=xl/worksheets/_rels/sheet5.xml.rels>&#65279;<?xml version="1.0" encoding="utf-8"?><Relationships xmlns="http://schemas.openxmlformats.org/package/2006/relationships"><Relationship Type="http://schemas.openxmlformats.org/officeDocument/2006/relationships/drawing" Target="/xl/drawings/drawing2.xml" Id="Rabdb5dfdf7f64346" /></Relationships>
</file>

<file path=xl/worksheets/_rels/sheet15.xml.rels>&#65279;<?xml version="1.0" encoding="utf-8"?><Relationships xmlns="http://schemas.openxmlformats.org/package/2006/relationships"><Relationship Type="http://schemas.openxmlformats.org/officeDocument/2006/relationships/drawing" Target="/xl/drawings/drawing3.xml" Id="Rc848e1e720324474"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P2.3 NASA/JPL public-audit confirmation review 2026-07-20</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P2.3 D-100 NASA/JPL confirmation and OpenFlexure gate</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P2.3 - NASA/JPL public-audit confirmation review</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Review D-101; OpenFlexure remains blocked</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297" hidden="0" customHeight="1">
      <x:c r="A28" s="597" t="str">
        <x:v>D-100 is accepted and PR #52 merged the identifier/result-contract stabilization at exact main 0611d916. The unchanged NASA/JPL package was audited exactly once as authorized. Run RUN-20260721T001431760486Z-4f1b9817 returned missing_authoritative_information, release hold true, exit 3, and exactly four schema-valid outputs. Four gates passed, the authority gate produced the one expected missing-authority finding, three gates and all seven relationship checks skipped correctly, and no malformed-identifier finding remained. All output views reproduce from the canonical result and contain no absolute local path or approval claim. Both accepted package trees and logs remain exact; OpenFlexure was not run. EV-107-EV-110 preserve execution, integrity, output, and regression evidence. D-101 proposes acceptance and exactly one unchanged OpenFlexure audit before another review.</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92c3c2e7c53d4840"/>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abdb5dfdf7f64346"/>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Proposed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CEO accepts or revises the NASA/JPL result and the one-run OpenFlexure contract. If accepted, reverify the exact OpenFlexure tree and log, run it once, and stop on any unexpected state, exit, output count, schema result, or hash change. Review before check 8, held-out semantics, or deferred capabilities.</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Review and accept D-101 before administrative closure. Preserve the one-run NASA/JPL evidence and keep OpenFlexure blocked until its separate one-run authority is accepted.</x:v>
      </x:c>
      <x:c r="H22" s="431" t="str">
        <x:v>Mitigating</x:v>
      </x:c>
      <x:c r="I22" s="431" t="n">
        <x:v>46223</x:v>
      </x:c>
      <x:c r="J22" s="431" t="str">
        <x:v>Technical closure criterion met: the unchanged NASA/JPL run succeeded exactly once with expected state, hold, exit, and four outputs; no malformed-identifier finding remained. D-101 owner acceptance is the remaining administrative closeout.</x:v>
      </x:c>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Ready for CEO review</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Ready for CEO review</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Ready for CEO review</x:v>
      </x:c>
      <x:c r="I113" s="431" t="str">
        <x:v>Only documentation and project-control records changed on the confirmation branch. No product code, public package, schema, fixture, golden, held-out asset, or acceptance criterion changed.</x:v>
      </x:c>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46223</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P2.3 NASA/JPL observation complete; D-101 review required</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Seven checks are implemented. The real NASA/JPL package now completes through all four outputs and correctly holds for missing authority; OpenFlexure remains unexecuted.</x:v>
      </x:c>
      <x:c r="E7" s="765" t="str">
        <x:v>Product interpretation</x:v>
      </x:c>
      <x:c r="F7" s="431" t="str">
        <x:v>Successful kernel; not yet a complete economically useful workflow.</x:v>
      </x:c>
      <x:c r="G7" s="765" t="str">
        <x:v>Response</x:v>
      </x:c>
      <x:c r="H7" s="431" t="str">
        <x:v>Review D-101 before any OpenFlexure audit.</x:v>
      </x:c>
    </x:row>
    <x:row r="8" ht="153" hidden="0" customHeight="1">
      <x:c r="A8" s="765" t="str">
        <x:v>Immediate next action</x:v>
      </x:c>
      <x:c r="B8" s="431" t="str">
        <x:v>Accept or revise D-101: accept the NASA/JPL observation, close I-004, and authorize exactly one unchanged OpenFlexure audit.</x:v>
      </x:c>
      <x:c r="C8" s="765" t="str">
        <x:v>Selected vertical</x:v>
      </x:c>
      <x:c r="D8" s="431" t="str">
        <x:v>NASA/JPL result review -&gt; D-101 -&gt; one OpenFlexure audit -&gt; separate output review -&gt; remaining P2.3 decision.</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315" hidden="0" customHeight="1">
      <x:c r="A41" s="604" t="str">
        <x:v>Immediate implication</x:v>
      </x:c>
      <x:c r="B41" s="605"/>
      <x:c r="C41" s="606" t="str">
        <x:v>D-100 was accepted and PR #52 merged the narrow stabilization at exact main 0611d916. NASA/JPL was then audited exactly once from the unchanged accepted tree and log. Run RUN-20260721T001431760486Z-4f1b9817 returned missing_authoritative_information, release hold true, exit 3, one expected AUTHORITY_REQUIRED_RULE_MISSING finding, and exactly four schema-valid outputs. The identifier gate passed; four gates passed overall, three dependent gates skipped, and all seven relationship checks skipped against the authority prerequisite. The CSV and Markdown views reproduce exactly from package_result.json; outputs contain no absolute local path or approval claim. Both accepted package trees and all 1,764 log rows remain exact, and OpenFlexure was not run. Focused 53, full 289/1, coverage 87.57%, validation 5/5, Ruff, baseline 9/9, and demo 2/2 pass. D-101 proposes accepting this result, closing I-004, retaining IMP-017, and authorizing one unchanged OpenFlexure audit. Checks 8-11, held-out semantics, PDF/CAD extraction, and deferred capabilities remain blocked.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c848e1e720324474"/>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459"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In Progress</x:v>
      </x:c>
      <x:c r="L13" s="664" t="n">
        <x:v>0.76</x:v>
      </x:c>
      <x:c r="M13" s="662" t="n">
        <x:f>SUMIF('Work Block Log'!$E$5:$E$200,A13,'Work Block Log'!$F$5:$F$200)</x:f>
        <x:v>0</x:v>
      </x:c>
      <x:c r="N13" s="662" t="n">
        <x:f>MAX(F13*(1-L13),0)</x:f>
        <x:v>0.96</x:v>
      </x:c>
      <x:c r="O13" s="662" t="n">
        <x:f>M13-F13</x:f>
        <x:v>-4</x:v>
      </x:c>
      <x:c r="P13" s="431" t="str">
        <x:v>checks 6-7 integrated; PR #52 exact main 0611d916; D-085-D-101; EV-082-EV-110; IMP-016-IMP-017; D-100 accepted; NASA/JPL run once at RUN-20260721T001431760486Z-4f1b9817; expected state/hold/exit/four-output contract exact; schema and deterministic-view checks pass; focused 53; full 289/1; coverage 87.57%; validation 5/5; Ruff; baseline 9/9; demo 2/2; both public trees/logs unchanged; OpenFlexure not run</x:v>
      </x:c>
      <x:c r="Q13" s="431" t="str">
        <x:v>CEO reviews nasa_jpl_public_audit_confirmation_review_2026-07-20.md and accepts or revises D-101.</x:v>
      </x:c>
      <x:c r="R13" s="431" t="str">
        <x:v>D-101 may authorize exactly one unchanged OpenFlexure audit with expected missing_authoritative_information, exit 3, release hold true, and four schema-valid outputs. Stop on any surprise and review before check 8. Held-out semantics, PDF/CAD extraction, and deferred capabilities remain blocked.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0.7182608695652174</x:v>
      </x:c>
      <x:c r="M24" s="683" t="n">
        <x:f>SUM(M6:M22)</x:f>
        <x:v>0</x:v>
      </x:c>
      <x:c r="N24" s="683" t="n">
        <x:f>SUM(N6:N22)</x:f>
        <x:v>12.96</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NASA/JPL Confirmation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P2.3 - NASA/JPL public-audit confirmation review</x:v>
      </x:c>
      <x:c r="H4" s="697"/>
    </x:row>
    <x:row r="5" ht="72" customHeight="1">
      <x:c r="A5" s="688" t="str">
        <x:v>Schedule Baseline</x:v>
      </x:c>
      <x:c r="B5" s="693" t="str">
        <x:v>Legacy only; not controlling</x:v>
      </x:c>
      <x:c r="C5" s="691"/>
      <x:c r="D5" s="691"/>
      <x:c r="F5" s="696" t="str">
        <x:v>Objective</x:v>
      </x:c>
      <x:c r="G5" s="697" t="str">
        <x:v>Review the single controlled result and decide whether one OpenFlexure audit may proceed.</x:v>
      </x:c>
      <x:c r="H5" s="697"/>
    </x:row>
    <x:row r="6" ht="63" customHeight="1">
      <x:c r="A6" s="688" t="str">
        <x:v>Time Tracking</x:v>
      </x:c>
      <x:c r="B6" s="693" t="str">
        <x:v>Waived prospectively</x:v>
      </x:c>
      <x:c r="C6" s="691"/>
      <x:c r="D6" s="691"/>
      <x:c r="F6" s="696" t="str">
        <x:v>Gate Status</x:v>
      </x:c>
      <x:c r="G6" s="697" t="str">
        <x:v>NASA/JPL matched state, hold, exit, schema, and four-output expectations exactly.</x:v>
      </x:c>
      <x:c r="H6" s="697"/>
    </x:row>
    <x:row r="7" ht="81" customHeight="1">
      <x:c r="A7" s="688" t="str">
        <x:v>Current Gate</x:v>
      </x:c>
      <x:c r="B7" s="694" t="str">
        <x:v>P2.3 D-100 NASA/JPL confirmation and OpenFlexure gate</x:v>
      </x:c>
      <x:c r="C7" s="691"/>
      <x:c r="D7" s="691"/>
      <x:c r="F7" s="696" t="str">
        <x:v>Definition of Done</x:v>
      </x:c>
      <x:c r="G7" s="697" t="str">
        <x:v>CEO accepts or revises D-101.</x:v>
      </x:c>
      <x:c r="H7" s="697"/>
    </x:row>
    <x:row r="8" ht="63" customHeight="1">
      <x:c r="A8" s="688" t="str">
        <x:v>Released Kernel</x:v>
      </x:c>
      <x:c r="B8" s="691" t="str">
        <x:v>v0.2.0 / commit 45336a2</x:v>
      </x:c>
      <x:c r="C8" s="691"/>
      <x:c r="D8" s="691"/>
      <x:c r="F8" s="696" t="str">
        <x:v>Immediate Next Action</x:v>
      </x:c>
      <x:c r="G8" s="697" t="str">
        <x:v>Review nasa_jpl_public_audit_confirmation_review_2026-07-20.md.</x:v>
      </x:c>
      <x:c r="H8" s="697"/>
    </x:row>
    <x:row r="9" ht="72" customHeight="1">
      <x:c r="A9" s="688" t="str">
        <x:v>Release Target</x:v>
      </x:c>
      <x:c r="B9" s="691" t="str">
        <x:v>v0.3.0</x:v>
      </x:c>
      <x:c r="C9" s="691"/>
      <x:c r="D9" s="691"/>
      <x:c r="F9" s="696" t="str">
        <x:v>Primary Risk</x:v>
      </x:c>
      <x:c r="G9" s="697" t="str">
        <x:v>Primary risk is confusing a correct missing-authority hold with package approval.</x:v>
      </x:c>
      <x:c r="H9" s="697"/>
    </x:row>
    <x:row r="10" ht="81" customHeight="1">
      <x:c r="A10" s="688" t="str">
        <x:v>Baseline Test Count</x:v>
      </x:c>
      <x:c r="B10" s="691" t="n">
        <x:v>121</x:v>
      </x:c>
      <x:c r="C10" s="691"/>
      <x:c r="D10" s="691"/>
      <x:c r="F10" s="696" t="str">
        <x:v>Deferred</x:v>
      </x:c>
      <x:c r="G10" s="697" t="str">
        <x:v>OpenFlexure, checks 8-11, held-out semantics, and deferred capabilities remain blocked.</x:v>
      </x:c>
      <x:c r="H10" s="697"/>
    </x:row>
    <x:row r="11" ht="63" customHeight="1">
      <x:c r="A11" s="688" t="str">
        <x:v>Fixture Package Families</x:v>
      </x:c>
      <x:c r="B11" s="691" t="n">
        <x:v>2</x:v>
      </x:c>
      <x:c r="C11" s="691"/>
      <x:c r="D11" s="691"/>
      <x:c r="F11" s="696" t="str">
        <x:v>Data Boundary</x:v>
      </x:c>
      <x:c r="G11" s="697" t="str">
        <x:v>Both accepted package trees and all 1,764 accepted log rows remain exact.</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D-101 review required</x:v>
      </x:c>
      <x:c r="D17" s="700" t="n">
        <x:v>0.76</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Not Started</x:v>
      </x:c>
      <x:c r="C19" s="699" t="str">
        <x:v>Blocked until accepted P2.3 checks complete</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Ready for Review</x:v>
      </x:c>
      <x:c r="F43" s="431" t="str">
        <x:v>codex/p2.3-nasa-public-audit-confirmation</x:v>
      </x:c>
      <x:c r="G43" s="431" t="str">
        <x:v>D-100-D-101; EV-107-EV-110; I-004; IMP-016-IMP-017; run RUN-20260721T001431760486Z-4f1b9817; state missing_authoritative_information; hold true; exit 3; exactly four schema-valid outputs; one expected authority finding; source hashes exact; OpenFlexure not run; focused 53; full 289/1; coverage 87.57%; validation 5/5; Ruff; baseline 9/9; demo 2/2</x:v>
      </x:c>
      <x:c r="H43"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