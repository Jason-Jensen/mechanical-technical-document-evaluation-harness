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1be4f5771d14c31" /></Relationships>
</file>

<file path=xl/workbook.xml><?xml version="1.0" encoding="utf-8"?>
<x:workbook xmlns:x="http://schemas.openxmlformats.org/spreadsheetml/2006/main">
  <x:sheets>
    <x:sheet xmlns:r="http://schemas.openxmlformats.org/officeDocument/2006/relationships" name="Start Here" sheetId="1" r:id="R650f78da2b7d4dee"/>
    <x:sheet xmlns:r="http://schemas.openxmlformats.org/officeDocument/2006/relationships" name="Executive Gantt" sheetId="2" r:id="R639849b9a5124b46"/>
    <x:sheet xmlns:r="http://schemas.openxmlformats.org/officeDocument/2006/relationships" name="Detailed Gantt" sheetId="3" r:id="Rcf15aaa2d0fb47a3"/>
    <x:sheet xmlns:r="http://schemas.openxmlformats.org/officeDocument/2006/relationships" name="Weekly Control" sheetId="4" r:id="R0bcedd65f37b4ffc"/>
    <x:sheet xmlns:r="http://schemas.openxmlformats.org/officeDocument/2006/relationships" name="Phase Summary" sheetId="5" r:id="R4c8e1db0379d4e4a"/>
    <x:sheet xmlns:r="http://schemas.openxmlformats.org/officeDocument/2006/relationships" name="Assumptions &amp; Gates" sheetId="6" r:id="R36ede232c255466b"/>
    <x:sheet xmlns:r="http://schemas.openxmlformats.org/officeDocument/2006/relationships" name="Sources" sheetId="7" r:id="Rb86c2cef6211452d"/>
    <x:sheet xmlns:r="http://schemas.openxmlformats.org/officeDocument/2006/relationships" name="Legacy Baseline" sheetId="8" r:id="R26edb1f3bfbb4989"/>
    <x:sheet xmlns:r="http://schemas.openxmlformats.org/officeDocument/2006/relationships" name="Work Block Log" sheetId="9" r:id="R95e280d6c50e4215"/>
    <x:sheet xmlns:r="http://schemas.openxmlformats.org/officeDocument/2006/relationships" name="Decision Register" sheetId="10" r:id="Rce4002907ec74b85"/>
    <x:sheet xmlns:r="http://schemas.openxmlformats.org/officeDocument/2006/relationships" name="Risks &amp; Issues" sheetId="11" r:id="Rd0fb14f8d3864398"/>
    <x:sheet xmlns:r="http://schemas.openxmlformats.org/officeDocument/2006/relationships" name="Evidence Register" sheetId="12" r:id="Ra3a058ff5bd344ab"/>
    <x:sheet xmlns:r="http://schemas.openxmlformats.org/officeDocument/2006/relationships" name="Expansion Backlog" sheetId="13" r:id="Rb37657a8c58d4fcd"/>
    <x:sheet xmlns:r="http://schemas.openxmlformats.org/officeDocument/2006/relationships" name="AI Context" sheetId="14" r:id="R1d403dc1621e43ee"/>
    <x:sheet xmlns:r="http://schemas.openxmlformats.org/officeDocument/2006/relationships" name="MVP Dashboard" sheetId="15" r:id="R588f84d99bd5455f"/>
    <x:sheet xmlns:r="http://schemas.openxmlformats.org/officeDocument/2006/relationships" name="Product Vision" sheetId="16" r:id="R476f0a6770244665"/>
    <x:sheet xmlns:r="http://schemas.openxmlformats.org/officeDocument/2006/relationships" name="Pilot Gantt" sheetId="17" r:id="R04ffed183e7243c0"/>
    <x:sheet xmlns:r="http://schemas.openxmlformats.org/officeDocument/2006/relationships" name="Pilot Dashboard" sheetId="18" r:id="R6188a2eda4a0473e"/>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<x:sst xmlns:x="http://schemas.openxmlformats.org/spreadsheetml/2006/main">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</x:sst>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41d5dc8099a4179" /><Relationship Type="http://schemas.openxmlformats.org/officeDocument/2006/relationships/theme" Target="/xl/theme/theme1.xml" Id="R9dfee2effeb042ac" /><Relationship Type="http://schemas.openxmlformats.org/officeDocument/2006/relationships/sharedStrings" Target="/xl/sharedStrings.xml" Id="R4cdb6d2677144295" /><Relationship Type="http://schemas.openxmlformats.org/officeDocument/2006/relationships/worksheet" Target="/xl/worksheets/sheet1.xml" Id="R650f78da2b7d4dee" /><Relationship Type="http://schemas.openxmlformats.org/officeDocument/2006/relationships/worksheet" Target="/xl/worksheets/sheet2.xml" Id="R639849b9a5124b46" /><Relationship Type="http://schemas.openxmlformats.org/officeDocument/2006/relationships/worksheet" Target="/xl/worksheets/sheet3.xml" Id="Rcf15aaa2d0fb47a3" /><Relationship Type="http://schemas.openxmlformats.org/officeDocument/2006/relationships/worksheet" Target="/xl/worksheets/sheet4.xml" Id="R0bcedd65f37b4ffc" /><Relationship Type="http://schemas.openxmlformats.org/officeDocument/2006/relationships/worksheet" Target="/xl/worksheets/sheet5.xml" Id="R4c8e1db0379d4e4a" /><Relationship Type="http://schemas.openxmlformats.org/officeDocument/2006/relationships/worksheet" Target="/xl/worksheets/sheet6.xml" Id="R36ede232c255466b" /><Relationship Type="http://schemas.openxmlformats.org/officeDocument/2006/relationships/worksheet" Target="/xl/worksheets/sheet7.xml" Id="Rb86c2cef6211452d" /><Relationship Type="http://schemas.openxmlformats.org/officeDocument/2006/relationships/worksheet" Target="/xl/worksheets/sheet8.xml" Id="R26edb1f3bfbb4989" /><Relationship Type="http://schemas.openxmlformats.org/officeDocument/2006/relationships/worksheet" Target="/xl/worksheets/sheet9.xml" Id="R95e280d6c50e4215" /><Relationship Type="http://schemas.openxmlformats.org/officeDocument/2006/relationships/worksheet" Target="/xl/worksheets/sheet10.xml" Id="Rce4002907ec74b85" /><Relationship Type="http://schemas.openxmlformats.org/officeDocument/2006/relationships/worksheet" Target="/xl/worksheets/sheet11.xml" Id="Rd0fb14f8d3864398" /><Relationship Type="http://schemas.openxmlformats.org/officeDocument/2006/relationships/worksheet" Target="/xl/worksheets/sheet12.xml" Id="Ra3a058ff5bd344ab" /><Relationship Type="http://schemas.openxmlformats.org/officeDocument/2006/relationships/worksheet" Target="/xl/worksheets/sheet13.xml" Id="Rb37657a8c58d4fcd" /><Relationship Type="http://schemas.openxmlformats.org/officeDocument/2006/relationships/worksheet" Target="/xl/worksheets/sheet14.xml" Id="R1d403dc1621e43ee" /><Relationship Type="http://schemas.openxmlformats.org/officeDocument/2006/relationships/worksheet" Target="/xl/worksheets/sheet15.xml" Id="R588f84d99bd5455f" /><Relationship Type="http://schemas.openxmlformats.org/officeDocument/2006/relationships/worksheet" Target="/xl/worksheets/sheet16.xml" Id="R476f0a6770244665" /><Relationship Type="http://schemas.openxmlformats.org/officeDocument/2006/relationships/worksheet" Target="/xl/worksheets/sheet17.xml" Id="R04ffed183e7243c0" /><Relationship Type="http://schemas.openxmlformats.org/officeDocument/2006/relationships/worksheet" Target="/xl/worksheets/sheet18.xml" Id="R6188a2eda4a0473e" /></Relationships>
</file>

<file path=xl/drawings/_rels/drawing1.xml.rels>&#65279;<?xml version="1.0" encoding="utf-8"?><Relationships xmlns="http://schemas.openxmlformats.org/package/2006/relationships"><Relationship Type="http://schemas.openxmlformats.org/officeDocument/2006/relationships/chart" Target="/xl/drawings/charts/chart1.xml" Id="R033fcd223b6743fc" /></Relationships>
</file>

<file path=xl/drawings/_rels/drawing2.xml.rels>&#65279;<?xml version="1.0" encoding="utf-8"?><Relationships xmlns="http://schemas.openxmlformats.org/package/2006/relationships"><Relationship Type="http://schemas.openxmlformats.org/officeDocument/2006/relationships/chart" Target="/xl/drawings/charts/chart2.xml" Id="Rd3e9789dd1b54923" /></Relationships>
</file>

<file path=xl/drawings/_rels/drawing3.xml.rels>&#65279;<?xml version="1.0" encoding="utf-8"?><Relationships xmlns="http://schemas.openxmlformats.org/package/2006/relationships"><Relationship Type="http://schemas.openxmlformats.org/officeDocument/2006/relationships/chart" Target="/xl/drawings/charts/chart3.xml" Id="Rfb82e12343054579"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33fcd223b6743fc"/>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3e9789dd1b54923"/>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b82e12343054579"/>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b158cf45c7ae40f6" /></Relationships>
</file>

<file path=xl/worksheets/_rels/sheet5.xml.rels>&#65279;<?xml version="1.0" encoding="utf-8"?><Relationships xmlns="http://schemas.openxmlformats.org/package/2006/relationships"><Relationship Type="http://schemas.openxmlformats.org/officeDocument/2006/relationships/drawing" Target="/xl/drawings/drawing2.xml" Id="Rce23c64845734fb7" /></Relationships>
</file>

<file path=xl/worksheets/_rels/sheet15.xml.rels>&#65279;<?xml version="1.0" encoding="utf-8"?><Relationships xmlns="http://schemas.openxmlformats.org/package/2006/relationships"><Relationship Type="http://schemas.openxmlformats.org/officeDocument/2006/relationships/drawing" Target="/xl/drawings/drawing3.xml" Id="Rc1885c9935a74797"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third P2.2 implementation accepted; PR #33 integration pending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drawing-metadata register-authority implementation integration</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Integrate accepted drawing metadata register authority implementation</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Merge PR #33, verify exact main, then open only the next bounded relationship-definition block</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62" hidden="0" customHeight="1">
      <x:c r="A28" s="704" t="str">
        <x:v>The user accepted drawing_metadata_register_authority v0.3.0 implementation 8eb431d on 2026-07-17. Draft PR #33 is mergeable at head 3663a68 with both CI checks green. The implementation appends the third check, routes missing register authority to missing_authoritative_information, and emits exact metadata plus row-1 header-anchored register membership evidence. Verification passes 40 focused tests, 211 full-suite tests with one expected skip, validation 5/5, Ruff, and 85.18% coverage. Merge and verify PR #33 before opening only a definition block for the next bounded relationship gap.</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b158cf45c7ae40f6"/>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ce23c64845734fb7"/>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Active</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drawing-metadata register-authority implementation integration</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The first two P2.2 drawing relationship behaviors are integrated through main 36338c0. PR #32 integrated the third-direction definition at 6d1f2f2. The user accepted implementation 8eb431d on 2026-07-17; green PR #33 integration and exact merged-tree verification are pending. Remaining P2.2 relationships, P2.3 rules, P2.4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Merge PR #33, verify exact main, then define only the next bounded P2.2 relationship slice.</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71" hidden="0" customHeight="1">
      <x:c r="A41" s="604" t="str">
        <x:v>Immediate implication</x:v>
      </x:c>
      <x:c r="B41" s="605"/>
      <x:c r="C41" s="606" t="str">
        <x:v>The user accepted drawing_metadata_register_authority v0.3.0 implementation 8eb431d on 2026-07-17. It is the third ordered relationship check after PR #32 definition integration at 6d1f2f2. Metadata with no exact register row routes to missing_authoritative_information, high severity, release_hold true, AUTH-DWG-001, and document_control. Evidence is the exact metadata drawing_number locator plus a row-1 header-anchored register membership locator. Draft PR #33 is mergeable at 3663a68 with two green CI checks. Integrate and verify it before the next definition-only block.</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c1885c9935a74797"/>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80"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0.45</x:v>
      </x:c>
      <x:c r="M12" s="662" t="n">
        <x:f>SUMIF('Work Block Log'!$E$5:$E$200,A12,'Work Block Log'!$F$5:$F$200)</x:f>
        <x:v>0</x:v>
      </x:c>
      <x:c r="N12" s="662" t="n">
        <x:f>MAX(F12*(1-L12),0)</x:f>
        <x:v>2.2</x:v>
      </x:c>
      <x:c r="O12" s="662" t="n">
        <x:f>M12-F12</x:f>
        <x:v>-4</x:v>
      </x:c>
      <x:c r="P12" s="431" t="str">
        <x:v>first slice integrated at main 5866212; second slice integrated at main 36338c0; third definition integrated through PR #32 at main 6d1f2f2; implementation 8eb431d accepted 2026-07-17 on green PR #33 head 3663a68; codex/p2.2-drawing-metadata-register-authority-implementation; D-049-D-064; EV-046-EV-061; focused 40; full 211/1; validation 5/5; Ruff; coverage 85.18%</x:v>
      </x:c>
      <x:c r="Q12" s="431" t="str">
        <x:v>Merge PR #33, verify exact main and protected-asset integrity, then create only the next bounded relationship-definition branch.</x:v>
      </x:c>
      <x:c r="R12" s="431" t="str">
        <x:v>Three drawing checks are implemented. The first two are integrated; the third is accepted and awaits integration. P2.2 stays open for additional relationship outcomes.</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0.3652173913043478</x:v>
      </x:c>
      <x:c r="M24" s="683" t="n">
        <x:f>SUM(M6:M22)</x:f>
        <x:v>0</x:v>
      </x:c>
      <x:c r="N24" s="683" t="n">
        <x:f>SUM(N6:N22)</x:f>
        <x:v>29.2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Third P2.2 Direction Accepted</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Drawing metadata register authority implementation integration</x:v>
      </x:c>
      <x:c r="H4" s="697"/>
    </x:row>
    <x:row r="5" ht="54" customHeight="1">
      <x:c r="A5" s="688" t="str">
        <x:v>Schedule Baseline</x:v>
      </x:c>
      <x:c r="B5" s="693" t="str">
        <x:v>Legacy only; not controlling</x:v>
      </x:c>
      <x:c r="C5" s="691"/>
      <x:c r="D5" s="691"/>
      <x:c r="F5" s="696" t="str">
        <x:v>Objective</x:v>
      </x:c>
      <x:c r="G5" s="697" t="str">
        <x:v>Integrate the accepted third drawing check and establish an exact verified baseline for the next definition.</x:v>
      </x:c>
      <x:c r="H5" s="697"/>
    </x:row>
    <x:row r="6" ht="54" customHeight="1">
      <x:c r="A6" s="688" t="str">
        <x:v>Time Tracking</x:v>
      </x:c>
      <x:c r="B6" s="693" t="str">
        <x:v>Waived prospectively</x:v>
      </x:c>
      <x:c r="C6" s="691"/>
      <x:c r="D6" s="691"/>
      <x:c r="F6" s="696" t="str">
        <x:v>Gate Status</x:v>
      </x:c>
      <x:c r="G6" s="697" t="str">
        <x:v>The user accepted implementation 8eb431d; PR #33 is mergeable and green at head 3663a68.</x:v>
      </x:c>
      <x:c r="H6" s="697"/>
    </x:row>
    <x:row r="7" ht="54" customHeight="1">
      <x:c r="A7" s="688" t="str">
        <x:v>Current Gate</x:v>
      </x:c>
      <x:c r="B7" s="694" t="str">
        <x:v>P2.2 drawing-metadata register-authority implementation integration</x:v>
      </x:c>
      <x:c r="C7" s="691"/>
      <x:c r="D7" s="691"/>
      <x:c r="F7" s="696" t="str">
        <x:v>Definition of Done</x:v>
      </x:c>
      <x:c r="G7" s="697" t="str">
        <x:v>PR #33 merges, exact main verification passes, and protected assets remain unchanged.</x:v>
      </x:c>
      <x:c r="H7" s="697"/>
    </x:row>
    <x:row r="8" ht="63" customHeight="1">
      <x:c r="A8" s="688" t="str">
        <x:v>Released Kernel</x:v>
      </x:c>
      <x:c r="B8" s="691" t="str">
        <x:v>v0.2.0 / commit 45336a2</x:v>
      </x:c>
      <x:c r="C8" s="691"/>
      <x:c r="D8" s="691"/>
      <x:c r="F8" s="696" t="str">
        <x:v>Immediate Next Action</x:v>
      </x:c>
      <x:c r="G8" s="697" t="str">
        <x:v>Merge PR #33, verify main, then open only the next bounded relationship-definition block.</x:v>
      </x:c>
      <x:c r="H8" s="697"/>
    </x:row>
    <x:row r="9" ht="63" customHeight="1">
      <x:c r="A9" s="688" t="str">
        <x:v>Release Target</x:v>
      </x:c>
      <x:c r="B9" s="691" t="str">
        <x:v>v0.3.0</x:v>
      </x:c>
      <x:c r="C9" s="691"/>
      <x:c r="D9" s="691"/>
      <x:c r="F9" s="696" t="str">
        <x:v>Primary Risk</x:v>
      </x:c>
      <x:c r="G9" s="697" t="str">
        <x:v>Primary risk is beginning another relationship before the accepted implementation is part of verified main.</x:v>
      </x:c>
      <x:c r="H9" s="697"/>
    </x:row>
    <x:row r="10" ht="63" customHeight="1">
      <x:c r="A10" s="688" t="str">
        <x:v>Baseline Test Count</x:v>
      </x:c>
      <x:c r="B10" s="691" t="n">
        <x:v>121</x:v>
      </x:c>
      <x:c r="C10" s="691"/>
      <x:c r="D10" s="691"/>
      <x:c r="F10" s="696" t="str">
        <x:v>Deferred</x:v>
      </x:c>
      <x:c r="G10" s="697" t="str">
        <x:v>Additional executable relationships, package-state routing, reports, CLI changes,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Three P2.2 drawing checks are implemented; first two integrated, third accepted and awaiting integration; broader P2.2 remains open</x:v>
      </x:c>
      <x:c r="D17" s="700" t="n">
        <x:f>AVERAGE('Pilot Gantt'!L11:L14)</x:f>
        <x:v>0.3625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53" customHeight="1">
      <x:c r="A27" s="431" t="n">
        <x:v>4</x:v>
      </x:c>
      <x:c r="B27" s="431" t="str">
        <x:v>P2.2</x:v>
      </x:c>
      <x:c r="C27" s="431" t="str">
        <x:v>Drawing metadata register authority implementation integration</x:v>
      </x:c>
      <x:c r="D27" s="431" t="str">
        <x:v>Integrate the accepted third relationship check, verify exact main, and preserve the next definition-only gate.</x:v>
      </x:c>
      <x:c r="E27" s="431" t="str">
        <x:v>Accepted / Integration</x:v>
      </x:c>
      <x:c r="F27" s="431" t="str">
        <x:v>codex/p2.2-drawing-metadata-register-authority-implementation</x:v>
      </x:c>
      <x:c r="G27" s="431" t="str">
        <x:v>PR #32 main 6d1f2f2; implementation 8eb431d; head 3663a68; PR #33 green; user accepted 2026-07-17; D-059-D-064; EV-056-EV-061; focused 40; full 211/1; validation 5/5; Ruff; coverage 85.18%</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