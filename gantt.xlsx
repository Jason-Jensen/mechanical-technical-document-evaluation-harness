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b9849d83a72407a" /></Relationships>
</file>

<file path=xl/workbook.xml><?xml version="1.0" encoding="utf-8"?>
<x:workbook xmlns:x="http://schemas.openxmlformats.org/spreadsheetml/2006/main">
  <x:sheets>
    <x:sheet xmlns:r="http://schemas.openxmlformats.org/officeDocument/2006/relationships" name="Start Here" sheetId="1" r:id="R08d7862031d64d71"/>
    <x:sheet xmlns:r="http://schemas.openxmlformats.org/officeDocument/2006/relationships" name="Executive Gantt" sheetId="2" r:id="R51db827c070647ba"/>
    <x:sheet xmlns:r="http://schemas.openxmlformats.org/officeDocument/2006/relationships" name="Detailed Gantt" sheetId="3" r:id="Rb401d403d9274fff"/>
    <x:sheet xmlns:r="http://schemas.openxmlformats.org/officeDocument/2006/relationships" name="Weekly Control" sheetId="4" r:id="R94d474a6a749429e"/>
    <x:sheet xmlns:r="http://schemas.openxmlformats.org/officeDocument/2006/relationships" name="Phase Summary" sheetId="5" r:id="Rb107b09045554672"/>
    <x:sheet xmlns:r="http://schemas.openxmlformats.org/officeDocument/2006/relationships" name="Assumptions &amp; Gates" sheetId="6" r:id="Re02182c4e85f4fd8"/>
    <x:sheet xmlns:r="http://schemas.openxmlformats.org/officeDocument/2006/relationships" name="Sources" sheetId="7" r:id="Rfbbfe7350bfe440d"/>
    <x:sheet xmlns:r="http://schemas.openxmlformats.org/officeDocument/2006/relationships" name="Legacy Baseline" sheetId="8" r:id="R6a7bc805c1ab4772"/>
    <x:sheet xmlns:r="http://schemas.openxmlformats.org/officeDocument/2006/relationships" name="Work Block Log" sheetId="9" r:id="R9741d5ff2f9c4182"/>
    <x:sheet xmlns:r="http://schemas.openxmlformats.org/officeDocument/2006/relationships" name="Decision Register" sheetId="10" r:id="R0fbcb44f4dd44d18"/>
    <x:sheet xmlns:r="http://schemas.openxmlformats.org/officeDocument/2006/relationships" name="Risks &amp; Issues" sheetId="11" r:id="Rb55d5a2f407a417d"/>
    <x:sheet xmlns:r="http://schemas.openxmlformats.org/officeDocument/2006/relationships" name="Evidence Register" sheetId="12" r:id="Rfe8151cf1a6c4d61"/>
    <x:sheet xmlns:r="http://schemas.openxmlformats.org/officeDocument/2006/relationships" name="Expansion Backlog" sheetId="13" r:id="Rc5b63c3299964b92"/>
    <x:sheet xmlns:r="http://schemas.openxmlformats.org/officeDocument/2006/relationships" name="AI Context" sheetId="14" r:id="Re82b51e3c7464db9"/>
    <x:sheet xmlns:r="http://schemas.openxmlformats.org/officeDocument/2006/relationships" name="MVP Dashboard" sheetId="15" r:id="Rea2f901959654609"/>
    <x:sheet xmlns:r="http://schemas.openxmlformats.org/officeDocument/2006/relationships" name="Product Vision" sheetId="16" r:id="R604d707c959d4a3f"/>
    <x:sheet xmlns:r="http://schemas.openxmlformats.org/officeDocument/2006/relationships" name="Pilot Gantt" sheetId="17" r:id="R1f871165027442dd"/>
    <x:sheet xmlns:r="http://schemas.openxmlformats.org/officeDocument/2006/relationships" name="Pilot Dashboard" sheetId="18" r:id="Re7f3374884d34346"/>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<x:sst xmlns:x="http://schemas.openxmlformats.org/spreadsheetml/2006/main">
  <x:si>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</x:si>
  <x:si>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</x:si>
  <x:si>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</x:si>
  <x:si>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</x:si>
  <x:si>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</x:si>
  <x:si>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</x:si>
  <x:si>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</x:si>
  <x:si>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</x:si>
  <x:si>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</x:si>
  <x:si>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</x:si>
  <x:si>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</x:si>
  <x:si>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</x:si>
  <x:si>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</x:si>
  <x:si>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</x:si>
  <x:si>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</x:si>
  <x:si>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</x:si>
  <x:si>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</x:si>
  <x:si>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</x:si>
  <x:si>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</x:si>
  <x:si>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</x:si>
  <x:si>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</x:si>
  <x:si>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</x:si>
  <x:si>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</x:si>
  <x:si>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</x:si>
  <x:si>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</x:si>
  <x:si>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</x:si>
  <x:si>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</x:si>
  <x:si>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</x:si>
  <x:si>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</x:si>
  <x:si>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</x:si>
  <x:si>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</x:si>
  <x:si>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</x:si>
  <x:si>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</x:si>
  <x:si>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</x:si>
  <x:si>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</x:si>
  <x:si>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</x:si>
  <x:si>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</x:si>
  <x:si>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</x:si>
  <x:si>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</x:si>
  <x:si>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</x:si>
  <x:si>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</x:si>
  <x:si>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</x:si>
  <x:si>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</x:si>
  <x:si>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</x:si>
  <x:si>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</x:si>
  <x:si>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</x:si>
  <x:si>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</x:si>
  <x:si>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</x:si>
  <x:si>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</x:si>
  <x:si>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</x:si>
  <x:si>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</x:si>
  <x:si>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</x:si>
  <x:si>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</x:si>
  <x:si>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</x:si>
  <x:si>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</x:si>
  <x:si>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</x:si>
  <x:si>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</x:si>
  <x:si>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</x:si>
  <x:si>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</x:si>
  <x:si>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</x:si>
  <x:si>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</x:si>
  <x:si>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</x:si>
  <x:si>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</x:si>
  <x:si>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</x:si>
  <x:si>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</x:si>
  <x:si>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</x:si>
  <x:si>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</x:si>
  <x:si>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</x:si>
  <x:si>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</x:si>
  <x:si>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</x:si>
  <x:si>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</x:si>
  <x:si>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</x:si>
  <x:si>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</x:si>
  <x:si>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</x:si>
  <x:si>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</x:si>
  <x:si>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</x:si>
  <x:si>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</x:si>
  <x:si>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</x:si>
  <x:si>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</x:si>
  <x:si>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</x:si>
  <x:si>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</x:si>
  <x:si>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</x:si>
  <x:si>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</x:si>
  <x:si>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</x:si>
  <x:si>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</x:si>
  <x:si>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</x:si>
  <x:si>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</x:si>
  <x:si>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</x:si>
  <x:si>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</x:si>
  <x:si>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</x:si>
  <x:si>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</x:si>
  <x:si>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</x:si>
  <x:si>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</x:si>
  <x:si>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</x:si>
  <x:si>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</x:si>
  <x:si>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</x:si>
  <x:si>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</x:si>
  <x:si>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</x:si>
  <x:si>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</x:si>
  <x:si>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</x:si>
  <x:si>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</x:si>
  <x:si>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</x:si>
  <x:si>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</x:si>
  <x:si>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</x:si>
  <x:si>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</x:si>
  <x:si>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</x:si>
  <x:si>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</x:si>
  <x:si>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</x:si>
  <x:si>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</x:si>
  <x:si>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</x:si>
  <x:si>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</x:si>
  <x:si>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</x:si>
  <x:si>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</x:si>
  <x:si>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</x:si>
  <x:si>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</x:si>
  <x:si>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</x:si>
  <x:si>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</x:si>
  <x:si>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</x:si>
  <x:si>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</x:si>
  <x:si>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</x:si>
  <x:si>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</x:si>
  <x:si>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</x:si>
  <x:si>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</x:si>
  <x:si>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</x:si>
  <x:si>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</x:si>
  <x:si>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</x:si>
  <x:si>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</x:si>
  <x:si>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</x:si>
  <x:si>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</x:si>
  <x:si>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</x:si>
  <x:si>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</x:si>
  <x:si>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</x:si>
  <x:si>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</x:si>
  <x:si>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</x:si>
  <x:si>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</x:si>
  <x:si>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</x:si>
  <x:si>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</x:si>
  <x:si>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</x:si>
  <x:si>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</x:si>
  <x:si>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</x:si>
  <x:si>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</x:si>
  <x:si>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</x:si>
  <x:si>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</x:si>
  <x:si>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</x:si>
  <x:si>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</x:si>
  <x:si>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</x:si>
  <x:si>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</x:si>
  <x:si>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</x:si>
  <x:si>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</x:si>
  <x:si>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</x:si>
  <x:si>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</x:si>
  <x:si>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</x:si>
  <x:si>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</x:si>
  <x:si>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</x:si>
  <x:si>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</x:si>
  <x:si>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</x:si>
  <x:si>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</x:si>
  <x:si>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</x:si>
  <x:si>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</x:si>
  <x:si>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</x:si>
  <x:si>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</x:si>
  <x:si>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</x:si>
  <x:si>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</x:si>
  <x:si>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</x:si>
  <x:si>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</x:si>
  <x:si>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Actual hours are recorded only when explicitly known. Do not invent or silently backfill time.</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</x:si>
  <x:si>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</x:si>
  <x:si>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</x:si>
  <x:si>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</x:si>
  <x:si>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</x:si>
  <x:si>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</x:si>
  <x:si>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</x:si>
  <x:si>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</x:si>
  <x:si>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</x:si>
  <x:si>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</x:si>
  <x:si>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</x:si>
  <x:si>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</x:si>
  <x:si>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</x:si>
  <x:si>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</x:si>
  <x:si>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</x:si>
  <x:si>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</x:si>
  <x:si>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</x:si>
  <x:si>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</x:si>
  <x:si>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</x:si>
  <x:si>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</x:si>
  <x:si>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</x:si>
  <x:si>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</x:si>
  <x:si>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</x:si>
  <x:si>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</x:si>
  <x:si>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</x:si>
  <x:si>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</x:si>
  <x:si>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</x:si>
  <x:si>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</x:si>
  <x:si>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</x:si>
  <x:si>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</x:si>
  <x:si>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</x:si>
  <x:si>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Do not silently add scope or extend the schedule. Record the decision when a gate slips, forecast finish moves by more than one week, planned hours rise by more than 10%, or a deferred capability is pulled into the MVP. First protect the working evaluation flow and release evidence.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</x:si>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</x:sst>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51f200ee3754188" /><Relationship Type="http://schemas.openxmlformats.org/officeDocument/2006/relationships/theme" Target="/xl/theme/theme1.xml" Id="R4c64f5c427b94749" /><Relationship Type="http://schemas.openxmlformats.org/officeDocument/2006/relationships/sharedStrings" Target="/xl/sharedStrings.xml" Id="R550fd35bbf6b474f" /><Relationship Type="http://schemas.openxmlformats.org/officeDocument/2006/relationships/worksheet" Target="/xl/worksheets/sheet1.xml" Id="R08d7862031d64d71" /><Relationship Type="http://schemas.openxmlformats.org/officeDocument/2006/relationships/worksheet" Target="/xl/worksheets/sheet2.xml" Id="R51db827c070647ba" /><Relationship Type="http://schemas.openxmlformats.org/officeDocument/2006/relationships/worksheet" Target="/xl/worksheets/sheet3.xml" Id="Rb401d403d9274fff" /><Relationship Type="http://schemas.openxmlformats.org/officeDocument/2006/relationships/worksheet" Target="/xl/worksheets/sheet4.xml" Id="R94d474a6a749429e" /><Relationship Type="http://schemas.openxmlformats.org/officeDocument/2006/relationships/worksheet" Target="/xl/worksheets/sheet5.xml" Id="Rb107b09045554672" /><Relationship Type="http://schemas.openxmlformats.org/officeDocument/2006/relationships/worksheet" Target="/xl/worksheets/sheet6.xml" Id="Re02182c4e85f4fd8" /><Relationship Type="http://schemas.openxmlformats.org/officeDocument/2006/relationships/worksheet" Target="/xl/worksheets/sheet7.xml" Id="Rfbbfe7350bfe440d" /><Relationship Type="http://schemas.openxmlformats.org/officeDocument/2006/relationships/worksheet" Target="/xl/worksheets/sheet8.xml" Id="R6a7bc805c1ab4772" /><Relationship Type="http://schemas.openxmlformats.org/officeDocument/2006/relationships/worksheet" Target="/xl/worksheets/sheet9.xml" Id="R9741d5ff2f9c4182" /><Relationship Type="http://schemas.openxmlformats.org/officeDocument/2006/relationships/worksheet" Target="/xl/worksheets/sheet10.xml" Id="R0fbcb44f4dd44d18" /><Relationship Type="http://schemas.openxmlformats.org/officeDocument/2006/relationships/worksheet" Target="/xl/worksheets/sheet11.xml" Id="Rb55d5a2f407a417d" /><Relationship Type="http://schemas.openxmlformats.org/officeDocument/2006/relationships/worksheet" Target="/xl/worksheets/sheet12.xml" Id="Rfe8151cf1a6c4d61" /><Relationship Type="http://schemas.openxmlformats.org/officeDocument/2006/relationships/worksheet" Target="/xl/worksheets/sheet13.xml" Id="Rc5b63c3299964b92" /><Relationship Type="http://schemas.openxmlformats.org/officeDocument/2006/relationships/worksheet" Target="/xl/worksheets/sheet14.xml" Id="Re82b51e3c7464db9" /><Relationship Type="http://schemas.openxmlformats.org/officeDocument/2006/relationships/worksheet" Target="/xl/worksheets/sheet15.xml" Id="Rea2f901959654609" /><Relationship Type="http://schemas.openxmlformats.org/officeDocument/2006/relationships/worksheet" Target="/xl/worksheets/sheet16.xml" Id="R604d707c959d4a3f" /><Relationship Type="http://schemas.openxmlformats.org/officeDocument/2006/relationships/worksheet" Target="/xl/worksheets/sheet17.xml" Id="R1f871165027442dd" /><Relationship Type="http://schemas.openxmlformats.org/officeDocument/2006/relationships/worksheet" Target="/xl/worksheets/sheet18.xml" Id="Re7f3374884d34346" /></Relationships>
</file>

<file path=xl/drawings/_rels/drawing1.xml.rels>&#65279;<?xml version="1.0" encoding="utf-8"?><Relationships xmlns="http://schemas.openxmlformats.org/package/2006/relationships"><Relationship Type="http://schemas.openxmlformats.org/officeDocument/2006/relationships/chart" Target="/xl/drawings/charts/chart1.xml" Id="R22ce6efcbcd14668" /></Relationships>
</file>

<file path=xl/drawings/_rels/drawing2.xml.rels>&#65279;<?xml version="1.0" encoding="utf-8"?><Relationships xmlns="http://schemas.openxmlformats.org/package/2006/relationships"><Relationship Type="http://schemas.openxmlformats.org/officeDocument/2006/relationships/chart" Target="/xl/drawings/charts/chart2.xml" Id="R576de52088ae4ccf" /></Relationships>
</file>

<file path=xl/drawings/_rels/drawing3.xml.rels>&#65279;<?xml version="1.0" encoding="utf-8"?><Relationships xmlns="http://schemas.openxmlformats.org/package/2006/relationships"><Relationship Type="http://schemas.openxmlformats.org/officeDocument/2006/relationships/chart" Target="/xl/drawings/charts/chart3.xml" Id="R243c6b6a220b47ac" /></Relationships>
</file>

<file path=xl/drawings/charts/chart1.xml><?xml version="1.0" encoding="utf-8"?>
<c:chartSpace xmlns:c="http://schemas.openxmlformats.org/drawingml/2006/chart">
  <c:lang val="en-US"/>
  <c:roundedCorners val="0"/>
  <c:style val="2"/>
  <c:chart>
    <c:plotArea>
      <c:layout/>
      <c:lineChart>
        <c:grouping val="standard"/>
        <c:varyColors val="1"/>
        <c:ser>
          <c:idx val="0"/>
          <c:order val="0"/>
          <c:tx>
            <c:v>Planned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mooth val="0"/>
        </c:ser>
        <c:ser>
          <c:idx val="1"/>
          <c:order val="1"/>
          <c:tx>
            <c:v>Actual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Hours by Phase</a:t>
            </a:r>
          </a:p>
        </c:rich>
      </c:tx>
      <c:overlay val="0"/>
    </c:title>
    <c:autoTitleDeleted val="0"/>
    <c:plotArea>
      <c:layout/>
      <c:barChart>
        <c:barDir val="col"/>
        <c:grouping val="clustered"/>
        <c:varyColors val="0"/>
        <c:ser>
          <c:idx val="0"/>
          <c:order val="0"/>
          <c:tx>
            <c:v>Planned Hours</c:v>
          </c:tx>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vs Actual Hours by Phase</a:t>
            </a:r>
          </a:p>
        </c:rich>
      </c:tx>
      <c:overlay val="0"/>
    </c:title>
    <c:autoTitleDeleted val="0"/>
    <c:plotArea>
      <c:layout/>
      <c:barChart>
        <c:barDir val="col"/>
        <c:grouping val="clustered"/>
        <c:varyColors val="0"/>
        <c:ser>
          <c:idx val="0"/>
          <c:order val="0"/>
          <c:tx>
            <c:v>Planned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2ce6efcbcd14668"/>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76de52088ae4ccf"/>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43c6b6a220b47ac"/>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31ac700c09104ae8" /></Relationships>
</file>

<file path=xl/worksheets/_rels/sheet5.xml.rels>&#65279;<?xml version="1.0" encoding="utf-8"?><Relationships xmlns="http://schemas.openxmlformats.org/package/2006/relationships"><Relationship Type="http://schemas.openxmlformats.org/officeDocument/2006/relationships/drawing" Target="/xl/drawings/drawing2.xml" Id="R7640ddc1ffa7412f" /></Relationships>
</file>

<file path=xl/worksheets/_rels/sheet15.xml.rels>&#65279;<?xml version="1.0" encoding="utf-8"?><Relationships xmlns="http://schemas.openxmlformats.org/package/2006/relationships"><Relationship Type="http://schemas.openxmlformats.org/officeDocument/2006/relationships/drawing" Target="/xl/drawings/drawing3.xml" Id="R5c2227416d2f4f2c"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Baseline revision</x:v>
      </x:c>
      <x:c r="B4" s="747" t="str">
        <x:v>Program v2.0 — 2026-07-10</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expected duration, and definition of done before implementation.</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Pilot target finish</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Pilot planned labour</x:v>
      </x:c>
      <x:c r="B8" s="749" t="n">
        <x:v>46</x:v>
      </x:c>
      <x:c r="C8" s="1"/>
      <x:c r="D8" s="752" t="n">
        <x:v>5</x:v>
      </x:c>
      <x:c r="E8" s="727" t="str">
        <x:v>At closeout, log actuals only when known; update Pilot Gantt, evidence, decisions, risks, and next action.</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Pilot logged hours</x:v>
      </x:c>
      <x:c r="B9" s="749" t="n">
        <x:v>0</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Pilot weighted progress</x:v>
      </x:c>
      <x:c r="B10" s="750" t="n">
        <x:v>0</x:v>
      </x:c>
      <x:c r="C10" s="1"/>
      <x:c r="D10" s="752" t="n">
        <x:v>7</x:v>
      </x:c>
      <x:c r="E10" s="727" t="str">
        <x:v>Use gate decisions to change scope, dates, or planned hours;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P0.1 — Define workflow contract and authority map</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P0.2 — Define acceptance plan and benchmark protocol</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hours, status, evidence, next action, and 6-week timeline.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Chronological work history and actual-hour source.</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GPT-5.6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48" hidden="0" customHeight="1">
      <x:c r="A28" s="704" t="str">
        <x:v>v0.2.0 remains frozen. Start with P0.1 only: define the package-audit workflow contract and authority hierarchy. Do not begin PDF/CAD extraction, an agent runtime, an API, a database, a dashboard product, RAG, or RL until the structured package workflow passes its own held-out benchmark.</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137" t="str">
        <x:f t="shared" ref="F4:F35" si="0">IF(E4="","",E4-D4)</x:f>
        <x:v>Variance</x:v>
      </x:c>
      <x:c r="G4" s="88" t="str">
        <x:v>Cumulative Planned</x:v>
      </x:c>
      <x:c r="H4" s="88" t="str">
        <x:v>Cumulative Actual</x:v>
      </x:c>
      <x:c r="I4" s="88" t="str">
        <x:f t="shared" ref="I4:I35" si="1">MAX(576-G4,0)</x:f>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si="0">IF(E5="","",E5-D5)</x:f>
        <x:v>9.39</x:v>
      </x:c>
      <x:c r="G5" s="68" t="n">
        <x:f t="shared" ref="G5:G36" si="2">SUM($D$5:D5)</x:f>
        <x:v>8</x:v>
      </x:c>
      <x:c r="H5" s="68" t="n">
        <x:f t="shared" ref="H5:H36" si="3">SUM($E$5:E5)</x:f>
        <x:v>17.39</x:v>
      </x:c>
      <x:c r="I5" s="68" t="n">
        <x:f t="shared"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x:f t="shared" ref="F36:F55" si="4">IF(E36="","",E36-D36)</x:f>
      </x:c>
      <x:c r="G36" s="56">
        <x:f t="shared" si="2"/>
      </x:c>
      <x:c r="H36" s="56">
        <x:f t="shared" si="3"/>
      </x:c>
      <x:c r="I36" s="56">
        <x:f t="shared" ref="I36:I55" si="5">MAX(576-G36,0)</x:f>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x:f t="shared" ref="G37:G55" si="6">G36+D37</x:f>
      </x:c>
      <x:c r="H37" s="56">
        <x:f t="shared" ref="H37:H55" si="7">H36+IF(E37="",0,E37)</x:f>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31ac700c09104ae8"/>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7640ddc1ffa7412f"/>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
        <x:v>165</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166</x:v>
      </x:c>
      <x:c r="B11" s="3" t="s">
        <x:v>167</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168</x:v>
      </x:c>
      <x:c r="B12" s="141" t="s">
        <x:v>169</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170</x:v>
      </x:c>
      <x:c r="B13" s="141" t="s">
        <x:v>171</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172</x:v>
      </x:c>
      <x:c r="B14" s="4" t="s">
        <x:v>173</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174</x:v>
      </x:c>
      <x:c r="B15" s="194" t="s">
        <x:v>175</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176</x:v>
      </x:c>
      <x:c r="B16" s="195" t="s">
        <x:v>177</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178</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179</x:v>
      </x:c>
      <x:c r="C18" s="118" t="s">
        <x:v>180</x:v>
      </x:c>
      <x:c r="D18" s="88" t="s">
        <x:v>56</x:v>
      </x:c>
      <x:c r="E18" s="88" t="s">
        <x:v>181</x:v>
      </x:c>
      <x:c r="F18" s="88" t="s">
        <x:v>182</x:v>
      </x:c>
      <x:c r="G18" s="88" t="s">
        <x:v>183</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184</x:v>
      </x:c>
      <x:c r="B19" s="3">
        <x:v>2</x:v>
      </x:c>
      <x:c r="C19" s="124">
        <x:v>46215</x:v>
      </x:c>
      <x:c r="D19" s="3" t="s">
        <x:v>185</x:v>
      </x:c>
      <x:c r="E19" s="3" t="s">
        <x:v>186</x:v>
      </x:c>
      <x:c r="F19" s="141" t="s">
        <x:v>187</x:v>
      </x:c>
      <x:c r="G19" s="141" t="s">
        <x:v>188</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189</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190</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191</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192</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193</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194</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195</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
        <x:v>196</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197</x:v>
      </x:c>
      <x:c r="B3" s="494" t="s">
        <x:v>198</x:v>
      </x:c>
      <x:c r="C3" s="494" t="s">
        <x:v>199</x:v>
      </x:c>
      <x:c r="D3" s="494" t="s">
        <x:v>200</x:v>
      </x:c>
      <x:c r="E3" s="494" t="s">
        <x:v>201</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202</x:v>
      </x:c>
      <x:c r="B4" s="438" t="s">
        <x:v>203</x:v>
      </x:c>
      <x:c r="C4" s="438" t="s">
        <x:v>204</x:v>
      </x:c>
      <x:c r="D4" s="438" t="s">
        <x:v>205</x:v>
      </x:c>
      <x:c r="E4" s="448" t="s">
        <x:v>206</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207</x:v>
      </x:c>
      <x:c r="B5" s="438" t="s">
        <x:v>208</x:v>
      </x:c>
      <x:c r="C5" s="438" t="s">
        <x:v>204</x:v>
      </x:c>
      <x:c r="D5" s="438" t="str">
        <x:v>gantt_v0.3_package_assurance_pilot.xlsx</x:v>
      </x:c>
      <x:c r="E5" s="448" t="s">
        <x:v>209</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210</x:v>
      </x:c>
      <x:c r="B6" s="438" t="s">
        <x:v>211</x:v>
      </x:c>
      <x:c r="C6" s="438" t="s">
        <x:v>212</x:v>
      </x:c>
      <x:c r="D6" s="438" t="s">
        <x:v>213</x:v>
      </x:c>
      <x:c r="E6" s="448" t="s">
        <x:v>214</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215</x:v>
      </x:c>
      <x:c r="B7" s="438" t="s">
        <x:v>216</x:v>
      </x:c>
      <x:c r="C7" s="438" t="s">
        <x:v>217</x:v>
      </x:c>
      <x:c r="D7" s="438" t="s">
        <x:v>218</x:v>
      </x:c>
      <x:c r="E7" s="448" t="s">
        <x:v>219</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220</x:v>
      </x:c>
      <x:c r="B8" s="438" t="s">
        <x:v>221</x:v>
      </x:c>
      <x:c r="C8" s="438" t="s">
        <x:v>217</x:v>
      </x:c>
      <x:c r="D8" s="438" t="s">
        <x:v>218</x:v>
      </x:c>
      <x:c r="E8" s="448" t="s">
        <x:v>222</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223</x:v>
      </x:c>
      <x:c r="B9" s="438" t="s">
        <x:v>224</x:v>
      </x:c>
      <x:c r="C9" s="438" t="s">
        <x:v>225</x:v>
      </x:c>
      <x:c r="D9" s="438" t="s">
        <x:v>226</x:v>
      </x:c>
      <x:c r="E9" s="448" t="s">
        <x:v>227</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228</x:v>
      </x:c>
      <x:c r="B10" s="448" t="s">
        <x:v>229</x:v>
      </x:c>
      <x:c r="C10" s="448" t="s">
        <x:v>225</x:v>
      </x:c>
      <x:c r="D10" s="448" t="s">
        <x:v>230</x:v>
      </x:c>
      <x:c r="E10" s="448" t="s">
        <x:v>231</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232</x:v>
      </x:c>
      <x:c r="B11" s="448" t="s">
        <x:v>233</x:v>
      </x:c>
      <x:c r="C11" s="448" t="s">
        <x:v>225</x:v>
      </x:c>
      <x:c r="D11" s="448" t="s">
        <x:v>234</x:v>
      </x:c>
      <x:c r="E11" s="448" t="s">
        <x:v>231</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235</x:v>
      </x:c>
      <x:c r="B12" s="448" t="s">
        <x:v>236</x:v>
      </x:c>
      <x:c r="C12" s="448" t="s">
        <x:v>217</x:v>
      </x:c>
      <x:c r="D12" s="448" t="s">
        <x:v>218</x:v>
      </x:c>
      <x:c r="E12" s="448" t="s">
        <x:v>237</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238</x:v>
      </x:c>
      <x:c r="B1" s="232"/>
      <x:c r="C1" s="232"/>
      <x:c r="D1" s="232"/>
      <x:c r="E1" s="232"/>
      <x:c r="F1" s="232"/>
      <x:c r="G1" s="232"/>
      <x:c r="H1" s="232"/>
      <x:c r="I1" s="232"/>
      <x:c r="J1" s="232"/>
      <x:c r="K1" s="232"/>
      <x:c r="L1" s="232"/>
      <x:c r="M1" s="232"/>
      <x:c r="N1" s="232"/>
      <x:c r="O1" s="232"/>
      <x:c r="P1" s="232"/>
      <x:c r="Q1" s="232"/>
      <x:c r="R1" s="232"/>
      <x:c r="S1" s="232"/>
      <x:c r="T1" s="232"/>
    </x:row>
    <x:row r="2">
      <x:c r="A2" s="233" t="s">
        <x:v>239</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240</x:v>
      </x:c>
      <x:c r="L4" t="s">
        <x:v>241</x:v>
      </x:c>
    </x:row>
    <x:row r="6">
      <x:c r="A6" t="s">
        <x:v>242</x:v>
      </x:c>
      <x:c r="C6" t="s">
        <x:v>243</x:v>
      </x:c>
    </x:row>
    <x:row r="8">
      <x:c r="A8" t="s">
        <x:v>48</x:v>
      </x:c>
      <x:c r="B8" t="s">
        <x:v>1</x:v>
      </x:c>
      <x:c r="C8" t="s">
        <x:v>49</x:v>
      </x:c>
      <x:c r="D8" t="s">
        <x:v>50</x:v>
      </x:c>
      <x:c r="E8" t="s">
        <x:v>51</x:v>
      </x:c>
      <x:c r="F8" t="s">
        <x:v>2</x:v>
      </x:c>
      <x:c r="G8" t="s">
        <x:v>52</x:v>
      </x:c>
      <x:c r="H8" t="s">
        <x:v>53</x:v>
      </x:c>
      <x:c r="I8" t="s">
        <x:v>244</x:v>
      </x:c>
      <x:c r="J8" t="s">
        <x:v>54</x:v>
      </x:c>
      <x:c r="K8" t="s">
        <x:v>55</x:v>
      </x:c>
      <x:c r="L8" t="s">
        <x:v>56</x:v>
      </x:c>
      <x:c r="M8" t="s">
        <x:v>4</x:v>
      </x:c>
      <x:c r="N8" t="s">
        <x:v>3</x:v>
      </x:c>
      <x:c r="O8" t="s">
        <x:v>58</x:v>
      </x:c>
      <x:c r="P8" t="s">
        <x:v>57</x:v>
      </x:c>
      <x:c r="Q8" t="s">
        <x:v>61</x:v>
      </x:c>
    </x:row>
    <x:row r="9">
      <x:c r="A9" t="s">
        <x:v>62</x:v>
      </x:c>
      <x:c r="B9" t="s">
        <x:v>245</x:v>
      </x:c>
      <x:c r="C9" t="s">
        <x:v>246</x:v>
      </x:c>
      <x:c r="D9" t="s">
        <x:v>247</x:v>
      </x:c>
      <x:c r="E9" t="s">
        <x:v>65</x:v>
      </x:c>
      <x:c r="F9">
        <x:v>4</x:v>
      </x:c>
      <x:c r="G9">
        <x:v>1</x:v>
      </x:c>
      <x:c r="H9">
        <x:v>1</x:v>
      </x:c>
      <x:c r="I9">
        <x:v>1</x:v>
      </x:c>
      <x:c r="J9">
        <x:v>46202</x:v>
      </x:c>
      <x:c r="K9">
        <x:v>46208</x:v>
      </x:c>
      <x:c r="L9" t="s">
        <x:v>248</x:v>
      </x:c>
      <x:c r="M9">
        <x:v>1</x:v>
      </x:c>
      <x:c r="N9">
        <x:v>1.5</x:v>
      </x:c>
      <x:c r="O9">
        <x:v>-2.5</x:v>
      </x:c>
      <x:c r="P9">
        <x:v>0</x:v>
      </x:c>
      <x:c r="Q9" t="s">
        <x:v>249</x:v>
      </x:c>
    </x:row>
    <x:row r="10">
      <x:c r="A10" t="s">
        <x:v>68</x:v>
      </x:c>
      <x:c r="B10" t="s">
        <x:v>245</x:v>
      </x:c>
      <x:c r="C10" t="s">
        <x:v>250</x:v>
      </x:c>
      <x:c r="D10" t="s">
        <x:v>251</x:v>
      </x:c>
      <x:c r="E10" t="s">
        <x:v>62</x:v>
      </x:c>
      <x:c r="F10">
        <x:v>4</x:v>
      </x:c>
      <x:c r="G10">
        <x:v>1</x:v>
      </x:c>
      <x:c r="H10">
        <x:v>1</x:v>
      </x:c>
      <x:c r="I10">
        <x:v>1</x:v>
      </x:c>
      <x:c r="J10">
        <x:v>46202</x:v>
      </x:c>
      <x:c r="K10">
        <x:v>46208</x:v>
      </x:c>
      <x:c r="L10" t="s">
        <x:v>248</x:v>
      </x:c>
      <x:c r="M10">
        <x:v>1</x:v>
      </x:c>
      <x:c r="P10">
        <x:v>0</x:v>
      </x:c>
      <x:c r="Q10" t="s">
        <x:v>252</x:v>
      </x:c>
    </x:row>
    <x:row r="11">
      <x:c r="A11" t="s">
        <x:v>73</x:v>
      </x:c>
      <x:c r="B11" t="s">
        <x:v>245</x:v>
      </x:c>
      <x:c r="C11" t="s">
        <x:v>253</x:v>
      </x:c>
      <x:c r="D11" t="s">
        <x:v>254</x:v>
      </x:c>
      <x:c r="E11" t="s">
        <x:v>62</x:v>
      </x:c>
      <x:c r="F11">
        <x:v>4</x:v>
      </x:c>
      <x:c r="G11">
        <x:v>1</x:v>
      </x:c>
      <x:c r="H11">
        <x:v>2</x:v>
      </x:c>
      <x:c r="I11">
        <x:v>2</x:v>
      </x:c>
      <x:c r="J11">
        <x:v>46202</x:v>
      </x:c>
      <x:c r="K11">
        <x:v>46215</x:v>
      </x:c>
      <x:c r="L11" t="s">
        <x:v>255</x:v>
      </x:c>
      <x:c r="M11">
        <x:v>0.5</x:v>
      </x:c>
      <x:c r="P11">
        <x:v>2</x:v>
      </x:c>
      <x:c r="Q11" t="s">
        <x:v>256</x:v>
      </x:c>
    </x:row>
    <x:row r="12">
      <x:c r="A12" t="s">
        <x:v>257</x:v>
      </x:c>
      <x:c r="B12" t="s">
        <x:v>245</x:v>
      </x:c>
      <x:c r="C12" t="s">
        <x:v>258</x:v>
      </x:c>
      <x:c r="D12" t="s">
        <x:v>259</x:v>
      </x:c>
      <x:c r="E12" t="s">
        <x:v>68</x:v>
      </x:c>
      <x:c r="F12">
        <x:v>4</x:v>
      </x:c>
      <x:c r="G12">
        <x:v>2</x:v>
      </x:c>
      <x:c r="H12">
        <x:v>2</x:v>
      </x:c>
      <x:c r="I12">
        <x:v>1</x:v>
      </x:c>
      <x:c r="J12">
        <x:v>46209</x:v>
      </x:c>
      <x:c r="K12">
        <x:v>46215</x:v>
      </x:c>
      <x:c r="L12" t="s">
        <x:v>142</x:v>
      </x:c>
      <x:c r="M12">
        <x:v>0</x:v>
      </x:c>
      <x:c r="P12">
        <x:v>4</x:v>
      </x:c>
    </x:row>
    <x:row r="13">
      <x:c r="A13" t="s">
        <x:v>260</x:v>
      </x:c>
      <x:c r="B13" t="s">
        <x:v>245</x:v>
      </x:c>
      <x:c r="C13" t="s">
        <x:v>261</x:v>
      </x:c>
      <x:c r="D13" t="s">
        <x:v>262</x:v>
      </x:c>
      <x:c r="E13" t="s">
        <x:v>257</x:v>
      </x:c>
      <x:c r="F13">
        <x:v>12</x:v>
      </x:c>
      <x:c r="G13">
        <x:v>1</x:v>
      </x:c>
      <x:c r="H13">
        <x:v>52</x:v>
      </x:c>
      <x:c r="I13">
        <x:v>52</x:v>
      </x:c>
      <x:c r="J13">
        <x:v>46202</x:v>
      </x:c>
      <x:c r="K13">
        <x:v>46565</x:v>
      </x:c>
      <x:c r="L13" t="s">
        <x:v>255</x:v>
      </x:c>
      <x:c r="M13">
        <x:v>0.02</x:v>
      </x:c>
      <x:c r="P13">
        <x:v>11.76</x:v>
      </x:c>
      <x:c r="Q13" t="s">
        <x:v>263</x:v>
      </x:c>
    </x:row>
    <x:row r="14">
      <x:c r="A14" t="s">
        <x:v>264</x:v>
      </x:c>
      <x:c r="B14" t="s">
        <x:v>245</x:v>
      </x:c>
      <x:c r="C14" t="s">
        <x:v>265</x:v>
      </x:c>
      <x:c r="D14" t="s">
        <x:v>266</x:v>
      </x:c>
      <x:c r="E14" t="s">
        <x:v>257</x:v>
      </x:c>
      <x:c r="F14">
        <x:v>6</x:v>
      </x:c>
      <x:c r="G14">
        <x:v>4</x:v>
      </x:c>
      <x:c r="H14">
        <x:v>52</x:v>
      </x:c>
      <x:c r="I14">
        <x:v>49</x:v>
      </x:c>
      <x:c r="J14">
        <x:v>46223</x:v>
      </x:c>
      <x:c r="K14">
        <x:v>46565</x:v>
      </x:c>
      <x:c r="L14" t="s">
        <x:v>142</x:v>
      </x:c>
      <x:c r="M14">
        <x:v>0</x:v>
      </x:c>
      <x:c r="P14">
        <x:v>6</x:v>
      </x:c>
    </x:row>
    <x:row r="15">
      <x:c r="A15" t="s">
        <x:v>267</x:v>
      </x:c>
      <x:c r="B15" t="s">
        <x:v>245</x:v>
      </x:c>
      <x:c r="C15" t="s">
        <x:v>268</x:v>
      </x:c>
      <x:c r="D15" t="s">
        <x:v>269</x:v>
      </x:c>
      <x:c r="E15" t="s">
        <x:v>257</x:v>
      </x:c>
      <x:c r="F15">
        <x:v>6</x:v>
      </x:c>
      <x:c r="G15">
        <x:v>9</x:v>
      </x:c>
      <x:c r="H15">
        <x:v>52</x:v>
      </x:c>
      <x:c r="I15">
        <x:v>44</x:v>
      </x:c>
      <x:c r="J15">
        <x:v>46258</x:v>
      </x:c>
      <x:c r="K15">
        <x:v>46565</x:v>
      </x:c>
      <x:c r="L15" t="s">
        <x:v>142</x:v>
      </x:c>
      <x:c r="M15">
        <x:v>0</x:v>
      </x:c>
      <x:c r="P15">
        <x:v>6</x:v>
      </x:c>
    </x:row>
    <x:row r="16">
      <x:c r="A16" t="s">
        <x:v>78</x:v>
      </x:c>
      <x:c r="B16" t="s">
        <x:v>270</x:v>
      </x:c>
      <x:c r="C16" t="s">
        <x:v>271</x:v>
      </x:c>
      <x:c r="D16" t="s">
        <x:v>272</x:v>
      </x:c>
      <x:c r="E16" t="s">
        <x:v>73</x:v>
      </x:c>
      <x:c r="F16">
        <x:v>8</x:v>
      </x:c>
      <x:c r="G16">
        <x:v>3</x:v>
      </x:c>
      <x:c r="H16">
        <x:v>3</x:v>
      </x:c>
      <x:c r="I16">
        <x:v>1</x:v>
      </x:c>
      <x:c r="J16">
        <x:v>46216</x:v>
      </x:c>
      <x:c r="K16">
        <x:v>46222</x:v>
      </x:c>
      <x:c r="L16" t="s">
        <x:v>142</x:v>
      </x:c>
      <x:c r="M16">
        <x:v>0</x:v>
      </x:c>
      <x:c r="P16">
        <x:v>8</x:v>
      </x:c>
    </x:row>
    <x:row r="17">
      <x:c r="A17" t="s">
        <x:v>81</x:v>
      </x:c>
      <x:c r="B17" t="s">
        <x:v>270</x:v>
      </x:c>
      <x:c r="C17" t="s">
        <x:v>273</x:v>
      </x:c>
      <x:c r="D17" t="s">
        <x:v>274</x:v>
      </x:c>
      <x:c r="E17" t="s">
        <x:v>78</x:v>
      </x:c>
      <x:c r="F17">
        <x:v>6</x:v>
      </x:c>
      <x:c r="G17">
        <x:v>3</x:v>
      </x:c>
      <x:c r="H17">
        <x:v>4</x:v>
      </x:c>
      <x:c r="I17">
        <x:v>2</x:v>
      </x:c>
      <x:c r="J17">
        <x:v>46216</x:v>
      </x:c>
      <x:c r="K17">
        <x:v>46229</x:v>
      </x:c>
      <x:c r="L17" t="s">
        <x:v>142</x:v>
      </x:c>
      <x:c r="M17">
        <x:v>0</x:v>
      </x:c>
      <x:c r="P17">
        <x:v>6</x:v>
      </x:c>
    </x:row>
    <x:row r="18">
      <x:c r="A18" t="s">
        <x:v>84</x:v>
      </x:c>
      <x:c r="B18" t="s">
        <x:v>270</x:v>
      </x:c>
      <x:c r="C18" t="s">
        <x:v>275</x:v>
      </x:c>
      <x:c r="D18" t="s">
        <x:v>276</x:v>
      </x:c>
      <x:c r="E18" t="s">
        <x:v>81</x:v>
      </x:c>
      <x:c r="F18">
        <x:v>14</x:v>
      </x:c>
      <x:c r="G18">
        <x:v>4</x:v>
      </x:c>
      <x:c r="H18">
        <x:v>5</x:v>
      </x:c>
      <x:c r="I18">
        <x:v>2</x:v>
      </x:c>
      <x:c r="J18">
        <x:v>46223</x:v>
      </x:c>
      <x:c r="K18">
        <x:v>46236</x:v>
      </x:c>
      <x:c r="L18" t="s">
        <x:v>142</x:v>
      </x:c>
      <x:c r="M18">
        <x:v>0</x:v>
      </x:c>
      <x:c r="P18">
        <x:v>14</x:v>
      </x:c>
    </x:row>
    <x:row r="19">
      <x:c r="A19" t="s">
        <x:v>87</x:v>
      </x:c>
      <x:c r="B19" t="s">
        <x:v>270</x:v>
      </x:c>
      <x:c r="C19" t="s">
        <x:v>277</x:v>
      </x:c>
      <x:c r="D19" t="s">
        <x:v>278</x:v>
      </x:c>
      <x:c r="E19" t="s">
        <x:v>84</x:v>
      </x:c>
      <x:c r="F19">
        <x:v>18</x:v>
      </x:c>
      <x:c r="G19">
        <x:v>5</x:v>
      </x:c>
      <x:c r="H19">
        <x:v>7</x:v>
      </x:c>
      <x:c r="I19">
        <x:v>3</x:v>
      </x:c>
      <x:c r="J19">
        <x:v>46230</x:v>
      </x:c>
      <x:c r="K19">
        <x:v>46250</x:v>
      </x:c>
      <x:c r="L19" t="s">
        <x:v>142</x:v>
      </x:c>
      <x:c r="M19">
        <x:v>0</x:v>
      </x:c>
      <x:c r="P19">
        <x:v>18</x:v>
      </x:c>
    </x:row>
    <x:row r="20">
      <x:c r="A20" t="s">
        <x:v>90</x:v>
      </x:c>
      <x:c r="B20" t="s">
        <x:v>270</x:v>
      </x:c>
      <x:c r="C20" t="s">
        <x:v>279</x:v>
      </x:c>
      <x:c r="D20" t="s">
        <x:v>280</x:v>
      </x:c>
      <x:c r="E20" t="s">
        <x:v>87</x:v>
      </x:c>
      <x:c r="F20">
        <x:v>6</x:v>
      </x:c>
      <x:c r="G20">
        <x:v>7</x:v>
      </x:c>
      <x:c r="H20">
        <x:v>8</x:v>
      </x:c>
      <x:c r="I20">
        <x:v>2</x:v>
      </x:c>
      <x:c r="J20">
        <x:v>46244</x:v>
      </x:c>
      <x:c r="K20">
        <x:v>46257</x:v>
      </x:c>
      <x:c r="L20" t="s">
        <x:v>142</x:v>
      </x:c>
      <x:c r="M20">
        <x:v>0</x:v>
      </x:c>
      <x:c r="P20">
        <x:v>6</x:v>
      </x:c>
    </x:row>
    <x:row r="21">
      <x:c r="A21" t="s">
        <x:v>281</x:v>
      </x:c>
      <x:c r="B21" t="s">
        <x:v>270</x:v>
      </x:c>
      <x:c r="C21" t="s">
        <x:v>282</x:v>
      </x:c>
      <x:c r="D21" t="s">
        <x:v>283</x:v>
      </x:c>
      <x:c r="E21" t="s">
        <x:v>90</x:v>
      </x:c>
      <x:c r="F21">
        <x:v>6</x:v>
      </x:c>
      <x:c r="G21">
        <x:v>8</x:v>
      </x:c>
      <x:c r="H21">
        <x:v>8</x:v>
      </x:c>
      <x:c r="I21">
        <x:v>1</x:v>
      </x:c>
      <x:c r="J21">
        <x:v>46251</x:v>
      </x:c>
      <x:c r="K21">
        <x:v>46257</x:v>
      </x:c>
      <x:c r="L21" t="s">
        <x:v>142</x:v>
      </x:c>
      <x:c r="M21">
        <x:v>0</x:v>
      </x:c>
      <x:c r="P21">
        <x:v>6</x:v>
      </x:c>
    </x:row>
    <x:row r="22">
      <x:c r="A22" t="s">
        <x:v>284</x:v>
      </x:c>
      <x:c r="B22" t="s">
        <x:v>270</x:v>
      </x:c>
      <x:c r="C22" t="s">
        <x:v>285</x:v>
      </x:c>
      <x:c r="D22" t="s">
        <x:v>286</x:v>
      </x:c>
      <x:c r="E22" t="s">
        <x:v>281</x:v>
      </x:c>
      <x:c r="F22">
        <x:v>6</x:v>
      </x:c>
      <x:c r="G22">
        <x:v>9</x:v>
      </x:c>
      <x:c r="H22">
        <x:v>9</x:v>
      </x:c>
      <x:c r="I22">
        <x:v>1</x:v>
      </x:c>
      <x:c r="J22">
        <x:v>46258</x:v>
      </x:c>
      <x:c r="K22">
        <x:v>46264</x:v>
      </x:c>
      <x:c r="L22" t="s">
        <x:v>142</x:v>
      </x:c>
      <x:c r="M22">
        <x:v>0</x:v>
      </x:c>
      <x:c r="P22">
        <x:v>6</x:v>
      </x:c>
    </x:row>
    <x:row r="23">
      <x:c r="A23" t="s">
        <x:v>94</x:v>
      </x:c>
      <x:c r="B23" t="s">
        <x:v>287</x:v>
      </x:c>
      <x:c r="C23" t="s">
        <x:v>288</x:v>
      </x:c>
      <x:c r="D23" t="s">
        <x:v>289</x:v>
      </x:c>
      <x:c r="E23" t="s">
        <x:v>284</x:v>
      </x:c>
      <x:c r="F23">
        <x:v>10</x:v>
      </x:c>
      <x:c r="G23">
        <x:v>10</x:v>
      </x:c>
      <x:c r="H23">
        <x:v>10</x:v>
      </x:c>
      <x:c r="I23">
        <x:v>1</x:v>
      </x:c>
      <x:c r="J23">
        <x:v>46265</x:v>
      </x:c>
      <x:c r="K23">
        <x:v>46271</x:v>
      </x:c>
      <x:c r="L23" t="s">
        <x:v>255</x:v>
      </x:c>
      <x:c r="M23">
        <x:v>0.2</x:v>
      </x:c>
      <x:c r="P23">
        <x:v>8</x:v>
      </x:c>
      <x:c r="Q23" t="s">
        <x:v>290</x:v>
      </x:c>
    </x:row>
    <x:row r="24">
      <x:c r="A24" t="s">
        <x:v>97</x:v>
      </x:c>
      <x:c r="B24" t="s">
        <x:v>287</x:v>
      </x:c>
      <x:c r="C24" t="s">
        <x:v>291</x:v>
      </x:c>
      <x:c r="D24" t="s">
        <x:v>292</x:v>
      </x:c>
      <x:c r="E24" t="s">
        <x:v>94</x:v>
      </x:c>
      <x:c r="F24">
        <x:v>12</x:v>
      </x:c>
      <x:c r="G24">
        <x:v>10</x:v>
      </x:c>
      <x:c r="H24">
        <x:v>11</x:v>
      </x:c>
      <x:c r="I24">
        <x:v>2</x:v>
      </x:c>
      <x:c r="J24">
        <x:v>46265</x:v>
      </x:c>
      <x:c r="K24">
        <x:v>46278</x:v>
      </x:c>
      <x:c r="L24" t="s">
        <x:v>255</x:v>
      </x:c>
      <x:c r="M24">
        <x:v>0.15</x:v>
      </x:c>
      <x:c r="N24">
        <x:v>0.62</x:v>
      </x:c>
      <x:c r="O24">
        <x:v>-11.38</x:v>
      </x:c>
      <x:c r="P24">
        <x:v>10.199999999999999</x:v>
      </x:c>
      <x:c r="Q24" t="s">
        <x:v>293</x:v>
      </x:c>
    </x:row>
    <x:row r="25">
      <x:c r="A25" t="s">
        <x:v>100</x:v>
      </x:c>
      <x:c r="B25" t="s">
        <x:v>287</x:v>
      </x:c>
      <x:c r="C25" t="s">
        <x:v>294</x:v>
      </x:c>
      <x:c r="D25" t="s">
        <x:v>295</x:v>
      </x:c>
      <x:c r="E25" t="s">
        <x:v>97</x:v>
      </x:c>
      <x:c r="F25">
        <x:v>14</x:v>
      </x:c>
      <x:c r="G25">
        <x:v>11</x:v>
      </x:c>
      <x:c r="H25">
        <x:v>12</x:v>
      </x:c>
      <x:c r="I25">
        <x:v>2</x:v>
      </x:c>
      <x:c r="J25">
        <x:v>46272</x:v>
      </x:c>
      <x:c r="K25">
        <x:v>46285</x:v>
      </x:c>
      <x:c r="L25" t="s">
        <x:v>248</x:v>
      </x:c>
      <x:c r="M25">
        <x:v>1</x:v>
      </x:c>
      <x:c r="P25">
        <x:v>0</x:v>
      </x:c>
      <x:c r="Q25" t="s">
        <x:v>296</x:v>
      </x:c>
    </x:row>
    <x:row r="26">
      <x:c r="A26" t="s">
        <x:v>103</x:v>
      </x:c>
      <x:c r="B26" t="s">
        <x:v>287</x:v>
      </x:c>
      <x:c r="C26" t="s">
        <x:v>297</x:v>
      </x:c>
      <x:c r="D26" t="s">
        <x:v>298</x:v>
      </x:c>
      <x:c r="E26" t="s">
        <x:v>100</x:v>
      </x:c>
      <x:c r="F26">
        <x:v>10</x:v>
      </x:c>
      <x:c r="G26">
        <x:v>12</x:v>
      </x:c>
      <x:c r="H26">
        <x:v>13</x:v>
      </x:c>
      <x:c r="I26">
        <x:v>2</x:v>
      </x:c>
      <x:c r="J26">
        <x:v>46279</x:v>
      </x:c>
      <x:c r="K26">
        <x:v>46292</x:v>
      </x:c>
      <x:c r="L26" t="s">
        <x:v>142</x:v>
      </x:c>
      <x:c r="M26">
        <x:v>0</x:v>
      </x:c>
      <x:c r="P26">
        <x:v>10</x:v>
      </x:c>
    </x:row>
    <x:row r="27">
      <x:c r="A27" t="s">
        <x:v>299</x:v>
      </x:c>
      <x:c r="B27" t="s">
        <x:v>287</x:v>
      </x:c>
      <x:c r="C27" t="s">
        <x:v>300</x:v>
      </x:c>
      <x:c r="D27" t="s">
        <x:v>301</x:v>
      </x:c>
      <x:c r="E27" t="s">
        <x:v>100</x:v>
      </x:c>
      <x:c r="F27">
        <x:v>10</x:v>
      </x:c>
      <x:c r="G27">
        <x:v>13</x:v>
      </x:c>
      <x:c r="H27">
        <x:v>14</x:v>
      </x:c>
      <x:c r="I27">
        <x:v>2</x:v>
      </x:c>
      <x:c r="J27">
        <x:v>46286</x:v>
      </x:c>
      <x:c r="K27">
        <x:v>46299</x:v>
      </x:c>
      <x:c r="L27" t="s">
        <x:v>142</x:v>
      </x:c>
      <x:c r="M27">
        <x:v>0</x:v>
      </x:c>
      <x:c r="P27">
        <x:v>10</x:v>
      </x:c>
    </x:row>
    <x:row r="28">
      <x:c r="A28" t="s">
        <x:v>302</x:v>
      </x:c>
      <x:c r="B28" t="s">
        <x:v>287</x:v>
      </x:c>
      <x:c r="C28" t="s">
        <x:v>303</x:v>
      </x:c>
      <x:c r="D28" t="s">
        <x:v>304</x:v>
      </x:c>
      <x:c r="E28" t="s">
        <x:v>103</x:v>
      </x:c>
      <x:c r="F28">
        <x:v>8</x:v>
      </x:c>
      <x:c r="G28">
        <x:v>14</x:v>
      </x:c>
      <x:c r="H28">
        <x:v>15</x:v>
      </x:c>
      <x:c r="I28">
        <x:v>2</x:v>
      </x:c>
      <x:c r="J28">
        <x:v>46293</x:v>
      </x:c>
      <x:c r="K28">
        <x:v>46306</x:v>
      </x:c>
      <x:c r="L28" t="s">
        <x:v>142</x:v>
      </x:c>
      <x:c r="M28">
        <x:v>0</x:v>
      </x:c>
      <x:c r="P28">
        <x:v>8</x:v>
      </x:c>
    </x:row>
    <x:row r="29">
      <x:c r="A29" t="s">
        <x:v>305</x:v>
      </x:c>
      <x:c r="B29" t="s">
        <x:v>287</x:v>
      </x:c>
      <x:c r="C29" t="s">
        <x:v>306</x:v>
      </x:c>
      <x:c r="D29" t="s">
        <x:v>307</x:v>
      </x:c>
      <x:c r="E29" t="s">
        <x:v>299</x:v>
      </x:c>
      <x:c r="F29">
        <x:v>4</x:v>
      </x:c>
      <x:c r="G29">
        <x:v>15</x:v>
      </x:c>
      <x:c r="H29">
        <x:v>15</x:v>
      </x:c>
      <x:c r="I29">
        <x:v>1</x:v>
      </x:c>
      <x:c r="J29">
        <x:v>46300</x:v>
      </x:c>
      <x:c r="K29">
        <x:v>46306</x:v>
      </x:c>
      <x:c r="L29" t="s">
        <x:v>142</x:v>
      </x:c>
      <x:c r="M29">
        <x:v>0</x:v>
      </x:c>
      <x:c r="P29">
        <x:v>4</x:v>
      </x:c>
    </x:row>
    <x:row r="30">
      <x:c r="A30" t="s">
        <x:v>308</x:v>
      </x:c>
      <x:c r="B30" t="s">
        <x:v>287</x:v>
      </x:c>
      <x:c r="C30" t="s">
        <x:v>309</x:v>
      </x:c>
      <x:c r="D30" t="s">
        <x:v>310</x:v>
      </x:c>
      <x:c r="E30" t="s">
        <x:v>302</x:v>
      </x:c>
      <x:c r="F30">
        <x:v>4</x:v>
      </x:c>
      <x:c r="G30">
        <x:v>16</x:v>
      </x:c>
      <x:c r="H30">
        <x:v>16</x:v>
      </x:c>
      <x:c r="I30">
        <x:v>1</x:v>
      </x:c>
      <x:c r="J30">
        <x:v>46307</x:v>
      </x:c>
      <x:c r="K30">
        <x:v>46313</x:v>
      </x:c>
      <x:c r="L30" t="s">
        <x:v>142</x:v>
      </x:c>
      <x:c r="M30">
        <x:v>0</x:v>
      </x:c>
      <x:c r="P30">
        <x:v>4</x:v>
      </x:c>
    </x:row>
    <x:row r="31">
      <x:c r="A31" t="s">
        <x:v>107</x:v>
      </x:c>
      <x:c r="B31" t="s">
        <x:v>311</x:v>
      </x:c>
      <x:c r="C31" t="s">
        <x:v>312</x:v>
      </x:c>
      <x:c r="D31" t="s">
        <x:v>313</x:v>
      </x:c>
      <x:c r="E31" t="s">
        <x:v>308</x:v>
      </x:c>
      <x:c r="F31">
        <x:v>18</x:v>
      </x:c>
      <x:c r="G31">
        <x:v>17</x:v>
      </x:c>
      <x:c r="H31">
        <x:v>18</x:v>
      </x:c>
      <x:c r="I31">
        <x:v>2</x:v>
      </x:c>
      <x:c r="J31">
        <x:v>46314</x:v>
      </x:c>
      <x:c r="K31">
        <x:v>46327</x:v>
      </x:c>
      <x:c r="L31" t="s">
        <x:v>142</x:v>
      </x:c>
      <x:c r="M31">
        <x:v>0</x:v>
      </x:c>
      <x:c r="P31">
        <x:v>18</x:v>
      </x:c>
    </x:row>
    <x:row r="32">
      <x:c r="A32" t="s">
        <x:v>110</x:v>
      </x:c>
      <x:c r="B32" t="s">
        <x:v>311</x:v>
      </x:c>
      <x:c r="C32" t="s">
        <x:v>314</x:v>
      </x:c>
      <x:c r="D32" t="s">
        <x:v>315</x:v>
      </x:c>
      <x:c r="E32" t="s">
        <x:v>107</x:v>
      </x:c>
      <x:c r="F32">
        <x:v>12</x:v>
      </x:c>
      <x:c r="G32">
        <x:v>18</x:v>
      </x:c>
      <x:c r="H32">
        <x:v>19</x:v>
      </x:c>
      <x:c r="I32">
        <x:v>2</x:v>
      </x:c>
      <x:c r="J32">
        <x:v>46321</x:v>
      </x:c>
      <x:c r="K32">
        <x:v>46334</x:v>
      </x:c>
      <x:c r="L32" t="s">
        <x:v>142</x:v>
      </x:c>
      <x:c r="M32">
        <x:v>0</x:v>
      </x:c>
      <x:c r="P32">
        <x:v>12</x:v>
      </x:c>
    </x:row>
    <x:row r="33">
      <x:c r="A33" t="s">
        <x:v>114</x:v>
      </x:c>
      <x:c r="B33" t="s">
        <x:v>311</x:v>
      </x:c>
      <x:c r="C33" t="s">
        <x:v>316</x:v>
      </x:c>
      <x:c r="D33" t="s">
        <x:v>317</x:v>
      </x:c>
      <x:c r="E33" t="s">
        <x:v>110</x:v>
      </x:c>
      <x:c r="F33">
        <x:v>12</x:v>
      </x:c>
      <x:c r="G33">
        <x:v>19</x:v>
      </x:c>
      <x:c r="H33">
        <x:v>20</x:v>
      </x:c>
      <x:c r="I33">
        <x:v>2</x:v>
      </x:c>
      <x:c r="J33">
        <x:v>46328</x:v>
      </x:c>
      <x:c r="K33">
        <x:v>46341</x:v>
      </x:c>
      <x:c r="L33" t="s">
        <x:v>142</x:v>
      </x:c>
      <x:c r="M33">
        <x:v>0</x:v>
      </x:c>
      <x:c r="P33">
        <x:v>12</x:v>
      </x:c>
    </x:row>
    <x:row r="34">
      <x:c r="A34" t="s">
        <x:v>117</x:v>
      </x:c>
      <x:c r="B34" t="s">
        <x:v>311</x:v>
      </x:c>
      <x:c r="C34" t="s">
        <x:v>318</x:v>
      </x:c>
      <x:c r="D34" t="s">
        <x:v>319</x:v>
      </x:c>
      <x:c r="E34" t="s">
        <x:v>114</x:v>
      </x:c>
      <x:c r="F34">
        <x:v>8</x:v>
      </x:c>
      <x:c r="G34">
        <x:v>20</x:v>
      </x:c>
      <x:c r="H34">
        <x:v>20</x:v>
      </x:c>
      <x:c r="I34">
        <x:v>1</x:v>
      </x:c>
      <x:c r="J34">
        <x:v>46335</x:v>
      </x:c>
      <x:c r="K34">
        <x:v>46341</x:v>
      </x:c>
      <x:c r="L34" t="s">
        <x:v>142</x:v>
      </x:c>
      <x:c r="M34">
        <x:v>0</x:v>
      </x:c>
      <x:c r="P34">
        <x:v>8</x:v>
      </x:c>
    </x:row>
    <x:row r="35">
      <x:c r="A35" t="s">
        <x:v>320</x:v>
      </x:c>
      <x:c r="B35" t="s">
        <x:v>311</x:v>
      </x:c>
      <x:c r="C35" t="s">
        <x:v>321</x:v>
      </x:c>
      <x:c r="D35" t="s">
        <x:v>322</x:v>
      </x:c>
      <x:c r="E35" t="s">
        <x:v>117</x:v>
      </x:c>
      <x:c r="F35">
        <x:v>10</x:v>
      </x:c>
      <x:c r="G35">
        <x:v>21</x:v>
      </x:c>
      <x:c r="H35">
        <x:v>21</x:v>
      </x:c>
      <x:c r="I35">
        <x:v>1</x:v>
      </x:c>
      <x:c r="J35">
        <x:v>46342</x:v>
      </x:c>
      <x:c r="K35">
        <x:v>46348</x:v>
      </x:c>
      <x:c r="L35" t="s">
        <x:v>142</x:v>
      </x:c>
      <x:c r="M35">
        <x:v>0</x:v>
      </x:c>
      <x:c r="P35">
        <x:v>10</x:v>
      </x:c>
    </x:row>
    <x:row r="36">
      <x:c r="A36" t="s">
        <x:v>323</x:v>
      </x:c>
      <x:c r="B36" t="s">
        <x:v>311</x:v>
      </x:c>
      <x:c r="C36" t="s">
        <x:v>324</x:v>
      </x:c>
      <x:c r="D36" t="s">
        <x:v>325</x:v>
      </x:c>
      <x:c r="E36" t="s">
        <x:v>320</x:v>
      </x:c>
      <x:c r="F36">
        <x:v>10</x:v>
      </x:c>
      <x:c r="G36">
        <x:v>21</x:v>
      </x:c>
      <x:c r="H36">
        <x:v>22</x:v>
      </x:c>
      <x:c r="I36">
        <x:v>2</x:v>
      </x:c>
      <x:c r="J36">
        <x:v>46342</x:v>
      </x:c>
      <x:c r="K36">
        <x:v>46355</x:v>
      </x:c>
      <x:c r="L36" t="s">
        <x:v>142</x:v>
      </x:c>
      <x:c r="M36">
        <x:v>0</x:v>
      </x:c>
      <x:c r="P36">
        <x:v>10</x:v>
      </x:c>
    </x:row>
    <x:row r="37">
      <x:c r="A37" t="s">
        <x:v>326</x:v>
      </x:c>
      <x:c r="B37" t="s">
        <x:v>311</x:v>
      </x:c>
      <x:c r="C37" t="s">
        <x:v>327</x:v>
      </x:c>
      <x:c r="D37" t="s">
        <x:v>328</x:v>
      </x:c>
      <x:c r="E37" t="s">
        <x:v>323</x:v>
      </x:c>
      <x:c r="F37">
        <x:v>10</x:v>
      </x:c>
      <x:c r="G37">
        <x:v>22</x:v>
      </x:c>
      <x:c r="H37">
        <x:v>23</x:v>
      </x:c>
      <x:c r="I37">
        <x:v>2</x:v>
      </x:c>
      <x:c r="J37">
        <x:v>46349</x:v>
      </x:c>
      <x:c r="K37">
        <x:v>46362</x:v>
      </x:c>
      <x:c r="L37" t="s">
        <x:v>142</x:v>
      </x:c>
      <x:c r="M37">
        <x:v>0</x:v>
      </x:c>
      <x:c r="P37">
        <x:v>10</x:v>
      </x:c>
    </x:row>
    <x:row r="38">
      <x:c r="A38" t="s">
        <x:v>329</x:v>
      </x:c>
      <x:c r="B38" t="s">
        <x:v>311</x:v>
      </x:c>
      <x:c r="C38" t="s">
        <x:v>330</x:v>
      </x:c>
      <x:c r="D38" t="s">
        <x:v>331</x:v>
      </x:c>
      <x:c r="E38" t="s">
        <x:v>326</x:v>
      </x:c>
      <x:c r="F38">
        <x:v>8</x:v>
      </x:c>
      <x:c r="G38">
        <x:v>24</x:v>
      </x:c>
      <x:c r="H38">
        <x:v>24</x:v>
      </x:c>
      <x:c r="I38">
        <x:v>1</x:v>
      </x:c>
      <x:c r="J38">
        <x:v>46363</x:v>
      </x:c>
      <x:c r="K38">
        <x:v>46369</x:v>
      </x:c>
      <x:c r="L38" t="s">
        <x:v>142</x:v>
      </x:c>
      <x:c r="M38">
        <x:v>0</x:v>
      </x:c>
      <x:c r="P38">
        <x:v>8</x:v>
      </x:c>
    </x:row>
    <x:row r="39">
      <x:c r="A39" t="s">
        <x:v>121</x:v>
      </x:c>
      <x:c r="B39" t="s">
        <x:v>332</x:v>
      </x:c>
      <x:c r="C39" t="s">
        <x:v>333</x:v>
      </x:c>
      <x:c r="D39" t="s">
        <x:v>334</x:v>
      </x:c>
      <x:c r="E39" t="s">
        <x:v>329</x:v>
      </x:c>
      <x:c r="F39">
        <x:v>8</x:v>
      </x:c>
      <x:c r="G39">
        <x:v>25</x:v>
      </x:c>
      <x:c r="H39">
        <x:v>25</x:v>
      </x:c>
      <x:c r="I39">
        <x:v>1</x:v>
      </x:c>
      <x:c r="J39">
        <x:v>46370</x:v>
      </x:c>
      <x:c r="K39">
        <x:v>46376</x:v>
      </x:c>
      <x:c r="L39" t="s">
        <x:v>142</x:v>
      </x:c>
      <x:c r="M39">
        <x:v>0</x:v>
      </x:c>
      <x:c r="P39">
        <x:v>8</x:v>
      </x:c>
    </x:row>
    <x:row r="40">
      <x:c r="A40" t="s">
        <x:v>124</x:v>
      </x:c>
      <x:c r="B40" t="s">
        <x:v>332</x:v>
      </x:c>
      <x:c r="C40" t="s">
        <x:v>335</x:v>
      </x:c>
      <x:c r="D40" t="s">
        <x:v>336</x:v>
      </x:c>
      <x:c r="E40" t="s">
        <x:v>121</x:v>
      </x:c>
      <x:c r="F40">
        <x:v>10</x:v>
      </x:c>
      <x:c r="G40">
        <x:v>25</x:v>
      </x:c>
      <x:c r="H40">
        <x:v>26</x:v>
      </x:c>
      <x:c r="I40">
        <x:v>2</x:v>
      </x:c>
      <x:c r="J40">
        <x:v>46370</x:v>
      </x:c>
      <x:c r="K40">
        <x:v>46383</x:v>
      </x:c>
      <x:c r="L40" t="s">
        <x:v>142</x:v>
      </x:c>
      <x:c r="M40">
        <x:v>0</x:v>
      </x:c>
      <x:c r="P40">
        <x:v>10</x:v>
      </x:c>
    </x:row>
    <x:row r="41">
      <x:c r="A41" t="s">
        <x:v>127</x:v>
      </x:c>
      <x:c r="B41" t="s">
        <x:v>332</x:v>
      </x:c>
      <x:c r="C41" t="s">
        <x:v>337</x:v>
      </x:c>
      <x:c r="D41" t="s">
        <x:v>338</x:v>
      </x:c>
      <x:c r="E41" t="s">
        <x:v>124</x:v>
      </x:c>
      <x:c r="F41">
        <x:v>18</x:v>
      </x:c>
      <x:c r="G41">
        <x:v>26</x:v>
      </x:c>
      <x:c r="H41">
        <x:v>28</x:v>
      </x:c>
      <x:c r="I41">
        <x:v>3</x:v>
      </x:c>
      <x:c r="J41">
        <x:v>46377</x:v>
      </x:c>
      <x:c r="K41">
        <x:v>46397</x:v>
      </x:c>
      <x:c r="L41" t="s">
        <x:v>142</x:v>
      </x:c>
      <x:c r="M41">
        <x:v>0</x:v>
      </x:c>
      <x:c r="P41">
        <x:v>18</x:v>
      </x:c>
    </x:row>
    <x:row r="42">
      <x:c r="A42" t="s">
        <x:v>339</x:v>
      </x:c>
      <x:c r="B42" t="s">
        <x:v>332</x:v>
      </x:c>
      <x:c r="C42" t="s">
        <x:v>340</x:v>
      </x:c>
      <x:c r="D42" t="s">
        <x:v>341</x:v>
      </x:c>
      <x:c r="E42" t="s">
        <x:v>127</x:v>
      </x:c>
      <x:c r="F42">
        <x:v>14</x:v>
      </x:c>
      <x:c r="G42">
        <x:v>28</x:v>
      </x:c>
      <x:c r="H42">
        <x:v>29</x:v>
      </x:c>
      <x:c r="I42">
        <x:v>2</x:v>
      </x:c>
      <x:c r="J42">
        <x:v>46391</x:v>
      </x:c>
      <x:c r="K42">
        <x:v>46404</x:v>
      </x:c>
      <x:c r="L42" t="s">
        <x:v>142</x:v>
      </x:c>
      <x:c r="M42">
        <x:v>0</x:v>
      </x:c>
      <x:c r="P42">
        <x:v>14</x:v>
      </x:c>
    </x:row>
    <x:row r="43">
      <x:c r="A43" t="s">
        <x:v>342</x:v>
      </x:c>
      <x:c r="B43" t="s">
        <x:v>332</x:v>
      </x:c>
      <x:c r="C43" t="s">
        <x:v>343</x:v>
      </x:c>
      <x:c r="D43" t="s">
        <x:v>344</x:v>
      </x:c>
      <x:c r="E43" t="s">
        <x:v>127</x:v>
      </x:c>
      <x:c r="F43">
        <x:v>14</x:v>
      </x:c>
      <x:c r="G43">
        <x:v>29</x:v>
      </x:c>
      <x:c r="H43">
        <x:v>30</x:v>
      </x:c>
      <x:c r="I43">
        <x:v>2</x:v>
      </x:c>
      <x:c r="J43">
        <x:v>46398</x:v>
      </x:c>
      <x:c r="K43">
        <x:v>46411</x:v>
      </x:c>
      <x:c r="L43" t="s">
        <x:v>142</x:v>
      </x:c>
      <x:c r="M43">
        <x:v>0</x:v>
      </x:c>
      <x:c r="P43">
        <x:v>14</x:v>
      </x:c>
    </x:row>
    <x:row r="44">
      <x:c r="A44" t="s">
        <x:v>345</x:v>
      </x:c>
      <x:c r="B44" t="s">
        <x:v>332</x:v>
      </x:c>
      <x:c r="C44" t="s">
        <x:v>346</x:v>
      </x:c>
      <x:c r="D44" t="s">
        <x:v>347</x:v>
      </x:c>
      <x:c r="E44" t="s">
        <x:v>339</x:v>
      </x:c>
      <x:c r="F44">
        <x:v>20</x:v>
      </x:c>
      <x:c r="G44">
        <x:v>30</x:v>
      </x:c>
      <x:c r="H44">
        <x:v>31</x:v>
      </x:c>
      <x:c r="I44">
        <x:v>2</x:v>
      </x:c>
      <x:c r="J44">
        <x:v>46405</x:v>
      </x:c>
      <x:c r="K44">
        <x:v>46418</x:v>
      </x:c>
      <x:c r="L44" t="s">
        <x:v>142</x:v>
      </x:c>
      <x:c r="M44">
        <x:v>0</x:v>
      </x:c>
      <x:c r="P44">
        <x:v>20</x:v>
      </x:c>
    </x:row>
    <x:row r="45">
      <x:c r="A45" t="s">
        <x:v>348</x:v>
      </x:c>
      <x:c r="B45" t="s">
        <x:v>332</x:v>
      </x:c>
      <x:c r="C45" t="s">
        <x:v>349</x:v>
      </x:c>
      <x:c r="D45" t="s">
        <x:v>350</x:v>
      </x:c>
      <x:c r="E45" t="s">
        <x:v>345</x:v>
      </x:c>
      <x:c r="F45">
        <x:v>12</x:v>
      </x:c>
      <x:c r="G45">
        <x:v>32</x:v>
      </x:c>
      <x:c r="H45">
        <x:v>32</x:v>
      </x:c>
      <x:c r="I45">
        <x:v>1</x:v>
      </x:c>
      <x:c r="J45">
        <x:v>46419</x:v>
      </x:c>
      <x:c r="K45">
        <x:v>46425</x:v>
      </x:c>
      <x:c r="L45" t="s">
        <x:v>142</x:v>
      </x:c>
      <x:c r="M45">
        <x:v>0</x:v>
      </x:c>
      <x:c r="P45">
        <x:v>12</x:v>
      </x:c>
    </x:row>
    <x:row r="46">
      <x:c r="A46" t="s">
        <x:v>131</x:v>
      </x:c>
      <x:c r="B46" t="s">
        <x:v>351</x:v>
      </x:c>
      <x:c r="C46" t="s">
        <x:v>352</x:v>
      </x:c>
      <x:c r="D46" t="s">
        <x:v>353</x:v>
      </x:c>
      <x:c r="E46" t="s">
        <x:v>348</x:v>
      </x:c>
      <x:c r="F46">
        <x:v>10</x:v>
      </x:c>
      <x:c r="G46">
        <x:v>33</x:v>
      </x:c>
      <x:c r="H46">
        <x:v>33</x:v>
      </x:c>
      <x:c r="I46">
        <x:v>1</x:v>
      </x:c>
      <x:c r="J46">
        <x:v>46426</x:v>
      </x:c>
      <x:c r="K46">
        <x:v>46432</x:v>
      </x:c>
      <x:c r="L46" t="s">
        <x:v>142</x:v>
      </x:c>
      <x:c r="M46">
        <x:v>0</x:v>
      </x:c>
      <x:c r="P46">
        <x:v>10</x:v>
      </x:c>
    </x:row>
    <x:row r="47">
      <x:c r="A47" t="s">
        <x:v>135</x:v>
      </x:c>
      <x:c r="B47" t="s">
        <x:v>351</x:v>
      </x:c>
      <x:c r="C47" t="s">
        <x:v>354</x:v>
      </x:c>
      <x:c r="D47" t="s">
        <x:v>355</x:v>
      </x:c>
      <x:c r="E47" t="s">
        <x:v>131</x:v>
      </x:c>
      <x:c r="F47">
        <x:v>16</x:v>
      </x:c>
      <x:c r="G47">
        <x:v>34</x:v>
      </x:c>
      <x:c r="H47">
        <x:v>35</x:v>
      </x:c>
      <x:c r="I47">
        <x:v>2</x:v>
      </x:c>
      <x:c r="J47">
        <x:v>46433</x:v>
      </x:c>
      <x:c r="K47">
        <x:v>46446</x:v>
      </x:c>
      <x:c r="L47" t="s">
        <x:v>142</x:v>
      </x:c>
      <x:c r="M47">
        <x:v>0</x:v>
      </x:c>
      <x:c r="P47">
        <x:v>16</x:v>
      </x:c>
    </x:row>
    <x:row r="48">
      <x:c r="A48" t="s">
        <x:v>138</x:v>
      </x:c>
      <x:c r="B48" t="s">
        <x:v>351</x:v>
      </x:c>
      <x:c r="C48" t="s">
        <x:v>356</x:v>
      </x:c>
      <x:c r="D48" t="s">
        <x:v>357</x:v>
      </x:c>
      <x:c r="E48" t="s">
        <x:v>135</x:v>
      </x:c>
      <x:c r="F48">
        <x:v>12</x:v>
      </x:c>
      <x:c r="G48">
        <x:v>35</x:v>
      </x:c>
      <x:c r="H48">
        <x:v>36</x:v>
      </x:c>
      <x:c r="I48">
        <x:v>2</x:v>
      </x:c>
      <x:c r="J48">
        <x:v>46440</x:v>
      </x:c>
      <x:c r="K48">
        <x:v>46453</x:v>
      </x:c>
      <x:c r="L48" t="s">
        <x:v>142</x:v>
      </x:c>
      <x:c r="M48">
        <x:v>0</x:v>
      </x:c>
      <x:c r="P48">
        <x:v>12</x:v>
      </x:c>
    </x:row>
    <x:row r="49">
      <x:c r="A49" t="s">
        <x:v>358</x:v>
      </x:c>
      <x:c r="B49" t="s">
        <x:v>351</x:v>
      </x:c>
      <x:c r="C49" t="s">
        <x:v>359</x:v>
      </x:c>
      <x:c r="D49" t="s">
        <x:v>360</x:v>
      </x:c>
      <x:c r="E49" t="s">
        <x:v>138</x:v>
      </x:c>
      <x:c r="F49">
        <x:v>10</x:v>
      </x:c>
      <x:c r="G49">
        <x:v>36</x:v>
      </x:c>
      <x:c r="H49">
        <x:v>36</x:v>
      </x:c>
      <x:c r="I49">
        <x:v>1</x:v>
      </x:c>
      <x:c r="J49">
        <x:v>46447</x:v>
      </x:c>
      <x:c r="K49">
        <x:v>46453</x:v>
      </x:c>
      <x:c r="L49" t="s">
        <x:v>142</x:v>
      </x:c>
      <x:c r="M49">
        <x:v>0</x:v>
      </x:c>
      <x:c r="P49">
        <x:v>10</x:v>
      </x:c>
    </x:row>
    <x:row r="50">
      <x:c r="A50" t="s">
        <x:v>361</x:v>
      </x:c>
      <x:c r="B50" t="s">
        <x:v>351</x:v>
      </x:c>
      <x:c r="C50" t="s">
        <x:v>362</x:v>
      </x:c>
      <x:c r="D50" t="s">
        <x:v>363</x:v>
      </x:c>
      <x:c r="E50" t="s">
        <x:v>358</x:v>
      </x:c>
      <x:c r="F50">
        <x:v>16</x:v>
      </x:c>
      <x:c r="G50">
        <x:v>37</x:v>
      </x:c>
      <x:c r="H50">
        <x:v>38</x:v>
      </x:c>
      <x:c r="I50">
        <x:v>2</x:v>
      </x:c>
      <x:c r="J50">
        <x:v>46454</x:v>
      </x:c>
      <x:c r="K50">
        <x:v>46467</x:v>
      </x:c>
      <x:c r="L50" t="s">
        <x:v>142</x:v>
      </x:c>
      <x:c r="M50">
        <x:v>0</x:v>
      </x:c>
      <x:c r="P50">
        <x:v>16</x:v>
      </x:c>
    </x:row>
    <x:row r="51">
      <x:c r="A51" t="s">
        <x:v>364</x:v>
      </x:c>
      <x:c r="B51" t="s">
        <x:v>351</x:v>
      </x:c>
      <x:c r="C51" t="s">
        <x:v>365</x:v>
      </x:c>
      <x:c r="D51" t="s">
        <x:v>366</x:v>
      </x:c>
      <x:c r="E51" t="s">
        <x:v>361</x:v>
      </x:c>
      <x:c r="F51">
        <x:v>14</x:v>
      </x:c>
      <x:c r="G51">
        <x:v>38</x:v>
      </x:c>
      <x:c r="H51">
        <x:v>39</x:v>
      </x:c>
      <x:c r="I51">
        <x:v>2</x:v>
      </x:c>
      <x:c r="J51">
        <x:v>46461</x:v>
      </x:c>
      <x:c r="K51">
        <x:v>46474</x:v>
      </x:c>
      <x:c r="L51" t="s">
        <x:v>142</x:v>
      </x:c>
      <x:c r="M51">
        <x:v>0</x:v>
      </x:c>
      <x:c r="P51">
        <x:v>14</x:v>
      </x:c>
    </x:row>
    <x:row r="52">
      <x:c r="A52" t="s">
        <x:v>367</x:v>
      </x:c>
      <x:c r="B52" t="s">
        <x:v>351</x:v>
      </x:c>
      <x:c r="C52" t="s">
        <x:v>368</x:v>
      </x:c>
      <x:c r="D52" t="s">
        <x:v>369</x:v>
      </x:c>
      <x:c r="E52" t="s">
        <x:v>364</x:v>
      </x:c>
      <x:c r="F52">
        <x:v>16</x:v>
      </x:c>
      <x:c r="G52">
        <x:v>40</x:v>
      </x:c>
      <x:c r="H52">
        <x:v>41</x:v>
      </x:c>
      <x:c r="I52">
        <x:v>2</x:v>
      </x:c>
      <x:c r="J52">
        <x:v>46475</x:v>
      </x:c>
      <x:c r="K52">
        <x:v>46488</x:v>
      </x:c>
      <x:c r="L52" t="s">
        <x:v>142</x:v>
      </x:c>
      <x:c r="M52">
        <x:v>0</x:v>
      </x:c>
      <x:c r="P52">
        <x:v>16</x:v>
      </x:c>
    </x:row>
    <x:row r="53">
      <x:c r="A53" t="s">
        <x:v>370</x:v>
      </x:c>
      <x:c r="B53" t="s">
        <x:v>351</x:v>
      </x:c>
      <x:c r="C53" t="s">
        <x:v>371</x:v>
      </x:c>
      <x:c r="D53" t="s">
        <x:v>372</x:v>
      </x:c>
      <x:c r="E53" t="s">
        <x:v>367</x:v>
      </x:c>
      <x:c r="F53">
        <x:v>10</x:v>
      </x:c>
      <x:c r="G53">
        <x:v>42</x:v>
      </x:c>
      <x:c r="H53">
        <x:v>42</x:v>
      </x:c>
      <x:c r="I53">
        <x:v>1</x:v>
      </x:c>
      <x:c r="J53">
        <x:v>46489</x:v>
      </x:c>
      <x:c r="K53">
        <x:v>46495</x:v>
      </x:c>
      <x:c r="L53" t="s">
        <x:v>142</x:v>
      </x:c>
      <x:c r="M53">
        <x:v>0</x:v>
      </x:c>
      <x:c r="P53">
        <x:v>10</x:v>
      </x:c>
    </x:row>
    <x:row r="54">
      <x:c r="A54" t="s">
        <x:v>373</x:v>
      </x:c>
      <x:c r="B54" t="s">
        <x:v>374</x:v>
      </x:c>
      <x:c r="C54" t="s">
        <x:v>375</x:v>
      </x:c>
      <x:c r="D54" t="s">
        <x:v>376</x:v>
      </x:c>
      <x:c r="E54" t="s">
        <x:v>370</x:v>
      </x:c>
      <x:c r="F54">
        <x:v>6</x:v>
      </x:c>
      <x:c r="G54">
        <x:v>43</x:v>
      </x:c>
      <x:c r="H54">
        <x:v>43</x:v>
      </x:c>
      <x:c r="I54">
        <x:v>1</x:v>
      </x:c>
      <x:c r="J54">
        <x:v>46496</x:v>
      </x:c>
      <x:c r="K54">
        <x:v>46502</x:v>
      </x:c>
      <x:c r="L54" t="s">
        <x:v>142</x:v>
      </x:c>
      <x:c r="M54">
        <x:v>0</x:v>
      </x:c>
      <x:c r="P54">
        <x:v>6</x:v>
      </x:c>
    </x:row>
    <x:row r="55">
      <x:c r="A55" t="s">
        <x:v>377</x:v>
      </x:c>
      <x:c r="B55" t="s">
        <x:v>374</x:v>
      </x:c>
      <x:c r="C55" t="s">
        <x:v>378</x:v>
      </x:c>
      <x:c r="D55" t="s">
        <x:v>379</x:v>
      </x:c>
      <x:c r="E55" t="s">
        <x:v>373</x:v>
      </x:c>
      <x:c r="F55">
        <x:v>10</x:v>
      </x:c>
      <x:c r="G55">
        <x:v>43</x:v>
      </x:c>
      <x:c r="H55">
        <x:v>44</x:v>
      </x:c>
      <x:c r="I55">
        <x:v>2</x:v>
      </x:c>
      <x:c r="J55">
        <x:v>46496</x:v>
      </x:c>
      <x:c r="K55">
        <x:v>46509</x:v>
      </x:c>
      <x:c r="L55" t="s">
        <x:v>142</x:v>
      </x:c>
      <x:c r="M55">
        <x:v>0</x:v>
      </x:c>
      <x:c r="P55">
        <x:v>10</x:v>
      </x:c>
    </x:row>
    <x:row r="56">
      <x:c r="A56" t="s">
        <x:v>380</x:v>
      </x:c>
      <x:c r="B56" t="s">
        <x:v>374</x:v>
      </x:c>
      <x:c r="C56" t="s">
        <x:v>381</x:v>
      </x:c>
      <x:c r="D56" t="s">
        <x:v>382</x:v>
      </x:c>
      <x:c r="E56" t="s">
        <x:v>377</x:v>
      </x:c>
      <x:c r="F56">
        <x:v>14</x:v>
      </x:c>
      <x:c r="G56">
        <x:v>44</x:v>
      </x:c>
      <x:c r="H56">
        <x:v>45</x:v>
      </x:c>
      <x:c r="I56">
        <x:v>2</x:v>
      </x:c>
      <x:c r="J56">
        <x:v>46503</x:v>
      </x:c>
      <x:c r="K56">
        <x:v>46516</x:v>
      </x:c>
      <x:c r="L56" t="s">
        <x:v>142</x:v>
      </x:c>
      <x:c r="M56">
        <x:v>0</x:v>
      </x:c>
      <x:c r="P56">
        <x:v>14</x:v>
      </x:c>
    </x:row>
    <x:row r="57">
      <x:c r="A57" t="s">
        <x:v>383</x:v>
      </x:c>
      <x:c r="B57" t="s">
        <x:v>374</x:v>
      </x:c>
      <x:c r="C57" t="s">
        <x:v>384</x:v>
      </x:c>
      <x:c r="D57" t="s">
        <x:v>385</x:v>
      </x:c>
      <x:c r="E57" t="s">
        <x:v>380</x:v>
      </x:c>
      <x:c r="F57">
        <x:v>8</x:v>
      </x:c>
      <x:c r="G57">
        <x:v>45</x:v>
      </x:c>
      <x:c r="H57">
        <x:v>46</x:v>
      </x:c>
      <x:c r="I57">
        <x:v>2</x:v>
      </x:c>
      <x:c r="J57">
        <x:v>46510</x:v>
      </x:c>
      <x:c r="K57">
        <x:v>46523</x:v>
      </x:c>
      <x:c r="L57" t="s">
        <x:v>142</x:v>
      </x:c>
      <x:c r="M57">
        <x:v>0</x:v>
      </x:c>
      <x:c r="P57">
        <x:v>8</x:v>
      </x:c>
    </x:row>
    <x:row r="58">
      <x:c r="A58" t="s">
        <x:v>386</x:v>
      </x:c>
      <x:c r="B58" t="s">
        <x:v>374</x:v>
      </x:c>
      <x:c r="C58" t="s">
        <x:v>387</x:v>
      </x:c>
      <x:c r="D58" t="s">
        <x:v>388</x:v>
      </x:c>
      <x:c r="E58" t="s">
        <x:v>383</x:v>
      </x:c>
      <x:c r="F58">
        <x:v>10</x:v>
      </x:c>
      <x:c r="G58">
        <x:v>46</x:v>
      </x:c>
      <x:c r="H58">
        <x:v>47</x:v>
      </x:c>
      <x:c r="I58">
        <x:v>2</x:v>
      </x:c>
      <x:c r="J58">
        <x:v>46517</x:v>
      </x:c>
      <x:c r="K58">
        <x:v>46530</x:v>
      </x:c>
      <x:c r="L58" t="s">
        <x:v>142</x:v>
      </x:c>
      <x:c r="M58">
        <x:v>0</x:v>
      </x:c>
      <x:c r="P58">
        <x:v>10</x:v>
      </x:c>
    </x:row>
    <x:row r="59">
      <x:c r="A59" t="s">
        <x:v>389</x:v>
      </x:c>
      <x:c r="B59" t="s">
        <x:v>374</x:v>
      </x:c>
      <x:c r="C59" t="s">
        <x:v>390</x:v>
      </x:c>
      <x:c r="D59" t="s">
        <x:v>391</x:v>
      </x:c>
      <x:c r="E59" t="s">
        <x:v>386</x:v>
      </x:c>
      <x:c r="F59">
        <x:v>4</x:v>
      </x:c>
      <x:c r="G59">
        <x:v>47</x:v>
      </x:c>
      <x:c r="H59">
        <x:v>47</x:v>
      </x:c>
      <x:c r="I59">
        <x:v>1</x:v>
      </x:c>
      <x:c r="J59">
        <x:v>46524</x:v>
      </x:c>
      <x:c r="K59">
        <x:v>46530</x:v>
      </x:c>
      <x:c r="L59" t="s">
        <x:v>142</x:v>
      </x:c>
      <x:c r="M59">
        <x:v>0</x:v>
      </x:c>
      <x:c r="P59">
        <x:v>4</x:v>
      </x:c>
    </x:row>
    <x:row r="60">
      <x:c r="A60" t="s">
        <x:v>392</x:v>
      </x:c>
      <x:c r="B60" t="s">
        <x:v>393</x:v>
      </x:c>
      <x:c r="C60" t="s">
        <x:v>394</x:v>
      </x:c>
      <x:c r="D60" t="s">
        <x:v>395</x:v>
      </x:c>
      <x:c r="E60" t="s">
        <x:v>389</x:v>
      </x:c>
      <x:c r="F60">
        <x:v>12</x:v>
      </x:c>
      <x:c r="G60">
        <x:v>48</x:v>
      </x:c>
      <x:c r="H60">
        <x:v>48</x:v>
      </x:c>
      <x:c r="I60">
        <x:v>1</x:v>
      </x:c>
      <x:c r="J60">
        <x:v>46531</x:v>
      </x:c>
      <x:c r="K60">
        <x:v>46537</x:v>
      </x:c>
      <x:c r="L60" t="s">
        <x:v>142</x:v>
      </x:c>
      <x:c r="M60">
        <x:v>0</x:v>
      </x:c>
      <x:c r="P60">
        <x:v>12</x:v>
      </x:c>
    </x:row>
    <x:row r="61">
      <x:c r="A61" t="s">
        <x:v>396</x:v>
      </x:c>
      <x:c r="B61" t="s">
        <x:v>393</x:v>
      </x:c>
      <x:c r="C61" t="s">
        <x:v>397</x:v>
      </x:c>
      <x:c r="D61" t="s">
        <x:v>398</x:v>
      </x:c>
      <x:c r="E61" t="s">
        <x:v>392</x:v>
      </x:c>
      <x:c r="F61">
        <x:v>10</x:v>
      </x:c>
      <x:c r="G61">
        <x:v>48</x:v>
      </x:c>
      <x:c r="H61">
        <x:v>49</x:v>
      </x:c>
      <x:c r="I61">
        <x:v>2</x:v>
      </x:c>
      <x:c r="J61">
        <x:v>46531</x:v>
      </x:c>
      <x:c r="K61">
        <x:v>46544</x:v>
      </x:c>
      <x:c r="L61" t="s">
        <x:v>142</x:v>
      </x:c>
      <x:c r="M61">
        <x:v>0</x:v>
      </x:c>
      <x:c r="P61">
        <x:v>10</x:v>
      </x:c>
    </x:row>
    <x:row r="62">
      <x:c r="A62" t="s">
        <x:v>399</x:v>
      </x:c>
      <x:c r="B62" t="s">
        <x:v>393</x:v>
      </x:c>
      <x:c r="C62" t="s">
        <x:v>400</x:v>
      </x:c>
      <x:c r="D62" t="s">
        <x:v>401</x:v>
      </x:c>
      <x:c r="E62" t="s">
        <x:v>392</x:v>
      </x:c>
      <x:c r="F62">
        <x:v>10</x:v>
      </x:c>
      <x:c r="G62">
        <x:v>49</x:v>
      </x:c>
      <x:c r="H62">
        <x:v>50</x:v>
      </x:c>
      <x:c r="I62">
        <x:v>2</x:v>
      </x:c>
      <x:c r="J62">
        <x:v>46538</x:v>
      </x:c>
      <x:c r="K62">
        <x:v>46551</x:v>
      </x:c>
      <x:c r="L62" t="s">
        <x:v>142</x:v>
      </x:c>
      <x:c r="M62">
        <x:v>0</x:v>
      </x:c>
      <x:c r="P62">
        <x:v>10</x:v>
      </x:c>
    </x:row>
    <x:row r="63">
      <x:c r="A63" t="s">
        <x:v>402</x:v>
      </x:c>
      <x:c r="B63" t="s">
        <x:v>393</x:v>
      </x:c>
      <x:c r="C63" t="s">
        <x:v>403</x:v>
      </x:c>
      <x:c r="D63" t="s">
        <x:v>404</x:v>
      </x:c>
      <x:c r="E63" t="s">
        <x:v>396</x:v>
      </x:c>
      <x:c r="F63">
        <x:v>10</x:v>
      </x:c>
      <x:c r="G63">
        <x:v>50</x:v>
      </x:c>
      <x:c r="H63">
        <x:v>50</x:v>
      </x:c>
      <x:c r="I63">
        <x:v>1</x:v>
      </x:c>
      <x:c r="J63">
        <x:v>46545</x:v>
      </x:c>
      <x:c r="K63">
        <x:v>46551</x:v>
      </x:c>
      <x:c r="L63" t="s">
        <x:v>142</x:v>
      </x:c>
      <x:c r="M63">
        <x:v>0</x:v>
      </x:c>
      <x:c r="P63">
        <x:v>10</x:v>
      </x:c>
    </x:row>
    <x:row r="64">
      <x:c r="A64" t="s">
        <x:v>405</x:v>
      </x:c>
      <x:c r="B64" t="s">
        <x:v>393</x:v>
      </x:c>
      <x:c r="C64" t="s">
        <x:v>406</x:v>
      </x:c>
      <x:c r="D64" t="s">
        <x:v>407</x:v>
      </x:c>
      <x:c r="E64" t="s">
        <x:v>399</x:v>
      </x:c>
      <x:c r="F64">
        <x:v>8</x:v>
      </x:c>
      <x:c r="G64">
        <x:v>51</x:v>
      </x:c>
      <x:c r="H64">
        <x:v>51</x:v>
      </x:c>
      <x:c r="I64">
        <x:v>1</x:v>
      </x:c>
      <x:c r="J64">
        <x:v>46552</x:v>
      </x:c>
      <x:c r="K64">
        <x:v>46558</x:v>
      </x:c>
      <x:c r="L64" t="s">
        <x:v>142</x:v>
      </x:c>
      <x:c r="M64">
        <x:v>0</x:v>
      </x:c>
      <x:c r="P64">
        <x:v>8</x:v>
      </x:c>
    </x:row>
    <x:row r="65">
      <x:c r="A65" t="s">
        <x:v>408</x:v>
      </x:c>
      <x:c r="B65" t="s">
        <x:v>393</x:v>
      </x:c>
      <x:c r="C65" t="s">
        <x:v>409</x:v>
      </x:c>
      <x:c r="D65" t="s">
        <x:v>410</x:v>
      </x:c>
      <x:c r="E65" t="s">
        <x:v>402</x:v>
      </x:c>
      <x:c r="F65">
        <x:v>6</x:v>
      </x:c>
      <x:c r="G65">
        <x:v>51</x:v>
      </x:c>
      <x:c r="H65">
        <x:v>52</x:v>
      </x:c>
      <x:c r="I65">
        <x:v>2</x:v>
      </x:c>
      <x:c r="J65">
        <x:v>46552</x:v>
      </x:c>
      <x:c r="K65">
        <x:v>46565</x:v>
      </x:c>
      <x:c r="L65" t="s">
        <x:v>142</x:v>
      </x:c>
      <x:c r="M65">
        <x:v>0</x:v>
      </x:c>
      <x:c r="P65">
        <x:v>6</x:v>
      </x:c>
    </x:row>
    <x:row r="66">
      <x:c r="A66" t="s">
        <x:v>411</x:v>
      </x:c>
      <x:c r="B66" t="s">
        <x:v>393</x:v>
      </x:c>
      <x:c r="C66" t="s">
        <x:v>412</x:v>
      </x:c>
      <x:c r="D66" t="s">
        <x:v>413</x:v>
      </x:c>
      <x:c r="E66" t="s">
        <x:v>405</x:v>
      </x:c>
      <x:c r="F66">
        <x:v>4</x:v>
      </x:c>
      <x:c r="G66">
        <x:v>52</x:v>
      </x:c>
      <x:c r="H66">
        <x:v>52</x:v>
      </x:c>
      <x:c r="I66">
        <x:v>1</x:v>
      </x:c>
      <x:c r="J66">
        <x:v>46559</x:v>
      </x:c>
      <x:c r="K66">
        <x:v>46565</x:v>
      </x:c>
      <x:c r="L66" t="s">
        <x:v>142</x:v>
      </x:c>
      <x:c r="M66">
        <x:v>0</x:v>
      </x:c>
      <x:c r="P66">
        <x:v>4</x:v>
      </x:c>
    </x:row>
    <x:row r="69">
      <x:c r="A69" t="s">
        <x:v>414</x:v>
      </x:c>
    </x:row>
    <x:row r="70">
      <x:c r="A70" t="s">
        <x:v>48</x:v>
      </x:c>
      <x:c r="B70" t="s">
        <x:v>1</x:v>
      </x:c>
      <x:c r="C70" t="s">
        <x:v>415</x:v>
      </x:c>
      <x:c r="D70" t="s">
        <x:v>416</x:v>
      </x:c>
      <x:c r="E70" t="s">
        <x:v>5</x:v>
      </x:c>
      <x:c r="F70" t="s">
        <x:v>6</x:v>
      </x:c>
      <x:c r="G70" t="s">
        <x:v>7</x:v>
      </x:c>
      <x:c r="H70" t="s">
        <x:v>8</x:v>
      </x:c>
      <x:c r="I70" t="s">
        <x:v>417</x:v>
      </x:c>
      <x:c r="J70" t="s">
        <x:v>418</x:v>
      </x:c>
      <x:c r="K70" t="s">
        <x:v>419</x:v>
      </x:c>
      <x:c r="L70" t="s">
        <x:v>420</x:v>
      </x:c>
      <x:c r="M70" t="s">
        <x:v>421</x:v>
      </x:c>
      <x:c r="N70" t="s">
        <x:v>422</x:v>
      </x:c>
      <x:c r="O70" t="s">
        <x:v>423</x:v>
      </x:c>
      <x:c r="P70" t="s">
        <x:v>424</x:v>
      </x:c>
      <x:c r="Q70" t="s">
        <x:v>425</x:v>
      </x:c>
      <x:c r="R70" t="s">
        <x:v>426</x:v>
      </x:c>
      <x:c r="S70" t="s">
        <x:v>427</x:v>
      </x:c>
      <x:c r="T70" t="s">
        <x:v>428</x:v>
      </x:c>
    </x:row>
    <x:row r="71">
      <x:c r="A71" t="s">
        <x:v>17</x:v>
      </x:c>
      <x:c r="B71" t="s">
        <x:v>245</x:v>
      </x:c>
      <x:c r="C71">
        <x:v>40</x:v>
      </x:c>
      <x:c r="D71">
        <x:v>6.9444444444444448E-2</x:v>
      </x:c>
      <x:c r="E71">
        <x:v>46202</x:v>
      </x:c>
      <x:c r="F71">
        <x:v>46565</x:v>
      </x:c>
      <x:c r="G71" t="s">
        <x:v>429</x:v>
      </x:c>
      <x:c r="H71" t="s">
        <x:v>430</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270</x:v>
      </x:c>
      <x:c r="C72">
        <x:v>64</x:v>
      </x:c>
      <x:c r="D72">
        <x:v>0.1111111111111111</x:v>
      </x:c>
      <x:c r="E72">
        <x:v>46216</x:v>
      </x:c>
      <x:c r="F72">
        <x:v>46264</x:v>
      </x:c>
      <x:c r="G72" t="s">
        <x:v>431</x:v>
      </x:c>
      <x:c r="H72" t="s">
        <x:v>432</x:v>
      </x:c>
      <x:c r="I72" t="s">
        <x:v>21</x:v>
      </x:c>
      <x:c r="J72" t="s">
        <x:v>21</x:v>
      </x:c>
    </x:row>
    <x:row r="73">
      <x:c r="A73" t="s">
        <x:v>26</x:v>
      </x:c>
      <x:c r="B73" t="s">
        <x:v>287</x:v>
      </x:c>
      <x:c r="C73">
        <x:v>72</x:v>
      </x:c>
      <x:c r="D73">
        <x:v>0.125</x:v>
      </x:c>
      <x:c r="E73">
        <x:v>46265</x:v>
      </x:c>
      <x:c r="F73">
        <x:v>46313</x:v>
      </x:c>
      <x:c r="G73" t="s">
        <x:v>433</x:v>
      </x:c>
      <x:c r="H73" t="s">
        <x:v>434</x:v>
      </x:c>
      <x:c r="J73" t="s">
        <x:v>21</x:v>
      </x:c>
      <x:c r="K73" t="s">
        <x:v>21</x:v>
      </x:c>
      <x:c r="L73" t="s">
        <x:v>21</x:v>
      </x:c>
    </x:row>
    <x:row r="74">
      <x:c r="A74" t="s">
        <x:v>30</x:v>
      </x:c>
      <x:c r="B74" t="s">
        <x:v>311</x:v>
      </x:c>
      <x:c r="C74">
        <x:v>88</x:v>
      </x:c>
      <x:c r="D74">
        <x:v>0.15277777777777779</x:v>
      </x:c>
      <x:c r="E74">
        <x:v>46314</x:v>
      </x:c>
      <x:c r="F74">
        <x:v>46369</x:v>
      </x:c>
      <x:c r="G74" t="s">
        <x:v>435</x:v>
      </x:c>
      <x:c r="H74" t="s">
        <x:v>436</x:v>
      </x:c>
      <x:c r="L74" t="s">
        <x:v>21</x:v>
      </x:c>
      <x:c r="M74" t="s">
        <x:v>21</x:v>
      </x:c>
      <x:c r="N74" t="s">
        <x:v>21</x:v>
      </x:c>
    </x:row>
    <x:row r="75">
      <x:c r="A75" t="s">
        <x:v>34</x:v>
      </x:c>
      <x:c r="B75" t="s">
        <x:v>332</x:v>
      </x:c>
      <x:c r="C75">
        <x:v>96</x:v>
      </x:c>
      <x:c r="D75">
        <x:v>0.16666666666666666</x:v>
      </x:c>
      <x:c r="E75">
        <x:v>46370</x:v>
      </x:c>
      <x:c r="F75">
        <x:v>46425</x:v>
      </x:c>
      <x:c r="G75" t="s">
        <x:v>437</x:v>
      </x:c>
      <x:c r="H75" t="s">
        <x:v>438</x:v>
      </x:c>
      <x:c r="N75" t="s">
        <x:v>21</x:v>
      </x:c>
      <x:c r="O75" t="s">
        <x:v>21</x:v>
      </x:c>
      <x:c r="P75" t="s">
        <x:v>21</x:v>
      </x:c>
    </x:row>
    <x:row r="76">
      <x:c r="A76" t="s">
        <x:v>38</x:v>
      </x:c>
      <x:c r="B76" t="s">
        <x:v>351</x:v>
      </x:c>
      <x:c r="C76">
        <x:v>104</x:v>
      </x:c>
      <x:c r="D76">
        <x:v>0.18055555555555555</x:v>
      </x:c>
      <x:c r="E76">
        <x:v>46426</x:v>
      </x:c>
      <x:c r="F76">
        <x:v>46495</x:v>
      </x:c>
      <x:c r="G76" t="s">
        <x:v>439</x:v>
      </x:c>
      <x:c r="H76" t="s">
        <x:v>440</x:v>
      </x:c>
      <x:c r="P76" t="s">
        <x:v>21</x:v>
      </x:c>
      <x:c r="Q76" t="s">
        <x:v>21</x:v>
      </x:c>
      <x:c r="R76" t="s">
        <x:v>21</x:v>
      </x:c>
    </x:row>
    <x:row r="77">
      <x:c r="A77" t="s">
        <x:v>441</x:v>
      </x:c>
      <x:c r="B77" t="s">
        <x:v>374</x:v>
      </x:c>
      <x:c r="C77">
        <x:v>52</x:v>
      </x:c>
      <x:c r="D77">
        <x:v>9.0277777777777776E-2</x:v>
      </x:c>
      <x:c r="E77">
        <x:v>46496</x:v>
      </x:c>
      <x:c r="F77">
        <x:v>46530</x:v>
      </x:c>
      <x:c r="G77" t="s">
        <x:v>442</x:v>
      </x:c>
      <x:c r="H77" t="s">
        <x:v>443</x:v>
      </x:c>
      <x:c r="R77" t="s">
        <x:v>21</x:v>
      </x:c>
      <x:c r="S77" t="s">
        <x:v>21</x:v>
      </x:c>
    </x:row>
    <x:row r="78">
      <x:c r="A78" t="s">
        <x:v>444</x:v>
      </x:c>
      <x:c r="B78" t="s">
        <x:v>393</x:v>
      </x:c>
      <x:c r="C78">
        <x:v>60</x:v>
      </x:c>
      <x:c r="D78">
        <x:v>0.10416666666666667</x:v>
      </x:c>
      <x:c r="E78">
        <x:v>46531</x:v>
      </x:c>
      <x:c r="F78">
        <x:v>46565</x:v>
      </x:c>
      <x:c r="G78" t="s">
        <x:v>445</x:v>
      </x:c>
      <x:c r="H78" t="s">
        <x:v>446</x:v>
      </x:c>
      <x:c r="S78" t="s">
        <x:v>21</x:v>
      </x:c>
      <x:c r="T78" t="s">
        <x:v>21</x:v>
      </x:c>
    </x:row>
    <x:row r="79">
      <x:c r="A79" t="s">
        <x:v>447</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448</x:v>
      </x:c>
      <x:c r="B1" s="235"/>
      <x:c r="C1" s="235"/>
      <x:c r="D1" s="235"/>
      <x:c r="E1" s="235"/>
      <x:c r="F1" s="235"/>
      <x:c r="G1" s="235"/>
      <x:c r="H1" s="235"/>
      <x:c r="I1" s="235"/>
      <x:c r="J1" s="235"/>
      <x:c r="K1" s="235"/>
      <x:c r="L1" s="235"/>
      <x:c r="M1" s="235"/>
    </x:row>
    <x:row r="2">
      <x:c r="A2" s="236" t="s">
        <x:v>449</x:v>
      </x:c>
      <x:c r="B2" s="236"/>
      <x:c r="C2" s="236"/>
      <x:c r="D2" s="236"/>
      <x:c r="E2" s="236"/>
      <x:c r="F2" s="236"/>
      <x:c r="G2" s="236"/>
      <x:c r="H2" s="236"/>
      <x:c r="I2" s="236"/>
      <x:c r="J2" s="236"/>
      <x:c r="K2" s="236"/>
      <x:c r="L2" s="236"/>
      <x:c r="M2" s="236"/>
    </x:row>
    <x:row r="4" ht="30">
      <x:c r="A4" s="80" t="s">
        <x:v>450</x:v>
      </x:c>
      <x:c r="B4" s="80" t="s">
        <x:v>451</x:v>
      </x:c>
      <x:c r="C4" s="80" t="s">
        <x:v>5</x:v>
      </x:c>
      <x:c r="D4" s="80" t="s">
        <x:v>452</x:v>
      </x:c>
      <x:c r="E4" s="80" t="s">
        <x:v>453</x:v>
      </x:c>
      <x:c r="F4" s="80" t="s">
        <x:v>3</x:v>
      </x:c>
      <x:c r="G4" s="80" t="s">
        <x:v>454</x:v>
      </x:c>
      <x:c r="H4" s="80" t="s">
        <x:v>56</x:v>
      </x:c>
      <x:c r="I4" s="80" t="s">
        <x:v>455</x:v>
      </x:c>
      <x:c r="J4" s="80" t="s">
        <x:v>456</x:v>
      </x:c>
      <x:c r="K4" s="80" t="s">
        <x:v>457</x:v>
      </x:c>
      <x:c r="L4" s="80" t="s">
        <x:v>60</x:v>
      </x:c>
      <x:c r="M4" s="80" t="s">
        <x:v>458</x:v>
      </x:c>
    </x:row>
    <x:row r="5" ht="42.75">
      <x:c r="A5" s="83" t="s">
        <x:v>459</x:v>
      </x:c>
      <x:c r="B5" s="84">
        <x:v>46201</x:v>
      </x:c>
      <x:c r="C5" s="83"/>
      <x:c r="D5" s="83"/>
      <x:c r="E5" s="83" t="s">
        <x:v>62</x:v>
      </x:c>
      <x:c r="F5" s="85">
        <x:v>2.5</x:v>
      </x:c>
      <x:c r="G5" s="178" t="n">
        <x:f t="shared" ref="G5:G10" si="0">IF(B5="","",MAX(1,INT((B5-DATE(2026,6,29))/7)+1))</x:f>
        <x:v>1</x:v>
      </x:c>
      <x:c r="H5" s="83" t="s">
        <x:v>248</x:v>
      </x:c>
      <x:c r="I5" s="83" t="s">
        <x:v>460</x:v>
      </x:c>
      <x:c r="J5" s="83" t="s">
        <x:v>461</x:v>
      </x:c>
      <x:c r="K5" s="83" t="s">
        <x:v>462</x:v>
      </x:c>
      <x:c r="L5" s="83" t="s">
        <x:v>463</x:v>
      </x:c>
      <x:c r="M5" s="83" t="s">
        <x:v>464</x:v>
      </x:c>
    </x:row>
    <x:row r="6" ht="42.75">
      <x:c r="A6" s="83" t="s">
        <x:v>465</x:v>
      </x:c>
      <x:c r="B6" s="84">
        <x:v>46203</x:v>
      </x:c>
      <x:c r="C6" s="83"/>
      <x:c r="D6" s="83"/>
      <x:c r="E6" s="83" t="s">
        <x:v>68</x:v>
      </x:c>
      <x:c r="F6" s="85">
        <x:v>1.5</x:v>
      </x:c>
      <x:c r="G6" s="178">
        <x:f t="shared" si="0"/>
        <x:v>1</x:v>
      </x:c>
      <x:c r="H6" s="83" t="s">
        <x:v>248</x:v>
      </x:c>
      <x:c r="I6" s="83" t="s">
        <x:v>466</x:v>
      </x:c>
      <x:c r="J6" s="83" t="s">
        <x:v>467</x:v>
      </x:c>
      <x:c r="K6" s="83" t="s">
        <x:v>468</x:v>
      </x:c>
      <x:c r="L6" s="83" t="s">
        <x:v>469</x:v>
      </x:c>
      <x:c r="M6" s="83" t="s">
        <x:v>470</x:v>
      </x:c>
    </x:row>
    <x:row r="7" ht="42.75">
      <x:c r="A7" s="83" t="s">
        <x:v>471</x:v>
      </x:c>
      <x:c r="B7" s="84">
        <x:v>46207</x:v>
      </x:c>
      <x:c r="C7" s="83" t="s">
        <x:v>472</x:v>
      </x:c>
      <x:c r="D7" s="83" t="s">
        <x:v>473</x:v>
      </x:c>
      <x:c r="E7" s="83" t="s">
        <x:v>73</x:v>
      </x:c>
      <x:c r="F7" s="85">
        <x:v>0.62</x:v>
      </x:c>
      <x:c r="G7" s="178">
        <x:f t="shared" si="0"/>
        <x:v>1</x:v>
      </x:c>
      <x:c r="H7" s="83" t="s">
        <x:v>248</x:v>
      </x:c>
      <x:c r="I7" s="83" t="s">
        <x:v>474</x:v>
      </x:c>
      <x:c r="J7" s="83" t="s">
        <x:v>475</x:v>
      </x:c>
      <x:c r="K7" s="83" t="s">
        <x:v>476</x:v>
      </x:c>
      <x:c r="L7" s="83" t="s">
        <x:v>477</x:v>
      </x:c>
      <x:c r="M7" s="83" t="s">
        <x:v>478</x:v>
      </x:c>
    </x:row>
    <x:row r="8" ht="57">
      <x:c r="A8" s="83" t="s">
        <x:v>479</x:v>
      </x:c>
      <x:c r="B8" s="84">
        <x:v>46207</x:v>
      </x:c>
      <x:c r="C8" s="83" t="s">
        <x:v>473</x:v>
      </x:c>
      <x:c r="D8" s="83" t="s">
        <x:v>480</x:v>
      </x:c>
      <x:c r="E8" s="83" t="s">
        <x:v>73</x:v>
      </x:c>
      <x:c r="F8" s="85">
        <x:v>1.53</x:v>
      </x:c>
      <x:c r="G8" s="178">
        <x:f t="shared" si="0"/>
        <x:v>1</x:v>
      </x:c>
      <x:c r="H8" s="83" t="s">
        <x:v>248</x:v>
      </x:c>
      <x:c r="I8" s="83" t="s">
        <x:v>481</x:v>
      </x:c>
      <x:c r="J8" s="83" t="s">
        <x:v>482</x:v>
      </x:c>
      <x:c r="K8" s="83" t="s">
        <x:v>483</x:v>
      </x:c>
      <x:c r="L8" s="83" t="s">
        <x:v>484</x:v>
      </x:c>
      <x:c r="M8" s="83" t="s">
        <x:v>485</x:v>
      </x:c>
    </x:row>
    <x:row r="9" ht="42.75">
      <x:c r="A9" s="83" t="s">
        <x:v>486</x:v>
      </x:c>
      <x:c r="B9" s="84">
        <x:v>46207</x:v>
      </x:c>
      <x:c r="C9" s="83" t="s">
        <x:v>480</x:v>
      </x:c>
      <x:c r="D9" s="83" t="s">
        <x:v>487</x:v>
      </x:c>
      <x:c r="E9" s="83" t="s">
        <x:v>68</x:v>
      </x:c>
      <x:c r="F9" s="85">
        <x:v>1.33</x:v>
      </x:c>
      <x:c r="G9" s="178">
        <x:f t="shared" si="0"/>
        <x:v>1</x:v>
      </x:c>
      <x:c r="H9" s="83" t="s">
        <x:v>248</x:v>
      </x:c>
      <x:c r="I9" s="83" t="s">
        <x:v>488</x:v>
      </x:c>
      <x:c r="J9" s="83" t="s">
        <x:v>489</x:v>
      </x:c>
      <x:c r="K9" s="83" t="s">
        <x:v>490</x:v>
      </x:c>
      <x:c r="L9" s="83" t="s">
        <x:v>491</x:v>
      </x:c>
      <x:c r="M9" s="83" t="s">
        <x:v>492</x:v>
      </x:c>
    </x:row>
    <x:row r="10" ht="42.75">
      <x:c r="A10" s="83" t="s">
        <x:v>493</x:v>
      </x:c>
      <x:c r="B10" s="84">
        <x:v>46207</x:v>
      </x:c>
      <x:c r="C10" s="83" t="s">
        <x:v>487</x:v>
      </x:c>
      <x:c r="D10" s="83" t="s">
        <x:v>494</x:v>
      </x:c>
      <x:c r="E10" s="83" t="s">
        <x:v>68</x:v>
      </x:c>
      <x:c r="F10" s="85">
        <x:v>7.0000000000000007E-2</x:v>
      </x:c>
      <x:c r="G10" s="178">
        <x:f t="shared" si="0"/>
        <x:v>1</x:v>
      </x:c>
      <x:c r="H10" s="83" t="s">
        <x:v>248</x:v>
      </x:c>
      <x:c r="I10" s="83" t="s">
        <x:v>495</x:v>
      </x:c>
      <x:c r="J10" s="83" t="s">
        <x:v>496</x:v>
      </x:c>
      <x:c r="K10" s="83" t="s">
        <x:v>497</x:v>
      </x:c>
      <x:c r="L10" s="83" t="s">
        <x:v>498</x:v>
      </x:c>
      <x:c r="M10" s="83" t="s">
        <x:v>499</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500</x:v>
      </x:c>
      <x:c r="B1" s="235"/>
      <x:c r="C1" s="235"/>
      <x:c r="D1" s="235"/>
      <x:c r="E1" s="235"/>
      <x:c r="F1" s="235"/>
      <x:c r="G1" s="235"/>
      <x:c r="H1" s="235"/>
    </x:row>
    <x:row r="3" ht="15">
      <x:c r="A3" s="80" t="s">
        <x:v>501</x:v>
      </x:c>
      <x:c r="B3" s="80" t="s">
        <x:v>451</x:v>
      </x:c>
      <x:c r="C3" s="80" t="s">
        <x:v>502</x:v>
      </x:c>
      <x:c r="D3" s="80" t="s">
        <x:v>503</x:v>
      </x:c>
      <x:c r="E3" s="80" t="s">
        <x:v>56</x:v>
      </x:c>
      <x:c r="F3" s="80" t="s">
        <x:v>504</x:v>
      </x:c>
      <x:c r="G3" s="80" t="s">
        <x:v>505</x:v>
      </x:c>
      <x:c r="H3" s="80" t="s">
        <x:v>506</x:v>
      </x:c>
    </x:row>
    <x:row r="4" ht="28.5">
      <x:c r="A4" s="78" t="s">
        <x:v>507</x:v>
      </x:c>
      <x:c r="B4" s="81">
        <x:v>46200</x:v>
      </x:c>
      <x:c r="C4" s="78" t="s">
        <x:v>508</x:v>
      </x:c>
      <x:c r="D4" s="78" t="s">
        <x:v>509</x:v>
      </x:c>
      <x:c r="E4" s="78" t="s">
        <x:v>510</x:v>
      </x:c>
      <x:c r="F4" s="78" t="s">
        <x:v>511</x:v>
      </x:c>
      <x:c r="G4" s="78" t="s">
        <x:v>512</x:v>
      </x:c>
      <x:c r="H4" s="78" t="s">
        <x:v>513</x:v>
      </x:c>
    </x:row>
    <x:row r="5" ht="28.5">
      <x:c r="A5" s="78" t="s">
        <x:v>514</x:v>
      </x:c>
      <x:c r="B5" s="81">
        <x:v>46200</x:v>
      </x:c>
      <x:c r="C5" s="78" t="s">
        <x:v>515</x:v>
      </x:c>
      <x:c r="D5" s="78" t="s">
        <x:v>516</x:v>
      </x:c>
      <x:c r="E5" s="78" t="s">
        <x:v>510</x:v>
      </x:c>
      <x:c r="F5" s="78" t="s">
        <x:v>511</x:v>
      </x:c>
      <x:c r="G5" s="78" t="s">
        <x:v>210</x:v>
      </x:c>
      <x:c r="H5" s="78" t="s">
        <x:v>517</x:v>
      </x:c>
    </x:row>
    <x:row r="6" ht="28.5">
      <x:c r="A6" s="78" t="s">
        <x:v>518</x:v>
      </x:c>
      <x:c r="B6" s="81">
        <x:v>46207</x:v>
      </x:c>
      <x:c r="C6" s="78" t="s">
        <x:v>519</x:v>
      </x:c>
      <x:c r="D6" s="78" t="s">
        <x:v>520</x:v>
      </x:c>
      <x:c r="E6" s="78" t="s">
        <x:v>510</x:v>
      </x:c>
      <x:c r="F6" s="78" t="s">
        <x:v>68</x:v>
      </x:c>
      <x:c r="G6" s="78" t="s">
        <x:v>521</x:v>
      </x:c>
      <x:c r="H6" s="78" t="s">
        <x:v>522</x:v>
      </x:c>
    </x:row>
    <x:row r="7" ht="28.5">
      <x:c r="A7" s="78" t="s">
        <x:v>523</x:v>
      </x:c>
      <x:c r="B7" s="81">
        <x:v>46207</x:v>
      </x:c>
      <x:c r="C7" s="78" t="s">
        <x:v>524</x:v>
      </x:c>
      <x:c r="D7" s="78" t="s">
        <x:v>525</x:v>
      </x:c>
      <x:c r="E7" s="78" t="s">
        <x:v>510</x:v>
      </x:c>
      <x:c r="F7" s="78" t="s">
        <x:v>526</x:v>
      </x:c>
      <x:c r="G7" s="78" t="s">
        <x:v>527</x:v>
      </x:c>
      <x:c r="H7" s="78" t="s">
        <x:v>528</x:v>
      </x:c>
    </x:row>
    <x:row r="8" ht="28.5">
      <x:c r="A8" s="78" t="s">
        <x:v>529</x:v>
      </x:c>
      <x:c r="B8" s="81">
        <x:v>46207</x:v>
      </x:c>
      <x:c r="C8" s="78" t="s">
        <x:v>161</x:v>
      </x:c>
      <x:c r="D8" s="78" t="s">
        <x:v>530</x:v>
      </x:c>
      <x:c r="E8" s="78" t="s">
        <x:v>510</x:v>
      </x:c>
      <x:c r="F8" s="78" t="s">
        <x:v>531</x:v>
      </x:c>
      <x:c r="G8" s="78" t="s">
        <x:v>532</x:v>
      </x:c>
      <x:c r="H8" s="78" t="s">
        <x:v>533</x:v>
      </x:c>
    </x:row>
    <x:row r="9" ht="28.5">
      <x:c r="A9" s="78" t="s">
        <x:v>534</x:v>
      </x:c>
      <x:c r="B9" s="81">
        <x:v>46207</x:v>
      </x:c>
      <x:c r="C9" s="78" t="s">
        <x:v>535</x:v>
      </x:c>
      <x:c r="D9" s="78" t="s">
        <x:v>536</x:v>
      </x:c>
      <x:c r="E9" s="78" t="s">
        <x:v>510</x:v>
      </x:c>
      <x:c r="F9" s="78" t="s">
        <x:v>537</x:v>
      </x:c>
      <x:c r="G9" s="78" t="s">
        <x:v>538</x:v>
      </x:c>
      <x:c r="H9" s="78" t="s">
        <x:v>539</x:v>
      </x:c>
    </x:row>
    <x:row r="10" ht="28.5">
      <x:c r="A10" s="78" t="s">
        <x:v>540</x:v>
      </x:c>
      <x:c r="B10" s="81">
        <x:v>46207</x:v>
      </x:c>
      <x:c r="C10" s="78" t="s">
        <x:v>541</x:v>
      </x:c>
      <x:c r="D10" s="78" t="s">
        <x:v>542</x:v>
      </x:c>
      <x:c r="E10" s="78" t="s">
        <x:v>510</x:v>
      </x:c>
      <x:c r="F10" s="78" t="s">
        <x:v>543</x:v>
      </x:c>
      <x:c r="G10" s="78" t="s">
        <x:v>544</x:v>
      </x:c>
      <x:c r="H10" s="78" t="s">
        <x:v>545</x:v>
      </x:c>
    </x:row>
    <x:row r="11" ht="28.5">
      <x:c r="A11" s="78" t="s">
        <x:v>546</x:v>
      </x:c>
      <x:c r="B11" s="81">
        <x:v>46207</x:v>
      </x:c>
      <x:c r="C11" s="78" t="s">
        <x:v>547</x:v>
      </x:c>
      <x:c r="D11" s="78" t="s">
        <x:v>548</x:v>
      </x:c>
      <x:c r="E11" s="78" t="s">
        <x:v>510</x:v>
      </x:c>
      <x:c r="F11" s="78" t="s">
        <x:v>549</x:v>
      </x:c>
      <x:c r="G11" s="78" t="s">
        <x:v>205</x:v>
      </x:c>
      <x:c r="H11" s="78" t="s">
        <x:v>550</x:v>
      </x:c>
    </x:row>
    <x:row r="12" ht="62.099998474121094" customHeight="1">
      <x:c r="A12" s="182" t="s">
        <x:v>551</x:v>
      </x:c>
      <x:c r="B12" s="196">
        <x:v>46208</x:v>
      </x:c>
      <x:c r="C12" s="183" t="s">
        <x:v>552</x:v>
      </x:c>
      <x:c r="D12" s="183" t="s">
        <x:v>553</x:v>
      </x:c>
      <x:c r="E12" s="183" t="s">
        <x:v>510</x:v>
      </x:c>
      <x:c r="F12" s="183" t="s">
        <x:v>554</x:v>
      </x:c>
      <x:c r="G12" s="183" t="s">
        <x:v>555</x:v>
      </x:c>
      <x:c r="H12" s="184" t="s">
        <x:v>556</x:v>
      </x:c>
    </x:row>
    <x:row r="13" ht="62.099998474121094" customHeight="1">
      <x:c r="A13" s="187" t="s">
        <x:v>557</x:v>
      </x:c>
      <x:c r="B13" s="197">
        <x:v>46208</x:v>
      </x:c>
      <x:c r="C13" s="188" t="s">
        <x:v>558</x:v>
      </x:c>
      <x:c r="D13" s="188" t="s">
        <x:v>559</x:v>
      </x:c>
      <x:c r="E13" s="188" t="s">
        <x:v>510</x:v>
      </x:c>
      <x:c r="F13" s="188" t="s">
        <x:v>560</x:v>
      </x:c>
      <x:c r="G13" s="188" t="s">
        <x:v>561</x:v>
      </x:c>
      <x:c r="H13" s="189" t="s">
        <x:v>562</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x:c r="B36" s="78"/>
      <x:c r="C36" s="78"/>
      <x:c r="D36" s="78"/>
      <x:c r="E36" s="78"/>
      <x:c r="F36" s="78"/>
      <x:c r="G36" s="78"/>
      <x:c r="H36" s="78"/>
    </x:row>
    <x:row r="37">
      <x:c r="A37" s="78"/>
      <x:c r="B37" s="78"/>
      <x:c r="C37" s="78"/>
      <x:c r="D37" s="78"/>
      <x:c r="E37" s="78"/>
      <x:c r="F37" s="78"/>
      <x:c r="G37" s="78"/>
      <x:c r="H37" s="78"/>
    </x:row>
    <x:row r="38">
      <x:c r="A38" s="78"/>
      <x:c r="B38" s="78"/>
      <x:c r="C38" s="78"/>
      <x:c r="D38" s="78"/>
      <x:c r="E38" s="78"/>
      <x:c r="F38" s="78"/>
      <x:c r="G38" s="78"/>
      <x:c r="H38" s="78"/>
    </x:row>
    <x:row r="39">
      <x:c r="A39" s="78"/>
      <x:c r="B39" s="78"/>
      <x:c r="C39" s="78"/>
      <x:c r="D39" s="78"/>
      <x:c r="E39" s="78"/>
      <x:c r="F39" s="78"/>
      <x:c r="G39" s="78"/>
      <x:c r="H39" s="78"/>
    </x:row>
    <x:row r="40">
      <x:c r="A40" s="78"/>
      <x:c r="B40" s="78"/>
      <x:c r="C40" s="78"/>
      <x:c r="D40" s="78"/>
      <x:c r="E40" s="78"/>
      <x:c r="F40" s="78"/>
      <x:c r="G40" s="78"/>
      <x:c r="H40" s="78"/>
    </x:row>
    <x:row r="41">
      <x:c r="A41" s="78"/>
      <x:c r="B41" s="78"/>
      <x:c r="C41" s="78"/>
      <x:c r="D41" s="78"/>
      <x:c r="E41" s="78"/>
      <x:c r="F41" s="78"/>
      <x:c r="G41" s="78"/>
      <x:c r="H41" s="78"/>
    </x:row>
    <x:row r="42">
      <x:c r="A42" s="78"/>
      <x:c r="B42" s="78"/>
      <x:c r="C42" s="78"/>
      <x:c r="D42" s="78"/>
      <x:c r="E42" s="78"/>
      <x:c r="F42" s="78"/>
      <x:c r="G42" s="78"/>
      <x:c r="H42" s="78"/>
    </x:row>
    <x:row r="43">
      <x:c r="A43" s="78"/>
      <x:c r="B43" s="78"/>
      <x:c r="C43" s="78"/>
      <x:c r="D43" s="78"/>
      <x:c r="E43" s="78"/>
      <x:c r="F43" s="78"/>
      <x:c r="G43" s="78"/>
      <x:c r="H43" s="78"/>
    </x:row>
    <x:row r="44">
      <x:c r="A44" s="78"/>
      <x:c r="B44" s="78"/>
      <x:c r="C44" s="78"/>
      <x:c r="D44" s="78"/>
      <x:c r="E44" s="78"/>
      <x:c r="F44" s="78"/>
      <x:c r="G44" s="78"/>
      <x:c r="H44" s="78"/>
    </x:row>
    <x:row r="45">
      <x:c r="A45" s="78"/>
      <x:c r="B45" s="78"/>
      <x:c r="C45" s="78"/>
      <x:c r="D45" s="78"/>
      <x:c r="E45" s="78"/>
      <x:c r="F45" s="78"/>
      <x:c r="G45" s="78"/>
      <x:c r="H45" s="78"/>
    </x:row>
    <x:row r="46">
      <x:c r="A46" s="78"/>
      <x:c r="B46" s="78"/>
      <x:c r="C46" s="78"/>
      <x:c r="D46" s="78"/>
      <x:c r="E46" s="78"/>
      <x:c r="F46" s="78"/>
      <x:c r="G46" s="78"/>
      <x:c r="H46" s="78"/>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563</x:v>
      </x:c>
      <x:c r="B1" s="235"/>
      <x:c r="C1" s="235"/>
      <x:c r="D1" s="235"/>
      <x:c r="E1" s="235"/>
      <x:c r="F1" s="235"/>
      <x:c r="G1" s="235"/>
      <x:c r="H1" s="235"/>
      <x:c r="I1" s="235"/>
      <x:c r="J1" s="235"/>
    </x:row>
    <x:row r="3" ht="30">
      <x:c r="A3" s="80" t="s">
        <x:v>0</x:v>
      </x:c>
      <x:c r="B3" s="80" t="s">
        <x:v>199</x:v>
      </x:c>
      <x:c r="C3" s="80" t="s">
        <x:v>564</x:v>
      </x:c>
      <x:c r="D3" s="80" t="s">
        <x:v>565</x:v>
      </x:c>
      <x:c r="E3" s="80" t="s">
        <x:v>566</x:v>
      </x:c>
      <x:c r="F3" s="80" t="s">
        <x:v>567</x:v>
      </x:c>
      <x:c r="G3" s="80" t="s">
        <x:v>568</x:v>
      </x:c>
      <x:c r="H3" s="80" t="s">
        <x:v>56</x:v>
      </x:c>
      <x:c r="I3" s="80" t="s">
        <x:v>569</x:v>
      </x:c>
      <x:c r="J3" s="80" t="s">
        <x:v>61</x:v>
      </x:c>
    </x:row>
    <x:row r="4" ht="28.5">
      <x:c r="A4" s="78" t="s">
        <x:v>570</x:v>
      </x:c>
      <x:c r="B4" s="78" t="s">
        <x:v>571</x:v>
      </x:c>
      <x:c r="C4" s="78" t="s">
        <x:v>572</x:v>
      </x:c>
      <x:c r="D4" s="78" t="s">
        <x:v>573</x:v>
      </x:c>
      <x:c r="E4" s="78" t="s">
        <x:v>573</x:v>
      </x:c>
      <x:c r="F4" s="78" t="s">
        <x:v>574</x:v>
      </x:c>
      <x:c r="G4" s="78" t="s">
        <x:v>575</x:v>
      </x:c>
      <x:c r="H4" s="78" t="s">
        <x:v>576</x:v>
      </x:c>
      <x:c r="I4" s="81">
        <x:v>46215</x:v>
      </x:c>
      <x:c r="J4" s="78" t="s">
        <x:v>577</x:v>
      </x:c>
    </x:row>
    <x:row r="5" ht="28.5">
      <x:c r="A5" s="78" t="s">
        <x:v>578</x:v>
      </x:c>
      <x:c r="B5" s="78" t="s">
        <x:v>571</x:v>
      </x:c>
      <x:c r="C5" s="78" t="s">
        <x:v>579</x:v>
      </x:c>
      <x:c r="D5" s="78" t="s">
        <x:v>573</x:v>
      </x:c>
      <x:c r="E5" s="78" t="s">
        <x:v>573</x:v>
      </x:c>
      <x:c r="F5" s="78" t="s">
        <x:v>574</x:v>
      </x:c>
      <x:c r="G5" s="78" t="s">
        <x:v>580</x:v>
      </x:c>
      <x:c r="H5" s="78" t="s">
        <x:v>581</x:v>
      </x:c>
      <x:c r="I5" s="81">
        <x:v>46215</x:v>
      </x:c>
      <x:c r="J5" s="78" t="s">
        <x:v>582</x:v>
      </x:c>
    </x:row>
    <x:row r="6" ht="28.5">
      <x:c r="A6" s="78" t="s">
        <x:v>583</x:v>
      </x:c>
      <x:c r="B6" s="78" t="s">
        <x:v>571</x:v>
      </x:c>
      <x:c r="C6" s="78" t="s">
        <x:v>584</x:v>
      </x:c>
      <x:c r="D6" s="78" t="s">
        <x:v>585</x:v>
      </x:c>
      <x:c r="E6" s="78" t="s">
        <x:v>573</x:v>
      </x:c>
      <x:c r="F6" s="78" t="s">
        <x:v>574</x:v>
      </x:c>
      <x:c r="G6" s="78" t="s">
        <x:v>586</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587</x:v>
      </x:c>
      <x:c r="B7" s="78" t="s">
        <x:v>571</x:v>
      </x:c>
      <x:c r="C7" s="78" t="s">
        <x:v>588</x:v>
      </x:c>
      <x:c r="D7" s="78" t="s">
        <x:v>585</x:v>
      </x:c>
      <x:c r="E7" s="78" t="s">
        <x:v>573</x:v>
      </x:c>
      <x:c r="F7" s="78" t="s">
        <x:v>574</x:v>
      </x:c>
      <x:c r="G7" s="78" t="s">
        <x:v>589</x:v>
      </x:c>
      <x:c r="H7" s="78" t="s">
        <x:v>581</x:v>
      </x:c>
      <x:c r="I7" s="81">
        <x:v>46257</x:v>
      </x:c>
      <x:c r="J7" s="78" t="s">
        <x:v>590</x:v>
      </x:c>
    </x:row>
    <x:row r="8" ht="28.5">
      <x:c r="A8" s="78" t="s">
        <x:v>591</x:v>
      </x:c>
      <x:c r="B8" s="78" t="s">
        <x:v>571</x:v>
      </x:c>
      <x:c r="C8" s="78" t="s">
        <x:v>592</x:v>
      </x:c>
      <x:c r="D8" s="78" t="s">
        <x:v>585</x:v>
      </x:c>
      <x:c r="E8" s="78" t="s">
        <x:v>585</x:v>
      </x:c>
      <x:c r="F8" s="78" t="s">
        <x:v>574</x:v>
      </x:c>
      <x:c r="G8" s="78" t="s">
        <x:v>593</x:v>
      </x:c>
      <x:c r="H8" s="78" t="s">
        <x:v>576</x:v>
      </x:c>
      <x:c r="I8" s="81">
        <x:v>46222</x:v>
      </x:c>
      <x:c r="J8" s="78" t="s">
        <x:v>594</x:v>
      </x:c>
    </x:row>
    <x:row r="9" ht="28.5">
      <x:c r="A9" s="78" t="s">
        <x:v>595</x:v>
      </x:c>
      <x:c r="B9" s="78" t="s">
        <x:v>571</x:v>
      </x:c>
      <x:c r="C9" s="78" t="s">
        <x:v>596</x:v>
      </x:c>
      <x:c r="D9" s="78" t="s">
        <x:v>597</x:v>
      </x:c>
      <x:c r="E9" s="78" t="s">
        <x:v>573</x:v>
      </x:c>
      <x:c r="F9" s="78" t="s">
        <x:v>574</x:v>
      </x:c>
      <x:c r="G9" s="78" t="s">
        <x:v>598</x:v>
      </x:c>
      <x:c r="H9" s="78" t="s">
        <x:v>576</x:v>
      </x:c>
      <x:c r="I9" s="81">
        <x:v>46257</x:v>
      </x:c>
      <x:c r="J9" s="78" t="s">
        <x:v>599</x:v>
      </x:c>
    </x:row>
    <x:row r="10" ht="28.5">
      <x:c r="A10" s="78" t="s">
        <x:v>600</x:v>
      </x:c>
      <x:c r="B10" s="78" t="s">
        <x:v>601</x:v>
      </x:c>
      <x:c r="C10" s="78" t="s">
        <x:v>602</x:v>
      </x:c>
      <x:c r="D10" s="78" t="s">
        <x:v>603</x:v>
      </x:c>
      <x:c r="E10" s="78" t="s">
        <x:v>597</x:v>
      </x:c>
      <x:c r="F10" s="78" t="s">
        <x:v>574</x:v>
      </x:c>
      <x:c r="G10" s="78" t="s">
        <x:v>604</x:v>
      </x:c>
      <x:c r="H10" s="78" t="s">
        <x:v>605</x:v>
      </x:c>
      <x:c r="I10" s="81">
        <x:v>46208</x:v>
      </x:c>
      <x:c r="J10" s="78" t="s">
        <x:v>606</x:v>
      </x:c>
    </x:row>
    <x:row r="11" ht="28.5">
      <x:c r="A11" s="78" t="s">
        <x:v>607</x:v>
      </x:c>
      <x:c r="B11" s="78" t="s">
        <x:v>601</x:v>
      </x:c>
      <x:c r="C11" s="78" t="s">
        <x:v>608</x:v>
      </x:c>
      <x:c r="D11" s="78" t="s">
        <x:v>603</x:v>
      </x:c>
      <x:c r="E11" s="78" t="s">
        <x:v>585</x:v>
      </x:c>
      <x:c r="F11" s="78" t="s">
        <x:v>574</x:v>
      </x:c>
      <x:c r="G11" s="78" t="s">
        <x:v>609</x:v>
      </x:c>
      <x:c r="H11" s="78" t="s">
        <x:v>605</x:v>
      </x:c>
      <x:c r="I11" s="81">
        <x:v>46209</x:v>
      </x:c>
      <x:c r="J11" s="78" t="s">
        <x:v>610</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must define canonical IDs, authoritative fields, source precedence, conflict routing, and missing-authority states before implementation. Fail closed when authority is unresolved.</x:v>
      </x:c>
      <x:c r="H17" s="447" t="str">
        <x:v>Open</x:v>
      </x:c>
      <x:c r="I17" s="445" t="n">
        <x:v>46223</x:v>
      </x:c>
      <x:c r="J17" s="447" t="str">
        <x:v>Primary technical risk for the v0.3.0 vertical.</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Author a materially distinct held-out package before rule tuning; use a reviewed fault matrix; preserve failed runs; report known false negatives; later add public or authorized external packages.</x:v>
      </x:c>
      <x:c r="H18" s="447" t="str">
        <x:v>Open</x:v>
      </x:c>
      <x:c r="I18" s="445" t="n">
        <x:v>46257</x:v>
      </x:c>
      <x:c r="J18" s="447" t="str">
        <x:v>Do not claim general industrial performance from two synthetic packages.</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Scope v0.3.0 to structured CSV/JSON manifests and file references. Pull a deferred capability forward only through a recorded decision tied to an unavoidable interface conflict.</x:v>
      </x:c>
      <x:c r="H19" s="447" t="str">
        <x:v>Open</x:v>
      </x:c>
      <x:c r="I19" s="445" t="n">
        <x:v>46257</x:v>
      </x:c>
      <x:c r="J19" s="447" t="str">
        <x:v>Scope-control risk replaces the completed MVP risk R-004.</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611</x:v>
      </x:c>
      <x:c r="B1" s="235"/>
      <x:c r="C1" s="235"/>
      <x:c r="D1" s="235"/>
      <x:c r="E1" s="235"/>
      <x:c r="F1" s="235"/>
      <x:c r="G1" s="235"/>
      <x:c r="H1" s="235"/>
      <x:c r="I1" s="235"/>
    </x:row>
    <x:row r="3" ht="15">
      <x:c r="A3" s="80" t="s">
        <x:v>612</x:v>
      </x:c>
      <x:c r="B3" s="80" t="s">
        <x:v>451</x:v>
      </x:c>
      <x:c r="C3" s="80" t="s">
        <x:v>48</x:v>
      </x:c>
      <x:c r="D3" s="80" t="s">
        <x:v>182</x:v>
      </x:c>
      <x:c r="E3" s="80" t="s">
        <x:v>199</x:v>
      </x:c>
      <x:c r="F3" s="80" t="s">
        <x:v>613</x:v>
      </x:c>
      <x:c r="G3" s="80" t="s">
        <x:v>614</x:v>
      </x:c>
      <x:c r="H3" s="80" t="s">
        <x:v>56</x:v>
      </x:c>
      <x:c r="I3" s="80" t="s">
        <x:v>61</x:v>
      </x:c>
    </x:row>
    <x:row r="4" ht="28.5">
      <x:c r="A4" s="78" t="s">
        <x:v>615</x:v>
      </x:c>
      <x:c r="B4" s="81">
        <x:v>46201</x:v>
      </x:c>
      <x:c r="C4" s="78" t="s">
        <x:v>62</x:v>
      </x:c>
      <x:c r="D4" s="78" t="s">
        <x:v>616</x:v>
      </x:c>
      <x:c r="E4" s="78" t="s">
        <x:v>617</x:v>
      </x:c>
      <x:c r="F4" s="78" t="s">
        <x:v>618</x:v>
      </x:c>
      <x:c r="G4" s="78" t="s">
        <x:v>619</x:v>
      </x:c>
      <x:c r="H4" s="78" t="s">
        <x:v>620</x:v>
      </x:c>
      <x:c r="I4" s="78" t="s">
        <x:v>621</x:v>
      </x:c>
    </x:row>
    <x:row r="5" ht="28.5">
      <x:c r="A5" s="78" t="s">
        <x:v>622</x:v>
      </x:c>
      <x:c r="B5" s="81">
        <x:v>46203</x:v>
      </x:c>
      <x:c r="C5" s="78" t="s">
        <x:v>68</x:v>
      </x:c>
      <x:c r="D5" s="78" t="s">
        <x:v>623</x:v>
      </x:c>
      <x:c r="E5" s="78" t="s">
        <x:v>624</x:v>
      </x:c>
      <x:c r="F5" s="78" t="s">
        <x:v>625</x:v>
      </x:c>
      <x:c r="G5" s="78" t="s">
        <x:v>626</x:v>
      </x:c>
      <x:c r="H5" s="78" t="s">
        <x:v>620</x:v>
      </x:c>
      <x:c r="I5" s="78" t="s">
        <x:v>627</x:v>
      </x:c>
    </x:row>
    <x:row r="6" ht="28.5">
      <x:c r="A6" s="78" t="s">
        <x:v>628</x:v>
      </x:c>
      <x:c r="B6" s="81">
        <x:v>46207</x:v>
      </x:c>
      <x:c r="C6" s="78" t="s">
        <x:v>73</x:v>
      </x:c>
      <x:c r="D6" s="78" t="s">
        <x:v>629</x:v>
      </x:c>
      <x:c r="E6" s="78" t="s">
        <x:v>630</x:v>
      </x:c>
      <x:c r="F6" s="78" t="s">
        <x:v>631</x:v>
      </x:c>
      <x:c r="G6" s="78" t="s">
        <x:v>632</x:v>
      </x:c>
      <x:c r="H6" s="78" t="s">
        <x:v>620</x:v>
      </x:c>
      <x:c r="I6" s="78" t="s">
        <x:v>633</x:v>
      </x:c>
    </x:row>
    <x:row r="7" ht="28.5">
      <x:c r="A7" s="78" t="s">
        <x:v>634</x:v>
      </x:c>
      <x:c r="B7" s="81">
        <x:v>46207</x:v>
      </x:c>
      <x:c r="C7" s="78" t="s">
        <x:v>73</x:v>
      </x:c>
      <x:c r="D7" s="78" t="s">
        <x:v>635</x:v>
      </x:c>
      <x:c r="E7" s="78" t="s">
        <x:v>636</x:v>
      </x:c>
      <x:c r="F7" s="78" t="s">
        <x:v>637</x:v>
      </x:c>
      <x:c r="G7" s="78" t="s">
        <x:v>638</x:v>
      </x:c>
      <x:c r="H7" s="78" t="s">
        <x:v>620</x:v>
      </x:c>
      <x:c r="I7" s="78" t="s">
        <x:v>639</x:v>
      </x:c>
    </x:row>
    <x:row r="8">
      <x:c r="A8" s="78" t="s">
        <x:v>640</x:v>
      </x:c>
      <x:c r="B8" s="81">
        <x:v>46207</x:v>
      </x:c>
      <x:c r="C8" s="78" t="s">
        <x:v>73</x:v>
      </x:c>
      <x:c r="D8" s="78" t="s">
        <x:v>641</x:v>
      </x:c>
      <x:c r="E8" s="78" t="s">
        <x:v>636</x:v>
      </x:c>
      <x:c r="F8" s="78" t="s">
        <x:v>642</x:v>
      </x:c>
      <x:c r="G8" s="78" t="s">
        <x:v>643</x:v>
      </x:c>
      <x:c r="H8" s="78" t="s">
        <x:v>620</x:v>
      </x:c>
      <x:c r="I8" s="78" t="s">
        <x:v>644</x:v>
      </x:c>
    </x:row>
    <x:row r="9">
      <x:c r="A9" s="78" t="s">
        <x:v>645</x:v>
      </x:c>
      <x:c r="B9" s="81">
        <x:v>46207</x:v>
      </x:c>
      <x:c r="C9" s="78" t="s">
        <x:v>73</x:v>
      </x:c>
      <x:c r="D9" s="78" t="s">
        <x:v>646</x:v>
      </x:c>
      <x:c r="E9" s="78" t="s">
        <x:v>636</x:v>
      </x:c>
      <x:c r="F9" s="78" t="s">
        <x:v>647</x:v>
      </x:c>
      <x:c r="G9" s="78" t="s">
        <x:v>648</x:v>
      </x:c>
      <x:c r="H9" s="78" t="s">
        <x:v>620</x:v>
      </x:c>
      <x:c r="I9" s="78" t="s">
        <x:v>649</x:v>
      </x:c>
    </x:row>
    <x:row r="10" ht="28.5">
      <x:c r="A10" s="78" t="s">
        <x:v>650</x:v>
      </x:c>
      <x:c r="B10" s="81">
        <x:v>46207</x:v>
      </x:c>
      <x:c r="C10" s="78" t="s">
        <x:v>68</x:v>
      </x:c>
      <x:c r="D10" s="78" t="s">
        <x:v>651</x:v>
      </x:c>
      <x:c r="E10" s="78" t="s">
        <x:v>652</x:v>
      </x:c>
      <x:c r="F10" s="78" t="s">
        <x:v>210</x:v>
      </x:c>
      <x:c r="G10" s="78" t="s">
        <x:v>653</x:v>
      </x:c>
      <x:c r="H10" s="78" t="s">
        <x:v>620</x:v>
      </x:c>
      <x:c r="I10" s="78" t="s">
        <x:v>654</x:v>
      </x:c>
    </x:row>
    <x:row r="11" ht="28.5">
      <x:c r="A11" s="78" t="s">
        <x:v>655</x:v>
      </x:c>
      <x:c r="B11" s="81">
        <x:v>46207</x:v>
      </x:c>
      <x:c r="C11" s="78" t="s">
        <x:v>68</x:v>
      </x:c>
      <x:c r="D11" s="78" t="s">
        <x:v>656</x:v>
      </x:c>
      <x:c r="E11" s="78" t="s">
        <x:v>204</x:v>
      </x:c>
      <x:c r="F11" s="78" t="s">
        <x:v>657</x:v>
      </x:c>
      <x:c r="G11" s="78" t="s">
        <x:v>658</x:v>
      </x:c>
      <x:c r="H11" s="78" t="s">
        <x:v>620</x:v>
      </x:c>
      <x:c r="I11" s="78" t="s">
        <x:v>659</x:v>
      </x:c>
    </x:row>
    <x:row r="12" ht="28.5">
      <x:c r="A12" s="78" t="s">
        <x:v>660</x:v>
      </x:c>
      <x:c r="B12" s="81">
        <x:v>46207</x:v>
      </x:c>
      <x:c r="C12" s="78" t="s">
        <x:v>68</x:v>
      </x:c>
      <x:c r="D12" s="78" t="s">
        <x:v>661</x:v>
      </x:c>
      <x:c r="E12" s="78" t="s">
        <x:v>662</x:v>
      </x:c>
      <x:c r="F12" s="78" t="s">
        <x:v>663</x:v>
      </x:c>
      <x:c r="G12" s="78" t="s">
        <x:v>19</x:v>
      </x:c>
      <x:c r="H12" s="78" t="s">
        <x:v>620</x:v>
      </x:c>
      <x:c r="I12" s="78" t="s">
        <x:v>664</x:v>
      </x:c>
    </x:row>
    <x:row r="13" ht="60" customHeight="1">
      <x:c r="A13" s="198" t="s">
        <x:v>665</x:v>
      </x:c>
      <x:c r="B13" s="199">
        <x:v>46208</x:v>
      </x:c>
      <x:c r="C13" s="200" t="s">
        <x:v>666</x:v>
      </x:c>
      <x:c r="D13" s="200" t="s">
        <x:v>667</x:v>
      </x:c>
      <x:c r="E13" s="200" t="s">
        <x:v>668</x:v>
      </x:c>
      <x:c r="F13" s="200" t="s">
        <x:v>669</x:v>
      </x:c>
      <x:c r="G13" s="200" t="s">
        <x:v>670</x:v>
      </x:c>
      <x:c r="H13" s="200" t="s">
        <x:v>620</x:v>
      </x:c>
      <x:c r="I13" s="201" t="s">
        <x:v>671</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mechanical_workflow_assurance_modernization_2026-07-10.zip; gantt_v0.3_package_assurance_pilot.xlsx</x:v>
      </x:c>
      <x:c r="G32" s="447" t="str">
        <x:v>Selection and start readiness for v0.3.0 Package Assurance Pilot</x:v>
      </x:c>
      <x:c r="H32" s="447" t="str">
        <x:v>Prepared</x:v>
      </x:c>
      <x:c r="I32" s="447" t="str">
        <x:v>No actual project hours were recorded because the user did not provide a work-block duration. Commit the reviewed package to the repository before treating file paths as merged evidence.</x:v>
      </x:c>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672</x:v>
      </x:c>
      <x:c r="C4" s="80" t="s">
        <x:v>673</x:v>
      </x:c>
      <x:c r="D4" s="80" t="s">
        <x:v>674</x:v>
      </x:c>
      <x:c r="E4" s="80" t="s">
        <x:v>675</x:v>
      </x:c>
      <x:c r="F4" s="80" t="s">
        <x:v>676</x:v>
      </x:c>
      <x:c r="G4" s="80" t="s">
        <x:v>677</x:v>
      </x:c>
      <x:c r="H4" s="80" t="s">
        <x:v>678</x:v>
      </x:c>
      <x:c r="I4" s="80" t="s">
        <x:v>56</x:v>
      </x:c>
    </x:row>
    <x:row r="5" ht="28.5">
      <x:c r="A5" s="78" t="s">
        <x:v>679</x:v>
      </x:c>
      <x:c r="B5" s="78" t="s">
        <x:v>680</x:v>
      </x:c>
      <x:c r="C5" s="78" t="s">
        <x:v>681</x:v>
      </x:c>
      <x:c r="D5" s="78" t="s">
        <x:v>682</x:v>
      </x:c>
      <x:c r="E5" s="78" t="s">
        <x:v>683</x:v>
      </x:c>
      <x:c r="F5" s="78" t="s">
        <x:v>684</x:v>
      </x:c>
      <x:c r="G5" s="78" t="s">
        <x:v>685</x:v>
      </x:c>
      <x:c r="H5" s="78" t="s">
        <x:v>686</x:v>
      </x:c>
      <x:c r="I5" s="78" t="str">
        <x:v>Deferred — expand selectively through package benchmark</x:v>
      </x:c>
    </x:row>
    <x:row r="6" ht="57">
      <x:c r="A6" s="78" t="s">
        <x:v>687</x:v>
      </x:c>
      <x:c r="B6" s="78" t="s">
        <x:v>688</x:v>
      </x:c>
      <x:c r="C6" s="78" t="s">
        <x:v>689</x:v>
      </x:c>
      <x:c r="D6" s="78" t="s">
        <x:v>690</x:v>
      </x:c>
      <x:c r="E6" s="78" t="s">
        <x:v>691</x:v>
      </x:c>
      <x:c r="F6" s="78" t="s">
        <x:v>573</x:v>
      </x:c>
      <x:c r="G6" s="78" t="s">
        <x:v>692</x:v>
      </x:c>
      <x:c r="H6" s="78" t="s">
        <x:v>688</x:v>
      </x:c>
      <x:c r="I6" s="78" t="str">
        <x:v>Deferred — v0.4+; structured manifests first</x:v>
      </x:c>
    </x:row>
    <x:row r="7" ht="57">
      <x:c r="A7" s="78" t="s">
        <x:v>693</x:v>
      </x:c>
      <x:c r="B7" s="78" t="s">
        <x:v>694</x:v>
      </x:c>
      <x:c r="C7" s="78" t="s">
        <x:v>695</x:v>
      </x:c>
      <x:c r="D7" s="78" t="s">
        <x:v>696</x:v>
      </x:c>
      <x:c r="E7" s="78" t="s">
        <x:v>697</x:v>
      </x:c>
      <x:c r="F7" s="78" t="s">
        <x:v>573</x:v>
      </x:c>
      <x:c r="G7" s="78" t="s">
        <x:v>698</x:v>
      </x:c>
      <x:c r="H7" s="78" t="s">
        <x:v>699</x:v>
      </x:c>
      <x:c r="I7" s="78" t="str">
        <x:v>Deferred — after package evaluator and sandbox/trace plan</x:v>
      </x:c>
    </x:row>
    <x:row r="8" ht="57">
      <x:c r="A8" s="78" t="s">
        <x:v>700</x:v>
      </x:c>
      <x:c r="B8" s="78" t="s">
        <x:v>701</x:v>
      </x:c>
      <x:c r="C8" s="78" t="s">
        <x:v>702</x:v>
      </x:c>
      <x:c r="D8" s="78" t="s">
        <x:v>703</x:v>
      </x:c>
      <x:c r="E8" s="78" t="s">
        <x:v>704</x:v>
      </x:c>
      <x:c r="F8" s="78" t="s">
        <x:v>573</x:v>
      </x:c>
      <x:c r="G8" s="78" t="s">
        <x:v>685</x:v>
      </x:c>
      <x:c r="H8" s="78" t="s">
        <x:v>705</x:v>
      </x:c>
      <x:c r="I8" s="78" t="s">
        <x:v>706</x:v>
      </x:c>
    </x:row>
    <x:row r="9" ht="28.5">
      <x:c r="A9" s="78" t="s">
        <x:v>707</x:v>
      </x:c>
      <x:c r="B9" s="78" t="s">
        <x:v>708</x:v>
      </x:c>
      <x:c r="C9" s="78" t="s">
        <x:v>709</x:v>
      </x:c>
      <x:c r="D9" s="78" t="s">
        <x:v>710</x:v>
      </x:c>
      <x:c r="E9" s="78" t="s">
        <x:v>711</x:v>
      </x:c>
      <x:c r="F9" s="78" t="s">
        <x:v>585</x:v>
      </x:c>
      <x:c r="G9" s="78" t="s">
        <x:v>685</x:v>
      </x:c>
      <x:c r="H9" s="78" t="s">
        <x:v>712</x:v>
      </x:c>
      <x:c r="I9" s="78" t="s">
        <x:v>706</x:v>
      </x:c>
    </x:row>
    <x:row r="10" ht="28.5">
      <x:c r="A10" s="78" t="s">
        <x:v>713</x:v>
      </x:c>
      <x:c r="B10" s="78" t="s">
        <x:v>714</x:v>
      </x:c>
      <x:c r="C10" s="78" t="s">
        <x:v>715</x:v>
      </x:c>
      <x:c r="D10" s="78" t="s">
        <x:v>716</x:v>
      </x:c>
      <x:c r="E10" s="78" t="s">
        <x:v>717</x:v>
      </x:c>
      <x:c r="F10" s="78" t="s">
        <x:v>585</x:v>
      </x:c>
      <x:c r="G10" s="78" t="s">
        <x:v>718</x:v>
      </x:c>
      <x:c r="H10" s="78" t="s">
        <x:v>714</x:v>
      </x:c>
      <x:c r="I10" s="78" t="s">
        <x:v>706</x:v>
      </x:c>
    </x:row>
    <x:row r="11" ht="28.5">
      <x:c r="A11" s="78" t="s">
        <x:v>719</x:v>
      </x:c>
      <x:c r="B11" s="78" t="s">
        <x:v>720</x:v>
      </x:c>
      <x:c r="C11" s="78" t="s">
        <x:v>721</x:v>
      </x:c>
      <x:c r="D11" s="78" t="s">
        <x:v>722</x:v>
      </x:c>
      <x:c r="E11" s="78" t="s">
        <x:v>723</x:v>
      </x:c>
      <x:c r="F11" s="78" t="s">
        <x:v>585</x:v>
      </x:c>
      <x:c r="G11" s="78" t="s">
        <x:v>724</x:v>
      </x:c>
      <x:c r="H11" s="78" t="s">
        <x:v>725</x:v>
      </x:c>
      <x:c r="I11" s="78" t="s">
        <x:v>706</x:v>
      </x:c>
    </x:row>
    <x:row r="12" ht="28.5">
      <x:c r="A12" s="78" t="s">
        <x:v>726</x:v>
      </x:c>
      <x:c r="B12" s="78" t="s">
        <x:v>727</x:v>
      </x:c>
      <x:c r="C12" s="78" t="s">
        <x:v>728</x:v>
      </x:c>
      <x:c r="D12" s="78" t="s">
        <x:v>729</x:v>
      </x:c>
      <x:c r="E12" s="78" t="s">
        <x:v>730</x:v>
      </x:c>
      <x:c r="F12" s="78" t="s">
        <x:v>597</x:v>
      </x:c>
      <x:c r="G12" s="78" t="s">
        <x:v>698</x:v>
      </x:c>
      <x:c r="H12" s="78" t="s">
        <x:v>727</x:v>
      </x:c>
      <x:c r="I12" s="78" t="s">
        <x:v>706</x:v>
      </x:c>
    </x:row>
    <x:row r="13" ht="28.5">
      <x:c r="A13" s="78" t="s">
        <x:v>731</x:v>
      </x:c>
      <x:c r="B13" s="78" t="s">
        <x:v>725</x:v>
      </x:c>
      <x:c r="C13" s="78" t="s">
        <x:v>732</x:v>
      </x:c>
      <x:c r="D13" s="78" t="s">
        <x:v>733</x:v>
      </x:c>
      <x:c r="E13" s="78" t="s">
        <x:v>734</x:v>
      </x:c>
      <x:c r="F13" s="78" t="s">
        <x:v>585</x:v>
      </x:c>
      <x:c r="G13" s="78" t="s">
        <x:v>718</x:v>
      </x:c>
      <x:c r="H13" s="78" t="s">
        <x:v>725</x:v>
      </x:c>
      <x:c r="I13" s="78" t="s">
        <x:v>706</x:v>
      </x:c>
    </x:row>
    <x:row r="14" ht="28.5">
      <x:c r="A14" s="78" t="s">
        <x:v>735</x:v>
      </x:c>
      <x:c r="B14" s="78" t="s">
        <x:v>736</x:v>
      </x:c>
      <x:c r="C14" s="78" t="s">
        <x:v>737</x:v>
      </x:c>
      <x:c r="D14" s="78" t="s">
        <x:v>738</x:v>
      </x:c>
      <x:c r="E14" s="78" t="s">
        <x:v>739</x:v>
      </x:c>
      <x:c r="F14" s="78" t="s">
        <x:v>585</x:v>
      </x:c>
      <x:c r="G14" s="78" t="s">
        <x:v>740</x:v>
      </x:c>
      <x:c r="H14" s="78" t="s">
        <x:v>736</x:v>
      </x:c>
      <x:c r="I14" s="78" t="s">
        <x:v>706</x:v>
      </x:c>
    </x:row>
    <x:row r="15" ht="28.5">
      <x:c r="A15" s="78" t="s">
        <x:v>741</x:v>
      </x:c>
      <x:c r="B15" s="78" t="s">
        <x:v>742</x:v>
      </x:c>
      <x:c r="C15" s="78" t="s">
        <x:v>743</x:v>
      </x:c>
      <x:c r="D15" s="78" t="s">
        <x:v>744</x:v>
      </x:c>
      <x:c r="E15" s="78" t="s">
        <x:v>745</x:v>
      </x:c>
      <x:c r="F15" s="78" t="s">
        <x:v>597</x:v>
      </x:c>
      <x:c r="G15" s="78" t="s">
        <x:v>746</x:v>
      </x:c>
      <x:c r="H15" s="78" t="s">
        <x:v>747</x:v>
      </x:c>
      <x:c r="I15" s="78" t="s">
        <x:v>706</x:v>
      </x:c>
    </x:row>
    <x:row r="16" ht="28.5">
      <x:c r="A16" s="78" t="s">
        <x:v>748</x:v>
      </x:c>
      <x:c r="B16" s="78" t="s">
        <x:v>749</x:v>
      </x:c>
      <x:c r="C16" s="78" t="s">
        <x:v>750</x:v>
      </x:c>
      <x:c r="D16" s="78" t="s">
        <x:v>751</x:v>
      </x:c>
      <x:c r="E16" s="78" t="s">
        <x:v>752</x:v>
      </x:c>
      <x:c r="F16" s="78" t="s">
        <x:v>597</x:v>
      </x:c>
      <x:c r="G16" s="78" t="s">
        <x:v>753</x:v>
      </x:c>
      <x:c r="H16" s="78" t="s">
        <x:v>749</x:v>
      </x:c>
      <x:c r="I16" s="78" t="s">
        <x:v>706</x:v>
      </x:c>
    </x:row>
    <x:row r="17" ht="72" customHeight="1">
      <x:c r="A17" s="182" t="s">
        <x:v>754</x:v>
      </x:c>
      <x:c r="B17" s="183" t="s">
        <x:v>755</x:v>
      </x:c>
      <x:c r="C17" s="183" t="s">
        <x:v>756</x:v>
      </x:c>
      <x:c r="D17" s="183" t="s">
        <x:v>757</x:v>
      </x:c>
      <x:c r="E17" s="183" t="str">
        <x:v>MVP v0.2.0 released; P0 contract and authority map approved; structured package manifests and reviewed ground truth available.</x:v>
      </x:c>
      <x:c r="F17" s="183" t="str">
        <x:v>Now</x:v>
      </x:c>
      <x:c r="G17" s="183" t="str">
        <x:v>46</x:v>
      </x:c>
      <x:c r="H17" s="183" t="s">
        <x:v>758</x:v>
      </x:c>
      <x:c r="I17" s="184" t="str">
        <x:v>Selected — v0.3.0</x:v>
      </x:c>
    </x:row>
    <x:row r="18" ht="72" customHeight="1">
      <x:c r="A18" s="185" t="s">
        <x:v>759</x:v>
      </x:c>
      <x:c r="B18" s="83" t="s">
        <x:v>760</x:v>
      </x:c>
      <x:c r="C18" s="83" t="s">
        <x:v>761</x:v>
      </x:c>
      <x:c r="D18" s="83" t="s">
        <x:v>762</x:v>
      </x:c>
      <x:c r="E18" s="83" t="s">
        <x:v>763</x:v>
      </x:c>
      <x:c r="F18" s="83" t="s">
        <x:v>573</x:v>
      </x:c>
      <x:c r="G18" s="83" t="s">
        <x:v>764</x:v>
      </x:c>
      <x:c r="H18" s="83" t="s">
        <x:v>765</x:v>
      </x:c>
      <x:c r="I18" s="186" t="s">
        <x:v>706</x:v>
      </x:c>
    </x:row>
    <x:row r="19" ht="72" customHeight="1">
      <x:c r="A19" s="187" t="s">
        <x:v>766</x:v>
      </x:c>
      <x:c r="B19" s="188" t="s">
        <x:v>767</x:v>
      </x:c>
      <x:c r="C19" s="188" t="s">
        <x:v>768</x:v>
      </x:c>
      <x:c r="D19" s="188" t="s">
        <x:v>769</x:v>
      </x:c>
      <x:c r="E19" s="188" t="s">
        <x:v>770</x:v>
      </x:c>
      <x:c r="F19" s="188" t="s">
        <x:v>573</x:v>
      </x:c>
      <x:c r="G19" s="188" t="s">
        <x:v>753</x:v>
      </x:c>
      <x:c r="H19" s="188" t="s">
        <x:v>771</x:v>
      </x:c>
      <x:c r="I19" s="189" t="s">
        <x:v>706</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7" t="str">
        <x:v>2026-07-10</x:v>
      </x:c>
      <x:c r="C5" s="449" t="str">
        <x:v>Control baseline</x:v>
      </x:c>
      <x:c r="D5" s="447" t="str">
        <x:v>Program v2.0 / v0.3.0 pilot</x:v>
      </x:c>
      <x:c r="E5" s="449" t="str">
        <x:v>Target finish</x:v>
      </x:c>
      <x:c r="F5" s="447" t="str">
        <x:v>2026-08-23</x:v>
      </x:c>
      <x:c r="G5" s="449" t="str">
        <x:v>Planned pilot hours</x:v>
      </x:c>
      <x:c r="H5" s="447" t="n">
        <x:v>46</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P0.1 — workflow contract and authority map</x:v>
      </x:c>
    </x:row>
    <x:row r="7" ht="48"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No package-level data model, authority hierarchy, cross-document relationship engine, issue register, release-readiness states, or true unseen package benchmark.</x:v>
      </x:c>
      <x:c r="E7" s="449" t="str">
        <x:v>Product interpretation</x:v>
      </x:c>
      <x:c r="F7" s="447" t="str">
        <x:v>Successful kernel; not yet a complete economically useful workflow.</x:v>
      </x:c>
      <x:c r="G7" s="449" t="str">
        <x:v>Response</x:v>
      </x:c>
      <x:c r="H7" s="447" t="str">
        <x:v>Build one vertical end-to-end without restarting the repository.</x:v>
      </x:c>
    </x:row>
    <x:row r="8" ht="48" hidden="0" customHeight="1">
      <x:c r="A8" s="449" t="str">
        <x:v>Immediate next action</x:v>
      </x:c>
      <x:c r="B8" s="447" t="str">
        <x:v>Complete P0.1 and P0.2 before implementation: freeze package scope, canonical identifiers, authoritative sources, result states, exclusions, deterministic checks, benchmark protocol, and stop conditions.</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48" customHeight="1">
      <x:c r="A9" s="450" t="str">
        <x:v>GPT-5.6 operating model</x:v>
      </x:c>
      <x:c r="B9" s="451" t="str">
        <x:v>Use stronger long-horizon capability for repo reconnaissance, multi-file implementation, tool coordination, test recovery, document/spreadsheet production, and independent review.</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Record actual hours only if known; preserve prior history.</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expected duration, branch, and definition of done.</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GPT-5.6 materially improves long-horizon coding, professional workflows, tool use, computer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56"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Complete P0.1 → P0.2 → P1.1 in sequence; defer everything else.</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30" hidden="0" customHeight="1">
      <x:c r="A41" s="604" t="str">
        <x:v>Immediate implication</x:v>
      </x:c>
      <x:c r="B41" s="605"/>
      <x:c r="C41" s="606" t="str">
        <x:v>Start P0.1 now. Do not build extraction, agent runtime, API/database, observability, RAG, or RL until the structured workflow passes its own benchmark.</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772</x:v>
      </x:c>
      <x:c r="B3" s="235"/>
      <x:c r="C3" s="235"/>
      <x:c r="D3" s="235"/>
      <x:c r="F3" s="237" t="s">
        <x:v>773</x:v>
      </x:c>
      <x:c r="G3" s="235"/>
      <x:c r="H3" s="235"/>
      <x:c r="I3" s="235"/>
      <x:c r="J3" s="235"/>
      <x:c r="K3" s="235"/>
      <x:c r="L3" s="235"/>
      <x:c r="M3" s="235"/>
      <x:c r="N3" s="235"/>
    </x:row>
    <x:row r="4" ht="26.399999618530273" hidden="0" customHeight="1">
      <x:c r="A4" s="79" t="s">
        <x:v>44</x:v>
      </x:c>
      <x:c r="B4" s="166">
        <x:v>46257</x:v>
      </x:c>
      <x:c r="F4" s="449" t="s">
        <x:v>774</x:v>
      </x:c>
      <x:c r="G4" s="610" t="str">
        <x:v>Post-MVP — Select next expansion</x:v>
      </x:c>
      <x:c r="H4" s="610"/>
      <x:c r="I4" s="246"/>
      <x:c r="J4" s="245"/>
      <x:c r="K4" s="245"/>
      <x:c r="L4" s="246"/>
      <x:c r="M4" s="245"/>
      <x:c r="N4" s="245"/>
    </x:row>
    <x:row r="5" ht="14.25" hidden="0" customHeight="1">
      <x:c r="A5" s="79" t="s">
        <x:v>2</x:v>
      </x:c>
      <x:c r="B5" s="167">
        <x:v>76</x:v>
      </x:c>
      <x:c r="F5" s="449" t="s">
        <x:v>775</x:v>
      </x:c>
      <x:c r="G5" s="610" t="str">
        <x:v>Define acceptance criteria for the selected expansion</x:v>
      </x:c>
      <x:c r="H5" s="610"/>
      <x:c r="I5" s="246"/>
      <x:c r="J5" s="245"/>
      <x:c r="K5" s="245"/>
      <x:c r="L5" s="246"/>
      <x:c r="M5" s="245"/>
      <x:c r="N5" s="245"/>
    </x:row>
    <x:row r="6" ht="92.4000015258789" hidden="0" customHeight="1">
      <x:c r="A6" s="79" t="s">
        <x:v>776</x:v>
      </x:c>
      <x:c r="B6" s="168" t="n">
        <x:f>'Phase Summary'!D10</x:f>
        <x:v>17.39</x:v>
      </x:c>
      <x:c r="F6" s="449" t="s">
        <x:v>777</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778</x:v>
      </x:c>
      <x:c r="B7" s="169" t="n">
        <x:f>'Phase Summary'!E10</x:f>
        <x:v>1</x:v>
      </x:c>
      <x:c r="F7" s="449" t="s">
        <x:v>779</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780</x:v>
      </x:c>
      <x:c r="B8" s="167" t="n">
        <x:v>121</x:v>
      </x:c>
      <x:c r="F8" s="449" t="s">
        <x:v>781</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706</x:v>
      </x:c>
      <x:c r="G9" s="610" t="str">
        <x:v>All expansion work until one backlog item is selected.</x:v>
      </x:c>
      <x:c r="H9" s="610"/>
      <x:c r="I9" s="246"/>
      <x:c r="J9" s="245"/>
      <x:c r="K9" s="245"/>
      <x:c r="L9" s="246"/>
      <x:c r="M9" s="245"/>
      <x:c r="N9" s="245"/>
    </x:row>
    <x:row r="10" ht="14.25" hidden="0" customHeight="1">
      <x:c r="A10" s="79" t="s">
        <x:v>782</x:v>
      </x:c>
      <x:c r="B10" s="167" t="n">
        <x:v>22</x:v>
      </x:c>
      <x:c r="F10" s="156" t="s">
        <x:v>783</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784</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785</x:v>
      </x:c>
      <x:c r="B23" s="235"/>
      <x:c r="C23" s="235"/>
      <x:c r="D23" s="235"/>
      <x:c r="E23" s="235"/>
      <x:c r="F23" s="235"/>
      <x:c r="G23" s="235"/>
      <x:c r="H23" s="235"/>
      <x:c r="I23" s="235"/>
      <x:c r="J23" s="235"/>
      <x:c r="K23" s="235"/>
      <x:c r="L23" s="235"/>
      <x:c r="M23" s="235"/>
      <x:c r="N23" s="235"/>
    </x:row>
    <x:row r="24" ht="30" customHeight="1">
      <x:c r="A24" s="175" t="s">
        <x:v>676</x:v>
      </x:c>
      <x:c r="B24" s="175" t="s">
        <x:v>48</x:v>
      </x:c>
      <x:c r="C24" s="175" t="s">
        <x:v>786</x:v>
      </x:c>
      <x:c r="D24" s="175" t="s">
        <x:v>787</x:v>
      </x:c>
      <x:c r="E24" s="175" t="s">
        <x:v>179</x:v>
      </x:c>
      <x:c r="F24" s="175" t="s">
        <x:v>788</x:v>
      </x:c>
      <x:c r="G24" s="175" t="s">
        <x:v>182</x:v>
      </x:c>
      <x:c r="H24" s="175" t="s">
        <x:v>567</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5c2227416d2f4f2c"/>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789</x:v>
      </x:c>
      <x:c r="B4" s="238"/>
      <x:c r="C4" s="238"/>
      <x:c r="D4" s="238"/>
      <x:c r="E4" s="238"/>
      <x:c r="F4" s="238"/>
      <x:c r="G4" s="238"/>
      <x:c r="H4" s="238"/>
    </x:row>
    <x:row r="5" ht="33.95000076293945" customHeight="1">
      <x:c r="A5" s="239" t="s">
        <x:v>790</x:v>
      </x:c>
      <x:c r="B5" s="240"/>
      <x:c r="C5" s="241" t="s">
        <x:v>791</x:v>
      </x:c>
      <x:c r="D5" s="242"/>
      <x:c r="E5" s="242"/>
      <x:c r="F5" s="242"/>
      <x:c r="G5" s="242"/>
      <x:c r="H5" s="243"/>
    </x:row>
    <x:row r="6" ht="33.95000076293945" customHeight="1">
      <x:c r="A6" s="239" t="s">
        <x:v>792</x:v>
      </x:c>
      <x:c r="B6" s="240"/>
      <x:c r="C6" s="241" t="str">
        <x:v>Mechanical Technical Document Evaluation Harness v0.2.0 — released evaluation kernel</x:v>
      </x:c>
      <x:c r="D6" s="242"/>
      <x:c r="E6" s="242"/>
      <x:c r="F6" s="242"/>
      <x:c r="G6" s="242"/>
      <x:c r="H6" s="243"/>
    </x:row>
    <x:row r="7" ht="33.95000076293945" customHeight="1">
      <x:c r="A7" s="239" t="s">
        <x:v>793</x:v>
      </x:c>
      <x:c r="B7" s="240"/>
      <x:c r="C7" s="241" t="s">
        <x:v>794</x:v>
      </x:c>
      <x:c r="D7" s="242"/>
      <x:c r="E7" s="242"/>
      <x:c r="F7" s="242"/>
      <x:c r="G7" s="242"/>
      <x:c r="H7" s="243"/>
    </x:row>
    <x:row r="8" ht="33.95000076293945" customHeight="1">
      <x:c r="A8" s="239" t="s">
        <x:v>795</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796</x:v>
      </x:c>
      <x:c r="B9" s="240"/>
      <x:c r="C9" s="241" t="s">
        <x:v>797</x:v>
      </x:c>
      <x:c r="D9" s="242"/>
      <x:c r="E9" s="242"/>
      <x:c r="F9" s="242"/>
      <x:c r="G9" s="242"/>
      <x:c r="H9" s="243"/>
    </x:row>
    <x:row r="11" ht="15">
      <x:c r="A11" s="238" t="s">
        <x:v>798</x:v>
      </x:c>
      <x:c r="B11" s="238"/>
      <x:c r="C11" s="238"/>
      <x:c r="D11" s="238"/>
      <x:c r="E11" s="238"/>
      <x:c r="F11" s="238"/>
      <x:c r="G11" s="238"/>
      <x:c r="H11" s="238"/>
    </x:row>
    <x:row r="12" ht="33.95000076293945" customHeight="1">
      <x:c r="A12" s="179" t="s">
        <x:v>799</x:v>
      </x:c>
      <x:c r="B12" s="180" t="s">
        <x:v>800</x:v>
      </x:c>
      <x:c r="C12" s="180" t="s">
        <x:v>801</x:v>
      </x:c>
      <x:c r="D12" s="180" t="s">
        <x:v>802</x:v>
      </x:c>
      <x:c r="E12" s="180" t="s">
        <x:v>803</x:v>
      </x:c>
      <x:c r="F12" s="180" t="s">
        <x:v>675</x:v>
      </x:c>
      <x:c r="G12" s="180" t="s">
        <x:v>56</x:v>
      </x:c>
      <x:c r="H12" s="181" t="s">
        <x:v>804</x:v>
      </x:c>
    </x:row>
    <x:row r="13" ht="78" customHeight="1">
      <x:c r="A13" s="182" t="s">
        <x:v>17</x:v>
      </x:c>
      <x:c r="B13" s="183" t="s">
        <x:v>805</x:v>
      </x:c>
      <x:c r="C13" s="183" t="s">
        <x:v>806</x:v>
      </x:c>
      <x:c r="D13" s="183" t="s">
        <x:v>807</x:v>
      </x:c>
      <x:c r="E13" s="183" t="s">
        <x:v>808</x:v>
      </x:c>
      <x:c r="F13" s="183" t="s">
        <x:v>809</x:v>
      </x:c>
      <x:c r="G13" s="183" t="str">
        <x:v>Released</x:v>
      </x:c>
      <x:c r="H13" s="184" t="str">
        <x:v>Frozen at v0.2.0; corrective releases only unless explicitly approved.</x:v>
      </x:c>
    </x:row>
    <x:row r="14" ht="78" customHeight="1">
      <x:c r="A14" s="185" t="s">
        <x:v>22</x:v>
      </x:c>
      <x:c r="B14" s="83" t="s">
        <x:v>810</x:v>
      </x:c>
      <x:c r="C14" s="83" t="s">
        <x:v>811</x:v>
      </x:c>
      <x:c r="D14" s="83" t="s">
        <x:v>812</x:v>
      </x:c>
      <x:c r="E14" s="83" t="s">
        <x:v>813</x:v>
      </x:c>
      <x:c r="F14" s="83" t="s">
        <x:v>814</x:v>
      </x:c>
      <x:c r="G14" s="83" t="str">
        <x:v>Active — v0.3.0</x:v>
      </x:c>
      <x:c r="H14" s="186" t="str">
        <x:v>Structured manifests and file references first; issue register and release summary required.</x:v>
      </x:c>
    </x:row>
    <x:row r="15" ht="78" customHeight="1">
      <x:c r="A15" s="185" t="s">
        <x:v>26</x:v>
      </x:c>
      <x:c r="B15" s="83" t="s">
        <x:v>810</x:v>
      </x:c>
      <x:c r="C15" s="83" t="s">
        <x:v>815</x:v>
      </x:c>
      <x:c r="D15" s="83" t="s">
        <x:v>816</x:v>
      </x:c>
      <x:c r="E15" s="83" t="s">
        <x:v>817</x:v>
      </x:c>
      <x:c r="F15" s="83" t="s">
        <x:v>818</x:v>
      </x:c>
      <x:c r="G15" s="83" t="str">
        <x:v>Deferred — v0.4+</x:v>
      </x:c>
      <x:c r="H15" s="186" t="str">
        <x:v>Add extraction adapters only after the structured workflow benchmark is stable.</x:v>
      </x:c>
    </x:row>
    <x:row r="16" ht="78" customHeight="1">
      <x:c r="A16" s="185" t="s">
        <x:v>30</x:v>
      </x:c>
      <x:c r="B16" s="83" t="s">
        <x:v>810</x:v>
      </x:c>
      <x:c r="C16" s="83" t="s">
        <x:v>819</x:v>
      </x:c>
      <x:c r="D16" s="83" t="s">
        <x:v>820</x:v>
      </x:c>
      <x:c r="E16" s="83" t="s">
        <x:v>821</x:v>
      </x:c>
      <x:c r="F16" s="83" t="s">
        <x:v>822</x:v>
      </x:c>
      <x:c r="G16" s="83" t="str">
        <x:v>Active in structured form</x:v>
      </x:c>
      <x:c r="H16" s="186" t="str">
        <x:v>v0.3.0 implements register/metadata/BOM/datasheet/revision consistency; native document adapters remain deferred.</x:v>
      </x:c>
    </x:row>
    <x:row r="17" ht="78" customHeight="1">
      <x:c r="A17" s="185" t="s">
        <x:v>34</x:v>
      </x:c>
      <x:c r="B17" s="83" t="s">
        <x:v>810</x:v>
      </x:c>
      <x:c r="C17" s="83" t="s">
        <x:v>823</x:v>
      </x:c>
      <x:c r="D17" s="83" t="s">
        <x:v>824</x:v>
      </x:c>
      <x:c r="E17" s="83" t="s">
        <x:v>825</x:v>
      </x:c>
      <x:c r="F17" s="83" t="s">
        <x:v>826</x:v>
      </x:c>
      <x:c r="G17" s="83" t="str">
        <x:v>Deferred</x:v>
      </x:c>
      <x:c r="H17" s="186" t="str">
        <x:v>Require sandbox, least privilege, trace schema, and independent artifact evaluator.</x:v>
      </x:c>
    </x:row>
    <x:row r="18" ht="78" customHeight="1">
      <x:c r="A18" s="185" t="s">
        <x:v>38</x:v>
      </x:c>
      <x:c r="B18" s="83" t="s">
        <x:v>810</x:v>
      </x:c>
      <x:c r="C18" s="83" t="s">
        <x:v>827</x:v>
      </x:c>
      <x:c r="D18" s="83" t="s">
        <x:v>828</x:v>
      </x:c>
      <x:c r="E18" s="83" t="s">
        <x:v>829</x:v>
      </x:c>
      <x:c r="F18" s="83" t="s">
        <x:v>830</x:v>
      </x:c>
      <x:c r="G18" s="83" t="str">
        <x:v>Deferred</x:v>
      </x:c>
      <x:c r="H18" s="186" t="str">
        <x:v>Requires controlled standards access, calibrated cases, and qualified human review.</x:v>
      </x:c>
    </x:row>
    <x:row r="19" ht="78" customHeight="1">
      <x:c r="A19" s="187" t="s">
        <x:v>441</x:v>
      </x:c>
      <x:c r="B19" s="188" t="s">
        <x:v>831</x:v>
      </x:c>
      <x:c r="C19" s="188" t="s">
        <x:v>832</x:v>
      </x:c>
      <x:c r="D19" s="188" t="s">
        <x:v>833</x:v>
      </x:c>
      <x:c r="E19" s="188" t="s">
        <x:v>834</x:v>
      </x:c>
      <x:c r="F19" s="188" t="s">
        <x:v>835</x:v>
      </x:c>
      <x:c r="G19" s="188" t="str">
        <x:v>Future</x:v>
      </x:c>
      <x:c r="H19" s="189" t="str">
        <x:v>Productize only after repeatable pilot evidence and controlled false-negative risk.</x:v>
      </x:c>
    </x:row>
    <x:row r="21" ht="15">
      <x:c r="A21" s="238" t="s">
        <x:v>836</x:v>
      </x:c>
      <x:c r="B21" s="238"/>
      <x:c r="C21" s="238"/>
      <x:c r="D21" s="238"/>
      <x:c r="E21" s="238"/>
      <x:c r="F21" s="238"/>
      <x:c r="G21" s="238"/>
      <x:c r="H21" s="238"/>
    </x:row>
    <x:row r="22" ht="38.099998474121094" customHeight="1">
      <x:c r="A22" s="239" t="s">
        <x:v>837</x:v>
      </x:c>
      <x:c r="B22" s="240"/>
      <x:c r="C22" s="241" t="s">
        <x:v>838</x:v>
      </x:c>
      <x:c r="D22" s="242"/>
      <x:c r="E22" s="242"/>
      <x:c r="F22" s="242"/>
      <x:c r="G22" s="242"/>
      <x:c r="H22" s="243"/>
    </x:row>
    <x:row r="23" ht="38.099998474121094" customHeight="1">
      <x:c r="A23" s="239" t="s">
        <x:v>839</x:v>
      </x:c>
      <x:c r="B23" s="240"/>
      <x:c r="C23" s="241" t="s">
        <x:v>840</x:v>
      </x:c>
      <x:c r="D23" s="242"/>
      <x:c r="E23" s="242"/>
      <x:c r="F23" s="242"/>
      <x:c r="G23" s="242"/>
      <x:c r="H23" s="243"/>
    </x:row>
    <x:row r="24" ht="38.099998474121094" customHeight="1">
      <x:c r="A24" s="239" t="s">
        <x:v>841</x:v>
      </x:c>
      <x:c r="B24" s="240"/>
      <x:c r="C24" s="241" t="s">
        <x:v>842</x:v>
      </x:c>
      <x:c r="D24" s="242"/>
      <x:c r="E24" s="242"/>
      <x:c r="F24" s="242"/>
      <x:c r="G24" s="242"/>
      <x:c r="H24" s="243"/>
    </x:row>
    <x:row r="25" ht="38.099998474121094" customHeight="1">
      <x:c r="A25" s="239" t="s">
        <x:v>843</x:v>
      </x:c>
      <x:c r="B25" s="240"/>
      <x:c r="C25" s="241" t="s">
        <x:v>844</x:v>
      </x:c>
      <x:c r="D25" s="242"/>
      <x:c r="E25" s="242"/>
      <x:c r="F25" s="242"/>
      <x:c r="G25" s="242"/>
      <x:c r="H25" s="243"/>
    </x:row>
    <x:row r="26" ht="38.099998474121094" customHeight="1">
      <x:c r="A26" s="239" t="s">
        <x:v>845</x:v>
      </x:c>
      <x:c r="B26" s="240"/>
      <x:c r="C26" s="241" t="s">
        <x:v>846</x:v>
      </x:c>
      <x:c r="D26" s="242"/>
      <x:c r="E26" s="242"/>
      <x:c r="F26" s="242"/>
      <x:c r="G26" s="242"/>
      <x:c r="H26" s="243"/>
    </x:row>
    <x:row r="27" ht="38.099998474121094" customHeight="1">
      <x:c r="A27" s="239" t="s">
        <x:v>847</x:v>
      </x:c>
      <x:c r="B27" s="240"/>
      <x:c r="C27" s="241" t="s">
        <x:v>848</x:v>
      </x:c>
      <x:c r="D27" s="242"/>
      <x:c r="E27" s="242"/>
      <x:c r="F27" s="242"/>
      <x:c r="G27" s="242"/>
      <x:c r="H27" s="243"/>
    </x:row>
    <x:row r="28" ht="38.099998474121094" customHeight="1">
      <x:c r="A28" s="239" t="s">
        <x:v>849</x:v>
      </x:c>
      <x:c r="B28" s="240"/>
      <x:c r="C28" s="241" t="s">
        <x:v>850</x:v>
      </x:c>
      <x:c r="D28" s="242"/>
      <x:c r="E28" s="242"/>
      <x:c r="F28" s="242"/>
      <x:c r="G28" s="242"/>
      <x:c r="H28" s="243"/>
    </x:row>
    <x:row r="29" ht="38.099998474121094" customHeight="1">
      <x:c r="A29" s="239" t="s">
        <x:v>851</x:v>
      </x:c>
      <x:c r="B29" s="240"/>
      <x:c r="C29" s="241" t="s">
        <x:v>852</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853</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854</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855</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856</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857</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858</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859</x:v>
      </x:c>
      <x:c r="B38" s="240"/>
      <x:c r="C38" s="241" t="s">
        <x:v>860</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Ready</x:v>
      </x:c>
      <x:c r="L6" s="664" t="n">
        <x:v>0</x:v>
      </x:c>
      <x:c r="M6" s="662" t="n">
        <x:f>SUMIF('Work Block Log'!$E$5:$E$200,A6,'Work Block Log'!$F$5:$F$200)</x:f>
        <x:v>0</x:v>
      </x:c>
      <x:c r="N6" s="662" t="n">
        <x:f>MAX(F6*(1-L6),0)</x:f>
        <x:v>2</x:v>
      </x:c>
      <x:c r="O6" s="662" t="n">
        <x:f>M6-F6</x:f>
        <x:v>-2</x:v>
      </x:c>
      <x:c r="P6" s="431" t="str">
        <x:v>feature/package-assurance-contract</x:v>
      </x:c>
      <x:c r="Q6" s="431" t="str">
        <x:v>Create docs/package_assurance/workflow_contract_v0.3.0.md and freeze the authority matrix before code changes.</x:v>
      </x:c>
      <x:c r="R6" s="431" t="str">
        <x:v>No extraction implementation in this WBS.</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Not Started</x:v>
      </x:c>
      <x:c r="L7" s="664" t="n">
        <x:v>0</x:v>
      </x:c>
      <x:c r="M7" s="662" t="n">
        <x:f>SUMIF('Work Block Log'!$E$5:$E$200,A7,'Work Block Log'!$F$5:$F$200)</x:f>
        <x:v>0</x:v>
      </x:c>
      <x:c r="N7" s="662" t="n">
        <x:f>MAX(F7*(1-L7),0)</x:f>
        <x:v>2</x:v>
      </x:c>
      <x:c r="O7" s="662" t="n">
        <x:f>M7-F7</x:f>
        <x:v>-2</x:v>
      </x:c>
      <x:c r="P7" s="431" t="str">
        <x:v>feature/package-assurance-contract</x:v>
      </x:c>
      <x:c r="Q7" s="431" t="str">
        <x:v>Complete after P0.1 is accepted.</x:v>
      </x:c>
      <x:c r="R7" s="431" t="str">
        <x:v>Use a newly authored held-out package; do not tune against held-out outcomes.</x:v>
      </x:c>
      <x:c r="S7" s="669" t="str">
        <x:v>■</x:v>
      </x:c>
      <x:c r="T7" s="669"/>
      <x:c r="U7" s="669"/>
      <x:c r="V7" s="669"/>
      <x:c r="W7" s="669"/>
      <x:c r="X7" s="669"/>
    </x:row>
    <x:row r="8" ht="64"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Not Started</x:v>
      </x:c>
      <x:c r="L8" s="664" t="n">
        <x:v>0</x:v>
      </x:c>
      <x:c r="M8" s="662" t="n">
        <x:f>SUMIF('Work Block Log'!$E$5:$E$200,A8,'Work Block Log'!$F$5:$F$200)</x:f>
        <x:v>0</x:v>
      </x:c>
      <x:c r="N8" s="662" t="n">
        <x:f>MAX(F8*(1-L8),0)</x:f>
        <x:v>3</x:v>
      </x:c>
      <x:c r="O8" s="662" t="n">
        <x:f>M8-F8</x:f>
        <x:v>-3</x:v>
      </x:c>
      <x:c r="P8" s="431" t="str">
        <x:v>feature/package-manifest</x:v>
      </x:c>
      <x:c r="Q8" s="431" t="str">
        <x:v>Start only after the contract and acceptance plan are frozen.</x:v>
      </x:c>
      <x:c r="R8" s="431" t="str">
        <x:v>Extend the existing candidate/result contracts; do not create a parallel framework.</x:v>
      </x:c>
      <x:c r="S8" s="669" t="str">
        <x:v>■</x:v>
      </x:c>
      <x:c r="T8" s="669" t="str">
        <x:v>■</x:v>
      </x:c>
      <x:c r="U8" s="669"/>
      <x:c r="V8" s="669"/>
      <x:c r="W8" s="669"/>
      <x:c r="X8" s="669"/>
    </x:row>
    <x:row r="9" ht="64"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Not Started</x:v>
      </x:c>
      <x:c r="L9" s="664" t="n">
        <x:v>0</x:v>
      </x:c>
      <x:c r="M9" s="662" t="n">
        <x:f>SUMIF('Work Block Log'!$E$5:$E$200,A9,'Work Block Log'!$F$5:$F$200)</x:f>
        <x:v>0</x:v>
      </x:c>
      <x:c r="N9" s="662" t="n">
        <x:f>MAX(F9*(1-L9),0)</x:f>
        <x:v>3</x:v>
      </x:c>
      <x:c r="O9" s="662" t="n">
        <x:f>M9-F9</x:f>
        <x:v>-3</x:v>
      </x:c>
      <x:c r="P9" s="431" t="str">
        <x:v>feature/package-fixtures</x:v>
      </x:c>
      <x:c r="Q9" s="431" t="str">
        <x:v>Build one clean package and a controlled corruption matrix.</x:v>
      </x:c>
      <x:c r="R9" s="431" t="str">
        <x:v>Use synthetic/self-authored data only.</x:v>
      </x:c>
      <x:c r="S9" s="669"/>
      <x:c r="T9" s="669" t="str">
        <x:v>■</x:v>
      </x:c>
      <x:c r="U9" s="669"/>
      <x:c r="V9" s="669"/>
      <x:c r="W9" s="669"/>
      <x:c r="X9" s="669"/>
    </x:row>
    <x:row r="10" ht="64"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P1.1</x:v>
      </x:c>
      <x:c r="F10" s="662" t="n">
        <x:v>2</x:v>
      </x:c>
      <x:c r="G10" s="431" t="n">
        <x:v>2</x:v>
      </x:c>
      <x:c r="H10" s="431" t="n">
        <x:v>2</x:v>
      </x:c>
      <x:c r="I10" s="429" t="n">
        <x:f>$B$1+(G10-1)*7</x:f>
        <x:v>46223</x:v>
      </x:c>
      <x:c r="J10" s="429" t="n">
        <x:f>$B$1+H10*7-1</x:f>
        <x:v>46229</x:v>
      </x:c>
      <x:c r="K10" s="431" t="str">
        <x:v>Not Started</x:v>
      </x:c>
      <x:c r="L10" s="664" t="n">
        <x:v>0</x:v>
      </x:c>
      <x:c r="M10" s="662" t="n">
        <x:f>SUMIF('Work Block Log'!$E$5:$E$200,A10,'Work Block Log'!$F$5:$F$200)</x:f>
        <x:v>0</x:v>
      </x:c>
      <x:c r="N10" s="662" t="n">
        <x:f>MAX(F10*(1-L10),0)</x:f>
        <x:v>2</x:v>
      </x:c>
      <x:c r="O10" s="662" t="n">
        <x:f>M10-F10</x:f>
        <x:v>-2</x:v>
      </x:c>
      <x:c r="P10" s="431" t="str">
        <x:v>feature/package-fixtures</x:v>
      </x:c>
      <x:c r="Q10" s="431" t="str">
        <x:v>Freeze split and review checklist before evaluator tuning.</x:v>
      </x:c>
      <x:c r="R10" s="431" t="str">
        <x:v>Held-out package must be materially distinct, not a renamed copy.</x:v>
      </x:c>
      <x:c r="S10" s="669"/>
      <x:c r="T10" s="669" t="str">
        <x:v>■</x:v>
      </x:c>
      <x:c r="U10" s="669"/>
      <x:c r="V10" s="669"/>
      <x:c r="W10" s="669"/>
      <x:c r="X10" s="669"/>
    </x:row>
    <x:row r="11" ht="64"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P1.2</x:v>
      </x:c>
      <x:c r="F11" s="662" t="n">
        <x:v>3</x:v>
      </x:c>
      <x:c r="G11" s="431" t="n">
        <x:v>2</x:v>
      </x:c>
      <x:c r="H11" s="431" t="n">
        <x:v>3</x:v>
      </x:c>
      <x:c r="I11" s="429" t="n">
        <x:f>$B$1+(G11-1)*7</x:f>
        <x:v>46223</x:v>
      </x:c>
      <x:c r="J11" s="429" t="n">
        <x:f>$B$1+H11*7-1</x:f>
        <x:v>46236</x:v>
      </x:c>
      <x:c r="K11" s="431" t="str">
        <x:v>Not Started</x:v>
      </x:c>
      <x:c r="L11" s="664" t="n">
        <x:v>0</x:v>
      </x:c>
      <x:c r="M11" s="662" t="n">
        <x:f>SUMIF('Work Block Log'!$E$5:$E$200,A11,'Work Block Log'!$F$5:$F$200)</x:f>
        <x:v>0</x:v>
      </x:c>
      <x:c r="N11" s="662" t="n">
        <x:f>MAX(F11*(1-L11),0)</x:f>
        <x:v>3</x:v>
      </x:c>
      <x:c r="O11" s="662" t="n">
        <x:f>M11-F11</x:f>
        <x:v>-3</x:v>
      </x:c>
      <x:c r="P11" s="431" t="str">
        <x:v>feature/package-inventory-gates</x:v>
      </x:c>
      <x:c r="Q11" s="431" t="str">
        <x:v>Implement gates before any scored consistency rules.</x:v>
      </x:c>
      <x:c r="R11" s="431" t="str">
        <x:v>Gate failures must preserve expected/actual evidence and source location.</x:v>
      </x:c>
      <x:c r="S11" s="669"/>
      <x:c r="T11" s="669" t="str">
        <x:v>■</x:v>
      </x:c>
      <x:c r="U11" s="669" t="str">
        <x:v>■</x:v>
      </x:c>
      <x:c r="V11" s="669"/>
      <x:c r="W11" s="669"/>
      <x:c r="X11" s="669"/>
    </x:row>
    <x:row r="12" ht="64"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Not Started</x:v>
      </x:c>
      <x:c r="L12" s="664" t="n">
        <x:v>0</x:v>
      </x:c>
      <x:c r="M12" s="662" t="n">
        <x:f>SUMIF('Work Block Log'!$E$5:$E$200,A12,'Work Block Log'!$F$5:$F$200)</x:f>
        <x:v>0</x:v>
      </x:c>
      <x:c r="N12" s="662" t="n">
        <x:f>MAX(F12*(1-L12),0)</x:f>
        <x:v>4</x:v>
      </x:c>
      <x:c r="O12" s="662" t="n">
        <x:f>M12-F12</x:f>
        <x:v>-4</x:v>
      </x:c>
      <x:c r="P12" s="431" t="str">
        <x:v>feature/tag-relationship-checks</x:v>
      </x:c>
      <x:c r="Q12" s="431" t="str">
        <x:v>Use canonical IDs and explicit normalization rules.</x:v>
      </x:c>
      <x:c r="R12" s="431" t="str">
        <x:v>Do not infer authority from file order or filename alone.</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x:v>
      </x:c>
      <x:c r="M24" s="683" t="n">
        <x:f>SUM(M6:M22)</x:f>
        <x:v>0</x:v>
      </x:c>
      <x:c r="N24" s="683" t="n">
        <x:f>SUM(N6:N22)</x:f>
        <x:v>46</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Baseline 2026-07-10</x:v>
      </x:c>
      <x:c r="B1" s="686"/>
      <x:c r="C1" s="686"/>
      <x:c r="D1" s="686"/>
      <x:c r="E1" s="686"/>
      <x:c r="F1" s="686"/>
      <x:c r="G1" s="686"/>
      <x:c r="H1" s="686"/>
    </x:row>
    <x:row r="3">
      <x:c r="A3" s="687" t="str">
        <x:v>Key Metrics</x:v>
      </x:c>
      <x:c r="B3" s="687"/>
      <x:c r="C3" s="687"/>
      <x:c r="D3" s="687"/>
      <x:c r="F3" s="687" t="str">
        <x:v>Current Focus</x:v>
      </x:c>
      <x:c r="G3" s="687"/>
      <x:c r="H3" s="687"/>
    </x:row>
    <x:row r="4" ht="48" customHeight="1">
      <x:c r="A4" s="688" t="str">
        <x:v>Pilot Target Finish</x:v>
      </x:c>
      <x:c r="B4" s="692" t="n">
        <x:v>46257</x:v>
      </x:c>
      <x:c r="C4" s="691"/>
      <x:c r="D4" s="691"/>
      <x:c r="F4" s="696" t="str">
        <x:v>Active WBS</x:v>
      </x:c>
      <x:c r="G4" s="697" t="str">
        <x:v>P0.1 — Define workflow contract and authority map</x:v>
      </x:c>
      <x:c r="H4" s="697"/>
    </x:row>
    <x:row r="5" ht="48" customHeight="1">
      <x:c r="A5" s="688" t="str">
        <x:v>Planned Hours</x:v>
      </x:c>
      <x:c r="B5" s="693" t="n">
        <x:f>'Pilot Gantt'!F24</x:f>
        <x:v>46</x:v>
      </x:c>
      <x:c r="C5" s="691"/>
      <x:c r="D5" s="691"/>
      <x:c r="F5" s="696" t="str">
        <x:v>Objective</x:v>
      </x:c>
      <x:c r="G5" s="697" t="str">
        <x:v>Freeze the v0.3.0 package-audit contract before implementation.</x:v>
      </x:c>
      <x:c r="H5" s="697"/>
    </x:row>
    <x:row r="6" ht="48" customHeight="1">
      <x:c r="A6" s="688" t="str">
        <x:v>Known Pilot Hours</x:v>
      </x:c>
      <x:c r="B6" s="693" t="n">
        <x:f>'Pilot Gantt'!M24</x:f>
        <x:v>0</x:v>
      </x:c>
      <x:c r="C6" s="691"/>
      <x:c r="D6" s="691"/>
      <x:c r="F6" s="696" t="str">
        <x:v>Expected Duration</x:v>
      </x:c>
      <x:c r="G6" s="697" t="str">
        <x:v>2 focused hours</x:v>
      </x:c>
      <x:c r="H6" s="697"/>
    </x:row>
    <x:row r="7" ht="48" customHeight="1">
      <x:c r="A7" s="688" t="str">
        <x:v>Weighted Progress</x:v>
      </x:c>
      <x:c r="B7" s="694" t="n">
        <x:f>'Pilot Gantt'!L24</x:f>
        <x:v>0</x:v>
      </x:c>
      <x:c r="C7" s="691"/>
      <x:c r="D7" s="691"/>
      <x:c r="F7" s="696" t="str">
        <x:v>Definition of Done</x:v>
      </x:c>
      <x:c r="G7" s="697" t="str">
        <x:v>Document types, canonical IDs, source precedence, result states, exclusions, human-review boundaries, and acceptance evidence are explicit and internally consistent.</x:v>
      </x:c>
      <x:c r="H7" s="697"/>
    </x:row>
    <x:row r="8" ht="48" customHeight="1">
      <x:c r="A8" s="688" t="str">
        <x:v>Released Kernel</x:v>
      </x:c>
      <x:c r="B8" s="691" t="str">
        <x:v>v0.2.0 / commit 45336a2</x:v>
      </x:c>
      <x:c r="C8" s="691"/>
      <x:c r="D8" s="691"/>
      <x:c r="F8" s="696" t="str">
        <x:v>Immediate Next Action</x:v>
      </x:c>
      <x:c r="G8" s="697" t="str">
        <x:v>Create and review docs/package_assurance/workflow_contract_v0.3.0.md on feature/package-assurance-contract.</x:v>
      </x:c>
      <x:c r="H8" s="697"/>
    </x:row>
    <x:row r="9" ht="48" customHeight="1">
      <x:c r="A9" s="688" t="str">
        <x:v>Release Target</x:v>
      </x:c>
      <x:c r="B9" s="691" t="str">
        <x:v>v0.3.0</x:v>
      </x:c>
      <x:c r="C9" s="691"/>
      <x:c r="D9" s="691"/>
      <x:c r="F9" s="696" t="str">
        <x:v>Primary Risk</x:v>
      </x:c>
      <x:c r="G9" s="697" t="str">
        <x:v>Ambiguous authority or scope creep could create convincing but unsafe findings.</x:v>
      </x:c>
      <x:c r="H9" s="697"/>
    </x:row>
    <x:row r="10" ht="48" customHeight="1">
      <x:c r="A10" s="688" t="str">
        <x:v>Baseline Test Count</x:v>
      </x:c>
      <x:c r="B10" s="691" t="n">
        <x:v>121</x:v>
      </x:c>
      <x:c r="C10" s="691"/>
      <x:c r="D10" s="691"/>
      <x:c r="F10" s="696" t="str">
        <x:v>Deferred</x:v>
      </x:c>
      <x:c r="G10" s="697" t="str">
        <x:v>PDF/CAD extraction, APIs/databases, agent runtime integration, dashboards, RAG, and RL.</x:v>
      </x:c>
      <x:c r="H10" s="697"/>
    </x:row>
    <x:row r="11" ht="48" customHeight="1">
      <x:c r="A11" s="688" t="str">
        <x:v>Structured Packages</x:v>
      </x:c>
      <x:c r="B11" s="691" t="n">
        <x:v>2</x:v>
      </x:c>
      <x:c r="C11" s="691"/>
      <x:c r="D11" s="691"/>
      <x:c r="F11" s="696" t="str">
        <x:v>Data Boundary</x:v>
      </x:c>
      <x:c r="G11" s="697" t="str">
        <x:v>Public, synthetic, self-authored, or authorized data only.</x:v>
      </x:c>
      <x:c r="H11" s="697"/>
    </x:row>
    <x:row r="13">
      <x:c r="A13" s="687" t="str">
        <x:v>Pilot Phase Progress</x:v>
      </x:c>
      <x:c r="B13" s="687"/>
      <x:c r="C13" s="687"/>
      <x:c r="D13" s="687"/>
      <x:c r="E13" s="687"/>
    </x:row>
    <x:row r="14">
      <x:c r="A14" s="657" t="str">
        <x:v>Phase</x:v>
      </x:c>
      <x:c r="B14" s="657" t="str">
        <x:v>Planned Hours</x:v>
      </x:c>
      <x:c r="C14" s="657" t="str">
        <x:v>Actual Hours</x:v>
      </x:c>
      <x:c r="D14" s="657" t="str">
        <x:v>% Complete</x:v>
      </x:c>
      <x:c r="E14" s="657" t="str">
        <x:v>Gate / Hold Point</x:v>
      </x:c>
    </x:row>
    <x:row r="15" ht="36" customHeight="1">
      <x:c r="A15" s="698" t="str">
        <x:v>P0 Definition &amp; Control</x:v>
      </x:c>
      <x:c r="B15" s="699" t="n">
        <x:v>4</x:v>
      </x:c>
      <x:c r="C15" s="699" t="n">
        <x:f>SUMIF('Pilot Gantt'!$B$6:$B$22,A15,'Pilot Gantt'!$M$6:$M$22)</x:f>
        <x:v>0</x:v>
      </x:c>
      <x:c r="D15" s="700" t="n">
        <x:f>IF(B15=0,0,SUMPRODUCT(('Pilot Gantt'!$B$6:$B$22=A15)*'Pilot Gantt'!$F$6:$F$22*'Pilot Gantt'!$L$6:$L$22)/B15)</x:f>
        <x:v>0</x:v>
      </x:c>
      <x:c r="E15" s="698" t="str">
        <x:v>Gate P0 — workflow contract and acceptance plan accepted</x:v>
      </x:c>
    </x:row>
    <x:row r="16" ht="36" customHeight="1">
      <x:c r="A16" s="698" t="str">
        <x:v>P1 Package Model &amp; Fixtures</x:v>
      </x:c>
      <x:c r="B16" s="699" t="n">
        <x:v>8</x:v>
      </x:c>
      <x:c r="C16" s="699" t="n">
        <x:f>SUMIF('Pilot Gantt'!$B$6:$B$22,A16,'Pilot Gantt'!$M$6:$M$22)</x:f>
        <x:v>0</x:v>
      </x:c>
      <x:c r="D16" s="700" t="n">
        <x:f>IF(B16=0,0,SUMPRODUCT(('Pilot Gantt'!$B$6:$B$22=A16)*'Pilot Gantt'!$F$6:$F$22*'Pilot Gantt'!$L$6:$L$22)/B16)</x:f>
        <x:v>0</x:v>
      </x:c>
      <x:c r="E16" s="698" t="str">
        <x:v>Gate P1 — two validated packages and frozen held-out split</x:v>
      </x:c>
    </x:row>
    <x:row r="17" ht="36" customHeight="1">
      <x:c r="A17" s="698" t="str">
        <x:v>P2 Consistency Rules</x:v>
      </x:c>
      <x:c r="B17" s="699" t="n">
        <x:v>14</x:v>
      </x:c>
      <x:c r="C17" s="699" t="n">
        <x:f>SUMIF('Pilot Gantt'!$B$6:$B$22,A17,'Pilot Gantt'!$M$6:$M$22)</x:f>
        <x:v>0</x:v>
      </x:c>
      <x:c r="D17" s="700" t="n">
        <x:f>IF(B17=0,0,SUMPRODUCT(('Pilot Gantt'!$B$6:$B$22=A17)*'Pilot Gantt'!$F$6:$F$22*'Pilot Gantt'!$L$6:$L$22)/B17)</x:f>
        <x:v>0</x:v>
      </x:c>
      <x:c r="E17" s="698" t="str">
        <x:v>Gate P2 — deterministic audit core and result-state routing</x:v>
      </x:c>
    </x:row>
    <x:row r="18" ht="36" customHeight="1">
      <x:c r="A18" s="698" t="str">
        <x:v>P3 Issue Register &amp; CLI</x:v>
      </x:c>
      <x:c r="B18" s="699" t="n">
        <x:v>8</x:v>
      </x:c>
      <x:c r="C18" s="699" t="n">
        <x:f>SUMIF('Pilot Gantt'!$B$6:$B$22,A18,'Pilot Gantt'!$M$6:$M$22)</x:f>
        <x:v>0</x:v>
      </x:c>
      <x:c r="D18" s="700" t="n">
        <x:f>IF(B18=0,0,SUMPRODUCT(('Pilot Gantt'!$B$6:$B$22=A18)*'Pilot Gantt'!$F$6:$F$22*'Pilot Gantt'!$L$6:$L$22)/B18)</x:f>
        <x:v>0</x:v>
      </x:c>
      <x:c r="E18" s="698" t="str">
        <x:v>Gate P3 — reproducible issue register and audit-package command</x:v>
      </x:c>
    </x:row>
    <x:row r="19" ht="36" customHeight="1">
      <x:c r="A19" s="698" t="str">
        <x:v>P4 Benchmark &amp; Reliability</x:v>
      </x:c>
      <x:c r="B19" s="699" t="n">
        <x:v>8</x:v>
      </x:c>
      <x:c r="C19" s="699" t="n">
        <x:f>SUMIF('Pilot Gantt'!$B$6:$B$22,A19,'Pilot Gantt'!$M$6:$M$22)</x:f>
        <x:v>0</x:v>
      </x:c>
      <x:c r="D19" s="700" t="n">
        <x:f>IF(B19=0,0,SUMPRODUCT(('Pilot Gantt'!$B$6:$B$22=A19)*'Pilot Gantt'!$F$6:$F$22*'Pilot Gantt'!$L$6:$L$22)/B19)</x:f>
        <x:v>0</x:v>
      </x:c>
      <x:c r="E19" s="698" t="str">
        <x:v>Gate P4 — held-out benchmark and clean-clone release acceptance</x:v>
      </x:c>
    </x:row>
    <x:row r="20" ht="36" customHeight="1">
      <x:c r="A20" s="698" t="str">
        <x:v>P5 Portfolio &amp; Commercial Proof</x:v>
      </x:c>
      <x:c r="B20" s="699" t="n">
        <x:v>4</x:v>
      </x:c>
      <x:c r="C20" s="699" t="n">
        <x:f>SUMIF('Pilot Gantt'!$B$6:$B$22,A20,'Pilot Gantt'!$M$6:$M$22)</x:f>
        <x:v>0</x:v>
      </x:c>
      <x:c r="D20" s="700" t="n">
        <x:f>IF(B20=0,0,SUMPRODUCT(('Pilot Gantt'!$B$6:$B$22=A20)*'Pilot Gantt'!$F$6:$F$22*'Pilot Gantt'!$L$6:$L$22)/B20)</x:f>
        <x:v>0</x:v>
      </x:c>
      <x:c r="E20" s="698" t="str">
        <x:v>Gate P5 — auditable demo and bounded service specification</x:v>
      </x:c>
    </x:row>
    <x:row r="22">
      <x:c r="A22" s="687" t="str">
        <x:v>Next Three Deliverables</x:v>
      </x:c>
      <x:c r="B22" s="687"/>
      <x:c r="C22" s="687"/>
      <x:c r="D22" s="687"/>
      <x:c r="E22" s="687"/>
      <x:c r="F22" s="687"/>
      <x:c r="G22" s="687"/>
      <x:c r="H22" s="687"/>
    </x:row>
    <x:row r="23">
      <x:c r="A23" s="657" t="str">
        <x:v>Priority</x:v>
      </x:c>
      <x:c r="B23" s="657" t="str">
        <x:v>WBS</x:v>
      </x:c>
      <x:c r="C23" s="657" t="str">
        <x:v>Deliverable</x:v>
      </x:c>
      <x:c r="D23" s="657" t="str">
        <x:v>Definition of Done</x:v>
      </x:c>
      <x:c r="E23" s="657" t="str">
        <x:v>Target Week</x:v>
      </x:c>
      <x:c r="F23" s="657" t="str">
        <x:v>Branch</x:v>
      </x:c>
      <x:c r="G23" s="657" t="str">
        <x:v>Evidence</x:v>
      </x:c>
      <x:c r="H23" s="657" t="str">
        <x:v>Owner</x:v>
      </x:c>
    </x:row>
    <x:row r="24" ht="60" customHeight="1">
      <x:c r="A24" s="431" t="n">
        <x:v>1</x:v>
      </x:c>
      <x:c r="B24" s="431" t="str">
        <x:v>P0.1</x:v>
      </x:c>
      <x:c r="C24" s="431" t="str">
        <x:v>Workflow contract and authority map</x:v>
      </x:c>
      <x:c r="D24" s="431" t="str">
        <x:v>All source types, canonical identifiers, precedence rules, result states, exclusions, and human-review boundaries are frozen.</x:v>
      </x:c>
      <x:c r="E24" s="431" t="n">
        <x:v>1</x:v>
      </x:c>
      <x:c r="F24" s="431" t="str">
        <x:v>feature/package-assurance-contract</x:v>
      </x:c>
      <x:c r="G24" s="431" t="str">
        <x:v>Approved contract document and decision D-030</x:v>
      </x:c>
      <x:c r="H24" s="431" t="str">
        <x:v>Jason</x:v>
      </x:c>
    </x:row>
    <x:row r="25" ht="60" customHeight="1">
      <x:c r="A25" s="431" t="n">
        <x:v>2</x:v>
      </x:c>
      <x:c r="B25" s="431" t="str">
        <x:v>P0.2</x:v>
      </x:c>
      <x:c r="C25" s="431" t="str">
        <x:v>Acceptance plan and benchmark protocol</x:v>
      </x:c>
      <x:c r="D25" s="431" t="str">
        <x:v>Deterministic checks, fault matrix, true held-out split, false-negative review, claim boundary, and stop condition are defined.</x:v>
      </x:c>
      <x:c r="E25" s="431" t="n">
        <x:v>1</x:v>
      </x:c>
      <x:c r="F25" s="431" t="str">
        <x:v>feature/package-assurance-contract</x:v>
      </x:c>
      <x:c r="G25" s="431" t="str">
        <x:v>Acceptance plan, benchmark protocol, and D-032</x:v>
      </x:c>
      <x:c r="H25" s="431" t="str">
        <x:v>Jason</x:v>
      </x:c>
    </x:row>
    <x:row r="26" ht="60" customHeight="1">
      <x:c r="A26" s="431" t="n">
        <x:v>3</x:v>
      </x:c>
      <x:c r="B26" s="431" t="str">
        <x:v>P1.1</x:v>
      </x:c>
      <x:c r="C26" s="431" t="str">
        <x:v>Package manifest schema and loader</x:v>
      </x:c>
      <x:c r="D26" s="431" t="str">
        <x:v>Versioned package manifest validates document inventory, relationships, revisions, authority declarations, and file references with controlled errors.</x:v>
      </x:c>
      <x:c r="E26" s="431" t="n">
        <x:v>2</x:v>
      </x:c>
      <x:c r="F26" s="431" t="str">
        <x:v>feature/package-manifest</x:v>
      </x:c>
      <x:c r="G26" s="431" t="str">
        <x:v>Schema, loader, tests, examples, and CLI validation</x:v>
      </x:c>
      <x:c r="H26"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