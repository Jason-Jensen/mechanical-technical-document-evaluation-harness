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8dfedc8db442cf" /></Relationships>
</file>

<file path=xl/workbook.xml><?xml version="1.0" encoding="utf-8"?>
<x:workbook xmlns:x="http://schemas.openxmlformats.org/spreadsheetml/2006/main">
  <x:sheets>
    <x:sheet xmlns:r="http://schemas.openxmlformats.org/officeDocument/2006/relationships" name="Start Here" sheetId="1" r:id="Re1416e513fb14f96"/>
    <x:sheet xmlns:r="http://schemas.openxmlformats.org/officeDocument/2006/relationships" name="Executive Gantt" sheetId="2" r:id="R1264191aca0746e8"/>
    <x:sheet xmlns:r="http://schemas.openxmlformats.org/officeDocument/2006/relationships" name="Detailed Gantt" sheetId="3" r:id="R4182933da07d477f"/>
    <x:sheet xmlns:r="http://schemas.openxmlformats.org/officeDocument/2006/relationships" name="Weekly Control" sheetId="4" r:id="R172839b0340d439b"/>
    <x:sheet xmlns:r="http://schemas.openxmlformats.org/officeDocument/2006/relationships" name="Phase Summary" sheetId="5" r:id="Raf4f4849c30a4437"/>
    <x:sheet xmlns:r="http://schemas.openxmlformats.org/officeDocument/2006/relationships" name="Assumptions &amp; Gates" sheetId="6" r:id="R7ac65f3292794dac"/>
    <x:sheet xmlns:r="http://schemas.openxmlformats.org/officeDocument/2006/relationships" name="Sources" sheetId="7" r:id="Rc4cf8587115742a0"/>
    <x:sheet xmlns:r="http://schemas.openxmlformats.org/officeDocument/2006/relationships" name="Legacy Baseline" sheetId="8" r:id="Rc5823673496145bf"/>
    <x:sheet xmlns:r="http://schemas.openxmlformats.org/officeDocument/2006/relationships" name="Work Block Log" sheetId="9" r:id="Rcd52bc07ad554cf9"/>
    <x:sheet xmlns:r="http://schemas.openxmlformats.org/officeDocument/2006/relationships" name="Decision Register" sheetId="10" r:id="Rf0f429faab3f4f5b"/>
    <x:sheet xmlns:r="http://schemas.openxmlformats.org/officeDocument/2006/relationships" name="Risks &amp; Issues" sheetId="11" r:id="Rb8c5231814964277"/>
    <x:sheet xmlns:r="http://schemas.openxmlformats.org/officeDocument/2006/relationships" name="Evidence Register" sheetId="12" r:id="R9cf381e6ae474b9a"/>
    <x:sheet xmlns:r="http://schemas.openxmlformats.org/officeDocument/2006/relationships" name="Expansion Backlog" sheetId="13" r:id="R6c5cbec54b384a22"/>
    <x:sheet xmlns:r="http://schemas.openxmlformats.org/officeDocument/2006/relationships" name="AI Context" sheetId="14" r:id="R3fd9d3dc18264365"/>
    <x:sheet xmlns:r="http://schemas.openxmlformats.org/officeDocument/2006/relationships" name="MVP Dashboard" sheetId="15" r:id="Ra3421995cc9d469a"/>
    <x:sheet xmlns:r="http://schemas.openxmlformats.org/officeDocument/2006/relationships" name="Product Vision" sheetId="16" r:id="Ra26a4829af7a4303"/>
    <x:sheet xmlns:r="http://schemas.openxmlformats.org/officeDocument/2006/relationships" name="Pilot Gantt" sheetId="17" r:id="R4a2fe68d819e47de"/>
    <x:sheet xmlns:r="http://schemas.openxmlformats.org/officeDocument/2006/relationships" name="Pilot Dashboard" sheetId="18" r:id="Rfbcb654cdd7e4dc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<x:sst xmlns:x="http://schemas.openxmlformats.org/spreadsheetml/2006/main">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</x:sst>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75475a880b45dc" /><Relationship Type="http://schemas.openxmlformats.org/officeDocument/2006/relationships/theme" Target="/xl/theme/theme1.xml" Id="Rec4762a5f3694ea7" /><Relationship Type="http://schemas.openxmlformats.org/officeDocument/2006/relationships/sharedStrings" Target="/xl/sharedStrings.xml" Id="R14a08c5b7a144d05" /><Relationship Type="http://schemas.openxmlformats.org/officeDocument/2006/relationships/worksheet" Target="/xl/worksheets/sheet1.xml" Id="Re1416e513fb14f96" /><Relationship Type="http://schemas.openxmlformats.org/officeDocument/2006/relationships/worksheet" Target="/xl/worksheets/sheet2.xml" Id="R1264191aca0746e8" /><Relationship Type="http://schemas.openxmlformats.org/officeDocument/2006/relationships/worksheet" Target="/xl/worksheets/sheet3.xml" Id="R4182933da07d477f" /><Relationship Type="http://schemas.openxmlformats.org/officeDocument/2006/relationships/worksheet" Target="/xl/worksheets/sheet4.xml" Id="R172839b0340d439b" /><Relationship Type="http://schemas.openxmlformats.org/officeDocument/2006/relationships/worksheet" Target="/xl/worksheets/sheet5.xml" Id="Raf4f4849c30a4437" /><Relationship Type="http://schemas.openxmlformats.org/officeDocument/2006/relationships/worksheet" Target="/xl/worksheets/sheet6.xml" Id="R7ac65f3292794dac" /><Relationship Type="http://schemas.openxmlformats.org/officeDocument/2006/relationships/worksheet" Target="/xl/worksheets/sheet7.xml" Id="Rc4cf8587115742a0" /><Relationship Type="http://schemas.openxmlformats.org/officeDocument/2006/relationships/worksheet" Target="/xl/worksheets/sheet8.xml" Id="Rc5823673496145bf" /><Relationship Type="http://schemas.openxmlformats.org/officeDocument/2006/relationships/worksheet" Target="/xl/worksheets/sheet9.xml" Id="Rcd52bc07ad554cf9" /><Relationship Type="http://schemas.openxmlformats.org/officeDocument/2006/relationships/worksheet" Target="/xl/worksheets/sheet10.xml" Id="Rf0f429faab3f4f5b" /><Relationship Type="http://schemas.openxmlformats.org/officeDocument/2006/relationships/worksheet" Target="/xl/worksheets/sheet11.xml" Id="Rb8c5231814964277" /><Relationship Type="http://schemas.openxmlformats.org/officeDocument/2006/relationships/worksheet" Target="/xl/worksheets/sheet12.xml" Id="R9cf381e6ae474b9a" /><Relationship Type="http://schemas.openxmlformats.org/officeDocument/2006/relationships/worksheet" Target="/xl/worksheets/sheet13.xml" Id="R6c5cbec54b384a22" /><Relationship Type="http://schemas.openxmlformats.org/officeDocument/2006/relationships/worksheet" Target="/xl/worksheets/sheet14.xml" Id="R3fd9d3dc18264365" /><Relationship Type="http://schemas.openxmlformats.org/officeDocument/2006/relationships/worksheet" Target="/xl/worksheets/sheet15.xml" Id="Ra3421995cc9d469a" /><Relationship Type="http://schemas.openxmlformats.org/officeDocument/2006/relationships/worksheet" Target="/xl/worksheets/sheet16.xml" Id="Ra26a4829af7a4303" /><Relationship Type="http://schemas.openxmlformats.org/officeDocument/2006/relationships/worksheet" Target="/xl/worksheets/sheet17.xml" Id="R4a2fe68d819e47de" /><Relationship Type="http://schemas.openxmlformats.org/officeDocument/2006/relationships/worksheet" Target="/xl/worksheets/sheet18.xml" Id="Rfbcb654cdd7e4dce" /></Relationships>
</file>

<file path=xl/drawings/_rels/drawing1.xml.rels>&#65279;<?xml version="1.0" encoding="utf-8"?><Relationships xmlns="http://schemas.openxmlformats.org/package/2006/relationships"><Relationship Type="http://schemas.openxmlformats.org/officeDocument/2006/relationships/chart" Target="/xl/drawings/charts/chart1.xml" Id="Rdc60fe7b68574dd5" /></Relationships>
</file>

<file path=xl/drawings/_rels/drawing2.xml.rels>&#65279;<?xml version="1.0" encoding="utf-8"?><Relationships xmlns="http://schemas.openxmlformats.org/package/2006/relationships"><Relationship Type="http://schemas.openxmlformats.org/officeDocument/2006/relationships/chart" Target="/xl/drawings/charts/chart2.xml" Id="R639074ebf41d4c7e" /></Relationships>
</file>

<file path=xl/drawings/_rels/drawing3.xml.rels>&#65279;<?xml version="1.0" encoding="utf-8"?><Relationships xmlns="http://schemas.openxmlformats.org/package/2006/relationships"><Relationship Type="http://schemas.openxmlformats.org/officeDocument/2006/relationships/chart" Target="/xl/drawings/charts/chart3.xml" Id="R84607274766c4ae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60fe7b68574dd5"/>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39074ebf41d4c7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607274766c4ae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763cad6dee14215" /></Relationships>
</file>

<file path=xl/worksheets/_rels/sheet5.xml.rels>&#65279;<?xml version="1.0" encoding="utf-8"?><Relationships xmlns="http://schemas.openxmlformats.org/package/2006/relationships"><Relationship Type="http://schemas.openxmlformats.org/officeDocument/2006/relationships/drawing" Target="/xl/drawings/drawing2.xml" Id="R2a2d0bb0b5f245b1" /></Relationships>
</file>

<file path=xl/worksheets/_rels/sheet15.xml.rels>&#65279;<?xml version="1.0" encoding="utf-8"?><Relationships xmlns="http://schemas.openxmlformats.org/package/2006/relationships"><Relationship Type="http://schemas.openxmlformats.org/officeDocument/2006/relationships/drawing" Target="/xl/drawings/drawing3.xml" Id="R7931571a78a04315"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relationship-expansion definition ready for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relationship-expansion definition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Review six supported checks and six authority/source gaps</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revise, or reject the definition before check 6 implementation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The P2.3 relationship-expansion definition is ready for explicit review on codex/p2.3-relationship-expansion-definition from exact baseline 26b7aa2. It proposes six ordered checks supported by AUTH-BOM-002, AUTH-SPEC-001, and AUTH-SPEC-003, beginning with bom_item_equipment_manifest_reciprocity. Six temporary fault probes each passed all existing eight gates and five checks with zero findings, proving uncovered ownership. The definition separately records six unsupported claims: quantity reconciliation, part/material agreement, item/drawing agreement, equipment/specification association, datasheet revision history, and controlled technical-value compliance. D-085, EV-082, and IMP-013 record the review package. No evaluator, schema, fixture, golden, authority-map, held-out, or deferred-capability change is included. P2.3 implementation remains blocked pending acceptance.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763cad6dee14215"/>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a2d0bb0b5f245b1"/>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definition ready for explicit review</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Six P2.3 checks are supportable under accepted authority; six planned claims still need an authority/source decision before release claims can include them.</x:v>
      </x:c>
      <x:c r="E7" s="765" t="str">
        <x:v>Product interpretation</x:v>
      </x:c>
      <x:c r="F7" s="431" t="str">
        <x:v>Successful kernel; not yet a complete economically useful workflow.</x:v>
      </x:c>
      <x:c r="G7" s="765" t="str">
        <x:v>Response</x:v>
      </x:c>
      <x:c r="H7" s="431" t="str">
        <x:v>Review the six-check order, exact authority bindings, directional states, test faults, six blocked gaps, and one-check-per-branch implementation sequence.</x:v>
      </x:c>
    </x:row>
    <x:row r="8" ht="99" hidden="0" customHeight="1">
      <x:c r="A8" s="765" t="str">
        <x:v>Immediate next action</x:v>
      </x:c>
      <x:c r="B8" s="431" t="str">
        <x:v>Accept, revise, or reject the P2.3 definition and evidence EV-082. No P2.3 code or held-out semantic execution before acceptance.</x:v>
      </x:c>
      <x:c r="C8" s="765" t="str">
        <x:v>Selected vertical</x:v>
      </x:c>
      <x:c r="D8" s="431" t="str">
        <x:v>Accepted audit path -&gt; bounded P2.3 definition -&gt; individually accepted relationship slices -&gt; benchmark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P2.3 definition review is active from baseline 26b7aa2. The document freezes six checks: BOM item/equipment manifest reciprocity; BOM equipment drawing presence; datasheet authority presence; equipment/datasheet agreement; equipment/datasheet manifest reciprocity; and specification revision history. Six temporary fault probes each passed all current eight gates and five checks with zero findings, confirming uncovered ownership. It records six unsupported claims instead of treating structural presence as agreement. Check 6 is the proposed first implementation branch after acceptance. No executable behavior or protected asset changed. P2.3 code, semantic held-out execution, protected content, and deferred capabilities remain blocked pending explicit definition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7931571a78a04315"/>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1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0.2</x:v>
      </x:c>
      <x:c r="M13" s="662" t="n">
        <x:f>SUMIF('Work Block Log'!$E$5:$E$200,A13,'Work Block Log'!$F$5:$F$200)</x:f>
        <x:v>0</x:v>
      </x:c>
      <x:c r="N13" s="662" t="n">
        <x:f>MAX(F13*(1-L13),0)</x:f>
        <x:v>3.2</x:v>
      </x:c>
      <x:c r="O13" s="662" t="n">
        <x:f>M13-F13</x:f>
        <x:v>-4</x:v>
      </x:c>
      <x:c r="P13" s="431" t="str">
        <x:v>definition p2_3_relationship_expansion_definition_v0.3.0.md; baseline 26b7aa2; branch codex/p2.3-relationship-expansion-definition; D-084-D-085; EV-081-EV-082; IMP-013; six fault probes each current gates 8/8 and checks 5/5; six supported checks; six authority/source gaps</x:v>
      </x:c>
      <x:c r="Q13" s="431" t="str">
        <x:v>Review and explicitly accept, revise, or reject the P2.3 definition. If accepted, implement only check 6 bom_item_equipment_manifest_reciprocity on its own branch.</x:v>
      </x:c>
      <x:c r="R13" s="431" t="str">
        <x:v>Ready for definition review. No evaluator, schema, fixture, golden, authority-map, held-out semantic, or deferred-capability change is authorized.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0.6695652173913044</x:v>
      </x:c>
      <x:c r="M24" s="683" t="n">
        <x:f>SUM(M6:M22)</x:f>
        <x:v>0</x:v>
      </x:c>
      <x:c r="N24" s="683" t="n">
        <x:f>SUM(N6:N22)</x:f>
        <x:v>15.2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Definition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Review six supported checks and six authority/source gaps</x:v>
      </x:c>
      <x:c r="H4" s="697"/>
    </x:row>
    <x:row r="5" ht="72" customHeight="1">
      <x:c r="A5" s="688" t="str">
        <x:v>Schedule Baseline</x:v>
      </x:c>
      <x:c r="B5" s="693" t="str">
        <x:v>Legacy only; not controlling</x:v>
      </x:c>
      <x:c r="C5" s="691"/>
      <x:c r="D5" s="691"/>
      <x:c r="F5" s="696" t="str">
        <x:v>Objective</x:v>
      </x:c>
      <x:c r="G5" s="697" t="str">
        <x:v>Accept a truthful ordered expansion that adds useful checks without overstating quantity, material, or specification coverage.</x:v>
      </x:c>
      <x:c r="H5" s="697"/>
    </x:row>
    <x:row r="6" ht="63" customHeight="1">
      <x:c r="A6" s="688" t="str">
        <x:v>Time Tracking</x:v>
      </x:c>
      <x:c r="B6" s="693" t="str">
        <x:v>Waived prospectively</x:v>
      </x:c>
      <x:c r="C6" s="691"/>
      <x:c r="D6" s="691"/>
      <x:c r="F6" s="696" t="str">
        <x:v>Gate Status</x:v>
      </x:c>
      <x:c r="G6" s="697" t="str">
        <x:v>The definition is complete and ready for explicit review; P2.3 implementation is not authorized.</x:v>
      </x:c>
      <x:c r="H6" s="697"/>
    </x:row>
    <x:row r="7" ht="81" customHeight="1">
      <x:c r="A7" s="688" t="str">
        <x:v>Current Gate</x:v>
      </x:c>
      <x:c r="B7" s="694" t="str">
        <x:v>P2.3 relationship-expansion definition review</x:v>
      </x:c>
      <x:c r="C7" s="691"/>
      <x:c r="D7" s="691"/>
      <x:c r="F7" s="696" t="str">
        <x:v>Definition of Done</x:v>
      </x:c>
      <x:c r="G7" s="697" t="str">
        <x:v>Six checks have exact authority and evidence contracts; six planned claims remain visible gaps pending separate decisions.</x:v>
      </x:c>
      <x:c r="H7" s="697"/>
    </x:row>
    <x:row r="8" ht="63" customHeight="1">
      <x:c r="A8" s="688" t="str">
        <x:v>Released Kernel</x:v>
      </x:c>
      <x:c r="B8" s="691" t="str">
        <x:v>v0.2.0 / commit 45336a2</x:v>
      </x:c>
      <x:c r="C8" s="691"/>
      <x:c r="D8" s="691"/>
      <x:c r="F8" s="696" t="str">
        <x:v>Immediate Next Action</x:v>
      </x:c>
      <x:c r="G8" s="697" t="str">
        <x:v>Accept, revise, or reject D-085 before check 6 implementation.</x:v>
      </x:c>
      <x:c r="H8" s="697"/>
    </x:row>
    <x:row r="9" ht="72" customHeight="1">
      <x:c r="A9" s="688" t="str">
        <x:v>Release Target</x:v>
      </x:c>
      <x:c r="B9" s="691" t="str">
        <x:v>v0.3.0</x:v>
      </x:c>
      <x:c r="C9" s="691"/>
      <x:c r="D9" s="691"/>
      <x:c r="F9" s="696" t="str">
        <x:v>Primary Risk</x:v>
      </x:c>
      <x:c r="G9" s="697" t="str">
        <x:v>Primary risk is false assurance from treating a present single-source field as reconciled cross-document agreement.</x:v>
      </x:c>
      <x:c r="H9" s="697"/>
    </x:row>
    <x:row r="10" ht="81" customHeight="1">
      <x:c r="A10" s="688" t="str">
        <x:v>Baseline Test Count</x:v>
      </x:c>
      <x:c r="B10" s="691" t="n">
        <x:v>121</x:v>
      </x:c>
      <x:c r="C10" s="691"/>
      <x:c r="D10" s="691"/>
      <x:c r="F10" s="696" t="str">
        <x:v>Deferred</x:v>
      </x:c>
      <x:c r="G10" s="697" t="str">
        <x:v>No evaluator, schema, fixture, golden, authority-map, held-out semantic, or deferred-capability change is included.</x:v>
      </x:c>
      <x:c r="H10" s="697"/>
    </x:row>
    <x:row r="11" ht="63" customHeight="1">
      <x:c r="A11" s="688" t="str">
        <x:v>Fixture Package Families</x:v>
      </x:c>
      <x:c r="B11" s="691" t="n">
        <x:v>2</x:v>
      </x:c>
      <x:c r="C11" s="691"/>
      <x:c r="D11" s="691"/>
      <x:c r="F11" s="696" t="str">
        <x:v>Data Boundary</x:v>
      </x:c>
      <x:c r="G11" s="697" t="str">
        <x:v>After acceptance, implement only BOM item/equipment manifest reciprocity on its own branch.</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P2.3 definition ready for review</x:v>
      </x:c>
      <x:c r="D17" s="700" t="n">
        <x:v>0.8</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by P2.3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198" customHeight="1">
      <x:c r="A32" s="431" t="n">
        <x:v>9</x:v>
      </x:c>
      <x:c r="B32" s="431" t="str">
        <x:v>P2.3</x:v>
      </x:c>
      <x:c r="C32" s="431" t="str">
        <x:v>Relationship-expansion definition</x:v>
      </x:c>
      <x:c r="D32" s="431" t="str">
        <x:v>Freeze ordered BOM/equipment, datasheet/specification, and revision checks with exact authority, evidence, state/hold, prerequisites, tests, and exclusions before implementation.</x:v>
      </x:c>
      <x:c r="E32" s="431" t="str">
        <x:v>Ready for Review</x:v>
      </x:c>
      <x:c r="F32" s="431" t="str">
        <x:v>codex/p2.3-relationship-expansion-definition</x:v>
      </x:c>
      <x:c r="G32" s="431" t="str">
        <x:v>definition document; baseline 26b7aa2; D-084-D-085; EV-081-EV-082; IMP-013; six fault probes each current gates 8/8 and checks 5/5; six supported checks; six authority/source gaps; no evaluator/schema/fixture/golden/held-out changes</x:v>
      </x:c>
      <x:c r="H3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