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Projects\mechanical-technical-document-evaluation-harness\"/>
    </mc:Choice>
  </mc:AlternateContent>
  <xr:revisionPtr revIDLastSave="0" documentId="8_{687FCFB1-E442-4F8B-A9D4-C7105C568B9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art Here" sheetId="1" r:id="rId1"/>
    <sheet name="Executive Gantt" sheetId="2" r:id="rId2"/>
    <sheet name="Detailed Gantt" sheetId="3" r:id="rId3"/>
    <sheet name="Weekly Control" sheetId="4" r:id="rId4"/>
    <sheet name="Phase Summary" sheetId="5" r:id="rId5"/>
    <sheet name="Assumptions &amp; Gates" sheetId="6" r:id="rId6"/>
    <sheet name="Sources" sheetId="7" r:id="rId7"/>
    <sheet name="Legacy Baseline" sheetId="8" r:id="rId8"/>
    <sheet name="Work Block Log" sheetId="9" r:id="rId9"/>
    <sheet name="Decision Register" sheetId="10" r:id="rId10"/>
    <sheet name="Risks &amp; Issues" sheetId="11" r:id="rId11"/>
    <sheet name="Evidence Register" sheetId="12" r:id="rId12"/>
    <sheet name="Expansion Backlog" sheetId="13" r:id="rId13"/>
    <sheet name="AI Context" sheetId="14" r:id="rId14"/>
    <sheet name="MVP Dashboard" sheetId="15" r:id="rId15"/>
    <sheet name="Product Vision" sheetId="16" r:id="rId16"/>
  </sheets>
  <calcPr calcId="191029"/>
</workbook>
</file>

<file path=xl/calcChain.xml><?xml version="1.0" encoding="utf-8"?>
<calcChain xmlns="http://schemas.openxmlformats.org/spreadsheetml/2006/main">
  <c r="D20" i="15" l="1"/>
  <c r="D19" i="15"/>
  <c r="D18" i="15"/>
  <c r="D17" i="15"/>
  <c r="D16" i="15"/>
  <c r="D15" i="15"/>
  <c r="B7" i="15"/>
  <c r="B6" i="15"/>
  <c r="G10" i="9"/>
  <c r="G9" i="9"/>
  <c r="G8" i="9"/>
  <c r="G7" i="9"/>
  <c r="G6" i="9"/>
  <c r="G5" i="9"/>
  <c r="E9" i="4" s="1"/>
  <c r="F9" i="4" s="1"/>
  <c r="C10" i="5"/>
  <c r="E10" i="5" s="1"/>
  <c r="E9" i="5"/>
  <c r="D9" i="5"/>
  <c r="E8" i="5"/>
  <c r="E7" i="5"/>
  <c r="D7" i="5"/>
  <c r="E6" i="5"/>
  <c r="E5" i="5"/>
  <c r="E4" i="5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G36" i="4"/>
  <c r="G37" i="4" s="1"/>
  <c r="F36" i="4"/>
  <c r="I35" i="4"/>
  <c r="G35" i="4"/>
  <c r="F35" i="4"/>
  <c r="G34" i="4"/>
  <c r="I34" i="4" s="1"/>
  <c r="F34" i="4"/>
  <c r="I33" i="4"/>
  <c r="G33" i="4"/>
  <c r="F33" i="4"/>
  <c r="G32" i="4"/>
  <c r="I32" i="4" s="1"/>
  <c r="F32" i="4"/>
  <c r="I31" i="4"/>
  <c r="G31" i="4"/>
  <c r="F31" i="4"/>
  <c r="G30" i="4"/>
  <c r="I30" i="4" s="1"/>
  <c r="F30" i="4"/>
  <c r="I29" i="4"/>
  <c r="G29" i="4"/>
  <c r="F29" i="4"/>
  <c r="G28" i="4"/>
  <c r="I28" i="4" s="1"/>
  <c r="F28" i="4"/>
  <c r="I27" i="4"/>
  <c r="G27" i="4"/>
  <c r="F27" i="4"/>
  <c r="G26" i="4"/>
  <c r="I26" i="4" s="1"/>
  <c r="F26" i="4"/>
  <c r="I25" i="4"/>
  <c r="G25" i="4"/>
  <c r="F25" i="4"/>
  <c r="G24" i="4"/>
  <c r="I24" i="4" s="1"/>
  <c r="F24" i="4"/>
  <c r="I23" i="4"/>
  <c r="G23" i="4"/>
  <c r="F23" i="4"/>
  <c r="G22" i="4"/>
  <c r="I22" i="4" s="1"/>
  <c r="F22" i="4"/>
  <c r="I21" i="4"/>
  <c r="G21" i="4"/>
  <c r="F21" i="4"/>
  <c r="G20" i="4"/>
  <c r="I20" i="4" s="1"/>
  <c r="F20" i="4"/>
  <c r="I19" i="4"/>
  <c r="G19" i="4"/>
  <c r="F19" i="4"/>
  <c r="G18" i="4"/>
  <c r="I18" i="4" s="1"/>
  <c r="F18" i="4"/>
  <c r="I17" i="4"/>
  <c r="G17" i="4"/>
  <c r="F17" i="4"/>
  <c r="G16" i="4"/>
  <c r="I16" i="4" s="1"/>
  <c r="F16" i="4"/>
  <c r="I15" i="4"/>
  <c r="G15" i="4"/>
  <c r="F15" i="4"/>
  <c r="G14" i="4"/>
  <c r="I14" i="4" s="1"/>
  <c r="F14" i="4"/>
  <c r="I13" i="4"/>
  <c r="G13" i="4"/>
  <c r="F13" i="4"/>
  <c r="G12" i="4"/>
  <c r="I12" i="4" s="1"/>
  <c r="E12" i="4"/>
  <c r="F12" i="4" s="1"/>
  <c r="I11" i="4"/>
  <c r="G11" i="4"/>
  <c r="G10" i="4"/>
  <c r="I10" i="4" s="1"/>
  <c r="G9" i="4"/>
  <c r="I9" i="4" s="1"/>
  <c r="I8" i="4"/>
  <c r="G8" i="4"/>
  <c r="G7" i="4"/>
  <c r="I7" i="4" s="1"/>
  <c r="E7" i="4"/>
  <c r="F7" i="4" s="1"/>
  <c r="I6" i="4"/>
  <c r="G6" i="4"/>
  <c r="I5" i="4"/>
  <c r="G5" i="4"/>
  <c r="I4" i="4"/>
  <c r="F4" i="4"/>
  <c r="P63" i="3"/>
  <c r="O63" i="3"/>
  <c r="K63" i="3"/>
  <c r="J63" i="3"/>
  <c r="I63" i="3"/>
  <c r="P62" i="3"/>
  <c r="O62" i="3"/>
  <c r="K62" i="3"/>
  <c r="J62" i="3"/>
  <c r="I62" i="3"/>
  <c r="P61" i="3"/>
  <c r="O61" i="3"/>
  <c r="K61" i="3"/>
  <c r="J61" i="3"/>
  <c r="I61" i="3"/>
  <c r="P60" i="3"/>
  <c r="O60" i="3"/>
  <c r="K60" i="3"/>
  <c r="J60" i="3"/>
  <c r="I60" i="3"/>
  <c r="P59" i="3"/>
  <c r="O59" i="3"/>
  <c r="K59" i="3"/>
  <c r="J59" i="3"/>
  <c r="I59" i="3"/>
  <c r="P58" i="3"/>
  <c r="O58" i="3"/>
  <c r="K58" i="3"/>
  <c r="J58" i="3"/>
  <c r="I58" i="3"/>
  <c r="P57" i="3"/>
  <c r="O57" i="3"/>
  <c r="K57" i="3"/>
  <c r="J57" i="3"/>
  <c r="I57" i="3"/>
  <c r="P56" i="3"/>
  <c r="O56" i="3"/>
  <c r="K56" i="3"/>
  <c r="J56" i="3"/>
  <c r="I56" i="3"/>
  <c r="P55" i="3"/>
  <c r="O55" i="3"/>
  <c r="K55" i="3"/>
  <c r="J55" i="3"/>
  <c r="I55" i="3"/>
  <c r="P54" i="3"/>
  <c r="O54" i="3"/>
  <c r="K54" i="3"/>
  <c r="J54" i="3"/>
  <c r="I54" i="3"/>
  <c r="P53" i="3"/>
  <c r="O53" i="3"/>
  <c r="K53" i="3"/>
  <c r="J53" i="3"/>
  <c r="I53" i="3"/>
  <c r="P52" i="3"/>
  <c r="O52" i="3"/>
  <c r="K52" i="3"/>
  <c r="J52" i="3"/>
  <c r="I52" i="3"/>
  <c r="P51" i="3"/>
  <c r="O51" i="3"/>
  <c r="K51" i="3"/>
  <c r="J51" i="3"/>
  <c r="I51" i="3"/>
  <c r="P50" i="3"/>
  <c r="O50" i="3"/>
  <c r="K50" i="3"/>
  <c r="J50" i="3"/>
  <c r="I50" i="3"/>
  <c r="P49" i="3"/>
  <c r="O49" i="3"/>
  <c r="K49" i="3"/>
  <c r="J49" i="3"/>
  <c r="I49" i="3"/>
  <c r="P48" i="3"/>
  <c r="O48" i="3"/>
  <c r="K48" i="3"/>
  <c r="J48" i="3"/>
  <c r="I48" i="3"/>
  <c r="P47" i="3"/>
  <c r="O47" i="3"/>
  <c r="K47" i="3"/>
  <c r="J47" i="3"/>
  <c r="I47" i="3"/>
  <c r="P46" i="3"/>
  <c r="O46" i="3"/>
  <c r="K46" i="3"/>
  <c r="J46" i="3"/>
  <c r="I46" i="3"/>
  <c r="P45" i="3"/>
  <c r="O45" i="3"/>
  <c r="K45" i="3"/>
  <c r="J45" i="3"/>
  <c r="I45" i="3"/>
  <c r="P44" i="3"/>
  <c r="O44" i="3"/>
  <c r="K44" i="3"/>
  <c r="J44" i="3"/>
  <c r="I44" i="3"/>
  <c r="P43" i="3"/>
  <c r="O43" i="3"/>
  <c r="K43" i="3"/>
  <c r="J43" i="3"/>
  <c r="I43" i="3"/>
  <c r="P42" i="3"/>
  <c r="O42" i="3"/>
  <c r="K42" i="3"/>
  <c r="J42" i="3"/>
  <c r="I42" i="3"/>
  <c r="P41" i="3"/>
  <c r="O41" i="3"/>
  <c r="K41" i="3"/>
  <c r="J41" i="3"/>
  <c r="I41" i="3"/>
  <c r="P40" i="3"/>
  <c r="O40" i="3"/>
  <c r="K40" i="3"/>
  <c r="J40" i="3"/>
  <c r="I40" i="3"/>
  <c r="P39" i="3"/>
  <c r="O39" i="3"/>
  <c r="K39" i="3"/>
  <c r="J39" i="3"/>
  <c r="I39" i="3"/>
  <c r="P38" i="3"/>
  <c r="O38" i="3"/>
  <c r="K38" i="3"/>
  <c r="J38" i="3"/>
  <c r="I38" i="3"/>
  <c r="P37" i="3"/>
  <c r="O37" i="3"/>
  <c r="K37" i="3"/>
  <c r="J37" i="3"/>
  <c r="I37" i="3"/>
  <c r="P36" i="3"/>
  <c r="O36" i="3"/>
  <c r="K36" i="3"/>
  <c r="J36" i="3"/>
  <c r="I36" i="3"/>
  <c r="P35" i="3"/>
  <c r="O35" i="3"/>
  <c r="K35" i="3"/>
  <c r="J35" i="3"/>
  <c r="I35" i="3"/>
  <c r="P34" i="3"/>
  <c r="O34" i="3"/>
  <c r="K34" i="3"/>
  <c r="J34" i="3"/>
  <c r="I34" i="3"/>
  <c r="P33" i="3"/>
  <c r="O33" i="3"/>
  <c r="K33" i="3"/>
  <c r="J33" i="3"/>
  <c r="I33" i="3"/>
  <c r="P32" i="3"/>
  <c r="O32" i="3"/>
  <c r="K32" i="3"/>
  <c r="J32" i="3"/>
  <c r="I32" i="3"/>
  <c r="P31" i="3"/>
  <c r="O31" i="3"/>
  <c r="K31" i="3"/>
  <c r="J31" i="3"/>
  <c r="I31" i="3"/>
  <c r="P30" i="3"/>
  <c r="O30" i="3"/>
  <c r="K30" i="3"/>
  <c r="J30" i="3"/>
  <c r="I30" i="3"/>
  <c r="K29" i="3"/>
  <c r="J29" i="3"/>
  <c r="I29" i="3"/>
  <c r="F29" i="3"/>
  <c r="P28" i="3"/>
  <c r="O28" i="3"/>
  <c r="K28" i="3"/>
  <c r="J28" i="3"/>
  <c r="I28" i="3"/>
  <c r="P27" i="3"/>
  <c r="O27" i="3"/>
  <c r="N27" i="3"/>
  <c r="M27" i="3"/>
  <c r="K27" i="3"/>
  <c r="J27" i="3"/>
  <c r="I27" i="3"/>
  <c r="N26" i="3"/>
  <c r="M26" i="3"/>
  <c r="O26" i="3" s="1"/>
  <c r="K26" i="3"/>
  <c r="J26" i="3"/>
  <c r="I26" i="3"/>
  <c r="N25" i="3"/>
  <c r="M25" i="3"/>
  <c r="C20" i="15" s="1"/>
  <c r="K25" i="3"/>
  <c r="J25" i="3"/>
  <c r="I25" i="3"/>
  <c r="N24" i="3"/>
  <c r="M24" i="3"/>
  <c r="C19" i="15" s="1"/>
  <c r="K24" i="3"/>
  <c r="J24" i="3"/>
  <c r="I24" i="3"/>
  <c r="N23" i="3"/>
  <c r="M23" i="3"/>
  <c r="P23" i="3" s="1"/>
  <c r="K23" i="3"/>
  <c r="J23" i="3"/>
  <c r="I23" i="3"/>
  <c r="N22" i="3"/>
  <c r="M22" i="3"/>
  <c r="P22" i="3" s="1"/>
  <c r="K22" i="3"/>
  <c r="J22" i="3"/>
  <c r="I22" i="3"/>
  <c r="P21" i="3"/>
  <c r="O21" i="3"/>
  <c r="N21" i="3"/>
  <c r="M21" i="3"/>
  <c r="K21" i="3"/>
  <c r="J21" i="3"/>
  <c r="I21" i="3"/>
  <c r="P20" i="3"/>
  <c r="O20" i="3"/>
  <c r="N20" i="3"/>
  <c r="M20" i="3"/>
  <c r="K20" i="3"/>
  <c r="J20" i="3"/>
  <c r="I20" i="3"/>
  <c r="N19" i="3"/>
  <c r="M19" i="3"/>
  <c r="P19" i="3" s="1"/>
  <c r="K19" i="3"/>
  <c r="J19" i="3"/>
  <c r="I19" i="3"/>
  <c r="N18" i="3"/>
  <c r="M18" i="3"/>
  <c r="C18" i="15" s="1"/>
  <c r="K18" i="3"/>
  <c r="J18" i="3"/>
  <c r="I18" i="3"/>
  <c r="N17" i="3"/>
  <c r="M17" i="3"/>
  <c r="O17" i="3" s="1"/>
  <c r="K17" i="3"/>
  <c r="J17" i="3"/>
  <c r="I17" i="3"/>
  <c r="N16" i="3"/>
  <c r="M16" i="3"/>
  <c r="P16" i="3" s="1"/>
  <c r="K16" i="3"/>
  <c r="J16" i="3"/>
  <c r="I16" i="3"/>
  <c r="N15" i="3"/>
  <c r="M15" i="3"/>
  <c r="P15" i="3" s="1"/>
  <c r="K15" i="3"/>
  <c r="J15" i="3"/>
  <c r="I15" i="3"/>
  <c r="P14" i="3"/>
  <c r="O14" i="3"/>
  <c r="N14" i="3"/>
  <c r="M14" i="3"/>
  <c r="K14" i="3"/>
  <c r="J14" i="3"/>
  <c r="I14" i="3"/>
  <c r="P13" i="3"/>
  <c r="N13" i="3"/>
  <c r="M13" i="3"/>
  <c r="O13" i="3" s="1"/>
  <c r="K13" i="3"/>
  <c r="J13" i="3"/>
  <c r="I13" i="3"/>
  <c r="P12" i="3"/>
  <c r="O12" i="3"/>
  <c r="N12" i="3"/>
  <c r="M12" i="3"/>
  <c r="K12" i="3"/>
  <c r="J12" i="3"/>
  <c r="I12" i="3"/>
  <c r="P11" i="3"/>
  <c r="O11" i="3"/>
  <c r="N11" i="3"/>
  <c r="M11" i="3"/>
  <c r="K11" i="3"/>
  <c r="J11" i="3"/>
  <c r="I11" i="3"/>
  <c r="N10" i="3"/>
  <c r="M10" i="3"/>
  <c r="P10" i="3" s="1"/>
  <c r="K10" i="3"/>
  <c r="J10" i="3"/>
  <c r="I10" i="3"/>
  <c r="N9" i="3"/>
  <c r="M9" i="3"/>
  <c r="D5" i="5" s="1"/>
  <c r="K9" i="3"/>
  <c r="J9" i="3"/>
  <c r="I9" i="3"/>
  <c r="N8" i="3"/>
  <c r="N29" i="3" s="1"/>
  <c r="M8" i="3"/>
  <c r="D4" i="5" s="1"/>
  <c r="K8" i="3"/>
  <c r="J8" i="3"/>
  <c r="I8" i="3"/>
  <c r="N7" i="3"/>
  <c r="M7" i="3"/>
  <c r="P7" i="3" s="1"/>
  <c r="K7" i="3"/>
  <c r="J7" i="3"/>
  <c r="I7" i="3"/>
  <c r="N6" i="3"/>
  <c r="M6" i="3"/>
  <c r="P6" i="3" s="1"/>
  <c r="K6" i="3"/>
  <c r="J6" i="3"/>
  <c r="I6" i="3"/>
  <c r="C10" i="2"/>
  <c r="E9" i="2"/>
  <c r="E8" i="2"/>
  <c r="E7" i="2"/>
  <c r="E10" i="2" s="1"/>
  <c r="E6" i="2"/>
  <c r="E5" i="2"/>
  <c r="E4" i="2"/>
  <c r="B10" i="1"/>
  <c r="B9" i="1"/>
  <c r="G38" i="4" l="1"/>
  <c r="I37" i="4"/>
  <c r="D9" i="2"/>
  <c r="P9" i="3"/>
  <c r="O16" i="3"/>
  <c r="P25" i="3"/>
  <c r="I36" i="4"/>
  <c r="D7" i="2"/>
  <c r="D6" i="5"/>
  <c r="D10" i="5" s="1"/>
  <c r="D8" i="2"/>
  <c r="O18" i="3"/>
  <c r="E6" i="4"/>
  <c r="F6" i="4" s="1"/>
  <c r="O9" i="3"/>
  <c r="P18" i="3"/>
  <c r="O25" i="3"/>
  <c r="O7" i="3"/>
  <c r="O23" i="3"/>
  <c r="E10" i="4"/>
  <c r="F10" i="4" s="1"/>
  <c r="C15" i="15"/>
  <c r="O19" i="3"/>
  <c r="D8" i="5"/>
  <c r="O10" i="3"/>
  <c r="C16" i="15"/>
  <c r="P26" i="3"/>
  <c r="C17" i="15"/>
  <c r="E11" i="4"/>
  <c r="F11" i="4" s="1"/>
  <c r="D5" i="2"/>
  <c r="O8" i="3"/>
  <c r="P17" i="3"/>
  <c r="O24" i="3"/>
  <c r="L29" i="3"/>
  <c r="E8" i="4"/>
  <c r="F8" i="4" s="1"/>
  <c r="P8" i="3"/>
  <c r="O15" i="3"/>
  <c r="P24" i="3"/>
  <c r="M29" i="3"/>
  <c r="O29" i="3" s="1"/>
  <c r="E5" i="4"/>
  <c r="D4" i="2"/>
  <c r="D6" i="2"/>
  <c r="O6" i="3"/>
  <c r="O22" i="3"/>
  <c r="H35" i="4" l="1"/>
  <c r="H31" i="4"/>
  <c r="H27" i="4"/>
  <c r="H23" i="4"/>
  <c r="H19" i="4"/>
  <c r="H15" i="4"/>
  <c r="H8" i="4"/>
  <c r="H11" i="4"/>
  <c r="F5" i="4"/>
  <c r="H30" i="4"/>
  <c r="H14" i="4"/>
  <c r="H34" i="4"/>
  <c r="H26" i="4"/>
  <c r="H22" i="4"/>
  <c r="H18" i="4"/>
  <c r="H7" i="4"/>
  <c r="H29" i="4"/>
  <c r="H25" i="4"/>
  <c r="H17" i="4"/>
  <c r="H10" i="4"/>
  <c r="H6" i="4"/>
  <c r="H36" i="4"/>
  <c r="H37" i="4" s="1"/>
  <c r="H38" i="4" s="1"/>
  <c r="H39" i="4" s="1"/>
  <c r="H40" i="4" s="1"/>
  <c r="H41" i="4" s="1"/>
  <c r="H42" i="4" s="1"/>
  <c r="H43" i="4" s="1"/>
  <c r="H44" i="4" s="1"/>
  <c r="H45" i="4" s="1"/>
  <c r="H46" i="4" s="1"/>
  <c r="H47" i="4" s="1"/>
  <c r="H48" i="4" s="1"/>
  <c r="H49" i="4" s="1"/>
  <c r="H50" i="4" s="1"/>
  <c r="H51" i="4" s="1"/>
  <c r="H52" i="4" s="1"/>
  <c r="H53" i="4" s="1"/>
  <c r="H54" i="4" s="1"/>
  <c r="H55" i="4" s="1"/>
  <c r="H32" i="4"/>
  <c r="H28" i="4"/>
  <c r="H24" i="4"/>
  <c r="H20" i="4"/>
  <c r="H16" i="4"/>
  <c r="H12" i="4"/>
  <c r="H13" i="4"/>
  <c r="H33" i="4"/>
  <c r="H9" i="4"/>
  <c r="H5" i="4"/>
  <c r="H21" i="4"/>
  <c r="G39" i="4"/>
  <c r="I38" i="4"/>
  <c r="P29" i="3"/>
  <c r="D10" i="2"/>
  <c r="I39" i="4" l="1"/>
  <c r="G40" i="4"/>
  <c r="G41" i="4" l="1"/>
  <c r="I40" i="4"/>
  <c r="G42" i="4" l="1"/>
  <c r="I41" i="4"/>
  <c r="G43" i="4" l="1"/>
  <c r="I42" i="4"/>
  <c r="I43" i="4" l="1"/>
  <c r="G44" i="4"/>
  <c r="G45" i="4" l="1"/>
  <c r="I44" i="4"/>
  <c r="G46" i="4" l="1"/>
  <c r="I45" i="4"/>
  <c r="G47" i="4" l="1"/>
  <c r="I46" i="4"/>
  <c r="I47" i="4" l="1"/>
  <c r="G48" i="4"/>
  <c r="G49" i="4" l="1"/>
  <c r="I48" i="4"/>
  <c r="G50" i="4" l="1"/>
  <c r="I49" i="4"/>
  <c r="G51" i="4" l="1"/>
  <c r="I50" i="4"/>
  <c r="I51" i="4" l="1"/>
  <c r="G52" i="4"/>
  <c r="G53" i="4" l="1"/>
  <c r="I52" i="4"/>
  <c r="G54" i="4" l="1"/>
  <c r="I53" i="4"/>
  <c r="G55" i="4" l="1"/>
  <c r="I55" i="4" s="1"/>
  <c r="I54" i="4"/>
</calcChain>
</file>

<file path=xl/sharedStrings.xml><?xml version="1.0" encoding="utf-8"?>
<sst xmlns="http://schemas.openxmlformats.org/spreadsheetml/2006/main" count="1811" uniqueCount="1152">
  <si>
    <t>Mechanical Technical Document Evaluation Harness — MVP Control Workbook</t>
  </si>
  <si>
    <t>Strategic direction: the MVP is the evaluation kernel for the Mechanical Engineering Workflow Assurance Platform.</t>
  </si>
  <si>
    <t>Controlling Baseline</t>
  </si>
  <si>
    <t>How to Use This Workbook Every Work Block</t>
  </si>
  <si>
    <t>Baseline revision</t>
  </si>
  <si>
    <t>MVP v1.0 — 2026-07-04</t>
  </si>
  <si>
    <t>1</t>
  </si>
  <si>
    <t>Open AI Context, then read the active/next WBS in Detailed Gantt.</t>
  </si>
  <si>
    <t>Baseline start</t>
  </si>
  <si>
    <t>2</t>
  </si>
  <si>
    <t>State objective, expected duration, and definition of done before implementation.</t>
  </si>
  <si>
    <t>Target finish</t>
  </si>
  <si>
    <t>3</t>
  </si>
  <si>
    <t>Work one coherent capability; do not create one branch per trivial test.</t>
  </si>
  <si>
    <t>Calendar duration</t>
  </si>
  <si>
    <t>8 weeks</t>
  </si>
  <si>
    <t>4</t>
  </si>
  <si>
    <t>At closeout, add Work Block Log actuals, evidence, decisions/blockers, and next action.</t>
  </si>
  <si>
    <t>Planned labour</t>
  </si>
  <si>
    <t>5</t>
  </si>
  <si>
    <t>Update Detailed Gantt status and percent complete; preserve prior history.</t>
  </si>
  <si>
    <t>Known logged hours</t>
  </si>
  <si>
    <t>6</t>
  </si>
  <si>
    <t>Use Gate decisions to change scope, schedule, or planned hours.</t>
  </si>
  <si>
    <t>Weighted progress</t>
  </si>
  <si>
    <t>7</t>
  </si>
  <si>
    <t>Replace this workbook in the project source files after each completed workflow.</t>
  </si>
  <si>
    <t>Current code state</t>
  </si>
  <si>
    <t>main @ c71676d; 25 tests passing</t>
  </si>
  <si>
    <t>Active WBS</t>
  </si>
  <si>
    <t>1.1 — Candidate artifact contract and loader</t>
  </si>
  <si>
    <t>Next build WBS</t>
  </si>
  <si>
    <t>1.2 — Mandatory gate engine</t>
  </si>
  <si>
    <t>MVP Completion Definition</t>
  </si>
  <si>
    <t>Workbook Map</t>
  </si>
  <si>
    <t>Five reviewed mechanical cases, including at least one held-out case.</t>
  </si>
  <si>
    <t>Executive Gantt</t>
  </si>
  <si>
    <t>Phase-level 8-week schedule and gates.</t>
  </si>
  <si>
    <t>Candidate JSON artifact loading with controlled missing/malformed errors.</t>
  </si>
  <si>
    <t>Detailed Gantt</t>
  </si>
  <si>
    <t>Controlling WBS, hours, status, evidence, next action, and timeline.</t>
  </si>
  <si>
    <t>Mandatory gates execute before scoring.</t>
  </si>
  <si>
    <t>Weekly Control</t>
  </si>
  <si>
    <t>Capacity and actual-hour control by MVP week.</t>
  </si>
  <si>
    <t>Deterministic exact, Boolean, set/contains, and numeric tolerance checks.</t>
  </si>
  <si>
    <t>Work Block Log</t>
  </si>
  <si>
    <t>Chronological work history and time source.</t>
  </si>
  <si>
    <t>Weighted score, pass/fail, failure modes, and check-level evidence.</t>
  </si>
  <si>
    <t>Decision Register</t>
  </si>
  <si>
    <t>Material design, scope, and project-control decisions.</t>
  </si>
  <si>
    <t>evaluate CLI command and immutable result records.</t>
  </si>
  <si>
    <t>Risks &amp; Issues</t>
  </si>
  <si>
    <t>Open risks, issues, mitigations, and review dates.</t>
  </si>
  <si>
    <t>Small reproducible benchmark with representative failures and limitations.</t>
  </si>
  <si>
    <t>Evidence Register</t>
  </si>
  <si>
    <t>PRs, commits, tests, documents, releases, and acceptance evidence.</t>
  </si>
  <si>
    <t>8</t>
  </si>
  <si>
    <t>CI, README, architecture documentation, portfolio demo, and v0.1.0 release tag.</t>
  </si>
  <si>
    <t>AI Context</t>
  </si>
  <si>
    <t>Compact handoff that must be read at the start of each session.</t>
  </si>
  <si>
    <t>Expansion Backlog</t>
  </si>
  <si>
    <t>Deferred post-MVP capabilities and entry criteria.</t>
  </si>
  <si>
    <t>Legacy Baseline</t>
  </si>
  <si>
    <t>Preserved superseded 52-week plan.</t>
  </si>
  <si>
    <t>Product Vision</t>
  </si>
  <si>
    <t>Strategic platform direction, capability ladder, architecture invariants, commercial workflow, and MVP guardrails.</t>
  </si>
  <si>
    <t>Immediate Control Note</t>
  </si>
  <si>
    <t>The project currently validates case definitions but cannot yet evaluate a candidate artifact. The next product milestone remains WBS 1.1–1.5. WBS 1.1 must define a small extensible candidate envelope (schema_version, case_id, candidate_id, artifact_type, artifacts, payload, optional provenance) so future drawing, document-package, and agent artifacts can use the same evaluation kernel. Do not implement those deferred capabilities before the MVP completion gate.</t>
  </si>
  <si>
    <t>Executive Gantt — 8-Week Mechanical Evaluation Harness MVP</t>
  </si>
  <si>
    <t>ID</t>
  </si>
  <si>
    <t>Phase</t>
  </si>
  <si>
    <t>Planned Hours</t>
  </si>
  <si>
    <t>Actual Hours</t>
  </si>
  <si>
    <t>% Complete</t>
  </si>
  <si>
    <t>Start</t>
  </si>
  <si>
    <t>Finish</t>
  </si>
  <si>
    <t>Gate / Hold Point</t>
  </si>
  <si>
    <t>Primary Deliverable</t>
  </si>
  <si>
    <t>W1</t>
  </si>
  <si>
    <t>W2</t>
  </si>
  <si>
    <t>W3</t>
  </si>
  <si>
    <t>W4</t>
  </si>
  <si>
    <t>W5</t>
  </si>
  <si>
    <t>W6</t>
  </si>
  <si>
    <t>W7</t>
  </si>
  <si>
    <t>W8</t>
  </si>
  <si>
    <t>0</t>
  </si>
  <si>
    <t>0 Control &amp; Foundation</t>
  </si>
  <si>
    <t>Gate 0 — control baseline accepted</t>
  </si>
  <si>
    <t>Repository, architecture, Gantt, validator/loader baseline</t>
  </si>
  <si>
    <t>■</t>
  </si>
  <si>
    <t>1 Evaluation Core</t>
  </si>
  <si>
    <t>Gate 2 — deterministic evaluation core</t>
  </si>
  <si>
    <t>Candidate loading, gates, checks, scoring, failure evidence</t>
  </si>
  <si>
    <t>2 CLI &amp; Results</t>
  </si>
  <si>
    <t>Gate 3 — end-to-end local evaluation</t>
  </si>
  <si>
    <t>evaluate CLI and immutable result records</t>
  </si>
  <si>
    <t>3 Cases &amp; Benchmark</t>
  </si>
  <si>
    <t>Gate 4 — benchmark ready</t>
  </si>
  <si>
    <t>Five reviewed cases, held-out split, baseline report</t>
  </si>
  <si>
    <t>4 Quality &amp; Reproducibility</t>
  </si>
  <si>
    <t>Gate 5 — reproducible quality baseline</t>
  </si>
  <si>
    <t>Targeted tests, CI, README, architecture</t>
  </si>
  <si>
    <t>5 Demo &amp; Release</t>
  </si>
  <si>
    <t>Gate 6 — MVP v0.1.0 release</t>
  </si>
  <si>
    <t>Portfolio demo, limitations, final acceptance, tag</t>
  </si>
  <si>
    <t>TOTAL MVP</t>
  </si>
  <si>
    <t>Baseline Start</t>
  </si>
  <si>
    <t>Total Planned Hours</t>
  </si>
  <si>
    <t>Target Finish</t>
  </si>
  <si>
    <t>Control Baseline</t>
  </si>
  <si>
    <t>MVP v1.0 — 8 weeks</t>
  </si>
  <si>
    <t>Editable control fields: Status, % Complete, Branch/Evidence, Next Action, and Notes. Actual Hours are calculated from Work Block Log. Do not silently change baseline hours or dates.</t>
  </si>
  <si>
    <t>WBS</t>
  </si>
  <si>
    <t>Work Package</t>
  </si>
  <si>
    <t>Deliverable / Acceptance Evidence</t>
  </si>
  <si>
    <t>Predecessor</t>
  </si>
  <si>
    <t>Start Week</t>
  </si>
  <si>
    <t>Finish Week</t>
  </si>
  <si>
    <t>Start Date</t>
  </si>
  <si>
    <t>Finish Date</t>
  </si>
  <si>
    <t>Status</t>
  </si>
  <si>
    <t>Remaining Planned</t>
  </si>
  <si>
    <t>Hour Variance</t>
  </si>
  <si>
    <t>Branch / Evidence</t>
  </si>
  <si>
    <t>Next Action</t>
  </si>
  <si>
    <t>Notes</t>
  </si>
  <si>
    <t>0.1</t>
  </si>
  <si>
    <t>Environment and repository baseline</t>
  </si>
  <si>
    <t>Working venv, repository, GitHub main, and seed cases validate.</t>
  </si>
  <si>
    <t>-</t>
  </si>
  <si>
    <t>None; preserve as baseline evidence.</t>
  </si>
  <si>
    <t>Completed across June 28–30.</t>
  </si>
  <si>
    <t>0.2</t>
  </si>
  <si>
    <t>Architecture and control baseline</t>
  </si>
  <si>
    <t>Architecture document and Gantt explain current system, scope, MVP, and next action.</t>
  </si>
  <si>
    <t>Next work block: begin WBS 1.1 and create feature/candidate-artifact-contract.</t>
  </si>
  <si>
    <t>Completed 2026-07-04. Architecture and the aggressive eight-week MVP control baseline were committed and pushed to main.</t>
  </si>
  <si>
    <t>0.3</t>
  </si>
  <si>
    <t>Validator and loader baseline</t>
  </si>
  <si>
    <t>Targeted loader, stable errors, key seeded defects, and 25 passing tests.</t>
  </si>
  <si>
    <t>Do not add validator-only branches unless evaluator work exposes a real gap.</t>
  </si>
  <si>
    <t>Completed 2026-07-04. July 4 duration reconstructed and logged: WB-003 = 0.62 h and WB-004 = 1.53 h.</t>
  </si>
  <si>
    <t>1.1</t>
  </si>
  <si>
    <t>Define candidate artifact contract and loader</t>
  </si>
  <si>
    <t>Extensible candidate envelope documented with schema_version, case_id, candidate_id, artifact_type, artifacts, payload, and optional provenance; valid MECH-002 artifact loads; missing, malformed, and structurally invalid artifacts fail clearly.</t>
  </si>
  <si>
    <t>Define the minimal candidate envelope and loader API; keep the MECH-002 payload case-specific.</t>
  </si>
  <si>
    <t>Foundation for future document, drawing, and agent artifacts. Preserve extension points only; do not implement multimodal or agent behaviour in the MVP.</t>
  </si>
  <si>
    <t>1.2</t>
  </si>
  <si>
    <t>Implement mandatory gate engine</t>
  </si>
  <si>
    <t>Required file, parse, field, and type gates execute before scoring and return evidence.</t>
  </si>
  <si>
    <t>Implement gate result model and run gates for MECH-002.</t>
  </si>
  <si>
    <t>Gate failure must force score 0.</t>
  </si>
  <si>
    <t>1.3</t>
  </si>
  <si>
    <t>Implement exact, Boolean, set, and contains checks</t>
  </si>
  <si>
    <t>Supported deterministic checks return pass/fail, evidence, and failure mode.</t>
  </si>
  <si>
    <t>Implement a dispatcher over evaluator check kinds.</t>
  </si>
  <si>
    <t>Only implement check types required by MVP cases.</t>
  </si>
  <si>
    <t>1.4</t>
  </si>
  <si>
    <t>Implement numeric tolerance checks</t>
  </si>
  <si>
    <t>Numeric comparisons support absolute tolerance and clear evidence.</t>
  </si>
  <si>
    <t>Implement numeric_close and boundary tests.</t>
  </si>
  <si>
    <t>Units remain explicit in case/evaluator data.</t>
  </si>
  <si>
    <t>1.5</t>
  </si>
  <si>
    <t>Implement weighted scoring and failure evidence</t>
  </si>
  <si>
    <t>Gates plus weighted checks produce score, pass/fail, failure modes, and evidence.</t>
  </si>
  <si>
    <t>1.3,1.4</t>
  </si>
  <si>
    <t>Compose gate and check results into one evaluation result.</t>
  </si>
  <si>
    <t>Outcome scoring only; process scoring is deferred.</t>
  </si>
  <si>
    <t>2.1</t>
  </si>
  <si>
    <t>Add evaluate CLI command</t>
  </si>
  <si>
    <t>One command evaluates a candidate artifact against a case and returns stable exit codes.</t>
  </si>
  <si>
    <t>Add evaluate parser and human-readable output.</t>
  </si>
  <si>
    <t>CLI remains the MVP interface.</t>
  </si>
  <si>
    <t>2.2</t>
  </si>
  <si>
    <t>Define structured result schema and model</t>
  </si>
  <si>
    <t>Result contains versions, artifact references, gate/check evidence, expected/actual values, severity/failure mode, score, pass/fail, and extension points for artifact location and source references.</t>
  </si>
  <si>
    <t>Define the minimum result JSON schema with evidence-location and source-reference extension points.</t>
  </si>
  <si>
    <t>MVP evidence locations may be JSON paths; later implementations may use PDF page/region or CAD entity identifiers.</t>
  </si>
  <si>
    <t>2.3</t>
  </si>
  <si>
    <t>Write immutable local result records</t>
  </si>
  <si>
    <t>Each evaluation writes a timestamped result without overwriting prior evidence.</t>
  </si>
  <si>
    <t>Create runs/&lt;run_id&gt;/result.json convention.</t>
  </si>
  <si>
    <t>Trace schema remains deferred unless needed.</t>
  </si>
  <si>
    <t>2.4</t>
  </si>
  <si>
    <t>Create example pass/fail candidate artifacts</t>
  </si>
  <si>
    <t>At least one passing and two representative failing artifacts run end-to-end.</t>
  </si>
  <si>
    <t>2.1,2.3</t>
  </si>
  <si>
    <t>Create MECH-002 examples for good, unit-error, and missing-field outputs.</t>
  </si>
  <si>
    <t>These become demo and regression fixtures.</t>
  </si>
  <si>
    <t>3.1</t>
  </si>
  <si>
    <t>Independently verify three seed cases</t>
  </si>
  <si>
    <t>Calculations, references, tolerances, and failure intent are checked and recorded.</t>
  </si>
  <si>
    <t>Verify MECH-001 through MECH-003 without relying only on generated code.</t>
  </si>
  <si>
    <t>Engineering correctness is a product requirement.</t>
  </si>
  <si>
    <t>3.2</t>
  </si>
  <si>
    <t>Add two useful synthetic cases</t>
  </si>
  <si>
    <t>Five total reviewed cases cover distinct mechanical workflow/failure families.</t>
  </si>
  <si>
    <t>1.5,3.1</t>
  </si>
  <si>
    <t>Select two economically meaningful, deterministic workflows.</t>
  </si>
  <si>
    <t>Prefer revision/completeness/calculation workflows.</t>
  </si>
  <si>
    <t>3.3</t>
  </si>
  <si>
    <t>Assign held-out split and review checklist</t>
  </si>
  <si>
    <t>At least one held-out case; provenance, correctness, and evaluability review recorded.</t>
  </si>
  <si>
    <t>Create concise review checklist and dataset split rationale.</t>
  </si>
  <si>
    <t>Do not tune against held-out artifacts.</t>
  </si>
  <si>
    <t>3.4</t>
  </si>
  <si>
    <t>Run baseline benchmark and failure summary</t>
  </si>
  <si>
    <t>All MVP cases evaluated; results summarized with representative failures and limitations.</t>
  </si>
  <si>
    <t>2.4,3.3</t>
  </si>
  <si>
    <t>Run passing/failing candidates and summarize results.</t>
  </si>
  <si>
    <t>A small reproducible benchmark is sufficient for MVP.</t>
  </si>
  <si>
    <t>4.1</t>
  </si>
  <si>
    <t>Targeted regression tests and fixture refactor</t>
  </si>
  <si>
    <t>Important engine behaviours and failure handling are protected without repetitive setup.</t>
  </si>
  <si>
    <t>Add engine tests as capabilities land; consolidate temp repository setup when useful.</t>
  </si>
  <si>
    <t>Stop when added tests no longer materially improve MVP reliability.</t>
  </si>
  <si>
    <t>4.2</t>
  </si>
  <si>
    <t>Add GitHub Actions CI</t>
  </si>
  <si>
    <t>Tests run on push and pull request; seeded failure demonstrates red/green behaviour.</t>
  </si>
  <si>
    <t>Add minimal Python test workflow.</t>
  </si>
  <si>
    <t>No deployment pipeline in MVP.</t>
  </si>
  <si>
    <t>4.3</t>
  </si>
  <si>
    <t>Complete README and architecture documentation</t>
  </si>
  <si>
    <t>New reviewer can install, understand, run, and audit the MVP.</t>
  </si>
  <si>
    <t>2.4,3.4</t>
  </si>
  <si>
    <t>Commit architecture update; later add usage and benchmark sections.</t>
  </si>
  <si>
    <t>Documentation must match actual functionality.</t>
  </si>
  <si>
    <t>5.1</t>
  </si>
  <si>
    <t>Create portfolio demo</t>
  </si>
  <si>
    <t>One scripted end-to-end case shows pass, failure evidence, and result record.</t>
  </si>
  <si>
    <t>3.4,4.3</t>
  </si>
  <si>
    <t>Create concise terminal demo and captured output.</t>
  </si>
  <si>
    <t>No frontend required.</t>
  </si>
  <si>
    <t>5.2</t>
  </si>
  <si>
    <t>Write release notes and limitations</t>
  </si>
  <si>
    <t>Scope, supported checks, safety boundary, known limitations, and deferred work are explicit.</t>
  </si>
  <si>
    <t>Draft v0.1.0 release notes and limitations.</t>
  </si>
  <si>
    <t>Avoid claims of engineering sign-off.</t>
  </si>
  <si>
    <t>5.3</t>
  </si>
  <si>
    <t>Run final acceptance and tag MVP v0.1.0</t>
  </si>
  <si>
    <t>Clean clone/run path, tests and benchmark pass, demo reproducible, release tagged.</t>
  </si>
  <si>
    <t>5.2,4.2</t>
  </si>
  <si>
    <t>Execute final acceptance checklist and tag release.</t>
  </si>
  <si>
    <t>This is the MVP completion gate.</t>
  </si>
  <si>
    <t>Weekly Resource Control — 8-Week MVP</t>
  </si>
  <si>
    <t>Actual hours are calculated from Work Block Log. Weekly notes should capture completed evidence, decisions, blockers, and the next action.</t>
  </si>
  <si>
    <t>Week</t>
  </si>
  <si>
    <t>Week Start</t>
  </si>
  <si>
    <t>Week Finish</t>
  </si>
  <si>
    <t>Cumulative Planned</t>
  </si>
  <si>
    <t>Cumulative Actual</t>
  </si>
  <si>
    <t>Primary Focus</t>
  </si>
  <si>
    <t>Weekly Note</t>
  </si>
  <si>
    <t>Control baseline; loader/validator</t>
  </si>
  <si>
    <t>In Progress</t>
  </si>
  <si>
    <t>Known logged time: 7.55 h. PR #1–#5 merged; 25 tests pass. Architecture and the eight-week MVP control baseline were committed in c71676d. All July 4 work-block durations are now recorded.</t>
  </si>
  <si>
    <t>Candidate contract; seed-case verification</t>
  </si>
  <si>
    <t>Not Started</t>
  </si>
  <si>
    <t>Gates and deterministic checks</t>
  </si>
  <si>
    <t>Numeric checks; scoring; engine tests</t>
  </si>
  <si>
    <t>Evaluate CLI; result records; examples</t>
  </si>
  <si>
    <t>Add cases; held-out split; benchmark</t>
  </si>
  <si>
    <t>CI; documentation; portfolio demo</t>
  </si>
  <si>
    <t>Stabilization; limitations; v0.1.0 release</t>
  </si>
  <si>
    <t>MVP Phase Labour Summary and Gates</t>
  </si>
  <si>
    <t>Gate</t>
  </si>
  <si>
    <t>TOTAL</t>
  </si>
  <si>
    <t>Planning Basis, MVP Gates, and Change-Control Rules</t>
  </si>
  <si>
    <t>Planning Assumptions</t>
  </si>
  <si>
    <t>A1</t>
  </si>
  <si>
    <t>The Gantt workbook is the controlling source of truth for scope, schedule, progress, decisions, evidence, and next action.</t>
  </si>
  <si>
    <t>A2</t>
  </si>
  <si>
    <t>The controlling baseline is an 8-week, 76-hour MVP from 2026-06-29 through 2026-08-23.</t>
  </si>
  <si>
    <t>A3</t>
  </si>
  <si>
    <t>Normal capacity is 8–12 hours per week. Paid Outlier work and major life obligations retain priority.</t>
  </si>
  <si>
    <t>A4</t>
  </si>
  <si>
    <t>Learning is just-in-time. Shipped functionality and validated engineering workflows take priority over repetitive exercises.</t>
  </si>
  <si>
    <t>A5</t>
  </si>
  <si>
    <t>Use one branch per coherent capability, not per individual test.</t>
  </si>
  <si>
    <t>A6</t>
  </si>
  <si>
    <t>Tests support the product. Add them for important behaviour, scoring correctness, failure handling, and regression safety.</t>
  </si>
  <si>
    <t>A7</t>
  </si>
  <si>
    <t>Actual hours are recorded only when explicitly known. Do not invent or silently backfill time.</t>
  </si>
  <si>
    <t>A8</t>
  </si>
  <si>
    <t>MVP scope is JSON artifacts, deterministic gates/checks, weighted scoring, CLI execution, result records, five cases, a small benchmark, CI, docs, and one demo.</t>
  </si>
  <si>
    <t>A9</t>
  </si>
  <si>
    <t>APIs, databases, multimodal, OpenClaw, observability, deployment, governance packs, reward models, LoRA, and RL are deferred unless the MVP requires them.</t>
  </si>
  <si>
    <t>A10</t>
  </si>
  <si>
    <t>Use only public, synthetic, self-authored, or authorized data. Never place confidential Outlier or employer material in the repository or workbook.</t>
  </si>
  <si>
    <t>A11</t>
  </si>
  <si>
    <t>The harness supports evaluation and workflow assurance, not engineering sign-off, autonomous release, or final safety-critical decisions.</t>
  </si>
  <si>
    <t>A12</t>
  </si>
  <si>
    <t>The strategic product direction is the Mechanical Engineering Workflow Assurance Platform; the current harness is its evaluation kernel. Preserve this direction without expanding the controlling MVP.</t>
  </si>
  <si>
    <t>A13</t>
  </si>
  <si>
    <t>Candidate and result interfaces remain agent- and artifact-runtime agnostic, with explicit extension points for artifact references, provenance, source references, evidence locations, severity, cost/latency, and regression status.</t>
  </si>
  <si>
    <t>MVP Gates / Hold Points</t>
  </si>
  <si>
    <t>Target Week</t>
  </si>
  <si>
    <t>Target Date</t>
  </si>
  <si>
    <t>Acceptance Criteria</t>
  </si>
  <si>
    <t>Evidence</t>
  </si>
  <si>
    <t>Decision / Next Action</t>
  </si>
  <si>
    <t>Gate 0</t>
  </si>
  <si>
    <t>Passed</t>
  </si>
  <si>
    <t>Architecture and control baseline explain current system; workbook rebaseline accepted.</t>
  </si>
  <si>
    <t>docs/architecture.md; gantt.xlsx; commit c71676d</t>
  </si>
  <si>
    <t>Gate accepted. Begin WBS 1.1 in the next work block.</t>
  </si>
  <si>
    <t>Gate 1</t>
  </si>
  <si>
    <t>Planned</t>
  </si>
  <si>
    <t>Candidate artifact contract and loader work for MECH-002 with controlled errors.</t>
  </si>
  <si>
    <t>Tests and CLI/manual load evidence</t>
  </si>
  <si>
    <t>Proceed to gate engine.</t>
  </si>
  <si>
    <t>Gate 2</t>
  </si>
  <si>
    <t>Mandatory gates, deterministic checks, weighted score, failure modes, and evidence work end-to-end.</t>
  </si>
  <si>
    <t>Engine tests; pass/fail artifacts</t>
  </si>
  <si>
    <t>Authorize CLI integration.</t>
  </si>
  <si>
    <t>Gate 3</t>
  </si>
  <si>
    <t>evaluate CLI writes immutable structured results for example artifacts.</t>
  </si>
  <si>
    <t>CLI transcript; result JSON</t>
  </si>
  <si>
    <t>Authorize benchmark run.</t>
  </si>
  <si>
    <t>Gate 4</t>
  </si>
  <si>
    <t>Five reviewed cases, held-out split, and reproducible baseline benchmark exist.</t>
  </si>
  <si>
    <t>Case review records; benchmark report</t>
  </si>
  <si>
    <t>Authorize release hardening.</t>
  </si>
  <si>
    <t>Gate 5</t>
  </si>
  <si>
    <t>CI is green; README and architecture match implementation; portfolio demo works.</t>
  </si>
  <si>
    <t>CI run; docs; demo output</t>
  </si>
  <si>
    <t>Authorize final acceptance.</t>
  </si>
  <si>
    <t>Gate 6</t>
  </si>
  <si>
    <t>Clean acceptance run passes; limitations are explicit; MVP v0.1.0 is tagged.</t>
  </si>
  <si>
    <t>Release tag; acceptance checklist</t>
  </si>
  <si>
    <t>Close MVP and select expansion backlog.</t>
  </si>
  <si>
    <t>Change-Control Rule</t>
  </si>
  <si>
    <t>Do not silently add scope or extend the schedule. Record the decision when a gate slips, forecast finish moves by more than one week, planned hours rise by more than 10%, or a deferred capability is pulled into the MVP. First protect the working evaluation flow and release evidence.</t>
  </si>
  <si>
    <t>Planning Sources and Design Rationale</t>
  </si>
  <si>
    <t>Source</t>
  </si>
  <si>
    <t>Use in Current Baseline</t>
  </si>
  <si>
    <t>Type</t>
  </si>
  <si>
    <t>URL / Reference</t>
  </si>
  <si>
    <t>Control Note</t>
  </si>
  <si>
    <t>Project instructions — AI Career &amp; Agent Evaluation Systems</t>
  </si>
  <si>
    <t>Establishes 4–8 week MVP, Gantt control, architecture separation, testing discipline, and deferrals.</t>
  </si>
  <si>
    <t>Project control</t>
  </si>
  <si>
    <t>Project instructions</t>
  </si>
  <si>
    <t>Highest-priority operating source.</t>
  </si>
  <si>
    <t>Current Gantt workbook</t>
  </si>
  <si>
    <t>Controls WBS, schedule, actuals, decisions, evidence, risks, and next action.</t>
  </si>
  <si>
    <t>gantt.xlsx</t>
  </si>
  <si>
    <t>Replace project source after each completed workflow.</t>
  </si>
  <si>
    <t>docs/architecture.md</t>
  </si>
  <si>
    <t>Defines task/agent/environment/trace/evaluator/results boundaries and current implementation state.</t>
  </si>
  <si>
    <t>Architecture</t>
  </si>
  <si>
    <t>Repository document</t>
  </si>
  <si>
    <t>Must match actual code.</t>
  </si>
  <si>
    <t>Twelve-Month Roadmap from Engineering-Domain AI QA Auditor to AI Evaluation and Deployment Specialist</t>
  </si>
  <si>
    <t>Preserved as expansion strategy; supports backend-first tooling and portfolio artifacts.</t>
  </si>
  <si>
    <t>Uploaded project PDF</t>
  </si>
  <si>
    <t>Project source file</t>
  </si>
  <si>
    <t>No longer the controlling delivery timeline.</t>
  </si>
  <si>
    <t>Current-Market Analysis of AI Evaluation, AI Quality, LLM Evaluation, Model Behaviour Testing, Technical AI Auditing, AI Deployment, and Responsible-AI Roles</t>
  </si>
  <si>
    <t>Supports positioning around evaluation systems, regression design, audit evidence, and tooling ownership.</t>
  </si>
  <si>
    <t>Career strategy input.</t>
  </si>
  <si>
    <t>Agents' Last Exam</t>
  </si>
  <si>
    <t>Supports authentic professional workflows, task/agent/environment separation, artifact verification, and gate-before-score evaluation.</t>
  </si>
  <si>
    <t>Research paper</t>
  </si>
  <si>
    <t>https://arxiv.org/abs/2606.05405</t>
  </si>
  <si>
    <t>Direct architecture influence.</t>
  </si>
  <si>
    <t>OpenClaw-RL: Train Any Agent Simply by Talking</t>
  </si>
  <si>
    <t>Supports later trace, next-state, process-signal, and agent-evaluation work.</t>
  </si>
  <si>
    <t>https://arxiv.org/abs/2603.10165</t>
  </si>
  <si>
    <t>Deferred until after MVP.</t>
  </si>
  <si>
    <t>RLAnything</t>
  </si>
  <si>
    <t>Supports later separation/integration of outcome and step-wise signals and adaptive environment research.</t>
  </si>
  <si>
    <t>https://arxiv.org/abs/2602.02488</t>
  </si>
  <si>
    <t>Practical Market for a Solo AI Implementation and Evaluation Consultant in Edmonton and Alberta</t>
  </si>
  <si>
    <t>Informs useful mechanical document, QA/QC, revision, maintenance, and technical-record workflows.</t>
  </si>
  <si>
    <t>Case-selection input.</t>
  </si>
  <si>
    <t>Superseded 52-Week Baseline Snapshot — Preserved 2026-07-04</t>
  </si>
  <si>
    <t>Historical planning baseline retained for traceability. It is no longer the controlling schedule. Use Start Here, Executive Gantt, Detailed Gantt, Weekly Control, and the control registers for current project management.</t>
  </si>
  <si>
    <t>Normal Control Rule</t>
  </si>
  <si>
    <t>Update weekly; rebaseline only through a gate decision</t>
  </si>
  <si>
    <t>Editable fields</t>
  </si>
  <si>
    <t>Status, % Complete, Actual Hours, and Notes. Baseline dates and planned hours should not be changed casually.</t>
  </si>
  <si>
    <t>Duration (wk)</t>
  </si>
  <si>
    <t>0 Project Controls &amp; Mobilization</t>
  </si>
  <si>
    <t>Create local Python environment</t>
  </si>
  <si>
    <t>Working virtual environment; dependencies installed</t>
  </si>
  <si>
    <t>Complete</t>
  </si>
  <si>
    <t>Completed before baseline start on 2026-06-28. Python 3.14.2 virtual environment active; baseline tests passed.</t>
  </si>
  <si>
    <t>Initialize Git and GitHub baseline</t>
  </si>
  <si>
    <t>Repository pushed; main branch protected by working practice</t>
  </si>
  <si>
    <t>Completed 2026-06-30. Local Git initialized, baseline commit created, GitHub origin configured, and main pushed successfully. Actual time was not separately logged.</t>
  </si>
  <si>
    <t>Review architecture and four schemas</t>
  </si>
  <si>
    <t>One-page architecture walkthrough in own words</t>
  </si>
  <si>
    <t>Repository layout, README, CLI commands, and MECH-001 summary reviewed. Full four-schema walkthrough and concise architecture explanation remain.</t>
  </si>
  <si>
    <t>0.4</t>
  </si>
  <si>
    <t>Set definition of done and control routine</t>
  </si>
  <si>
    <t>Weekly review checklist and change-control rule</t>
  </si>
  <si>
    <t>0.5</t>
  </si>
  <si>
    <t>Weekly time, issue, and decision logging</t>
  </si>
  <si>
    <t>Updated weekly control sheet and issue notes</t>
  </si>
  <si>
    <t>Week 1 control update completed. Actual time is recorded only where explicitly tracked.</t>
  </si>
  <si>
    <t>0.6</t>
  </si>
  <si>
    <t>Monthly schedule and forecast update</t>
  </si>
  <si>
    <t>Monthly reforecast without silent scope changes</t>
  </si>
  <si>
    <t>0.7</t>
  </si>
  <si>
    <t>Formal gate reviews and baseline changes</t>
  </si>
  <si>
    <t>Recorded gate decision and accepted corrective actions</t>
  </si>
  <si>
    <t>1 Case Foundation</t>
  </si>
  <si>
    <t>Learn only the required JSON, schema, and CLI concepts</t>
  </si>
  <si>
    <t>Can explain and edit one case safely</t>
  </si>
  <si>
    <t>Independently verify the three seed cases</t>
  </si>
  <si>
    <t>Calculations and references checked without relying on generated code</t>
  </si>
  <si>
    <t>Author synthetic cases 4 and 5</t>
  </si>
  <si>
    <t>Two complete, valid, reviewed case instances</t>
  </si>
  <si>
    <t>Author synthetic cases 6 through 8</t>
  </si>
  <si>
    <t>Three additional cases covering distinct failure modes</t>
  </si>
  <si>
    <t>Expand taxonomy and assign dataset splits</t>
  </si>
  <si>
    <t>Failure codes stable; at least two held-out cases</t>
  </si>
  <si>
    <t>1.6</t>
  </si>
  <si>
    <t>Complete human review checklists</t>
  </si>
  <si>
    <t>Every case passes provenance, authenticity, correctness, and evaluability review</t>
  </si>
  <si>
    <t>1.7</t>
  </si>
  <si>
    <t>Release specification baseline v0.1.0</t>
  </si>
  <si>
    <t>Validation passes; tagged release and concise release notes</t>
  </si>
  <si>
    <t>2 Software Hygiene &amp; Test Infrastructure</t>
  </si>
  <si>
    <t>Practise branch, merge, and recovery workflows</t>
  </si>
  <si>
    <t>Three clean feature branches and one intentional recovery exercise</t>
  </si>
  <si>
    <t>Started early. Created feature/test-unknown-case and added the first controlled test change. Push/PR/merge evidence and two more branches plus recovery exercise remain.</t>
  </si>
  <si>
    <t>Refactor repository validator and loader</t>
  </si>
  <si>
    <t>Readable modules with stable error messages</t>
  </si>
  <si>
    <t>Started early on 2026-07-04. Added targeted load_case_by_id, updated CLI inspect to load one case directly, added positive and negative regression tests, fixed inspect output formatting, merged PR #2, and confirmed 22 tests pass.</t>
  </si>
  <si>
    <t>Expand pytest suite to at least 20 tests</t>
  </si>
  <si>
    <t>Positive and negative cases run locally</t>
  </si>
  <si>
    <t>Completed early on 2026-06-30. Added a negative CLI integration test; 20 tests pass locally. Actual time was not separately logged.</t>
  </si>
  <si>
    <t>Add schema, path, asset, and weight failure tests</t>
  </si>
  <si>
    <t>Seeded defects are caught deterministically</t>
  </si>
  <si>
    <t>2.5</t>
  </si>
  <si>
    <t>Add GitHub Actions test workflow</t>
  </si>
  <si>
    <t>CI passes on push and fails on seeded defect branch</t>
  </si>
  <si>
    <t>2.6</t>
  </si>
  <si>
    <t>Define result and trace schema stubs</t>
  </si>
  <si>
    <t>Future run data separated from task definitions</t>
  </si>
  <si>
    <t>2.7</t>
  </si>
  <si>
    <t>Clean README, changelog, and issue templates</t>
  </si>
  <si>
    <t>New contributor can understand current scope</t>
  </si>
  <si>
    <t>2.8</t>
  </si>
  <si>
    <t>Release repository baseline v0.2</t>
  </si>
  <si>
    <t>CI green; clean history; gate record complete</t>
  </si>
  <si>
    <t>3 Evaluation Engine &amp; Measurement</t>
  </si>
  <si>
    <t>Implement deterministic evaluator engine</t>
  </si>
  <si>
    <t>One command evaluates a candidate artifact against a case</t>
  </si>
  <si>
    <t>Implement mandatory gates and artifact validation</t>
  </si>
  <si>
    <t>Missing, malformed, and incomplete outputs fail before scoring</t>
  </si>
  <si>
    <t>Implement numeric, exact, set, and contains checks</t>
  </si>
  <si>
    <t>Supported checks produce evidence and failure codes</t>
  </si>
  <si>
    <t>Write immutable local run-result records</t>
  </si>
  <si>
    <t>Run result stores versions, score, pass/fail, and evidence</t>
  </si>
  <si>
    <t>3.5</t>
  </si>
  <si>
    <t>Add manual or direct-model baseline adapter</t>
  </si>
  <si>
    <t>Response/artifact can enter harness without an agent framework</t>
  </si>
  <si>
    <t>3.6</t>
  </si>
  <si>
    <t>Define calibration and human-review protocol</t>
  </si>
  <si>
    <t>Clear rule for deterministic checks, narrow rubrics, and escalation</t>
  </si>
  <si>
    <t>3.7</t>
  </si>
  <si>
    <t>Expand benchmark to 20 cases</t>
  </si>
  <si>
    <t>Balanced development and held-out set with versioned cases</t>
  </si>
  <si>
    <t>3.8</t>
  </si>
  <si>
    <t>Run baseline benchmark and write report</t>
  </si>
  <si>
    <t>Reproducible report with representative failures and limitations</t>
  </si>
  <si>
    <t>4 Multimodal Technical Document Evaluation</t>
  </si>
  <si>
    <t>Define supported document and artifact formats</t>
  </si>
  <si>
    <t>Format matrix, evaluator strategy, and explicit exclusions</t>
  </si>
  <si>
    <t>Build public and synthetic technical-document corpus</t>
  </si>
  <si>
    <t>Authorized PDFs, images, tables, and self-authored drawings</t>
  </si>
  <si>
    <t>Implement PDF, image, and table input adapters</t>
  </si>
  <si>
    <t>Local ingestion produces stable case inputs and metadata</t>
  </si>
  <si>
    <t>4.4</t>
  </si>
  <si>
    <t>Implement deterministic table and spreadsheet checks</t>
  </si>
  <si>
    <t>Cell, field, formula, and tolerance checks are reproducible</t>
  </si>
  <si>
    <t>4.5</t>
  </si>
  <si>
    <t>Implement file and artifact validation</t>
  </si>
  <si>
    <t>Expected files parse, contain required structure, and meet gates</t>
  </si>
  <si>
    <t>4.6</t>
  </si>
  <si>
    <t>Author 12 multimodal cases</t>
  </si>
  <si>
    <t>Cases cover hallucinated dimensions, units, revisions, tables, and missing constraints</t>
  </si>
  <si>
    <t>4.7</t>
  </si>
  <si>
    <t>Run multimodal regression suite and report</t>
  </si>
  <si>
    <t>Benchmark results are reproducible and failure evidence is preserved</t>
  </si>
  <si>
    <t>5 OpenClaw Bounded Agent Evaluation</t>
  </si>
  <si>
    <t>Study OpenClaw agent loop and runtime concepts</t>
  </si>
  <si>
    <t>Can explain tools, context, state, permissions, and traces</t>
  </si>
  <si>
    <t>Install and configure OpenClaw in an isolated sandbox</t>
  </si>
  <si>
    <t>No personal accounts, production credentials, or broad file access</t>
  </si>
  <si>
    <t>Define bounded synthetic agent workflows</t>
  </si>
  <si>
    <t>Five tasks with tools, deliverables, acceptance criteria, and approval boundaries</t>
  </si>
  <si>
    <t>5.4</t>
  </si>
  <si>
    <t>Implement least-privilege tools and environment controls</t>
  </si>
  <si>
    <t>Read/write boundaries and destructive-action restrictions tested</t>
  </si>
  <si>
    <t>5.5</t>
  </si>
  <si>
    <t>Implement trace collector</t>
  </si>
  <si>
    <t>Actions, tool calls, outputs, errors, corrections, and artifacts are captured</t>
  </si>
  <si>
    <t>5.6</t>
  </si>
  <si>
    <t>Separate outcome and process evaluators</t>
  </si>
  <si>
    <t>Final deliverable and trajectory quality receive distinct scores</t>
  </si>
  <si>
    <t>5.7</t>
  </si>
  <si>
    <t>Execute repeated bounded runs</t>
  </si>
  <si>
    <t>At least five workflows run repeatedly with failed runs retained</t>
  </si>
  <si>
    <t>5.8</t>
  </si>
  <si>
    <t>Analyze failures and corrections</t>
  </si>
  <si>
    <t>Trace-linked taxonomy and small correction dataset</t>
  </si>
  <si>
    <t>6.1</t>
  </si>
  <si>
    <t>6 Comparative Harness &amp; Observability</t>
  </si>
  <si>
    <t>Select comparator harness or direct baseline</t>
  </si>
  <si>
    <t>Selection memo based on portability, cost, and measurement value</t>
  </si>
  <si>
    <t>6.2</t>
  </si>
  <si>
    <t>Implement common task adapter</t>
  </si>
  <si>
    <t>Identical cases execute without changing task or evaluator definitions</t>
  </si>
  <si>
    <t>6.3</t>
  </si>
  <si>
    <t>Run controlled comparative experiments</t>
  </si>
  <si>
    <t>Repeated results from OpenClaw and comparator on identical tasks</t>
  </si>
  <si>
    <t>6.4</t>
  </si>
  <si>
    <t>Add cost, latency, and tool-use metrics</t>
  </si>
  <si>
    <t>Metrics linked to each run and trace</t>
  </si>
  <si>
    <t>6.5</t>
  </si>
  <si>
    <t>Write comparative benchmark report</t>
  </si>
  <si>
    <t>Outcome/process tradeoffs and limitations stated conservatively</t>
  </si>
  <si>
    <t>6.6</t>
  </si>
  <si>
    <t>Complete comparative-study gate review</t>
  </si>
  <si>
    <t>Evidence supports or rejects claimed differences</t>
  </si>
  <si>
    <t>7.1</t>
  </si>
  <si>
    <t>7 Hardening, Governance &amp; Portfolio Release</t>
  </si>
  <si>
    <t>Run held-out regression and seeded-bug tests</t>
  </si>
  <si>
    <t>No tuning on held-out cases; known defects are caught</t>
  </si>
  <si>
    <t>7.2</t>
  </si>
  <si>
    <t>Write security, data-handling, and governance pack</t>
  </si>
  <si>
    <t>Risk register, data policy, human-review points, and incident procedure</t>
  </si>
  <si>
    <t>7.3</t>
  </si>
  <si>
    <t>Create reproducible packaged setup</t>
  </si>
  <si>
    <t>Clean-machine setup succeeds from README; Docker optional but documented</t>
  </si>
  <si>
    <t>7.4</t>
  </si>
  <si>
    <t>Create architecture diagram and three case studies</t>
  </si>
  <si>
    <t>Portfolio explains task, agent, environment, trace, evaluator, and results</t>
  </si>
  <si>
    <t>7.5</t>
  </si>
  <si>
    <t>Run final cold-start demonstration</t>
  </si>
  <si>
    <t>New clone, tests, benchmark, and demo complete without hidden steps</t>
  </si>
  <si>
    <t>7.6</t>
  </si>
  <si>
    <t>Prepare job-facing README and walkthrough</t>
  </si>
  <si>
    <t>Ten-minute portfolio walkthrough tied to eval-engineering roles</t>
  </si>
  <si>
    <t>7.7</t>
  </si>
  <si>
    <t>Release v1.0 and record lessons learned</t>
  </si>
  <si>
    <t>Tagged release, final report, backlog, and post-project review</t>
  </si>
  <si>
    <t>Executive Gantt — 576 Planned Labour Hours</t>
  </si>
  <si>
    <t>Hours</t>
  </si>
  <si>
    <t>% Total</t>
  </si>
  <si>
    <t>Jul-26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</si>
  <si>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</si>
  <si>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</si>
  <si>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</si>
  <si>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</si>
  <si>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</si>
  <si>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</si>
  <si>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</si>
  <si>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</si>
  <si>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Apr-27</t>
  </si>
  <si>
    <t>May-27</t>
  </si>
  <si>
    <t>Jun-27</t>
  </si>
  <si>
    <t>Ongoing controls; baseline accepted at Gate 0</t>
  </si>
  <si>
    <t>Controlled scope, updated schedule, issue log, gate records</t>
  </si>
  <si>
    <t>Gate 1 — v0.1.0 case specification baseline</t>
  </si>
  <si>
    <t>8 reviewed synthetic cases, 3 workflow families, held-out split</t>
  </si>
  <si>
    <t>Gate 2 — v0.2 test and repository baseline</t>
  </si>
  <si>
    <t>20+ tests, CI, clean Git workflow, result/trace schema stubs</t>
  </si>
  <si>
    <t>Gate 3 — deterministic evaluation baseline</t>
  </si>
  <si>
    <t>Evaluator engine, local result records, 20-case benchmark report</t>
  </si>
  <si>
    <t>Gate 4 — multimodal benchmark ready</t>
  </si>
  <si>
    <t>PDF/image/table handling, artifact checks, 12 multimodal cases</t>
  </si>
  <si>
    <t>Gate 5 — bounded agent evaluation demonstrated</t>
  </si>
  <si>
    <t>Sandboxed OpenClaw runs, traces, process/outcome evaluators</t>
  </si>
  <si>
    <t>Gate 6 — comparative study complete</t>
  </si>
  <si>
    <t>Identical-task comparison, cost/latency/tool-use metrics, report</t>
  </si>
  <si>
    <t>Gate 7 — v1.0 portfolio release</t>
  </si>
  <si>
    <t>Held-out regression, reproducible setup, governance pack, case studies</t>
  </si>
  <si>
    <t>TOTAL BASELINE</t>
  </si>
  <si>
    <t>Work Block Log — Actual Work, Evidence, Decisions, and Next Action</t>
  </si>
  <si>
    <t>Enter one row per coherent work block. Actual hours are recorded only when explicitly known. Detailed Gantt and Weekly Control calculate actuals from this sheet.</t>
  </si>
  <si>
    <t>Block ID</t>
  </si>
  <si>
    <t>Date</t>
  </si>
  <si>
    <t>End</t>
  </si>
  <si>
    <t>Primary WBS</t>
  </si>
  <si>
    <t>MVP Week</t>
  </si>
  <si>
    <t>Objective</t>
  </si>
  <si>
    <t>Deliverable / Evidence</t>
  </si>
  <si>
    <t>Decisions / Blockers</t>
  </si>
  <si>
    <t>Git / Artifact</t>
  </si>
  <si>
    <t>WB-001</t>
  </si>
  <si>
    <t>Repository setup, toolchain verification, and initial commissioning.</t>
  </si>
  <si>
    <t>Python 3.14.2 virtual environment active; repository structure commissioned; baseline tests passed.</t>
  </si>
  <si>
    <t>Use a backend-first local CLI and synthetic/public data only.</t>
  </si>
  <si>
    <t>Establish Git/GitHub baseline and controlled workflow.</t>
  </si>
  <si>
    <t>Local repository baseline</t>
  </si>
  <si>
    <t>WB-002</t>
  </si>
  <si>
    <t>Git/GitHub baseline, first controlled regression change, and repository commissioning.</t>
  </si>
  <si>
    <t>PR #1 merged; unknown-case CLI regression added; 20 tests passed.</t>
  </si>
  <si>
    <t>Use branch/PR workflow, but avoid one branch per trivial test after practice objective is met.</t>
  </si>
  <si>
    <t>Implement targeted case loading.</t>
  </si>
  <si>
    <t>PR #1 / merge 29f4879</t>
  </si>
  <si>
    <t>WB-003</t>
  </si>
  <si>
    <t>1:51 PM</t>
  </si>
  <si>
    <t>2:28 PM</t>
  </si>
  <si>
    <t>Add targeted case loading by ID and decouple inspect from full-repository validation.</t>
  </si>
  <si>
    <t>PR #2 merged; load_case_by_id added; CLI inspect updated; 22 tests passed.</t>
  </si>
  <si>
    <t>Targeted inspect should ignore invalid unrelated cases.</t>
  </si>
  <si>
    <t>Prove case isolation with a regression test.</t>
  </si>
  <si>
    <t>PR #2 / merge 84ae42e</t>
  </si>
  <si>
    <t>WB-004</t>
  </si>
  <si>
    <t>4:00 PM</t>
  </si>
  <si>
    <t>Case-isolation and seeded-defect validator coverage.</t>
  </si>
  <si>
    <t>PR #3 case isolation, PR #4 evaluator weight sum, PR #5 missing input asset; 25 tests passed.</t>
  </si>
  <si>
    <t>Stop the one-test-per-branch pattern. Tests support the product; the next major capability is the evaluation engine. Duration reconstructed from the confirmed timeline.</t>
  </si>
  <si>
    <t>Complete architecture/control checkpoint, then start candidate artifact contract.</t>
  </si>
  <si>
    <t>PR #3 90ead34; PR #4 8399f1f; PR #5 0205c60</t>
  </si>
  <si>
    <t>WB-005</t>
  </si>
  <si>
    <t>5:20 PM</t>
  </si>
  <si>
    <t>Architecture checkpoint and aggressive MVP rebaseline.</t>
  </si>
  <si>
    <t>Updated architecture draft and 8-week MVP control workbook with logs, decisions, risks, evidence, and AI context.</t>
  </si>
  <si>
    <t>Gantt workbook becomes the controlling source of truth. Preserve long-term work as expansion backlog.</t>
  </si>
  <si>
    <t>Commit docs/architecture.md and this workbook; begin WBS 1.1.</t>
  </si>
  <si>
    <t>docs/architecture.md; gantt.xlsx</t>
  </si>
  <si>
    <t>WB-006</t>
  </si>
  <si>
    <t>5:24 PM</t>
  </si>
  <si>
    <t>Commit the architecture document and rebaselined Gantt workbook to main.</t>
  </si>
  <si>
    <t>Commit c71676d pushed to origin/main; working tree confirmed clean.</t>
  </si>
  <si>
    <t>Gate 0 is complete. Stop work for the day; begin WBS 1.1 in the next work block.</t>
  </si>
  <si>
    <t>Next work block: create feature/candidate-artifact-contract and define the MECH-002 candidate contract.</t>
  </si>
  <si>
    <t>c71676d — Rebaseline project for eight-week MVP</t>
  </si>
  <si>
    <t>Decision ID</t>
  </si>
  <si>
    <t>Decision</t>
  </si>
  <si>
    <t>Rationale</t>
  </si>
  <si>
    <t>Affected WBS</t>
  </si>
  <si>
    <t>Evidence / Source</t>
  </si>
  <si>
    <t>Revisit Trigger</t>
  </si>
  <si>
    <t>D-001</t>
  </si>
  <si>
    <t>Build a backend-first, schema-first local CLI harness.</t>
  </si>
  <si>
    <t>Demonstrates evaluation-system ownership without frontend distraction.</t>
  </si>
  <si>
    <t>Active</t>
  </si>
  <si>
    <t>All</t>
  </si>
  <si>
    <t>Project scope and architecture</t>
  </si>
  <si>
    <t>Revisit only after MVP release.</t>
  </si>
  <si>
    <t>D-002</t>
  </si>
  <si>
    <t>Keep task, agent, environment, trace/artifacts, evaluator, and results separate.</t>
  </si>
  <si>
    <t>Enables reproducible comparisons and prevents benchmark/run-data entanglement.</t>
  </si>
  <si>
    <t>Revisit only for a concrete interface conflict.</t>
  </si>
  <si>
    <t>D-003</t>
  </si>
  <si>
    <t>Use the Gantt workbook as the controlling project-management artifact.</t>
  </si>
  <si>
    <t>Provides shared context across sessions and auditable progress control.</t>
  </si>
  <si>
    <t>Project instructions; gantt.xlsx</t>
  </si>
  <si>
    <t>Revisit if workbook maintenance exceeds its planning value.</t>
  </si>
  <si>
    <t>D-004</t>
  </si>
  <si>
    <t>Replace the 52-week controlling schedule with an 8-week, 76-hour MVP baseline.</t>
  </si>
  <si>
    <t>The prior learning-first sequence delayed useful product functionality.</t>
  </si>
  <si>
    <t>All MVP</t>
  </si>
  <si>
    <t>This workbook revision</t>
  </si>
  <si>
    <t>Rebaseline only through a recorded gate decision.</t>
  </si>
  <si>
    <t>D-005</t>
  </si>
  <si>
    <t>The one-test pattern created transcription work and weak product momentum.</t>
  </si>
  <si>
    <t>All development</t>
  </si>
  <si>
    <t>PR #3–#5 retrospective</t>
  </si>
  <si>
    <t>Revisit if a capability becomes too large to review safely.</t>
  </si>
  <si>
    <t>D-006</t>
  </si>
  <si>
    <t>Stop validator-only expansion after material coverage; build the evaluation engine next.</t>
  </si>
  <si>
    <t>Tests are evidence, not the product. The harness still cannot score candidates.</t>
  </si>
  <si>
    <t>0.3 → 1.1</t>
  </si>
  <si>
    <t>25 tests; architecture checkpoint</t>
  </si>
  <si>
    <t>Reopen validator work only when engine work exposes a real defect.</t>
  </si>
  <si>
    <t>D-007</t>
  </si>
  <si>
    <t>MVP uses JSON candidate artifacts and deterministic checks only.</t>
  </si>
  <si>
    <t>Constrains scope while proving the complete evaluation loop.</t>
  </si>
  <si>
    <t>1–5</t>
  </si>
  <si>
    <t>MVP definition</t>
  </si>
  <si>
    <t>Revisit after v0.1.0.</t>
  </si>
  <si>
    <t>D-008</t>
  </si>
  <si>
    <t>Defer OpenClaw, multimodal, APIs, databases, observability, and RL.</t>
  </si>
  <si>
    <t>These are expansion capabilities and should not block the first useful harness.</t>
  </si>
  <si>
    <t>Expansion</t>
  </si>
  <si>
    <t>Select next expansion only after Gate 6.</t>
  </si>
  <si>
    <t>D-009</t>
  </si>
  <si>
    <t>Adopt the Mechanical Engineering Workflow Assurance Platform as the strategic product direction; the current harness is its evaluation kernel.</t>
  </si>
  <si>
    <t>Drawing, document-package, calculation, QA/QC, cross-document, standards, redline, and agent workflows all depend on the same independent evaluation and evidence layer.</t>
  </si>
  <si>
    <t>All / Expansion</t>
  </si>
  <si>
    <t>Product Vision sheet; AI Context; project discussion</t>
  </si>
  <si>
    <t>Revisit after Gate 6 or if a concrete MVP interface conflict appears.</t>
  </si>
  <si>
    <t>D-010</t>
  </si>
  <si>
    <t>Keep candidate and result contracts runtime-agnostic and extensible without implementing deferred capabilities.</t>
  </si>
  <si>
    <t>A stable envelope lets human, direct-model, scripted, multimodal, and agent outputs use the same evaluator while preventing current scope creep.</t>
  </si>
  <si>
    <t>1.1; 2.2; Expansion</t>
  </si>
  <si>
    <t>Product Vision; updated WBS acceptance criteria</t>
  </si>
  <si>
    <t>Revisit only when implementation evidence shows the envelope is too broad or too narrow.</t>
  </si>
  <si>
    <t>Risk and Issue Register</t>
  </si>
  <si>
    <t>Description</t>
  </si>
  <si>
    <t>Probability</t>
  </si>
  <si>
    <t>Impact</t>
  </si>
  <si>
    <t>Owner</t>
  </si>
  <si>
    <t>Mitigation / Action</t>
  </si>
  <si>
    <t>Review Date</t>
  </si>
  <si>
    <t>R-001</t>
  </si>
  <si>
    <t>Risk</t>
  </si>
  <si>
    <t>Planning and documentation replace implementation.</t>
  </si>
  <si>
    <t>High</t>
  </si>
  <si>
    <t>Jason</t>
  </si>
  <si>
    <t>Require every work block to advance a WBS deliverable; no new planning artifact without a direct control need.</t>
  </si>
  <si>
    <t>Open</t>
  </si>
  <si>
    <t>Primary process risk identified during July 4 checkpoint.</t>
  </si>
  <si>
    <t>R-002</t>
  </si>
  <si>
    <t>Overbuilding tests and software-learning exercises delays MVP.</t>
  </si>
  <si>
    <t>Stop one-test branches; add only capability-level tests and reuse fixtures when it reduces real duplication.</t>
  </si>
  <si>
    <t>Mitigating</t>
  </si>
  <si>
    <t>25 tests already provide a useful validator baseline.</t>
  </si>
  <si>
    <t>R-003</t>
  </si>
  <si>
    <t>Engineering references or tolerances are wrong despite valid schemas.</t>
  </si>
  <si>
    <t>Medium</t>
  </si>
  <si>
    <t>Independently verify seed cases and use a human-review checklist before benchmark admission.</t>
  </si>
  <si>
    <t>WBS 3.1.</t>
  </si>
  <si>
    <t>R-004</t>
  </si>
  <si>
    <t>Scope expands into drawings, standards/GD&amp;T, agent runtimes, multimodal parsing, APIs, observability, or RL before the core evaluator exists.</t>
  </si>
  <si>
    <t>Record the platform vision in Product Vision and Expansion Backlog, preserve only necessary interface extension points, and pull implementation forward only through a recorded gate decision.</t>
  </si>
  <si>
    <t>The strategic direction is retained, but all non-MVP capabilities remain deferred.</t>
  </si>
  <si>
    <t>R-005</t>
  </si>
  <si>
    <t>AI-generated code is accepted without understanding interfaces or failure modes.</t>
  </si>
  <si>
    <t>Use short architecture briefings, review inputs/outputs, inspect evidence, and require acceptance tests.</t>
  </si>
  <si>
    <t>Delegate syntax, retain architectural ownership.</t>
  </si>
  <si>
    <t>R-006</t>
  </si>
  <si>
    <t>Confidential Outlier or employer information enters the public portfolio.</t>
  </si>
  <si>
    <t>Low</t>
  </si>
  <si>
    <t>Use only synthetic, public, self-authored, or authorized content; review artifacts before commit.</t>
  </si>
  <si>
    <t>Non-negotiable data boundary.</t>
  </si>
  <si>
    <t>I-001</t>
  </si>
  <si>
    <t>Issue</t>
  </si>
  <si>
    <t>Actual duration for July 4 PR #3–#5 work was not recorded.</t>
  </si>
  <si>
    <t>N/A</t>
  </si>
  <si>
    <t>Actuals entered in Work Block Log; formula-driven summaries recalculated.</t>
  </si>
  <si>
    <t>Closed</t>
  </si>
  <si>
    <t>Resolved from the confirmed July 4 timeline: WB-004 = 1.53 h and WB-005 = 1.33 h.</t>
  </si>
  <si>
    <t>I-002</t>
  </si>
  <si>
    <t>Architecture document update is prepared but not yet confirmed committed.</t>
  </si>
  <si>
    <t>Commit docs/architecture.md with the rebaselined workbook.</t>
  </si>
  <si>
    <t>Resolved by commit c71676d on 2026-07-04.</t>
  </si>
  <si>
    <t>Artifact and Evidence Register</t>
  </si>
  <si>
    <t>Evidence ID</t>
  </si>
  <si>
    <t>Location / Commit</t>
  </si>
  <si>
    <t>Acceptance Supported</t>
  </si>
  <si>
    <t>EV-001</t>
  </si>
  <si>
    <t>Python 3.14.2 virtual environment and repository commissioning verified.</t>
  </si>
  <si>
    <t>Environment</t>
  </si>
  <si>
    <t>Local repository</t>
  </si>
  <si>
    <t>Environment baseline</t>
  </si>
  <si>
    <t>Accepted</t>
  </si>
  <si>
    <t>Starter repository operational.</t>
  </si>
  <si>
    <t>EV-002</t>
  </si>
  <si>
    <t>First controlled feature/PR cycle and unknown-case regression.</t>
  </si>
  <si>
    <t>Git / Test</t>
  </si>
  <si>
    <t>PR #1; merge 29f4879</t>
  </si>
  <si>
    <t>Git baseline; controlled errors</t>
  </si>
  <si>
    <t>20 tests passed.</t>
  </si>
  <si>
    <t>EV-003</t>
  </si>
  <si>
    <t>Targeted load_case_by_id and CLI inspect decoupling.</t>
  </si>
  <si>
    <t>Code / Test</t>
  </si>
  <si>
    <t>PR #2; merge 84ae42e</t>
  </si>
  <si>
    <t>Targeted case loading</t>
  </si>
  <si>
    <t>22 tests passed.</t>
  </si>
  <si>
    <t>EV-004</t>
  </si>
  <si>
    <t>Inspect case isolation regression.</t>
  </si>
  <si>
    <t>Test</t>
  </si>
  <si>
    <t>PR #3; merge 90ead34</t>
  </si>
  <si>
    <t>Unrelated invalid case does not block inspect</t>
  </si>
  <si>
    <t>23 tests passed.</t>
  </si>
  <si>
    <t>EV-005</t>
  </si>
  <si>
    <t>Evaluator weight-sum seeded-defect test.</t>
  </si>
  <si>
    <t>PR #4; merge 8399f1f</t>
  </si>
  <si>
    <t>Invalid scoring configuration rejected</t>
  </si>
  <si>
    <t>24 tests passed.</t>
  </si>
  <si>
    <t>EV-006</t>
  </si>
  <si>
    <t>Missing input-asset seeded-defect test.</t>
  </si>
  <si>
    <t>PR #5; merge 0205c60</t>
  </si>
  <si>
    <t>Missing declared assets rejected</t>
  </si>
  <si>
    <t>25 tests passed.</t>
  </si>
  <si>
    <t>EV-007</t>
  </si>
  <si>
    <t>Architecture checkpoint draft defines current layers, implemented state, and next milestone.</t>
  </si>
  <si>
    <t>Documentation</t>
  </si>
  <si>
    <t>Architecture understanding</t>
  </si>
  <si>
    <t>Committed in c71676d.</t>
  </si>
  <si>
    <t>EV-008</t>
  </si>
  <si>
    <t>Aggressive 8-week MVP rebaseline and control registers.</t>
  </si>
  <si>
    <t>Control baseline</t>
  </si>
  <si>
    <t>Committed in c71676d and adopted as the controlling project workbook.</t>
  </si>
  <si>
    <t>EV-009</t>
  </si>
  <si>
    <t>Architecture and MVP control baseline committed and pushed with a clean main branch.</t>
  </si>
  <si>
    <t>Git / Project control</t>
  </si>
  <si>
    <t>c71676d</t>
  </si>
  <si>
    <t>Repository main and origin/main synchronized.</t>
  </si>
  <si>
    <t>EV-010</t>
  </si>
  <si>
    <t>0.2 / All</t>
  </si>
  <si>
    <t>Strategic product vision, architecture invariants, future capability ladder, commercial workflow hypothesis, and MVP guardrails recorded in the controlling workbook.</t>
  </si>
  <si>
    <t>Project control / Architecture</t>
  </si>
  <si>
    <t>gantt_updated_2026-07-05.xlsx — Product Vision, AI Context, Decision Register</t>
  </si>
  <si>
    <t>Long-term direction retained without changing MVP baseline</t>
  </si>
  <si>
    <t>No actual work hours added because duration was not explicitly provided.</t>
  </si>
  <si>
    <t>Post-MVP Expansion Backlog — Not Part of the Controlling MVP Baseline</t>
  </si>
  <si>
    <t>These capabilities preserve the twelve-month strategy without allowing it to delay the first useful product. Select expansion work only after Gate 6 and a recorded decision.</t>
  </si>
  <si>
    <t>Theme</t>
  </si>
  <si>
    <t>Deferred Capability</t>
  </si>
  <si>
    <t>Why Deferred</t>
  </si>
  <si>
    <t>Entry Criteria</t>
  </si>
  <si>
    <t>Priority</t>
  </si>
  <si>
    <t>Rough Hours</t>
  </si>
  <si>
    <t>Source Phase</t>
  </si>
  <si>
    <t>X-01</t>
  </si>
  <si>
    <t>Benchmark scale</t>
  </si>
  <si>
    <t>Expand from 5 to 20+ cases</t>
  </si>
  <si>
    <t>MVP needs proof of flow before breadth.</t>
  </si>
  <si>
    <t>MVP benchmark stable and case authoring template proven.</t>
  </si>
  <si>
    <t>Next</t>
  </si>
  <si>
    <t>30</t>
  </si>
  <si>
    <t>Case Foundation / Evaluation Engine</t>
  </si>
  <si>
    <t>Deferred</t>
  </si>
  <si>
    <t>X-02</t>
  </si>
  <si>
    <t>Multimodal</t>
  </si>
  <si>
    <t>Drawing/document assurance: PDFs, vector drawings, tables, images, and later native CAD metadata; structured findings and redline verification</t>
  </si>
  <si>
    <t>Adds parsing, vision, symbol/entity extraction, heterogeneous artifacts, and location-aware evidence.</t>
  </si>
  <si>
    <t>JSON evaluator stable; one high-value drawing/document workflow selected; deterministic ground truth available.</t>
  </si>
  <si>
    <t>50</t>
  </si>
  <si>
    <t>X-03</t>
  </si>
  <si>
    <t>Agent runtime</t>
  </si>
  <si>
    <t>Bounded engineering-review agent runtime, trace capture, proposed redlines/corrections, re-evaluation, and human approval routing</t>
  </si>
  <si>
    <t>Agent execution is not required to prove evaluator correctness and adds permissions, tools, state, and safety controls.</t>
  </si>
  <si>
    <t>MVP released; sandbox, least-privilege plan, trace schema, and artifact evaluator approved.</t>
  </si>
  <si>
    <t>45</t>
  </si>
  <si>
    <t>OpenClaw</t>
  </si>
  <si>
    <t>X-04</t>
  </si>
  <si>
    <t>Process evaluation</t>
  </si>
  <si>
    <t>Trajectory schema and process-quality scoring for retrieval, file/tool use, revision selection, verification, correction, and efficiency</t>
  </si>
  <si>
    <t>Requires real agent traces and calibrated process criteria separate from final artifact quality.</t>
  </si>
  <si>
    <t>At least 10 preserved agent runs exist across representative success and failure modes.</t>
  </si>
  <si>
    <t>OpenClaw / RL</t>
  </si>
  <si>
    <t>X-05</t>
  </si>
  <si>
    <t>Comparative study</t>
  </si>
  <si>
    <t>Compare OpenClaw, direct model, and another harness</t>
  </si>
  <si>
    <t>Meaningful only after identical-task evaluator is stable.</t>
  </si>
  <si>
    <t>Two runtimes integrated on same cases.</t>
  </si>
  <si>
    <t>Comparative Harness</t>
  </si>
  <si>
    <t>X-06</t>
  </si>
  <si>
    <t>Observability</t>
  </si>
  <si>
    <t>Latency, cost, token, trace, and session dashboards</t>
  </si>
  <si>
    <t>Useful after repeatable runs exist.</t>
  </si>
  <si>
    <t>Result and trace schemas stable; multiple runs available.</t>
  </si>
  <si>
    <t>25</t>
  </si>
  <si>
    <t>X-07</t>
  </si>
  <si>
    <t>API and storage</t>
  </si>
  <si>
    <t>FastAPI plus SQLite/PostgreSQL result service</t>
  </si>
  <si>
    <t>CLI and files are sufficient for MVP.</t>
  </si>
  <si>
    <t>Local result contract stable and external consumer identified.</t>
  </si>
  <si>
    <t>35</t>
  </si>
  <si>
    <t>Deployment</t>
  </si>
  <si>
    <t>X-08</t>
  </si>
  <si>
    <t>RAG</t>
  </si>
  <si>
    <t>Public engineering corpus and grounding evaluation</t>
  </si>
  <si>
    <t>Separate workflow and data problem.</t>
  </si>
  <si>
    <t>Core evaluator stable; corpus and retrieval success criteria defined.</t>
  </si>
  <si>
    <t>X-09</t>
  </si>
  <si>
    <t>Docker and hosted demo</t>
  </si>
  <si>
    <t>Local reproducibility is enough for first portfolio release.</t>
  </si>
  <si>
    <t>MVP stable; hosted access has clear job-market value.</t>
  </si>
  <si>
    <t>X-10</t>
  </si>
  <si>
    <t>Governance</t>
  </si>
  <si>
    <t>System card, risk register, data policy, incident playbook</t>
  </si>
  <si>
    <t>Full governance pack is excessive before a working system.</t>
  </si>
  <si>
    <t>MVP behaviour and risks are evidenced.</t>
  </si>
  <si>
    <t>20</t>
  </si>
  <si>
    <t>X-11</t>
  </si>
  <si>
    <t>Adaptation</t>
  </si>
  <si>
    <t>Offline process-reward dataset and calibration</t>
  </si>
  <si>
    <t>Requires traces, labels, and evaluator stability.</t>
  </si>
  <si>
    <t>Process evaluation dataset exists.</t>
  </si>
  <si>
    <t>40</t>
  </si>
  <si>
    <t>OpenClaw-RL / RLAnything</t>
  </si>
  <si>
    <t>X-12</t>
  </si>
  <si>
    <t>RL research</t>
  </si>
  <si>
    <t>LoRA or selected agentic-RL experiments</t>
  </si>
  <si>
    <t>High compute and dependency burden; weak early portfolio ROI.</t>
  </si>
  <si>
    <t>Python/PyTorch/statistics competence and calibrated reward system exist.</t>
  </si>
  <si>
    <t>80+</t>
  </si>
  <si>
    <t>X-13</t>
  </si>
  <si>
    <t>Cross-document assurance</t>
  </si>
  <si>
    <t>Drawing↔BOM↔data sheet↔specification↔revision-register consistency checks</t>
  </si>
  <si>
    <t>Requires controlled identifiers, source mappings, and multiple artifact adapters.</t>
  </si>
  <si>
    <t>Structured document assurance works on one source type; mappings and ground truth are reviewed.</t>
  </si>
  <si>
    <t>Workflow Assurance</t>
  </si>
  <si>
    <t>X-14</t>
  </si>
  <si>
    <t>Standards / GD&amp;T</t>
  </si>
  <si>
    <t>ISO/company drafting-rule checks and bounded GD&amp;T proposal, syntax, consistency, manufacturability, and inspection assurance</t>
  </si>
  <si>
    <t>Functional design intent, licensed standards access, and human engineering review are required.</t>
  </si>
  <si>
    <t>Multimodal drawing extraction is reliable; controlled standards corpus and calibrated cases exist.</t>
  </si>
  <si>
    <t>60</t>
  </si>
  <si>
    <t>Drawing Assurance</t>
  </si>
  <si>
    <t>X-15</t>
  </si>
  <si>
    <t>Commercial workflow</t>
  </si>
  <si>
    <t>Pre-release engineered-to-order package assurance across drawings, BOMs, calculations, specifications, vendor data, and revision history</t>
  </si>
  <si>
    <t>High integration and liability burden; should follow narrower validated pilots.</t>
  </si>
  <si>
    <t>At least two narrower workflows show repeatable customer value, controlled false-negative risk, and human release gates.</t>
  </si>
  <si>
    <t>Platform Integration</t>
  </si>
  <si>
    <t>AI Project Context — Read at the Start of Every Work Block</t>
  </si>
  <si>
    <t>This sheet is a compact machine-readable and human-readable handoff. Read Product Vision for the strategic direction; controlling operational detail remains in Detailed Gantt, Work Block Log, Decision Register, Risks &amp; Issues, and Evidence Register.</t>
  </si>
  <si>
    <t>Current State</t>
  </si>
  <si>
    <t>Last updated</t>
  </si>
  <si>
    <t>2026-07-05</t>
  </si>
  <si>
    <t>2026-08-23</t>
  </si>
  <si>
    <t>Planned hours</t>
  </si>
  <si>
    <t>76</t>
  </si>
  <si>
    <t>Repository state</t>
  </si>
  <si>
    <t>main @ c71676d</t>
  </si>
  <si>
    <t>Tests</t>
  </si>
  <si>
    <t>25 passing</t>
  </si>
  <si>
    <t>Seed cases</t>
  </si>
  <si>
    <t>MECH-001 to MECH-003</t>
  </si>
  <si>
    <t>PRs merged</t>
  </si>
  <si>
    <t>#1 to #5</t>
  </si>
  <si>
    <t>Current capability</t>
  </si>
  <si>
    <t>Validated case-definition layer with CLI validate/list/inspect.</t>
  </si>
  <si>
    <t>Not implemented</t>
  </si>
  <si>
    <t>Candidate scoring, gates/checks, result records, benchmark, CI, demo.</t>
  </si>
  <si>
    <t>Next WBS</t>
  </si>
  <si>
    <t>Immediate next action</t>
  </si>
  <si>
    <t>Next work block: create feature/candidate-artifact-contract; define the minimal extensible candidate envelope and MECH-002 payload; implement controlled missing/malformed/invalid-structure errors.</t>
  </si>
  <si>
    <t>Do not do next</t>
  </si>
  <si>
    <t>More isolated validator tests, API/database, PDF/CAD parsing, redlining, standards/GD&amp;T, multimodal, OpenClaw/agents, observability, deployment, or RL.</t>
  </si>
  <si>
    <t>MVP interface</t>
  </si>
  <si>
    <t>CLI</t>
  </si>
  <si>
    <t>Candidate type</t>
  </si>
  <si>
    <t>JSON</t>
  </si>
  <si>
    <t>Strategic direction</t>
  </si>
  <si>
    <t>Mechanical Engineering Workflow Assurance Platform; current harness is its evaluation kernel.</t>
  </si>
  <si>
    <t>Future scope</t>
  </si>
  <si>
    <t>Drawing/document/package assurance, cross-document consistency, redlining, standards/GD&amp;T assistance, and bounded agents.</t>
  </si>
  <si>
    <t>Scope control</t>
  </si>
  <si>
    <t>Preserve interfaces now; do not implement deferred capabilities before Gate 6.</t>
  </si>
  <si>
    <t>Vision source</t>
  </si>
  <si>
    <t>Product Vision; D-009; D-010</t>
  </si>
  <si>
    <t>Required Start-of-Block Protocol</t>
  </si>
  <si>
    <t>Required End-of-Block Protocol</t>
  </si>
  <si>
    <t>Read Start Here and the current/next rows in Detailed Gantt.</t>
  </si>
  <si>
    <t>Add one Work Block Log row with actual hours only if known.</t>
  </si>
  <si>
    <t>Read the last three Work Block Log rows.</t>
  </si>
  <si>
    <t>Update Detailed Gantt status, percent complete, evidence, notes, and next action.</t>
  </si>
  <si>
    <t>Check open decisions, risks/issues, and pending evidence.</t>
  </si>
  <si>
    <t>Add or update Evidence Register entries.</t>
  </si>
  <si>
    <t>State the active WBS, objective, expected duration, and definition of done.</t>
  </si>
  <si>
    <t>Record material decisions, blockers, risks, or scope changes.</t>
  </si>
  <si>
    <t>Reject work that does not directly advance the MVP unless a recorded decision changes scope.</t>
  </si>
  <si>
    <t>Confirm branch/commit/test state and identify the exact next action.</t>
  </si>
  <si>
    <t>Architecture and Product Boundaries</t>
  </si>
  <si>
    <t>MVP Definition of Done</t>
  </si>
  <si>
    <t>Task</t>
  </si>
  <si>
    <t>Instructions, inputs, deliverable, constraints, evaluation intent.</t>
  </si>
  <si>
    <t>Valid engineering cases and candidate JSON artifacts.</t>
  </si>
  <si>
    <t>Agent</t>
  </si>
  <si>
    <t>Direct model, OpenClaw, another harness, or human-created candidate.</t>
  </si>
  <si>
    <t>Mandatory gates and deterministic checks.</t>
  </si>
  <si>
    <t>Files, tools, permissions, shell/GUI conditions.</t>
  </si>
  <si>
    <t>Weighted score, pass/fail, failure modes, and evidence.</t>
  </si>
  <si>
    <t>Trace / Artifacts</t>
  </si>
  <si>
    <t>Actions, tool calls, state changes, errors, corrections, outputs.</t>
  </si>
  <si>
    <t>evaluate CLI command with stable exit codes.</t>
  </si>
  <si>
    <t>Evaluator</t>
  </si>
  <si>
    <t>Gates, deterministic checks, tolerances, scoring, failure evidence.</t>
  </si>
  <si>
    <t>Immutable structured result records.</t>
  </si>
  <si>
    <t>Results</t>
  </si>
  <si>
    <t>Immutable score, pass/fail, evidence, versions, artifact locations.</t>
  </si>
  <si>
    <t>Five reviewed cases with at least one held-out case.</t>
  </si>
  <si>
    <t>Separation rule</t>
  </si>
  <si>
    <t>Case definitions are versioned benchmark inputs; run data is generated evidence. Do not mix them.</t>
  </si>
  <si>
    <t>Small reproducible benchmark and representative failure summary.</t>
  </si>
  <si>
    <t>Engineering boundary</t>
  </si>
  <si>
    <t>No engineering sign-off, stamped deliverables, autonomous release, or final safety-critical decisions.</t>
  </si>
  <si>
    <t>CI, README, architecture docs, one portfolio demo, and v0.1.0 tag.</t>
  </si>
  <si>
    <t>Current Evidence and Known Gaps</t>
  </si>
  <si>
    <t>PR #1–#5 merged; 25 tests pass; seed cases validate; targeted inspect and key validator defects covered.</t>
  </si>
  <si>
    <t>Gap</t>
  </si>
  <si>
    <t>No candidate evaluation engine exists.</t>
  </si>
  <si>
    <t>Response</t>
  </si>
  <si>
    <t>Build WBS 1.1–1.5 next.</t>
  </si>
  <si>
    <t>Architecture and controlling Gantt workbook committed in c71676d.</t>
  </si>
  <si>
    <t>No open commit gap.</t>
  </si>
  <si>
    <t>Begin WBS 1.1 in the next work block.</t>
  </si>
  <si>
    <t>Known logged time is 7.55 hours through WB-006.</t>
  </si>
  <si>
    <t>No known time-entry gap.</t>
  </si>
  <si>
    <t>Record future actuals only when explicitly known.</t>
  </si>
  <si>
    <t>Strategic platform direction is recorded in Product Vision, Decision Register, AI Context, and Expansion Backlog.</t>
  </si>
  <si>
    <t>Post-MVP expansion sequence is intentionally unselected.</t>
  </si>
  <si>
    <t>Select the first expansion only after MVP Gate 6 using customer value and evaluator maturity.</t>
  </si>
  <si>
    <t>Control rule</t>
  </si>
  <si>
    <t>One branch per coherent capability; tests support product.</t>
  </si>
  <si>
    <t>Planning or test-building may displace implementation.</t>
  </si>
  <si>
    <t>Every block must close a WBS deliverable.</t>
  </si>
  <si>
    <t>Strategic Product Direction</t>
  </si>
  <si>
    <t>Current MVP role</t>
  </si>
  <si>
    <t>Evaluation kernel: cases, candidate artifacts, deterministic gates/checks, scoring, evidence, CLI, results, benchmark, and release proof.</t>
  </si>
  <si>
    <t>Future input surface</t>
  </si>
  <si>
    <t>Technical PDFs, drawings, native CAD metadata, calculations, BOMs, data sheets, specifications, QA/QC records, turnover packages, and agent traces.</t>
  </si>
  <si>
    <t>Future output surface</t>
  </si>
  <si>
    <t>Issue registers, evidence-linked findings, redlines, corrected candidates, cross-document discrepancy reports, review packages, and regression results.</t>
  </si>
  <si>
    <t>Highest-value hypothesis</t>
  </si>
  <si>
    <t>Pre-release assurance for engineered-to-order packages to prevent wrong-revision, material, dimension, interface, procurement, fabrication, field, and turnover failures.</t>
  </si>
  <si>
    <t>Architecture invariant</t>
  </si>
  <si>
    <t>The agent remains replaceable and the evaluator independent; task, environment, trace/artifacts, evaluator, and results remain separate.</t>
  </si>
  <si>
    <t>Human-reviewed assistance only. No autonomous engineering release, sign-off, stamping, final code-compliance opinion, or safety-critical control.</t>
  </si>
  <si>
    <t>Immediate implication</t>
  </si>
  <si>
    <t>WBS 1.1 and 2.2 preserve small extension points; all drawing, standards, CAD, and agent implementation remains deferred.</t>
  </si>
  <si>
    <t>MVP Dashboard — Status as of 2026-07-04</t>
  </si>
  <si>
    <t>Key Metrics</t>
  </si>
  <si>
    <t>Current Focus</t>
  </si>
  <si>
    <t>Next Build WBS</t>
  </si>
  <si>
    <t>Known Logged Hours</t>
  </si>
  <si>
    <t>Current product state</t>
  </si>
  <si>
    <t>Validated case-definition layer; no candidate evaluation engine yet.</t>
  </si>
  <si>
    <t>Weighted Progress</t>
  </si>
  <si>
    <t>Next work block: create feature/candidate-artifact-contract and define/load a MECH-002 candidate JSON artifact.</t>
  </si>
  <si>
    <t>Tests Passing</t>
  </si>
  <si>
    <t>Primary risk</t>
  </si>
  <si>
    <t>Planning or test activity displaces implementation.</t>
  </si>
  <si>
    <t>Seed Cases</t>
  </si>
  <si>
    <t>OpenClaw, multimodal, API/database, observability, deployment, governance pack, and RL.</t>
  </si>
  <si>
    <t>Merged PRs</t>
  </si>
  <si>
    <t>Data boundary</t>
  </si>
  <si>
    <t>Public, synthetic, self-authored, or authorized data only.</t>
  </si>
  <si>
    <t>Current Main</t>
  </si>
  <si>
    <t>Phase Progress</t>
  </si>
  <si>
    <t>Next Three Deliverables</t>
  </si>
  <si>
    <t>Deliverable</t>
  </si>
  <si>
    <t>Definition of Done</t>
  </si>
  <si>
    <t>Branch</t>
  </si>
  <si>
    <t>docs/architecture.md and gantt.xlsx committed; Gate 0 evidence accepted.</t>
  </si>
  <si>
    <t>docs/control update</t>
  </si>
  <si>
    <t>Commit + evidence register</t>
  </si>
  <si>
    <t>Candidate artifact contract and loader</t>
  </si>
  <si>
    <t>MECH-002 candidate JSON loads; missing/malformed candidates fail clearly.</t>
  </si>
  <si>
    <t>feature/candidate-artifact-contract</t>
  </si>
  <si>
    <t>Tests + manual load</t>
  </si>
  <si>
    <t>Mandatory gate engine</t>
  </si>
  <si>
    <t>Required gates execute before checks and return structured evidence.</t>
  </si>
  <si>
    <t>feature/gate-engine</t>
  </si>
  <si>
    <t>Engine tests + example artifacts</t>
  </si>
  <si>
    <t>Mechanical Engineering Workflow Assurance Platform — Product Vision</t>
  </si>
  <si>
    <t>The current Mechanical Technical Document Evaluation Harness is the platform’s evaluation kernel. The MVP remains a narrow JSON-first CLI release; future drawing, document, standards, and agent capabilities must build through stable interfaces rather than expanding the MVP.</t>
  </si>
  <si>
    <t>North Star</t>
  </si>
  <si>
    <t>Strategic product</t>
  </si>
  <si>
    <t>Mechanical Engineering Workflow Assurance Platform</t>
  </si>
  <si>
    <t>Current product</t>
  </si>
  <si>
    <t>Mechanical Technical Document Evaluation Harness v0.1 — the deterministic evaluation kernel</t>
  </si>
  <si>
    <t>Purpose</t>
  </si>
  <si>
    <t>Evaluate and assist mechanical engineering document, drawing, calculation, QA/QC, turnover, and agent workflows with traceable evidence.</t>
  </si>
  <si>
    <t>Primary value</t>
  </si>
  <si>
    <t>Reduce review labour, prevent wrong-revision and cross-document errors, catch release defects before procurement, fabrication, field installation, or turnover.</t>
  </si>
  <si>
    <t>Human boundary</t>
  </si>
  <si>
    <t>Outputs are flags, evidence, drafts, proposals, and review packages. Qualified humans retain approval, authentication, engineering sign-off, and final safety-critical decisions.</t>
  </si>
  <si>
    <t>Capability Ladder</t>
  </si>
  <si>
    <t>Level</t>
  </si>
  <si>
    <t>Stage</t>
  </si>
  <si>
    <t>Capability</t>
  </si>
  <si>
    <t>Example Deliverable</t>
  </si>
  <si>
    <t>Economic Value</t>
  </si>
  <si>
    <t>Scope Rule</t>
  </si>
  <si>
    <t>MVP</t>
  </si>
  <si>
    <t>Structured deterministic evaluation kernel</t>
  </si>
  <si>
    <t>CLI score, pass/fail, gates, checks, evidence, immutable result JSON</t>
  </si>
  <si>
    <t>Proves repeatable assurance logic and creates the foundation for every later workflow</t>
  </si>
  <si>
    <t>Current WBS 1.1–5.3</t>
  </si>
  <si>
    <t>Ship before expansion</t>
  </si>
  <si>
    <t>Post-MVP</t>
  </si>
  <si>
    <t>Structured multi-document and package assurance</t>
  </si>
  <si>
    <t>Turnover/package completeness report; revision and field consistency checks</t>
  </si>
  <si>
    <t>Cuts coordinator review time and rejection loops</t>
  </si>
  <si>
    <t>MVP released; one high-value workflow selected</t>
  </si>
  <si>
    <t>Expansion decision after Gate 6</t>
  </si>
  <si>
    <t>Multimodal drawing/document assurance</t>
  </si>
  <si>
    <t>PDF/drawing/table/image findings with page, region, entity, expected, and actual evidence</t>
  </si>
  <si>
    <t>Finds missing dimensions, revision conflicts, annotation defects, and unsupported claims</t>
  </si>
  <si>
    <t>Stable evaluator; controlled parser/vision benchmark</t>
  </si>
  <si>
    <t>Deterministic-first</t>
  </si>
  <si>
    <t>Cross-document consistency</t>
  </si>
  <si>
    <t>Drawing↔BOM↔data sheet↔specification↔revision-register discrepancy report</t>
  </si>
  <si>
    <t>Prevents procurement, fabrication, and field rework caused by inconsistent release packages</t>
  </si>
  <si>
    <t>Common identifiers and source mappings defined</t>
  </si>
  <si>
    <t>Human release gate</t>
  </si>
  <si>
    <t>Bounded agent-assisted review and redlining</t>
  </si>
  <si>
    <t>Agent trace, issue register, proposed redline, corrected candidate, and re-evaluation record</t>
  </si>
  <si>
    <t>Automates repetitive review actions while preserving independent assurance</t>
  </si>
  <si>
    <t>Sandbox, least privilege, trace schema, stable artifact evaluator</t>
  </si>
  <si>
    <t>Evaluator independent of agent runtime</t>
  </si>
  <si>
    <t>Standards and GD&amp;T assistance</t>
  </si>
  <si>
    <t>ISO/company-rule findings; candidate datum scheme and feature-control proposals for review</t>
  </si>
  <si>
    <t>Reduces drafting/checking effort and detects ambiguous, conflicting, or costly tolerancing</t>
  </si>
  <si>
    <t>Controlled standards corpus, functional inputs, calibrated review cases</t>
  </si>
  <si>
    <t>Proposal/assurance only; no autonomous release</t>
  </si>
  <si>
    <t>Commercial target</t>
  </si>
  <si>
    <t>Pre-release engineered-to-order package assurance</t>
  </si>
  <si>
    <t>Integrated hold/release review package across drawings, BOMs, calculations, vendor data, and specifications</t>
  </si>
  <si>
    <t>Avoiding one major wrong-material, revision, dimensional, or interface release can exceed months of development cost</t>
  </si>
  <si>
    <t>Repeated customer evidence and validated false-negative controls</t>
  </si>
  <si>
    <t>Future</t>
  </si>
  <si>
    <t>Productize only after successful pilots</t>
  </si>
  <si>
    <t>Architecture Invariants</t>
  </si>
  <si>
    <t>Task separation</t>
  </si>
  <si>
    <t>Instructions, inputs, deliverable, constraints, and evaluation intent remain independent of the producing system.</t>
  </si>
  <si>
    <t>Replaceable agent</t>
  </si>
  <si>
    <t>OpenClaw, another harness, a direct model, a scripted workflow, or a human may produce the same candidate contract.</t>
  </si>
  <si>
    <t>Controlled environment</t>
  </si>
  <si>
    <t>Files, tools, permissions, shell/GUI state, and destructive/external actions are explicitly bounded and logged.</t>
  </si>
  <si>
    <t>Versioned artifacts</t>
  </si>
  <si>
    <t>Case definitions are benchmark inputs; candidate files, traces, redlines, and result records are generated evidence.</t>
  </si>
  <si>
    <t>Independent evaluator</t>
  </si>
  <si>
    <t>The evaluator does not trust the producing agent and remains executable without that runtime.</t>
  </si>
  <si>
    <t>Evidence-first results</t>
  </si>
  <si>
    <t>Failures support expected/actual values, severity, source references, artifact locations, and reproducible check logic.</t>
  </si>
  <si>
    <t>Use artifact-based checks wherever practical; use narrow evidence-anchored model judges only when no practical deterministic alternative exists.</t>
  </si>
  <si>
    <t>Human approval</t>
  </si>
  <si>
    <t>No engineering sign-off, autonomous release, stamped deliverables, code-compliance opinion, or unreviewed safety-critical control.</t>
  </si>
  <si>
    <t>Highest-Value Future Workflow Hypothesis</t>
  </si>
  <si>
    <t>Workflow</t>
  </si>
  <si>
    <t>Pre-release assurance for engineered-to-order manufacturing, fabrication, skid, equipment, or industrial package releases.</t>
  </si>
  <si>
    <t>Inputs</t>
  </si>
  <si>
    <t>Controlled drawings, 3D/native metadata where available, BOM, calculations, customer specification, vendor data, purchase requirements, revision history, and prior review comments.</t>
  </si>
  <si>
    <t>Agent work</t>
  </si>
  <si>
    <t>Retrieve correct revisions, inspect files/tools, compare requirements, draft redlines, propose corrections, and produce a review package.</t>
  </si>
  <si>
    <t>Evaluator work</t>
  </si>
  <si>
    <t>Enforce file/revision gates; compare identifiers, dimensions, units, materials, quantities, interfaces, and dispositions; preserve check-level evidence.</t>
  </si>
  <si>
    <t>Output</t>
  </si>
  <si>
    <t>Mandatory-hold findings, scored issue register, redlined artifacts, corrected candidate, trace, and human review package.</t>
  </si>
  <si>
    <t>Money mechanism</t>
  </si>
  <si>
    <t>Reduce checking hours and prevent wrong-revision fabrication, incorrect procurement, dimensional clashes, re-machining, field modification, client rejection, schedule delay, and repeat NCRs.</t>
  </si>
  <si>
    <t>Commercial path</t>
  </si>
  <si>
    <t>Start with a fixed-scope pilot and independent acceptance benchmark; productize only after the same workflow succeeds across multiple customers.</t>
  </si>
  <si>
    <t>MVP Scope Guardrail and Immediate Interface Requirements</t>
  </si>
  <si>
    <t>MVP remains</t>
  </si>
  <si>
    <t>JSON candidate loading, mandatory gates, deterministic checks, weighted scoring, failure evidence, CLI, immutable results, five cases, benchmark, CI, docs, and demo.</t>
  </si>
  <si>
    <t>Not in MVP</t>
  </si>
  <si>
    <t>PDF/CAD parsing, drawing redlines, standards databases, GD&amp;T generation, agent runtime integration, APIs, databases, observability, RAG, deployment, reward models, or RL.</t>
  </si>
  <si>
    <t>WBS 1.1 requirement</t>
  </si>
  <si>
    <t>Use a small extensible candidate envelope: schema_version, case_id, candidate_id, artifact_type, artifacts, payload, and optional provenance.</t>
  </si>
  <si>
    <t>WBS 2.2 requirement</t>
  </si>
  <si>
    <t>Result records should permit failure mode/severity, expected/actual evidence, artifact location, source-reference, cost/latency, and regression-status extension points.</t>
  </si>
  <si>
    <t>Change trigger</t>
  </si>
  <si>
    <t>Pull a deferred capability into the baseline only through a recorded decision after the MVP completion gate or when a concrete interface conflict makes it unavoidable.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</si>
</sst>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%"/>
    <numFmt numFmtId="166" formatCode="mmm\ d"/>
    <numFmt numFmtId="167" formatCode="0.0"/>
  </numFmts>
  <fonts count="23">
    <font>
      <sz val="11"/>
      <name val="Carlito"/>
    </font>
    <font>
      <b/>
      <sz val="16"/>
      <color rgb="FFFFFFFF"/>
      <name val="Aptos"/>
    </font>
    <font>
      <b/>
      <sz val="10"/>
      <color rgb="FFFFFFFF"/>
      <name val="Aptos"/>
    </font>
    <font>
      <sz val="10"/>
      <name val="Aptos"/>
    </font>
    <font>
      <b/>
      <sz val="10"/>
      <name val="Aptos"/>
    </font>
    <font>
      <b/>
      <sz val="10"/>
      <color rgb="FF0F172A"/>
      <name val="Aptos"/>
    </font>
    <font>
      <b/>
      <sz val="16"/>
      <name val="Aptos"/>
    </font>
    <font>
      <b/>
      <sz val="16"/>
      <color rgb="FFFFFFFF"/>
      <name val="Carlito"/>
    </font>
    <font>
      <i/>
      <sz val="11"/>
      <name val="Carlito"/>
    </font>
    <font>
      <b/>
      <sz val="11"/>
      <color rgb="FFFFFFFF"/>
      <name val="Carlito"/>
    </font>
    <font>
      <b/>
      <i/>
      <sz val="10"/>
      <color rgb="FF0F172A"/>
      <name val="Aptos"/>
    </font>
    <font>
      <i/>
      <sz val="10"/>
      <name val="Aptos"/>
    </font>
    <font>
      <b/>
      <sz val="12"/>
      <color rgb="FFFFFFFF"/>
      <name val="Aptos"/>
    </font>
    <font>
      <b/>
      <sz val="12"/>
      <color rgb="FFFFFFFF"/>
      <name val="Carlito"/>
    </font>
    <font>
      <b/>
      <sz val="11"/>
      <name val="Carlito"/>
    </font>
    <font>
      <sz val="10"/>
      <color rgb="FF000000"/>
      <name val="Aptos"/>
    </font>
    <font>
      <i/>
      <sz val="10"/>
      <color rgb="FF000000"/>
      <name val="Aptos"/>
    </font>
    <font>
      <i/>
      <sz val="10"/>
      <color rgb="FF595959"/>
      <name val="Carlito"/>
    </font>
    <font>
      <b/>
      <sz val="11"/>
      <color rgb="FF1F1F1F"/>
      <name val="Carlito"/>
    </font>
    <font>
      <sz val="11"/>
      <color rgb="FF1F1F1F"/>
      <name val="Carlito"/>
    </font>
    <font>
      <i/>
      <sz val="10"/>
      <color rgb="FF595959"/>
      <name val="Aptos"/>
    </font>
    <font>
      <b/>
      <sz val="10"/>
      <color rgb="FF1F1F1F"/>
      <name val="Aptos"/>
    </font>
    <font>
      <sz val="10"/>
      <color rgb="FF1F1F1F"/>
      <name val="Aptos"/>
    </font>
  </fonts>
  <fills count="35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334155"/>
      </patternFill>
    </fill>
    <fill>
      <patternFill patternType="solid">
        <fgColor rgb="FFF8FAFC"/>
      </patternFill>
    </fill>
    <fill>
      <patternFill patternType="solid">
        <fgColor rgb="FFE2E8F0"/>
      </patternFill>
    </fill>
    <fill>
      <patternFill patternType="solid">
        <fgColor rgb="FF1E3A5F"/>
      </patternFill>
    </fill>
    <fill>
      <patternFill patternType="solid">
        <fgColor rgb="FF64748B"/>
      </patternFill>
    </fill>
    <fill>
      <patternFill patternType="solid">
        <fgColor rgb="FF2563EB"/>
      </patternFill>
    </fill>
    <fill>
      <patternFill patternType="solid">
        <fgColor rgb="FF0F766E"/>
      </patternFill>
    </fill>
    <fill>
      <patternFill patternType="solid">
        <fgColor rgb="FF7C3AED"/>
      </patternFill>
    </fill>
    <fill>
      <patternFill patternType="solid">
        <fgColor rgb="FFD97706"/>
      </patternFill>
    </fill>
    <fill>
      <patternFill patternType="solid">
        <fgColor rgb="FFB91C1C"/>
      </patternFill>
    </fill>
    <fill>
      <patternFill patternType="solid">
        <fgColor rgb="FF0891B2"/>
      </patternFill>
    </fill>
    <fill>
      <patternFill patternType="solid">
        <fgColor rgb="FF15803D"/>
      </patternFill>
    </fill>
    <fill>
      <patternFill patternType="solid">
        <fgColor rgb="FFF59E0B"/>
      </patternFill>
    </fill>
    <fill>
      <patternFill patternType="solid">
        <fgColor rgb="FFFFF7ED"/>
      </patternFill>
    </fill>
    <fill>
      <patternFill patternType="solid">
        <fgColor rgb="FF203864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D9E1F2"/>
      </patternFill>
    </fill>
    <fill>
      <patternFill patternType="solid">
        <fgColor rgb="FF7F8C8D"/>
      </patternFill>
    </fill>
    <fill>
      <patternFill patternType="solid">
        <fgColor rgb="FFEAF3F8"/>
      </patternFill>
    </fill>
    <fill>
      <patternFill patternType="solid">
        <fgColor rgb="FF2F75B5"/>
      </patternFill>
    </fill>
    <fill>
      <patternFill patternType="solid">
        <fgColor rgb="FF0F766E"/>
      </patternFill>
    </fill>
    <fill>
      <patternFill patternType="solid">
        <fgColor rgb="FF8064A2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F3F6F9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2E75B6"/>
      </patternFill>
    </fill>
    <fill>
      <patternFill patternType="solid">
        <fgColor rgb="FFD9E2F3"/>
      </patternFill>
    </fill>
    <fill>
      <patternFill patternType="solid">
        <fgColor rgb="FFEAF2F8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/>
      <diagonal/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</borders>
  <cellStyleXfs count="1">
    <xf numFmtId="0" fontId="0" fillId="0" borderId="0"/>
  </cellStyleXfs>
  <cellXfs count="249">
    <xf numFmtId="0" fontId="0" fillId="0" borderId="0" xfId="0"/>
    <xf numFmtId="0" fontId="3" fillId="0" borderId="0" xfId="0" applyFont="1"/>
    <xf numFmtId="0" fontId="2" fillId="3" borderId="0" xfId="0" applyFont="1" applyFill="1" applyAlignment="1">
      <alignment vertical="center"/>
    </xf>
    <xf numFmtId="0" fontId="3" fillId="0" borderId="0" xfId="0" applyFont="1" applyAlignment="1">
      <alignment vertical="top" wrapText="1"/>
    </xf>
    <xf numFmtId="0" fontId="2" fillId="6" borderId="0" xfId="0" applyFont="1" applyFill="1" applyAlignment="1">
      <alignment horizontal="center" vertical="center" wrapText="1"/>
    </xf>
    <xf numFmtId="0" fontId="3" fillId="0" borderId="10" xfId="0" applyFont="1" applyBorder="1" applyAlignment="1">
      <alignment vertical="top" wrapText="1"/>
    </xf>
    <xf numFmtId="0" fontId="3" fillId="0" borderId="11" xfId="0" applyFont="1" applyBorder="1" applyAlignment="1">
      <alignment vertical="top" wrapText="1"/>
    </xf>
    <xf numFmtId="164" fontId="3" fillId="0" borderId="11" xfId="0" applyNumberFormat="1" applyFont="1" applyBorder="1" applyAlignment="1">
      <alignment vertical="top" wrapText="1"/>
    </xf>
    <xf numFmtId="0" fontId="3" fillId="0" borderId="12" xfId="0" applyFont="1" applyBorder="1" applyAlignment="1">
      <alignment vertical="top" wrapText="1"/>
    </xf>
    <xf numFmtId="0" fontId="2" fillId="7" borderId="13" xfId="0" applyFont="1" applyFill="1" applyBorder="1" applyAlignment="1">
      <alignment horizontal="center"/>
    </xf>
    <xf numFmtId="0" fontId="3" fillId="4" borderId="13" xfId="0" applyFont="1" applyFill="1" applyBorder="1"/>
    <xf numFmtId="0" fontId="2" fillId="10" borderId="11" xfId="0" applyFont="1" applyFill="1" applyBorder="1" applyAlignment="1">
      <alignment vertical="top" wrapText="1"/>
    </xf>
    <xf numFmtId="0" fontId="2" fillId="11" borderId="11" xfId="0" applyFont="1" applyFill="1" applyBorder="1" applyAlignment="1">
      <alignment vertical="top" wrapText="1"/>
    </xf>
    <xf numFmtId="0" fontId="2" fillId="12" borderId="11" xfId="0" applyFont="1" applyFill="1" applyBorder="1" applyAlignment="1">
      <alignment vertical="top" wrapText="1"/>
    </xf>
    <xf numFmtId="0" fontId="2" fillId="12" borderId="13" xfId="0" applyFont="1" applyFill="1" applyBorder="1" applyAlignment="1">
      <alignment horizontal="center"/>
    </xf>
    <xf numFmtId="0" fontId="2" fillId="13" borderId="11" xfId="0" applyFont="1" applyFill="1" applyBorder="1" applyAlignment="1">
      <alignment vertical="top" wrapText="1"/>
    </xf>
    <xf numFmtId="0" fontId="2" fillId="13" borderId="13" xfId="0" applyFont="1" applyFill="1" applyBorder="1" applyAlignment="1">
      <alignment horizontal="center"/>
    </xf>
    <xf numFmtId="0" fontId="2" fillId="14" borderId="11" xfId="0" applyFont="1" applyFill="1" applyBorder="1" applyAlignment="1">
      <alignment vertical="top" wrapText="1"/>
    </xf>
    <xf numFmtId="0" fontId="2" fillId="14" borderId="13" xfId="0" applyFont="1" applyFill="1" applyBorder="1" applyAlignment="1">
      <alignment horizontal="center"/>
    </xf>
    <xf numFmtId="0" fontId="2" fillId="2" borderId="11" xfId="0" applyFont="1" applyFill="1" applyBorder="1"/>
    <xf numFmtId="9" fontId="2" fillId="2" borderId="11" xfId="0" applyNumberFormat="1" applyFont="1" applyFill="1" applyBorder="1"/>
    <xf numFmtId="0" fontId="2" fillId="2" borderId="12" xfId="0" applyFont="1" applyFill="1" applyBorder="1"/>
    <xf numFmtId="166" fontId="5" fillId="5" borderId="0" xfId="0" applyNumberFormat="1" applyFont="1" applyFill="1" applyAlignment="1">
      <alignment horizontal="center" vertical="center" wrapText="1"/>
    </xf>
    <xf numFmtId="0" fontId="3" fillId="0" borderId="11" xfId="0" applyFont="1" applyBorder="1" applyAlignment="1">
      <alignment horizontal="center" vertical="top" wrapText="1"/>
    </xf>
    <xf numFmtId="164" fontId="3" fillId="0" borderId="11" xfId="0" applyNumberFormat="1" applyFont="1" applyBorder="1" applyAlignment="1">
      <alignment horizontal="center" vertical="top" wrapText="1"/>
    </xf>
    <xf numFmtId="9" fontId="3" fillId="0" borderId="11" xfId="0" applyNumberFormat="1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0" fontId="2" fillId="7" borderId="12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2" fillId="7" borderId="11" xfId="0" applyFont="1" applyFill="1" applyBorder="1" applyAlignment="1">
      <alignment horizontal="center" vertical="center"/>
    </xf>
    <xf numFmtId="0" fontId="2" fillId="9" borderId="13" xfId="0" applyFont="1" applyFill="1" applyBorder="1" applyAlignment="1">
      <alignment horizontal="center" vertical="center"/>
    </xf>
    <xf numFmtId="0" fontId="2" fillId="9" borderId="10" xfId="0" applyFont="1" applyFill="1" applyBorder="1" applyAlignment="1">
      <alignment horizontal="center" vertical="center"/>
    </xf>
    <xf numFmtId="0" fontId="2" fillId="9" borderId="12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2" fillId="10" borderId="12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0" fontId="2" fillId="11" borderId="13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2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2" fillId="12" borderId="13" xfId="0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" fillId="12" borderId="12" xfId="0" applyFont="1" applyFill="1" applyBorder="1" applyAlignment="1">
      <alignment horizontal="center" vertical="center"/>
    </xf>
    <xf numFmtId="0" fontId="2" fillId="13" borderId="13" xfId="0" applyFont="1" applyFill="1" applyBorder="1" applyAlignment="1">
      <alignment horizontal="center" vertical="center"/>
    </xf>
    <xf numFmtId="0" fontId="2" fillId="13" borderId="10" xfId="0" applyFont="1" applyFill="1" applyBorder="1" applyAlignment="1">
      <alignment horizontal="center" vertical="center"/>
    </xf>
    <xf numFmtId="0" fontId="2" fillId="13" borderId="12" xfId="0" applyFont="1" applyFill="1" applyBorder="1" applyAlignment="1">
      <alignment horizontal="center" vertical="center"/>
    </xf>
    <xf numFmtId="0" fontId="2" fillId="14" borderId="13" xfId="0" applyFont="1" applyFill="1" applyBorder="1" applyAlignment="1">
      <alignment horizontal="center" vertical="center"/>
    </xf>
    <xf numFmtId="0" fontId="2" fillId="14" borderId="10" xfId="0" applyFont="1" applyFill="1" applyBorder="1" applyAlignment="1">
      <alignment horizontal="center" vertical="center"/>
    </xf>
    <xf numFmtId="0" fontId="2" fillId="14" borderId="12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10" xfId="0" applyFont="1" applyBorder="1" applyAlignment="1">
      <alignment wrapText="1"/>
    </xf>
    <xf numFmtId="164" fontId="3" fillId="0" borderId="11" xfId="0" applyNumberFormat="1" applyFont="1" applyBorder="1" applyAlignment="1">
      <alignment wrapText="1"/>
    </xf>
    <xf numFmtId="0" fontId="3" fillId="0" borderId="11" xfId="0" applyFont="1" applyBorder="1" applyAlignment="1">
      <alignment wrapText="1"/>
    </xf>
    <xf numFmtId="0" fontId="3" fillId="0" borderId="12" xfId="0" applyFont="1" applyBorder="1" applyAlignment="1">
      <alignment wrapText="1"/>
    </xf>
    <xf numFmtId="0" fontId="3" fillId="16" borderId="10" xfId="0" applyFont="1" applyFill="1" applyBorder="1" applyAlignment="1">
      <alignment wrapText="1"/>
    </xf>
    <xf numFmtId="164" fontId="3" fillId="16" borderId="11" xfId="0" applyNumberFormat="1" applyFont="1" applyFill="1" applyBorder="1" applyAlignment="1">
      <alignment wrapText="1"/>
    </xf>
    <xf numFmtId="0" fontId="3" fillId="16" borderId="11" xfId="0" applyFont="1" applyFill="1" applyBorder="1" applyAlignment="1">
      <alignment wrapText="1"/>
    </xf>
    <xf numFmtId="0" fontId="3" fillId="16" borderId="12" xfId="0" applyFont="1" applyFill="1" applyBorder="1" applyAlignment="1">
      <alignment wrapText="1"/>
    </xf>
    <xf numFmtId="165" fontId="3" fillId="0" borderId="11" xfId="0" applyNumberFormat="1" applyFont="1" applyBorder="1" applyAlignment="1">
      <alignment wrapText="1"/>
    </xf>
    <xf numFmtId="164" fontId="3" fillId="0" borderId="12" xfId="0" applyNumberFormat="1" applyFont="1" applyBorder="1" applyAlignment="1">
      <alignment wrapText="1"/>
    </xf>
    <xf numFmtId="0" fontId="2" fillId="14" borderId="11" xfId="0" applyFont="1" applyFill="1" applyBorder="1" applyAlignment="1">
      <alignment wrapText="1"/>
    </xf>
    <xf numFmtId="0" fontId="6" fillId="0" borderId="0" xfId="0" applyFont="1"/>
    <xf numFmtId="9" fontId="3" fillId="0" borderId="0" xfId="0" applyNumberFormat="1" applyFont="1" applyAlignment="1">
      <alignment horizontal="center" vertical="top" wrapText="1"/>
    </xf>
    <xf numFmtId="2" fontId="3" fillId="0" borderId="0" xfId="0" applyNumberFormat="1" applyFont="1" applyAlignment="1">
      <alignment horizontal="center" vertical="top" wrapText="1"/>
    </xf>
    <xf numFmtId="2" fontId="3" fillId="0" borderId="0" xfId="0" applyNumberFormat="1" applyFont="1" applyAlignment="1">
      <alignment wrapText="1"/>
    </xf>
    <xf numFmtId="0" fontId="3" fillId="4" borderId="2" xfId="0" applyFont="1" applyFill="1" applyBorder="1" applyAlignment="1">
      <alignment vertical="top" wrapText="1"/>
    </xf>
    <xf numFmtId="0" fontId="3" fillId="4" borderId="3" xfId="0" applyFont="1" applyFill="1" applyBorder="1" applyAlignment="1">
      <alignment vertical="top" wrapText="1"/>
    </xf>
    <xf numFmtId="0" fontId="3" fillId="4" borderId="4" xfId="0" applyFont="1" applyFill="1" applyBorder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3" fillId="4" borderId="6" xfId="0" applyFont="1" applyFill="1" applyBorder="1" applyAlignment="1">
      <alignment vertical="top" wrapText="1"/>
    </xf>
    <xf numFmtId="0" fontId="3" fillId="4" borderId="8" xfId="0" applyFont="1" applyFill="1" applyBorder="1" applyAlignment="1">
      <alignment vertical="top" wrapText="1"/>
    </xf>
    <xf numFmtId="0" fontId="3" fillId="4" borderId="9" xfId="0" applyFont="1" applyFill="1" applyBorder="1" applyAlignment="1">
      <alignment vertical="top" wrapText="1"/>
    </xf>
    <xf numFmtId="0" fontId="1" fillId="2" borderId="0" xfId="0" applyFont="1" applyFill="1" applyAlignment="1">
      <alignment vertical="center"/>
    </xf>
    <xf numFmtId="0" fontId="2" fillId="2" borderId="10" xfId="0" applyFont="1" applyFill="1" applyBorder="1"/>
    <xf numFmtId="0" fontId="0" fillId="0" borderId="0" xfId="0" applyAlignment="1">
      <alignment wrapText="1"/>
    </xf>
    <xf numFmtId="0" fontId="9" fillId="17" borderId="0" xfId="0" applyFont="1" applyFill="1"/>
    <xf numFmtId="0" fontId="9" fillId="17" borderId="0" xfId="0" applyFont="1" applyFill="1" applyAlignment="1">
      <alignment horizontal="center" vertical="center" wrapText="1"/>
    </xf>
    <xf numFmtId="164" fontId="0" fillId="0" borderId="0" xfId="0" applyNumberFormat="1" applyAlignment="1">
      <alignment wrapText="1"/>
    </xf>
    <xf numFmtId="2" fontId="0" fillId="0" borderId="0" xfId="0" applyNumberFormat="1" applyAlignment="1">
      <alignment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2" fontId="0" fillId="0" borderId="0" xfId="0" applyNumberFormat="1" applyAlignment="1">
      <alignment vertical="top" wrapText="1"/>
    </xf>
    <xf numFmtId="0" fontId="2" fillId="17" borderId="0" xfId="0" applyFont="1" applyFill="1" applyAlignment="1">
      <alignment vertical="center"/>
    </xf>
    <xf numFmtId="164" fontId="2" fillId="17" borderId="0" xfId="0" applyNumberFormat="1" applyFont="1" applyFill="1" applyAlignment="1">
      <alignment vertical="center"/>
    </xf>
    <xf numFmtId="0" fontId="2" fillId="17" borderId="0" xfId="0" applyFont="1" applyFill="1" applyAlignment="1">
      <alignment horizontal="center" vertical="center" wrapText="1"/>
    </xf>
    <xf numFmtId="0" fontId="2" fillId="17" borderId="0" xfId="0" applyFont="1" applyFill="1" applyAlignment="1">
      <alignment vertical="top" wrapText="1"/>
    </xf>
    <xf numFmtId="0" fontId="2" fillId="17" borderId="0" xfId="0" applyFont="1" applyFill="1" applyAlignment="1">
      <alignment horizontal="center" vertical="top" wrapText="1"/>
    </xf>
    <xf numFmtId="164" fontId="2" fillId="17" borderId="0" xfId="0" applyNumberFormat="1" applyFont="1" applyFill="1" applyAlignment="1">
      <alignment horizontal="center" vertical="top" wrapText="1"/>
    </xf>
    <xf numFmtId="9" fontId="2" fillId="17" borderId="0" xfId="0" applyNumberFormat="1" applyFont="1" applyFill="1" applyAlignment="1">
      <alignment horizontal="center" vertical="top" wrapText="1"/>
    </xf>
    <xf numFmtId="164" fontId="3" fillId="0" borderId="0" xfId="0" applyNumberFormat="1" applyFont="1" applyAlignment="1">
      <alignment horizontal="center" vertical="top" wrapText="1"/>
    </xf>
    <xf numFmtId="167" fontId="3" fillId="0" borderId="0" xfId="0" applyNumberFormat="1" applyFont="1" applyAlignment="1">
      <alignment horizontal="center" vertical="top" wrapText="1"/>
    </xf>
    <xf numFmtId="167" fontId="2" fillId="17" borderId="0" xfId="0" applyNumberFormat="1" applyFont="1" applyFill="1" applyAlignment="1">
      <alignment horizontal="center" vertical="top" wrapText="1"/>
    </xf>
    <xf numFmtId="2" fontId="2" fillId="17" borderId="0" xfId="0" applyNumberFormat="1" applyFont="1" applyFill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2" fillId="8" borderId="0" xfId="0" applyFont="1" applyFill="1" applyAlignment="1">
      <alignment vertical="top" wrapText="1"/>
    </xf>
    <xf numFmtId="0" fontId="2" fillId="9" borderId="0" xfId="0" applyFont="1" applyFill="1" applyAlignment="1">
      <alignment vertical="top" wrapText="1"/>
    </xf>
    <xf numFmtId="0" fontId="2" fillId="10" borderId="0" xfId="0" applyFont="1" applyFill="1" applyAlignment="1">
      <alignment vertical="top" wrapText="1"/>
    </xf>
    <xf numFmtId="0" fontId="2" fillId="7" borderId="0" xfId="0" applyFont="1" applyFill="1" applyAlignment="1">
      <alignment horizontal="center" vertical="top" wrapText="1"/>
    </xf>
    <xf numFmtId="0" fontId="2" fillId="21" borderId="0" xfId="0" applyFont="1" applyFill="1" applyAlignment="1">
      <alignment vertical="top" wrapText="1"/>
    </xf>
    <xf numFmtId="0" fontId="3" fillId="22" borderId="0" xfId="0" applyFont="1" applyFill="1" applyAlignment="1">
      <alignment vertical="top" wrapText="1"/>
    </xf>
    <xf numFmtId="0" fontId="2" fillId="22" borderId="0" xfId="0" applyFont="1" applyFill="1" applyAlignment="1">
      <alignment vertical="top" wrapText="1"/>
    </xf>
    <xf numFmtId="167" fontId="3" fillId="22" borderId="0" xfId="0" applyNumberFormat="1" applyFont="1" applyFill="1" applyAlignment="1">
      <alignment horizontal="center" vertical="top" wrapText="1"/>
    </xf>
    <xf numFmtId="0" fontId="3" fillId="22" borderId="0" xfId="0" applyFont="1" applyFill="1" applyAlignment="1">
      <alignment horizontal="center" vertical="top" wrapText="1"/>
    </xf>
    <xf numFmtId="164" fontId="3" fillId="22" borderId="0" xfId="0" applyNumberFormat="1" applyFont="1" applyFill="1" applyAlignment="1">
      <alignment horizontal="center" vertical="top" wrapText="1"/>
    </xf>
    <xf numFmtId="9" fontId="3" fillId="22" borderId="0" xfId="0" applyNumberFormat="1" applyFont="1" applyFill="1" applyAlignment="1">
      <alignment horizontal="center" vertical="top" wrapText="1"/>
    </xf>
    <xf numFmtId="2" fontId="3" fillId="22" borderId="0" xfId="0" applyNumberFormat="1" applyFont="1" applyFill="1" applyAlignment="1">
      <alignment horizontal="center" vertical="top" wrapText="1"/>
    </xf>
    <xf numFmtId="0" fontId="2" fillId="22" borderId="0" xfId="0" applyFont="1" applyFill="1" applyAlignment="1">
      <alignment horizontal="center" vertical="top" wrapText="1"/>
    </xf>
    <xf numFmtId="0" fontId="2" fillId="23" borderId="0" xfId="0" applyFont="1" applyFill="1" applyAlignment="1">
      <alignment vertical="top" wrapText="1"/>
    </xf>
    <xf numFmtId="0" fontId="2" fillId="24" borderId="0" xfId="0" applyFont="1" applyFill="1" applyAlignment="1">
      <alignment vertical="top" wrapText="1"/>
    </xf>
    <xf numFmtId="0" fontId="2" fillId="25" borderId="0" xfId="0" applyFont="1" applyFill="1" applyAlignment="1">
      <alignment vertical="top" wrapText="1"/>
    </xf>
    <xf numFmtId="0" fontId="2" fillId="26" borderId="0" xfId="0" applyFont="1" applyFill="1" applyAlignment="1">
      <alignment vertical="top" wrapText="1"/>
    </xf>
    <xf numFmtId="0" fontId="2" fillId="27" borderId="0" xfId="0" applyFont="1" applyFill="1" applyAlignment="1">
      <alignment vertical="top" wrapText="1"/>
    </xf>
    <xf numFmtId="164" fontId="2" fillId="17" borderId="0" xfId="0" applyNumberFormat="1" applyFont="1" applyFill="1" applyAlignment="1">
      <alignment vertical="top" wrapText="1"/>
    </xf>
    <xf numFmtId="165" fontId="2" fillId="17" borderId="0" xfId="0" applyNumberFormat="1" applyFont="1" applyFill="1" applyAlignment="1">
      <alignment horizontal="center" vertical="center" wrapText="1"/>
    </xf>
    <xf numFmtId="164" fontId="2" fillId="17" borderId="0" xfId="0" applyNumberFormat="1" applyFont="1" applyFill="1" applyAlignment="1">
      <alignment horizontal="center" vertical="center" wrapText="1"/>
    </xf>
    <xf numFmtId="0" fontId="2" fillId="17" borderId="0" xfId="0" applyFont="1" applyFill="1"/>
    <xf numFmtId="2" fontId="3" fillId="0" borderId="0" xfId="0" applyNumberFormat="1" applyFont="1" applyAlignment="1">
      <alignment vertical="top" wrapText="1"/>
    </xf>
    <xf numFmtId="2" fontId="2" fillId="17" borderId="0" xfId="0" applyNumberFormat="1" applyFont="1" applyFill="1" applyAlignment="1">
      <alignment vertical="top" wrapText="1"/>
    </xf>
    <xf numFmtId="9" fontId="3" fillId="0" borderId="0" xfId="0" applyNumberFormat="1" applyFont="1" applyAlignment="1">
      <alignment vertical="top" wrapText="1"/>
    </xf>
    <xf numFmtId="9" fontId="2" fillId="17" borderId="0" xfId="0" applyNumberFormat="1" applyFont="1" applyFill="1" applyAlignment="1">
      <alignment vertical="top" wrapText="1"/>
    </xf>
    <xf numFmtId="164" fontId="3" fillId="0" borderId="0" xfId="0" applyNumberFormat="1" applyFont="1" applyAlignment="1">
      <alignment vertical="top" wrapText="1"/>
    </xf>
    <xf numFmtId="0" fontId="2" fillId="8" borderId="0" xfId="0" applyFont="1" applyFill="1" applyAlignment="1">
      <alignment horizontal="center" wrapText="1"/>
    </xf>
    <xf numFmtId="0" fontId="3" fillId="4" borderId="0" xfId="0" applyFont="1" applyFill="1" applyAlignment="1">
      <alignment wrapText="1"/>
    </xf>
    <xf numFmtId="0" fontId="2" fillId="9" borderId="0" xfId="0" applyFont="1" applyFill="1" applyAlignment="1">
      <alignment horizontal="center" wrapText="1"/>
    </xf>
    <xf numFmtId="0" fontId="2" fillId="10" borderId="0" xfId="0" applyFont="1" applyFill="1" applyAlignment="1">
      <alignment horizontal="center" wrapText="1"/>
    </xf>
    <xf numFmtId="0" fontId="2" fillId="11" borderId="0" xfId="0" applyFont="1" applyFill="1" applyAlignment="1">
      <alignment vertical="top" wrapText="1"/>
    </xf>
    <xf numFmtId="0" fontId="2" fillId="11" borderId="0" xfId="0" applyFont="1" applyFill="1" applyAlignment="1">
      <alignment horizontal="center" wrapText="1"/>
    </xf>
    <xf numFmtId="0" fontId="2" fillId="12" borderId="0" xfId="0" applyFont="1" applyFill="1" applyAlignment="1">
      <alignment vertical="top" wrapText="1"/>
    </xf>
    <xf numFmtId="0" fontId="2" fillId="12" borderId="0" xfId="0" applyFont="1" applyFill="1" applyAlignment="1">
      <alignment horizontal="center" wrapText="1"/>
    </xf>
    <xf numFmtId="0" fontId="2" fillId="13" borderId="0" xfId="0" applyFont="1" applyFill="1" applyAlignment="1">
      <alignment vertical="top" wrapText="1"/>
    </xf>
    <xf numFmtId="0" fontId="2" fillId="17" borderId="0" xfId="0" applyFont="1" applyFill="1" applyAlignment="1">
      <alignment wrapText="1"/>
    </xf>
    <xf numFmtId="164" fontId="2" fillId="17" borderId="0" xfId="0" applyNumberFormat="1" applyFont="1" applyFill="1" applyAlignment="1">
      <alignment wrapText="1"/>
    </xf>
    <xf numFmtId="2" fontId="2" fillId="17" borderId="0" xfId="0" applyNumberFormat="1" applyFont="1" applyFill="1" applyAlignment="1">
      <alignment wrapText="1"/>
    </xf>
    <xf numFmtId="2" fontId="2" fillId="17" borderId="0" xfId="0" applyNumberFormat="1" applyFont="1" applyFill="1" applyAlignment="1">
      <alignment horizontal="center" vertical="center" wrapText="1"/>
    </xf>
    <xf numFmtId="164" fontId="3" fillId="0" borderId="0" xfId="0" applyNumberFormat="1" applyFont="1" applyAlignment="1">
      <alignment wrapText="1"/>
    </xf>
    <xf numFmtId="164" fontId="3" fillId="16" borderId="0" xfId="0" applyNumberFormat="1" applyFont="1" applyFill="1" applyAlignment="1">
      <alignment wrapText="1"/>
    </xf>
    <xf numFmtId="2" fontId="3" fillId="16" borderId="0" xfId="0" applyNumberFormat="1" applyFont="1" applyFill="1" applyAlignment="1">
      <alignment wrapText="1"/>
    </xf>
    <xf numFmtId="0" fontId="3" fillId="0" borderId="0" xfId="0" applyFont="1" applyAlignment="1">
      <alignment wrapText="1"/>
    </xf>
    <xf numFmtId="0" fontId="3" fillId="16" borderId="0" xfId="0" applyFont="1" applyFill="1" applyAlignment="1">
      <alignment wrapText="1"/>
    </xf>
    <xf numFmtId="9" fontId="3" fillId="0" borderId="0" xfId="0" applyNumberFormat="1" applyFont="1" applyAlignment="1">
      <alignment wrapText="1"/>
    </xf>
    <xf numFmtId="9" fontId="2" fillId="17" borderId="0" xfId="0" applyNumberFormat="1" applyFont="1" applyFill="1" applyAlignment="1">
      <alignment wrapText="1"/>
    </xf>
    <xf numFmtId="0" fontId="2" fillId="7" borderId="0" xfId="0" applyFont="1" applyFill="1" applyAlignment="1">
      <alignment wrapText="1"/>
    </xf>
    <xf numFmtId="0" fontId="2" fillId="8" borderId="0" xfId="0" applyFont="1" applyFill="1" applyAlignment="1">
      <alignment wrapText="1"/>
    </xf>
    <xf numFmtId="0" fontId="2" fillId="9" borderId="0" xfId="0" applyFont="1" applyFill="1" applyAlignment="1">
      <alignment wrapText="1"/>
    </xf>
    <xf numFmtId="0" fontId="2" fillId="10" borderId="0" xfId="0" applyFont="1" applyFill="1" applyAlignment="1">
      <alignment wrapText="1"/>
    </xf>
    <xf numFmtId="0" fontId="2" fillId="11" borderId="0" xfId="0" applyFont="1" applyFill="1" applyAlignment="1">
      <alignment wrapText="1"/>
    </xf>
    <xf numFmtId="0" fontId="2" fillId="12" borderId="0" xfId="0" applyFont="1" applyFill="1" applyAlignment="1">
      <alignment wrapText="1"/>
    </xf>
    <xf numFmtId="0" fontId="5" fillId="20" borderId="0" xfId="0" applyFont="1" applyFill="1" applyAlignment="1">
      <alignment horizontal="center" vertical="center" wrapText="1"/>
    </xf>
    <xf numFmtId="0" fontId="2" fillId="20" borderId="0" xfId="0" applyFont="1" applyFill="1" applyAlignment="1">
      <alignment horizontal="center" vertical="center" wrapText="1"/>
    </xf>
    <xf numFmtId="0" fontId="4" fillId="20" borderId="0" xfId="0" applyFont="1" applyFill="1"/>
    <xf numFmtId="0" fontId="12" fillId="23" borderId="0" xfId="0" applyFont="1" applyFill="1" applyAlignment="1">
      <alignment vertical="center" wrapText="1"/>
    </xf>
    <xf numFmtId="0" fontId="5" fillId="15" borderId="0" xfId="0" applyFont="1" applyFill="1" applyAlignment="1">
      <alignment vertical="top" wrapText="1"/>
    </xf>
    <xf numFmtId="0" fontId="14" fillId="20" borderId="0" xfId="0" applyFont="1" applyFill="1" applyAlignment="1">
      <alignment wrapText="1"/>
    </xf>
    <xf numFmtId="0" fontId="14" fillId="20" borderId="0" xfId="0" applyFont="1" applyFill="1"/>
    <xf numFmtId="0" fontId="2" fillId="17" borderId="0" xfId="0" applyFont="1" applyFill="1" applyAlignment="1">
      <alignment vertical="center" wrapText="1"/>
    </xf>
    <xf numFmtId="164" fontId="3" fillId="28" borderId="0" xfId="0" applyNumberFormat="1" applyFont="1" applyFill="1" applyAlignment="1">
      <alignment wrapText="1"/>
    </xf>
    <xf numFmtId="1" fontId="3" fillId="28" borderId="0" xfId="0" applyNumberFormat="1" applyFont="1" applyFill="1" applyAlignment="1">
      <alignment wrapText="1"/>
    </xf>
    <xf numFmtId="2" fontId="3" fillId="28" borderId="0" xfId="0" applyNumberFormat="1" applyFont="1" applyFill="1" applyAlignment="1">
      <alignment wrapText="1"/>
    </xf>
    <xf numFmtId="9" fontId="3" fillId="28" borderId="0" xfId="0" applyNumberFormat="1" applyFont="1" applyFill="1" applyAlignment="1">
      <alignment wrapText="1"/>
    </xf>
    <xf numFmtId="0" fontId="3" fillId="28" borderId="0" xfId="0" applyFont="1" applyFill="1" applyAlignment="1">
      <alignment wrapText="1"/>
    </xf>
    <xf numFmtId="0" fontId="4" fillId="20" borderId="0" xfId="0" applyFont="1" applyFill="1" applyAlignment="1">
      <alignment horizontal="center"/>
    </xf>
    <xf numFmtId="0" fontId="4" fillId="20" borderId="0" xfId="0" applyFont="1" applyFill="1" applyAlignment="1">
      <alignment vertical="top" wrapText="1"/>
    </xf>
    <xf numFmtId="164" fontId="0" fillId="28" borderId="0" xfId="0" applyNumberFormat="1" applyFill="1"/>
    <xf numFmtId="0" fontId="0" fillId="28" borderId="0" xfId="0" applyFill="1"/>
    <xf numFmtId="2" fontId="0" fillId="28" borderId="0" xfId="0" applyNumberFormat="1" applyFill="1"/>
    <xf numFmtId="9" fontId="0" fillId="28" borderId="0" xfId="0" applyNumberFormat="1" applyFill="1"/>
    <xf numFmtId="9" fontId="0" fillId="0" borderId="0" xfId="0" applyNumberFormat="1" applyAlignment="1">
      <alignment wrapText="1"/>
    </xf>
    <xf numFmtId="166" fontId="5" fillId="29" borderId="0" xfId="0" applyNumberFormat="1" applyFont="1" applyFill="1" applyAlignment="1">
      <alignment horizontal="center" vertical="center" wrapText="1"/>
    </xf>
    <xf numFmtId="0" fontId="2" fillId="29" borderId="0" xfId="0" applyFont="1" applyFill="1" applyAlignment="1">
      <alignment horizontal="center" vertical="center" wrapText="1"/>
    </xf>
    <xf numFmtId="0" fontId="3" fillId="29" borderId="0" xfId="0" applyFont="1" applyFill="1" applyAlignment="1">
      <alignment horizontal="center" vertical="top" wrapText="1"/>
    </xf>
    <xf numFmtId="0" fontId="2" fillId="29" borderId="0" xfId="0" applyFont="1" applyFill="1" applyAlignment="1">
      <alignment horizontal="center" vertical="top" wrapText="1"/>
    </xf>
    <xf numFmtId="0" fontId="9" fillId="17" borderId="0" xfId="0" applyFont="1" applyFill="1" applyAlignment="1">
      <alignment horizontal="center" vertical="top" wrapText="1"/>
    </xf>
    <xf numFmtId="0" fontId="15" fillId="29" borderId="0" xfId="0" applyFont="1" applyFill="1"/>
    <xf numFmtId="0" fontId="0" fillId="0" borderId="0" xfId="0" applyAlignment="1">
      <alignment horizontal="center" vertical="top" wrapText="1"/>
    </xf>
    <xf numFmtId="1" fontId="0" fillId="0" borderId="0" xfId="0" applyNumberFormat="1" applyAlignment="1">
      <alignment vertical="top" wrapText="1"/>
    </xf>
    <xf numFmtId="0" fontId="9" fillId="30" borderId="14" xfId="0" applyFont="1" applyFill="1" applyBorder="1" applyAlignment="1">
      <alignment horizontal="center" vertical="center" wrapText="1"/>
    </xf>
    <xf numFmtId="0" fontId="9" fillId="30" borderId="16" xfId="0" applyFont="1" applyFill="1" applyBorder="1" applyAlignment="1">
      <alignment horizontal="center" vertical="center" wrapText="1"/>
    </xf>
    <xf numFmtId="0" fontId="9" fillId="30" borderId="15" xfId="0" applyFont="1" applyFill="1" applyBorder="1" applyAlignment="1">
      <alignment horizontal="center" vertical="center" wrapText="1"/>
    </xf>
    <xf numFmtId="0" fontId="0" fillId="0" borderId="17" xfId="0" applyBorder="1" applyAlignment="1">
      <alignment vertical="top" wrapText="1"/>
    </xf>
    <xf numFmtId="0" fontId="0" fillId="0" borderId="18" xfId="0" applyBorder="1" applyAlignment="1">
      <alignment vertical="top" wrapText="1"/>
    </xf>
    <xf numFmtId="0" fontId="0" fillId="0" borderId="19" xfId="0" applyBorder="1" applyAlignment="1">
      <alignment vertical="top" wrapText="1"/>
    </xf>
    <xf numFmtId="0" fontId="0" fillId="0" borderId="20" xfId="0" applyBorder="1" applyAlignment="1">
      <alignment vertical="top" wrapText="1"/>
    </xf>
    <xf numFmtId="0" fontId="0" fillId="0" borderId="21" xfId="0" applyBorder="1" applyAlignment="1">
      <alignment vertical="top" wrapText="1"/>
    </xf>
    <xf numFmtId="0" fontId="0" fillId="0" borderId="22" xfId="0" applyBorder="1" applyAlignment="1">
      <alignment vertical="top" wrapText="1"/>
    </xf>
    <xf numFmtId="0" fontId="0" fillId="0" borderId="23" xfId="0" applyBorder="1" applyAlignment="1">
      <alignment vertical="top" wrapText="1"/>
    </xf>
    <xf numFmtId="0" fontId="0" fillId="0" borderId="24" xfId="0" applyBorder="1" applyAlignment="1">
      <alignment vertical="top" wrapText="1"/>
    </xf>
    <xf numFmtId="0" fontId="21" fillId="33" borderId="25" xfId="0" applyFont="1" applyFill="1" applyBorder="1" applyAlignment="1">
      <alignment vertical="top" wrapText="1"/>
    </xf>
    <xf numFmtId="0" fontId="22" fillId="0" borderId="25" xfId="0" applyFont="1" applyBorder="1" applyAlignment="1">
      <alignment vertical="top" wrapText="1"/>
    </xf>
    <xf numFmtId="0" fontId="21" fillId="33" borderId="26" xfId="0" applyFont="1" applyFill="1" applyBorder="1" applyAlignment="1">
      <alignment vertical="top" wrapText="1"/>
    </xf>
    <xf numFmtId="0" fontId="21" fillId="33" borderId="27" xfId="0" applyFont="1" applyFill="1" applyBorder="1" applyAlignment="1">
      <alignment vertical="top" wrapText="1"/>
    </xf>
    <xf numFmtId="0" fontId="22" fillId="0" borderId="26" xfId="0" applyFont="1" applyBorder="1" applyAlignment="1">
      <alignment vertical="top" wrapText="1"/>
    </xf>
    <xf numFmtId="0" fontId="22" fillId="0" borderId="27" xfId="0" applyFont="1" applyBorder="1" applyAlignment="1">
      <alignment vertical="top" wrapText="1"/>
    </xf>
    <xf numFmtId="164" fontId="0" fillId="0" borderId="18" xfId="0" applyNumberFormat="1" applyBorder="1" applyAlignment="1">
      <alignment vertical="top" wrapText="1"/>
    </xf>
    <xf numFmtId="164" fontId="0" fillId="0" borderId="23" xfId="0" applyNumberFormat="1" applyBorder="1" applyAlignment="1">
      <alignment vertical="top" wrapText="1"/>
    </xf>
    <xf numFmtId="0" fontId="0" fillId="0" borderId="14" xfId="0" applyBorder="1" applyAlignment="1">
      <alignment vertical="top" wrapText="1"/>
    </xf>
    <xf numFmtId="164" fontId="0" fillId="0" borderId="16" xfId="0" applyNumberFormat="1" applyBorder="1" applyAlignment="1">
      <alignment vertical="top" wrapText="1"/>
    </xf>
    <xf numFmtId="0" fontId="0" fillId="0" borderId="16" xfId="0" applyBorder="1" applyAlignment="1">
      <alignment vertical="top" wrapText="1"/>
    </xf>
    <xf numFmtId="0" fontId="0" fillId="0" borderId="15" xfId="0" applyBorder="1" applyAlignment="1">
      <alignment vertical="top" wrapText="1"/>
    </xf>
    <xf numFmtId="0" fontId="18" fillId="33" borderId="25" xfId="0" applyFont="1" applyFill="1" applyBorder="1" applyAlignment="1">
      <alignment vertical="top" wrapText="1"/>
    </xf>
    <xf numFmtId="0" fontId="19" fillId="0" borderId="25" xfId="0" applyFont="1" applyBorder="1" applyAlignment="1">
      <alignment vertical="top" wrapText="1"/>
    </xf>
    <xf numFmtId="0" fontId="1" fillId="17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2" fillId="23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0" borderId="0" xfId="0" applyFont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3" fillId="0" borderId="4" xfId="0" applyFont="1" applyBorder="1" applyAlignment="1">
      <alignment vertical="top" wrapText="1"/>
    </xf>
    <xf numFmtId="0" fontId="3" fillId="0" borderId="6" xfId="0" applyFont="1" applyBorder="1" applyAlignment="1">
      <alignment vertical="top" wrapText="1"/>
    </xf>
    <xf numFmtId="0" fontId="3" fillId="0" borderId="8" xfId="0" applyFont="1" applyBorder="1" applyAlignment="1">
      <alignment vertical="top" wrapText="1"/>
    </xf>
    <xf numFmtId="0" fontId="3" fillId="0" borderId="9" xfId="0" applyFont="1" applyBorder="1" applyAlignment="1">
      <alignment vertical="top" wrapText="1"/>
    </xf>
    <xf numFmtId="0" fontId="12" fillId="23" borderId="0" xfId="0" applyFont="1" applyFill="1" applyAlignment="1">
      <alignment vertical="center" wrapText="1"/>
    </xf>
    <xf numFmtId="164" fontId="3" fillId="4" borderId="1" xfId="0" applyNumberFormat="1" applyFont="1" applyFill="1" applyBorder="1" applyAlignment="1">
      <alignment wrapText="1"/>
    </xf>
    <xf numFmtId="0" fontId="3" fillId="0" borderId="0" xfId="0" applyFont="1"/>
    <xf numFmtId="0" fontId="4" fillId="18" borderId="0" xfId="0" applyFont="1" applyFill="1" applyAlignment="1">
      <alignment vertical="center" wrapText="1"/>
    </xf>
    <xf numFmtId="0" fontId="20" fillId="31" borderId="0" xfId="0" applyFont="1" applyFill="1" applyAlignment="1">
      <alignment horizontal="left" vertical="center" wrapText="1"/>
    </xf>
    <xf numFmtId="0" fontId="10" fillId="18" borderId="0" xfId="0" applyFont="1" applyFill="1" applyAlignment="1">
      <alignment wrapText="1"/>
    </xf>
    <xf numFmtId="0" fontId="11" fillId="18" borderId="0" xfId="0" applyFont="1" applyFill="1" applyAlignment="1">
      <alignment wrapText="1"/>
    </xf>
    <xf numFmtId="0" fontId="16" fillId="29" borderId="0" xfId="0" applyFont="1" applyFill="1" applyAlignment="1">
      <alignment wrapText="1"/>
    </xf>
    <xf numFmtId="0" fontId="11" fillId="19" borderId="0" xfId="0" applyFont="1" applyFill="1" applyAlignment="1">
      <alignment wrapText="1"/>
    </xf>
    <xf numFmtId="0" fontId="2" fillId="2" borderId="10" xfId="0" applyFont="1" applyFill="1" applyBorder="1"/>
    <xf numFmtId="0" fontId="2" fillId="2" borderId="11" xfId="0" applyFont="1" applyFill="1" applyBorder="1"/>
    <xf numFmtId="0" fontId="3" fillId="0" borderId="11" xfId="0" applyFont="1" applyBorder="1" applyAlignment="1">
      <alignment vertical="top" wrapText="1"/>
    </xf>
    <xf numFmtId="164" fontId="3" fillId="0" borderId="11" xfId="0" applyNumberFormat="1" applyFont="1" applyBorder="1" applyAlignment="1">
      <alignment vertical="top" wrapText="1"/>
    </xf>
    <xf numFmtId="0" fontId="3" fillId="0" borderId="12" xfId="0" applyFont="1" applyBorder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4" fillId="18" borderId="0" xfId="0" applyFont="1" applyFill="1" applyAlignment="1">
      <alignment vertical="top" wrapText="1"/>
    </xf>
    <xf numFmtId="0" fontId="6" fillId="0" borderId="0" xfId="0" applyFont="1"/>
    <xf numFmtId="0" fontId="7" fillId="17" borderId="0" xfId="0" applyFont="1" applyFill="1" applyAlignment="1">
      <alignment horizontal="left" vertical="center" wrapText="1"/>
    </xf>
    <xf numFmtId="0" fontId="0" fillId="0" borderId="0" xfId="0" applyAlignment="1">
      <alignment wrapText="1"/>
    </xf>
    <xf numFmtId="0" fontId="8" fillId="18" borderId="0" xfId="0" applyFont="1" applyFill="1" applyAlignment="1">
      <alignment wrapText="1"/>
    </xf>
    <xf numFmtId="0" fontId="7" fillId="17" borderId="0" xfId="0" applyFont="1" applyFill="1" applyAlignment="1">
      <alignment horizontal="left" vertical="center"/>
    </xf>
    <xf numFmtId="0" fontId="0" fillId="0" borderId="0" xfId="0"/>
    <xf numFmtId="0" fontId="8" fillId="19" borderId="0" xfId="0" applyFont="1" applyFill="1" applyAlignment="1">
      <alignment wrapText="1"/>
    </xf>
    <xf numFmtId="0" fontId="13" fillId="23" borderId="0" xfId="0" applyFont="1" applyFill="1" applyAlignment="1">
      <alignment vertical="center"/>
    </xf>
    <xf numFmtId="0" fontId="9" fillId="32" borderId="0" xfId="0" applyFont="1" applyFill="1" applyAlignment="1">
      <alignment horizontal="left" vertical="center"/>
    </xf>
    <xf numFmtId="0" fontId="18" fillId="33" borderId="14" xfId="0" applyFont="1" applyFill="1" applyBorder="1" applyAlignment="1">
      <alignment vertical="top" wrapText="1"/>
    </xf>
    <xf numFmtId="0" fontId="18" fillId="33" borderId="15" xfId="0" applyFont="1" applyFill="1" applyBorder="1" applyAlignment="1">
      <alignment vertical="top" wrapText="1"/>
    </xf>
    <xf numFmtId="0" fontId="19" fillId="0" borderId="14" xfId="0" applyFont="1" applyBorder="1" applyAlignment="1">
      <alignment vertical="top" wrapText="1"/>
    </xf>
    <xf numFmtId="0" fontId="19" fillId="0" borderId="16" xfId="0" applyFont="1" applyBorder="1" applyAlignment="1">
      <alignment vertical="top" wrapText="1"/>
    </xf>
    <xf numFmtId="0" fontId="19" fillId="0" borderId="15" xfId="0" applyFont="1" applyBorder="1" applyAlignment="1">
      <alignment vertical="top" wrapText="1"/>
    </xf>
    <xf numFmtId="0" fontId="17" fillId="34" borderId="0" xfId="0" applyFont="1" applyFill="1" applyAlignment="1">
      <alignment horizontal="left" vertical="center" wrapText="1"/>
    </xf>
    <xf numFmtId="0" fontId="0" fillId="28" borderId="0" xfId="0" applyFill="1" applyAlignment="1">
      <alignment vertical="center" wrapText="1"/>
    </xf>
    <xf numFmtId="0" fontId="14" fillId="28" borderId="0" xfId="0" applyFont="1" applyFill="1" applyAlignment="1">
      <alignment vertical="center" wrapText="1"/>
    </xf>
    <xf numFmtId="0" fontId="7" fillId="30" borderId="0" xfId="0" applyFont="1" applyFill="1" applyAlignment="1">
      <alignment horizontal="left" vertical="center" wrapText="1"/>
    </xf>
    <xf numFmtId="0" fontId="17" fillId="31" borderId="0" xfId="0" applyFont="1" applyFill="1" applyAlignment="1">
      <alignment horizontal="left" vertical="center" wrapText="1"/>
    </xf>
  </cellXfs>
  <cellStyles count="1">
    <cellStyle name="Normal" xfId="0" builtinId="0"/>
  </cellStyles>
  <dxfs count="15"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2F75B5"/>
      </font>
      <fill>
        <patternFill>
          <bgColor rgb="FF2F75B5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D4ED8"/>
      </font>
      <fill>
        <patternFill>
          <bgColor rgb="FFDBEAFE"/>
        </patternFill>
      </fill>
    </dxf>
    <dxf>
      <font>
        <b/>
        <color rgb="FF166534"/>
      </font>
      <fill>
        <patternFill>
          <bgColor rgb="FFDCFCE7"/>
        </patternFill>
      </fill>
    </dxf>
    <dxf>
      <fill>
        <patternFill>
          <bgColor rgb="FFFCE8E6"/>
        </patternFill>
      </fill>
    </dxf>
    <dxf>
      <fill>
        <patternFill>
          <bgColor rgb="FFD9EAF7"/>
        </patternFill>
      </fill>
    </dxf>
    <dxf>
      <fill>
        <patternFill>
          <bgColor rgb="FFE2F0D9"/>
        </patternFill>
      </fill>
    </dxf>
    <dxf>
      <fill>
        <patternFill>
          <bgColor rgb="FFFCE8E6"/>
        </patternFill>
      </fill>
    </dxf>
    <dxf>
      <fill>
        <patternFill>
          <bgColor rgb="FFD9EAF7"/>
        </patternFill>
      </fill>
    </dxf>
    <dxf>
      <fill>
        <patternFill>
          <bgColor rgb="FFE2F0D9"/>
        </patternFill>
      </fill>
    </dxf>
    <dxf>
      <font>
        <color rgb="FF2F75B5"/>
      </font>
      <fill>
        <patternFill>
          <bgColor rgb="FF2F75B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 Hours</c:v>
          </c:tx>
          <c:cat>
            <c:strRef>
              <c:f>'Weekly Control'!$A$4:$A$55</c:f>
              <c:strCache>
                <c:ptCount val="9"/>
                <c:pt idx="0">
                  <c:v>Week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'Weekly Control'!$D$4:$D$55</c:f>
              <c:numCache>
                <c:formatCode>0.00</c:formatCode>
                <c:ptCount val="52"/>
                <c:pt idx="0" formatCode="General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6-43E8-A92C-A3311CBC5F9C}"/>
            </c:ext>
          </c:extLst>
        </c:ser>
        <c:ser>
          <c:idx val="1"/>
          <c:order val="1"/>
          <c:tx>
            <c:v>Actual Hours</c:v>
          </c:tx>
          <c:cat>
            <c:strRef>
              <c:f>'Weekly Control'!$A$4:$A$55</c:f>
              <c:strCache>
                <c:ptCount val="9"/>
                <c:pt idx="0">
                  <c:v>Week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'Weekly Control'!$E$4:$E$55</c:f>
              <c:numCache>
                <c:formatCode>0.00</c:formatCode>
                <c:ptCount val="52"/>
                <c:pt idx="0">
                  <c:v>0</c:v>
                </c:pt>
                <c:pt idx="1">
                  <c:v>7.5500000000000007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96-43E8-A92C-A3311CBC5F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Planned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invertIfNegative val="1"/>
          <c:cat>
            <c:strRef>
              <c:f>'Phase Summary'!$B$4:$B$11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'Phase Summary'!$C$4:$C$11</c:f>
              <c:numCache>
                <c:formatCode>0.00</c:formatCode>
                <c:ptCount val="8"/>
                <c:pt idx="0">
                  <c:v>8</c:v>
                </c:pt>
                <c:pt idx="1">
                  <c:v>24</c:v>
                </c:pt>
                <c:pt idx="2">
                  <c:v>14</c:v>
                </c:pt>
                <c:pt idx="3">
                  <c:v>14</c:v>
                </c:pt>
                <c:pt idx="4">
                  <c:v>8</c:v>
                </c:pt>
                <c:pt idx="5">
                  <c:v>8</c:v>
                </c:pt>
                <c:pt idx="6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50-411E-BCB5-2ECC63735A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Planned vs Actual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invertIfNegative val="1"/>
          <c:cat>
            <c:strRef>
              <c:f>'MVP Dashboard'!$A$15:$A$20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'MVP Dashboard'!$B$15:$B$20</c:f>
              <c:numCache>
                <c:formatCode>0.00</c:formatCode>
                <c:ptCount val="6"/>
                <c:pt idx="0">
                  <c:v>8</c:v>
                </c:pt>
                <c:pt idx="1">
                  <c:v>24</c:v>
                </c:pt>
                <c:pt idx="2">
                  <c:v>14</c:v>
                </c:pt>
                <c:pt idx="3">
                  <c:v>14</c:v>
                </c:pt>
                <c:pt idx="4">
                  <c:v>8</c:v>
                </c:pt>
                <c:pt idx="5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C5-4131-95C1-ED1AD2555317}"/>
            </c:ext>
          </c:extLst>
        </c:ser>
        <c:ser>
          <c:idx val="1"/>
          <c:order val="1"/>
          <c:tx>
            <c:v>Actual Hours</c:v>
          </c:tx>
          <c:invertIfNegative val="1"/>
          <c:cat>
            <c:strRef>
              <c:f>'MVP Dashboard'!$A$15:$A$20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'MVP Dashboard'!$C$15:$C$20</c:f>
              <c:numCache>
                <c:formatCode>0.00</c:formatCode>
                <c:ptCount val="6"/>
                <c:pt idx="0">
                  <c:v>7.5500000000000007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C5-4131-95C1-ED1AD2555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11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100"/>
  <sheetViews>
    <sheetView tabSelected="1" workbookViewId="0">
      <selection sqref="A1:H1"/>
    </sheetView>
  </sheetViews>
  <sheetFormatPr defaultRowHeight="14.25"/>
  <cols>
    <col min="1" max="1" width="22" customWidth="1"/>
    <col min="2" max="2" width="34" customWidth="1"/>
    <col min="3" max="3" width="4" customWidth="1"/>
    <col min="4" max="4" width="22" customWidth="1"/>
    <col min="5" max="5" width="58" customWidth="1"/>
    <col min="6" max="6" width="4" customWidth="1"/>
    <col min="7" max="8" width="18" customWidth="1"/>
  </cols>
  <sheetData>
    <row r="1" spans="1:69" ht="30" customHeight="1">
      <c r="A1" s="204" t="s">
        <v>0</v>
      </c>
      <c r="B1" s="205"/>
      <c r="C1" s="205"/>
      <c r="D1" s="205"/>
      <c r="E1" s="205"/>
      <c r="F1" s="205"/>
      <c r="G1" s="205"/>
      <c r="H1" s="20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26.1" customHeight="1">
      <c r="A2" s="218" t="s">
        <v>1</v>
      </c>
      <c r="B2" s="218"/>
      <c r="C2" s="218"/>
      <c r="D2" s="218"/>
      <c r="E2" s="218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21.95" customHeight="1">
      <c r="A3" s="214" t="s">
        <v>2</v>
      </c>
      <c r="B3" s="215"/>
      <c r="C3" s="1"/>
      <c r="D3" s="206" t="s">
        <v>3</v>
      </c>
      <c r="E3" s="207"/>
      <c r="F3" s="207"/>
      <c r="G3" s="207"/>
      <c r="H3" s="207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24" customHeight="1">
      <c r="A4" s="158" t="s">
        <v>4</v>
      </c>
      <c r="B4" s="159" t="s">
        <v>5</v>
      </c>
      <c r="C4" s="1"/>
      <c r="D4" s="164" t="s">
        <v>6</v>
      </c>
      <c r="E4" s="208" t="s">
        <v>7</v>
      </c>
      <c r="F4" s="209"/>
      <c r="G4" s="209"/>
      <c r="H4" s="210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24" customHeight="1">
      <c r="A5" s="158" t="s">
        <v>8</v>
      </c>
      <c r="B5" s="159">
        <v>46202</v>
      </c>
      <c r="C5" s="1"/>
      <c r="D5" s="164" t="s">
        <v>9</v>
      </c>
      <c r="E5" s="208" t="s">
        <v>10</v>
      </c>
      <c r="F5" s="208"/>
      <c r="G5" s="208"/>
      <c r="H5" s="21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24" customHeight="1">
      <c r="A6" s="158" t="s">
        <v>11</v>
      </c>
      <c r="B6" s="159">
        <v>46257</v>
      </c>
      <c r="C6" s="1"/>
      <c r="D6" s="164" t="s">
        <v>12</v>
      </c>
      <c r="E6" s="208" t="s">
        <v>13</v>
      </c>
      <c r="F6" s="208"/>
      <c r="G6" s="208"/>
      <c r="H6" s="21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24" customHeight="1">
      <c r="A7" s="158" t="s">
        <v>14</v>
      </c>
      <c r="B7" s="160" t="s">
        <v>15</v>
      </c>
      <c r="C7" s="1"/>
      <c r="D7" s="164" t="s">
        <v>16</v>
      </c>
      <c r="E7" s="208" t="s">
        <v>17</v>
      </c>
      <c r="F7" s="208"/>
      <c r="G7" s="208"/>
      <c r="H7" s="21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24" customHeight="1">
      <c r="A8" s="158" t="s">
        <v>18</v>
      </c>
      <c r="B8" s="160">
        <v>76</v>
      </c>
      <c r="C8" s="1"/>
      <c r="D8" s="164" t="s">
        <v>19</v>
      </c>
      <c r="E8" s="208" t="s">
        <v>20</v>
      </c>
      <c r="F8" s="208"/>
      <c r="G8" s="208"/>
      <c r="H8" s="21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24" customHeight="1">
      <c r="A9" s="158" t="s">
        <v>21</v>
      </c>
      <c r="B9" s="161">
        <f>SUM('Work Block Log'!F5:F200)</f>
        <v>7.5500000000000007</v>
      </c>
      <c r="C9" s="1"/>
      <c r="D9" s="164" t="s">
        <v>22</v>
      </c>
      <c r="E9" s="208" t="s">
        <v>23</v>
      </c>
      <c r="F9" s="208"/>
      <c r="G9" s="208"/>
      <c r="H9" s="21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24" customHeight="1">
      <c r="A10" s="158" t="s">
        <v>24</v>
      </c>
      <c r="B10" s="162">
        <f>SUMPRODUCT('Detailed Gantt'!F6:F27,'Detailed Gantt'!L6:L27)/SUM('Detailed Gantt'!F6:F27)</f>
        <v>0.13289473684210529</v>
      </c>
      <c r="C10" s="1"/>
      <c r="D10" s="164" t="s">
        <v>25</v>
      </c>
      <c r="E10" s="208" t="s">
        <v>26</v>
      </c>
      <c r="F10" s="212"/>
      <c r="G10" s="212"/>
      <c r="H10" s="21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24" customHeight="1">
      <c r="A11" s="158" t="s">
        <v>27</v>
      </c>
      <c r="B11" s="163" t="s">
        <v>28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24" customHeight="1">
      <c r="A12" s="119" t="s">
        <v>29</v>
      </c>
      <c r="B12" s="163" t="s">
        <v>30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24" customHeight="1">
      <c r="A13" s="119" t="s">
        <v>31</v>
      </c>
      <c r="B13" s="163" t="s">
        <v>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207"/>
      <c r="B14" s="207"/>
      <c r="C14" s="207"/>
      <c r="D14" s="207"/>
      <c r="E14" s="207"/>
      <c r="F14" s="207"/>
      <c r="G14" s="207"/>
      <c r="H14" s="207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21.95" customHeight="1">
      <c r="A15" s="214" t="s">
        <v>33</v>
      </c>
      <c r="B15" s="214"/>
      <c r="C15" s="154"/>
      <c r="D15" s="214" t="s">
        <v>34</v>
      </c>
      <c r="E15" s="214"/>
      <c r="F15" s="214"/>
      <c r="G15" s="214"/>
      <c r="H15" s="21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33.950000000000003" customHeight="1">
      <c r="A16" s="165" t="s">
        <v>6</v>
      </c>
      <c r="B16" s="72" t="s">
        <v>35</v>
      </c>
      <c r="C16" s="72"/>
      <c r="D16" s="165" t="s">
        <v>36</v>
      </c>
      <c r="E16" s="72" t="s">
        <v>37</v>
      </c>
      <c r="F16" s="72"/>
      <c r="G16" s="72"/>
      <c r="H16" s="7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33.950000000000003" customHeight="1">
      <c r="A17" s="165" t="s">
        <v>9</v>
      </c>
      <c r="B17" s="72" t="s">
        <v>38</v>
      </c>
      <c r="C17" s="72"/>
      <c r="D17" s="165" t="s">
        <v>39</v>
      </c>
      <c r="E17" s="72" t="s">
        <v>40</v>
      </c>
      <c r="F17" s="72"/>
      <c r="G17" s="72"/>
      <c r="H17" s="73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33.950000000000003" customHeight="1">
      <c r="A18" s="165" t="s">
        <v>12</v>
      </c>
      <c r="B18" s="72" t="s">
        <v>41</v>
      </c>
      <c r="C18" s="74"/>
      <c r="D18" s="165" t="s">
        <v>42</v>
      </c>
      <c r="E18" s="72" t="s">
        <v>43</v>
      </c>
      <c r="F18" s="74"/>
      <c r="G18" s="74"/>
      <c r="H18" s="75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33.950000000000003" customHeight="1">
      <c r="A19" s="153" t="s">
        <v>16</v>
      </c>
      <c r="B19" s="141" t="s">
        <v>44</v>
      </c>
      <c r="C19" s="1"/>
      <c r="D19" s="153" t="s">
        <v>45</v>
      </c>
      <c r="E19" s="141" t="s">
        <v>46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33.950000000000003" customHeight="1">
      <c r="A20" s="153" t="s">
        <v>19</v>
      </c>
      <c r="B20" s="141" t="s">
        <v>47</v>
      </c>
      <c r="C20" s="1"/>
      <c r="D20" s="153" t="s">
        <v>48</v>
      </c>
      <c r="E20" s="141" t="s">
        <v>49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33.950000000000003" customHeight="1">
      <c r="A21" s="153" t="s">
        <v>22</v>
      </c>
      <c r="B21" s="141" t="s">
        <v>50</v>
      </c>
      <c r="C21" s="1"/>
      <c r="D21" s="153" t="s">
        <v>51</v>
      </c>
      <c r="E21" s="141" t="s">
        <v>52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33.950000000000003" customHeight="1">
      <c r="A22" s="153" t="s">
        <v>25</v>
      </c>
      <c r="B22" s="141" t="s">
        <v>53</v>
      </c>
      <c r="C22" s="1"/>
      <c r="D22" s="153" t="s">
        <v>54</v>
      </c>
      <c r="E22" s="141" t="s">
        <v>55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33.950000000000003" customHeight="1">
      <c r="A23" s="153" t="s">
        <v>56</v>
      </c>
      <c r="B23" s="141" t="s">
        <v>57</v>
      </c>
      <c r="C23" s="1"/>
      <c r="D23" s="153" t="s">
        <v>58</v>
      </c>
      <c r="E23" s="141" t="s">
        <v>59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33.950000000000003" customHeight="1">
      <c r="A24" s="1"/>
      <c r="B24" s="1"/>
      <c r="C24" s="1"/>
      <c r="D24" s="153" t="s">
        <v>60</v>
      </c>
      <c r="E24" s="141" t="s">
        <v>61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33.950000000000003" customHeight="1">
      <c r="A25" s="1"/>
      <c r="B25" s="1"/>
      <c r="C25" s="1"/>
      <c r="D25" s="153" t="s">
        <v>62</v>
      </c>
      <c r="E25" s="141" t="s">
        <v>63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32.1" customHeight="1">
      <c r="A26" s="1"/>
      <c r="B26" s="1"/>
      <c r="C26" s="1"/>
      <c r="D26" s="190" t="s">
        <v>64</v>
      </c>
      <c r="E26" s="191" t="s">
        <v>65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21.95" customHeight="1">
      <c r="A27" s="206" t="s">
        <v>66</v>
      </c>
      <c r="B27" s="216"/>
      <c r="C27" s="216"/>
      <c r="D27" s="216"/>
      <c r="E27" s="216"/>
      <c r="F27" s="216"/>
      <c r="G27" s="216"/>
      <c r="H27" s="216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72" customHeight="1">
      <c r="A28" s="217" t="s">
        <v>67</v>
      </c>
      <c r="B28" s="217"/>
      <c r="C28" s="217"/>
      <c r="D28" s="217"/>
      <c r="E28" s="217"/>
      <c r="F28" s="217"/>
      <c r="G28" s="217"/>
      <c r="H28" s="217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26.1" customHeight="1">
      <c r="A29" s="217"/>
      <c r="B29" s="217"/>
      <c r="C29" s="217"/>
      <c r="D29" s="217"/>
      <c r="E29" s="217"/>
      <c r="F29" s="217"/>
      <c r="G29" s="217"/>
      <c r="H29" s="217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26.1" customHeight="1">
      <c r="A30" s="217"/>
      <c r="B30" s="217"/>
      <c r="C30" s="217"/>
      <c r="D30" s="217"/>
      <c r="E30" s="217"/>
      <c r="F30" s="217"/>
      <c r="G30" s="217"/>
      <c r="H30" s="217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26.1" customHeight="1">
      <c r="A31" s="217"/>
      <c r="B31" s="217"/>
      <c r="C31" s="217"/>
      <c r="D31" s="217"/>
      <c r="E31" s="217"/>
      <c r="F31" s="217"/>
      <c r="G31" s="217"/>
      <c r="H31" s="217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16">
    <mergeCell ref="A27:H27"/>
    <mergeCell ref="A28:H31"/>
    <mergeCell ref="A15:B15"/>
    <mergeCell ref="D15:H15"/>
    <mergeCell ref="A2:E2"/>
    <mergeCell ref="E7:H7"/>
    <mergeCell ref="E8:H8"/>
    <mergeCell ref="E9:H9"/>
    <mergeCell ref="E10:H10"/>
    <mergeCell ref="A14:H14"/>
    <mergeCell ref="A1:H1"/>
    <mergeCell ref="D3:H3"/>
    <mergeCell ref="E4:H4"/>
    <mergeCell ref="E5:H5"/>
    <mergeCell ref="E6:H6"/>
    <mergeCell ref="A3:B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Q100"/>
  <sheetViews>
    <sheetView workbookViewId="0"/>
  </sheetViews>
  <sheetFormatPr defaultRowHeight="14.25"/>
  <cols>
    <col min="1" max="1" width="7" customWidth="1"/>
    <col min="2" max="2" width="28" customWidth="1"/>
    <col min="3" max="4" width="12" customWidth="1"/>
    <col min="5" max="5" width="11" customWidth="1"/>
    <col min="6" max="7" width="12" customWidth="1"/>
    <col min="8" max="8" width="31" customWidth="1"/>
    <col min="9" max="9" width="40" customWidth="1"/>
    <col min="10" max="17" width="8" customWidth="1"/>
    <col min="18" max="20" width="10" customWidth="1"/>
  </cols>
  <sheetData>
    <row r="1" spans="1:69" ht="27.95" customHeight="1">
      <c r="A1" s="204" t="s">
        <v>68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205"/>
      <c r="O1" s="205"/>
      <c r="P1" s="205"/>
      <c r="Q1" s="205"/>
      <c r="R1" s="76"/>
      <c r="S1" s="76"/>
      <c r="T1" s="76"/>
      <c r="U1" s="65"/>
      <c r="V1" s="65"/>
      <c r="W1" s="65"/>
      <c r="X1" s="65"/>
      <c r="Y1" s="65"/>
      <c r="Z1" s="65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36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15">
      <c r="A3" s="88" t="s">
        <v>69</v>
      </c>
      <c r="B3" s="88" t="s">
        <v>70</v>
      </c>
      <c r="C3" s="88" t="s">
        <v>71</v>
      </c>
      <c r="D3" s="117" t="s">
        <v>72</v>
      </c>
      <c r="E3" s="118" t="s">
        <v>73</v>
      </c>
      <c r="F3" s="118" t="s">
        <v>74</v>
      </c>
      <c r="G3" s="88" t="s">
        <v>75</v>
      </c>
      <c r="H3" s="88" t="s">
        <v>76</v>
      </c>
      <c r="I3" s="88" t="s">
        <v>77</v>
      </c>
      <c r="J3" s="88" t="s">
        <v>78</v>
      </c>
      <c r="K3" s="88" t="s">
        <v>79</v>
      </c>
      <c r="L3" s="88" t="s">
        <v>80</v>
      </c>
      <c r="M3" s="88" t="s">
        <v>81</v>
      </c>
      <c r="N3" s="88" t="s">
        <v>82</v>
      </c>
      <c r="O3" s="88" t="s">
        <v>83</v>
      </c>
      <c r="P3" s="88" t="s">
        <v>84</v>
      </c>
      <c r="Q3" s="88" t="s">
        <v>85</v>
      </c>
      <c r="R3" s="9"/>
      <c r="S3" s="9"/>
      <c r="T3" s="9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27">
      <c r="A4" s="3" t="s">
        <v>86</v>
      </c>
      <c r="B4" s="98" t="s">
        <v>87</v>
      </c>
      <c r="C4" s="120">
        <v>8</v>
      </c>
      <c r="D4" s="120">
        <f>SUMIF('Detailed Gantt'!$B$6:$B$27,B4,'Detailed Gantt'!$M$6:$M$27)</f>
        <v>7.5500000000000007</v>
      </c>
      <c r="E4" s="122">
        <f>IF(C4=0,0,SUMPRODUCT(('Detailed Gantt'!$B$6:$B$27=B4)*'Detailed Gantt'!$F$6:$F$27*'Detailed Gantt'!$L$6:$L$27)/C4)</f>
        <v>1</v>
      </c>
      <c r="F4" s="124">
        <v>46202</v>
      </c>
      <c r="G4" s="124">
        <v>46215</v>
      </c>
      <c r="H4" s="3" t="s">
        <v>88</v>
      </c>
      <c r="I4" s="125" t="s">
        <v>89</v>
      </c>
      <c r="J4" s="125" t="s">
        <v>90</v>
      </c>
      <c r="K4" s="126" t="s">
        <v>90</v>
      </c>
      <c r="L4" s="126"/>
      <c r="M4" s="126"/>
      <c r="N4" s="126"/>
      <c r="O4" s="126"/>
      <c r="P4" s="126"/>
      <c r="Q4" s="126"/>
      <c r="R4" s="10"/>
      <c r="S4" s="10"/>
      <c r="T4" s="10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27">
      <c r="A5" s="3" t="s">
        <v>6</v>
      </c>
      <c r="B5" s="99" t="s">
        <v>91</v>
      </c>
      <c r="C5" s="120">
        <v>24</v>
      </c>
      <c r="D5" s="120">
        <f>SUMIF('Detailed Gantt'!$B$6:$B$27,B5,'Detailed Gantt'!$M$6:$M$27)</f>
        <v>0</v>
      </c>
      <c r="E5" s="122">
        <f>IF(C5=0,0,SUMPRODUCT(('Detailed Gantt'!$B$6:$B$27=B5)*'Detailed Gantt'!$F$6:$F$27*'Detailed Gantt'!$L$6:$L$27)/C5)</f>
        <v>0</v>
      </c>
      <c r="F5" s="124">
        <v>46209</v>
      </c>
      <c r="G5" s="124">
        <v>46229</v>
      </c>
      <c r="H5" s="3" t="s">
        <v>92</v>
      </c>
      <c r="I5" s="126" t="s">
        <v>93</v>
      </c>
      <c r="J5" s="127"/>
      <c r="K5" s="127" t="s">
        <v>90</v>
      </c>
      <c r="L5" s="127" t="s">
        <v>90</v>
      </c>
      <c r="M5" s="126" t="s">
        <v>90</v>
      </c>
      <c r="N5" s="126"/>
      <c r="O5" s="126"/>
      <c r="P5" s="126"/>
      <c r="Q5" s="126"/>
      <c r="R5" s="10"/>
      <c r="S5" s="10"/>
      <c r="T5" s="10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15">
      <c r="A6" s="3" t="s">
        <v>9</v>
      </c>
      <c r="B6" s="100" t="s">
        <v>94</v>
      </c>
      <c r="C6" s="120">
        <v>14</v>
      </c>
      <c r="D6" s="120">
        <f>SUMIF('Detailed Gantt'!$B$6:$B$27,B6,'Detailed Gantt'!$M$6:$M$27)</f>
        <v>0</v>
      </c>
      <c r="E6" s="122">
        <f>IF(C6=0,0,SUMPRODUCT(('Detailed Gantt'!$B$6:$B$27=B6)*'Detailed Gantt'!$F$6:$F$27*'Detailed Gantt'!$L$6:$L$27)/C6)</f>
        <v>0</v>
      </c>
      <c r="F6" s="124">
        <v>46230</v>
      </c>
      <c r="G6" s="124">
        <v>46236</v>
      </c>
      <c r="H6" s="3" t="s">
        <v>95</v>
      </c>
      <c r="I6" s="126" t="s">
        <v>96</v>
      </c>
      <c r="J6" s="126"/>
      <c r="K6" s="126"/>
      <c r="L6" s="128"/>
      <c r="M6" s="128"/>
      <c r="N6" s="128" t="s">
        <v>90</v>
      </c>
      <c r="O6" s="126"/>
      <c r="P6" s="126"/>
      <c r="Q6" s="126"/>
      <c r="R6" s="10"/>
      <c r="S6" s="10"/>
      <c r="T6" s="10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15">
      <c r="A7" s="3" t="s">
        <v>12</v>
      </c>
      <c r="B7" s="129" t="s">
        <v>97</v>
      </c>
      <c r="C7" s="120">
        <v>14</v>
      </c>
      <c r="D7" s="120">
        <f>SUMIF('Detailed Gantt'!$B$6:$B$27,B7,'Detailed Gantt'!$M$6:$M$27)</f>
        <v>0</v>
      </c>
      <c r="E7" s="122">
        <f>IF(C7=0,0,SUMPRODUCT(('Detailed Gantt'!$B$6:$B$27=B7)*'Detailed Gantt'!$F$6:$F$27*'Detailed Gantt'!$L$6:$L$27)/C7)</f>
        <v>0</v>
      </c>
      <c r="F7" s="124">
        <v>46209</v>
      </c>
      <c r="G7" s="124">
        <v>46243</v>
      </c>
      <c r="H7" s="3" t="s">
        <v>98</v>
      </c>
      <c r="I7" s="126" t="s">
        <v>99</v>
      </c>
      <c r="J7" s="126"/>
      <c r="K7" s="126" t="s">
        <v>90</v>
      </c>
      <c r="L7" s="126" t="s">
        <v>90</v>
      </c>
      <c r="M7" s="126" t="s">
        <v>90</v>
      </c>
      <c r="N7" s="130" t="s">
        <v>90</v>
      </c>
      <c r="O7" s="130" t="s">
        <v>90</v>
      </c>
      <c r="P7" s="130"/>
      <c r="Q7" s="126"/>
      <c r="R7" s="10"/>
      <c r="S7" s="10"/>
      <c r="T7" s="10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15">
      <c r="A8" s="3" t="s">
        <v>16</v>
      </c>
      <c r="B8" s="131" t="s">
        <v>100</v>
      </c>
      <c r="C8" s="120">
        <v>8</v>
      </c>
      <c r="D8" s="120">
        <f>SUMIF('Detailed Gantt'!$B$6:$B$27,B8,'Detailed Gantt'!$M$6:$M$27)</f>
        <v>0</v>
      </c>
      <c r="E8" s="122">
        <f>IF(C8=0,0,SUMPRODUCT(('Detailed Gantt'!$B$6:$B$27=B8)*'Detailed Gantt'!$F$6:$F$27*'Detailed Gantt'!$L$6:$L$27)/C8)</f>
        <v>0.26249999999999996</v>
      </c>
      <c r="F8" s="124">
        <v>46223</v>
      </c>
      <c r="G8" s="124">
        <v>46250</v>
      </c>
      <c r="H8" s="3" t="s">
        <v>101</v>
      </c>
      <c r="I8" s="126" t="s">
        <v>102</v>
      </c>
      <c r="J8" s="126"/>
      <c r="K8" s="126"/>
      <c r="L8" s="126"/>
      <c r="M8" s="126" t="s">
        <v>90</v>
      </c>
      <c r="N8" s="126" t="s">
        <v>90</v>
      </c>
      <c r="O8" s="126" t="s">
        <v>90</v>
      </c>
      <c r="P8" s="132" t="s">
        <v>90</v>
      </c>
      <c r="Q8" s="132"/>
      <c r="R8" s="14"/>
      <c r="S8" s="10"/>
      <c r="T8" s="10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15">
      <c r="A9" s="3" t="s">
        <v>19</v>
      </c>
      <c r="B9" s="133" t="s">
        <v>103</v>
      </c>
      <c r="C9" s="120">
        <v>8</v>
      </c>
      <c r="D9" s="120">
        <f>SUMIF('Detailed Gantt'!$B$6:$B$27,B9,'Detailed Gantt'!$M$6:$M$27)</f>
        <v>0</v>
      </c>
      <c r="E9" s="122">
        <f>IF(C9=0,0,SUMPRODUCT(('Detailed Gantt'!$B$6:$B$27=B9)*'Detailed Gantt'!$F$6:$F$27*'Detailed Gantt'!$L$6:$L$27)/C9)</f>
        <v>0</v>
      </c>
      <c r="F9" s="124">
        <v>46244</v>
      </c>
      <c r="G9" s="124">
        <v>46257</v>
      </c>
      <c r="H9" s="3" t="s">
        <v>104</v>
      </c>
      <c r="I9" s="126" t="s">
        <v>105</v>
      </c>
      <c r="J9" s="126"/>
      <c r="K9" s="126"/>
      <c r="L9" s="126"/>
      <c r="M9" s="126"/>
      <c r="N9" s="126"/>
      <c r="O9" s="126"/>
      <c r="P9" s="126" t="s">
        <v>90</v>
      </c>
      <c r="Q9" s="126" t="s">
        <v>90</v>
      </c>
      <c r="R9" s="16"/>
      <c r="S9" s="16"/>
      <c r="T9" s="10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27">
      <c r="A10" s="89" t="s">
        <v>106</v>
      </c>
      <c r="B10" s="89"/>
      <c r="C10" s="121">
        <f>SUM(C4:C9)</f>
        <v>76</v>
      </c>
      <c r="D10" s="121">
        <f>SUM(D4:D9)</f>
        <v>7.5500000000000007</v>
      </c>
      <c r="E10" s="123">
        <f>SUMPRODUCT(C4:C9,E4:E9)/C10</f>
        <v>0.13289473684210526</v>
      </c>
      <c r="F10" s="116"/>
      <c r="G10" s="89"/>
      <c r="H10" s="89"/>
      <c r="I10" s="119"/>
      <c r="J10" s="119"/>
      <c r="K10" s="119"/>
      <c r="L10" s="119"/>
      <c r="M10" s="119"/>
      <c r="N10" s="119"/>
      <c r="O10" s="119"/>
      <c r="P10" s="119"/>
      <c r="Q10" s="119"/>
      <c r="R10" s="10"/>
      <c r="S10" s="18"/>
      <c r="T10" s="18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15">
      <c r="A11" s="77"/>
      <c r="B11" s="19"/>
      <c r="C11" s="19"/>
      <c r="D11" s="20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2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1">
    <mergeCell ref="A1:Q1"/>
  </mergeCells>
  <conditionalFormatting sqref="J4:Q9">
    <cfRule type="expression" dxfId="14" priority="1">
      <formula>J4="■"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Q100"/>
  <sheetViews>
    <sheetView workbookViewId="0"/>
  </sheetViews>
  <sheetFormatPr defaultRowHeight="14.25"/>
  <cols>
    <col min="1" max="1" width="8" customWidth="1"/>
    <col min="2" max="2" width="26" customWidth="1"/>
    <col min="3" max="3" width="34" customWidth="1"/>
    <col min="4" max="4" width="45" customWidth="1"/>
    <col min="5" max="5" width="14" customWidth="1"/>
    <col min="6" max="6" width="11" customWidth="1"/>
    <col min="7" max="8" width="9" customWidth="1"/>
    <col min="9" max="10" width="12" customWidth="1"/>
    <col min="11" max="11" width="13" customWidth="1"/>
    <col min="12" max="13" width="11" customWidth="1"/>
    <col min="14" max="14" width="13" customWidth="1"/>
    <col min="15" max="15" width="11" customWidth="1"/>
    <col min="16" max="16" width="28" customWidth="1"/>
    <col min="17" max="17" width="34" customWidth="1"/>
    <col min="18" max="18" width="42" customWidth="1"/>
    <col min="19" max="26" width="7" customWidth="1"/>
    <col min="27" max="69" width="5" customWidth="1"/>
  </cols>
  <sheetData>
    <row r="1" spans="1:69" ht="15">
      <c r="A1" s="86" t="s">
        <v>107</v>
      </c>
      <c r="B1" s="87">
        <v>46202</v>
      </c>
      <c r="C1" s="87"/>
      <c r="D1" s="86" t="s">
        <v>108</v>
      </c>
      <c r="E1" s="86">
        <v>76</v>
      </c>
      <c r="F1" s="86"/>
      <c r="G1" s="86" t="s">
        <v>109</v>
      </c>
      <c r="H1" s="87">
        <v>46257</v>
      </c>
      <c r="I1" s="86"/>
      <c r="J1" s="86" t="s">
        <v>110</v>
      </c>
      <c r="K1" s="86" t="s">
        <v>111</v>
      </c>
      <c r="L1" s="2"/>
      <c r="M1" s="2"/>
      <c r="N1" s="2"/>
      <c r="O1" s="2"/>
      <c r="P1" s="2"/>
      <c r="Q1" s="2"/>
      <c r="R1" s="176"/>
      <c r="S1" s="176"/>
      <c r="T1" s="176"/>
      <c r="U1" s="176"/>
      <c r="V1" s="176"/>
      <c r="W1" s="176"/>
      <c r="X1" s="176"/>
      <c r="Y1" s="176"/>
      <c r="Z1" s="176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76"/>
      <c r="S2" s="176"/>
      <c r="T2" s="176"/>
      <c r="U2" s="176"/>
      <c r="V2" s="176"/>
      <c r="W2" s="176"/>
      <c r="X2" s="176"/>
      <c r="Y2" s="176"/>
      <c r="Z2" s="176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15">
      <c r="A3" s="219" t="s">
        <v>112</v>
      </c>
      <c r="B3" s="219"/>
      <c r="C3" s="220"/>
      <c r="D3" s="220"/>
      <c r="E3" s="220"/>
      <c r="F3" s="220"/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1"/>
      <c r="S3" s="176"/>
      <c r="T3" s="176"/>
      <c r="U3" s="176"/>
      <c r="V3" s="176"/>
      <c r="W3" s="176"/>
      <c r="X3" s="176"/>
      <c r="Y3" s="176"/>
      <c r="Z3" s="176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27.9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22"/>
      <c r="S4" s="171">
        <v>46202</v>
      </c>
      <c r="T4" s="171">
        <v>46209</v>
      </c>
      <c r="U4" s="171">
        <v>46216</v>
      </c>
      <c r="V4" s="171">
        <v>46223</v>
      </c>
      <c r="W4" s="171">
        <v>46230</v>
      </c>
      <c r="X4" s="171">
        <v>46237</v>
      </c>
      <c r="Y4" s="171">
        <v>46244</v>
      </c>
      <c r="Z4" s="171">
        <v>46251</v>
      </c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</row>
    <row r="5" spans="1:69" ht="42" customHeight="1">
      <c r="A5" s="88" t="s">
        <v>113</v>
      </c>
      <c r="B5" s="88" t="s">
        <v>70</v>
      </c>
      <c r="C5" s="88" t="s">
        <v>114</v>
      </c>
      <c r="D5" s="88" t="s">
        <v>115</v>
      </c>
      <c r="E5" s="88" t="s">
        <v>116</v>
      </c>
      <c r="F5" s="88" t="s">
        <v>71</v>
      </c>
      <c r="G5" s="88" t="s">
        <v>117</v>
      </c>
      <c r="H5" s="88" t="s">
        <v>118</v>
      </c>
      <c r="I5" s="88" t="s">
        <v>119</v>
      </c>
      <c r="J5" s="88" t="s">
        <v>120</v>
      </c>
      <c r="K5" s="88" t="s">
        <v>121</v>
      </c>
      <c r="L5" s="88" t="s">
        <v>73</v>
      </c>
      <c r="M5" s="88" t="s">
        <v>72</v>
      </c>
      <c r="N5" s="88" t="s">
        <v>122</v>
      </c>
      <c r="O5" s="88" t="s">
        <v>123</v>
      </c>
      <c r="P5" s="88" t="s">
        <v>124</v>
      </c>
      <c r="Q5" s="88" t="s">
        <v>125</v>
      </c>
      <c r="R5" s="88" t="s">
        <v>126</v>
      </c>
      <c r="S5" s="172" t="s">
        <v>78</v>
      </c>
      <c r="T5" s="172" t="s">
        <v>79</v>
      </c>
      <c r="U5" s="172" t="s">
        <v>80</v>
      </c>
      <c r="V5" s="172" t="s">
        <v>81</v>
      </c>
      <c r="W5" s="172" t="s">
        <v>82</v>
      </c>
      <c r="X5" s="172" t="s">
        <v>83</v>
      </c>
      <c r="Y5" s="172" t="s">
        <v>84</v>
      </c>
      <c r="Z5" s="172" t="s">
        <v>85</v>
      </c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</row>
    <row r="6" spans="1:69" ht="42" customHeight="1">
      <c r="A6" s="103" t="s">
        <v>127</v>
      </c>
      <c r="B6" s="104" t="s">
        <v>87</v>
      </c>
      <c r="C6" s="103" t="s">
        <v>128</v>
      </c>
      <c r="D6" s="103" t="s">
        <v>129</v>
      </c>
      <c r="E6" s="103" t="s">
        <v>130</v>
      </c>
      <c r="F6" s="105">
        <v>2</v>
      </c>
      <c r="G6" s="106">
        <v>1</v>
      </c>
      <c r="H6" s="106">
        <v>1</v>
      </c>
      <c r="I6" s="107">
        <f t="shared" ref="I6:I37" si="0">$B$1+(G6-1)*7</f>
        <v>46202</v>
      </c>
      <c r="J6" s="107">
        <f t="shared" ref="J6:J37" si="1">$B$1+H6*7-1</f>
        <v>46208</v>
      </c>
      <c r="K6" s="107">
        <f t="shared" ref="K6:K37" si="2">$C$1+H6*7-1</f>
        <v>6</v>
      </c>
      <c r="L6" s="108">
        <v>1</v>
      </c>
      <c r="M6" s="109">
        <f>SUMIF('Work Block Log'!$E$5:$E$200,A6,'Work Block Log'!$F$5:$F$200)</f>
        <v>2.5</v>
      </c>
      <c r="N6" s="109">
        <f t="shared" ref="N6:N27" si="3">MAX(F6*(1-L6),0)</f>
        <v>0</v>
      </c>
      <c r="O6" s="109">
        <f t="shared" ref="O6:O37" si="4">M6-F6</f>
        <v>0.5</v>
      </c>
      <c r="P6" s="106">
        <f t="shared" ref="P6:P37" si="5">MAX(F6*(1-M6),0)</f>
        <v>0</v>
      </c>
      <c r="Q6" s="103" t="s">
        <v>131</v>
      </c>
      <c r="R6" s="110" t="s">
        <v>132</v>
      </c>
      <c r="S6" s="173" t="s">
        <v>90</v>
      </c>
      <c r="T6" s="173"/>
      <c r="U6" s="173"/>
      <c r="V6" s="173"/>
      <c r="W6" s="173"/>
      <c r="X6" s="173"/>
      <c r="Y6" s="173"/>
      <c r="Z6" s="173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7"/>
    </row>
    <row r="7" spans="1:69" ht="42" customHeight="1">
      <c r="A7" s="3" t="s">
        <v>133</v>
      </c>
      <c r="B7" s="102" t="s">
        <v>87</v>
      </c>
      <c r="C7" s="3" t="s">
        <v>134</v>
      </c>
      <c r="D7" s="3" t="s">
        <v>135</v>
      </c>
      <c r="E7" s="3" t="s">
        <v>127</v>
      </c>
      <c r="F7" s="94">
        <v>2</v>
      </c>
      <c r="G7" s="97">
        <v>1</v>
      </c>
      <c r="H7" s="97">
        <v>2</v>
      </c>
      <c r="I7" s="93">
        <f t="shared" si="0"/>
        <v>46202</v>
      </c>
      <c r="J7" s="93">
        <f t="shared" si="1"/>
        <v>46215</v>
      </c>
      <c r="K7" s="93">
        <f t="shared" si="2"/>
        <v>13</v>
      </c>
      <c r="L7" s="66">
        <v>1</v>
      </c>
      <c r="M7" s="67">
        <f>SUMIF('Work Block Log'!$E$5:$E$200,A7,'Work Block Log'!$F$5:$F$200)</f>
        <v>2.9</v>
      </c>
      <c r="N7" s="67">
        <f t="shared" si="3"/>
        <v>0</v>
      </c>
      <c r="O7" s="67">
        <f t="shared" si="4"/>
        <v>0.89999999999999991</v>
      </c>
      <c r="P7" s="97">
        <f t="shared" si="5"/>
        <v>0</v>
      </c>
      <c r="Q7" s="3" t="s">
        <v>136</v>
      </c>
      <c r="R7" s="101" t="s">
        <v>137</v>
      </c>
      <c r="S7" s="173" t="s">
        <v>90</v>
      </c>
      <c r="T7" s="173" t="s">
        <v>90</v>
      </c>
      <c r="U7" s="173"/>
      <c r="V7" s="173"/>
      <c r="W7" s="173"/>
      <c r="X7" s="173"/>
      <c r="Y7" s="173"/>
      <c r="Z7" s="173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/>
      <c r="BL7" s="28"/>
      <c r="BM7" s="28"/>
      <c r="BN7" s="28"/>
      <c r="BO7" s="28"/>
      <c r="BP7" s="28"/>
      <c r="BQ7" s="29"/>
    </row>
    <row r="8" spans="1:69" ht="42" customHeight="1">
      <c r="A8" s="103" t="s">
        <v>138</v>
      </c>
      <c r="B8" s="104" t="s">
        <v>87</v>
      </c>
      <c r="C8" s="103" t="s">
        <v>139</v>
      </c>
      <c r="D8" s="103" t="s">
        <v>140</v>
      </c>
      <c r="E8" s="103" t="s">
        <v>127</v>
      </c>
      <c r="F8" s="105">
        <v>4</v>
      </c>
      <c r="G8" s="106">
        <v>1</v>
      </c>
      <c r="H8" s="106">
        <v>1</v>
      </c>
      <c r="I8" s="107">
        <f t="shared" si="0"/>
        <v>46202</v>
      </c>
      <c r="J8" s="107">
        <f t="shared" si="1"/>
        <v>46208</v>
      </c>
      <c r="K8" s="107">
        <f t="shared" si="2"/>
        <v>6</v>
      </c>
      <c r="L8" s="108">
        <v>1</v>
      </c>
      <c r="M8" s="109">
        <f>SUMIF('Work Block Log'!$E$5:$E$200,A8,'Work Block Log'!$F$5:$F$200)</f>
        <v>2.15</v>
      </c>
      <c r="N8" s="109">
        <f t="shared" si="3"/>
        <v>0</v>
      </c>
      <c r="O8" s="109">
        <f t="shared" si="4"/>
        <v>-1.85</v>
      </c>
      <c r="P8" s="106">
        <f t="shared" si="5"/>
        <v>0</v>
      </c>
      <c r="Q8" s="103" t="s">
        <v>141</v>
      </c>
      <c r="R8" s="110" t="s">
        <v>142</v>
      </c>
      <c r="S8" s="174" t="s">
        <v>90</v>
      </c>
      <c r="T8" s="173"/>
      <c r="U8" s="173"/>
      <c r="V8" s="173"/>
      <c r="W8" s="173"/>
      <c r="X8" s="173"/>
      <c r="Y8" s="173"/>
      <c r="Z8" s="173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  <c r="BE8" s="28"/>
      <c r="BF8" s="28"/>
      <c r="BG8" s="28"/>
      <c r="BH8" s="28"/>
      <c r="BI8" s="28"/>
      <c r="BJ8" s="28"/>
      <c r="BK8" s="28"/>
      <c r="BL8" s="28"/>
      <c r="BM8" s="28"/>
      <c r="BN8" s="28"/>
      <c r="BO8" s="28"/>
      <c r="BP8" s="28"/>
      <c r="BQ8" s="29"/>
    </row>
    <row r="9" spans="1:69" ht="68.099999999999994" customHeight="1">
      <c r="A9" s="3" t="s">
        <v>143</v>
      </c>
      <c r="B9" s="111" t="s">
        <v>91</v>
      </c>
      <c r="C9" s="3" t="s">
        <v>144</v>
      </c>
      <c r="D9" s="3" t="s">
        <v>145</v>
      </c>
      <c r="E9" s="3" t="s">
        <v>138</v>
      </c>
      <c r="F9" s="94">
        <v>4</v>
      </c>
      <c r="G9" s="97">
        <v>2</v>
      </c>
      <c r="H9" s="97">
        <v>2</v>
      </c>
      <c r="I9" s="93">
        <f t="shared" si="0"/>
        <v>46209</v>
      </c>
      <c r="J9" s="93">
        <f t="shared" si="1"/>
        <v>46215</v>
      </c>
      <c r="K9" s="93">
        <f t="shared" si="2"/>
        <v>13</v>
      </c>
      <c r="L9" s="66">
        <v>0</v>
      </c>
      <c r="M9" s="67">
        <f>SUMIF('Work Block Log'!$E$5:$E$200,A9,'Work Block Log'!$F$5:$F$200)</f>
        <v>0</v>
      </c>
      <c r="N9" s="67">
        <f t="shared" si="3"/>
        <v>4</v>
      </c>
      <c r="O9" s="67">
        <f t="shared" si="4"/>
        <v>-4</v>
      </c>
      <c r="P9" s="97">
        <f t="shared" si="5"/>
        <v>4</v>
      </c>
      <c r="Q9" s="3" t="s">
        <v>146</v>
      </c>
      <c r="R9" s="97" t="s">
        <v>147</v>
      </c>
      <c r="S9" s="174"/>
      <c r="T9" s="173" t="s">
        <v>90</v>
      </c>
      <c r="U9" s="173"/>
      <c r="V9" s="173"/>
      <c r="W9" s="173"/>
      <c r="X9" s="173"/>
      <c r="Y9" s="173"/>
      <c r="Z9" s="173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  <c r="BM9" s="28"/>
      <c r="BN9" s="28"/>
      <c r="BO9" s="28"/>
      <c r="BP9" s="28"/>
      <c r="BQ9" s="29"/>
    </row>
    <row r="10" spans="1:69" ht="42" customHeight="1">
      <c r="A10" s="103" t="s">
        <v>148</v>
      </c>
      <c r="B10" s="104" t="s">
        <v>91</v>
      </c>
      <c r="C10" s="103" t="s">
        <v>149</v>
      </c>
      <c r="D10" s="103" t="s">
        <v>150</v>
      </c>
      <c r="E10" s="103" t="s">
        <v>143</v>
      </c>
      <c r="F10" s="105">
        <v>5</v>
      </c>
      <c r="G10" s="106">
        <v>2</v>
      </c>
      <c r="H10" s="106">
        <v>3</v>
      </c>
      <c r="I10" s="107">
        <f t="shared" si="0"/>
        <v>46209</v>
      </c>
      <c r="J10" s="107">
        <f t="shared" si="1"/>
        <v>46222</v>
      </c>
      <c r="K10" s="107">
        <f t="shared" si="2"/>
        <v>20</v>
      </c>
      <c r="L10" s="108">
        <v>0</v>
      </c>
      <c r="M10" s="109">
        <f>SUMIF('Work Block Log'!$E$5:$E$200,A10,'Work Block Log'!$F$5:$F$200)</f>
        <v>0</v>
      </c>
      <c r="N10" s="109">
        <f t="shared" si="3"/>
        <v>5</v>
      </c>
      <c r="O10" s="109">
        <f t="shared" si="4"/>
        <v>-5</v>
      </c>
      <c r="P10" s="106">
        <f t="shared" si="5"/>
        <v>5</v>
      </c>
      <c r="Q10" s="103" t="s">
        <v>151</v>
      </c>
      <c r="R10" s="110" t="s">
        <v>152</v>
      </c>
      <c r="S10" s="174"/>
      <c r="T10" s="174" t="s">
        <v>90</v>
      </c>
      <c r="U10" s="174" t="s">
        <v>90</v>
      </c>
      <c r="V10" s="174"/>
      <c r="W10" s="174"/>
      <c r="X10" s="174"/>
      <c r="Y10" s="174"/>
      <c r="Z10" s="174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0"/>
    </row>
    <row r="11" spans="1:69" ht="42" customHeight="1">
      <c r="A11" s="3" t="s">
        <v>153</v>
      </c>
      <c r="B11" s="111" t="s">
        <v>91</v>
      </c>
      <c r="C11" s="3" t="s">
        <v>154</v>
      </c>
      <c r="D11" s="3" t="s">
        <v>155</v>
      </c>
      <c r="E11" s="3" t="s">
        <v>148</v>
      </c>
      <c r="F11" s="94">
        <v>5</v>
      </c>
      <c r="G11" s="97">
        <v>3</v>
      </c>
      <c r="H11" s="97">
        <v>3</v>
      </c>
      <c r="I11" s="93">
        <f t="shared" si="0"/>
        <v>46216</v>
      </c>
      <c r="J11" s="93">
        <f t="shared" si="1"/>
        <v>46222</v>
      </c>
      <c r="K11" s="93">
        <f t="shared" si="2"/>
        <v>20</v>
      </c>
      <c r="L11" s="66">
        <v>0</v>
      </c>
      <c r="M11" s="67">
        <f>SUMIF('Work Block Log'!$E$5:$E$200,A11,'Work Block Log'!$F$5:$F$200)</f>
        <v>0</v>
      </c>
      <c r="N11" s="67">
        <f t="shared" si="3"/>
        <v>5</v>
      </c>
      <c r="O11" s="67">
        <f t="shared" si="4"/>
        <v>-5</v>
      </c>
      <c r="P11" s="97">
        <f t="shared" si="5"/>
        <v>5</v>
      </c>
      <c r="Q11" s="3" t="s">
        <v>156</v>
      </c>
      <c r="R11" s="97" t="s">
        <v>157</v>
      </c>
      <c r="S11" s="173"/>
      <c r="T11" s="173"/>
      <c r="U11" s="174" t="s">
        <v>90</v>
      </c>
      <c r="V11" s="174"/>
      <c r="W11" s="174"/>
      <c r="X11" s="174"/>
      <c r="Y11" s="174"/>
      <c r="Z11" s="174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0"/>
    </row>
    <row r="12" spans="1:69" ht="42" customHeight="1">
      <c r="A12" s="103" t="s">
        <v>158</v>
      </c>
      <c r="B12" s="104" t="s">
        <v>91</v>
      </c>
      <c r="C12" s="103" t="s">
        <v>159</v>
      </c>
      <c r="D12" s="103" t="s">
        <v>160</v>
      </c>
      <c r="E12" s="103" t="s">
        <v>148</v>
      </c>
      <c r="F12" s="105">
        <v>4</v>
      </c>
      <c r="G12" s="106">
        <v>3</v>
      </c>
      <c r="H12" s="106">
        <v>4</v>
      </c>
      <c r="I12" s="107">
        <f t="shared" si="0"/>
        <v>46216</v>
      </c>
      <c r="J12" s="107">
        <f t="shared" si="1"/>
        <v>46229</v>
      </c>
      <c r="K12" s="107">
        <f t="shared" si="2"/>
        <v>27</v>
      </c>
      <c r="L12" s="108">
        <v>0</v>
      </c>
      <c r="M12" s="109">
        <f>SUMIF('Work Block Log'!$E$5:$E$200,A12,'Work Block Log'!$F$5:$F$200)</f>
        <v>0</v>
      </c>
      <c r="N12" s="109">
        <f t="shared" si="3"/>
        <v>4</v>
      </c>
      <c r="O12" s="109">
        <f t="shared" si="4"/>
        <v>-4</v>
      </c>
      <c r="P12" s="106">
        <f t="shared" si="5"/>
        <v>4</v>
      </c>
      <c r="Q12" s="103" t="s">
        <v>161</v>
      </c>
      <c r="R12" s="106" t="s">
        <v>162</v>
      </c>
      <c r="S12" s="173"/>
      <c r="T12" s="173"/>
      <c r="U12" s="173" t="s">
        <v>90</v>
      </c>
      <c r="V12" s="173" t="s">
        <v>90</v>
      </c>
      <c r="W12" s="173"/>
      <c r="X12" s="173"/>
      <c r="Y12" s="173"/>
      <c r="Z12" s="174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0"/>
    </row>
    <row r="13" spans="1:69" ht="42" customHeight="1">
      <c r="A13" s="3" t="s">
        <v>163</v>
      </c>
      <c r="B13" s="111" t="s">
        <v>91</v>
      </c>
      <c r="C13" s="3" t="s">
        <v>164</v>
      </c>
      <c r="D13" s="3" t="s">
        <v>165</v>
      </c>
      <c r="E13" s="3" t="s">
        <v>166</v>
      </c>
      <c r="F13" s="94">
        <v>6</v>
      </c>
      <c r="G13" s="97">
        <v>4</v>
      </c>
      <c r="H13" s="97">
        <v>4</v>
      </c>
      <c r="I13" s="93">
        <f t="shared" si="0"/>
        <v>46223</v>
      </c>
      <c r="J13" s="93">
        <f t="shared" si="1"/>
        <v>46229</v>
      </c>
      <c r="K13" s="93">
        <f t="shared" si="2"/>
        <v>27</v>
      </c>
      <c r="L13" s="66">
        <v>0</v>
      </c>
      <c r="M13" s="67">
        <f>SUMIF('Work Block Log'!$E$5:$E$200,A13,'Work Block Log'!$F$5:$F$200)</f>
        <v>0</v>
      </c>
      <c r="N13" s="67">
        <f t="shared" si="3"/>
        <v>6</v>
      </c>
      <c r="O13" s="67">
        <f t="shared" si="4"/>
        <v>-6</v>
      </c>
      <c r="P13" s="97">
        <f t="shared" si="5"/>
        <v>6</v>
      </c>
      <c r="Q13" s="3" t="s">
        <v>167</v>
      </c>
      <c r="R13" s="97" t="s">
        <v>168</v>
      </c>
      <c r="S13" s="173"/>
      <c r="T13" s="174"/>
      <c r="U13" s="173"/>
      <c r="V13" s="173" t="s">
        <v>90</v>
      </c>
      <c r="W13" s="173"/>
      <c r="X13" s="173"/>
      <c r="Y13" s="173"/>
      <c r="Z13" s="173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29"/>
    </row>
    <row r="14" spans="1:69" ht="42" customHeight="1">
      <c r="A14" s="103" t="s">
        <v>169</v>
      </c>
      <c r="B14" s="104" t="s">
        <v>94</v>
      </c>
      <c r="C14" s="103" t="s">
        <v>170</v>
      </c>
      <c r="D14" s="103" t="s">
        <v>171</v>
      </c>
      <c r="E14" s="103" t="s">
        <v>163</v>
      </c>
      <c r="F14" s="105">
        <v>4</v>
      </c>
      <c r="G14" s="106">
        <v>5</v>
      </c>
      <c r="H14" s="106">
        <v>5</v>
      </c>
      <c r="I14" s="107">
        <f t="shared" si="0"/>
        <v>46230</v>
      </c>
      <c r="J14" s="107">
        <f t="shared" si="1"/>
        <v>46236</v>
      </c>
      <c r="K14" s="107">
        <f t="shared" si="2"/>
        <v>34</v>
      </c>
      <c r="L14" s="108">
        <v>0</v>
      </c>
      <c r="M14" s="109">
        <f>SUMIF('Work Block Log'!$E$5:$E$200,A14,'Work Block Log'!$F$5:$F$200)</f>
        <v>0</v>
      </c>
      <c r="N14" s="109">
        <f t="shared" si="3"/>
        <v>4</v>
      </c>
      <c r="O14" s="109">
        <f t="shared" si="4"/>
        <v>-4</v>
      </c>
      <c r="P14" s="106">
        <f t="shared" si="5"/>
        <v>4</v>
      </c>
      <c r="Q14" s="103" t="s">
        <v>172</v>
      </c>
      <c r="R14" s="106" t="s">
        <v>173</v>
      </c>
      <c r="S14" s="173"/>
      <c r="T14" s="174"/>
      <c r="U14" s="174"/>
      <c r="V14" s="173"/>
      <c r="W14" s="173" t="s">
        <v>90</v>
      </c>
      <c r="X14" s="173"/>
      <c r="Y14" s="173"/>
      <c r="Z14" s="173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8"/>
      <c r="BO14" s="28"/>
      <c r="BP14" s="28"/>
      <c r="BQ14" s="29"/>
    </row>
    <row r="15" spans="1:69" ht="62.1" customHeight="1">
      <c r="A15" s="3" t="s">
        <v>174</v>
      </c>
      <c r="B15" s="112" t="s">
        <v>94</v>
      </c>
      <c r="C15" s="3" t="s">
        <v>175</v>
      </c>
      <c r="D15" s="3" t="s">
        <v>176</v>
      </c>
      <c r="E15" s="3" t="s">
        <v>163</v>
      </c>
      <c r="F15" s="94">
        <v>4</v>
      </c>
      <c r="G15" s="97">
        <v>5</v>
      </c>
      <c r="H15" s="97">
        <v>5</v>
      </c>
      <c r="I15" s="93">
        <f t="shared" si="0"/>
        <v>46230</v>
      </c>
      <c r="J15" s="93">
        <f t="shared" si="1"/>
        <v>46236</v>
      </c>
      <c r="K15" s="93">
        <f t="shared" si="2"/>
        <v>34</v>
      </c>
      <c r="L15" s="66">
        <v>0</v>
      </c>
      <c r="M15" s="67">
        <f>SUMIF('Work Block Log'!$E$5:$E$200,A15,'Work Block Log'!$F$5:$F$200)</f>
        <v>0</v>
      </c>
      <c r="N15" s="67">
        <f t="shared" si="3"/>
        <v>4</v>
      </c>
      <c r="O15" s="67">
        <f t="shared" si="4"/>
        <v>-4</v>
      </c>
      <c r="P15" s="97">
        <f t="shared" si="5"/>
        <v>4</v>
      </c>
      <c r="Q15" s="3" t="s">
        <v>177</v>
      </c>
      <c r="R15" s="97" t="s">
        <v>178</v>
      </c>
      <c r="S15" s="173"/>
      <c r="T15" s="173"/>
      <c r="U15" s="174"/>
      <c r="V15" s="174"/>
      <c r="W15" s="173" t="s">
        <v>90</v>
      </c>
      <c r="X15" s="173"/>
      <c r="Y15" s="173"/>
      <c r="Z15" s="173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  <c r="BN15" s="28"/>
      <c r="BO15" s="28"/>
      <c r="BP15" s="28"/>
      <c r="BQ15" s="29"/>
    </row>
    <row r="16" spans="1:69" ht="42" customHeight="1">
      <c r="A16" s="103" t="s">
        <v>179</v>
      </c>
      <c r="B16" s="104" t="s">
        <v>94</v>
      </c>
      <c r="C16" s="103" t="s">
        <v>180</v>
      </c>
      <c r="D16" s="103" t="s">
        <v>181</v>
      </c>
      <c r="E16" s="103" t="s">
        <v>174</v>
      </c>
      <c r="F16" s="105">
        <v>3</v>
      </c>
      <c r="G16" s="106">
        <v>5</v>
      </c>
      <c r="H16" s="106">
        <v>5</v>
      </c>
      <c r="I16" s="107">
        <f t="shared" si="0"/>
        <v>46230</v>
      </c>
      <c r="J16" s="107">
        <f t="shared" si="1"/>
        <v>46236</v>
      </c>
      <c r="K16" s="107">
        <f t="shared" si="2"/>
        <v>34</v>
      </c>
      <c r="L16" s="108">
        <v>0</v>
      </c>
      <c r="M16" s="109">
        <f>SUMIF('Work Block Log'!$E$5:$E$200,A16,'Work Block Log'!$F$5:$F$200)</f>
        <v>0</v>
      </c>
      <c r="N16" s="109">
        <f t="shared" si="3"/>
        <v>3</v>
      </c>
      <c r="O16" s="109">
        <f t="shared" si="4"/>
        <v>-3</v>
      </c>
      <c r="P16" s="106">
        <f t="shared" si="5"/>
        <v>3</v>
      </c>
      <c r="Q16" s="103" t="s">
        <v>182</v>
      </c>
      <c r="R16" s="106" t="s">
        <v>183</v>
      </c>
      <c r="S16" s="173"/>
      <c r="T16" s="173"/>
      <c r="U16" s="173"/>
      <c r="V16" s="174"/>
      <c r="W16" s="174" t="s">
        <v>90</v>
      </c>
      <c r="X16" s="174"/>
      <c r="Y16" s="173"/>
      <c r="Z16" s="173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  <c r="BN16" s="28"/>
      <c r="BO16" s="28"/>
      <c r="BP16" s="28"/>
      <c r="BQ16" s="29"/>
    </row>
    <row r="17" spans="1:69" ht="42" customHeight="1">
      <c r="A17" s="3" t="s">
        <v>184</v>
      </c>
      <c r="B17" s="112" t="s">
        <v>94</v>
      </c>
      <c r="C17" s="3" t="s">
        <v>185</v>
      </c>
      <c r="D17" s="3" t="s">
        <v>186</v>
      </c>
      <c r="E17" s="3" t="s">
        <v>187</v>
      </c>
      <c r="F17" s="94">
        <v>3</v>
      </c>
      <c r="G17" s="97">
        <v>5</v>
      </c>
      <c r="H17" s="97">
        <v>5</v>
      </c>
      <c r="I17" s="93">
        <f t="shared" si="0"/>
        <v>46230</v>
      </c>
      <c r="J17" s="93">
        <f t="shared" si="1"/>
        <v>46236</v>
      </c>
      <c r="K17" s="93">
        <f t="shared" si="2"/>
        <v>34</v>
      </c>
      <c r="L17" s="66">
        <v>0</v>
      </c>
      <c r="M17" s="67">
        <f>SUMIF('Work Block Log'!$E$5:$E$200,A17,'Work Block Log'!$F$5:$F$200)</f>
        <v>0</v>
      </c>
      <c r="N17" s="67">
        <f t="shared" si="3"/>
        <v>3</v>
      </c>
      <c r="O17" s="67">
        <f t="shared" si="4"/>
        <v>-3</v>
      </c>
      <c r="P17" s="97">
        <f t="shared" si="5"/>
        <v>3</v>
      </c>
      <c r="Q17" s="3" t="s">
        <v>188</v>
      </c>
      <c r="R17" s="97" t="s">
        <v>189</v>
      </c>
      <c r="S17" s="173"/>
      <c r="T17" s="173"/>
      <c r="U17" s="173"/>
      <c r="V17" s="173"/>
      <c r="W17" s="173" t="s">
        <v>90</v>
      </c>
      <c r="X17" s="174"/>
      <c r="Y17" s="174"/>
      <c r="Z17" s="173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  <c r="BN17" s="28"/>
      <c r="BO17" s="28"/>
      <c r="BP17" s="28"/>
      <c r="BQ17" s="29"/>
    </row>
    <row r="18" spans="1:69" ht="42" customHeight="1">
      <c r="A18" s="103" t="s">
        <v>190</v>
      </c>
      <c r="B18" s="104" t="s">
        <v>97</v>
      </c>
      <c r="C18" s="103" t="s">
        <v>191</v>
      </c>
      <c r="D18" s="103" t="s">
        <v>192</v>
      </c>
      <c r="E18" s="103" t="s">
        <v>138</v>
      </c>
      <c r="F18" s="105">
        <v>4</v>
      </c>
      <c r="G18" s="106">
        <v>2</v>
      </c>
      <c r="H18" s="106">
        <v>3</v>
      </c>
      <c r="I18" s="107">
        <f t="shared" si="0"/>
        <v>46209</v>
      </c>
      <c r="J18" s="107">
        <f t="shared" si="1"/>
        <v>46222</v>
      </c>
      <c r="K18" s="107">
        <f t="shared" si="2"/>
        <v>20</v>
      </c>
      <c r="L18" s="108">
        <v>0</v>
      </c>
      <c r="M18" s="109">
        <f>SUMIF('Work Block Log'!$E$5:$E$200,A18,'Work Block Log'!$F$5:$F$200)</f>
        <v>0</v>
      </c>
      <c r="N18" s="109">
        <f t="shared" si="3"/>
        <v>4</v>
      </c>
      <c r="O18" s="109">
        <f t="shared" si="4"/>
        <v>-4</v>
      </c>
      <c r="P18" s="106">
        <f t="shared" si="5"/>
        <v>4</v>
      </c>
      <c r="Q18" s="103" t="s">
        <v>193</v>
      </c>
      <c r="R18" s="106" t="s">
        <v>194</v>
      </c>
      <c r="S18" s="173"/>
      <c r="T18" s="173" t="s">
        <v>90</v>
      </c>
      <c r="U18" s="173" t="s">
        <v>90</v>
      </c>
      <c r="V18" s="173"/>
      <c r="W18" s="173"/>
      <c r="X18" s="173"/>
      <c r="Y18" s="174"/>
      <c r="Z18" s="173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  <c r="BN18" s="28"/>
      <c r="BO18" s="28"/>
      <c r="BP18" s="28"/>
      <c r="BQ18" s="29"/>
    </row>
    <row r="19" spans="1:69" ht="42" customHeight="1">
      <c r="A19" s="3" t="s">
        <v>195</v>
      </c>
      <c r="B19" s="113" t="s">
        <v>97</v>
      </c>
      <c r="C19" s="3" t="s">
        <v>196</v>
      </c>
      <c r="D19" s="3" t="s">
        <v>197</v>
      </c>
      <c r="E19" s="3" t="s">
        <v>198</v>
      </c>
      <c r="F19" s="94">
        <v>5</v>
      </c>
      <c r="G19" s="97">
        <v>6</v>
      </c>
      <c r="H19" s="97">
        <v>6</v>
      </c>
      <c r="I19" s="93">
        <f t="shared" si="0"/>
        <v>46237</v>
      </c>
      <c r="J19" s="93">
        <f t="shared" si="1"/>
        <v>46243</v>
      </c>
      <c r="K19" s="93">
        <f t="shared" si="2"/>
        <v>41</v>
      </c>
      <c r="L19" s="66">
        <v>0</v>
      </c>
      <c r="M19" s="67">
        <f>SUMIF('Work Block Log'!$E$5:$E$200,A19,'Work Block Log'!$F$5:$F$200)</f>
        <v>0</v>
      </c>
      <c r="N19" s="67">
        <f t="shared" si="3"/>
        <v>5</v>
      </c>
      <c r="O19" s="67">
        <f t="shared" si="4"/>
        <v>-5</v>
      </c>
      <c r="P19" s="97">
        <f t="shared" si="5"/>
        <v>5</v>
      </c>
      <c r="Q19" s="3" t="s">
        <v>199</v>
      </c>
      <c r="R19" s="97" t="s">
        <v>200</v>
      </c>
      <c r="S19" s="173"/>
      <c r="T19" s="173"/>
      <c r="U19" s="173"/>
      <c r="V19" s="173"/>
      <c r="W19" s="173"/>
      <c r="X19" s="173" t="s">
        <v>90</v>
      </c>
      <c r="Y19" s="173"/>
      <c r="Z19" s="174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  <c r="BN19" s="28"/>
      <c r="BO19" s="28"/>
      <c r="BP19" s="28"/>
      <c r="BQ19" s="29"/>
    </row>
    <row r="20" spans="1:69" ht="42" customHeight="1">
      <c r="A20" s="103" t="s">
        <v>201</v>
      </c>
      <c r="B20" s="104" t="s">
        <v>97</v>
      </c>
      <c r="C20" s="103" t="s">
        <v>202</v>
      </c>
      <c r="D20" s="103" t="s">
        <v>203</v>
      </c>
      <c r="E20" s="103" t="s">
        <v>195</v>
      </c>
      <c r="F20" s="105">
        <v>2</v>
      </c>
      <c r="G20" s="106">
        <v>6</v>
      </c>
      <c r="H20" s="106">
        <v>6</v>
      </c>
      <c r="I20" s="107">
        <f t="shared" si="0"/>
        <v>46237</v>
      </c>
      <c r="J20" s="107">
        <f t="shared" si="1"/>
        <v>46243</v>
      </c>
      <c r="K20" s="107">
        <f t="shared" si="2"/>
        <v>41</v>
      </c>
      <c r="L20" s="108">
        <v>0</v>
      </c>
      <c r="M20" s="109">
        <f>SUMIF('Work Block Log'!$E$5:$E$200,A20,'Work Block Log'!$F$5:$F$200)</f>
        <v>0</v>
      </c>
      <c r="N20" s="109">
        <f t="shared" si="3"/>
        <v>2</v>
      </c>
      <c r="O20" s="109">
        <f t="shared" si="4"/>
        <v>-2</v>
      </c>
      <c r="P20" s="106">
        <f t="shared" si="5"/>
        <v>2</v>
      </c>
      <c r="Q20" s="103" t="s">
        <v>204</v>
      </c>
      <c r="R20" s="106" t="s">
        <v>205</v>
      </c>
      <c r="S20" s="173"/>
      <c r="T20" s="173"/>
      <c r="U20" s="173"/>
      <c r="V20" s="173"/>
      <c r="W20" s="173"/>
      <c r="X20" s="173" t="s">
        <v>90</v>
      </c>
      <c r="Y20" s="173"/>
      <c r="Z20" s="173"/>
      <c r="AA20" s="33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9"/>
    </row>
    <row r="21" spans="1:69" ht="42" customHeight="1">
      <c r="A21" s="3" t="s">
        <v>206</v>
      </c>
      <c r="B21" s="113" t="s">
        <v>97</v>
      </c>
      <c r="C21" s="3" t="s">
        <v>207</v>
      </c>
      <c r="D21" s="3" t="s">
        <v>208</v>
      </c>
      <c r="E21" s="3" t="s">
        <v>209</v>
      </c>
      <c r="F21" s="94">
        <v>3</v>
      </c>
      <c r="G21" s="97">
        <v>6</v>
      </c>
      <c r="H21" s="97">
        <v>6</v>
      </c>
      <c r="I21" s="93">
        <f t="shared" si="0"/>
        <v>46237</v>
      </c>
      <c r="J21" s="93">
        <f t="shared" si="1"/>
        <v>46243</v>
      </c>
      <c r="K21" s="93">
        <f t="shared" si="2"/>
        <v>41</v>
      </c>
      <c r="L21" s="66">
        <v>0</v>
      </c>
      <c r="M21" s="67">
        <f>SUMIF('Work Block Log'!$E$5:$E$200,A21,'Work Block Log'!$F$5:$F$200)</f>
        <v>0</v>
      </c>
      <c r="N21" s="67">
        <f t="shared" si="3"/>
        <v>3</v>
      </c>
      <c r="O21" s="67">
        <f t="shared" si="4"/>
        <v>-3</v>
      </c>
      <c r="P21" s="97">
        <f t="shared" si="5"/>
        <v>3</v>
      </c>
      <c r="Q21" s="3" t="s">
        <v>210</v>
      </c>
      <c r="R21" s="97" t="s">
        <v>211</v>
      </c>
      <c r="S21" s="173"/>
      <c r="T21" s="173"/>
      <c r="U21" s="173"/>
      <c r="V21" s="173"/>
      <c r="W21" s="173"/>
      <c r="X21" s="173" t="s">
        <v>90</v>
      </c>
      <c r="Y21" s="173"/>
      <c r="Z21" s="173"/>
      <c r="AA21" s="34"/>
      <c r="AB21" s="35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  <c r="BN21" s="28"/>
      <c r="BO21" s="28"/>
      <c r="BP21" s="28"/>
      <c r="BQ21" s="29"/>
    </row>
    <row r="22" spans="1:69" ht="42" customHeight="1">
      <c r="A22" s="103" t="s">
        <v>212</v>
      </c>
      <c r="B22" s="104" t="s">
        <v>100</v>
      </c>
      <c r="C22" s="103" t="s">
        <v>213</v>
      </c>
      <c r="D22" s="103" t="s">
        <v>214</v>
      </c>
      <c r="E22" s="103" t="s">
        <v>163</v>
      </c>
      <c r="F22" s="105">
        <v>3</v>
      </c>
      <c r="G22" s="106">
        <v>4</v>
      </c>
      <c r="H22" s="106">
        <v>6</v>
      </c>
      <c r="I22" s="107">
        <f t="shared" si="0"/>
        <v>46223</v>
      </c>
      <c r="J22" s="107">
        <f t="shared" si="1"/>
        <v>46243</v>
      </c>
      <c r="K22" s="107">
        <f t="shared" si="2"/>
        <v>41</v>
      </c>
      <c r="L22" s="108">
        <v>0.35</v>
      </c>
      <c r="M22" s="109">
        <f>SUMIF('Work Block Log'!$E$5:$E$200,A22,'Work Block Log'!$F$5:$F$200)</f>
        <v>0</v>
      </c>
      <c r="N22" s="109">
        <f t="shared" si="3"/>
        <v>1.9500000000000002</v>
      </c>
      <c r="O22" s="109">
        <f t="shared" si="4"/>
        <v>-3</v>
      </c>
      <c r="P22" s="106">
        <f t="shared" si="5"/>
        <v>3</v>
      </c>
      <c r="Q22" s="103" t="s">
        <v>215</v>
      </c>
      <c r="R22" s="106" t="s">
        <v>216</v>
      </c>
      <c r="S22" s="173"/>
      <c r="T22" s="173"/>
      <c r="U22" s="173"/>
      <c r="V22" s="173" t="s">
        <v>90</v>
      </c>
      <c r="W22" s="173" t="s">
        <v>90</v>
      </c>
      <c r="X22" s="173" t="s">
        <v>90</v>
      </c>
      <c r="Y22" s="173"/>
      <c r="Z22" s="173"/>
      <c r="AA22" s="28"/>
      <c r="AB22" s="34"/>
      <c r="AC22" s="35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  <c r="BN22" s="28"/>
      <c r="BO22" s="28"/>
      <c r="BP22" s="28"/>
      <c r="BQ22" s="29"/>
    </row>
    <row r="23" spans="1:69" ht="42" customHeight="1">
      <c r="A23" s="3" t="s">
        <v>217</v>
      </c>
      <c r="B23" s="114" t="s">
        <v>100</v>
      </c>
      <c r="C23" s="3" t="s">
        <v>218</v>
      </c>
      <c r="D23" s="3" t="s">
        <v>219</v>
      </c>
      <c r="E23" s="3" t="s">
        <v>212</v>
      </c>
      <c r="F23" s="94">
        <v>2</v>
      </c>
      <c r="G23" s="97">
        <v>7</v>
      </c>
      <c r="H23" s="97">
        <v>7</v>
      </c>
      <c r="I23" s="93">
        <f t="shared" si="0"/>
        <v>46244</v>
      </c>
      <c r="J23" s="93">
        <f t="shared" si="1"/>
        <v>46250</v>
      </c>
      <c r="K23" s="93">
        <f t="shared" si="2"/>
        <v>48</v>
      </c>
      <c r="L23" s="66">
        <v>0</v>
      </c>
      <c r="M23" s="67">
        <f>SUMIF('Work Block Log'!$E$5:$E$200,A23,'Work Block Log'!$F$5:$F$200)</f>
        <v>0</v>
      </c>
      <c r="N23" s="67">
        <f t="shared" si="3"/>
        <v>2</v>
      </c>
      <c r="O23" s="67">
        <f t="shared" si="4"/>
        <v>-2</v>
      </c>
      <c r="P23" s="97">
        <f t="shared" si="5"/>
        <v>2</v>
      </c>
      <c r="Q23" s="3" t="s">
        <v>220</v>
      </c>
      <c r="R23" s="97" t="s">
        <v>221</v>
      </c>
      <c r="S23" s="173"/>
      <c r="T23" s="173"/>
      <c r="U23" s="173"/>
      <c r="V23" s="173"/>
      <c r="W23" s="173"/>
      <c r="X23" s="173"/>
      <c r="Y23" s="173" t="s">
        <v>90</v>
      </c>
      <c r="Z23" s="173"/>
      <c r="AA23" s="28"/>
      <c r="AB23" s="28"/>
      <c r="AC23" s="34"/>
      <c r="AD23" s="35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  <c r="BN23" s="28"/>
      <c r="BO23" s="28"/>
      <c r="BP23" s="28"/>
      <c r="BQ23" s="29"/>
    </row>
    <row r="24" spans="1:69" ht="42" customHeight="1">
      <c r="A24" s="103" t="s">
        <v>222</v>
      </c>
      <c r="B24" s="104" t="s">
        <v>100</v>
      </c>
      <c r="C24" s="103" t="s">
        <v>223</v>
      </c>
      <c r="D24" s="103" t="s">
        <v>224</v>
      </c>
      <c r="E24" s="103" t="s">
        <v>225</v>
      </c>
      <c r="F24" s="105">
        <v>3</v>
      </c>
      <c r="G24" s="106">
        <v>7</v>
      </c>
      <c r="H24" s="106">
        <v>7</v>
      </c>
      <c r="I24" s="107">
        <f t="shared" si="0"/>
        <v>46244</v>
      </c>
      <c r="J24" s="107">
        <f t="shared" si="1"/>
        <v>46250</v>
      </c>
      <c r="K24" s="107">
        <f t="shared" si="2"/>
        <v>48</v>
      </c>
      <c r="L24" s="108">
        <v>0.35</v>
      </c>
      <c r="M24" s="109">
        <f>SUMIF('Work Block Log'!$E$5:$E$200,A24,'Work Block Log'!$F$5:$F$200)</f>
        <v>0</v>
      </c>
      <c r="N24" s="109">
        <f t="shared" si="3"/>
        <v>1.9500000000000002</v>
      </c>
      <c r="O24" s="109">
        <f t="shared" si="4"/>
        <v>-3</v>
      </c>
      <c r="P24" s="106">
        <f t="shared" si="5"/>
        <v>3</v>
      </c>
      <c r="Q24" s="103" t="s">
        <v>226</v>
      </c>
      <c r="R24" s="106" t="s">
        <v>227</v>
      </c>
      <c r="S24" s="173"/>
      <c r="T24" s="173"/>
      <c r="U24" s="173"/>
      <c r="V24" s="173"/>
      <c r="W24" s="173"/>
      <c r="X24" s="173"/>
      <c r="Y24" s="173" t="s">
        <v>90</v>
      </c>
      <c r="Z24" s="173"/>
      <c r="AA24" s="28"/>
      <c r="AB24" s="28"/>
      <c r="AC24" s="28"/>
      <c r="AD24" s="34"/>
      <c r="AE24" s="35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  <c r="BN24" s="28"/>
      <c r="BO24" s="28"/>
      <c r="BP24" s="28"/>
      <c r="BQ24" s="29"/>
    </row>
    <row r="25" spans="1:69" ht="42" customHeight="1">
      <c r="A25" s="3" t="s">
        <v>228</v>
      </c>
      <c r="B25" s="115" t="s">
        <v>103</v>
      </c>
      <c r="C25" s="3" t="s">
        <v>229</v>
      </c>
      <c r="D25" s="3" t="s">
        <v>230</v>
      </c>
      <c r="E25" s="3" t="s">
        <v>231</v>
      </c>
      <c r="F25" s="94">
        <v>3</v>
      </c>
      <c r="G25" s="97">
        <v>7</v>
      </c>
      <c r="H25" s="97">
        <v>7</v>
      </c>
      <c r="I25" s="93">
        <f t="shared" si="0"/>
        <v>46244</v>
      </c>
      <c r="J25" s="93">
        <f t="shared" si="1"/>
        <v>46250</v>
      </c>
      <c r="K25" s="93">
        <f t="shared" si="2"/>
        <v>48</v>
      </c>
      <c r="L25" s="66">
        <v>0</v>
      </c>
      <c r="M25" s="67">
        <f>SUMIF('Work Block Log'!$E$5:$E$200,A25,'Work Block Log'!$F$5:$F$200)</f>
        <v>0</v>
      </c>
      <c r="N25" s="67">
        <f t="shared" si="3"/>
        <v>3</v>
      </c>
      <c r="O25" s="67">
        <f t="shared" si="4"/>
        <v>-3</v>
      </c>
      <c r="P25" s="97">
        <f t="shared" si="5"/>
        <v>3</v>
      </c>
      <c r="Q25" s="3" t="s">
        <v>232</v>
      </c>
      <c r="R25" s="97" t="s">
        <v>233</v>
      </c>
      <c r="S25" s="173"/>
      <c r="T25" s="173"/>
      <c r="U25" s="173"/>
      <c r="V25" s="173"/>
      <c r="W25" s="173"/>
      <c r="X25" s="173"/>
      <c r="Y25" s="173" t="s">
        <v>90</v>
      </c>
      <c r="Z25" s="173"/>
      <c r="AA25" s="28"/>
      <c r="AB25" s="28"/>
      <c r="AC25" s="28"/>
      <c r="AD25" s="28"/>
      <c r="AE25" s="34"/>
      <c r="AF25" s="35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9"/>
    </row>
    <row r="26" spans="1:69" ht="42" customHeight="1">
      <c r="A26" s="103" t="s">
        <v>234</v>
      </c>
      <c r="B26" s="104" t="s">
        <v>103</v>
      </c>
      <c r="C26" s="103" t="s">
        <v>235</v>
      </c>
      <c r="D26" s="103" t="s">
        <v>236</v>
      </c>
      <c r="E26" s="103" t="s">
        <v>228</v>
      </c>
      <c r="F26" s="105">
        <v>2</v>
      </c>
      <c r="G26" s="106">
        <v>8</v>
      </c>
      <c r="H26" s="106">
        <v>8</v>
      </c>
      <c r="I26" s="107">
        <f t="shared" si="0"/>
        <v>46251</v>
      </c>
      <c r="J26" s="107">
        <f t="shared" si="1"/>
        <v>46257</v>
      </c>
      <c r="K26" s="107">
        <f t="shared" si="2"/>
        <v>55</v>
      </c>
      <c r="L26" s="108">
        <v>0</v>
      </c>
      <c r="M26" s="109">
        <f>SUMIF('Work Block Log'!$E$5:$E$200,A26,'Work Block Log'!$F$5:$F$200)</f>
        <v>0</v>
      </c>
      <c r="N26" s="109">
        <f t="shared" si="3"/>
        <v>2</v>
      </c>
      <c r="O26" s="109">
        <f t="shared" si="4"/>
        <v>-2</v>
      </c>
      <c r="P26" s="106">
        <f t="shared" si="5"/>
        <v>2</v>
      </c>
      <c r="Q26" s="103" t="s">
        <v>237</v>
      </c>
      <c r="R26" s="106" t="s">
        <v>238</v>
      </c>
      <c r="S26" s="173"/>
      <c r="T26" s="173"/>
      <c r="U26" s="173"/>
      <c r="V26" s="173"/>
      <c r="W26" s="173"/>
      <c r="X26" s="173"/>
      <c r="Y26" s="173"/>
      <c r="Z26" s="173" t="s">
        <v>90</v>
      </c>
      <c r="AA26" s="28"/>
      <c r="AB26" s="28"/>
      <c r="AC26" s="28"/>
      <c r="AD26" s="28"/>
      <c r="AE26" s="28"/>
      <c r="AF26" s="33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  <c r="BN26" s="28"/>
      <c r="BO26" s="28"/>
      <c r="BP26" s="28"/>
      <c r="BQ26" s="29"/>
    </row>
    <row r="27" spans="1:69" ht="42" customHeight="1">
      <c r="A27" s="3" t="s">
        <v>239</v>
      </c>
      <c r="B27" s="115" t="s">
        <v>103</v>
      </c>
      <c r="C27" s="3" t="s">
        <v>240</v>
      </c>
      <c r="D27" s="3" t="s">
        <v>241</v>
      </c>
      <c r="E27" s="3" t="s">
        <v>242</v>
      </c>
      <c r="F27" s="94">
        <v>3</v>
      </c>
      <c r="G27" s="97">
        <v>8</v>
      </c>
      <c r="H27" s="97">
        <v>8</v>
      </c>
      <c r="I27" s="93">
        <f t="shared" si="0"/>
        <v>46251</v>
      </c>
      <c r="J27" s="93">
        <f t="shared" si="1"/>
        <v>46257</v>
      </c>
      <c r="K27" s="93">
        <f t="shared" si="2"/>
        <v>55</v>
      </c>
      <c r="L27" s="66">
        <v>0</v>
      </c>
      <c r="M27" s="67">
        <f>SUMIF('Work Block Log'!$E$5:$E$200,A27,'Work Block Log'!$F$5:$F$200)</f>
        <v>0</v>
      </c>
      <c r="N27" s="67">
        <f t="shared" si="3"/>
        <v>3</v>
      </c>
      <c r="O27" s="67">
        <f t="shared" si="4"/>
        <v>-3</v>
      </c>
      <c r="P27" s="97">
        <f t="shared" si="5"/>
        <v>3</v>
      </c>
      <c r="Q27" s="3" t="s">
        <v>243</v>
      </c>
      <c r="R27" s="97" t="s">
        <v>244</v>
      </c>
      <c r="S27" s="173"/>
      <c r="T27" s="173"/>
      <c r="U27" s="173"/>
      <c r="V27" s="173"/>
      <c r="W27" s="173"/>
      <c r="X27" s="173"/>
      <c r="Y27" s="173"/>
      <c r="Z27" s="173" t="s">
        <v>90</v>
      </c>
      <c r="AA27" s="28"/>
      <c r="AB27" s="28"/>
      <c r="AC27" s="28"/>
      <c r="AD27" s="28"/>
      <c r="AE27" s="28"/>
      <c r="AF27" s="28"/>
      <c r="AG27" s="33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  <c r="BN27" s="28"/>
      <c r="BO27" s="28"/>
      <c r="BP27" s="28"/>
      <c r="BQ27" s="29"/>
    </row>
    <row r="28" spans="1:69" ht="42" customHeight="1">
      <c r="A28" s="3"/>
      <c r="B28" s="100"/>
      <c r="C28" s="3"/>
      <c r="D28" s="3"/>
      <c r="E28" s="3"/>
      <c r="F28" s="94"/>
      <c r="G28" s="97"/>
      <c r="H28" s="97"/>
      <c r="I28" s="93">
        <f t="shared" si="0"/>
        <v>46195</v>
      </c>
      <c r="J28" s="93">
        <f t="shared" si="1"/>
        <v>46201</v>
      </c>
      <c r="K28" s="93">
        <f t="shared" si="2"/>
        <v>-1</v>
      </c>
      <c r="L28" s="66"/>
      <c r="M28" s="67"/>
      <c r="N28" s="67"/>
      <c r="O28" s="67">
        <f t="shared" si="4"/>
        <v>0</v>
      </c>
      <c r="P28" s="97">
        <f t="shared" si="5"/>
        <v>0</v>
      </c>
      <c r="Q28" s="3"/>
      <c r="R28" s="97"/>
      <c r="S28" s="173"/>
      <c r="T28" s="173"/>
      <c r="U28" s="173"/>
      <c r="V28" s="173"/>
      <c r="W28" s="173"/>
      <c r="X28" s="173"/>
      <c r="Y28" s="173"/>
      <c r="Z28" s="173"/>
      <c r="AA28" s="28"/>
      <c r="AB28" s="28"/>
      <c r="AC28" s="28"/>
      <c r="AD28" s="28"/>
      <c r="AE28" s="28"/>
      <c r="AF28" s="28"/>
      <c r="AG28" s="28"/>
      <c r="AH28" s="36"/>
      <c r="AI28" s="37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9"/>
    </row>
    <row r="29" spans="1:69" ht="42" customHeight="1">
      <c r="A29" s="89" t="s">
        <v>106</v>
      </c>
      <c r="B29" s="89"/>
      <c r="C29" s="89"/>
      <c r="D29" s="89"/>
      <c r="E29" s="89"/>
      <c r="F29" s="95">
        <f>SUM(F6:F27)</f>
        <v>76</v>
      </c>
      <c r="G29" s="90"/>
      <c r="H29" s="90"/>
      <c r="I29" s="91">
        <f t="shared" si="0"/>
        <v>46195</v>
      </c>
      <c r="J29" s="91">
        <f t="shared" si="1"/>
        <v>46201</v>
      </c>
      <c r="K29" s="91">
        <f t="shared" si="2"/>
        <v>-1</v>
      </c>
      <c r="L29" s="92">
        <f>SUMPRODUCT(F6:F27,L6:L27)/F29</f>
        <v>0.13289473684210529</v>
      </c>
      <c r="M29" s="96">
        <f>SUM(M6:M27)</f>
        <v>7.5500000000000007</v>
      </c>
      <c r="N29" s="96">
        <f>SUM(N6:N27)</f>
        <v>65.900000000000006</v>
      </c>
      <c r="O29" s="96">
        <f t="shared" si="4"/>
        <v>-68.45</v>
      </c>
      <c r="P29" s="90">
        <f t="shared" si="5"/>
        <v>0</v>
      </c>
      <c r="Q29" s="89"/>
      <c r="R29" s="90"/>
      <c r="S29" s="173"/>
      <c r="T29" s="173"/>
      <c r="U29" s="173"/>
      <c r="V29" s="173"/>
      <c r="W29" s="173"/>
      <c r="X29" s="173"/>
      <c r="Y29" s="173"/>
      <c r="Z29" s="173"/>
      <c r="AA29" s="28"/>
      <c r="AB29" s="28"/>
      <c r="AC29" s="28"/>
      <c r="AD29" s="28"/>
      <c r="AE29" s="28"/>
      <c r="AF29" s="28"/>
      <c r="AG29" s="28"/>
      <c r="AH29" s="28"/>
      <c r="AI29" s="36"/>
      <c r="AJ29" s="37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  <c r="BN29" s="28"/>
      <c r="BO29" s="28"/>
      <c r="BP29" s="28"/>
      <c r="BQ29" s="29"/>
    </row>
    <row r="30" spans="1:69" ht="42" customHeight="1">
      <c r="A30" s="5"/>
      <c r="B30" s="11"/>
      <c r="C30" s="6"/>
      <c r="D30" s="6"/>
      <c r="E30" s="6"/>
      <c r="F30" s="23"/>
      <c r="G30" s="23"/>
      <c r="H30" s="23"/>
      <c r="I30" s="23">
        <f t="shared" si="0"/>
        <v>46195</v>
      </c>
      <c r="J30" s="24">
        <f t="shared" si="1"/>
        <v>46201</v>
      </c>
      <c r="K30" s="24">
        <f t="shared" si="2"/>
        <v>-1</v>
      </c>
      <c r="L30" s="23"/>
      <c r="M30" s="25"/>
      <c r="N30" s="23"/>
      <c r="O30" s="23">
        <f t="shared" si="4"/>
        <v>0</v>
      </c>
      <c r="P30" s="23">
        <f t="shared" si="5"/>
        <v>0</v>
      </c>
      <c r="Q30" s="8"/>
      <c r="R30" s="31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36"/>
      <c r="AK30" s="37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9"/>
    </row>
    <row r="31" spans="1:69" ht="42" customHeight="1">
      <c r="A31" s="5"/>
      <c r="B31" s="11"/>
      <c r="C31" s="6"/>
      <c r="D31" s="6"/>
      <c r="E31" s="6"/>
      <c r="F31" s="23"/>
      <c r="G31" s="23"/>
      <c r="H31" s="23"/>
      <c r="I31" s="23">
        <f t="shared" si="0"/>
        <v>46195</v>
      </c>
      <c r="J31" s="24">
        <f t="shared" si="1"/>
        <v>46201</v>
      </c>
      <c r="K31" s="24">
        <f t="shared" si="2"/>
        <v>-1</v>
      </c>
      <c r="L31" s="23"/>
      <c r="M31" s="25"/>
      <c r="N31" s="23"/>
      <c r="O31" s="23">
        <f t="shared" si="4"/>
        <v>0</v>
      </c>
      <c r="P31" s="23">
        <f t="shared" si="5"/>
        <v>0</v>
      </c>
      <c r="Q31" s="8"/>
      <c r="R31" s="31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3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9"/>
    </row>
    <row r="32" spans="1:69" ht="42" customHeight="1">
      <c r="A32" s="5"/>
      <c r="B32" s="11"/>
      <c r="C32" s="6"/>
      <c r="D32" s="6"/>
      <c r="E32" s="6"/>
      <c r="F32" s="23"/>
      <c r="G32" s="23"/>
      <c r="H32" s="23"/>
      <c r="I32" s="23">
        <f t="shared" si="0"/>
        <v>46195</v>
      </c>
      <c r="J32" s="24">
        <f t="shared" si="1"/>
        <v>46201</v>
      </c>
      <c r="K32" s="24">
        <f t="shared" si="2"/>
        <v>-1</v>
      </c>
      <c r="L32" s="23"/>
      <c r="M32" s="25"/>
      <c r="N32" s="23"/>
      <c r="O32" s="23">
        <f t="shared" si="4"/>
        <v>0</v>
      </c>
      <c r="P32" s="23">
        <f t="shared" si="5"/>
        <v>0</v>
      </c>
      <c r="Q32" s="8"/>
      <c r="R32" s="31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3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9"/>
    </row>
    <row r="33" spans="1:69" ht="42" customHeight="1">
      <c r="A33" s="5"/>
      <c r="B33" s="11"/>
      <c r="C33" s="6"/>
      <c r="D33" s="6"/>
      <c r="E33" s="6"/>
      <c r="F33" s="23"/>
      <c r="G33" s="23"/>
      <c r="H33" s="23"/>
      <c r="I33" s="23">
        <f t="shared" si="0"/>
        <v>46195</v>
      </c>
      <c r="J33" s="24">
        <f t="shared" si="1"/>
        <v>46201</v>
      </c>
      <c r="K33" s="24">
        <f t="shared" si="2"/>
        <v>-1</v>
      </c>
      <c r="L33" s="23"/>
      <c r="M33" s="25"/>
      <c r="N33" s="23"/>
      <c r="O33" s="23">
        <f t="shared" si="4"/>
        <v>0</v>
      </c>
      <c r="P33" s="23">
        <f t="shared" si="5"/>
        <v>0</v>
      </c>
      <c r="Q33" s="8"/>
      <c r="R33" s="31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36"/>
      <c r="AM33" s="37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9"/>
    </row>
    <row r="34" spans="1:69" ht="42" customHeight="1">
      <c r="A34" s="5"/>
      <c r="B34" s="11"/>
      <c r="C34" s="6"/>
      <c r="D34" s="6"/>
      <c r="E34" s="6"/>
      <c r="F34" s="23"/>
      <c r="G34" s="23"/>
      <c r="H34" s="23"/>
      <c r="I34" s="23">
        <f t="shared" si="0"/>
        <v>46195</v>
      </c>
      <c r="J34" s="24">
        <f t="shared" si="1"/>
        <v>46201</v>
      </c>
      <c r="K34" s="24">
        <f t="shared" si="2"/>
        <v>-1</v>
      </c>
      <c r="L34" s="23"/>
      <c r="M34" s="25"/>
      <c r="N34" s="23"/>
      <c r="O34" s="23">
        <f t="shared" si="4"/>
        <v>0</v>
      </c>
      <c r="P34" s="23">
        <f t="shared" si="5"/>
        <v>0</v>
      </c>
      <c r="Q34" s="8"/>
      <c r="R34" s="31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36"/>
      <c r="AN34" s="37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  <c r="BN34" s="28"/>
      <c r="BO34" s="28"/>
      <c r="BP34" s="28"/>
      <c r="BQ34" s="29"/>
    </row>
    <row r="35" spans="1:69" ht="42" customHeight="1">
      <c r="A35" s="5"/>
      <c r="B35" s="11"/>
      <c r="C35" s="6"/>
      <c r="D35" s="6"/>
      <c r="E35" s="6"/>
      <c r="F35" s="23"/>
      <c r="G35" s="23"/>
      <c r="H35" s="23"/>
      <c r="I35" s="23">
        <f t="shared" si="0"/>
        <v>46195</v>
      </c>
      <c r="J35" s="24">
        <f t="shared" si="1"/>
        <v>46201</v>
      </c>
      <c r="K35" s="24">
        <f t="shared" si="2"/>
        <v>-1</v>
      </c>
      <c r="L35" s="23"/>
      <c r="M35" s="25"/>
      <c r="N35" s="23"/>
      <c r="O35" s="23">
        <f t="shared" si="4"/>
        <v>0</v>
      </c>
      <c r="P35" s="23">
        <f t="shared" si="5"/>
        <v>0</v>
      </c>
      <c r="Q35" s="8"/>
      <c r="R35" s="31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3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  <c r="BN35" s="28"/>
      <c r="BO35" s="28"/>
      <c r="BP35" s="28"/>
      <c r="BQ35" s="29"/>
    </row>
    <row r="36" spans="1:69" ht="42" customHeight="1">
      <c r="A36" s="5"/>
      <c r="B36" s="12"/>
      <c r="C36" s="6"/>
      <c r="D36" s="6"/>
      <c r="E36" s="6"/>
      <c r="F36" s="23"/>
      <c r="G36" s="23"/>
      <c r="H36" s="23"/>
      <c r="I36" s="23">
        <f t="shared" si="0"/>
        <v>46195</v>
      </c>
      <c r="J36" s="24">
        <f t="shared" si="1"/>
        <v>46201</v>
      </c>
      <c r="K36" s="24">
        <f t="shared" si="2"/>
        <v>-1</v>
      </c>
      <c r="L36" s="23"/>
      <c r="M36" s="25"/>
      <c r="N36" s="23"/>
      <c r="O36" s="23">
        <f t="shared" si="4"/>
        <v>0</v>
      </c>
      <c r="P36" s="23">
        <f t="shared" si="5"/>
        <v>0</v>
      </c>
      <c r="Q36" s="8"/>
      <c r="R36" s="31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39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  <c r="BN36" s="28"/>
      <c r="BO36" s="28"/>
      <c r="BP36" s="28"/>
      <c r="BQ36" s="29"/>
    </row>
    <row r="37" spans="1:69" ht="42" customHeight="1">
      <c r="A37" s="5"/>
      <c r="B37" s="12"/>
      <c r="C37" s="6"/>
      <c r="D37" s="6"/>
      <c r="E37" s="6"/>
      <c r="F37" s="23"/>
      <c r="G37" s="23"/>
      <c r="H37" s="23"/>
      <c r="I37" s="23">
        <f t="shared" si="0"/>
        <v>46195</v>
      </c>
      <c r="J37" s="24">
        <f t="shared" si="1"/>
        <v>46201</v>
      </c>
      <c r="K37" s="24">
        <f t="shared" si="2"/>
        <v>-1</v>
      </c>
      <c r="L37" s="23"/>
      <c r="M37" s="25"/>
      <c r="N37" s="23"/>
      <c r="O37" s="23">
        <f t="shared" si="4"/>
        <v>0</v>
      </c>
      <c r="P37" s="23">
        <f t="shared" si="5"/>
        <v>0</v>
      </c>
      <c r="Q37" s="8"/>
      <c r="R37" s="31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40"/>
      <c r="AQ37" s="41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9"/>
    </row>
    <row r="38" spans="1:69" ht="42" customHeight="1">
      <c r="A38" s="5"/>
      <c r="B38" s="12"/>
      <c r="C38" s="6"/>
      <c r="D38" s="6"/>
      <c r="E38" s="6"/>
      <c r="F38" s="23"/>
      <c r="G38" s="23"/>
      <c r="H38" s="23"/>
      <c r="I38" s="23">
        <f t="shared" ref="I38:I63" si="6">H38-G38+1</f>
        <v>1</v>
      </c>
      <c r="J38" s="24">
        <f t="shared" ref="J38:J63" si="7">$C$1+(G38-1)*7</f>
        <v>-7</v>
      </c>
      <c r="K38" s="24">
        <f t="shared" ref="K38:K63" si="8">$C$1+H38*7-1</f>
        <v>-1</v>
      </c>
      <c r="L38" s="23"/>
      <c r="M38" s="25"/>
      <c r="N38" s="23"/>
      <c r="O38" s="23" t="str">
        <f t="shared" ref="O38:O63" si="9">IF(N38="","",N38-F38)</f>
        <v/>
      </c>
      <c r="P38" s="23">
        <f t="shared" ref="P38:P63" si="10">MAX(F38*(1-M38),0)</f>
        <v>0</v>
      </c>
      <c r="Q38" s="8"/>
      <c r="R38" s="31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40"/>
      <c r="AR38" s="42"/>
      <c r="AS38" s="41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  <c r="BN38" s="28"/>
      <c r="BO38" s="28"/>
      <c r="BP38" s="28"/>
      <c r="BQ38" s="29"/>
    </row>
    <row r="39" spans="1:69" ht="42" customHeight="1">
      <c r="A39" s="5"/>
      <c r="B39" s="12"/>
      <c r="C39" s="6"/>
      <c r="D39" s="6"/>
      <c r="E39" s="6"/>
      <c r="F39" s="23"/>
      <c r="G39" s="23"/>
      <c r="H39" s="23"/>
      <c r="I39" s="23">
        <f t="shared" si="6"/>
        <v>1</v>
      </c>
      <c r="J39" s="24">
        <f t="shared" si="7"/>
        <v>-7</v>
      </c>
      <c r="K39" s="24">
        <f t="shared" si="8"/>
        <v>-1</v>
      </c>
      <c r="L39" s="23"/>
      <c r="M39" s="25"/>
      <c r="N39" s="23"/>
      <c r="O39" s="23" t="str">
        <f t="shared" si="9"/>
        <v/>
      </c>
      <c r="P39" s="23">
        <f t="shared" si="10"/>
        <v>0</v>
      </c>
      <c r="Q39" s="8"/>
      <c r="R39" s="31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40"/>
      <c r="AT39" s="41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  <c r="BN39" s="28"/>
      <c r="BO39" s="28"/>
      <c r="BP39" s="28"/>
      <c r="BQ39" s="29"/>
    </row>
    <row r="40" spans="1:69" ht="42" customHeight="1">
      <c r="A40" s="5"/>
      <c r="B40" s="12"/>
      <c r="C40" s="6"/>
      <c r="D40" s="6"/>
      <c r="E40" s="6"/>
      <c r="F40" s="23"/>
      <c r="G40" s="23"/>
      <c r="H40" s="23"/>
      <c r="I40" s="23">
        <f t="shared" si="6"/>
        <v>1</v>
      </c>
      <c r="J40" s="24">
        <f t="shared" si="7"/>
        <v>-7</v>
      </c>
      <c r="K40" s="24">
        <f t="shared" si="8"/>
        <v>-1</v>
      </c>
      <c r="L40" s="23"/>
      <c r="M40" s="25"/>
      <c r="N40" s="23"/>
      <c r="O40" s="23" t="str">
        <f t="shared" si="9"/>
        <v/>
      </c>
      <c r="P40" s="23">
        <f t="shared" si="10"/>
        <v>0</v>
      </c>
      <c r="Q40" s="8"/>
      <c r="R40" s="31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40"/>
      <c r="AU40" s="41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  <c r="BM40" s="28"/>
      <c r="BN40" s="28"/>
      <c r="BO40" s="28"/>
      <c r="BP40" s="28"/>
      <c r="BQ40" s="29"/>
    </row>
    <row r="41" spans="1:69" ht="42" customHeight="1">
      <c r="A41" s="5"/>
      <c r="B41" s="12"/>
      <c r="C41" s="6"/>
      <c r="D41" s="6"/>
      <c r="E41" s="6"/>
      <c r="F41" s="23"/>
      <c r="G41" s="23"/>
      <c r="H41" s="23"/>
      <c r="I41" s="23">
        <f t="shared" si="6"/>
        <v>1</v>
      </c>
      <c r="J41" s="24">
        <f t="shared" si="7"/>
        <v>-7</v>
      </c>
      <c r="K41" s="24">
        <f t="shared" si="8"/>
        <v>-1</v>
      </c>
      <c r="L41" s="23"/>
      <c r="M41" s="25"/>
      <c r="N41" s="23"/>
      <c r="O41" s="23" t="str">
        <f t="shared" si="9"/>
        <v/>
      </c>
      <c r="P41" s="23">
        <f t="shared" si="10"/>
        <v>0</v>
      </c>
      <c r="Q41" s="8"/>
      <c r="R41" s="31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40"/>
      <c r="AV41" s="41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  <c r="BP41" s="28"/>
      <c r="BQ41" s="29"/>
    </row>
    <row r="42" spans="1:69" ht="42" customHeight="1">
      <c r="A42" s="5"/>
      <c r="B42" s="12"/>
      <c r="C42" s="6"/>
      <c r="D42" s="6"/>
      <c r="E42" s="6"/>
      <c r="F42" s="23"/>
      <c r="G42" s="23"/>
      <c r="H42" s="23"/>
      <c r="I42" s="23">
        <f t="shared" si="6"/>
        <v>1</v>
      </c>
      <c r="J42" s="24">
        <f t="shared" si="7"/>
        <v>-7</v>
      </c>
      <c r="K42" s="24">
        <f t="shared" si="8"/>
        <v>-1</v>
      </c>
      <c r="L42" s="23"/>
      <c r="M42" s="25"/>
      <c r="N42" s="23"/>
      <c r="O42" s="23" t="str">
        <f t="shared" si="9"/>
        <v/>
      </c>
      <c r="P42" s="23">
        <f t="shared" si="10"/>
        <v>0</v>
      </c>
      <c r="Q42" s="8"/>
      <c r="R42" s="31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39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  <c r="BM42" s="28"/>
      <c r="BN42" s="28"/>
      <c r="BO42" s="28"/>
      <c r="BP42" s="28"/>
      <c r="BQ42" s="29"/>
    </row>
    <row r="43" spans="1:69" ht="42" customHeight="1">
      <c r="A43" s="5"/>
      <c r="B43" s="13"/>
      <c r="C43" s="6"/>
      <c r="D43" s="6"/>
      <c r="E43" s="6"/>
      <c r="F43" s="23"/>
      <c r="G43" s="23"/>
      <c r="H43" s="23"/>
      <c r="I43" s="23">
        <f t="shared" si="6"/>
        <v>1</v>
      </c>
      <c r="J43" s="24">
        <f t="shared" si="7"/>
        <v>-7</v>
      </c>
      <c r="K43" s="24">
        <f t="shared" si="8"/>
        <v>-1</v>
      </c>
      <c r="L43" s="23"/>
      <c r="M43" s="25"/>
      <c r="N43" s="23"/>
      <c r="O43" s="23" t="str">
        <f t="shared" si="9"/>
        <v/>
      </c>
      <c r="P43" s="23">
        <f t="shared" si="10"/>
        <v>0</v>
      </c>
      <c r="Q43" s="8"/>
      <c r="R43" s="31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43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  <c r="BM43" s="28"/>
      <c r="BN43" s="28"/>
      <c r="BO43" s="28"/>
      <c r="BP43" s="28"/>
      <c r="BQ43" s="29"/>
    </row>
    <row r="44" spans="1:69" ht="42" customHeight="1">
      <c r="A44" s="5"/>
      <c r="B44" s="13"/>
      <c r="C44" s="6"/>
      <c r="D44" s="6"/>
      <c r="E44" s="6"/>
      <c r="F44" s="23"/>
      <c r="G44" s="23"/>
      <c r="H44" s="23"/>
      <c r="I44" s="23">
        <f t="shared" si="6"/>
        <v>1</v>
      </c>
      <c r="J44" s="24">
        <f t="shared" si="7"/>
        <v>-7</v>
      </c>
      <c r="K44" s="24">
        <f t="shared" si="8"/>
        <v>-1</v>
      </c>
      <c r="L44" s="23"/>
      <c r="M44" s="25"/>
      <c r="N44" s="23"/>
      <c r="O44" s="23" t="str">
        <f t="shared" si="9"/>
        <v/>
      </c>
      <c r="P44" s="23">
        <f t="shared" si="10"/>
        <v>0</v>
      </c>
      <c r="Q44" s="8"/>
      <c r="R44" s="31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44"/>
      <c r="AZ44" s="45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9"/>
    </row>
    <row r="45" spans="1:69" ht="42" customHeight="1">
      <c r="A45" s="5"/>
      <c r="B45" s="13"/>
      <c r="C45" s="6"/>
      <c r="D45" s="6"/>
      <c r="E45" s="6"/>
      <c r="F45" s="23"/>
      <c r="G45" s="23"/>
      <c r="H45" s="23"/>
      <c r="I45" s="23">
        <f t="shared" si="6"/>
        <v>1</v>
      </c>
      <c r="J45" s="24">
        <f t="shared" si="7"/>
        <v>-7</v>
      </c>
      <c r="K45" s="24">
        <f t="shared" si="8"/>
        <v>-1</v>
      </c>
      <c r="L45" s="23"/>
      <c r="M45" s="25"/>
      <c r="N45" s="23"/>
      <c r="O45" s="23" t="str">
        <f t="shared" si="9"/>
        <v/>
      </c>
      <c r="P45" s="23">
        <f t="shared" si="10"/>
        <v>0</v>
      </c>
      <c r="Q45" s="8"/>
      <c r="R45" s="31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44"/>
      <c r="BA45" s="45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9"/>
    </row>
    <row r="46" spans="1:69" ht="42" customHeight="1">
      <c r="A46" s="5"/>
      <c r="B46" s="13"/>
      <c r="C46" s="6"/>
      <c r="D46" s="6"/>
      <c r="E46" s="6"/>
      <c r="F46" s="23"/>
      <c r="G46" s="23"/>
      <c r="H46" s="23"/>
      <c r="I46" s="23">
        <f t="shared" si="6"/>
        <v>1</v>
      </c>
      <c r="J46" s="24">
        <f t="shared" si="7"/>
        <v>-7</v>
      </c>
      <c r="K46" s="24">
        <f t="shared" si="8"/>
        <v>-1</v>
      </c>
      <c r="L46" s="23"/>
      <c r="M46" s="25"/>
      <c r="N46" s="23"/>
      <c r="O46" s="23" t="str">
        <f t="shared" si="9"/>
        <v/>
      </c>
      <c r="P46" s="23">
        <f t="shared" si="10"/>
        <v>0</v>
      </c>
      <c r="Q46" s="8"/>
      <c r="R46" s="31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43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  <c r="BM46" s="28"/>
      <c r="BN46" s="28"/>
      <c r="BO46" s="28"/>
      <c r="BP46" s="28"/>
      <c r="BQ46" s="29"/>
    </row>
    <row r="47" spans="1:69" ht="42" customHeight="1">
      <c r="A47" s="5"/>
      <c r="B47" s="13"/>
      <c r="C47" s="6"/>
      <c r="D47" s="6"/>
      <c r="E47" s="6"/>
      <c r="F47" s="23"/>
      <c r="G47" s="23"/>
      <c r="H47" s="23"/>
      <c r="I47" s="23">
        <f t="shared" si="6"/>
        <v>1</v>
      </c>
      <c r="J47" s="24">
        <f t="shared" si="7"/>
        <v>-7</v>
      </c>
      <c r="K47" s="24">
        <f t="shared" si="8"/>
        <v>-1</v>
      </c>
      <c r="L47" s="23"/>
      <c r="M47" s="25"/>
      <c r="N47" s="23"/>
      <c r="O47" s="23" t="str">
        <f t="shared" si="9"/>
        <v/>
      </c>
      <c r="P47" s="23">
        <f t="shared" si="10"/>
        <v>0</v>
      </c>
      <c r="Q47" s="8"/>
      <c r="R47" s="31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44"/>
      <c r="BC47" s="45"/>
      <c r="BD47" s="28"/>
      <c r="BE47" s="28"/>
      <c r="BF47" s="28"/>
      <c r="BG47" s="28"/>
      <c r="BH47" s="28"/>
      <c r="BI47" s="28"/>
      <c r="BJ47" s="28"/>
      <c r="BK47" s="28"/>
      <c r="BL47" s="28"/>
      <c r="BM47" s="28"/>
      <c r="BN47" s="28"/>
      <c r="BO47" s="28"/>
      <c r="BP47" s="28"/>
      <c r="BQ47" s="29"/>
    </row>
    <row r="48" spans="1:69" ht="42" customHeight="1">
      <c r="A48" s="5"/>
      <c r="B48" s="13"/>
      <c r="C48" s="6"/>
      <c r="D48" s="6"/>
      <c r="E48" s="6"/>
      <c r="F48" s="23"/>
      <c r="G48" s="23"/>
      <c r="H48" s="23"/>
      <c r="I48" s="23">
        <f t="shared" si="6"/>
        <v>1</v>
      </c>
      <c r="J48" s="24">
        <f t="shared" si="7"/>
        <v>-7</v>
      </c>
      <c r="K48" s="24">
        <f t="shared" si="8"/>
        <v>-1</v>
      </c>
      <c r="L48" s="23"/>
      <c r="M48" s="25"/>
      <c r="N48" s="23"/>
      <c r="O48" s="23" t="str">
        <f t="shared" si="9"/>
        <v/>
      </c>
      <c r="P48" s="23">
        <f t="shared" si="10"/>
        <v>0</v>
      </c>
      <c r="Q48" s="8"/>
      <c r="R48" s="31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44"/>
      <c r="BD48" s="45"/>
      <c r="BE48" s="28"/>
      <c r="BF48" s="28"/>
      <c r="BG48" s="28"/>
      <c r="BH48" s="28"/>
      <c r="BI48" s="28"/>
      <c r="BJ48" s="28"/>
      <c r="BK48" s="28"/>
      <c r="BL48" s="28"/>
      <c r="BM48" s="28"/>
      <c r="BN48" s="28"/>
      <c r="BO48" s="28"/>
      <c r="BP48" s="28"/>
      <c r="BQ48" s="29"/>
    </row>
    <row r="49" spans="1:69" ht="42" customHeight="1">
      <c r="A49" s="5"/>
      <c r="B49" s="13"/>
      <c r="C49" s="6"/>
      <c r="D49" s="6"/>
      <c r="E49" s="6"/>
      <c r="F49" s="23"/>
      <c r="G49" s="23"/>
      <c r="H49" s="23"/>
      <c r="I49" s="23">
        <f t="shared" si="6"/>
        <v>1</v>
      </c>
      <c r="J49" s="24">
        <f t="shared" si="7"/>
        <v>-7</v>
      </c>
      <c r="K49" s="24">
        <f t="shared" si="8"/>
        <v>-1</v>
      </c>
      <c r="L49" s="23"/>
      <c r="M49" s="25"/>
      <c r="N49" s="23"/>
      <c r="O49" s="23" t="str">
        <f t="shared" si="9"/>
        <v/>
      </c>
      <c r="P49" s="23">
        <f t="shared" si="10"/>
        <v>0</v>
      </c>
      <c r="Q49" s="8"/>
      <c r="R49" s="31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44"/>
      <c r="BF49" s="45"/>
      <c r="BG49" s="28"/>
      <c r="BH49" s="28"/>
      <c r="BI49" s="28"/>
      <c r="BJ49" s="28"/>
      <c r="BK49" s="28"/>
      <c r="BL49" s="28"/>
      <c r="BM49" s="28"/>
      <c r="BN49" s="28"/>
      <c r="BO49" s="28"/>
      <c r="BP49" s="28"/>
      <c r="BQ49" s="29"/>
    </row>
    <row r="50" spans="1:69" ht="42" customHeight="1">
      <c r="A50" s="5"/>
      <c r="B50" s="13"/>
      <c r="C50" s="6"/>
      <c r="D50" s="6"/>
      <c r="E50" s="6"/>
      <c r="F50" s="23"/>
      <c r="G50" s="23"/>
      <c r="H50" s="23"/>
      <c r="I50" s="23">
        <f t="shared" si="6"/>
        <v>1</v>
      </c>
      <c r="J50" s="24">
        <f t="shared" si="7"/>
        <v>-7</v>
      </c>
      <c r="K50" s="24">
        <f t="shared" si="8"/>
        <v>-1</v>
      </c>
      <c r="L50" s="23"/>
      <c r="M50" s="25"/>
      <c r="N50" s="23"/>
      <c r="O50" s="23" t="str">
        <f t="shared" si="9"/>
        <v/>
      </c>
      <c r="P50" s="23">
        <f t="shared" si="10"/>
        <v>0</v>
      </c>
      <c r="Q50" s="8"/>
      <c r="R50" s="31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43"/>
      <c r="BH50" s="28"/>
      <c r="BI50" s="28"/>
      <c r="BJ50" s="28"/>
      <c r="BK50" s="28"/>
      <c r="BL50" s="28"/>
      <c r="BM50" s="28"/>
      <c r="BN50" s="28"/>
      <c r="BO50" s="28"/>
      <c r="BP50" s="28"/>
      <c r="BQ50" s="29"/>
    </row>
    <row r="51" spans="1:69" ht="42" customHeight="1">
      <c r="A51" s="5"/>
      <c r="B51" s="15"/>
      <c r="C51" s="6"/>
      <c r="D51" s="6"/>
      <c r="E51" s="6"/>
      <c r="F51" s="23"/>
      <c r="G51" s="23"/>
      <c r="H51" s="23"/>
      <c r="I51" s="23">
        <f t="shared" si="6"/>
        <v>1</v>
      </c>
      <c r="J51" s="24">
        <f t="shared" si="7"/>
        <v>-7</v>
      </c>
      <c r="K51" s="24">
        <f t="shared" si="8"/>
        <v>-1</v>
      </c>
      <c r="L51" s="23"/>
      <c r="M51" s="25"/>
      <c r="N51" s="23"/>
      <c r="O51" s="23" t="str">
        <f t="shared" si="9"/>
        <v/>
      </c>
      <c r="P51" s="23">
        <f t="shared" si="10"/>
        <v>0</v>
      </c>
      <c r="Q51" s="8"/>
      <c r="R51" s="31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46"/>
      <c r="BI51" s="28"/>
      <c r="BJ51" s="28"/>
      <c r="BK51" s="28"/>
      <c r="BL51" s="28"/>
      <c r="BM51" s="28"/>
      <c r="BN51" s="28"/>
      <c r="BO51" s="28"/>
      <c r="BP51" s="28"/>
      <c r="BQ51" s="29"/>
    </row>
    <row r="52" spans="1:69" ht="42" customHeight="1">
      <c r="A52" s="5"/>
      <c r="B52" s="15"/>
      <c r="C52" s="6"/>
      <c r="D52" s="6"/>
      <c r="E52" s="6"/>
      <c r="F52" s="23"/>
      <c r="G52" s="23"/>
      <c r="H52" s="23"/>
      <c r="I52" s="23">
        <f t="shared" si="6"/>
        <v>1</v>
      </c>
      <c r="J52" s="24">
        <f t="shared" si="7"/>
        <v>-7</v>
      </c>
      <c r="K52" s="24">
        <f t="shared" si="8"/>
        <v>-1</v>
      </c>
      <c r="L52" s="23"/>
      <c r="M52" s="25"/>
      <c r="N52" s="23"/>
      <c r="O52" s="23" t="str">
        <f t="shared" si="9"/>
        <v/>
      </c>
      <c r="P52" s="23">
        <f t="shared" si="10"/>
        <v>0</v>
      </c>
      <c r="Q52" s="8"/>
      <c r="R52" s="31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47"/>
      <c r="BI52" s="48"/>
      <c r="BJ52" s="28"/>
      <c r="BK52" s="28"/>
      <c r="BL52" s="28"/>
      <c r="BM52" s="28"/>
      <c r="BN52" s="28"/>
      <c r="BO52" s="28"/>
      <c r="BP52" s="28"/>
      <c r="BQ52" s="29"/>
    </row>
    <row r="53" spans="1:69" ht="42" customHeight="1">
      <c r="A53" s="5"/>
      <c r="B53" s="15"/>
      <c r="C53" s="6"/>
      <c r="D53" s="6"/>
      <c r="E53" s="6"/>
      <c r="F53" s="23"/>
      <c r="G53" s="23"/>
      <c r="H53" s="23"/>
      <c r="I53" s="23">
        <f t="shared" si="6"/>
        <v>1</v>
      </c>
      <c r="J53" s="24">
        <f t="shared" si="7"/>
        <v>-7</v>
      </c>
      <c r="K53" s="24">
        <f t="shared" si="8"/>
        <v>-1</v>
      </c>
      <c r="L53" s="23"/>
      <c r="M53" s="25"/>
      <c r="N53" s="23"/>
      <c r="O53" s="23" t="str">
        <f t="shared" si="9"/>
        <v/>
      </c>
      <c r="P53" s="23">
        <f t="shared" si="10"/>
        <v>0</v>
      </c>
      <c r="Q53" s="8"/>
      <c r="R53" s="31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47"/>
      <c r="BJ53" s="48"/>
      <c r="BK53" s="28"/>
      <c r="BL53" s="28"/>
      <c r="BM53" s="28"/>
      <c r="BN53" s="28"/>
      <c r="BO53" s="28"/>
      <c r="BP53" s="28"/>
      <c r="BQ53" s="29"/>
    </row>
    <row r="54" spans="1:69" ht="42" customHeight="1">
      <c r="A54" s="5"/>
      <c r="B54" s="15"/>
      <c r="C54" s="6"/>
      <c r="D54" s="6"/>
      <c r="E54" s="6"/>
      <c r="F54" s="23"/>
      <c r="G54" s="23"/>
      <c r="H54" s="23"/>
      <c r="I54" s="23">
        <f t="shared" si="6"/>
        <v>1</v>
      </c>
      <c r="J54" s="24">
        <f t="shared" si="7"/>
        <v>-7</v>
      </c>
      <c r="K54" s="24">
        <f t="shared" si="8"/>
        <v>-1</v>
      </c>
      <c r="L54" s="23"/>
      <c r="M54" s="25"/>
      <c r="N54" s="23"/>
      <c r="O54" s="23" t="str">
        <f t="shared" si="9"/>
        <v/>
      </c>
      <c r="P54" s="23">
        <f t="shared" si="10"/>
        <v>0</v>
      </c>
      <c r="Q54" s="8"/>
      <c r="R54" s="31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47"/>
      <c r="BK54" s="48"/>
      <c r="BL54" s="28"/>
      <c r="BM54" s="28"/>
      <c r="BN54" s="28"/>
      <c r="BO54" s="28"/>
      <c r="BP54" s="28"/>
      <c r="BQ54" s="29"/>
    </row>
    <row r="55" spans="1:69" ht="42" customHeight="1">
      <c r="A55" s="5"/>
      <c r="B55" s="15"/>
      <c r="C55" s="6"/>
      <c r="D55" s="6"/>
      <c r="E55" s="6"/>
      <c r="F55" s="23"/>
      <c r="G55" s="23"/>
      <c r="H55" s="23"/>
      <c r="I55" s="23">
        <f t="shared" si="6"/>
        <v>1</v>
      </c>
      <c r="J55" s="24">
        <f t="shared" si="7"/>
        <v>-7</v>
      </c>
      <c r="K55" s="24">
        <f t="shared" si="8"/>
        <v>-1</v>
      </c>
      <c r="L55" s="23"/>
      <c r="M55" s="25"/>
      <c r="N55" s="23"/>
      <c r="O55" s="23" t="str">
        <f t="shared" si="9"/>
        <v/>
      </c>
      <c r="P55" s="23">
        <f t="shared" si="10"/>
        <v>0</v>
      </c>
      <c r="Q55" s="8"/>
      <c r="R55" s="31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47"/>
      <c r="BL55" s="48"/>
      <c r="BM55" s="28"/>
      <c r="BN55" s="28"/>
      <c r="BO55" s="28"/>
      <c r="BP55" s="28"/>
      <c r="BQ55" s="29"/>
    </row>
    <row r="56" spans="1:69" ht="42" customHeight="1">
      <c r="A56" s="5"/>
      <c r="B56" s="15"/>
      <c r="C56" s="6"/>
      <c r="D56" s="6"/>
      <c r="E56" s="6"/>
      <c r="F56" s="23"/>
      <c r="G56" s="23"/>
      <c r="H56" s="23"/>
      <c r="I56" s="23">
        <f t="shared" si="6"/>
        <v>1</v>
      </c>
      <c r="J56" s="24">
        <f t="shared" si="7"/>
        <v>-7</v>
      </c>
      <c r="K56" s="24">
        <f t="shared" si="8"/>
        <v>-1</v>
      </c>
      <c r="L56" s="23"/>
      <c r="M56" s="25"/>
      <c r="N56" s="23"/>
      <c r="O56" s="23" t="str">
        <f t="shared" si="9"/>
        <v/>
      </c>
      <c r="P56" s="23">
        <f t="shared" si="10"/>
        <v>0</v>
      </c>
      <c r="Q56" s="8"/>
      <c r="R56" s="31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46"/>
      <c r="BM56" s="28"/>
      <c r="BN56" s="28"/>
      <c r="BO56" s="28"/>
      <c r="BP56" s="28"/>
      <c r="BQ56" s="29"/>
    </row>
    <row r="57" spans="1:69" ht="42" customHeight="1">
      <c r="A57" s="5"/>
      <c r="B57" s="17"/>
      <c r="C57" s="6"/>
      <c r="D57" s="6"/>
      <c r="E57" s="6"/>
      <c r="F57" s="23"/>
      <c r="G57" s="23"/>
      <c r="H57" s="23"/>
      <c r="I57" s="23">
        <f t="shared" si="6"/>
        <v>1</v>
      </c>
      <c r="J57" s="24">
        <f t="shared" si="7"/>
        <v>-7</v>
      </c>
      <c r="K57" s="24">
        <f t="shared" si="8"/>
        <v>-1</v>
      </c>
      <c r="L57" s="23"/>
      <c r="M57" s="25"/>
      <c r="N57" s="23"/>
      <c r="O57" s="23" t="str">
        <f t="shared" si="9"/>
        <v/>
      </c>
      <c r="P57" s="23">
        <f t="shared" si="10"/>
        <v>0</v>
      </c>
      <c r="Q57" s="8"/>
      <c r="R57" s="31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49"/>
      <c r="BN57" s="28"/>
      <c r="BO57" s="28"/>
      <c r="BP57" s="28"/>
      <c r="BQ57" s="29"/>
    </row>
    <row r="58" spans="1:69" ht="42" customHeight="1">
      <c r="A58" s="5"/>
      <c r="B58" s="17"/>
      <c r="C58" s="6"/>
      <c r="D58" s="6"/>
      <c r="E58" s="6"/>
      <c r="F58" s="23"/>
      <c r="G58" s="23"/>
      <c r="H58" s="23"/>
      <c r="I58" s="23">
        <f t="shared" si="6"/>
        <v>1</v>
      </c>
      <c r="J58" s="24">
        <f t="shared" si="7"/>
        <v>-7</v>
      </c>
      <c r="K58" s="24">
        <f t="shared" si="8"/>
        <v>-1</v>
      </c>
      <c r="L58" s="23"/>
      <c r="M58" s="25"/>
      <c r="N58" s="23"/>
      <c r="O58" s="23" t="str">
        <f t="shared" si="9"/>
        <v/>
      </c>
      <c r="P58" s="23">
        <f t="shared" si="10"/>
        <v>0</v>
      </c>
      <c r="Q58" s="8"/>
      <c r="R58" s="31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50"/>
      <c r="BN58" s="51"/>
      <c r="BO58" s="28"/>
      <c r="BP58" s="28"/>
      <c r="BQ58" s="29"/>
    </row>
    <row r="59" spans="1:69" ht="42" customHeight="1">
      <c r="A59" s="5"/>
      <c r="B59" s="17"/>
      <c r="C59" s="6"/>
      <c r="D59" s="6"/>
      <c r="E59" s="6"/>
      <c r="F59" s="23"/>
      <c r="G59" s="23"/>
      <c r="H59" s="23"/>
      <c r="I59" s="23">
        <f t="shared" si="6"/>
        <v>1</v>
      </c>
      <c r="J59" s="24">
        <f t="shared" si="7"/>
        <v>-7</v>
      </c>
      <c r="K59" s="24">
        <f t="shared" si="8"/>
        <v>-1</v>
      </c>
      <c r="L59" s="23"/>
      <c r="M59" s="25"/>
      <c r="N59" s="23"/>
      <c r="O59" s="23" t="str">
        <f t="shared" si="9"/>
        <v/>
      </c>
      <c r="P59" s="23">
        <f t="shared" si="10"/>
        <v>0</v>
      </c>
      <c r="Q59" s="8"/>
      <c r="R59" s="31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  <c r="BN59" s="50"/>
      <c r="BO59" s="51"/>
      <c r="BP59" s="28"/>
      <c r="BQ59" s="29"/>
    </row>
    <row r="60" spans="1:69" ht="42" customHeight="1">
      <c r="A60" s="5"/>
      <c r="B60" s="17"/>
      <c r="C60" s="6"/>
      <c r="D60" s="6"/>
      <c r="E60" s="6"/>
      <c r="F60" s="23"/>
      <c r="G60" s="23"/>
      <c r="H60" s="23"/>
      <c r="I60" s="23">
        <f t="shared" si="6"/>
        <v>1</v>
      </c>
      <c r="J60" s="24">
        <f t="shared" si="7"/>
        <v>-7</v>
      </c>
      <c r="K60" s="24">
        <f t="shared" si="8"/>
        <v>-1</v>
      </c>
      <c r="L60" s="23"/>
      <c r="M60" s="25"/>
      <c r="N60" s="23"/>
      <c r="O60" s="23" t="str">
        <f t="shared" si="9"/>
        <v/>
      </c>
      <c r="P60" s="23">
        <f t="shared" si="10"/>
        <v>0</v>
      </c>
      <c r="Q60" s="8"/>
      <c r="R60" s="31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  <c r="BN60" s="28"/>
      <c r="BO60" s="49"/>
      <c r="BP60" s="28"/>
      <c r="BQ60" s="29"/>
    </row>
    <row r="61" spans="1:69" ht="42" customHeight="1">
      <c r="A61" s="5"/>
      <c r="B61" s="17"/>
      <c r="C61" s="6"/>
      <c r="D61" s="6"/>
      <c r="E61" s="6"/>
      <c r="F61" s="23"/>
      <c r="G61" s="23"/>
      <c r="H61" s="23"/>
      <c r="I61" s="23">
        <f t="shared" si="6"/>
        <v>1</v>
      </c>
      <c r="J61" s="24">
        <f t="shared" si="7"/>
        <v>-7</v>
      </c>
      <c r="K61" s="24">
        <f t="shared" si="8"/>
        <v>-1</v>
      </c>
      <c r="L61" s="23"/>
      <c r="M61" s="25"/>
      <c r="N61" s="23"/>
      <c r="O61" s="23" t="str">
        <f t="shared" si="9"/>
        <v/>
      </c>
      <c r="P61" s="23">
        <f t="shared" si="10"/>
        <v>0</v>
      </c>
      <c r="Q61" s="8"/>
      <c r="R61" s="31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  <c r="BN61" s="28"/>
      <c r="BO61" s="28"/>
      <c r="BP61" s="49"/>
      <c r="BQ61" s="29"/>
    </row>
    <row r="62" spans="1:69" ht="42" customHeight="1">
      <c r="A62" s="5"/>
      <c r="B62" s="17"/>
      <c r="C62" s="6"/>
      <c r="D62" s="6"/>
      <c r="E62" s="6"/>
      <c r="F62" s="23"/>
      <c r="G62" s="23"/>
      <c r="H62" s="23"/>
      <c r="I62" s="23">
        <f t="shared" si="6"/>
        <v>1</v>
      </c>
      <c r="J62" s="24">
        <f t="shared" si="7"/>
        <v>-7</v>
      </c>
      <c r="K62" s="24">
        <f t="shared" si="8"/>
        <v>-1</v>
      </c>
      <c r="L62" s="23"/>
      <c r="M62" s="25"/>
      <c r="N62" s="23"/>
      <c r="O62" s="23" t="str">
        <f t="shared" si="9"/>
        <v/>
      </c>
      <c r="P62" s="23">
        <f t="shared" si="10"/>
        <v>0</v>
      </c>
      <c r="Q62" s="8"/>
      <c r="R62" s="31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  <c r="BN62" s="28"/>
      <c r="BO62" s="28"/>
      <c r="BP62" s="50"/>
      <c r="BQ62" s="51"/>
    </row>
    <row r="63" spans="1:69" ht="42" customHeight="1">
      <c r="A63" s="5"/>
      <c r="B63" s="17"/>
      <c r="C63" s="6"/>
      <c r="D63" s="6"/>
      <c r="E63" s="6"/>
      <c r="F63" s="23"/>
      <c r="G63" s="23"/>
      <c r="H63" s="23"/>
      <c r="I63" s="23">
        <f t="shared" si="6"/>
        <v>1</v>
      </c>
      <c r="J63" s="24">
        <f t="shared" si="7"/>
        <v>-7</v>
      </c>
      <c r="K63" s="24">
        <f t="shared" si="8"/>
        <v>-1</v>
      </c>
      <c r="L63" s="23"/>
      <c r="M63" s="25"/>
      <c r="N63" s="23"/>
      <c r="O63" s="23" t="str">
        <f t="shared" si="9"/>
        <v/>
      </c>
      <c r="P63" s="23">
        <f t="shared" si="10"/>
        <v>0</v>
      </c>
      <c r="Q63" s="8"/>
      <c r="R63" s="52"/>
      <c r="S63" s="53"/>
      <c r="T63" s="53"/>
      <c r="U63" s="53"/>
      <c r="V63" s="53"/>
      <c r="W63" s="53"/>
      <c r="X63" s="53"/>
      <c r="Y63" s="53"/>
      <c r="Z63" s="53"/>
      <c r="AA63" s="53"/>
      <c r="AB63" s="53"/>
      <c r="AC63" s="53"/>
      <c r="AD63" s="53"/>
      <c r="AE63" s="53"/>
      <c r="AF63" s="53"/>
      <c r="AG63" s="53"/>
      <c r="AH63" s="53"/>
      <c r="AI63" s="53"/>
      <c r="AJ63" s="53"/>
      <c r="AK63" s="53"/>
      <c r="AL63" s="53"/>
      <c r="AM63" s="53"/>
      <c r="AN63" s="53"/>
      <c r="AO63" s="53"/>
      <c r="AP63" s="53"/>
      <c r="AQ63" s="53"/>
      <c r="AR63" s="53"/>
      <c r="AS63" s="53"/>
      <c r="AT63" s="53"/>
      <c r="AU63" s="53"/>
      <c r="AV63" s="53"/>
      <c r="AW63" s="53"/>
      <c r="AX63" s="53"/>
      <c r="AY63" s="53"/>
      <c r="AZ63" s="53"/>
      <c r="BA63" s="53"/>
      <c r="BB63" s="53"/>
      <c r="BC63" s="53"/>
      <c r="BD63" s="53"/>
      <c r="BE63" s="53"/>
      <c r="BF63" s="53"/>
      <c r="BG63" s="53"/>
      <c r="BH63" s="53"/>
      <c r="BI63" s="53"/>
      <c r="BJ63" s="53"/>
      <c r="BK63" s="53"/>
      <c r="BL63" s="53"/>
      <c r="BM63" s="53"/>
      <c r="BN63" s="53"/>
      <c r="BO63" s="53"/>
      <c r="BP63" s="53"/>
      <c r="BQ63" s="49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1">
    <mergeCell ref="A3:R3"/>
  </mergeCells>
  <conditionalFormatting sqref="K6:K27">
    <cfRule type="expression" dxfId="13" priority="11">
      <formula>K6="Complete"</formula>
    </cfRule>
    <cfRule type="expression" dxfId="12" priority="12">
      <formula>K6="In Progress"</formula>
    </cfRule>
    <cfRule type="expression" dxfId="11" priority="13">
      <formula>K6="Blocked"</formula>
    </cfRule>
    <cfRule type="expression" dxfId="10" priority="16">
      <formula>K6="Complete"</formula>
    </cfRule>
    <cfRule type="expression" dxfId="9" priority="17">
      <formula>K6="In Progress"</formula>
    </cfRule>
    <cfRule type="expression" dxfId="8" priority="18">
      <formula>K6="Blocked"</formula>
    </cfRule>
  </conditionalFormatting>
  <conditionalFormatting sqref="L6:L27">
    <cfRule type="dataBar" priority="10">
      <dataBar>
        <cfvo type="min"/>
        <cfvo type="max"/>
        <color rgb="FF2F75B5"/>
      </dataBar>
    </cfRule>
    <cfRule type="dataBar" priority="15">
      <dataBar>
        <cfvo type="min"/>
        <cfvo type="max"/>
        <color rgb="FF2F75B5"/>
      </dataBar>
    </cfRule>
    <cfRule type="dataBar" priority="21">
      <dataBar>
        <cfvo type="min"/>
        <cfvo type="max"/>
        <color rgb="FF2F75B5"/>
      </dataBar>
      <extLst>
        <ext xmlns:x14="http://schemas.microsoft.com/office/spreadsheetml/2009/9/main" uri="{B025F937-C7B1-47D3-B67F-A62EFF666E3E}">
          <x14:id>{063DC311-2080-FF25-3757-9AC640565C53}</x14:id>
        </ext>
      </extLst>
    </cfRule>
    <cfRule type="dataBar" priority="21">
      <dataBar>
        <cfvo type="min"/>
        <cfvo type="max"/>
        <color rgb="FF2F75B5"/>
      </dataBar>
      <extLst>
        <ext xmlns:x14="http://schemas.microsoft.com/office/spreadsheetml/2009/9/main" uri="{B025F937-C7B1-47D3-B67F-A62EFF666E3E}">
          <x14:id>{C0AFF14F-9D94-F3D6-12B8-079A9CDD4DAD}</x14:id>
        </ext>
      </extLst>
    </cfRule>
  </conditionalFormatting>
  <conditionalFormatting sqref="L6:L63">
    <cfRule type="expression" dxfId="7" priority="1">
      <formula>L6="Complete"</formula>
    </cfRule>
    <cfRule type="expression" dxfId="6" priority="2">
      <formula>L6="In Progress"</formula>
    </cfRule>
    <cfRule type="expression" dxfId="5" priority="3">
      <formula>L6="On Hold"</formula>
    </cfRule>
  </conditionalFormatting>
  <conditionalFormatting sqref="M6:M63">
    <cfRule type="dataBar" priority="4">
      <dataBar>
        <cfvo type="min"/>
        <cfvo type="max"/>
        <color rgb="FF2563EB"/>
      </dataBar>
    </cfRule>
    <cfRule type="dataBar" priority="7">
      <dataBar>
        <cfvo type="min"/>
        <cfvo type="max"/>
        <color rgb="FF2563EB"/>
      </dataBar>
    </cfRule>
    <cfRule type="dataBar" priority="8">
      <dataBar>
        <cfvo type="min"/>
        <cfvo type="max"/>
        <color rgb="FF2563EB"/>
      </dataBar>
    </cfRule>
    <cfRule type="dataBar" priority="9">
      <dataBar>
        <cfvo type="min"/>
        <cfvo type="max"/>
        <color rgb="FF2563EB"/>
      </dataBar>
    </cfRule>
    <cfRule type="dataBar" priority="20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{B05FFF90-18D4-A5A7-8560-2BA14D3F5BBD}</x14:id>
        </ext>
      </extLst>
    </cfRule>
  </conditionalFormatting>
  <conditionalFormatting sqref="O6:O63">
    <cfRule type="cellIs" dxfId="4" priority="5" operator="greaterThan">
      <formula>0</formula>
    </cfRule>
    <cfRule type="cellIs" dxfId="3" priority="6" operator="lessThan">
      <formula>0</formula>
    </cfRule>
  </conditionalFormatting>
  <conditionalFormatting sqref="S6:Z27">
    <cfRule type="expression" dxfId="2" priority="14">
      <formula>S6="■"</formula>
    </cfRule>
  </conditionalFormatting>
  <dataValidations count="2">
    <dataValidation type="list" sqref="L6:L63" xr:uid="{00000000-0002-0000-0200-000000000000}">
      <formula1>"Not Started,In Progress,Complete,On Hold"</formula1>
    </dataValidation>
    <dataValidation type="list" sqref="K6:K27" xr:uid="{00000000-0002-0000-0200-000001000000}">
      <formula1>"Not Started,In Progress,Complete,Blocked,Deferred"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AFF14F-9D94-F3D6-12B8-079A9CDD4DAD}">
            <x14:dataBar>
              <x14:cfvo type="min"/>
              <x14:cfvo type="max"/>
              <x14:negativeFillColor auto="1"/>
              <x14:axisColor auto="1"/>
            </x14:dataBar>
          </x14:cfRule>
          <x14:cfRule type="dataBar" id="{063DC311-2080-FF25-3757-9AC640565C53}">
            <x14:dataBar>
              <x14:cfvo type="min"/>
              <x14:cfvo type="max"/>
              <x14:negativeFillColor auto="1"/>
              <x14:axisColor auto="1"/>
            </x14:dataBar>
          </x14:cfRule>
          <xm:sqref>L6:L27</xm:sqref>
        </x14:conditionalFormatting>
        <x14:conditionalFormatting xmlns:xm="http://schemas.microsoft.com/office/excel/2006/main">
          <x14:cfRule type="dataBar" id="{B05FFF90-18D4-A5A7-8560-2BA14D3F5BBD}">
            <x14:dataBar>
              <x14:cfvo type="min"/>
              <x14:cfvo type="max"/>
              <x14:negativeFillColor auto="1"/>
              <x14:axisColor auto="1"/>
            </x14:dataBar>
          </x14:cfRule>
          <xm:sqref>M6:M63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Q100"/>
  <sheetViews>
    <sheetView workbookViewId="0"/>
  </sheetViews>
  <sheetFormatPr defaultRowHeight="14.25"/>
  <cols>
    <col min="1" max="1" width="8" customWidth="1"/>
    <col min="2" max="5" width="12" customWidth="1"/>
    <col min="6" max="6" width="11" customWidth="1"/>
    <col min="7" max="8" width="14" customWidth="1"/>
    <col min="9" max="9" width="15" customWidth="1"/>
    <col min="10" max="10" width="34" customWidth="1"/>
    <col min="11" max="11" width="13" customWidth="1"/>
    <col min="12" max="12" width="52" customWidth="1"/>
  </cols>
  <sheetData>
    <row r="1" spans="1:69" ht="27.95" customHeight="1">
      <c r="A1" s="204" t="s">
        <v>245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222" t="s">
        <v>246</v>
      </c>
      <c r="B2" s="222"/>
      <c r="C2" s="222"/>
      <c r="D2" s="222"/>
      <c r="E2" s="222"/>
      <c r="F2" s="222"/>
      <c r="G2" s="222"/>
      <c r="H2" s="222"/>
      <c r="I2" s="222"/>
      <c r="J2" s="222"/>
      <c r="K2" s="222"/>
      <c r="L2" s="22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36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27">
      <c r="A4" s="88" t="s">
        <v>247</v>
      </c>
      <c r="B4" s="118" t="s">
        <v>248</v>
      </c>
      <c r="C4" s="118" t="s">
        <v>249</v>
      </c>
      <c r="D4" s="88" t="s">
        <v>71</v>
      </c>
      <c r="E4" s="137" t="s">
        <v>72</v>
      </c>
      <c r="F4" s="137" t="e">
        <f t="shared" ref="F4:F35" si="0">IF(E4="","",E4-D4)</f>
        <v>#VALUE!</v>
      </c>
      <c r="G4" s="88" t="s">
        <v>250</v>
      </c>
      <c r="H4" s="88" t="s">
        <v>251</v>
      </c>
      <c r="I4" s="88" t="e">
        <f t="shared" ref="I4:I35" si="1">MAX(576-G4,0)</f>
        <v>#VALUE!</v>
      </c>
      <c r="J4" s="88" t="s">
        <v>252</v>
      </c>
      <c r="K4" s="88" t="s">
        <v>121</v>
      </c>
      <c r="L4" s="88" t="s">
        <v>253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40.5">
      <c r="A5" s="141">
        <v>1</v>
      </c>
      <c r="B5" s="138">
        <v>46202</v>
      </c>
      <c r="C5" s="138">
        <v>46208</v>
      </c>
      <c r="D5" s="68">
        <v>8</v>
      </c>
      <c r="E5" s="68">
        <f>SUMIF('Work Block Log'!$G$5:$G$200,A5,'Work Block Log'!$F$5:$F$200)</f>
        <v>7.5500000000000007</v>
      </c>
      <c r="F5" s="68">
        <f t="shared" si="0"/>
        <v>-0.44999999999999929</v>
      </c>
      <c r="G5" s="68">
        <f t="shared" ref="G5:G36" si="2">SUM($D$5:D5)</f>
        <v>8</v>
      </c>
      <c r="H5" s="68">
        <f t="shared" ref="H5:H36" si="3">SUM($E$5:E5)</f>
        <v>7.5500000000000007</v>
      </c>
      <c r="I5" s="68">
        <f t="shared" si="1"/>
        <v>568</v>
      </c>
      <c r="J5" s="141" t="s">
        <v>254</v>
      </c>
      <c r="K5" s="141" t="s">
        <v>255</v>
      </c>
      <c r="L5" s="141" t="s">
        <v>256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15">
      <c r="A6" s="141">
        <v>2</v>
      </c>
      <c r="B6" s="138">
        <v>46209</v>
      </c>
      <c r="C6" s="138">
        <v>46215</v>
      </c>
      <c r="D6" s="68">
        <v>10</v>
      </c>
      <c r="E6" s="68">
        <f>SUMIF('Work Block Log'!$G$5:$G$200,A6,'Work Block Log'!$F$5:$F$200)</f>
        <v>0</v>
      </c>
      <c r="F6" s="68">
        <f t="shared" si="0"/>
        <v>-10</v>
      </c>
      <c r="G6" s="68">
        <f t="shared" si="2"/>
        <v>18</v>
      </c>
      <c r="H6" s="68">
        <f t="shared" si="3"/>
        <v>7.5500000000000007</v>
      </c>
      <c r="I6" s="68">
        <f t="shared" si="1"/>
        <v>558</v>
      </c>
      <c r="J6" s="141" t="s">
        <v>257</v>
      </c>
      <c r="K6" s="141" t="s">
        <v>258</v>
      </c>
      <c r="L6" s="14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15">
      <c r="A7" s="141">
        <v>3</v>
      </c>
      <c r="B7" s="138">
        <v>46216</v>
      </c>
      <c r="C7" s="138">
        <v>46222</v>
      </c>
      <c r="D7" s="68">
        <v>10</v>
      </c>
      <c r="E7" s="68">
        <f>SUMIF('Work Block Log'!$G$5:$G$200,A7,'Work Block Log'!$F$5:$F$200)</f>
        <v>0</v>
      </c>
      <c r="F7" s="68">
        <f t="shared" si="0"/>
        <v>-10</v>
      </c>
      <c r="G7" s="68">
        <f t="shared" si="2"/>
        <v>28</v>
      </c>
      <c r="H7" s="68">
        <f t="shared" si="3"/>
        <v>7.5500000000000007</v>
      </c>
      <c r="I7" s="68">
        <f t="shared" si="1"/>
        <v>548</v>
      </c>
      <c r="J7" s="141" t="s">
        <v>259</v>
      </c>
      <c r="K7" s="141" t="s">
        <v>258</v>
      </c>
      <c r="L7" s="14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15">
      <c r="A8" s="141">
        <v>4</v>
      </c>
      <c r="B8" s="138">
        <v>46223</v>
      </c>
      <c r="C8" s="138">
        <v>46229</v>
      </c>
      <c r="D8" s="68">
        <v>10</v>
      </c>
      <c r="E8" s="68">
        <f>SUMIF('Work Block Log'!$G$5:$G$200,A8,'Work Block Log'!$F$5:$F$200)</f>
        <v>0</v>
      </c>
      <c r="F8" s="68">
        <f t="shared" si="0"/>
        <v>-10</v>
      </c>
      <c r="G8" s="68">
        <f t="shared" si="2"/>
        <v>38</v>
      </c>
      <c r="H8" s="68">
        <f t="shared" si="3"/>
        <v>7.5500000000000007</v>
      </c>
      <c r="I8" s="68">
        <f t="shared" si="1"/>
        <v>538</v>
      </c>
      <c r="J8" s="141" t="s">
        <v>260</v>
      </c>
      <c r="K8" s="141" t="s">
        <v>258</v>
      </c>
      <c r="L8" s="14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15">
      <c r="A9" s="141">
        <v>5</v>
      </c>
      <c r="B9" s="138">
        <v>46230</v>
      </c>
      <c r="C9" s="138">
        <v>46236</v>
      </c>
      <c r="D9" s="68">
        <v>10</v>
      </c>
      <c r="E9" s="68">
        <f>SUMIF('Work Block Log'!$G$5:$G$200,A9,'Work Block Log'!$F$5:$F$200)</f>
        <v>0</v>
      </c>
      <c r="F9" s="68">
        <f t="shared" si="0"/>
        <v>-10</v>
      </c>
      <c r="G9" s="68">
        <f t="shared" si="2"/>
        <v>48</v>
      </c>
      <c r="H9" s="68">
        <f t="shared" si="3"/>
        <v>7.5500000000000007</v>
      </c>
      <c r="I9" s="68">
        <f t="shared" si="1"/>
        <v>528</v>
      </c>
      <c r="J9" s="141" t="s">
        <v>261</v>
      </c>
      <c r="K9" s="141" t="s">
        <v>258</v>
      </c>
      <c r="L9" s="14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15">
      <c r="A10" s="141">
        <v>6</v>
      </c>
      <c r="B10" s="138">
        <v>46237</v>
      </c>
      <c r="C10" s="138">
        <v>46243</v>
      </c>
      <c r="D10" s="68">
        <v>10</v>
      </c>
      <c r="E10" s="68">
        <f>SUMIF('Work Block Log'!$G$5:$G$200,A10,'Work Block Log'!$F$5:$F$200)</f>
        <v>0</v>
      </c>
      <c r="F10" s="68">
        <f t="shared" si="0"/>
        <v>-10</v>
      </c>
      <c r="G10" s="68">
        <f t="shared" si="2"/>
        <v>58</v>
      </c>
      <c r="H10" s="68">
        <f t="shared" si="3"/>
        <v>7.5500000000000007</v>
      </c>
      <c r="I10" s="68">
        <f t="shared" si="1"/>
        <v>518</v>
      </c>
      <c r="J10" s="141" t="s">
        <v>262</v>
      </c>
      <c r="K10" s="141" t="s">
        <v>258</v>
      </c>
      <c r="L10" s="14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15">
      <c r="A11" s="141">
        <v>7</v>
      </c>
      <c r="B11" s="138">
        <v>46244</v>
      </c>
      <c r="C11" s="138">
        <v>46250</v>
      </c>
      <c r="D11" s="68">
        <v>10</v>
      </c>
      <c r="E11" s="68">
        <f>SUMIF('Work Block Log'!$G$5:$G$200,A11,'Work Block Log'!$F$5:$F$200)</f>
        <v>0</v>
      </c>
      <c r="F11" s="68">
        <f t="shared" si="0"/>
        <v>-10</v>
      </c>
      <c r="G11" s="68">
        <f t="shared" si="2"/>
        <v>68</v>
      </c>
      <c r="H11" s="68">
        <f t="shared" si="3"/>
        <v>7.5500000000000007</v>
      </c>
      <c r="I11" s="68">
        <f t="shared" si="1"/>
        <v>508</v>
      </c>
      <c r="J11" s="141" t="s">
        <v>263</v>
      </c>
      <c r="K11" s="141" t="s">
        <v>258</v>
      </c>
      <c r="L11" s="14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5">
      <c r="A12" s="142">
        <v>8</v>
      </c>
      <c r="B12" s="139">
        <v>46251</v>
      </c>
      <c r="C12" s="139">
        <v>46257</v>
      </c>
      <c r="D12" s="140">
        <v>8</v>
      </c>
      <c r="E12" s="140">
        <f>SUMIF('Work Block Log'!$G$5:$G$200,A12,'Work Block Log'!$F$5:$F$200)</f>
        <v>0</v>
      </c>
      <c r="F12" s="140">
        <f t="shared" si="0"/>
        <v>-8</v>
      </c>
      <c r="G12" s="140">
        <f t="shared" si="2"/>
        <v>76</v>
      </c>
      <c r="H12" s="140">
        <f t="shared" si="3"/>
        <v>7.5500000000000007</v>
      </c>
      <c r="I12" s="140">
        <f t="shared" si="1"/>
        <v>500</v>
      </c>
      <c r="J12" s="142" t="s">
        <v>264</v>
      </c>
      <c r="K12" s="142" t="s">
        <v>258</v>
      </c>
      <c r="L12" s="14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54"/>
      <c r="B13" s="55"/>
      <c r="C13" s="55"/>
      <c r="D13" s="56"/>
      <c r="E13" s="56"/>
      <c r="F13" s="56" t="str">
        <f t="shared" si="0"/>
        <v/>
      </c>
      <c r="G13" s="56">
        <f t="shared" si="2"/>
        <v>76</v>
      </c>
      <c r="H13" s="56">
        <f t="shared" si="3"/>
        <v>7.5500000000000007</v>
      </c>
      <c r="I13" s="56">
        <f t="shared" si="1"/>
        <v>500</v>
      </c>
      <c r="J13" s="56"/>
      <c r="K13" s="56"/>
      <c r="L13" s="57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54"/>
      <c r="B14" s="55"/>
      <c r="C14" s="55"/>
      <c r="D14" s="56"/>
      <c r="E14" s="56"/>
      <c r="F14" s="56" t="str">
        <f t="shared" si="0"/>
        <v/>
      </c>
      <c r="G14" s="56">
        <f t="shared" si="2"/>
        <v>76</v>
      </c>
      <c r="H14" s="56">
        <f t="shared" si="3"/>
        <v>7.5500000000000007</v>
      </c>
      <c r="I14" s="56">
        <f t="shared" si="1"/>
        <v>500</v>
      </c>
      <c r="J14" s="56"/>
      <c r="K14" s="56"/>
      <c r="L14" s="57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54"/>
      <c r="B15" s="55"/>
      <c r="C15" s="55"/>
      <c r="D15" s="56"/>
      <c r="E15" s="56"/>
      <c r="F15" s="56" t="str">
        <f t="shared" si="0"/>
        <v/>
      </c>
      <c r="G15" s="56">
        <f t="shared" si="2"/>
        <v>76</v>
      </c>
      <c r="H15" s="56">
        <f t="shared" si="3"/>
        <v>7.5500000000000007</v>
      </c>
      <c r="I15" s="56">
        <f t="shared" si="1"/>
        <v>500</v>
      </c>
      <c r="J15" s="56"/>
      <c r="K15" s="56"/>
      <c r="L15" s="57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54"/>
      <c r="B16" s="55"/>
      <c r="C16" s="55"/>
      <c r="D16" s="56"/>
      <c r="E16" s="56"/>
      <c r="F16" s="56" t="str">
        <f t="shared" si="0"/>
        <v/>
      </c>
      <c r="G16" s="56">
        <f t="shared" si="2"/>
        <v>76</v>
      </c>
      <c r="H16" s="56">
        <f t="shared" si="3"/>
        <v>7.5500000000000007</v>
      </c>
      <c r="I16" s="56">
        <f t="shared" si="1"/>
        <v>500</v>
      </c>
      <c r="J16" s="56"/>
      <c r="K16" s="56"/>
      <c r="L16" s="57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54"/>
      <c r="B17" s="55"/>
      <c r="C17" s="55"/>
      <c r="D17" s="56"/>
      <c r="E17" s="56"/>
      <c r="F17" s="56" t="str">
        <f t="shared" si="0"/>
        <v/>
      </c>
      <c r="G17" s="56">
        <f t="shared" si="2"/>
        <v>76</v>
      </c>
      <c r="H17" s="56">
        <f t="shared" si="3"/>
        <v>7.5500000000000007</v>
      </c>
      <c r="I17" s="56">
        <f t="shared" si="1"/>
        <v>500</v>
      </c>
      <c r="J17" s="56"/>
      <c r="K17" s="56"/>
      <c r="L17" s="57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54"/>
      <c r="B18" s="55"/>
      <c r="C18" s="55"/>
      <c r="D18" s="56"/>
      <c r="E18" s="56"/>
      <c r="F18" s="56" t="str">
        <f t="shared" si="0"/>
        <v/>
      </c>
      <c r="G18" s="56">
        <f t="shared" si="2"/>
        <v>76</v>
      </c>
      <c r="H18" s="56">
        <f t="shared" si="3"/>
        <v>7.5500000000000007</v>
      </c>
      <c r="I18" s="56">
        <f t="shared" si="1"/>
        <v>500</v>
      </c>
      <c r="J18" s="56"/>
      <c r="K18" s="56"/>
      <c r="L18" s="57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54"/>
      <c r="B19" s="55"/>
      <c r="C19" s="55"/>
      <c r="D19" s="56"/>
      <c r="E19" s="56"/>
      <c r="F19" s="56" t="str">
        <f t="shared" si="0"/>
        <v/>
      </c>
      <c r="G19" s="56">
        <f t="shared" si="2"/>
        <v>76</v>
      </c>
      <c r="H19" s="56">
        <f t="shared" si="3"/>
        <v>7.5500000000000007</v>
      </c>
      <c r="I19" s="56">
        <f t="shared" si="1"/>
        <v>500</v>
      </c>
      <c r="J19" s="56"/>
      <c r="K19" s="56"/>
      <c r="L19" s="57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54"/>
      <c r="B20" s="55"/>
      <c r="C20" s="55"/>
      <c r="D20" s="56"/>
      <c r="E20" s="56"/>
      <c r="F20" s="56" t="str">
        <f t="shared" si="0"/>
        <v/>
      </c>
      <c r="G20" s="56">
        <f t="shared" si="2"/>
        <v>76</v>
      </c>
      <c r="H20" s="56">
        <f t="shared" si="3"/>
        <v>7.5500000000000007</v>
      </c>
      <c r="I20" s="56">
        <f t="shared" si="1"/>
        <v>500</v>
      </c>
      <c r="J20" s="56"/>
      <c r="K20" s="56"/>
      <c r="L20" s="57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54"/>
      <c r="B21" s="55"/>
      <c r="C21" s="55"/>
      <c r="D21" s="56"/>
      <c r="E21" s="56"/>
      <c r="F21" s="56" t="str">
        <f t="shared" si="0"/>
        <v/>
      </c>
      <c r="G21" s="56">
        <f t="shared" si="2"/>
        <v>76</v>
      </c>
      <c r="H21" s="56">
        <f t="shared" si="3"/>
        <v>7.5500000000000007</v>
      </c>
      <c r="I21" s="56">
        <f t="shared" si="1"/>
        <v>500</v>
      </c>
      <c r="J21" s="56"/>
      <c r="K21" s="56"/>
      <c r="L21" s="57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54"/>
      <c r="B22" s="55"/>
      <c r="C22" s="55"/>
      <c r="D22" s="56"/>
      <c r="E22" s="56"/>
      <c r="F22" s="56" t="str">
        <f t="shared" si="0"/>
        <v/>
      </c>
      <c r="G22" s="56">
        <f t="shared" si="2"/>
        <v>76</v>
      </c>
      <c r="H22" s="56">
        <f t="shared" si="3"/>
        <v>7.5500000000000007</v>
      </c>
      <c r="I22" s="56">
        <f t="shared" si="1"/>
        <v>500</v>
      </c>
      <c r="J22" s="56"/>
      <c r="K22" s="56"/>
      <c r="L22" s="57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54"/>
      <c r="B23" s="55"/>
      <c r="C23" s="55"/>
      <c r="D23" s="56"/>
      <c r="E23" s="56"/>
      <c r="F23" s="56" t="str">
        <f t="shared" si="0"/>
        <v/>
      </c>
      <c r="G23" s="56">
        <f t="shared" si="2"/>
        <v>76</v>
      </c>
      <c r="H23" s="56">
        <f t="shared" si="3"/>
        <v>7.5500000000000007</v>
      </c>
      <c r="I23" s="56">
        <f t="shared" si="1"/>
        <v>500</v>
      </c>
      <c r="J23" s="56"/>
      <c r="K23" s="56"/>
      <c r="L23" s="57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54"/>
      <c r="B24" s="55"/>
      <c r="C24" s="55"/>
      <c r="D24" s="56"/>
      <c r="E24" s="56"/>
      <c r="F24" s="56" t="str">
        <f t="shared" si="0"/>
        <v/>
      </c>
      <c r="G24" s="56">
        <f t="shared" si="2"/>
        <v>76</v>
      </c>
      <c r="H24" s="56">
        <f t="shared" si="3"/>
        <v>7.5500000000000007</v>
      </c>
      <c r="I24" s="56">
        <f t="shared" si="1"/>
        <v>500</v>
      </c>
      <c r="J24" s="56"/>
      <c r="K24" s="56"/>
      <c r="L24" s="57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54"/>
      <c r="B25" s="55"/>
      <c r="C25" s="55"/>
      <c r="D25" s="56"/>
      <c r="E25" s="56"/>
      <c r="F25" s="56" t="str">
        <f t="shared" si="0"/>
        <v/>
      </c>
      <c r="G25" s="56">
        <f t="shared" si="2"/>
        <v>76</v>
      </c>
      <c r="H25" s="56">
        <f t="shared" si="3"/>
        <v>7.5500000000000007</v>
      </c>
      <c r="I25" s="56">
        <f t="shared" si="1"/>
        <v>500</v>
      </c>
      <c r="J25" s="56"/>
      <c r="K25" s="56"/>
      <c r="L25" s="57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54"/>
      <c r="B26" s="55"/>
      <c r="C26" s="55"/>
      <c r="D26" s="56"/>
      <c r="E26" s="56"/>
      <c r="F26" s="56" t="str">
        <f t="shared" si="0"/>
        <v/>
      </c>
      <c r="G26" s="56">
        <f t="shared" si="2"/>
        <v>76</v>
      </c>
      <c r="H26" s="56">
        <f t="shared" si="3"/>
        <v>7.5500000000000007</v>
      </c>
      <c r="I26" s="56">
        <f t="shared" si="1"/>
        <v>500</v>
      </c>
      <c r="J26" s="56"/>
      <c r="K26" s="56"/>
      <c r="L26" s="57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58"/>
      <c r="B27" s="59"/>
      <c r="C27" s="59"/>
      <c r="D27" s="60"/>
      <c r="E27" s="60"/>
      <c r="F27" s="60" t="str">
        <f t="shared" si="0"/>
        <v/>
      </c>
      <c r="G27" s="60">
        <f t="shared" si="2"/>
        <v>76</v>
      </c>
      <c r="H27" s="60">
        <f t="shared" si="3"/>
        <v>7.5500000000000007</v>
      </c>
      <c r="I27" s="60">
        <f t="shared" si="1"/>
        <v>500</v>
      </c>
      <c r="J27" s="60"/>
      <c r="K27" s="60"/>
      <c r="L27" s="6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54"/>
      <c r="B28" s="55"/>
      <c r="C28" s="55"/>
      <c r="D28" s="56"/>
      <c r="E28" s="56"/>
      <c r="F28" s="56" t="str">
        <f t="shared" si="0"/>
        <v/>
      </c>
      <c r="G28" s="56">
        <f t="shared" si="2"/>
        <v>76</v>
      </c>
      <c r="H28" s="56">
        <f t="shared" si="3"/>
        <v>7.5500000000000007</v>
      </c>
      <c r="I28" s="56">
        <f t="shared" si="1"/>
        <v>500</v>
      </c>
      <c r="J28" s="56"/>
      <c r="K28" s="56"/>
      <c r="L28" s="57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54"/>
      <c r="B29" s="55"/>
      <c r="C29" s="55"/>
      <c r="D29" s="56"/>
      <c r="E29" s="56"/>
      <c r="F29" s="56" t="str">
        <f t="shared" si="0"/>
        <v/>
      </c>
      <c r="G29" s="56">
        <f t="shared" si="2"/>
        <v>76</v>
      </c>
      <c r="H29" s="56">
        <f t="shared" si="3"/>
        <v>7.5500000000000007</v>
      </c>
      <c r="I29" s="56">
        <f t="shared" si="1"/>
        <v>500</v>
      </c>
      <c r="J29" s="56"/>
      <c r="K29" s="56"/>
      <c r="L29" s="57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54"/>
      <c r="B30" s="55"/>
      <c r="C30" s="55"/>
      <c r="D30" s="56"/>
      <c r="E30" s="56"/>
      <c r="F30" s="56" t="str">
        <f t="shared" si="0"/>
        <v/>
      </c>
      <c r="G30" s="56">
        <f t="shared" si="2"/>
        <v>76</v>
      </c>
      <c r="H30" s="56">
        <f t="shared" si="3"/>
        <v>7.5500000000000007</v>
      </c>
      <c r="I30" s="56">
        <f t="shared" si="1"/>
        <v>500</v>
      </c>
      <c r="J30" s="56"/>
      <c r="K30" s="56"/>
      <c r="L30" s="57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54"/>
      <c r="B31" s="55"/>
      <c r="C31" s="55"/>
      <c r="D31" s="56"/>
      <c r="E31" s="56"/>
      <c r="F31" s="56" t="str">
        <f t="shared" si="0"/>
        <v/>
      </c>
      <c r="G31" s="56">
        <f t="shared" si="2"/>
        <v>76</v>
      </c>
      <c r="H31" s="56">
        <f t="shared" si="3"/>
        <v>7.5500000000000007</v>
      </c>
      <c r="I31" s="56">
        <f t="shared" si="1"/>
        <v>500</v>
      </c>
      <c r="J31" s="56"/>
      <c r="K31" s="56"/>
      <c r="L31" s="57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54"/>
      <c r="B32" s="55"/>
      <c r="C32" s="55"/>
      <c r="D32" s="56"/>
      <c r="E32" s="56"/>
      <c r="F32" s="56" t="str">
        <f t="shared" si="0"/>
        <v/>
      </c>
      <c r="G32" s="56">
        <f t="shared" si="2"/>
        <v>76</v>
      </c>
      <c r="H32" s="56">
        <f t="shared" si="3"/>
        <v>7.5500000000000007</v>
      </c>
      <c r="I32" s="56">
        <f t="shared" si="1"/>
        <v>500</v>
      </c>
      <c r="J32" s="56"/>
      <c r="K32" s="56"/>
      <c r="L32" s="57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54"/>
      <c r="B33" s="55"/>
      <c r="C33" s="55"/>
      <c r="D33" s="56"/>
      <c r="E33" s="56"/>
      <c r="F33" s="56" t="str">
        <f t="shared" si="0"/>
        <v/>
      </c>
      <c r="G33" s="56">
        <f t="shared" si="2"/>
        <v>76</v>
      </c>
      <c r="H33" s="56">
        <f t="shared" si="3"/>
        <v>7.5500000000000007</v>
      </c>
      <c r="I33" s="56">
        <f t="shared" si="1"/>
        <v>500</v>
      </c>
      <c r="J33" s="56"/>
      <c r="K33" s="56"/>
      <c r="L33" s="57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54"/>
      <c r="B34" s="55"/>
      <c r="C34" s="55"/>
      <c r="D34" s="56"/>
      <c r="E34" s="56"/>
      <c r="F34" s="56" t="str">
        <f t="shared" si="0"/>
        <v/>
      </c>
      <c r="G34" s="56">
        <f t="shared" si="2"/>
        <v>76</v>
      </c>
      <c r="H34" s="56">
        <f t="shared" si="3"/>
        <v>7.5500000000000007</v>
      </c>
      <c r="I34" s="56">
        <f t="shared" si="1"/>
        <v>500</v>
      </c>
      <c r="J34" s="56"/>
      <c r="K34" s="56"/>
      <c r="L34" s="57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54"/>
      <c r="B35" s="55"/>
      <c r="C35" s="55"/>
      <c r="D35" s="56"/>
      <c r="E35" s="56"/>
      <c r="F35" s="56" t="str">
        <f t="shared" si="0"/>
        <v/>
      </c>
      <c r="G35" s="56">
        <f t="shared" si="2"/>
        <v>76</v>
      </c>
      <c r="H35" s="56">
        <f t="shared" si="3"/>
        <v>7.5500000000000007</v>
      </c>
      <c r="I35" s="56">
        <f t="shared" si="1"/>
        <v>500</v>
      </c>
      <c r="J35" s="56"/>
      <c r="K35" s="56"/>
      <c r="L35" s="57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54"/>
      <c r="B36" s="55"/>
      <c r="C36" s="55"/>
      <c r="D36" s="56"/>
      <c r="E36" s="56"/>
      <c r="F36" s="56" t="str">
        <f t="shared" ref="F36:F55" si="4">IF(E36="","",E36-D36)</f>
        <v/>
      </c>
      <c r="G36" s="56">
        <f t="shared" si="2"/>
        <v>76</v>
      </c>
      <c r="H36" s="56">
        <f t="shared" si="3"/>
        <v>7.5500000000000007</v>
      </c>
      <c r="I36" s="56">
        <f t="shared" ref="I36:I55" si="5">MAX(576-G36,0)</f>
        <v>500</v>
      </c>
      <c r="J36" s="56"/>
      <c r="K36" s="56"/>
      <c r="L36" s="57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54"/>
      <c r="B37" s="55"/>
      <c r="C37" s="55"/>
      <c r="D37" s="56"/>
      <c r="E37" s="56"/>
      <c r="F37" s="56" t="str">
        <f t="shared" si="4"/>
        <v/>
      </c>
      <c r="G37" s="56">
        <f t="shared" ref="G37:G55" si="6">G36+D37</f>
        <v>76</v>
      </c>
      <c r="H37" s="56">
        <f t="shared" ref="H37:H55" si="7">H36+IF(E37="",0,E37)</f>
        <v>7.5500000000000007</v>
      </c>
      <c r="I37" s="56">
        <f t="shared" si="5"/>
        <v>500</v>
      </c>
      <c r="J37" s="56"/>
      <c r="K37" s="56"/>
      <c r="L37" s="57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54"/>
      <c r="B38" s="55"/>
      <c r="C38" s="55"/>
      <c r="D38" s="56"/>
      <c r="E38" s="56"/>
      <c r="F38" s="56" t="str">
        <f t="shared" si="4"/>
        <v/>
      </c>
      <c r="G38" s="56">
        <f t="shared" si="6"/>
        <v>76</v>
      </c>
      <c r="H38" s="56">
        <f t="shared" si="7"/>
        <v>7.5500000000000007</v>
      </c>
      <c r="I38" s="56">
        <f t="shared" si="5"/>
        <v>500</v>
      </c>
      <c r="J38" s="56"/>
      <c r="K38" s="56"/>
      <c r="L38" s="57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54"/>
      <c r="B39" s="55"/>
      <c r="C39" s="55"/>
      <c r="D39" s="56"/>
      <c r="E39" s="56"/>
      <c r="F39" s="56" t="str">
        <f t="shared" si="4"/>
        <v/>
      </c>
      <c r="G39" s="56">
        <f t="shared" si="6"/>
        <v>76</v>
      </c>
      <c r="H39" s="56">
        <f t="shared" si="7"/>
        <v>7.5500000000000007</v>
      </c>
      <c r="I39" s="56">
        <f t="shared" si="5"/>
        <v>500</v>
      </c>
      <c r="J39" s="56"/>
      <c r="K39" s="56"/>
      <c r="L39" s="57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54"/>
      <c r="B40" s="55"/>
      <c r="C40" s="55"/>
      <c r="D40" s="56"/>
      <c r="E40" s="56"/>
      <c r="F40" s="56" t="str">
        <f t="shared" si="4"/>
        <v/>
      </c>
      <c r="G40" s="56">
        <f t="shared" si="6"/>
        <v>76</v>
      </c>
      <c r="H40" s="56">
        <f t="shared" si="7"/>
        <v>7.5500000000000007</v>
      </c>
      <c r="I40" s="56">
        <f t="shared" si="5"/>
        <v>500</v>
      </c>
      <c r="J40" s="56"/>
      <c r="K40" s="56"/>
      <c r="L40" s="57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54"/>
      <c r="B41" s="55"/>
      <c r="C41" s="55"/>
      <c r="D41" s="56"/>
      <c r="E41" s="56"/>
      <c r="F41" s="56" t="str">
        <f t="shared" si="4"/>
        <v/>
      </c>
      <c r="G41" s="56">
        <f t="shared" si="6"/>
        <v>76</v>
      </c>
      <c r="H41" s="56">
        <f t="shared" si="7"/>
        <v>7.5500000000000007</v>
      </c>
      <c r="I41" s="56">
        <f t="shared" si="5"/>
        <v>500</v>
      </c>
      <c r="J41" s="56"/>
      <c r="K41" s="56"/>
      <c r="L41" s="57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54"/>
      <c r="B42" s="55"/>
      <c r="C42" s="55"/>
      <c r="D42" s="56"/>
      <c r="E42" s="56"/>
      <c r="F42" s="56" t="str">
        <f t="shared" si="4"/>
        <v/>
      </c>
      <c r="G42" s="56">
        <f t="shared" si="6"/>
        <v>76</v>
      </c>
      <c r="H42" s="56">
        <f t="shared" si="7"/>
        <v>7.5500000000000007</v>
      </c>
      <c r="I42" s="56">
        <f t="shared" si="5"/>
        <v>500</v>
      </c>
      <c r="J42" s="56"/>
      <c r="K42" s="56"/>
      <c r="L42" s="57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54"/>
      <c r="B43" s="55"/>
      <c r="C43" s="55"/>
      <c r="D43" s="56"/>
      <c r="E43" s="56"/>
      <c r="F43" s="56" t="str">
        <f t="shared" si="4"/>
        <v/>
      </c>
      <c r="G43" s="56">
        <f t="shared" si="6"/>
        <v>76</v>
      </c>
      <c r="H43" s="56">
        <f t="shared" si="7"/>
        <v>7.5500000000000007</v>
      </c>
      <c r="I43" s="56">
        <f t="shared" si="5"/>
        <v>500</v>
      </c>
      <c r="J43" s="56"/>
      <c r="K43" s="56"/>
      <c r="L43" s="57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54"/>
      <c r="B44" s="55"/>
      <c r="C44" s="55"/>
      <c r="D44" s="56"/>
      <c r="E44" s="56"/>
      <c r="F44" s="56" t="str">
        <f t="shared" si="4"/>
        <v/>
      </c>
      <c r="G44" s="56">
        <f t="shared" si="6"/>
        <v>76</v>
      </c>
      <c r="H44" s="56">
        <f t="shared" si="7"/>
        <v>7.5500000000000007</v>
      </c>
      <c r="I44" s="56">
        <f t="shared" si="5"/>
        <v>500</v>
      </c>
      <c r="J44" s="56"/>
      <c r="K44" s="56"/>
      <c r="L44" s="57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58"/>
      <c r="B45" s="59"/>
      <c r="C45" s="59"/>
      <c r="D45" s="60"/>
      <c r="E45" s="60"/>
      <c r="F45" s="60" t="str">
        <f t="shared" si="4"/>
        <v/>
      </c>
      <c r="G45" s="60">
        <f t="shared" si="6"/>
        <v>76</v>
      </c>
      <c r="H45" s="60">
        <f t="shared" si="7"/>
        <v>7.5500000000000007</v>
      </c>
      <c r="I45" s="60">
        <f t="shared" si="5"/>
        <v>500</v>
      </c>
      <c r="J45" s="60"/>
      <c r="K45" s="60"/>
      <c r="L45" s="6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54"/>
      <c r="B46" s="55"/>
      <c r="C46" s="55"/>
      <c r="D46" s="56"/>
      <c r="E46" s="56"/>
      <c r="F46" s="56" t="str">
        <f t="shared" si="4"/>
        <v/>
      </c>
      <c r="G46" s="56">
        <f t="shared" si="6"/>
        <v>76</v>
      </c>
      <c r="H46" s="56">
        <f t="shared" si="7"/>
        <v>7.5500000000000007</v>
      </c>
      <c r="I46" s="56">
        <f t="shared" si="5"/>
        <v>500</v>
      </c>
      <c r="J46" s="56"/>
      <c r="K46" s="56"/>
      <c r="L46" s="57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54"/>
      <c r="B47" s="55"/>
      <c r="C47" s="55"/>
      <c r="D47" s="56"/>
      <c r="E47" s="56"/>
      <c r="F47" s="56" t="str">
        <f t="shared" si="4"/>
        <v/>
      </c>
      <c r="G47" s="56">
        <f t="shared" si="6"/>
        <v>76</v>
      </c>
      <c r="H47" s="56">
        <f t="shared" si="7"/>
        <v>7.5500000000000007</v>
      </c>
      <c r="I47" s="56">
        <f t="shared" si="5"/>
        <v>500</v>
      </c>
      <c r="J47" s="56"/>
      <c r="K47" s="56"/>
      <c r="L47" s="57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54"/>
      <c r="B48" s="55"/>
      <c r="C48" s="55"/>
      <c r="D48" s="56"/>
      <c r="E48" s="56"/>
      <c r="F48" s="56" t="str">
        <f t="shared" si="4"/>
        <v/>
      </c>
      <c r="G48" s="56">
        <f t="shared" si="6"/>
        <v>76</v>
      </c>
      <c r="H48" s="56">
        <f t="shared" si="7"/>
        <v>7.5500000000000007</v>
      </c>
      <c r="I48" s="56">
        <f t="shared" si="5"/>
        <v>500</v>
      </c>
      <c r="J48" s="56"/>
      <c r="K48" s="56"/>
      <c r="L48" s="57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54"/>
      <c r="B49" s="55"/>
      <c r="C49" s="55"/>
      <c r="D49" s="56"/>
      <c r="E49" s="56"/>
      <c r="F49" s="56" t="str">
        <f t="shared" si="4"/>
        <v/>
      </c>
      <c r="G49" s="56">
        <f t="shared" si="6"/>
        <v>76</v>
      </c>
      <c r="H49" s="56">
        <f t="shared" si="7"/>
        <v>7.5500000000000007</v>
      </c>
      <c r="I49" s="56">
        <f t="shared" si="5"/>
        <v>500</v>
      </c>
      <c r="J49" s="56"/>
      <c r="K49" s="56"/>
      <c r="L49" s="57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54"/>
      <c r="B50" s="55"/>
      <c r="C50" s="55"/>
      <c r="D50" s="56"/>
      <c r="E50" s="56"/>
      <c r="F50" s="56" t="str">
        <f t="shared" si="4"/>
        <v/>
      </c>
      <c r="G50" s="56">
        <f t="shared" si="6"/>
        <v>76</v>
      </c>
      <c r="H50" s="56">
        <f t="shared" si="7"/>
        <v>7.5500000000000007</v>
      </c>
      <c r="I50" s="56">
        <f t="shared" si="5"/>
        <v>500</v>
      </c>
      <c r="J50" s="56"/>
      <c r="K50" s="56"/>
      <c r="L50" s="57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54"/>
      <c r="B51" s="55"/>
      <c r="C51" s="55"/>
      <c r="D51" s="56"/>
      <c r="E51" s="56"/>
      <c r="F51" s="56" t="str">
        <f t="shared" si="4"/>
        <v/>
      </c>
      <c r="G51" s="56">
        <f t="shared" si="6"/>
        <v>76</v>
      </c>
      <c r="H51" s="56">
        <f t="shared" si="7"/>
        <v>7.5500000000000007</v>
      </c>
      <c r="I51" s="56">
        <f t="shared" si="5"/>
        <v>500</v>
      </c>
      <c r="J51" s="56"/>
      <c r="K51" s="56"/>
      <c r="L51" s="57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54"/>
      <c r="B52" s="55"/>
      <c r="C52" s="55"/>
      <c r="D52" s="56"/>
      <c r="E52" s="56"/>
      <c r="F52" s="56" t="str">
        <f t="shared" si="4"/>
        <v/>
      </c>
      <c r="G52" s="56">
        <f t="shared" si="6"/>
        <v>76</v>
      </c>
      <c r="H52" s="56">
        <f t="shared" si="7"/>
        <v>7.5500000000000007</v>
      </c>
      <c r="I52" s="56">
        <f t="shared" si="5"/>
        <v>500</v>
      </c>
      <c r="J52" s="56"/>
      <c r="K52" s="56"/>
      <c r="L52" s="57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54"/>
      <c r="B53" s="55"/>
      <c r="C53" s="55"/>
      <c r="D53" s="56"/>
      <c r="E53" s="56"/>
      <c r="F53" s="56" t="str">
        <f t="shared" si="4"/>
        <v/>
      </c>
      <c r="G53" s="56">
        <f t="shared" si="6"/>
        <v>76</v>
      </c>
      <c r="H53" s="56">
        <f t="shared" si="7"/>
        <v>7.5500000000000007</v>
      </c>
      <c r="I53" s="56">
        <f t="shared" si="5"/>
        <v>500</v>
      </c>
      <c r="J53" s="56"/>
      <c r="K53" s="56"/>
      <c r="L53" s="57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54"/>
      <c r="B54" s="55"/>
      <c r="C54" s="55"/>
      <c r="D54" s="56"/>
      <c r="E54" s="56"/>
      <c r="F54" s="56" t="str">
        <f t="shared" si="4"/>
        <v/>
      </c>
      <c r="G54" s="56">
        <f t="shared" si="6"/>
        <v>76</v>
      </c>
      <c r="H54" s="56">
        <f t="shared" si="7"/>
        <v>7.5500000000000007</v>
      </c>
      <c r="I54" s="56">
        <f t="shared" si="5"/>
        <v>500</v>
      </c>
      <c r="J54" s="56"/>
      <c r="K54" s="56"/>
      <c r="L54" s="57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58"/>
      <c r="B55" s="59"/>
      <c r="C55" s="59"/>
      <c r="D55" s="60"/>
      <c r="E55" s="60"/>
      <c r="F55" s="60" t="str">
        <f t="shared" si="4"/>
        <v/>
      </c>
      <c r="G55" s="60">
        <f t="shared" si="6"/>
        <v>76</v>
      </c>
      <c r="H55" s="60">
        <f t="shared" si="7"/>
        <v>7.5500000000000007</v>
      </c>
      <c r="I55" s="60">
        <f t="shared" si="5"/>
        <v>500</v>
      </c>
      <c r="J55" s="60"/>
      <c r="K55" s="60"/>
      <c r="L55" s="6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2">
    <mergeCell ref="A1:L1"/>
    <mergeCell ref="A2:L2"/>
  </mergeCells>
  <conditionalFormatting sqref="D4:D55">
    <cfRule type="dataBar" priority="3">
      <dataBar>
        <cfvo type="min"/>
        <cfvo type="max"/>
        <color rgb="FF2563EB"/>
      </dataBar>
    </cfRule>
    <cfRule type="dataBar" priority="5">
      <dataBar>
        <cfvo type="min"/>
        <cfvo type="max"/>
        <color rgb="FF2563EB"/>
      </dataBar>
    </cfRule>
    <cfRule type="dataBar" priority="7">
      <dataBar>
        <cfvo type="min"/>
        <cfvo type="max"/>
        <color rgb="FF2563EB"/>
      </dataBar>
    </cfRule>
    <cfRule type="dataBar" priority="9">
      <dataBar>
        <cfvo type="min"/>
        <cfvo type="max"/>
        <color rgb="FF2563EB"/>
      </dataBar>
    </cfRule>
    <cfRule type="dataBar" priority="11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{B9CF9B83-EEEF-806F-3865-A7F6C560F42A}</x14:id>
        </ext>
      </extLst>
    </cfRule>
  </conditionalFormatting>
  <conditionalFormatting sqref="E4:E55">
    <cfRule type="dataBar" priority="4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</cfRule>
    <cfRule type="dataBar" priority="8">
      <dataBar>
        <cfvo type="min"/>
        <cfvo type="max"/>
        <color rgb="FF16A34A"/>
      </dataBar>
    </cfRule>
    <cfRule type="dataBar" priority="10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{C5949B8B-F80D-9915-0B44-DA00EAF5A662}</x14:id>
        </ext>
      </extLst>
    </cfRule>
  </conditionalFormatting>
  <conditionalFormatting sqref="F4:F55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2">
    <dataValidation type="list" sqref="K4:K55" xr:uid="{00000000-0002-0000-0300-000000000000}">
      <formula1>"Not Started,In Progress,Complete,Missed,Replanned"</formula1>
    </dataValidation>
    <dataValidation type="list" sqref="K5:K12" xr:uid="{00000000-0002-0000-0300-000001000000}">
      <formula1>"Not Started,In Progress,Complete,Blocked"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CF9B83-EEEF-806F-3865-A7F6C560F42A}">
            <x14:dataBar>
              <x14:cfvo type="min"/>
              <x14:cfvo type="max"/>
              <x14:negativeFillColor auto="1"/>
              <x14:axisColor auto="1"/>
            </x14:dataBar>
          </x14:cfRule>
          <xm:sqref>D4:D55</xm:sqref>
        </x14:conditionalFormatting>
        <x14:conditionalFormatting xmlns:xm="http://schemas.microsoft.com/office/excel/2006/main">
          <x14:cfRule type="dataBar" id="{C5949B8B-F80D-9915-0B44-DA00EAF5A662}">
            <x14:dataBar>
              <x14:cfvo type="min"/>
              <x14:cfvo type="max"/>
              <x14:negativeFillColor auto="1"/>
              <x14:axisColor auto="1"/>
            </x14:dataBar>
          </x14:cfRule>
          <xm:sqref>E4:E55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Q100"/>
  <sheetViews>
    <sheetView workbookViewId="0"/>
  </sheetViews>
  <sheetFormatPr defaultRowHeight="14.25"/>
  <cols>
    <col min="1" max="1" width="7" customWidth="1"/>
    <col min="2" max="2" width="30" customWidth="1"/>
    <col min="3" max="4" width="14" customWidth="1"/>
    <col min="5" max="7" width="12" customWidth="1"/>
    <col min="8" max="8" width="38" customWidth="1"/>
  </cols>
  <sheetData>
    <row r="1" spans="1:69" ht="27.95" customHeight="1">
      <c r="A1" s="204" t="s">
        <v>265</v>
      </c>
      <c r="B1" s="205"/>
      <c r="C1" s="205"/>
      <c r="D1" s="205"/>
      <c r="E1" s="205"/>
      <c r="F1" s="205"/>
      <c r="G1" s="205"/>
      <c r="H1" s="20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15">
      <c r="A3" s="88" t="s">
        <v>69</v>
      </c>
      <c r="B3" s="88" t="s">
        <v>70</v>
      </c>
      <c r="C3" s="88" t="s">
        <v>71</v>
      </c>
      <c r="D3" s="88" t="s">
        <v>72</v>
      </c>
      <c r="E3" s="88" t="s">
        <v>73</v>
      </c>
      <c r="F3" s="88" t="s">
        <v>74</v>
      </c>
      <c r="G3" s="88" t="s">
        <v>75</v>
      </c>
      <c r="H3" s="88" t="s">
        <v>266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15">
      <c r="A4" s="141" t="s">
        <v>86</v>
      </c>
      <c r="B4" s="145" t="s">
        <v>87</v>
      </c>
      <c r="C4" s="68">
        <v>8</v>
      </c>
      <c r="D4" s="68">
        <f>SUMIF('Detailed Gantt'!$B$6:$B$27,B4,'Detailed Gantt'!$M$6:$M$27)</f>
        <v>7.5500000000000007</v>
      </c>
      <c r="E4" s="143">
        <f>IF(C4=0,0,SUMPRODUCT(('Detailed Gantt'!$B$6:$B$27=B4)*'Detailed Gantt'!$F$6:$F$27*'Detailed Gantt'!$L$6:$L$27)/C4)</f>
        <v>1</v>
      </c>
      <c r="F4" s="138">
        <v>46202</v>
      </c>
      <c r="G4" s="138">
        <v>46215</v>
      </c>
      <c r="H4" s="141" t="s">
        <v>88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15">
      <c r="A5" s="141" t="s">
        <v>6</v>
      </c>
      <c r="B5" s="146" t="s">
        <v>91</v>
      </c>
      <c r="C5" s="68">
        <v>24</v>
      </c>
      <c r="D5" s="68">
        <f>SUMIF('Detailed Gantt'!$B$6:$B$27,B5,'Detailed Gantt'!$M$6:$M$27)</f>
        <v>0</v>
      </c>
      <c r="E5" s="143">
        <f>IF(C5=0,0,SUMPRODUCT(('Detailed Gantt'!$B$6:$B$27=B5)*'Detailed Gantt'!$F$6:$F$27*'Detailed Gantt'!$L$6:$L$27)/C5)</f>
        <v>0</v>
      </c>
      <c r="F5" s="138">
        <v>46209</v>
      </c>
      <c r="G5" s="138">
        <v>46229</v>
      </c>
      <c r="H5" s="141" t="s">
        <v>92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15">
      <c r="A6" s="141" t="s">
        <v>9</v>
      </c>
      <c r="B6" s="147" t="s">
        <v>94</v>
      </c>
      <c r="C6" s="68">
        <v>14</v>
      </c>
      <c r="D6" s="68">
        <f>SUMIF('Detailed Gantt'!$B$6:$B$27,B6,'Detailed Gantt'!$M$6:$M$27)</f>
        <v>0</v>
      </c>
      <c r="E6" s="143">
        <f>IF(C6=0,0,SUMPRODUCT(('Detailed Gantt'!$B$6:$B$27=B6)*'Detailed Gantt'!$F$6:$F$27*'Detailed Gantt'!$L$6:$L$27)/C6)</f>
        <v>0</v>
      </c>
      <c r="F6" s="138">
        <v>46230</v>
      </c>
      <c r="G6" s="138">
        <v>46236</v>
      </c>
      <c r="H6" s="141" t="s">
        <v>95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15">
      <c r="A7" s="141" t="s">
        <v>12</v>
      </c>
      <c r="B7" s="148" t="s">
        <v>97</v>
      </c>
      <c r="C7" s="68">
        <v>14</v>
      </c>
      <c r="D7" s="68">
        <f>SUMIF('Detailed Gantt'!$B$6:$B$27,B7,'Detailed Gantt'!$M$6:$M$27)</f>
        <v>0</v>
      </c>
      <c r="E7" s="143">
        <f>IF(C7=0,0,SUMPRODUCT(('Detailed Gantt'!$B$6:$B$27=B7)*'Detailed Gantt'!$F$6:$F$27*'Detailed Gantt'!$L$6:$L$27)/C7)</f>
        <v>0</v>
      </c>
      <c r="F7" s="138">
        <v>46209</v>
      </c>
      <c r="G7" s="138">
        <v>46243</v>
      </c>
      <c r="H7" s="141" t="s">
        <v>98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15">
      <c r="A8" s="141" t="s">
        <v>16</v>
      </c>
      <c r="B8" s="149" t="s">
        <v>100</v>
      </c>
      <c r="C8" s="68">
        <v>8</v>
      </c>
      <c r="D8" s="68">
        <f>SUMIF('Detailed Gantt'!$B$6:$B$27,B8,'Detailed Gantt'!$M$6:$M$27)</f>
        <v>0</v>
      </c>
      <c r="E8" s="143">
        <f>IF(C8=0,0,SUMPRODUCT(('Detailed Gantt'!$B$6:$B$27=B8)*'Detailed Gantt'!$F$6:$F$27*'Detailed Gantt'!$L$6:$L$27)/C8)</f>
        <v>0.26249999999999996</v>
      </c>
      <c r="F8" s="138">
        <v>46223</v>
      </c>
      <c r="G8" s="138">
        <v>46250</v>
      </c>
      <c r="H8" s="141" t="s">
        <v>101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15">
      <c r="A9" s="141" t="s">
        <v>19</v>
      </c>
      <c r="B9" s="150" t="s">
        <v>103</v>
      </c>
      <c r="C9" s="68">
        <v>8</v>
      </c>
      <c r="D9" s="68">
        <f>SUMIF('Detailed Gantt'!$B$6:$B$27,B9,'Detailed Gantt'!$M$6:$M$27)</f>
        <v>0</v>
      </c>
      <c r="E9" s="143">
        <f>IF(C9=0,0,SUMPRODUCT(('Detailed Gantt'!$B$6:$B$27=B9)*'Detailed Gantt'!$F$6:$F$27*'Detailed Gantt'!$L$6:$L$27)/C9)</f>
        <v>0</v>
      </c>
      <c r="F9" s="138">
        <v>46244</v>
      </c>
      <c r="G9" s="138">
        <v>46257</v>
      </c>
      <c r="H9" s="141" t="s">
        <v>104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15">
      <c r="A10" s="134" t="s">
        <v>267</v>
      </c>
      <c r="B10" s="134"/>
      <c r="C10" s="136">
        <f>SUM(C4:C9)</f>
        <v>76</v>
      </c>
      <c r="D10" s="136">
        <f>SUM(D4:D9)</f>
        <v>7.5500000000000007</v>
      </c>
      <c r="E10" s="144">
        <f>SUMPRODUCT(C4:C9,E4:E9)/C10</f>
        <v>0.13289473684210526</v>
      </c>
      <c r="F10" s="135"/>
      <c r="G10" s="134"/>
      <c r="H10" s="1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15">
      <c r="A11" s="54"/>
      <c r="B11" s="64"/>
      <c r="C11" s="56"/>
      <c r="D11" s="62"/>
      <c r="E11" s="55"/>
      <c r="F11" s="63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5">
      <c r="A12" s="223"/>
      <c r="B12" s="224"/>
      <c r="C12" s="19"/>
      <c r="D12" s="20"/>
      <c r="E12" s="19"/>
      <c r="F12" s="2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2">
    <mergeCell ref="A1:H1"/>
    <mergeCell ref="A12:B1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Q100"/>
  <sheetViews>
    <sheetView workbookViewId="0"/>
  </sheetViews>
  <sheetFormatPr defaultRowHeight="14.25"/>
  <cols>
    <col min="1" max="1" width="11" customWidth="1"/>
    <col min="2" max="2" width="12" customWidth="1"/>
    <col min="3" max="4" width="13" customWidth="1"/>
    <col min="5" max="5" width="48" customWidth="1"/>
    <col min="6" max="7" width="36" customWidth="1"/>
  </cols>
  <sheetData>
    <row r="1" spans="1:69" ht="27.95" customHeight="1">
      <c r="A1" s="204" t="s">
        <v>268</v>
      </c>
      <c r="B1" s="205"/>
      <c r="C1" s="205"/>
      <c r="D1" s="205"/>
      <c r="E1" s="205"/>
      <c r="F1" s="205"/>
      <c r="G1" s="205"/>
      <c r="H1" s="7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15.75">
      <c r="A3" s="206" t="s">
        <v>269</v>
      </c>
      <c r="B3" s="207"/>
      <c r="C3" s="207"/>
      <c r="D3" s="207"/>
      <c r="E3" s="207"/>
      <c r="F3" s="207"/>
      <c r="G3" s="207"/>
      <c r="H3" s="2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135">
      <c r="A4" s="151" t="s">
        <v>270</v>
      </c>
      <c r="B4" s="3" t="s">
        <v>271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81">
      <c r="A5" s="151" t="s">
        <v>272</v>
      </c>
      <c r="B5" s="3" t="s">
        <v>273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108">
      <c r="A6" s="151" t="s">
        <v>274</v>
      </c>
      <c r="B6" s="3" t="s">
        <v>275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135">
      <c r="A7" s="151" t="s">
        <v>276</v>
      </c>
      <c r="B7" s="3" t="s">
        <v>277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67.5">
      <c r="A8" s="151" t="s">
        <v>278</v>
      </c>
      <c r="B8" s="3" t="s">
        <v>279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135">
      <c r="A9" s="151" t="s">
        <v>280</v>
      </c>
      <c r="B9" s="3" t="s">
        <v>281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108">
      <c r="A10" s="151" t="s">
        <v>282</v>
      </c>
      <c r="B10" s="3" t="s">
        <v>283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175.5">
      <c r="A11" s="151" t="s">
        <v>284</v>
      </c>
      <c r="B11" s="3" t="s">
        <v>285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75.5">
      <c r="A12" s="153" t="s">
        <v>286</v>
      </c>
      <c r="B12" s="141" t="s">
        <v>287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62">
      <c r="A13" s="153" t="s">
        <v>288</v>
      </c>
      <c r="B13" s="141" t="s">
        <v>289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75.5">
      <c r="A14" s="152" t="s">
        <v>290</v>
      </c>
      <c r="B14" s="4" t="s">
        <v>291</v>
      </c>
      <c r="C14" s="4"/>
      <c r="D14" s="4"/>
      <c r="E14" s="4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44.1" customHeight="1">
      <c r="A15" s="192" t="s">
        <v>292</v>
      </c>
      <c r="B15" s="194" t="s">
        <v>293</v>
      </c>
      <c r="C15" s="7"/>
      <c r="D15" s="6"/>
      <c r="E15" s="8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44.1" customHeight="1">
      <c r="A16" s="193" t="s">
        <v>294</v>
      </c>
      <c r="B16" s="195" t="s">
        <v>295</v>
      </c>
      <c r="C16" s="7"/>
      <c r="D16" s="6"/>
      <c r="E16" s="8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214" t="s">
        <v>296</v>
      </c>
      <c r="B17" s="225"/>
      <c r="C17" s="226"/>
      <c r="D17" s="225"/>
      <c r="E17" s="227"/>
      <c r="F17" s="216"/>
      <c r="G17" s="216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88" t="s">
        <v>266</v>
      </c>
      <c r="B18" s="88" t="s">
        <v>297</v>
      </c>
      <c r="C18" s="118" t="s">
        <v>298</v>
      </c>
      <c r="D18" s="88" t="s">
        <v>121</v>
      </c>
      <c r="E18" s="88" t="s">
        <v>299</v>
      </c>
      <c r="F18" s="88" t="s">
        <v>300</v>
      </c>
      <c r="G18" s="88" t="s">
        <v>301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27">
      <c r="A19" s="155" t="s">
        <v>302</v>
      </c>
      <c r="B19" s="3">
        <v>2</v>
      </c>
      <c r="C19" s="124">
        <v>46215</v>
      </c>
      <c r="D19" s="3" t="s">
        <v>303</v>
      </c>
      <c r="E19" s="3" t="s">
        <v>304</v>
      </c>
      <c r="F19" s="141" t="s">
        <v>305</v>
      </c>
      <c r="G19" s="141" t="s">
        <v>306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27">
      <c r="A20" s="155" t="s">
        <v>307</v>
      </c>
      <c r="B20" s="3">
        <v>2</v>
      </c>
      <c r="C20" s="124">
        <v>46215</v>
      </c>
      <c r="D20" s="3" t="s">
        <v>308</v>
      </c>
      <c r="E20" s="3" t="s">
        <v>309</v>
      </c>
      <c r="F20" s="141" t="s">
        <v>310</v>
      </c>
      <c r="G20" s="141" t="s">
        <v>311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27">
      <c r="A21" s="155" t="s">
        <v>312</v>
      </c>
      <c r="B21" s="3">
        <v>4</v>
      </c>
      <c r="C21" s="124">
        <v>46229</v>
      </c>
      <c r="D21" s="3" t="s">
        <v>308</v>
      </c>
      <c r="E21" s="3" t="s">
        <v>313</v>
      </c>
      <c r="F21" s="141" t="s">
        <v>314</v>
      </c>
      <c r="G21" s="141" t="s">
        <v>315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27">
      <c r="A22" s="155" t="s">
        <v>316</v>
      </c>
      <c r="B22" s="3">
        <v>5</v>
      </c>
      <c r="C22" s="124">
        <v>46236</v>
      </c>
      <c r="D22" s="3" t="s">
        <v>308</v>
      </c>
      <c r="E22" s="3" t="s">
        <v>317</v>
      </c>
      <c r="F22" s="141" t="s">
        <v>318</v>
      </c>
      <c r="G22" s="141" t="s">
        <v>319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27">
      <c r="A23" s="141" t="s">
        <v>320</v>
      </c>
      <c r="B23" s="141">
        <v>6</v>
      </c>
      <c r="C23" s="138">
        <v>46243</v>
      </c>
      <c r="D23" s="141" t="s">
        <v>308</v>
      </c>
      <c r="E23" s="141" t="s">
        <v>321</v>
      </c>
      <c r="F23" s="141" t="s">
        <v>322</v>
      </c>
      <c r="G23" s="141" t="s">
        <v>323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27">
      <c r="A24" s="141" t="s">
        <v>324</v>
      </c>
      <c r="B24" s="141">
        <v>7</v>
      </c>
      <c r="C24" s="138">
        <v>46250</v>
      </c>
      <c r="D24" s="141" t="s">
        <v>308</v>
      </c>
      <c r="E24" s="141" t="s">
        <v>325</v>
      </c>
      <c r="F24" s="141" t="s">
        <v>326</v>
      </c>
      <c r="G24" s="141" t="s">
        <v>327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27">
      <c r="A25" s="141" t="s">
        <v>328</v>
      </c>
      <c r="B25" s="141">
        <v>8</v>
      </c>
      <c r="C25" s="138">
        <v>46257</v>
      </c>
      <c r="D25" s="141" t="s">
        <v>308</v>
      </c>
      <c r="E25" s="141" t="s">
        <v>329</v>
      </c>
      <c r="F25" s="141" t="s">
        <v>330</v>
      </c>
      <c r="G25" s="141" t="s">
        <v>331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2"/>
      <c r="B26" s="2"/>
      <c r="C26" s="2"/>
      <c r="D26" s="2"/>
      <c r="E26" s="2"/>
      <c r="F26" s="2"/>
      <c r="G26" s="2"/>
      <c r="H26" s="2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69"/>
      <c r="B27" s="70"/>
      <c r="C27" s="70"/>
      <c r="D27" s="70"/>
      <c r="E27" s="70"/>
      <c r="F27" s="70"/>
      <c r="G27" s="70"/>
      <c r="H27" s="7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214" t="s">
        <v>332</v>
      </c>
      <c r="B28" s="228"/>
      <c r="C28" s="228"/>
      <c r="D28" s="228"/>
      <c r="E28" s="228"/>
      <c r="F28" s="228"/>
      <c r="G28" s="228"/>
      <c r="H28" s="73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229" t="s">
        <v>333</v>
      </c>
      <c r="B29" s="229"/>
      <c r="C29" s="229"/>
      <c r="D29" s="229"/>
      <c r="E29" s="229"/>
      <c r="F29" s="229"/>
      <c r="G29" s="229"/>
      <c r="H29" s="73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229"/>
      <c r="B30" s="229"/>
      <c r="C30" s="229"/>
      <c r="D30" s="229"/>
      <c r="E30" s="229"/>
      <c r="F30" s="229"/>
      <c r="G30" s="229"/>
      <c r="H30" s="75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5">
    <mergeCell ref="A1:G1"/>
    <mergeCell ref="A3:G3"/>
    <mergeCell ref="A17:G17"/>
    <mergeCell ref="A28:G28"/>
    <mergeCell ref="A29:G30"/>
  </mergeCells>
  <dataValidations count="1">
    <dataValidation type="list" sqref="D19:D25" xr:uid="{00000000-0002-0000-0500-000000000000}">
      <formula1>"Planned,In Progress,Passed,Failed,Deferred"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Q100"/>
  <sheetViews>
    <sheetView workbookViewId="0"/>
  </sheetViews>
  <sheetFormatPr defaultRowHeight="14.25"/>
  <cols>
    <col min="1" max="1" width="42" customWidth="1"/>
    <col min="2" max="2" width="52" customWidth="1"/>
    <col min="3" max="3" width="18" customWidth="1"/>
    <col min="4" max="5" width="34" customWidth="1"/>
  </cols>
  <sheetData>
    <row r="1" spans="1:69" ht="27.95" customHeight="1">
      <c r="A1" s="204" t="s">
        <v>334</v>
      </c>
      <c r="B1" s="205"/>
      <c r="C1" s="205"/>
      <c r="D1" s="205"/>
      <c r="E1" s="230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15">
      <c r="A3" s="88" t="s">
        <v>335</v>
      </c>
      <c r="B3" s="88" t="s">
        <v>336</v>
      </c>
      <c r="C3" s="88" t="s">
        <v>337</v>
      </c>
      <c r="D3" s="88" t="s">
        <v>338</v>
      </c>
      <c r="E3" s="88" t="s">
        <v>339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27">
      <c r="A4" s="3" t="s">
        <v>340</v>
      </c>
      <c r="B4" s="3" t="s">
        <v>341</v>
      </c>
      <c r="C4" s="3" t="s">
        <v>342</v>
      </c>
      <c r="D4" s="3" t="s">
        <v>343</v>
      </c>
      <c r="E4" s="141" t="s">
        <v>344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27">
      <c r="A5" s="3" t="s">
        <v>345</v>
      </c>
      <c r="B5" s="3" t="s">
        <v>346</v>
      </c>
      <c r="C5" s="3" t="s">
        <v>342</v>
      </c>
      <c r="D5" s="3" t="s">
        <v>347</v>
      </c>
      <c r="E5" s="141" t="s">
        <v>348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27">
      <c r="A6" s="3" t="s">
        <v>349</v>
      </c>
      <c r="B6" s="3" t="s">
        <v>350</v>
      </c>
      <c r="C6" s="3" t="s">
        <v>351</v>
      </c>
      <c r="D6" s="3" t="s">
        <v>352</v>
      </c>
      <c r="E6" s="141" t="s">
        <v>353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27">
      <c r="A7" s="3" t="s">
        <v>354</v>
      </c>
      <c r="B7" s="3" t="s">
        <v>355</v>
      </c>
      <c r="C7" s="3" t="s">
        <v>356</v>
      </c>
      <c r="D7" s="3" t="s">
        <v>357</v>
      </c>
      <c r="E7" s="141" t="s">
        <v>358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40.5">
      <c r="A8" s="3" t="s">
        <v>359</v>
      </c>
      <c r="B8" s="3" t="s">
        <v>360</v>
      </c>
      <c r="C8" s="3" t="s">
        <v>356</v>
      </c>
      <c r="D8" s="3" t="s">
        <v>357</v>
      </c>
      <c r="E8" s="141" t="s">
        <v>361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27">
      <c r="A9" s="3" t="s">
        <v>362</v>
      </c>
      <c r="B9" s="3" t="s">
        <v>363</v>
      </c>
      <c r="C9" s="3" t="s">
        <v>364</v>
      </c>
      <c r="D9" s="3" t="s">
        <v>365</v>
      </c>
      <c r="E9" s="141" t="s">
        <v>366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27">
      <c r="A10" s="141" t="s">
        <v>367</v>
      </c>
      <c r="B10" s="141" t="s">
        <v>368</v>
      </c>
      <c r="C10" s="141" t="s">
        <v>364</v>
      </c>
      <c r="D10" s="141" t="s">
        <v>369</v>
      </c>
      <c r="E10" s="141" t="s">
        <v>370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27">
      <c r="A11" s="141" t="s">
        <v>371</v>
      </c>
      <c r="B11" s="141" t="s">
        <v>372</v>
      </c>
      <c r="C11" s="141" t="s">
        <v>364</v>
      </c>
      <c r="D11" s="141" t="s">
        <v>373</v>
      </c>
      <c r="E11" s="141" t="s">
        <v>370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27">
      <c r="A12" s="141" t="s">
        <v>374</v>
      </c>
      <c r="B12" s="141" t="s">
        <v>375</v>
      </c>
      <c r="C12" s="141" t="s">
        <v>356</v>
      </c>
      <c r="D12" s="141" t="s">
        <v>357</v>
      </c>
      <c r="E12" s="141" t="s">
        <v>376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141"/>
      <c r="B13" s="141"/>
      <c r="C13" s="141"/>
      <c r="D13" s="141"/>
      <c r="E13" s="14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141"/>
      <c r="B14" s="141"/>
      <c r="C14" s="141"/>
      <c r="D14" s="141"/>
      <c r="E14" s="14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141"/>
      <c r="B15" s="141"/>
      <c r="C15" s="141"/>
      <c r="D15" s="141"/>
      <c r="E15" s="14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141"/>
      <c r="B16" s="141"/>
      <c r="C16" s="141"/>
      <c r="D16" s="141"/>
      <c r="E16" s="14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141"/>
      <c r="B17" s="141"/>
      <c r="C17" s="141"/>
      <c r="D17" s="141"/>
      <c r="E17" s="14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141"/>
      <c r="B18" s="141"/>
      <c r="C18" s="141"/>
      <c r="D18" s="141"/>
      <c r="E18" s="1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141"/>
      <c r="B19" s="141"/>
      <c r="C19" s="141"/>
      <c r="D19" s="141"/>
      <c r="E19" s="1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141"/>
      <c r="B20" s="141"/>
      <c r="C20" s="141"/>
      <c r="D20" s="141"/>
      <c r="E20" s="1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1">
    <mergeCell ref="A1:E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79"/>
  <sheetViews>
    <sheetView workbookViewId="0"/>
  </sheetViews>
  <sheetFormatPr defaultRowHeight="14.25"/>
  <cols>
    <col min="1" max="1" width="10" customWidth="1"/>
    <col min="2" max="2" width="28" customWidth="1"/>
    <col min="3" max="3" width="34" customWidth="1"/>
    <col min="4" max="4" width="42" customWidth="1"/>
    <col min="5" max="20" width="13" customWidth="1"/>
  </cols>
  <sheetData>
    <row r="1" spans="1:20" ht="27.95" customHeight="1">
      <c r="A1" s="231" t="s">
        <v>377</v>
      </c>
      <c r="B1" s="232"/>
      <c r="C1" s="232"/>
      <c r="D1" s="232"/>
      <c r="E1" s="232"/>
      <c r="F1" s="232"/>
      <c r="G1" s="232"/>
      <c r="H1" s="232"/>
      <c r="I1" s="232"/>
      <c r="J1" s="232"/>
      <c r="K1" s="232"/>
      <c r="L1" s="232"/>
      <c r="M1" s="232"/>
      <c r="N1" s="232"/>
      <c r="O1" s="232"/>
      <c r="P1" s="232"/>
      <c r="Q1" s="232"/>
      <c r="R1" s="232"/>
      <c r="S1" s="232"/>
      <c r="T1" s="232"/>
    </row>
    <row r="2" spans="1:20">
      <c r="A2" s="233" t="s">
        <v>378</v>
      </c>
      <c r="B2" s="233"/>
      <c r="C2" s="233"/>
      <c r="D2" s="233"/>
      <c r="E2" s="233"/>
      <c r="F2" s="233"/>
      <c r="G2" s="233"/>
      <c r="H2" s="233"/>
      <c r="I2" s="233"/>
      <c r="J2" s="233"/>
      <c r="K2" s="233"/>
      <c r="L2" s="233"/>
      <c r="M2" s="233"/>
      <c r="N2" s="233"/>
      <c r="O2" s="233"/>
      <c r="P2" s="233"/>
      <c r="Q2" s="233"/>
      <c r="R2" s="233"/>
      <c r="S2" s="233"/>
      <c r="T2" s="233"/>
    </row>
    <row r="4" spans="1:20">
      <c r="A4" t="s">
        <v>107</v>
      </c>
      <c r="C4">
        <v>46202</v>
      </c>
      <c r="D4" t="s">
        <v>108</v>
      </c>
      <c r="G4">
        <v>576</v>
      </c>
      <c r="H4" t="s">
        <v>379</v>
      </c>
      <c r="L4" t="s">
        <v>380</v>
      </c>
    </row>
    <row r="6" spans="1:20">
      <c r="A6" t="s">
        <v>381</v>
      </c>
      <c r="C6" t="s">
        <v>382</v>
      </c>
    </row>
    <row r="8" spans="1:20">
      <c r="A8" t="s">
        <v>113</v>
      </c>
      <c r="B8" t="s">
        <v>70</v>
      </c>
      <c r="C8" t="s">
        <v>114</v>
      </c>
      <c r="D8" t="s">
        <v>115</v>
      </c>
      <c r="E8" t="s">
        <v>116</v>
      </c>
      <c r="F8" t="s">
        <v>71</v>
      </c>
      <c r="G8" t="s">
        <v>117</v>
      </c>
      <c r="H8" t="s">
        <v>118</v>
      </c>
      <c r="I8" t="s">
        <v>383</v>
      </c>
      <c r="J8" t="s">
        <v>119</v>
      </c>
      <c r="K8" t="s">
        <v>120</v>
      </c>
      <c r="L8" t="s">
        <v>121</v>
      </c>
      <c r="M8" t="s">
        <v>73</v>
      </c>
      <c r="N8" t="s">
        <v>72</v>
      </c>
      <c r="O8" t="s">
        <v>123</v>
      </c>
      <c r="P8" t="s">
        <v>122</v>
      </c>
      <c r="Q8" t="s">
        <v>126</v>
      </c>
    </row>
    <row r="9" spans="1:20">
      <c r="A9" t="s">
        <v>127</v>
      </c>
      <c r="B9" t="s">
        <v>384</v>
      </c>
      <c r="C9" t="s">
        <v>385</v>
      </c>
      <c r="D9" t="s">
        <v>386</v>
      </c>
      <c r="E9" t="s">
        <v>130</v>
      </c>
      <c r="F9">
        <v>4</v>
      </c>
      <c r="G9">
        <v>1</v>
      </c>
      <c r="H9">
        <v>1</v>
      </c>
      <c r="I9">
        <v>1</v>
      </c>
      <c r="J9">
        <v>46202</v>
      </c>
      <c r="K9">
        <v>46208</v>
      </c>
      <c r="L9" t="s">
        <v>387</v>
      </c>
      <c r="M9">
        <v>1</v>
      </c>
      <c r="N9">
        <v>1.5</v>
      </c>
      <c r="O9">
        <v>-2.5</v>
      </c>
      <c r="P9">
        <v>0</v>
      </c>
      <c r="Q9" t="s">
        <v>388</v>
      </c>
    </row>
    <row r="10" spans="1:20">
      <c r="A10" t="s">
        <v>133</v>
      </c>
      <c r="B10" t="s">
        <v>384</v>
      </c>
      <c r="C10" t="s">
        <v>389</v>
      </c>
      <c r="D10" t="s">
        <v>390</v>
      </c>
      <c r="E10" t="s">
        <v>127</v>
      </c>
      <c r="F10">
        <v>4</v>
      </c>
      <c r="G10">
        <v>1</v>
      </c>
      <c r="H10">
        <v>1</v>
      </c>
      <c r="I10">
        <v>1</v>
      </c>
      <c r="J10">
        <v>46202</v>
      </c>
      <c r="K10">
        <v>46208</v>
      </c>
      <c r="L10" t="s">
        <v>387</v>
      </c>
      <c r="M10">
        <v>1</v>
      </c>
      <c r="P10">
        <v>0</v>
      </c>
      <c r="Q10" t="s">
        <v>391</v>
      </c>
    </row>
    <row r="11" spans="1:20">
      <c r="A11" t="s">
        <v>138</v>
      </c>
      <c r="B11" t="s">
        <v>384</v>
      </c>
      <c r="C11" t="s">
        <v>392</v>
      </c>
      <c r="D11" t="s">
        <v>393</v>
      </c>
      <c r="E11" t="s">
        <v>127</v>
      </c>
      <c r="F11">
        <v>4</v>
      </c>
      <c r="G11">
        <v>1</v>
      </c>
      <c r="H11">
        <v>2</v>
      </c>
      <c r="I11">
        <v>2</v>
      </c>
      <c r="J11">
        <v>46202</v>
      </c>
      <c r="K11">
        <v>46215</v>
      </c>
      <c r="L11" t="s">
        <v>255</v>
      </c>
      <c r="M11">
        <v>0.5</v>
      </c>
      <c r="P11">
        <v>2</v>
      </c>
      <c r="Q11" t="s">
        <v>394</v>
      </c>
    </row>
    <row r="12" spans="1:20">
      <c r="A12" t="s">
        <v>395</v>
      </c>
      <c r="B12" t="s">
        <v>384</v>
      </c>
      <c r="C12" t="s">
        <v>396</v>
      </c>
      <c r="D12" t="s">
        <v>397</v>
      </c>
      <c r="E12" t="s">
        <v>133</v>
      </c>
      <c r="F12">
        <v>4</v>
      </c>
      <c r="G12">
        <v>2</v>
      </c>
      <c r="H12">
        <v>2</v>
      </c>
      <c r="I12">
        <v>1</v>
      </c>
      <c r="J12">
        <v>46209</v>
      </c>
      <c r="K12">
        <v>46215</v>
      </c>
      <c r="L12" t="s">
        <v>258</v>
      </c>
      <c r="M12">
        <v>0</v>
      </c>
      <c r="P12">
        <v>4</v>
      </c>
    </row>
    <row r="13" spans="1:20">
      <c r="A13" t="s">
        <v>398</v>
      </c>
      <c r="B13" t="s">
        <v>384</v>
      </c>
      <c r="C13" t="s">
        <v>399</v>
      </c>
      <c r="D13" t="s">
        <v>400</v>
      </c>
      <c r="E13" t="s">
        <v>395</v>
      </c>
      <c r="F13">
        <v>12</v>
      </c>
      <c r="G13">
        <v>1</v>
      </c>
      <c r="H13">
        <v>52</v>
      </c>
      <c r="I13">
        <v>52</v>
      </c>
      <c r="J13">
        <v>46202</v>
      </c>
      <c r="K13">
        <v>46565</v>
      </c>
      <c r="L13" t="s">
        <v>255</v>
      </c>
      <c r="M13">
        <v>0.02</v>
      </c>
      <c r="P13">
        <v>11.76</v>
      </c>
      <c r="Q13" t="s">
        <v>401</v>
      </c>
    </row>
    <row r="14" spans="1:20">
      <c r="A14" t="s">
        <v>402</v>
      </c>
      <c r="B14" t="s">
        <v>384</v>
      </c>
      <c r="C14" t="s">
        <v>403</v>
      </c>
      <c r="D14" t="s">
        <v>404</v>
      </c>
      <c r="E14" t="s">
        <v>395</v>
      </c>
      <c r="F14">
        <v>6</v>
      </c>
      <c r="G14">
        <v>4</v>
      </c>
      <c r="H14">
        <v>52</v>
      </c>
      <c r="I14">
        <v>49</v>
      </c>
      <c r="J14">
        <v>46223</v>
      </c>
      <c r="K14">
        <v>46565</v>
      </c>
      <c r="L14" t="s">
        <v>258</v>
      </c>
      <c r="M14">
        <v>0</v>
      </c>
      <c r="P14">
        <v>6</v>
      </c>
    </row>
    <row r="15" spans="1:20">
      <c r="A15" t="s">
        <v>405</v>
      </c>
      <c r="B15" t="s">
        <v>384</v>
      </c>
      <c r="C15" t="s">
        <v>406</v>
      </c>
      <c r="D15" t="s">
        <v>407</v>
      </c>
      <c r="E15" t="s">
        <v>395</v>
      </c>
      <c r="F15">
        <v>6</v>
      </c>
      <c r="G15">
        <v>9</v>
      </c>
      <c r="H15">
        <v>52</v>
      </c>
      <c r="I15">
        <v>44</v>
      </c>
      <c r="J15">
        <v>46258</v>
      </c>
      <c r="K15">
        <v>46565</v>
      </c>
      <c r="L15" t="s">
        <v>258</v>
      </c>
      <c r="M15">
        <v>0</v>
      </c>
      <c r="P15">
        <v>6</v>
      </c>
    </row>
    <row r="16" spans="1:20">
      <c r="A16" t="s">
        <v>143</v>
      </c>
      <c r="B16" t="s">
        <v>408</v>
      </c>
      <c r="C16" t="s">
        <v>409</v>
      </c>
      <c r="D16" t="s">
        <v>410</v>
      </c>
      <c r="E16" t="s">
        <v>138</v>
      </c>
      <c r="F16">
        <v>8</v>
      </c>
      <c r="G16">
        <v>3</v>
      </c>
      <c r="H16">
        <v>3</v>
      </c>
      <c r="I16">
        <v>1</v>
      </c>
      <c r="J16">
        <v>46216</v>
      </c>
      <c r="K16">
        <v>46222</v>
      </c>
      <c r="L16" t="s">
        <v>258</v>
      </c>
      <c r="M16">
        <v>0</v>
      </c>
      <c r="P16">
        <v>8</v>
      </c>
    </row>
    <row r="17" spans="1:17">
      <c r="A17" t="s">
        <v>148</v>
      </c>
      <c r="B17" t="s">
        <v>408</v>
      </c>
      <c r="C17" t="s">
        <v>411</v>
      </c>
      <c r="D17" t="s">
        <v>412</v>
      </c>
      <c r="E17" t="s">
        <v>143</v>
      </c>
      <c r="F17">
        <v>6</v>
      </c>
      <c r="G17">
        <v>3</v>
      </c>
      <c r="H17">
        <v>4</v>
      </c>
      <c r="I17">
        <v>2</v>
      </c>
      <c r="J17">
        <v>46216</v>
      </c>
      <c r="K17">
        <v>46229</v>
      </c>
      <c r="L17" t="s">
        <v>258</v>
      </c>
      <c r="M17">
        <v>0</v>
      </c>
      <c r="P17">
        <v>6</v>
      </c>
    </row>
    <row r="18" spans="1:17">
      <c r="A18" t="s">
        <v>153</v>
      </c>
      <c r="B18" t="s">
        <v>408</v>
      </c>
      <c r="C18" t="s">
        <v>413</v>
      </c>
      <c r="D18" t="s">
        <v>414</v>
      </c>
      <c r="E18" t="s">
        <v>148</v>
      </c>
      <c r="F18">
        <v>14</v>
      </c>
      <c r="G18">
        <v>4</v>
      </c>
      <c r="H18">
        <v>5</v>
      </c>
      <c r="I18">
        <v>2</v>
      </c>
      <c r="J18">
        <v>46223</v>
      </c>
      <c r="K18">
        <v>46236</v>
      </c>
      <c r="L18" t="s">
        <v>258</v>
      </c>
      <c r="M18">
        <v>0</v>
      </c>
      <c r="P18">
        <v>14</v>
      </c>
    </row>
    <row r="19" spans="1:17">
      <c r="A19" t="s">
        <v>158</v>
      </c>
      <c r="B19" t="s">
        <v>408</v>
      </c>
      <c r="C19" t="s">
        <v>415</v>
      </c>
      <c r="D19" t="s">
        <v>416</v>
      </c>
      <c r="E19" t="s">
        <v>153</v>
      </c>
      <c r="F19">
        <v>18</v>
      </c>
      <c r="G19">
        <v>5</v>
      </c>
      <c r="H19">
        <v>7</v>
      </c>
      <c r="I19">
        <v>3</v>
      </c>
      <c r="J19">
        <v>46230</v>
      </c>
      <c r="K19">
        <v>46250</v>
      </c>
      <c r="L19" t="s">
        <v>258</v>
      </c>
      <c r="M19">
        <v>0</v>
      </c>
      <c r="P19">
        <v>18</v>
      </c>
    </row>
    <row r="20" spans="1:17">
      <c r="A20" t="s">
        <v>163</v>
      </c>
      <c r="B20" t="s">
        <v>408</v>
      </c>
      <c r="C20" t="s">
        <v>417</v>
      </c>
      <c r="D20" t="s">
        <v>418</v>
      </c>
      <c r="E20" t="s">
        <v>158</v>
      </c>
      <c r="F20">
        <v>6</v>
      </c>
      <c r="G20">
        <v>7</v>
      </c>
      <c r="H20">
        <v>8</v>
      </c>
      <c r="I20">
        <v>2</v>
      </c>
      <c r="J20">
        <v>46244</v>
      </c>
      <c r="K20">
        <v>46257</v>
      </c>
      <c r="L20" t="s">
        <v>258</v>
      </c>
      <c r="M20">
        <v>0</v>
      </c>
      <c r="P20">
        <v>6</v>
      </c>
    </row>
    <row r="21" spans="1:17">
      <c r="A21" t="s">
        <v>419</v>
      </c>
      <c r="B21" t="s">
        <v>408</v>
      </c>
      <c r="C21" t="s">
        <v>420</v>
      </c>
      <c r="D21" t="s">
        <v>421</v>
      </c>
      <c r="E21" t="s">
        <v>163</v>
      </c>
      <c r="F21">
        <v>6</v>
      </c>
      <c r="G21">
        <v>8</v>
      </c>
      <c r="H21">
        <v>8</v>
      </c>
      <c r="I21">
        <v>1</v>
      </c>
      <c r="J21">
        <v>46251</v>
      </c>
      <c r="K21">
        <v>46257</v>
      </c>
      <c r="L21" t="s">
        <v>258</v>
      </c>
      <c r="M21">
        <v>0</v>
      </c>
      <c r="P21">
        <v>6</v>
      </c>
    </row>
    <row r="22" spans="1:17">
      <c r="A22" t="s">
        <v>422</v>
      </c>
      <c r="B22" t="s">
        <v>408</v>
      </c>
      <c r="C22" t="s">
        <v>423</v>
      </c>
      <c r="D22" t="s">
        <v>424</v>
      </c>
      <c r="E22" t="s">
        <v>419</v>
      </c>
      <c r="F22">
        <v>6</v>
      </c>
      <c r="G22">
        <v>9</v>
      </c>
      <c r="H22">
        <v>9</v>
      </c>
      <c r="I22">
        <v>1</v>
      </c>
      <c r="J22">
        <v>46258</v>
      </c>
      <c r="K22">
        <v>46264</v>
      </c>
      <c r="L22" t="s">
        <v>258</v>
      </c>
      <c r="M22">
        <v>0</v>
      </c>
      <c r="P22">
        <v>6</v>
      </c>
    </row>
    <row r="23" spans="1:17">
      <c r="A23" t="s">
        <v>169</v>
      </c>
      <c r="B23" t="s">
        <v>425</v>
      </c>
      <c r="C23" t="s">
        <v>426</v>
      </c>
      <c r="D23" t="s">
        <v>427</v>
      </c>
      <c r="E23" t="s">
        <v>422</v>
      </c>
      <c r="F23">
        <v>10</v>
      </c>
      <c r="G23">
        <v>10</v>
      </c>
      <c r="H23">
        <v>10</v>
      </c>
      <c r="I23">
        <v>1</v>
      </c>
      <c r="J23">
        <v>46265</v>
      </c>
      <c r="K23">
        <v>46271</v>
      </c>
      <c r="L23" t="s">
        <v>255</v>
      </c>
      <c r="M23">
        <v>0.2</v>
      </c>
      <c r="P23">
        <v>8</v>
      </c>
      <c r="Q23" t="s">
        <v>428</v>
      </c>
    </row>
    <row r="24" spans="1:17">
      <c r="A24" t="s">
        <v>174</v>
      </c>
      <c r="B24" t="s">
        <v>425</v>
      </c>
      <c r="C24" t="s">
        <v>429</v>
      </c>
      <c r="D24" t="s">
        <v>430</v>
      </c>
      <c r="E24" t="s">
        <v>169</v>
      </c>
      <c r="F24">
        <v>12</v>
      </c>
      <c r="G24">
        <v>10</v>
      </c>
      <c r="H24">
        <v>11</v>
      </c>
      <c r="I24">
        <v>2</v>
      </c>
      <c r="J24">
        <v>46265</v>
      </c>
      <c r="K24">
        <v>46278</v>
      </c>
      <c r="L24" t="s">
        <v>255</v>
      </c>
      <c r="M24">
        <v>0.15</v>
      </c>
      <c r="N24">
        <v>0.62</v>
      </c>
      <c r="O24">
        <v>-11.38</v>
      </c>
      <c r="P24">
        <v>10.199999999999999</v>
      </c>
      <c r="Q24" t="s">
        <v>431</v>
      </c>
    </row>
    <row r="25" spans="1:17">
      <c r="A25" t="s">
        <v>179</v>
      </c>
      <c r="B25" t="s">
        <v>425</v>
      </c>
      <c r="C25" t="s">
        <v>432</v>
      </c>
      <c r="D25" t="s">
        <v>433</v>
      </c>
      <c r="E25" t="s">
        <v>174</v>
      </c>
      <c r="F25">
        <v>14</v>
      </c>
      <c r="G25">
        <v>11</v>
      </c>
      <c r="H25">
        <v>12</v>
      </c>
      <c r="I25">
        <v>2</v>
      </c>
      <c r="J25">
        <v>46272</v>
      </c>
      <c r="K25">
        <v>46285</v>
      </c>
      <c r="L25" t="s">
        <v>387</v>
      </c>
      <c r="M25">
        <v>1</v>
      </c>
      <c r="P25">
        <v>0</v>
      </c>
      <c r="Q25" t="s">
        <v>434</v>
      </c>
    </row>
    <row r="26" spans="1:17">
      <c r="A26" t="s">
        <v>184</v>
      </c>
      <c r="B26" t="s">
        <v>425</v>
      </c>
      <c r="C26" t="s">
        <v>435</v>
      </c>
      <c r="D26" t="s">
        <v>436</v>
      </c>
      <c r="E26" t="s">
        <v>179</v>
      </c>
      <c r="F26">
        <v>10</v>
      </c>
      <c r="G26">
        <v>12</v>
      </c>
      <c r="H26">
        <v>13</v>
      </c>
      <c r="I26">
        <v>2</v>
      </c>
      <c r="J26">
        <v>46279</v>
      </c>
      <c r="K26">
        <v>46292</v>
      </c>
      <c r="L26" t="s">
        <v>258</v>
      </c>
      <c r="M26">
        <v>0</v>
      </c>
      <c r="P26">
        <v>10</v>
      </c>
    </row>
    <row r="27" spans="1:17">
      <c r="A27" t="s">
        <v>437</v>
      </c>
      <c r="B27" t="s">
        <v>425</v>
      </c>
      <c r="C27" t="s">
        <v>438</v>
      </c>
      <c r="D27" t="s">
        <v>439</v>
      </c>
      <c r="E27" t="s">
        <v>179</v>
      </c>
      <c r="F27">
        <v>10</v>
      </c>
      <c r="G27">
        <v>13</v>
      </c>
      <c r="H27">
        <v>14</v>
      </c>
      <c r="I27">
        <v>2</v>
      </c>
      <c r="J27">
        <v>46286</v>
      </c>
      <c r="K27">
        <v>46299</v>
      </c>
      <c r="L27" t="s">
        <v>258</v>
      </c>
      <c r="M27">
        <v>0</v>
      </c>
      <c r="P27">
        <v>10</v>
      </c>
    </row>
    <row r="28" spans="1:17">
      <c r="A28" t="s">
        <v>440</v>
      </c>
      <c r="B28" t="s">
        <v>425</v>
      </c>
      <c r="C28" t="s">
        <v>441</v>
      </c>
      <c r="D28" t="s">
        <v>442</v>
      </c>
      <c r="E28" t="s">
        <v>184</v>
      </c>
      <c r="F28">
        <v>8</v>
      </c>
      <c r="G28">
        <v>14</v>
      </c>
      <c r="H28">
        <v>15</v>
      </c>
      <c r="I28">
        <v>2</v>
      </c>
      <c r="J28">
        <v>46293</v>
      </c>
      <c r="K28">
        <v>46306</v>
      </c>
      <c r="L28" t="s">
        <v>258</v>
      </c>
      <c r="M28">
        <v>0</v>
      </c>
      <c r="P28">
        <v>8</v>
      </c>
    </row>
    <row r="29" spans="1:17">
      <c r="A29" t="s">
        <v>443</v>
      </c>
      <c r="B29" t="s">
        <v>425</v>
      </c>
      <c r="C29" t="s">
        <v>444</v>
      </c>
      <c r="D29" t="s">
        <v>445</v>
      </c>
      <c r="E29" t="s">
        <v>437</v>
      </c>
      <c r="F29">
        <v>4</v>
      </c>
      <c r="G29">
        <v>15</v>
      </c>
      <c r="H29">
        <v>15</v>
      </c>
      <c r="I29">
        <v>1</v>
      </c>
      <c r="J29">
        <v>46300</v>
      </c>
      <c r="K29">
        <v>46306</v>
      </c>
      <c r="L29" t="s">
        <v>258</v>
      </c>
      <c r="M29">
        <v>0</v>
      </c>
      <c r="P29">
        <v>4</v>
      </c>
    </row>
    <row r="30" spans="1:17">
      <c r="A30" t="s">
        <v>446</v>
      </c>
      <c r="B30" t="s">
        <v>425</v>
      </c>
      <c r="C30" t="s">
        <v>447</v>
      </c>
      <c r="D30" t="s">
        <v>448</v>
      </c>
      <c r="E30" t="s">
        <v>440</v>
      </c>
      <c r="F30">
        <v>4</v>
      </c>
      <c r="G30">
        <v>16</v>
      </c>
      <c r="H30">
        <v>16</v>
      </c>
      <c r="I30">
        <v>1</v>
      </c>
      <c r="J30">
        <v>46307</v>
      </c>
      <c r="K30">
        <v>46313</v>
      </c>
      <c r="L30" t="s">
        <v>258</v>
      </c>
      <c r="M30">
        <v>0</v>
      </c>
      <c r="P30">
        <v>4</v>
      </c>
    </row>
    <row r="31" spans="1:17">
      <c r="A31" t="s">
        <v>190</v>
      </c>
      <c r="B31" t="s">
        <v>449</v>
      </c>
      <c r="C31" t="s">
        <v>450</v>
      </c>
      <c r="D31" t="s">
        <v>451</v>
      </c>
      <c r="E31" t="s">
        <v>446</v>
      </c>
      <c r="F31">
        <v>18</v>
      </c>
      <c r="G31">
        <v>17</v>
      </c>
      <c r="H31">
        <v>18</v>
      </c>
      <c r="I31">
        <v>2</v>
      </c>
      <c r="J31">
        <v>46314</v>
      </c>
      <c r="K31">
        <v>46327</v>
      </c>
      <c r="L31" t="s">
        <v>258</v>
      </c>
      <c r="M31">
        <v>0</v>
      </c>
      <c r="P31">
        <v>18</v>
      </c>
    </row>
    <row r="32" spans="1:17">
      <c r="A32" t="s">
        <v>195</v>
      </c>
      <c r="B32" t="s">
        <v>449</v>
      </c>
      <c r="C32" t="s">
        <v>452</v>
      </c>
      <c r="D32" t="s">
        <v>453</v>
      </c>
      <c r="E32" t="s">
        <v>190</v>
      </c>
      <c r="F32">
        <v>12</v>
      </c>
      <c r="G32">
        <v>18</v>
      </c>
      <c r="H32">
        <v>19</v>
      </c>
      <c r="I32">
        <v>2</v>
      </c>
      <c r="J32">
        <v>46321</v>
      </c>
      <c r="K32">
        <v>46334</v>
      </c>
      <c r="L32" t="s">
        <v>258</v>
      </c>
      <c r="M32">
        <v>0</v>
      </c>
      <c r="P32">
        <v>12</v>
      </c>
    </row>
    <row r="33" spans="1:16">
      <c r="A33" t="s">
        <v>201</v>
      </c>
      <c r="B33" t="s">
        <v>449</v>
      </c>
      <c r="C33" t="s">
        <v>454</v>
      </c>
      <c r="D33" t="s">
        <v>455</v>
      </c>
      <c r="E33" t="s">
        <v>195</v>
      </c>
      <c r="F33">
        <v>12</v>
      </c>
      <c r="G33">
        <v>19</v>
      </c>
      <c r="H33">
        <v>20</v>
      </c>
      <c r="I33">
        <v>2</v>
      </c>
      <c r="J33">
        <v>46328</v>
      </c>
      <c r="K33">
        <v>46341</v>
      </c>
      <c r="L33" t="s">
        <v>258</v>
      </c>
      <c r="M33">
        <v>0</v>
      </c>
      <c r="P33">
        <v>12</v>
      </c>
    </row>
    <row r="34" spans="1:16">
      <c r="A34" t="s">
        <v>206</v>
      </c>
      <c r="B34" t="s">
        <v>449</v>
      </c>
      <c r="C34" t="s">
        <v>456</v>
      </c>
      <c r="D34" t="s">
        <v>457</v>
      </c>
      <c r="E34" t="s">
        <v>201</v>
      </c>
      <c r="F34">
        <v>8</v>
      </c>
      <c r="G34">
        <v>20</v>
      </c>
      <c r="H34">
        <v>20</v>
      </c>
      <c r="I34">
        <v>1</v>
      </c>
      <c r="J34">
        <v>46335</v>
      </c>
      <c r="K34">
        <v>46341</v>
      </c>
      <c r="L34" t="s">
        <v>258</v>
      </c>
      <c r="M34">
        <v>0</v>
      </c>
      <c r="P34">
        <v>8</v>
      </c>
    </row>
    <row r="35" spans="1:16">
      <c r="A35" t="s">
        <v>458</v>
      </c>
      <c r="B35" t="s">
        <v>449</v>
      </c>
      <c r="C35" t="s">
        <v>459</v>
      </c>
      <c r="D35" t="s">
        <v>460</v>
      </c>
      <c r="E35" t="s">
        <v>206</v>
      </c>
      <c r="F35">
        <v>10</v>
      </c>
      <c r="G35">
        <v>21</v>
      </c>
      <c r="H35">
        <v>21</v>
      </c>
      <c r="I35">
        <v>1</v>
      </c>
      <c r="J35">
        <v>46342</v>
      </c>
      <c r="K35">
        <v>46348</v>
      </c>
      <c r="L35" t="s">
        <v>258</v>
      </c>
      <c r="M35">
        <v>0</v>
      </c>
      <c r="P35">
        <v>10</v>
      </c>
    </row>
    <row r="36" spans="1:16">
      <c r="A36" t="s">
        <v>461</v>
      </c>
      <c r="B36" t="s">
        <v>449</v>
      </c>
      <c r="C36" t="s">
        <v>462</v>
      </c>
      <c r="D36" t="s">
        <v>463</v>
      </c>
      <c r="E36" t="s">
        <v>458</v>
      </c>
      <c r="F36">
        <v>10</v>
      </c>
      <c r="G36">
        <v>21</v>
      </c>
      <c r="H36">
        <v>22</v>
      </c>
      <c r="I36">
        <v>2</v>
      </c>
      <c r="J36">
        <v>46342</v>
      </c>
      <c r="K36">
        <v>46355</v>
      </c>
      <c r="L36" t="s">
        <v>258</v>
      </c>
      <c r="M36">
        <v>0</v>
      </c>
      <c r="P36">
        <v>10</v>
      </c>
    </row>
    <row r="37" spans="1:16">
      <c r="A37" t="s">
        <v>464</v>
      </c>
      <c r="B37" t="s">
        <v>449</v>
      </c>
      <c r="C37" t="s">
        <v>465</v>
      </c>
      <c r="D37" t="s">
        <v>466</v>
      </c>
      <c r="E37" t="s">
        <v>461</v>
      </c>
      <c r="F37">
        <v>10</v>
      </c>
      <c r="G37">
        <v>22</v>
      </c>
      <c r="H37">
        <v>23</v>
      </c>
      <c r="I37">
        <v>2</v>
      </c>
      <c r="J37">
        <v>46349</v>
      </c>
      <c r="K37">
        <v>46362</v>
      </c>
      <c r="L37" t="s">
        <v>258</v>
      </c>
      <c r="M37">
        <v>0</v>
      </c>
      <c r="P37">
        <v>10</v>
      </c>
    </row>
    <row r="38" spans="1:16">
      <c r="A38" t="s">
        <v>467</v>
      </c>
      <c r="B38" t="s">
        <v>449</v>
      </c>
      <c r="C38" t="s">
        <v>468</v>
      </c>
      <c r="D38" t="s">
        <v>469</v>
      </c>
      <c r="E38" t="s">
        <v>464</v>
      </c>
      <c r="F38">
        <v>8</v>
      </c>
      <c r="G38">
        <v>24</v>
      </c>
      <c r="H38">
        <v>24</v>
      </c>
      <c r="I38">
        <v>1</v>
      </c>
      <c r="J38">
        <v>46363</v>
      </c>
      <c r="K38">
        <v>46369</v>
      </c>
      <c r="L38" t="s">
        <v>258</v>
      </c>
      <c r="M38">
        <v>0</v>
      </c>
      <c r="P38">
        <v>8</v>
      </c>
    </row>
    <row r="39" spans="1:16">
      <c r="A39" t="s">
        <v>212</v>
      </c>
      <c r="B39" t="s">
        <v>470</v>
      </c>
      <c r="C39" t="s">
        <v>471</v>
      </c>
      <c r="D39" t="s">
        <v>472</v>
      </c>
      <c r="E39" t="s">
        <v>467</v>
      </c>
      <c r="F39">
        <v>8</v>
      </c>
      <c r="G39">
        <v>25</v>
      </c>
      <c r="H39">
        <v>25</v>
      </c>
      <c r="I39">
        <v>1</v>
      </c>
      <c r="J39">
        <v>46370</v>
      </c>
      <c r="K39">
        <v>46376</v>
      </c>
      <c r="L39" t="s">
        <v>258</v>
      </c>
      <c r="M39">
        <v>0</v>
      </c>
      <c r="P39">
        <v>8</v>
      </c>
    </row>
    <row r="40" spans="1:16">
      <c r="A40" t="s">
        <v>217</v>
      </c>
      <c r="B40" t="s">
        <v>470</v>
      </c>
      <c r="C40" t="s">
        <v>473</v>
      </c>
      <c r="D40" t="s">
        <v>474</v>
      </c>
      <c r="E40" t="s">
        <v>212</v>
      </c>
      <c r="F40">
        <v>10</v>
      </c>
      <c r="G40">
        <v>25</v>
      </c>
      <c r="H40">
        <v>26</v>
      </c>
      <c r="I40">
        <v>2</v>
      </c>
      <c r="J40">
        <v>46370</v>
      </c>
      <c r="K40">
        <v>46383</v>
      </c>
      <c r="L40" t="s">
        <v>258</v>
      </c>
      <c r="M40">
        <v>0</v>
      </c>
      <c r="P40">
        <v>10</v>
      </c>
    </row>
    <row r="41" spans="1:16">
      <c r="A41" t="s">
        <v>222</v>
      </c>
      <c r="B41" t="s">
        <v>470</v>
      </c>
      <c r="C41" t="s">
        <v>475</v>
      </c>
      <c r="D41" t="s">
        <v>476</v>
      </c>
      <c r="E41" t="s">
        <v>217</v>
      </c>
      <c r="F41">
        <v>18</v>
      </c>
      <c r="G41">
        <v>26</v>
      </c>
      <c r="H41">
        <v>28</v>
      </c>
      <c r="I41">
        <v>3</v>
      </c>
      <c r="J41">
        <v>46377</v>
      </c>
      <c r="K41">
        <v>46397</v>
      </c>
      <c r="L41" t="s">
        <v>258</v>
      </c>
      <c r="M41">
        <v>0</v>
      </c>
      <c r="P41">
        <v>18</v>
      </c>
    </row>
    <row r="42" spans="1:16">
      <c r="A42" t="s">
        <v>477</v>
      </c>
      <c r="B42" t="s">
        <v>470</v>
      </c>
      <c r="C42" t="s">
        <v>478</v>
      </c>
      <c r="D42" t="s">
        <v>479</v>
      </c>
      <c r="E42" t="s">
        <v>222</v>
      </c>
      <c r="F42">
        <v>14</v>
      </c>
      <c r="G42">
        <v>28</v>
      </c>
      <c r="H42">
        <v>29</v>
      </c>
      <c r="I42">
        <v>2</v>
      </c>
      <c r="J42">
        <v>46391</v>
      </c>
      <c r="K42">
        <v>46404</v>
      </c>
      <c r="L42" t="s">
        <v>258</v>
      </c>
      <c r="M42">
        <v>0</v>
      </c>
      <c r="P42">
        <v>14</v>
      </c>
    </row>
    <row r="43" spans="1:16">
      <c r="A43" t="s">
        <v>480</v>
      </c>
      <c r="B43" t="s">
        <v>470</v>
      </c>
      <c r="C43" t="s">
        <v>481</v>
      </c>
      <c r="D43" t="s">
        <v>482</v>
      </c>
      <c r="E43" t="s">
        <v>222</v>
      </c>
      <c r="F43">
        <v>14</v>
      </c>
      <c r="G43">
        <v>29</v>
      </c>
      <c r="H43">
        <v>30</v>
      </c>
      <c r="I43">
        <v>2</v>
      </c>
      <c r="J43">
        <v>46398</v>
      </c>
      <c r="K43">
        <v>46411</v>
      </c>
      <c r="L43" t="s">
        <v>258</v>
      </c>
      <c r="M43">
        <v>0</v>
      </c>
      <c r="P43">
        <v>14</v>
      </c>
    </row>
    <row r="44" spans="1:16">
      <c r="A44" t="s">
        <v>483</v>
      </c>
      <c r="B44" t="s">
        <v>470</v>
      </c>
      <c r="C44" t="s">
        <v>484</v>
      </c>
      <c r="D44" t="s">
        <v>485</v>
      </c>
      <c r="E44" t="s">
        <v>477</v>
      </c>
      <c r="F44">
        <v>20</v>
      </c>
      <c r="G44">
        <v>30</v>
      </c>
      <c r="H44">
        <v>31</v>
      </c>
      <c r="I44">
        <v>2</v>
      </c>
      <c r="J44">
        <v>46405</v>
      </c>
      <c r="K44">
        <v>46418</v>
      </c>
      <c r="L44" t="s">
        <v>258</v>
      </c>
      <c r="M44">
        <v>0</v>
      </c>
      <c r="P44">
        <v>20</v>
      </c>
    </row>
    <row r="45" spans="1:16">
      <c r="A45" t="s">
        <v>486</v>
      </c>
      <c r="B45" t="s">
        <v>470</v>
      </c>
      <c r="C45" t="s">
        <v>487</v>
      </c>
      <c r="D45" t="s">
        <v>488</v>
      </c>
      <c r="E45" t="s">
        <v>483</v>
      </c>
      <c r="F45">
        <v>12</v>
      </c>
      <c r="G45">
        <v>32</v>
      </c>
      <c r="H45">
        <v>32</v>
      </c>
      <c r="I45">
        <v>1</v>
      </c>
      <c r="J45">
        <v>46419</v>
      </c>
      <c r="K45">
        <v>46425</v>
      </c>
      <c r="L45" t="s">
        <v>258</v>
      </c>
      <c r="M45">
        <v>0</v>
      </c>
      <c r="P45">
        <v>12</v>
      </c>
    </row>
    <row r="46" spans="1:16">
      <c r="A46" t="s">
        <v>228</v>
      </c>
      <c r="B46" t="s">
        <v>489</v>
      </c>
      <c r="C46" t="s">
        <v>490</v>
      </c>
      <c r="D46" t="s">
        <v>491</v>
      </c>
      <c r="E46" t="s">
        <v>486</v>
      </c>
      <c r="F46">
        <v>10</v>
      </c>
      <c r="G46">
        <v>33</v>
      </c>
      <c r="H46">
        <v>33</v>
      </c>
      <c r="I46">
        <v>1</v>
      </c>
      <c r="J46">
        <v>46426</v>
      </c>
      <c r="K46">
        <v>46432</v>
      </c>
      <c r="L46" t="s">
        <v>258</v>
      </c>
      <c r="M46">
        <v>0</v>
      </c>
      <c r="P46">
        <v>10</v>
      </c>
    </row>
    <row r="47" spans="1:16">
      <c r="A47" t="s">
        <v>234</v>
      </c>
      <c r="B47" t="s">
        <v>489</v>
      </c>
      <c r="C47" t="s">
        <v>492</v>
      </c>
      <c r="D47" t="s">
        <v>493</v>
      </c>
      <c r="E47" t="s">
        <v>228</v>
      </c>
      <c r="F47">
        <v>16</v>
      </c>
      <c r="G47">
        <v>34</v>
      </c>
      <c r="H47">
        <v>35</v>
      </c>
      <c r="I47">
        <v>2</v>
      </c>
      <c r="J47">
        <v>46433</v>
      </c>
      <c r="K47">
        <v>46446</v>
      </c>
      <c r="L47" t="s">
        <v>258</v>
      </c>
      <c r="M47">
        <v>0</v>
      </c>
      <c r="P47">
        <v>16</v>
      </c>
    </row>
    <row r="48" spans="1:16">
      <c r="A48" t="s">
        <v>239</v>
      </c>
      <c r="B48" t="s">
        <v>489</v>
      </c>
      <c r="C48" t="s">
        <v>494</v>
      </c>
      <c r="D48" t="s">
        <v>495</v>
      </c>
      <c r="E48" t="s">
        <v>234</v>
      </c>
      <c r="F48">
        <v>12</v>
      </c>
      <c r="G48">
        <v>35</v>
      </c>
      <c r="H48">
        <v>36</v>
      </c>
      <c r="I48">
        <v>2</v>
      </c>
      <c r="J48">
        <v>46440</v>
      </c>
      <c r="K48">
        <v>46453</v>
      </c>
      <c r="L48" t="s">
        <v>258</v>
      </c>
      <c r="M48">
        <v>0</v>
      </c>
      <c r="P48">
        <v>12</v>
      </c>
    </row>
    <row r="49" spans="1:16">
      <c r="A49" t="s">
        <v>496</v>
      </c>
      <c r="B49" t="s">
        <v>489</v>
      </c>
      <c r="C49" t="s">
        <v>497</v>
      </c>
      <c r="D49" t="s">
        <v>498</v>
      </c>
      <c r="E49" t="s">
        <v>239</v>
      </c>
      <c r="F49">
        <v>10</v>
      </c>
      <c r="G49">
        <v>36</v>
      </c>
      <c r="H49">
        <v>36</v>
      </c>
      <c r="I49">
        <v>1</v>
      </c>
      <c r="J49">
        <v>46447</v>
      </c>
      <c r="K49">
        <v>46453</v>
      </c>
      <c r="L49" t="s">
        <v>258</v>
      </c>
      <c r="M49">
        <v>0</v>
      </c>
      <c r="P49">
        <v>10</v>
      </c>
    </row>
    <row r="50" spans="1:16">
      <c r="A50" t="s">
        <v>499</v>
      </c>
      <c r="B50" t="s">
        <v>489</v>
      </c>
      <c r="C50" t="s">
        <v>500</v>
      </c>
      <c r="D50" t="s">
        <v>501</v>
      </c>
      <c r="E50" t="s">
        <v>496</v>
      </c>
      <c r="F50">
        <v>16</v>
      </c>
      <c r="G50">
        <v>37</v>
      </c>
      <c r="H50">
        <v>38</v>
      </c>
      <c r="I50">
        <v>2</v>
      </c>
      <c r="J50">
        <v>46454</v>
      </c>
      <c r="K50">
        <v>46467</v>
      </c>
      <c r="L50" t="s">
        <v>258</v>
      </c>
      <c r="M50">
        <v>0</v>
      </c>
      <c r="P50">
        <v>16</v>
      </c>
    </row>
    <row r="51" spans="1:16">
      <c r="A51" t="s">
        <v>502</v>
      </c>
      <c r="B51" t="s">
        <v>489</v>
      </c>
      <c r="C51" t="s">
        <v>503</v>
      </c>
      <c r="D51" t="s">
        <v>504</v>
      </c>
      <c r="E51" t="s">
        <v>499</v>
      </c>
      <c r="F51">
        <v>14</v>
      </c>
      <c r="G51">
        <v>38</v>
      </c>
      <c r="H51">
        <v>39</v>
      </c>
      <c r="I51">
        <v>2</v>
      </c>
      <c r="J51">
        <v>46461</v>
      </c>
      <c r="K51">
        <v>46474</v>
      </c>
      <c r="L51" t="s">
        <v>258</v>
      </c>
      <c r="M51">
        <v>0</v>
      </c>
      <c r="P51">
        <v>14</v>
      </c>
    </row>
    <row r="52" spans="1:16">
      <c r="A52" t="s">
        <v>505</v>
      </c>
      <c r="B52" t="s">
        <v>489</v>
      </c>
      <c r="C52" t="s">
        <v>506</v>
      </c>
      <c r="D52" t="s">
        <v>507</v>
      </c>
      <c r="E52" t="s">
        <v>502</v>
      </c>
      <c r="F52">
        <v>16</v>
      </c>
      <c r="G52">
        <v>40</v>
      </c>
      <c r="H52">
        <v>41</v>
      </c>
      <c r="I52">
        <v>2</v>
      </c>
      <c r="J52">
        <v>46475</v>
      </c>
      <c r="K52">
        <v>46488</v>
      </c>
      <c r="L52" t="s">
        <v>258</v>
      </c>
      <c r="M52">
        <v>0</v>
      </c>
      <c r="P52">
        <v>16</v>
      </c>
    </row>
    <row r="53" spans="1:16">
      <c r="A53" t="s">
        <v>508</v>
      </c>
      <c r="B53" t="s">
        <v>489</v>
      </c>
      <c r="C53" t="s">
        <v>509</v>
      </c>
      <c r="D53" t="s">
        <v>510</v>
      </c>
      <c r="E53" t="s">
        <v>505</v>
      </c>
      <c r="F53">
        <v>10</v>
      </c>
      <c r="G53">
        <v>42</v>
      </c>
      <c r="H53">
        <v>42</v>
      </c>
      <c r="I53">
        <v>1</v>
      </c>
      <c r="J53">
        <v>46489</v>
      </c>
      <c r="K53">
        <v>46495</v>
      </c>
      <c r="L53" t="s">
        <v>258</v>
      </c>
      <c r="M53">
        <v>0</v>
      </c>
      <c r="P53">
        <v>10</v>
      </c>
    </row>
    <row r="54" spans="1:16">
      <c r="A54" t="s">
        <v>511</v>
      </c>
      <c r="B54" t="s">
        <v>512</v>
      </c>
      <c r="C54" t="s">
        <v>513</v>
      </c>
      <c r="D54" t="s">
        <v>514</v>
      </c>
      <c r="E54" t="s">
        <v>508</v>
      </c>
      <c r="F54">
        <v>6</v>
      </c>
      <c r="G54">
        <v>43</v>
      </c>
      <c r="H54">
        <v>43</v>
      </c>
      <c r="I54">
        <v>1</v>
      </c>
      <c r="J54">
        <v>46496</v>
      </c>
      <c r="K54">
        <v>46502</v>
      </c>
      <c r="L54" t="s">
        <v>258</v>
      </c>
      <c r="M54">
        <v>0</v>
      </c>
      <c r="P54">
        <v>6</v>
      </c>
    </row>
    <row r="55" spans="1:16">
      <c r="A55" t="s">
        <v>515</v>
      </c>
      <c r="B55" t="s">
        <v>512</v>
      </c>
      <c r="C55" t="s">
        <v>516</v>
      </c>
      <c r="D55" t="s">
        <v>517</v>
      </c>
      <c r="E55" t="s">
        <v>511</v>
      </c>
      <c r="F55">
        <v>10</v>
      </c>
      <c r="G55">
        <v>43</v>
      </c>
      <c r="H55">
        <v>44</v>
      </c>
      <c r="I55">
        <v>2</v>
      </c>
      <c r="J55">
        <v>46496</v>
      </c>
      <c r="K55">
        <v>46509</v>
      </c>
      <c r="L55" t="s">
        <v>258</v>
      </c>
      <c r="M55">
        <v>0</v>
      </c>
      <c r="P55">
        <v>10</v>
      </c>
    </row>
    <row r="56" spans="1:16">
      <c r="A56" t="s">
        <v>518</v>
      </c>
      <c r="B56" t="s">
        <v>512</v>
      </c>
      <c r="C56" t="s">
        <v>519</v>
      </c>
      <c r="D56" t="s">
        <v>520</v>
      </c>
      <c r="E56" t="s">
        <v>515</v>
      </c>
      <c r="F56">
        <v>14</v>
      </c>
      <c r="G56">
        <v>44</v>
      </c>
      <c r="H56">
        <v>45</v>
      </c>
      <c r="I56">
        <v>2</v>
      </c>
      <c r="J56">
        <v>46503</v>
      </c>
      <c r="K56">
        <v>46516</v>
      </c>
      <c r="L56" t="s">
        <v>258</v>
      </c>
      <c r="M56">
        <v>0</v>
      </c>
      <c r="P56">
        <v>14</v>
      </c>
    </row>
    <row r="57" spans="1:16">
      <c r="A57" t="s">
        <v>521</v>
      </c>
      <c r="B57" t="s">
        <v>512</v>
      </c>
      <c r="C57" t="s">
        <v>522</v>
      </c>
      <c r="D57" t="s">
        <v>523</v>
      </c>
      <c r="E57" t="s">
        <v>518</v>
      </c>
      <c r="F57">
        <v>8</v>
      </c>
      <c r="G57">
        <v>45</v>
      </c>
      <c r="H57">
        <v>46</v>
      </c>
      <c r="I57">
        <v>2</v>
      </c>
      <c r="J57">
        <v>46510</v>
      </c>
      <c r="K57">
        <v>46523</v>
      </c>
      <c r="L57" t="s">
        <v>258</v>
      </c>
      <c r="M57">
        <v>0</v>
      </c>
      <c r="P57">
        <v>8</v>
      </c>
    </row>
    <row r="58" spans="1:16">
      <c r="A58" t="s">
        <v>524</v>
      </c>
      <c r="B58" t="s">
        <v>512</v>
      </c>
      <c r="C58" t="s">
        <v>525</v>
      </c>
      <c r="D58" t="s">
        <v>526</v>
      </c>
      <c r="E58" t="s">
        <v>521</v>
      </c>
      <c r="F58">
        <v>10</v>
      </c>
      <c r="G58">
        <v>46</v>
      </c>
      <c r="H58">
        <v>47</v>
      </c>
      <c r="I58">
        <v>2</v>
      </c>
      <c r="J58">
        <v>46517</v>
      </c>
      <c r="K58">
        <v>46530</v>
      </c>
      <c r="L58" t="s">
        <v>258</v>
      </c>
      <c r="M58">
        <v>0</v>
      </c>
      <c r="P58">
        <v>10</v>
      </c>
    </row>
    <row r="59" spans="1:16">
      <c r="A59" t="s">
        <v>527</v>
      </c>
      <c r="B59" t="s">
        <v>512</v>
      </c>
      <c r="C59" t="s">
        <v>528</v>
      </c>
      <c r="D59" t="s">
        <v>529</v>
      </c>
      <c r="E59" t="s">
        <v>524</v>
      </c>
      <c r="F59">
        <v>4</v>
      </c>
      <c r="G59">
        <v>47</v>
      </c>
      <c r="H59">
        <v>47</v>
      </c>
      <c r="I59">
        <v>1</v>
      </c>
      <c r="J59">
        <v>46524</v>
      </c>
      <c r="K59">
        <v>46530</v>
      </c>
      <c r="L59" t="s">
        <v>258</v>
      </c>
      <c r="M59">
        <v>0</v>
      </c>
      <c r="P59">
        <v>4</v>
      </c>
    </row>
    <row r="60" spans="1:16">
      <c r="A60" t="s">
        <v>530</v>
      </c>
      <c r="B60" t="s">
        <v>531</v>
      </c>
      <c r="C60" t="s">
        <v>532</v>
      </c>
      <c r="D60" t="s">
        <v>533</v>
      </c>
      <c r="E60" t="s">
        <v>527</v>
      </c>
      <c r="F60">
        <v>12</v>
      </c>
      <c r="G60">
        <v>48</v>
      </c>
      <c r="H60">
        <v>48</v>
      </c>
      <c r="I60">
        <v>1</v>
      </c>
      <c r="J60">
        <v>46531</v>
      </c>
      <c r="K60">
        <v>46537</v>
      </c>
      <c r="L60" t="s">
        <v>258</v>
      </c>
      <c r="M60">
        <v>0</v>
      </c>
      <c r="P60">
        <v>12</v>
      </c>
    </row>
    <row r="61" spans="1:16">
      <c r="A61" t="s">
        <v>534</v>
      </c>
      <c r="B61" t="s">
        <v>531</v>
      </c>
      <c r="C61" t="s">
        <v>535</v>
      </c>
      <c r="D61" t="s">
        <v>536</v>
      </c>
      <c r="E61" t="s">
        <v>530</v>
      </c>
      <c r="F61">
        <v>10</v>
      </c>
      <c r="G61">
        <v>48</v>
      </c>
      <c r="H61">
        <v>49</v>
      </c>
      <c r="I61">
        <v>2</v>
      </c>
      <c r="J61">
        <v>46531</v>
      </c>
      <c r="K61">
        <v>46544</v>
      </c>
      <c r="L61" t="s">
        <v>258</v>
      </c>
      <c r="M61">
        <v>0</v>
      </c>
      <c r="P61">
        <v>10</v>
      </c>
    </row>
    <row r="62" spans="1:16">
      <c r="A62" t="s">
        <v>537</v>
      </c>
      <c r="B62" t="s">
        <v>531</v>
      </c>
      <c r="C62" t="s">
        <v>538</v>
      </c>
      <c r="D62" t="s">
        <v>539</v>
      </c>
      <c r="E62" t="s">
        <v>530</v>
      </c>
      <c r="F62">
        <v>10</v>
      </c>
      <c r="G62">
        <v>49</v>
      </c>
      <c r="H62">
        <v>50</v>
      </c>
      <c r="I62">
        <v>2</v>
      </c>
      <c r="J62">
        <v>46538</v>
      </c>
      <c r="K62">
        <v>46551</v>
      </c>
      <c r="L62" t="s">
        <v>258</v>
      </c>
      <c r="M62">
        <v>0</v>
      </c>
      <c r="P62">
        <v>10</v>
      </c>
    </row>
    <row r="63" spans="1:16">
      <c r="A63" t="s">
        <v>540</v>
      </c>
      <c r="B63" t="s">
        <v>531</v>
      </c>
      <c r="C63" t="s">
        <v>541</v>
      </c>
      <c r="D63" t="s">
        <v>542</v>
      </c>
      <c r="E63" t="s">
        <v>534</v>
      </c>
      <c r="F63">
        <v>10</v>
      </c>
      <c r="G63">
        <v>50</v>
      </c>
      <c r="H63">
        <v>50</v>
      </c>
      <c r="I63">
        <v>1</v>
      </c>
      <c r="J63">
        <v>46545</v>
      </c>
      <c r="K63">
        <v>46551</v>
      </c>
      <c r="L63" t="s">
        <v>258</v>
      </c>
      <c r="M63">
        <v>0</v>
      </c>
      <c r="P63">
        <v>10</v>
      </c>
    </row>
    <row r="64" spans="1:16">
      <c r="A64" t="s">
        <v>543</v>
      </c>
      <c r="B64" t="s">
        <v>531</v>
      </c>
      <c r="C64" t="s">
        <v>544</v>
      </c>
      <c r="D64" t="s">
        <v>545</v>
      </c>
      <c r="E64" t="s">
        <v>537</v>
      </c>
      <c r="F64">
        <v>8</v>
      </c>
      <c r="G64">
        <v>51</v>
      </c>
      <c r="H64">
        <v>51</v>
      </c>
      <c r="I64">
        <v>1</v>
      </c>
      <c r="J64">
        <v>46552</v>
      </c>
      <c r="K64">
        <v>46558</v>
      </c>
      <c r="L64" t="s">
        <v>258</v>
      </c>
      <c r="M64">
        <v>0</v>
      </c>
      <c r="P64">
        <v>8</v>
      </c>
    </row>
    <row r="65" spans="1:20">
      <c r="A65" t="s">
        <v>546</v>
      </c>
      <c r="B65" t="s">
        <v>531</v>
      </c>
      <c r="C65" t="s">
        <v>547</v>
      </c>
      <c r="D65" t="s">
        <v>548</v>
      </c>
      <c r="E65" t="s">
        <v>540</v>
      </c>
      <c r="F65">
        <v>6</v>
      </c>
      <c r="G65">
        <v>51</v>
      </c>
      <c r="H65">
        <v>52</v>
      </c>
      <c r="I65">
        <v>2</v>
      </c>
      <c r="J65">
        <v>46552</v>
      </c>
      <c r="K65">
        <v>46565</v>
      </c>
      <c r="L65" t="s">
        <v>258</v>
      </c>
      <c r="M65">
        <v>0</v>
      </c>
      <c r="P65">
        <v>6</v>
      </c>
    </row>
    <row r="66" spans="1:20">
      <c r="A66" t="s">
        <v>549</v>
      </c>
      <c r="B66" t="s">
        <v>531</v>
      </c>
      <c r="C66" t="s">
        <v>550</v>
      </c>
      <c r="D66" t="s">
        <v>551</v>
      </c>
      <c r="E66" t="s">
        <v>543</v>
      </c>
      <c r="F66">
        <v>4</v>
      </c>
      <c r="G66">
        <v>52</v>
      </c>
      <c r="H66">
        <v>52</v>
      </c>
      <c r="I66">
        <v>1</v>
      </c>
      <c r="J66">
        <v>46559</v>
      </c>
      <c r="K66">
        <v>46565</v>
      </c>
      <c r="L66" t="s">
        <v>258</v>
      </c>
      <c r="M66">
        <v>0</v>
      </c>
      <c r="P66">
        <v>4</v>
      </c>
    </row>
    <row r="69" spans="1:20">
      <c r="A69" t="s">
        <v>552</v>
      </c>
    </row>
    <row r="70" spans="1:20">
      <c r="A70" t="s">
        <v>113</v>
      </c>
      <c r="B70" t="s">
        <v>70</v>
      </c>
      <c r="C70" t="s">
        <v>553</v>
      </c>
      <c r="D70" t="s">
        <v>554</v>
      </c>
      <c r="E70" t="s">
        <v>74</v>
      </c>
      <c r="F70" t="s">
        <v>75</v>
      </c>
      <c r="G70" t="s">
        <v>76</v>
      </c>
      <c r="H70" t="s">
        <v>77</v>
      </c>
      <c r="I70" t="s">
        <v>555</v>
      </c>
      <c r="J70" t="s">
        <v>556</v>
      </c>
      <c r="K70" t="s">
        <v>557</v>
      </c>
      <c r="L70" t="s">
        <v>558</v>
      </c>
      <c r="M70" t="s">
        <v>559</v>
      </c>
      <c r="N70" t="s">
        <v>560</v>
      </c>
      <c r="O70" t="s">
        <v>561</v>
      </c>
      <c r="P70" t="s">
        <v>562</v>
      </c>
      <c r="Q70" t="s">
        <v>563</v>
      </c>
      <c r="R70" t="s">
        <v>564</v>
      </c>
      <c r="S70" t="s">
        <v>565</v>
      </c>
      <c r="T70" t="s">
        <v>566</v>
      </c>
    </row>
    <row r="71" spans="1:20">
      <c r="A71" t="s">
        <v>86</v>
      </c>
      <c r="B71" t="s">
        <v>384</v>
      </c>
      <c r="C71">
        <v>40</v>
      </c>
      <c r="D71">
        <v>6.9444444444444448E-2</v>
      </c>
      <c r="E71">
        <v>46202</v>
      </c>
      <c r="F71">
        <v>46565</v>
      </c>
      <c r="G71" t="s">
        <v>567</v>
      </c>
      <c r="H71" t="s">
        <v>568</v>
      </c>
      <c r="I71" t="s">
        <v>90</v>
      </c>
      <c r="J71" t="s">
        <v>90</v>
      </c>
      <c r="K71" t="s">
        <v>90</v>
      </c>
      <c r="L71" t="s">
        <v>90</v>
      </c>
      <c r="M71" t="s">
        <v>90</v>
      </c>
      <c r="N71" t="s">
        <v>90</v>
      </c>
      <c r="O71" t="s">
        <v>90</v>
      </c>
      <c r="P71" t="s">
        <v>90</v>
      </c>
      <c r="Q71" t="s">
        <v>90</v>
      </c>
      <c r="R71" t="s">
        <v>90</v>
      </c>
      <c r="S71" t="s">
        <v>90</v>
      </c>
      <c r="T71" t="s">
        <v>90</v>
      </c>
    </row>
    <row r="72" spans="1:20">
      <c r="A72" t="s">
        <v>6</v>
      </c>
      <c r="B72" t="s">
        <v>408</v>
      </c>
      <c r="C72">
        <v>64</v>
      </c>
      <c r="D72">
        <v>0.1111111111111111</v>
      </c>
      <c r="E72">
        <v>46216</v>
      </c>
      <c r="F72">
        <v>46264</v>
      </c>
      <c r="G72" t="s">
        <v>569</v>
      </c>
      <c r="H72" t="s">
        <v>570</v>
      </c>
      <c r="I72" t="s">
        <v>90</v>
      </c>
      <c r="J72" t="s">
        <v>90</v>
      </c>
    </row>
    <row r="73" spans="1:20">
      <c r="A73" t="s">
        <v>9</v>
      </c>
      <c r="B73" t="s">
        <v>425</v>
      </c>
      <c r="C73">
        <v>72</v>
      </c>
      <c r="D73">
        <v>0.125</v>
      </c>
      <c r="E73">
        <v>46265</v>
      </c>
      <c r="F73">
        <v>46313</v>
      </c>
      <c r="G73" t="s">
        <v>571</v>
      </c>
      <c r="H73" t="s">
        <v>572</v>
      </c>
      <c r="J73" t="s">
        <v>90</v>
      </c>
      <c r="K73" t="s">
        <v>90</v>
      </c>
      <c r="L73" t="s">
        <v>90</v>
      </c>
    </row>
    <row r="74" spans="1:20">
      <c r="A74" t="s">
        <v>12</v>
      </c>
      <c r="B74" t="s">
        <v>449</v>
      </c>
      <c r="C74">
        <v>88</v>
      </c>
      <c r="D74">
        <v>0.15277777777777779</v>
      </c>
      <c r="E74">
        <v>46314</v>
      </c>
      <c r="F74">
        <v>46369</v>
      </c>
      <c r="G74" t="s">
        <v>573</v>
      </c>
      <c r="H74" t="s">
        <v>574</v>
      </c>
      <c r="L74" t="s">
        <v>90</v>
      </c>
      <c r="M74" t="s">
        <v>90</v>
      </c>
      <c r="N74" t="s">
        <v>90</v>
      </c>
    </row>
    <row r="75" spans="1:20">
      <c r="A75" t="s">
        <v>16</v>
      </c>
      <c r="B75" t="s">
        <v>470</v>
      </c>
      <c r="C75">
        <v>96</v>
      </c>
      <c r="D75">
        <v>0.16666666666666666</v>
      </c>
      <c r="E75">
        <v>46370</v>
      </c>
      <c r="F75">
        <v>46425</v>
      </c>
      <c r="G75" t="s">
        <v>575</v>
      </c>
      <c r="H75" t="s">
        <v>576</v>
      </c>
      <c r="N75" t="s">
        <v>90</v>
      </c>
      <c r="O75" t="s">
        <v>90</v>
      </c>
      <c r="P75" t="s">
        <v>90</v>
      </c>
    </row>
    <row r="76" spans="1:20">
      <c r="A76" t="s">
        <v>19</v>
      </c>
      <c r="B76" t="s">
        <v>489</v>
      </c>
      <c r="C76">
        <v>104</v>
      </c>
      <c r="D76">
        <v>0.18055555555555555</v>
      </c>
      <c r="E76">
        <v>46426</v>
      </c>
      <c r="F76">
        <v>46495</v>
      </c>
      <c r="G76" t="s">
        <v>577</v>
      </c>
      <c r="H76" t="s">
        <v>578</v>
      </c>
      <c r="P76" t="s">
        <v>90</v>
      </c>
      <c r="Q76" t="s">
        <v>90</v>
      </c>
      <c r="R76" t="s">
        <v>90</v>
      </c>
    </row>
    <row r="77" spans="1:20">
      <c r="A77" t="s">
        <v>22</v>
      </c>
      <c r="B77" t="s">
        <v>512</v>
      </c>
      <c r="C77">
        <v>52</v>
      </c>
      <c r="D77">
        <v>9.0277777777777776E-2</v>
      </c>
      <c r="E77">
        <v>46496</v>
      </c>
      <c r="F77">
        <v>46530</v>
      </c>
      <c r="G77" t="s">
        <v>579</v>
      </c>
      <c r="H77" t="s">
        <v>580</v>
      </c>
      <c r="R77" t="s">
        <v>90</v>
      </c>
      <c r="S77" t="s">
        <v>90</v>
      </c>
    </row>
    <row r="78" spans="1:20">
      <c r="A78" t="s">
        <v>25</v>
      </c>
      <c r="B78" t="s">
        <v>531</v>
      </c>
      <c r="C78">
        <v>60</v>
      </c>
      <c r="D78">
        <v>0.10416666666666667</v>
      </c>
      <c r="E78">
        <v>46531</v>
      </c>
      <c r="F78">
        <v>46565</v>
      </c>
      <c r="G78" t="s">
        <v>581</v>
      </c>
      <c r="H78" t="s">
        <v>582</v>
      </c>
      <c r="S78" t="s">
        <v>90</v>
      </c>
      <c r="T78" t="s">
        <v>90</v>
      </c>
    </row>
    <row r="79" spans="1:20">
      <c r="A79" t="s">
        <v>583</v>
      </c>
      <c r="C79">
        <v>576</v>
      </c>
      <c r="D79">
        <v>1</v>
      </c>
    </row>
  </sheetData>
  <mergeCells count="2">
    <mergeCell ref="A1:T1"/>
    <mergeCell ref="A2:T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20"/>
  <sheetViews>
    <sheetView workbookViewId="0"/>
  </sheetViews>
  <sheetFormatPr defaultRowHeight="14.25"/>
  <cols>
    <col min="1" max="1" width="11" customWidth="1"/>
    <col min="2" max="2" width="12" customWidth="1"/>
    <col min="3" max="4" width="10" customWidth="1"/>
    <col min="5" max="5" width="11" customWidth="1"/>
    <col min="6" max="6" width="12" customWidth="1"/>
    <col min="7" max="7" width="10" customWidth="1"/>
    <col min="8" max="8" width="13" customWidth="1"/>
    <col min="9" max="9" width="34" customWidth="1"/>
    <col min="10" max="11" width="42" customWidth="1"/>
    <col min="12" max="12" width="36" customWidth="1"/>
    <col min="13" max="13" width="28" customWidth="1"/>
  </cols>
  <sheetData>
    <row r="1" spans="1:13" ht="27.95" customHeight="1">
      <c r="A1" s="234" t="s">
        <v>584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</row>
    <row r="2" spans="1:13">
      <c r="A2" s="236" t="s">
        <v>585</v>
      </c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</row>
    <row r="4" spans="1:13" ht="30">
      <c r="A4" s="80" t="s">
        <v>586</v>
      </c>
      <c r="B4" s="80" t="s">
        <v>587</v>
      </c>
      <c r="C4" s="80" t="s">
        <v>74</v>
      </c>
      <c r="D4" s="80" t="s">
        <v>588</v>
      </c>
      <c r="E4" s="80" t="s">
        <v>589</v>
      </c>
      <c r="F4" s="80" t="s">
        <v>72</v>
      </c>
      <c r="G4" s="80" t="s">
        <v>590</v>
      </c>
      <c r="H4" s="80" t="s">
        <v>121</v>
      </c>
      <c r="I4" s="80" t="s">
        <v>591</v>
      </c>
      <c r="J4" s="80" t="s">
        <v>592</v>
      </c>
      <c r="K4" s="80" t="s">
        <v>593</v>
      </c>
      <c r="L4" s="80" t="s">
        <v>125</v>
      </c>
      <c r="M4" s="80" t="s">
        <v>594</v>
      </c>
    </row>
    <row r="5" spans="1:13" ht="42.75">
      <c r="A5" s="83" t="s">
        <v>595</v>
      </c>
      <c r="B5" s="84">
        <v>46201</v>
      </c>
      <c r="C5" s="83"/>
      <c r="D5" s="83"/>
      <c r="E5" s="83" t="s">
        <v>127</v>
      </c>
      <c r="F5" s="85">
        <v>2.5</v>
      </c>
      <c r="G5" s="178">
        <f t="shared" ref="G5:G10" si="0">IF(B5="","",MAX(1,INT((B5-DATE(2026,6,29))/7)+1))</f>
        <v>1</v>
      </c>
      <c r="H5" s="83" t="s">
        <v>387</v>
      </c>
      <c r="I5" s="83" t="s">
        <v>596</v>
      </c>
      <c r="J5" s="83" t="s">
        <v>597</v>
      </c>
      <c r="K5" s="83" t="s">
        <v>598</v>
      </c>
      <c r="L5" s="83" t="s">
        <v>599</v>
      </c>
      <c r="M5" s="83" t="s">
        <v>600</v>
      </c>
    </row>
    <row r="6" spans="1:13" ht="42.75">
      <c r="A6" s="83" t="s">
        <v>601</v>
      </c>
      <c r="B6" s="84">
        <v>46203</v>
      </c>
      <c r="C6" s="83"/>
      <c r="D6" s="83"/>
      <c r="E6" s="83" t="s">
        <v>133</v>
      </c>
      <c r="F6" s="85">
        <v>1.5</v>
      </c>
      <c r="G6" s="178">
        <f t="shared" si="0"/>
        <v>1</v>
      </c>
      <c r="H6" s="83" t="s">
        <v>387</v>
      </c>
      <c r="I6" s="83" t="s">
        <v>602</v>
      </c>
      <c r="J6" s="83" t="s">
        <v>603</v>
      </c>
      <c r="K6" s="83" t="s">
        <v>604</v>
      </c>
      <c r="L6" s="83" t="s">
        <v>605</v>
      </c>
      <c r="M6" s="83" t="s">
        <v>606</v>
      </c>
    </row>
    <row r="7" spans="1:13" ht="42.75">
      <c r="A7" s="83" t="s">
        <v>607</v>
      </c>
      <c r="B7" s="84">
        <v>46207</v>
      </c>
      <c r="C7" s="83" t="s">
        <v>608</v>
      </c>
      <c r="D7" s="83" t="s">
        <v>609</v>
      </c>
      <c r="E7" s="83" t="s">
        <v>138</v>
      </c>
      <c r="F7" s="85">
        <v>0.62</v>
      </c>
      <c r="G7" s="178">
        <f t="shared" si="0"/>
        <v>1</v>
      </c>
      <c r="H7" s="83" t="s">
        <v>387</v>
      </c>
      <c r="I7" s="83" t="s">
        <v>610</v>
      </c>
      <c r="J7" s="83" t="s">
        <v>611</v>
      </c>
      <c r="K7" s="83" t="s">
        <v>612</v>
      </c>
      <c r="L7" s="83" t="s">
        <v>613</v>
      </c>
      <c r="M7" s="83" t="s">
        <v>614</v>
      </c>
    </row>
    <row r="8" spans="1:13" ht="57">
      <c r="A8" s="83" t="s">
        <v>615</v>
      </c>
      <c r="B8" s="84">
        <v>46207</v>
      </c>
      <c r="C8" s="83" t="s">
        <v>609</v>
      </c>
      <c r="D8" s="83" t="s">
        <v>616</v>
      </c>
      <c r="E8" s="83" t="s">
        <v>138</v>
      </c>
      <c r="F8" s="85">
        <v>1.53</v>
      </c>
      <c r="G8" s="178">
        <f t="shared" si="0"/>
        <v>1</v>
      </c>
      <c r="H8" s="83" t="s">
        <v>387</v>
      </c>
      <c r="I8" s="83" t="s">
        <v>617</v>
      </c>
      <c r="J8" s="83" t="s">
        <v>618</v>
      </c>
      <c r="K8" s="83" t="s">
        <v>619</v>
      </c>
      <c r="L8" s="83" t="s">
        <v>620</v>
      </c>
      <c r="M8" s="83" t="s">
        <v>621</v>
      </c>
    </row>
    <row r="9" spans="1:13" ht="42.75">
      <c r="A9" s="83" t="s">
        <v>622</v>
      </c>
      <c r="B9" s="84">
        <v>46207</v>
      </c>
      <c r="C9" s="83" t="s">
        <v>616</v>
      </c>
      <c r="D9" s="83" t="s">
        <v>623</v>
      </c>
      <c r="E9" s="83" t="s">
        <v>133</v>
      </c>
      <c r="F9" s="85">
        <v>1.33</v>
      </c>
      <c r="G9" s="178">
        <f t="shared" si="0"/>
        <v>1</v>
      </c>
      <c r="H9" s="83" t="s">
        <v>387</v>
      </c>
      <c r="I9" s="83" t="s">
        <v>624</v>
      </c>
      <c r="J9" s="83" t="s">
        <v>625</v>
      </c>
      <c r="K9" s="83" t="s">
        <v>626</v>
      </c>
      <c r="L9" s="83" t="s">
        <v>627</v>
      </c>
      <c r="M9" s="83" t="s">
        <v>628</v>
      </c>
    </row>
    <row r="10" spans="1:13" ht="42.75">
      <c r="A10" s="83" t="s">
        <v>629</v>
      </c>
      <c r="B10" s="84">
        <v>46207</v>
      </c>
      <c r="C10" s="83" t="s">
        <v>623</v>
      </c>
      <c r="D10" s="83" t="s">
        <v>630</v>
      </c>
      <c r="E10" s="83" t="s">
        <v>133</v>
      </c>
      <c r="F10" s="85">
        <v>7.0000000000000007E-2</v>
      </c>
      <c r="G10" s="178">
        <f t="shared" si="0"/>
        <v>1</v>
      </c>
      <c r="H10" s="83" t="s">
        <v>387</v>
      </c>
      <c r="I10" s="83" t="s">
        <v>631</v>
      </c>
      <c r="J10" s="83" t="s">
        <v>632</v>
      </c>
      <c r="K10" s="83" t="s">
        <v>633</v>
      </c>
      <c r="L10" s="83" t="s">
        <v>634</v>
      </c>
      <c r="M10" s="83" t="s">
        <v>635</v>
      </c>
    </row>
    <row r="11" spans="1:13">
      <c r="A11" s="83"/>
      <c r="B11" s="84"/>
      <c r="C11" s="83"/>
      <c r="D11" s="83"/>
      <c r="E11" s="83"/>
      <c r="F11" s="85"/>
      <c r="G11" s="178"/>
      <c r="H11" s="83"/>
      <c r="I11" s="83"/>
      <c r="J11" s="83"/>
      <c r="K11" s="83"/>
      <c r="L11" s="83"/>
      <c r="M11" s="83"/>
    </row>
    <row r="12" spans="1:13">
      <c r="A12" s="83"/>
      <c r="B12" s="84"/>
      <c r="C12" s="83"/>
      <c r="D12" s="83"/>
      <c r="E12" s="83"/>
      <c r="F12" s="85"/>
      <c r="G12" s="178"/>
      <c r="H12" s="83"/>
      <c r="I12" s="83"/>
      <c r="J12" s="83"/>
      <c r="K12" s="83"/>
      <c r="L12" s="83"/>
      <c r="M12" s="83"/>
    </row>
    <row r="13" spans="1:13">
      <c r="A13" s="83"/>
      <c r="B13" s="84"/>
      <c r="C13" s="83"/>
      <c r="D13" s="83"/>
      <c r="E13" s="83"/>
      <c r="F13" s="85"/>
      <c r="G13" s="178"/>
      <c r="H13" s="83"/>
      <c r="I13" s="83"/>
      <c r="J13" s="83"/>
      <c r="K13" s="83"/>
      <c r="L13" s="83"/>
      <c r="M13" s="83"/>
    </row>
    <row r="14" spans="1:13">
      <c r="A14" s="83"/>
      <c r="B14" s="84"/>
      <c r="C14" s="83"/>
      <c r="D14" s="83"/>
      <c r="E14" s="83"/>
      <c r="F14" s="85"/>
      <c r="G14" s="178"/>
      <c r="H14" s="83"/>
      <c r="I14" s="83"/>
      <c r="J14" s="83"/>
      <c r="K14" s="83"/>
      <c r="L14" s="83"/>
      <c r="M14" s="83"/>
    </row>
    <row r="15" spans="1:13">
      <c r="A15" s="83"/>
      <c r="B15" s="84"/>
      <c r="C15" s="83"/>
      <c r="D15" s="83"/>
      <c r="E15" s="83"/>
      <c r="F15" s="85"/>
      <c r="G15" s="178"/>
      <c r="H15" s="83"/>
      <c r="I15" s="83"/>
      <c r="J15" s="83"/>
      <c r="K15" s="83"/>
      <c r="L15" s="83"/>
      <c r="M15" s="83"/>
    </row>
    <row r="16" spans="1:13">
      <c r="A16" s="83"/>
      <c r="B16" s="84"/>
      <c r="C16" s="83"/>
      <c r="D16" s="83"/>
      <c r="E16" s="83"/>
      <c r="F16" s="85"/>
      <c r="G16" s="178"/>
      <c r="H16" s="83"/>
      <c r="I16" s="83"/>
      <c r="J16" s="83"/>
      <c r="K16" s="83"/>
      <c r="L16" s="83"/>
      <c r="M16" s="83"/>
    </row>
    <row r="17" spans="1:13">
      <c r="A17" s="83"/>
      <c r="B17" s="84"/>
      <c r="C17" s="83"/>
      <c r="D17" s="83"/>
      <c r="E17" s="83"/>
      <c r="F17" s="85"/>
      <c r="G17" s="178"/>
      <c r="H17" s="83"/>
      <c r="I17" s="83"/>
      <c r="J17" s="83"/>
      <c r="K17" s="83"/>
      <c r="L17" s="83"/>
      <c r="M17" s="83"/>
    </row>
    <row r="18" spans="1:13">
      <c r="A18" s="83"/>
      <c r="B18" s="84"/>
      <c r="C18" s="83"/>
      <c r="D18" s="83"/>
      <c r="E18" s="83"/>
      <c r="F18" s="85"/>
      <c r="G18" s="178"/>
      <c r="H18" s="83"/>
      <c r="I18" s="83"/>
      <c r="J18" s="83"/>
      <c r="K18" s="83"/>
      <c r="L18" s="83"/>
      <c r="M18" s="83"/>
    </row>
    <row r="19" spans="1:13">
      <c r="A19" s="83"/>
      <c r="B19" s="84"/>
      <c r="C19" s="83"/>
      <c r="D19" s="83"/>
      <c r="E19" s="83"/>
      <c r="F19" s="85"/>
      <c r="G19" s="178"/>
      <c r="H19" s="83"/>
      <c r="I19" s="83"/>
      <c r="J19" s="83"/>
      <c r="K19" s="83"/>
      <c r="L19" s="83"/>
      <c r="M19" s="83"/>
    </row>
    <row r="20" spans="1:13">
      <c r="A20" s="83"/>
      <c r="B20" s="84"/>
      <c r="C20" s="83"/>
      <c r="D20" s="83"/>
      <c r="E20" s="83"/>
      <c r="F20" s="85"/>
      <c r="G20" s="178"/>
      <c r="H20" s="83"/>
      <c r="I20" s="83"/>
      <c r="J20" s="83"/>
      <c r="K20" s="83"/>
      <c r="L20" s="83"/>
      <c r="M20" s="83"/>
    </row>
    <row r="21" spans="1:13">
      <c r="A21" s="83"/>
      <c r="B21" s="84"/>
      <c r="C21" s="83"/>
      <c r="D21" s="83"/>
      <c r="E21" s="83"/>
      <c r="F21" s="85"/>
      <c r="G21" s="178"/>
      <c r="H21" s="83"/>
      <c r="I21" s="83"/>
      <c r="J21" s="83"/>
      <c r="K21" s="83"/>
      <c r="L21" s="83"/>
      <c r="M21" s="83"/>
    </row>
    <row r="22" spans="1:13">
      <c r="A22" s="83"/>
      <c r="B22" s="84"/>
      <c r="C22" s="83"/>
      <c r="D22" s="83"/>
      <c r="E22" s="83"/>
      <c r="F22" s="85"/>
      <c r="G22" s="178"/>
      <c r="H22" s="83"/>
      <c r="I22" s="83"/>
      <c r="J22" s="83"/>
      <c r="K22" s="83"/>
      <c r="L22" s="83"/>
      <c r="M22" s="83"/>
    </row>
    <row r="23" spans="1:13">
      <c r="A23" s="83"/>
      <c r="B23" s="84"/>
      <c r="C23" s="83"/>
      <c r="D23" s="83"/>
      <c r="E23" s="83"/>
      <c r="F23" s="85"/>
      <c r="G23" s="178"/>
      <c r="H23" s="83"/>
      <c r="I23" s="83"/>
      <c r="J23" s="83"/>
      <c r="K23" s="83"/>
      <c r="L23" s="83"/>
      <c r="M23" s="83"/>
    </row>
    <row r="24" spans="1:13">
      <c r="A24" s="83"/>
      <c r="B24" s="84"/>
      <c r="C24" s="83"/>
      <c r="D24" s="83"/>
      <c r="E24" s="83"/>
      <c r="F24" s="85"/>
      <c r="G24" s="178"/>
      <c r="H24" s="83"/>
      <c r="I24" s="83"/>
      <c r="J24" s="83"/>
      <c r="K24" s="83"/>
      <c r="L24" s="83"/>
      <c r="M24" s="83"/>
    </row>
    <row r="25" spans="1:13">
      <c r="A25" s="83"/>
      <c r="B25" s="84"/>
      <c r="C25" s="83"/>
      <c r="D25" s="83"/>
      <c r="E25" s="83"/>
      <c r="F25" s="85"/>
      <c r="G25" s="178"/>
      <c r="H25" s="83"/>
      <c r="I25" s="83"/>
      <c r="J25" s="83"/>
      <c r="K25" s="83"/>
      <c r="L25" s="83"/>
      <c r="M25" s="83"/>
    </row>
    <row r="26" spans="1:13">
      <c r="A26" s="83"/>
      <c r="B26" s="84"/>
      <c r="C26" s="83"/>
      <c r="D26" s="83"/>
      <c r="E26" s="83"/>
      <c r="F26" s="85"/>
      <c r="G26" s="178"/>
      <c r="H26" s="83"/>
      <c r="I26" s="83"/>
      <c r="J26" s="83"/>
      <c r="K26" s="83"/>
      <c r="L26" s="83"/>
      <c r="M26" s="83"/>
    </row>
    <row r="27" spans="1:13">
      <c r="A27" s="83"/>
      <c r="B27" s="84"/>
      <c r="C27" s="83"/>
      <c r="D27" s="83"/>
      <c r="E27" s="83"/>
      <c r="F27" s="85"/>
      <c r="G27" s="178"/>
      <c r="H27" s="83"/>
      <c r="I27" s="83"/>
      <c r="J27" s="83"/>
      <c r="K27" s="83"/>
      <c r="L27" s="83"/>
      <c r="M27" s="83"/>
    </row>
    <row r="28" spans="1:13">
      <c r="A28" s="83"/>
      <c r="B28" s="84"/>
      <c r="C28" s="83"/>
      <c r="D28" s="83"/>
      <c r="E28" s="83"/>
      <c r="F28" s="85"/>
      <c r="G28" s="178"/>
      <c r="H28" s="83"/>
      <c r="I28" s="83"/>
      <c r="J28" s="83"/>
      <c r="K28" s="83"/>
      <c r="L28" s="83"/>
      <c r="M28" s="83"/>
    </row>
    <row r="29" spans="1:13">
      <c r="A29" s="83"/>
      <c r="B29" s="84"/>
      <c r="C29" s="83"/>
      <c r="D29" s="83"/>
      <c r="E29" s="83"/>
      <c r="F29" s="85"/>
      <c r="G29" s="178"/>
      <c r="H29" s="83"/>
      <c r="I29" s="83"/>
      <c r="J29" s="83"/>
      <c r="K29" s="83"/>
      <c r="L29" s="83"/>
      <c r="M29" s="83"/>
    </row>
    <row r="30" spans="1:13">
      <c r="A30" s="83"/>
      <c r="B30" s="84"/>
      <c r="C30" s="83"/>
      <c r="D30" s="83"/>
      <c r="E30" s="83"/>
      <c r="F30" s="85"/>
      <c r="G30" s="178"/>
      <c r="H30" s="83"/>
      <c r="I30" s="83"/>
      <c r="J30" s="83"/>
      <c r="K30" s="83"/>
      <c r="L30" s="83"/>
      <c r="M30" s="83"/>
    </row>
    <row r="31" spans="1:13">
      <c r="A31" s="83"/>
      <c r="B31" s="84"/>
      <c r="C31" s="83"/>
      <c r="D31" s="83"/>
      <c r="E31" s="83"/>
      <c r="F31" s="85"/>
      <c r="G31" s="178"/>
      <c r="H31" s="83"/>
      <c r="I31" s="83"/>
      <c r="J31" s="83"/>
      <c r="K31" s="83"/>
      <c r="L31" s="83"/>
      <c r="M31" s="83"/>
    </row>
    <row r="32" spans="1:13">
      <c r="A32" s="83"/>
      <c r="B32" s="84"/>
      <c r="C32" s="83"/>
      <c r="D32" s="83"/>
      <c r="E32" s="83"/>
      <c r="F32" s="85"/>
      <c r="G32" s="178"/>
      <c r="H32" s="83"/>
      <c r="I32" s="83"/>
      <c r="J32" s="83"/>
      <c r="K32" s="83"/>
      <c r="L32" s="83"/>
      <c r="M32" s="83"/>
    </row>
    <row r="33" spans="1:13">
      <c r="A33" s="83"/>
      <c r="B33" s="84"/>
      <c r="C33" s="83"/>
      <c r="D33" s="83"/>
      <c r="E33" s="83"/>
      <c r="F33" s="85"/>
      <c r="G33" s="178"/>
      <c r="H33" s="83"/>
      <c r="I33" s="83"/>
      <c r="J33" s="83"/>
      <c r="K33" s="83"/>
      <c r="L33" s="83"/>
      <c r="M33" s="83"/>
    </row>
    <row r="34" spans="1:13">
      <c r="A34" s="83"/>
      <c r="B34" s="84"/>
      <c r="C34" s="83"/>
      <c r="D34" s="83"/>
      <c r="E34" s="83"/>
      <c r="F34" s="85"/>
      <c r="G34" s="178"/>
      <c r="H34" s="83"/>
      <c r="I34" s="83"/>
      <c r="J34" s="83"/>
      <c r="K34" s="83"/>
      <c r="L34" s="83"/>
      <c r="M34" s="83"/>
    </row>
    <row r="35" spans="1:13">
      <c r="A35" s="83"/>
      <c r="B35" s="84"/>
      <c r="C35" s="83"/>
      <c r="D35" s="83"/>
      <c r="E35" s="83"/>
      <c r="F35" s="85"/>
      <c r="G35" s="178"/>
      <c r="H35" s="83"/>
      <c r="I35" s="83"/>
      <c r="J35" s="83"/>
      <c r="K35" s="83"/>
      <c r="L35" s="83"/>
      <c r="M35" s="83"/>
    </row>
    <row r="36" spans="1:13">
      <c r="A36" s="83"/>
      <c r="B36" s="84"/>
      <c r="C36" s="83"/>
      <c r="D36" s="83"/>
      <c r="E36" s="83"/>
      <c r="F36" s="85"/>
      <c r="G36" s="178"/>
      <c r="H36" s="83"/>
      <c r="I36" s="83"/>
      <c r="J36" s="83"/>
      <c r="K36" s="83"/>
      <c r="L36" s="83"/>
      <c r="M36" s="83"/>
    </row>
    <row r="37" spans="1:13">
      <c r="A37" s="83"/>
      <c r="B37" s="84"/>
      <c r="C37" s="83"/>
      <c r="D37" s="83"/>
      <c r="E37" s="83"/>
      <c r="F37" s="85"/>
      <c r="G37" s="178"/>
      <c r="H37" s="83"/>
      <c r="I37" s="83"/>
      <c r="J37" s="83"/>
      <c r="K37" s="83"/>
      <c r="L37" s="83"/>
      <c r="M37" s="83"/>
    </row>
    <row r="38" spans="1:13">
      <c r="A38" s="83"/>
      <c r="B38" s="84"/>
      <c r="C38" s="83"/>
      <c r="D38" s="83"/>
      <c r="E38" s="83"/>
      <c r="F38" s="85"/>
      <c r="G38" s="178"/>
      <c r="H38" s="83"/>
      <c r="I38" s="83"/>
      <c r="J38" s="83"/>
      <c r="K38" s="83"/>
      <c r="L38" s="83"/>
      <c r="M38" s="83"/>
    </row>
    <row r="39" spans="1:13">
      <c r="A39" s="83"/>
      <c r="B39" s="84"/>
      <c r="C39" s="83"/>
      <c r="D39" s="83"/>
      <c r="E39" s="83"/>
      <c r="F39" s="85"/>
      <c r="G39" s="178"/>
      <c r="H39" s="83"/>
      <c r="I39" s="83"/>
      <c r="J39" s="83"/>
      <c r="K39" s="83"/>
      <c r="L39" s="83"/>
      <c r="M39" s="83"/>
    </row>
    <row r="40" spans="1:13">
      <c r="A40" s="83"/>
      <c r="B40" s="84"/>
      <c r="C40" s="83"/>
      <c r="D40" s="83"/>
      <c r="E40" s="83"/>
      <c r="F40" s="85"/>
      <c r="G40" s="178"/>
      <c r="H40" s="83"/>
      <c r="I40" s="83"/>
      <c r="J40" s="83"/>
      <c r="K40" s="83"/>
      <c r="L40" s="83"/>
      <c r="M40" s="83"/>
    </row>
    <row r="41" spans="1:13">
      <c r="A41" s="83"/>
      <c r="B41" s="84"/>
      <c r="C41" s="83"/>
      <c r="D41" s="83"/>
      <c r="E41" s="83"/>
      <c r="F41" s="85"/>
      <c r="G41" s="178"/>
      <c r="H41" s="83"/>
      <c r="I41" s="83"/>
      <c r="J41" s="83"/>
      <c r="K41" s="83"/>
      <c r="L41" s="83"/>
      <c r="M41" s="83"/>
    </row>
    <row r="42" spans="1:13">
      <c r="A42" s="83"/>
      <c r="B42" s="84"/>
      <c r="C42" s="83"/>
      <c r="D42" s="83"/>
      <c r="E42" s="83"/>
      <c r="F42" s="85"/>
      <c r="G42" s="178"/>
      <c r="H42" s="83"/>
      <c r="I42" s="83"/>
      <c r="J42" s="83"/>
      <c r="K42" s="83"/>
      <c r="L42" s="83"/>
      <c r="M42" s="83"/>
    </row>
    <row r="43" spans="1:13">
      <c r="A43" s="83"/>
      <c r="B43" s="84"/>
      <c r="C43" s="83"/>
      <c r="D43" s="83"/>
      <c r="E43" s="83"/>
      <c r="F43" s="85"/>
      <c r="G43" s="178"/>
      <c r="H43" s="83"/>
      <c r="I43" s="83"/>
      <c r="J43" s="83"/>
      <c r="K43" s="83"/>
      <c r="L43" s="83"/>
      <c r="M43" s="83"/>
    </row>
    <row r="44" spans="1:13">
      <c r="A44" s="83"/>
      <c r="B44" s="84"/>
      <c r="C44" s="83"/>
      <c r="D44" s="83"/>
      <c r="E44" s="83"/>
      <c r="F44" s="85"/>
      <c r="G44" s="178"/>
      <c r="H44" s="83"/>
      <c r="I44" s="83"/>
      <c r="J44" s="83"/>
      <c r="K44" s="83"/>
      <c r="L44" s="83"/>
      <c r="M44" s="83"/>
    </row>
    <row r="45" spans="1:13">
      <c r="A45" s="83"/>
      <c r="B45" s="84"/>
      <c r="C45" s="83"/>
      <c r="D45" s="83"/>
      <c r="E45" s="83"/>
      <c r="F45" s="85"/>
      <c r="G45" s="178"/>
      <c r="H45" s="83"/>
      <c r="I45" s="83"/>
      <c r="J45" s="83"/>
      <c r="K45" s="83"/>
      <c r="L45" s="83"/>
      <c r="M45" s="83"/>
    </row>
    <row r="46" spans="1:13">
      <c r="A46" s="83"/>
      <c r="B46" s="84"/>
      <c r="C46" s="83"/>
      <c r="D46" s="83"/>
      <c r="E46" s="83"/>
      <c r="F46" s="85"/>
      <c r="G46" s="178"/>
      <c r="H46" s="83"/>
      <c r="I46" s="83"/>
      <c r="J46" s="83"/>
      <c r="K46" s="83"/>
      <c r="L46" s="83"/>
      <c r="M46" s="83"/>
    </row>
    <row r="47" spans="1:13">
      <c r="A47" s="83"/>
      <c r="B47" s="84"/>
      <c r="C47" s="83"/>
      <c r="D47" s="83"/>
      <c r="E47" s="83"/>
      <c r="F47" s="85"/>
      <c r="G47" s="178"/>
      <c r="H47" s="83"/>
      <c r="I47" s="83"/>
      <c r="J47" s="83"/>
      <c r="K47" s="83"/>
      <c r="L47" s="83"/>
      <c r="M47" s="83"/>
    </row>
    <row r="48" spans="1:13">
      <c r="A48" s="83"/>
      <c r="B48" s="84"/>
      <c r="C48" s="83"/>
      <c r="D48" s="83"/>
      <c r="E48" s="83"/>
      <c r="F48" s="85"/>
      <c r="G48" s="178"/>
      <c r="H48" s="83"/>
      <c r="I48" s="83"/>
      <c r="J48" s="83"/>
      <c r="K48" s="83"/>
      <c r="L48" s="83"/>
      <c r="M48" s="83"/>
    </row>
    <row r="49" spans="1:13">
      <c r="A49" s="83"/>
      <c r="B49" s="84"/>
      <c r="C49" s="83"/>
      <c r="D49" s="83"/>
      <c r="E49" s="83"/>
      <c r="F49" s="85"/>
      <c r="G49" s="178"/>
      <c r="H49" s="83"/>
      <c r="I49" s="83"/>
      <c r="J49" s="83"/>
      <c r="K49" s="83"/>
      <c r="L49" s="83"/>
      <c r="M49" s="83"/>
    </row>
    <row r="50" spans="1:13">
      <c r="A50" s="83"/>
      <c r="B50" s="84"/>
      <c r="C50" s="83"/>
      <c r="D50" s="83"/>
      <c r="E50" s="83"/>
      <c r="F50" s="85"/>
      <c r="G50" s="178"/>
      <c r="H50" s="83"/>
      <c r="I50" s="83"/>
      <c r="J50" s="83"/>
      <c r="K50" s="83"/>
      <c r="L50" s="83"/>
      <c r="M50" s="83"/>
    </row>
    <row r="51" spans="1:13">
      <c r="A51" s="83"/>
      <c r="B51" s="84"/>
      <c r="C51" s="83"/>
      <c r="D51" s="83"/>
      <c r="E51" s="83"/>
      <c r="F51" s="85"/>
      <c r="G51" s="178"/>
      <c r="H51" s="83"/>
      <c r="I51" s="83"/>
      <c r="J51" s="83"/>
      <c r="K51" s="83"/>
      <c r="L51" s="83"/>
      <c r="M51" s="83"/>
    </row>
    <row r="52" spans="1:13">
      <c r="A52" s="83"/>
      <c r="B52" s="84"/>
      <c r="C52" s="83"/>
      <c r="D52" s="83"/>
      <c r="E52" s="83"/>
      <c r="F52" s="85"/>
      <c r="G52" s="178"/>
      <c r="H52" s="83"/>
      <c r="I52" s="83"/>
      <c r="J52" s="83"/>
      <c r="K52" s="83"/>
      <c r="L52" s="83"/>
      <c r="M52" s="83"/>
    </row>
    <row r="53" spans="1:13">
      <c r="A53" s="83"/>
      <c r="B53" s="84"/>
      <c r="C53" s="83"/>
      <c r="D53" s="83"/>
      <c r="E53" s="83"/>
      <c r="F53" s="85"/>
      <c r="G53" s="178"/>
      <c r="H53" s="83"/>
      <c r="I53" s="83"/>
      <c r="J53" s="83"/>
      <c r="K53" s="83"/>
      <c r="L53" s="83"/>
      <c r="M53" s="83"/>
    </row>
    <row r="54" spans="1:13">
      <c r="A54" s="83"/>
      <c r="B54" s="84"/>
      <c r="C54" s="83"/>
      <c r="D54" s="83"/>
      <c r="E54" s="83"/>
      <c r="F54" s="85"/>
      <c r="G54" s="178"/>
      <c r="H54" s="83"/>
      <c r="I54" s="83"/>
      <c r="J54" s="83"/>
      <c r="K54" s="83"/>
      <c r="L54" s="83"/>
      <c r="M54" s="83"/>
    </row>
    <row r="55" spans="1:13">
      <c r="A55" s="83"/>
      <c r="B55" s="84"/>
      <c r="C55" s="83"/>
      <c r="D55" s="83"/>
      <c r="E55" s="83"/>
      <c r="F55" s="85"/>
      <c r="G55" s="178"/>
      <c r="H55" s="83"/>
      <c r="I55" s="83"/>
      <c r="J55" s="83"/>
      <c r="K55" s="83"/>
      <c r="L55" s="83"/>
      <c r="M55" s="83"/>
    </row>
    <row r="56" spans="1:13">
      <c r="A56" s="83"/>
      <c r="B56" s="84"/>
      <c r="C56" s="83"/>
      <c r="D56" s="83"/>
      <c r="E56" s="83"/>
      <c r="F56" s="85"/>
      <c r="G56" s="178"/>
      <c r="H56" s="83"/>
      <c r="I56" s="83"/>
      <c r="J56" s="83"/>
      <c r="K56" s="83"/>
      <c r="L56" s="83"/>
      <c r="M56" s="83"/>
    </row>
    <row r="57" spans="1:13">
      <c r="A57" s="83"/>
      <c r="B57" s="84"/>
      <c r="C57" s="83"/>
      <c r="D57" s="83"/>
      <c r="E57" s="83"/>
      <c r="F57" s="85"/>
      <c r="G57" s="178"/>
      <c r="H57" s="83"/>
      <c r="I57" s="83"/>
      <c r="J57" s="83"/>
      <c r="K57" s="83"/>
      <c r="L57" s="83"/>
      <c r="M57" s="83"/>
    </row>
    <row r="58" spans="1:13">
      <c r="A58" s="83"/>
      <c r="B58" s="84"/>
      <c r="C58" s="83"/>
      <c r="D58" s="83"/>
      <c r="E58" s="83"/>
      <c r="F58" s="85"/>
      <c r="G58" s="178"/>
      <c r="H58" s="83"/>
      <c r="I58" s="83"/>
      <c r="J58" s="83"/>
      <c r="K58" s="83"/>
      <c r="L58" s="83"/>
      <c r="M58" s="83"/>
    </row>
    <row r="59" spans="1:13">
      <c r="A59" s="83"/>
      <c r="B59" s="84"/>
      <c r="C59" s="83"/>
      <c r="D59" s="83"/>
      <c r="E59" s="83"/>
      <c r="F59" s="85"/>
      <c r="G59" s="178"/>
      <c r="H59" s="83"/>
      <c r="I59" s="83"/>
      <c r="J59" s="83"/>
      <c r="K59" s="83"/>
      <c r="L59" s="83"/>
      <c r="M59" s="83"/>
    </row>
    <row r="60" spans="1:13">
      <c r="A60" s="83"/>
      <c r="B60" s="84"/>
      <c r="C60" s="83"/>
      <c r="D60" s="83"/>
      <c r="E60" s="83"/>
      <c r="F60" s="85"/>
      <c r="G60" s="178"/>
      <c r="H60" s="83"/>
      <c r="I60" s="83"/>
      <c r="J60" s="83"/>
      <c r="K60" s="83"/>
      <c r="L60" s="83"/>
      <c r="M60" s="83"/>
    </row>
    <row r="61" spans="1:13">
      <c r="A61" s="83"/>
      <c r="B61" s="84"/>
      <c r="C61" s="83"/>
      <c r="D61" s="83"/>
      <c r="E61" s="83"/>
      <c r="F61" s="85"/>
      <c r="G61" s="178"/>
      <c r="H61" s="83"/>
      <c r="I61" s="83"/>
      <c r="J61" s="83"/>
      <c r="K61" s="83"/>
      <c r="L61" s="83"/>
      <c r="M61" s="83"/>
    </row>
    <row r="62" spans="1:13">
      <c r="A62" s="83"/>
      <c r="B62" s="84"/>
      <c r="C62" s="83"/>
      <c r="D62" s="83"/>
      <c r="E62" s="83"/>
      <c r="F62" s="85"/>
      <c r="G62" s="178"/>
      <c r="H62" s="83"/>
      <c r="I62" s="83"/>
      <c r="J62" s="83"/>
      <c r="K62" s="83"/>
      <c r="L62" s="83"/>
      <c r="M62" s="83"/>
    </row>
    <row r="63" spans="1:13">
      <c r="A63" s="83"/>
      <c r="B63" s="84"/>
      <c r="C63" s="83"/>
      <c r="D63" s="83"/>
      <c r="E63" s="83"/>
      <c r="F63" s="85"/>
      <c r="G63" s="178"/>
      <c r="H63" s="83"/>
      <c r="I63" s="83"/>
      <c r="J63" s="83"/>
      <c r="K63" s="83"/>
      <c r="L63" s="83"/>
      <c r="M63" s="83"/>
    </row>
    <row r="64" spans="1:13">
      <c r="A64" s="83"/>
      <c r="B64" s="84"/>
      <c r="C64" s="83"/>
      <c r="D64" s="83"/>
      <c r="E64" s="83"/>
      <c r="F64" s="85"/>
      <c r="G64" s="178"/>
      <c r="H64" s="83"/>
      <c r="I64" s="83"/>
      <c r="J64" s="83"/>
      <c r="K64" s="83"/>
      <c r="L64" s="83"/>
      <c r="M64" s="83"/>
    </row>
    <row r="65" spans="1:13">
      <c r="A65" s="83"/>
      <c r="B65" s="84"/>
      <c r="C65" s="83"/>
      <c r="D65" s="83"/>
      <c r="E65" s="83"/>
      <c r="F65" s="85"/>
      <c r="G65" s="178"/>
      <c r="H65" s="83"/>
      <c r="I65" s="83"/>
      <c r="J65" s="83"/>
      <c r="K65" s="83"/>
      <c r="L65" s="83"/>
      <c r="M65" s="83"/>
    </row>
    <row r="66" spans="1:13">
      <c r="A66" s="83"/>
      <c r="B66" s="84"/>
      <c r="C66" s="83"/>
      <c r="D66" s="83"/>
      <c r="E66" s="83"/>
      <c r="F66" s="85"/>
      <c r="G66" s="178"/>
      <c r="H66" s="83"/>
      <c r="I66" s="83"/>
      <c r="J66" s="83"/>
      <c r="K66" s="83"/>
      <c r="L66" s="83"/>
      <c r="M66" s="83"/>
    </row>
    <row r="67" spans="1:13">
      <c r="A67" s="83"/>
      <c r="B67" s="84"/>
      <c r="C67" s="83"/>
      <c r="D67" s="83"/>
      <c r="E67" s="83"/>
      <c r="F67" s="85"/>
      <c r="G67" s="178"/>
      <c r="H67" s="83"/>
      <c r="I67" s="83"/>
      <c r="J67" s="83"/>
      <c r="K67" s="83"/>
      <c r="L67" s="83"/>
      <c r="M67" s="83"/>
    </row>
    <row r="68" spans="1:13">
      <c r="A68" s="83"/>
      <c r="B68" s="84"/>
      <c r="C68" s="83"/>
      <c r="D68" s="83"/>
      <c r="E68" s="83"/>
      <c r="F68" s="85"/>
      <c r="G68" s="178"/>
      <c r="H68" s="83"/>
      <c r="I68" s="83"/>
      <c r="J68" s="83"/>
      <c r="K68" s="83"/>
      <c r="L68" s="83"/>
      <c r="M68" s="83"/>
    </row>
    <row r="69" spans="1:13">
      <c r="A69" s="83"/>
      <c r="B69" s="84"/>
      <c r="C69" s="83"/>
      <c r="D69" s="83"/>
      <c r="E69" s="83"/>
      <c r="F69" s="85"/>
      <c r="G69" s="178"/>
      <c r="H69" s="83"/>
      <c r="I69" s="83"/>
      <c r="J69" s="83"/>
      <c r="K69" s="83"/>
      <c r="L69" s="83"/>
      <c r="M69" s="83"/>
    </row>
    <row r="70" spans="1:13">
      <c r="A70" s="83"/>
      <c r="B70" s="84"/>
      <c r="C70" s="83"/>
      <c r="D70" s="83"/>
      <c r="E70" s="83"/>
      <c r="F70" s="85"/>
      <c r="G70" s="178"/>
      <c r="H70" s="83"/>
      <c r="I70" s="83"/>
      <c r="J70" s="83"/>
      <c r="K70" s="83"/>
      <c r="L70" s="83"/>
      <c r="M70" s="83"/>
    </row>
    <row r="71" spans="1:13">
      <c r="A71" s="83"/>
      <c r="B71" s="84"/>
      <c r="C71" s="83"/>
      <c r="D71" s="83"/>
      <c r="E71" s="83"/>
      <c r="F71" s="85"/>
      <c r="G71" s="178"/>
      <c r="H71" s="83"/>
      <c r="I71" s="83"/>
      <c r="J71" s="83"/>
      <c r="K71" s="83"/>
      <c r="L71" s="83"/>
      <c r="M71" s="83"/>
    </row>
    <row r="72" spans="1:13">
      <c r="A72" s="83"/>
      <c r="B72" s="84"/>
      <c r="C72" s="83"/>
      <c r="D72" s="83"/>
      <c r="E72" s="83"/>
      <c r="F72" s="85"/>
      <c r="G72" s="178"/>
      <c r="H72" s="83"/>
      <c r="I72" s="83"/>
      <c r="J72" s="83"/>
      <c r="K72" s="83"/>
      <c r="L72" s="83"/>
      <c r="M72" s="83"/>
    </row>
    <row r="73" spans="1:13">
      <c r="A73" s="83"/>
      <c r="B73" s="84"/>
      <c r="C73" s="83"/>
      <c r="D73" s="83"/>
      <c r="E73" s="83"/>
      <c r="F73" s="85"/>
      <c r="G73" s="178"/>
      <c r="H73" s="83"/>
      <c r="I73" s="83"/>
      <c r="J73" s="83"/>
      <c r="K73" s="83"/>
      <c r="L73" s="83"/>
      <c r="M73" s="83"/>
    </row>
    <row r="74" spans="1:13">
      <c r="A74" s="83"/>
      <c r="B74" s="84"/>
      <c r="C74" s="83"/>
      <c r="D74" s="83"/>
      <c r="E74" s="83"/>
      <c r="F74" s="85"/>
      <c r="G74" s="178"/>
      <c r="H74" s="83"/>
      <c r="I74" s="83"/>
      <c r="J74" s="83"/>
      <c r="K74" s="83"/>
      <c r="L74" s="83"/>
      <c r="M74" s="83"/>
    </row>
    <row r="75" spans="1:13">
      <c r="A75" s="83"/>
      <c r="B75" s="84"/>
      <c r="C75" s="83"/>
      <c r="D75" s="83"/>
      <c r="E75" s="83"/>
      <c r="F75" s="85"/>
      <c r="G75" s="178"/>
      <c r="H75" s="83"/>
      <c r="I75" s="83"/>
      <c r="J75" s="83"/>
      <c r="K75" s="83"/>
      <c r="L75" s="83"/>
      <c r="M75" s="83"/>
    </row>
    <row r="76" spans="1:13">
      <c r="A76" s="83"/>
      <c r="B76" s="84"/>
      <c r="C76" s="83"/>
      <c r="D76" s="83"/>
      <c r="E76" s="83"/>
      <c r="F76" s="85"/>
      <c r="G76" s="178"/>
      <c r="H76" s="83"/>
      <c r="I76" s="83"/>
      <c r="J76" s="83"/>
      <c r="K76" s="83"/>
      <c r="L76" s="83"/>
      <c r="M76" s="83"/>
    </row>
    <row r="77" spans="1:13">
      <c r="A77" s="83"/>
      <c r="B77" s="84"/>
      <c r="C77" s="83"/>
      <c r="D77" s="83"/>
      <c r="E77" s="83"/>
      <c r="F77" s="85"/>
      <c r="G77" s="178"/>
      <c r="H77" s="83"/>
      <c r="I77" s="83"/>
      <c r="J77" s="83"/>
      <c r="K77" s="83"/>
      <c r="L77" s="83"/>
      <c r="M77" s="83"/>
    </row>
    <row r="78" spans="1:13">
      <c r="A78" s="83"/>
      <c r="B78" s="84"/>
      <c r="C78" s="83"/>
      <c r="D78" s="83"/>
      <c r="E78" s="83"/>
      <c r="F78" s="85"/>
      <c r="G78" s="178"/>
      <c r="H78" s="83"/>
      <c r="I78" s="83"/>
      <c r="J78" s="83"/>
      <c r="K78" s="83"/>
      <c r="L78" s="83"/>
      <c r="M78" s="83"/>
    </row>
    <row r="79" spans="1:13">
      <c r="A79" s="83"/>
      <c r="B79" s="84"/>
      <c r="C79" s="83"/>
      <c r="D79" s="83"/>
      <c r="E79" s="83"/>
      <c r="F79" s="85"/>
      <c r="G79" s="178"/>
      <c r="H79" s="83"/>
      <c r="I79" s="83"/>
      <c r="J79" s="83"/>
      <c r="K79" s="83"/>
      <c r="L79" s="83"/>
      <c r="M79" s="83"/>
    </row>
    <row r="80" spans="1:13">
      <c r="A80" s="83"/>
      <c r="B80" s="84"/>
      <c r="C80" s="83"/>
      <c r="D80" s="83"/>
      <c r="E80" s="83"/>
      <c r="F80" s="85"/>
      <c r="G80" s="178"/>
      <c r="H80" s="83"/>
      <c r="I80" s="83"/>
      <c r="J80" s="83"/>
      <c r="K80" s="83"/>
      <c r="L80" s="83"/>
      <c r="M80" s="83"/>
    </row>
    <row r="81" spans="1:13">
      <c r="A81" s="83"/>
      <c r="B81" s="84"/>
      <c r="C81" s="83"/>
      <c r="D81" s="83"/>
      <c r="E81" s="83"/>
      <c r="F81" s="85"/>
      <c r="G81" s="178"/>
      <c r="H81" s="83"/>
      <c r="I81" s="83"/>
      <c r="J81" s="83"/>
      <c r="K81" s="83"/>
      <c r="L81" s="83"/>
      <c r="M81" s="83"/>
    </row>
    <row r="82" spans="1:13">
      <c r="A82" s="83"/>
      <c r="B82" s="84"/>
      <c r="C82" s="83"/>
      <c r="D82" s="83"/>
      <c r="E82" s="83"/>
      <c r="F82" s="85"/>
      <c r="G82" s="178"/>
      <c r="H82" s="83"/>
      <c r="I82" s="83"/>
      <c r="J82" s="83"/>
      <c r="K82" s="83"/>
      <c r="L82" s="83"/>
      <c r="M82" s="83"/>
    </row>
    <row r="83" spans="1:13">
      <c r="A83" s="83"/>
      <c r="B83" s="84"/>
      <c r="C83" s="83"/>
      <c r="D83" s="83"/>
      <c r="E83" s="83"/>
      <c r="F83" s="85"/>
      <c r="G83" s="178"/>
      <c r="H83" s="83"/>
      <c r="I83" s="83"/>
      <c r="J83" s="83"/>
      <c r="K83" s="83"/>
      <c r="L83" s="83"/>
      <c r="M83" s="83"/>
    </row>
    <row r="84" spans="1:13">
      <c r="A84" s="83"/>
      <c r="B84" s="84"/>
      <c r="C84" s="83"/>
      <c r="D84" s="83"/>
      <c r="E84" s="83"/>
      <c r="F84" s="85"/>
      <c r="G84" s="178"/>
      <c r="H84" s="83"/>
      <c r="I84" s="83"/>
      <c r="J84" s="83"/>
      <c r="K84" s="83"/>
      <c r="L84" s="83"/>
      <c r="M84" s="83"/>
    </row>
    <row r="85" spans="1:13">
      <c r="A85" s="83"/>
      <c r="B85" s="84"/>
      <c r="C85" s="83"/>
      <c r="D85" s="83"/>
      <c r="E85" s="83"/>
      <c r="F85" s="85"/>
      <c r="G85" s="178"/>
      <c r="H85" s="83"/>
      <c r="I85" s="83"/>
      <c r="J85" s="83"/>
      <c r="K85" s="83"/>
      <c r="L85" s="83"/>
      <c r="M85" s="83"/>
    </row>
    <row r="86" spans="1:13">
      <c r="A86" s="83"/>
      <c r="B86" s="84"/>
      <c r="C86" s="83"/>
      <c r="D86" s="83"/>
      <c r="E86" s="83"/>
      <c r="F86" s="85"/>
      <c r="G86" s="178"/>
      <c r="H86" s="83"/>
      <c r="I86" s="83"/>
      <c r="J86" s="83"/>
      <c r="K86" s="83"/>
      <c r="L86" s="83"/>
      <c r="M86" s="83"/>
    </row>
    <row r="87" spans="1:13">
      <c r="A87" s="83"/>
      <c r="B87" s="84"/>
      <c r="C87" s="83"/>
      <c r="D87" s="83"/>
      <c r="E87" s="83"/>
      <c r="F87" s="85"/>
      <c r="G87" s="178"/>
      <c r="H87" s="83"/>
      <c r="I87" s="83"/>
      <c r="J87" s="83"/>
      <c r="K87" s="83"/>
      <c r="L87" s="83"/>
      <c r="M87" s="83"/>
    </row>
    <row r="88" spans="1:13">
      <c r="A88" s="83"/>
      <c r="B88" s="84"/>
      <c r="C88" s="83"/>
      <c r="D88" s="83"/>
      <c r="E88" s="83"/>
      <c r="F88" s="85"/>
      <c r="G88" s="178"/>
      <c r="H88" s="83"/>
      <c r="I88" s="83"/>
      <c r="J88" s="83"/>
      <c r="K88" s="83"/>
      <c r="L88" s="83"/>
      <c r="M88" s="83"/>
    </row>
    <row r="89" spans="1:13">
      <c r="A89" s="83"/>
      <c r="B89" s="84"/>
      <c r="C89" s="83"/>
      <c r="D89" s="83"/>
      <c r="E89" s="83"/>
      <c r="F89" s="85"/>
      <c r="G89" s="178"/>
      <c r="H89" s="83"/>
      <c r="I89" s="83"/>
      <c r="J89" s="83"/>
      <c r="K89" s="83"/>
      <c r="L89" s="83"/>
      <c r="M89" s="83"/>
    </row>
    <row r="90" spans="1:13">
      <c r="A90" s="83"/>
      <c r="B90" s="84"/>
      <c r="C90" s="83"/>
      <c r="D90" s="83"/>
      <c r="E90" s="83"/>
      <c r="F90" s="85"/>
      <c r="G90" s="178"/>
      <c r="H90" s="83"/>
      <c r="I90" s="83"/>
      <c r="J90" s="83"/>
      <c r="K90" s="83"/>
      <c r="L90" s="83"/>
      <c r="M90" s="83"/>
    </row>
    <row r="91" spans="1:13">
      <c r="A91" s="83"/>
      <c r="B91" s="84"/>
      <c r="C91" s="83"/>
      <c r="D91" s="83"/>
      <c r="E91" s="83"/>
      <c r="F91" s="85"/>
      <c r="G91" s="178"/>
      <c r="H91" s="83"/>
      <c r="I91" s="83"/>
      <c r="J91" s="83"/>
      <c r="K91" s="83"/>
      <c r="L91" s="83"/>
      <c r="M91" s="83"/>
    </row>
    <row r="92" spans="1:13">
      <c r="A92" s="83"/>
      <c r="B92" s="84"/>
      <c r="C92" s="83"/>
      <c r="D92" s="83"/>
      <c r="E92" s="83"/>
      <c r="F92" s="85"/>
      <c r="G92" s="178"/>
      <c r="H92" s="83"/>
      <c r="I92" s="83"/>
      <c r="J92" s="83"/>
      <c r="K92" s="83"/>
      <c r="L92" s="83"/>
      <c r="M92" s="83"/>
    </row>
    <row r="93" spans="1:13">
      <c r="A93" s="83"/>
      <c r="B93" s="84"/>
      <c r="C93" s="83"/>
      <c r="D93" s="83"/>
      <c r="E93" s="83"/>
      <c r="F93" s="85"/>
      <c r="G93" s="178"/>
      <c r="H93" s="83"/>
      <c r="I93" s="83"/>
      <c r="J93" s="83"/>
      <c r="K93" s="83"/>
      <c r="L93" s="83"/>
      <c r="M93" s="83"/>
    </row>
    <row r="94" spans="1:13">
      <c r="A94" s="83"/>
      <c r="B94" s="84"/>
      <c r="C94" s="83"/>
      <c r="D94" s="83"/>
      <c r="E94" s="83"/>
      <c r="F94" s="85"/>
      <c r="G94" s="178"/>
      <c r="H94" s="83"/>
      <c r="I94" s="83"/>
      <c r="J94" s="83"/>
      <c r="K94" s="83"/>
      <c r="L94" s="83"/>
      <c r="M94" s="83"/>
    </row>
    <row r="95" spans="1:13">
      <c r="A95" s="83"/>
      <c r="B95" s="84"/>
      <c r="C95" s="83"/>
      <c r="D95" s="83"/>
      <c r="E95" s="83"/>
      <c r="F95" s="85"/>
      <c r="G95" s="178"/>
      <c r="H95" s="83"/>
      <c r="I95" s="83"/>
      <c r="J95" s="83"/>
      <c r="K95" s="83"/>
      <c r="L95" s="83"/>
      <c r="M95" s="83"/>
    </row>
    <row r="96" spans="1:13">
      <c r="A96" s="83"/>
      <c r="B96" s="84"/>
      <c r="C96" s="83"/>
      <c r="D96" s="83"/>
      <c r="E96" s="83"/>
      <c r="F96" s="85"/>
      <c r="G96" s="178"/>
      <c r="H96" s="83"/>
      <c r="I96" s="83"/>
      <c r="J96" s="83"/>
      <c r="K96" s="83"/>
      <c r="L96" s="83"/>
      <c r="M96" s="83"/>
    </row>
    <row r="97" spans="1:13">
      <c r="A97" s="83"/>
      <c r="B97" s="84"/>
      <c r="C97" s="83"/>
      <c r="D97" s="83"/>
      <c r="E97" s="83"/>
      <c r="F97" s="85"/>
      <c r="G97" s="178"/>
      <c r="H97" s="83"/>
      <c r="I97" s="83"/>
      <c r="J97" s="83"/>
      <c r="K97" s="83"/>
      <c r="L97" s="83"/>
      <c r="M97" s="83"/>
    </row>
    <row r="98" spans="1:13">
      <c r="A98" s="83"/>
      <c r="B98" s="84"/>
      <c r="C98" s="83"/>
      <c r="D98" s="83"/>
      <c r="E98" s="83"/>
      <c r="F98" s="85"/>
      <c r="G98" s="178"/>
      <c r="H98" s="83"/>
      <c r="I98" s="83"/>
      <c r="J98" s="83"/>
      <c r="K98" s="83"/>
      <c r="L98" s="83"/>
      <c r="M98" s="83"/>
    </row>
    <row r="99" spans="1:13">
      <c r="A99" s="83"/>
      <c r="B99" s="84"/>
      <c r="C99" s="83"/>
      <c r="D99" s="83"/>
      <c r="E99" s="83"/>
      <c r="F99" s="85"/>
      <c r="G99" s="178"/>
      <c r="H99" s="83"/>
      <c r="I99" s="83"/>
      <c r="J99" s="83"/>
      <c r="K99" s="83"/>
      <c r="L99" s="83"/>
      <c r="M99" s="83"/>
    </row>
    <row r="100" spans="1:13">
      <c r="A100" s="83"/>
      <c r="B100" s="84"/>
      <c r="C100" s="83"/>
      <c r="D100" s="83"/>
      <c r="E100" s="83"/>
      <c r="F100" s="85"/>
      <c r="G100" s="178"/>
      <c r="H100" s="83"/>
      <c r="I100" s="83"/>
      <c r="J100" s="83"/>
      <c r="K100" s="83"/>
      <c r="L100" s="83"/>
      <c r="M100" s="83"/>
    </row>
    <row r="101" spans="1:13">
      <c r="A101" s="83"/>
      <c r="B101" s="84"/>
      <c r="C101" s="83"/>
      <c r="D101" s="83"/>
      <c r="E101" s="83"/>
      <c r="F101" s="85"/>
      <c r="G101" s="178"/>
      <c r="H101" s="83"/>
      <c r="I101" s="83"/>
      <c r="J101" s="83"/>
      <c r="K101" s="83"/>
      <c r="L101" s="83"/>
      <c r="M101" s="83"/>
    </row>
    <row r="102" spans="1:13">
      <c r="A102" s="83"/>
      <c r="B102" s="84"/>
      <c r="C102" s="83"/>
      <c r="D102" s="83"/>
      <c r="E102" s="83"/>
      <c r="F102" s="85"/>
      <c r="G102" s="178"/>
      <c r="H102" s="83"/>
      <c r="I102" s="83"/>
      <c r="J102" s="83"/>
      <c r="K102" s="83"/>
      <c r="L102" s="83"/>
      <c r="M102" s="83"/>
    </row>
    <row r="103" spans="1:13">
      <c r="A103" s="83"/>
      <c r="B103" s="84"/>
      <c r="C103" s="83"/>
      <c r="D103" s="83"/>
      <c r="E103" s="83"/>
      <c r="F103" s="85"/>
      <c r="G103" s="178"/>
      <c r="H103" s="83"/>
      <c r="I103" s="83"/>
      <c r="J103" s="83"/>
      <c r="K103" s="83"/>
      <c r="L103" s="83"/>
      <c r="M103" s="83"/>
    </row>
    <row r="104" spans="1:13">
      <c r="A104" s="83"/>
      <c r="B104" s="84"/>
      <c r="C104" s="83"/>
      <c r="D104" s="83"/>
      <c r="E104" s="83"/>
      <c r="F104" s="85"/>
      <c r="G104" s="178"/>
      <c r="H104" s="83"/>
      <c r="I104" s="83"/>
      <c r="J104" s="83"/>
      <c r="K104" s="83"/>
      <c r="L104" s="83"/>
      <c r="M104" s="83"/>
    </row>
    <row r="105" spans="1:13">
      <c r="A105" s="83"/>
      <c r="B105" s="84"/>
      <c r="C105" s="83"/>
      <c r="D105" s="83"/>
      <c r="E105" s="83"/>
      <c r="F105" s="85"/>
      <c r="G105" s="178"/>
      <c r="H105" s="83"/>
      <c r="I105" s="83"/>
      <c r="J105" s="83"/>
      <c r="K105" s="83"/>
      <c r="L105" s="83"/>
      <c r="M105" s="83"/>
    </row>
    <row r="106" spans="1:13">
      <c r="A106" s="83"/>
      <c r="B106" s="84"/>
      <c r="C106" s="83"/>
      <c r="D106" s="83"/>
      <c r="E106" s="83"/>
      <c r="F106" s="85"/>
      <c r="G106" s="178"/>
      <c r="H106" s="83"/>
      <c r="I106" s="83"/>
      <c r="J106" s="83"/>
      <c r="K106" s="83"/>
      <c r="L106" s="83"/>
      <c r="M106" s="83"/>
    </row>
    <row r="107" spans="1:13">
      <c r="A107" s="83"/>
      <c r="B107" s="84"/>
      <c r="C107" s="83"/>
      <c r="D107" s="83"/>
      <c r="E107" s="83"/>
      <c r="F107" s="85"/>
      <c r="G107" s="178"/>
      <c r="H107" s="83"/>
      <c r="I107" s="83"/>
      <c r="J107" s="83"/>
      <c r="K107" s="83"/>
      <c r="L107" s="83"/>
      <c r="M107" s="83"/>
    </row>
    <row r="108" spans="1:13">
      <c r="A108" s="83"/>
      <c r="B108" s="84"/>
      <c r="C108" s="83"/>
      <c r="D108" s="83"/>
      <c r="E108" s="83"/>
      <c r="F108" s="85"/>
      <c r="G108" s="178"/>
      <c r="H108" s="83"/>
      <c r="I108" s="83"/>
      <c r="J108" s="83"/>
      <c r="K108" s="83"/>
      <c r="L108" s="83"/>
      <c r="M108" s="83"/>
    </row>
    <row r="109" spans="1:13">
      <c r="A109" s="83"/>
      <c r="B109" s="84"/>
      <c r="C109" s="83"/>
      <c r="D109" s="83"/>
      <c r="E109" s="83"/>
      <c r="F109" s="85"/>
      <c r="G109" s="178"/>
      <c r="H109" s="83"/>
      <c r="I109" s="83"/>
      <c r="J109" s="83"/>
      <c r="K109" s="83"/>
      <c r="L109" s="83"/>
      <c r="M109" s="83"/>
    </row>
    <row r="110" spans="1:13">
      <c r="A110" s="83"/>
      <c r="B110" s="84"/>
      <c r="C110" s="83"/>
      <c r="D110" s="83"/>
      <c r="E110" s="83"/>
      <c r="F110" s="85"/>
      <c r="G110" s="178"/>
      <c r="H110" s="83"/>
      <c r="I110" s="83"/>
      <c r="J110" s="83"/>
      <c r="K110" s="83"/>
      <c r="L110" s="83"/>
      <c r="M110" s="83"/>
    </row>
    <row r="111" spans="1:13">
      <c r="A111" s="83"/>
      <c r="B111" s="84"/>
      <c r="C111" s="83"/>
      <c r="D111" s="83"/>
      <c r="E111" s="83"/>
      <c r="F111" s="85"/>
      <c r="G111" s="178"/>
      <c r="H111" s="83"/>
      <c r="I111" s="83"/>
      <c r="J111" s="83"/>
      <c r="K111" s="83"/>
      <c r="L111" s="83"/>
      <c r="M111" s="83"/>
    </row>
    <row r="112" spans="1:13">
      <c r="A112" s="83"/>
      <c r="B112" s="84"/>
      <c r="C112" s="83"/>
      <c r="D112" s="83"/>
      <c r="E112" s="83"/>
      <c r="F112" s="85"/>
      <c r="G112" s="178"/>
      <c r="H112" s="83"/>
      <c r="I112" s="83"/>
      <c r="J112" s="83"/>
      <c r="K112" s="83"/>
      <c r="L112" s="83"/>
      <c r="M112" s="83"/>
    </row>
    <row r="113" spans="1:13">
      <c r="A113" s="83"/>
      <c r="B113" s="84"/>
      <c r="C113" s="83"/>
      <c r="D113" s="83"/>
      <c r="E113" s="83"/>
      <c r="F113" s="85"/>
      <c r="G113" s="178"/>
      <c r="H113" s="83"/>
      <c r="I113" s="83"/>
      <c r="J113" s="83"/>
      <c r="K113" s="83"/>
      <c r="L113" s="83"/>
      <c r="M113" s="83"/>
    </row>
    <row r="114" spans="1:13">
      <c r="A114" s="83"/>
      <c r="B114" s="84"/>
      <c r="C114" s="83"/>
      <c r="D114" s="83"/>
      <c r="E114" s="83"/>
      <c r="F114" s="85"/>
      <c r="G114" s="178"/>
      <c r="H114" s="83"/>
      <c r="I114" s="83"/>
      <c r="J114" s="83"/>
      <c r="K114" s="83"/>
      <c r="L114" s="83"/>
      <c r="M114" s="83"/>
    </row>
    <row r="115" spans="1:13">
      <c r="A115" s="83"/>
      <c r="B115" s="84"/>
      <c r="C115" s="83"/>
      <c r="D115" s="83"/>
      <c r="E115" s="83"/>
      <c r="F115" s="85"/>
      <c r="G115" s="178"/>
      <c r="H115" s="83"/>
      <c r="I115" s="83"/>
      <c r="J115" s="83"/>
      <c r="K115" s="83"/>
      <c r="L115" s="83"/>
      <c r="M115" s="83"/>
    </row>
    <row r="116" spans="1:13">
      <c r="A116" s="83"/>
      <c r="B116" s="84"/>
      <c r="C116" s="83"/>
      <c r="D116" s="83"/>
      <c r="E116" s="83"/>
      <c r="F116" s="85"/>
      <c r="G116" s="178"/>
      <c r="H116" s="83"/>
      <c r="I116" s="83"/>
      <c r="J116" s="83"/>
      <c r="K116" s="83"/>
      <c r="L116" s="83"/>
      <c r="M116" s="83"/>
    </row>
    <row r="117" spans="1:13">
      <c r="A117" s="83"/>
      <c r="B117" s="84"/>
      <c r="C117" s="83"/>
      <c r="D117" s="83"/>
      <c r="E117" s="83"/>
      <c r="F117" s="85"/>
      <c r="G117" s="178"/>
      <c r="H117" s="83"/>
      <c r="I117" s="83"/>
      <c r="J117" s="83"/>
      <c r="K117" s="83"/>
      <c r="L117" s="83"/>
      <c r="M117" s="83"/>
    </row>
    <row r="118" spans="1:13">
      <c r="A118" s="83"/>
      <c r="B118" s="84"/>
      <c r="C118" s="83"/>
      <c r="D118" s="83"/>
      <c r="E118" s="83"/>
      <c r="F118" s="85"/>
      <c r="G118" s="178"/>
      <c r="H118" s="83"/>
      <c r="I118" s="83"/>
      <c r="J118" s="83"/>
      <c r="K118" s="83"/>
      <c r="L118" s="83"/>
      <c r="M118" s="83"/>
    </row>
    <row r="119" spans="1:13">
      <c r="A119" s="83"/>
      <c r="B119" s="84"/>
      <c r="C119" s="83"/>
      <c r="D119" s="83"/>
      <c r="E119" s="83"/>
      <c r="F119" s="85"/>
      <c r="G119" s="178"/>
      <c r="H119" s="83"/>
      <c r="I119" s="83"/>
      <c r="J119" s="83"/>
      <c r="K119" s="83"/>
      <c r="L119" s="83"/>
      <c r="M119" s="83"/>
    </row>
    <row r="120" spans="1:13">
      <c r="A120" s="83"/>
      <c r="B120" s="84"/>
      <c r="C120" s="83"/>
      <c r="D120" s="83"/>
      <c r="E120" s="83"/>
      <c r="F120" s="85"/>
      <c r="G120" s="178"/>
      <c r="H120" s="83"/>
      <c r="I120" s="83"/>
      <c r="J120" s="83"/>
      <c r="K120" s="83"/>
      <c r="L120" s="83"/>
      <c r="M120" s="83"/>
    </row>
    <row r="121" spans="1:13">
      <c r="A121" s="83"/>
      <c r="B121" s="84"/>
      <c r="C121" s="83"/>
      <c r="D121" s="83"/>
      <c r="E121" s="83"/>
      <c r="F121" s="85"/>
      <c r="G121" s="178"/>
      <c r="H121" s="83"/>
      <c r="I121" s="83"/>
      <c r="J121" s="83"/>
      <c r="K121" s="83"/>
      <c r="L121" s="83"/>
      <c r="M121" s="83"/>
    </row>
    <row r="122" spans="1:13">
      <c r="A122" s="83"/>
      <c r="B122" s="84"/>
      <c r="C122" s="83"/>
      <c r="D122" s="83"/>
      <c r="E122" s="83"/>
      <c r="F122" s="85"/>
      <c r="G122" s="178"/>
      <c r="H122" s="83"/>
      <c r="I122" s="83"/>
      <c r="J122" s="83"/>
      <c r="K122" s="83"/>
      <c r="L122" s="83"/>
      <c r="M122" s="83"/>
    </row>
    <row r="123" spans="1:13">
      <c r="A123" s="83"/>
      <c r="B123" s="84"/>
      <c r="C123" s="83"/>
      <c r="D123" s="83"/>
      <c r="E123" s="83"/>
      <c r="F123" s="85"/>
      <c r="G123" s="178"/>
      <c r="H123" s="83"/>
      <c r="I123" s="83"/>
      <c r="J123" s="83"/>
      <c r="K123" s="83"/>
      <c r="L123" s="83"/>
      <c r="M123" s="83"/>
    </row>
    <row r="124" spans="1:13">
      <c r="A124" s="83"/>
      <c r="B124" s="84"/>
      <c r="C124" s="83"/>
      <c r="D124" s="83"/>
      <c r="E124" s="83"/>
      <c r="F124" s="85"/>
      <c r="G124" s="178"/>
      <c r="H124" s="83"/>
      <c r="I124" s="83"/>
      <c r="J124" s="83"/>
      <c r="K124" s="83"/>
      <c r="L124" s="83"/>
      <c r="M124" s="83"/>
    </row>
    <row r="125" spans="1:13">
      <c r="A125" s="83"/>
      <c r="B125" s="84"/>
      <c r="C125" s="83"/>
      <c r="D125" s="83"/>
      <c r="E125" s="83"/>
      <c r="F125" s="85"/>
      <c r="G125" s="178"/>
      <c r="H125" s="83"/>
      <c r="I125" s="83"/>
      <c r="J125" s="83"/>
      <c r="K125" s="83"/>
      <c r="L125" s="83"/>
      <c r="M125" s="83"/>
    </row>
    <row r="126" spans="1:13">
      <c r="A126" s="83"/>
      <c r="B126" s="84"/>
      <c r="C126" s="83"/>
      <c r="D126" s="83"/>
      <c r="E126" s="83"/>
      <c r="F126" s="85"/>
      <c r="G126" s="178"/>
      <c r="H126" s="83"/>
      <c r="I126" s="83"/>
      <c r="J126" s="83"/>
      <c r="K126" s="83"/>
      <c r="L126" s="83"/>
      <c r="M126" s="83"/>
    </row>
    <row r="127" spans="1:13">
      <c r="A127" s="83"/>
      <c r="B127" s="84"/>
      <c r="C127" s="83"/>
      <c r="D127" s="83"/>
      <c r="E127" s="83"/>
      <c r="F127" s="85"/>
      <c r="G127" s="178"/>
      <c r="H127" s="83"/>
      <c r="I127" s="83"/>
      <c r="J127" s="83"/>
      <c r="K127" s="83"/>
      <c r="L127" s="83"/>
      <c r="M127" s="83"/>
    </row>
    <row r="128" spans="1:13">
      <c r="A128" s="83"/>
      <c r="B128" s="84"/>
      <c r="C128" s="83"/>
      <c r="D128" s="83"/>
      <c r="E128" s="83"/>
      <c r="F128" s="85"/>
      <c r="G128" s="178"/>
      <c r="H128" s="83"/>
      <c r="I128" s="83"/>
      <c r="J128" s="83"/>
      <c r="K128" s="83"/>
      <c r="L128" s="83"/>
      <c r="M128" s="83"/>
    </row>
    <row r="129" spans="1:13">
      <c r="A129" s="83"/>
      <c r="B129" s="84"/>
      <c r="C129" s="83"/>
      <c r="D129" s="83"/>
      <c r="E129" s="83"/>
      <c r="F129" s="85"/>
      <c r="G129" s="178"/>
      <c r="H129" s="83"/>
      <c r="I129" s="83"/>
      <c r="J129" s="83"/>
      <c r="K129" s="83"/>
      <c r="L129" s="83"/>
      <c r="M129" s="83"/>
    </row>
    <row r="130" spans="1:13">
      <c r="A130" s="83"/>
      <c r="B130" s="84"/>
      <c r="C130" s="83"/>
      <c r="D130" s="83"/>
      <c r="E130" s="83"/>
      <c r="F130" s="85"/>
      <c r="G130" s="178"/>
      <c r="H130" s="83"/>
      <c r="I130" s="83"/>
      <c r="J130" s="83"/>
      <c r="K130" s="83"/>
      <c r="L130" s="83"/>
      <c r="M130" s="83"/>
    </row>
    <row r="131" spans="1:13">
      <c r="A131" s="83"/>
      <c r="B131" s="84"/>
      <c r="C131" s="83"/>
      <c r="D131" s="83"/>
      <c r="E131" s="83"/>
      <c r="F131" s="85"/>
      <c r="G131" s="178"/>
      <c r="H131" s="83"/>
      <c r="I131" s="83"/>
      <c r="J131" s="83"/>
      <c r="K131" s="83"/>
      <c r="L131" s="83"/>
      <c r="M131" s="83"/>
    </row>
    <row r="132" spans="1:13">
      <c r="A132" s="83"/>
      <c r="B132" s="84"/>
      <c r="C132" s="83"/>
      <c r="D132" s="83"/>
      <c r="E132" s="83"/>
      <c r="F132" s="85"/>
      <c r="G132" s="178"/>
      <c r="H132" s="83"/>
      <c r="I132" s="83"/>
      <c r="J132" s="83"/>
      <c r="K132" s="83"/>
      <c r="L132" s="83"/>
      <c r="M132" s="83"/>
    </row>
    <row r="133" spans="1:13">
      <c r="A133" s="83"/>
      <c r="B133" s="84"/>
      <c r="C133" s="83"/>
      <c r="D133" s="83"/>
      <c r="E133" s="83"/>
      <c r="F133" s="85"/>
      <c r="G133" s="178"/>
      <c r="H133" s="83"/>
      <c r="I133" s="83"/>
      <c r="J133" s="83"/>
      <c r="K133" s="83"/>
      <c r="L133" s="83"/>
      <c r="M133" s="83"/>
    </row>
    <row r="134" spans="1:13">
      <c r="A134" s="83"/>
      <c r="B134" s="84"/>
      <c r="C134" s="83"/>
      <c r="D134" s="83"/>
      <c r="E134" s="83"/>
      <c r="F134" s="85"/>
      <c r="G134" s="178"/>
      <c r="H134" s="83"/>
      <c r="I134" s="83"/>
      <c r="J134" s="83"/>
      <c r="K134" s="83"/>
      <c r="L134" s="83"/>
      <c r="M134" s="83"/>
    </row>
    <row r="135" spans="1:13">
      <c r="A135" s="83"/>
      <c r="B135" s="84"/>
      <c r="C135" s="83"/>
      <c r="D135" s="83"/>
      <c r="E135" s="83"/>
      <c r="F135" s="85"/>
      <c r="G135" s="178"/>
      <c r="H135" s="83"/>
      <c r="I135" s="83"/>
      <c r="J135" s="83"/>
      <c r="K135" s="83"/>
      <c r="L135" s="83"/>
      <c r="M135" s="83"/>
    </row>
    <row r="136" spans="1:13">
      <c r="A136" s="83"/>
      <c r="B136" s="84"/>
      <c r="C136" s="83"/>
      <c r="D136" s="83"/>
      <c r="E136" s="83"/>
      <c r="F136" s="85"/>
      <c r="G136" s="178"/>
      <c r="H136" s="83"/>
      <c r="I136" s="83"/>
      <c r="J136" s="83"/>
      <c r="K136" s="83"/>
      <c r="L136" s="83"/>
      <c r="M136" s="83"/>
    </row>
    <row r="137" spans="1:13">
      <c r="A137" s="83"/>
      <c r="B137" s="84"/>
      <c r="C137" s="83"/>
      <c r="D137" s="83"/>
      <c r="E137" s="83"/>
      <c r="F137" s="85"/>
      <c r="G137" s="178"/>
      <c r="H137" s="83"/>
      <c r="I137" s="83"/>
      <c r="J137" s="83"/>
      <c r="K137" s="83"/>
      <c r="L137" s="83"/>
      <c r="M137" s="83"/>
    </row>
    <row r="138" spans="1:13">
      <c r="A138" s="83"/>
      <c r="B138" s="84"/>
      <c r="C138" s="83"/>
      <c r="D138" s="83"/>
      <c r="E138" s="83"/>
      <c r="F138" s="85"/>
      <c r="G138" s="178"/>
      <c r="H138" s="83"/>
      <c r="I138" s="83"/>
      <c r="J138" s="83"/>
      <c r="K138" s="83"/>
      <c r="L138" s="83"/>
      <c r="M138" s="83"/>
    </row>
    <row r="139" spans="1:13">
      <c r="A139" s="83"/>
      <c r="B139" s="84"/>
      <c r="C139" s="83"/>
      <c r="D139" s="83"/>
      <c r="E139" s="83"/>
      <c r="F139" s="85"/>
      <c r="G139" s="178"/>
      <c r="H139" s="83"/>
      <c r="I139" s="83"/>
      <c r="J139" s="83"/>
      <c r="K139" s="83"/>
      <c r="L139" s="83"/>
      <c r="M139" s="83"/>
    </row>
    <row r="140" spans="1:13">
      <c r="A140" s="83"/>
      <c r="B140" s="84"/>
      <c r="C140" s="83"/>
      <c r="D140" s="83"/>
      <c r="E140" s="83"/>
      <c r="F140" s="85"/>
      <c r="G140" s="178"/>
      <c r="H140" s="83"/>
      <c r="I140" s="83"/>
      <c r="J140" s="83"/>
      <c r="K140" s="83"/>
      <c r="L140" s="83"/>
      <c r="M140" s="83"/>
    </row>
    <row r="141" spans="1:13">
      <c r="A141" s="83"/>
      <c r="B141" s="84"/>
      <c r="C141" s="83"/>
      <c r="D141" s="83"/>
      <c r="E141" s="83"/>
      <c r="F141" s="85"/>
      <c r="G141" s="178"/>
      <c r="H141" s="83"/>
      <c r="I141" s="83"/>
      <c r="J141" s="83"/>
      <c r="K141" s="83"/>
      <c r="L141" s="83"/>
      <c r="M141" s="83"/>
    </row>
    <row r="142" spans="1:13">
      <c r="A142" s="83"/>
      <c r="B142" s="84"/>
      <c r="C142" s="83"/>
      <c r="D142" s="83"/>
      <c r="E142" s="83"/>
      <c r="F142" s="85"/>
      <c r="G142" s="178"/>
      <c r="H142" s="83"/>
      <c r="I142" s="83"/>
      <c r="J142" s="83"/>
      <c r="K142" s="83"/>
      <c r="L142" s="83"/>
      <c r="M142" s="83"/>
    </row>
    <row r="143" spans="1:13">
      <c r="A143" s="83"/>
      <c r="B143" s="84"/>
      <c r="C143" s="83"/>
      <c r="D143" s="83"/>
      <c r="E143" s="83"/>
      <c r="F143" s="85"/>
      <c r="G143" s="178"/>
      <c r="H143" s="83"/>
      <c r="I143" s="83"/>
      <c r="J143" s="83"/>
      <c r="K143" s="83"/>
      <c r="L143" s="83"/>
      <c r="M143" s="83"/>
    </row>
    <row r="144" spans="1:13">
      <c r="A144" s="83"/>
      <c r="B144" s="84"/>
      <c r="C144" s="83"/>
      <c r="D144" s="83"/>
      <c r="E144" s="83"/>
      <c r="F144" s="85"/>
      <c r="G144" s="178"/>
      <c r="H144" s="83"/>
      <c r="I144" s="83"/>
      <c r="J144" s="83"/>
      <c r="K144" s="83"/>
      <c r="L144" s="83"/>
      <c r="M144" s="83"/>
    </row>
    <row r="145" spans="1:13">
      <c r="A145" s="83"/>
      <c r="B145" s="84"/>
      <c r="C145" s="83"/>
      <c r="D145" s="83"/>
      <c r="E145" s="83"/>
      <c r="F145" s="85"/>
      <c r="G145" s="178"/>
      <c r="H145" s="83"/>
      <c r="I145" s="83"/>
      <c r="J145" s="83"/>
      <c r="K145" s="83"/>
      <c r="L145" s="83"/>
      <c r="M145" s="83"/>
    </row>
    <row r="146" spans="1:13">
      <c r="A146" s="83"/>
      <c r="B146" s="84"/>
      <c r="C146" s="83"/>
      <c r="D146" s="83"/>
      <c r="E146" s="83"/>
      <c r="F146" s="85"/>
      <c r="G146" s="178"/>
      <c r="H146" s="83"/>
      <c r="I146" s="83"/>
      <c r="J146" s="83"/>
      <c r="K146" s="83"/>
      <c r="L146" s="83"/>
      <c r="M146" s="83"/>
    </row>
    <row r="147" spans="1:13">
      <c r="A147" s="83"/>
      <c r="B147" s="84"/>
      <c r="C147" s="83"/>
      <c r="D147" s="83"/>
      <c r="E147" s="83"/>
      <c r="F147" s="85"/>
      <c r="G147" s="178"/>
      <c r="H147" s="83"/>
      <c r="I147" s="83"/>
      <c r="J147" s="83"/>
      <c r="K147" s="83"/>
      <c r="L147" s="83"/>
      <c r="M147" s="83"/>
    </row>
    <row r="148" spans="1:13">
      <c r="A148" s="83"/>
      <c r="B148" s="84"/>
      <c r="C148" s="83"/>
      <c r="D148" s="83"/>
      <c r="E148" s="83"/>
      <c r="F148" s="85"/>
      <c r="G148" s="178"/>
      <c r="H148" s="83"/>
      <c r="I148" s="83"/>
      <c r="J148" s="83"/>
      <c r="K148" s="83"/>
      <c r="L148" s="83"/>
      <c r="M148" s="83"/>
    </row>
    <row r="149" spans="1:13">
      <c r="A149" s="83"/>
      <c r="B149" s="84"/>
      <c r="C149" s="83"/>
      <c r="D149" s="83"/>
      <c r="E149" s="83"/>
      <c r="F149" s="85"/>
      <c r="G149" s="178"/>
      <c r="H149" s="83"/>
      <c r="I149" s="83"/>
      <c r="J149" s="83"/>
      <c r="K149" s="83"/>
      <c r="L149" s="83"/>
      <c r="M149" s="83"/>
    </row>
    <row r="150" spans="1:13">
      <c r="A150" s="83"/>
      <c r="B150" s="84"/>
      <c r="C150" s="83"/>
      <c r="D150" s="83"/>
      <c r="E150" s="83"/>
      <c r="F150" s="85"/>
      <c r="G150" s="178"/>
      <c r="H150" s="83"/>
      <c r="I150" s="83"/>
      <c r="J150" s="83"/>
      <c r="K150" s="83"/>
      <c r="L150" s="83"/>
      <c r="M150" s="83"/>
    </row>
    <row r="151" spans="1:13">
      <c r="A151" s="83"/>
      <c r="B151" s="84"/>
      <c r="C151" s="83"/>
      <c r="D151" s="83"/>
      <c r="E151" s="83"/>
      <c r="F151" s="85"/>
      <c r="G151" s="178"/>
      <c r="H151" s="83"/>
      <c r="I151" s="83"/>
      <c r="J151" s="83"/>
      <c r="K151" s="83"/>
      <c r="L151" s="83"/>
      <c r="M151" s="83"/>
    </row>
    <row r="152" spans="1:13">
      <c r="A152" s="83"/>
      <c r="B152" s="84"/>
      <c r="C152" s="83"/>
      <c r="D152" s="83"/>
      <c r="E152" s="83"/>
      <c r="F152" s="85"/>
      <c r="G152" s="178"/>
      <c r="H152" s="83"/>
      <c r="I152" s="83"/>
      <c r="J152" s="83"/>
      <c r="K152" s="83"/>
      <c r="L152" s="83"/>
      <c r="M152" s="83"/>
    </row>
    <row r="153" spans="1:13">
      <c r="A153" s="83"/>
      <c r="B153" s="84"/>
      <c r="C153" s="83"/>
      <c r="D153" s="83"/>
      <c r="E153" s="83"/>
      <c r="F153" s="85"/>
      <c r="G153" s="178"/>
      <c r="H153" s="83"/>
      <c r="I153" s="83"/>
      <c r="J153" s="83"/>
      <c r="K153" s="83"/>
      <c r="L153" s="83"/>
      <c r="M153" s="83"/>
    </row>
    <row r="154" spans="1:13">
      <c r="A154" s="83"/>
      <c r="B154" s="84"/>
      <c r="C154" s="83"/>
      <c r="D154" s="83"/>
      <c r="E154" s="83"/>
      <c r="F154" s="85"/>
      <c r="G154" s="178"/>
      <c r="H154" s="83"/>
      <c r="I154" s="83"/>
      <c r="J154" s="83"/>
      <c r="K154" s="83"/>
      <c r="L154" s="83"/>
      <c r="M154" s="83"/>
    </row>
    <row r="155" spans="1:13">
      <c r="A155" s="83"/>
      <c r="B155" s="84"/>
      <c r="C155" s="83"/>
      <c r="D155" s="83"/>
      <c r="E155" s="83"/>
      <c r="F155" s="85"/>
      <c r="G155" s="178"/>
      <c r="H155" s="83"/>
      <c r="I155" s="83"/>
      <c r="J155" s="83"/>
      <c r="K155" s="83"/>
      <c r="L155" s="83"/>
      <c r="M155" s="83"/>
    </row>
    <row r="156" spans="1:13">
      <c r="A156" s="83"/>
      <c r="B156" s="84"/>
      <c r="C156" s="83"/>
      <c r="D156" s="83"/>
      <c r="E156" s="83"/>
      <c r="F156" s="85"/>
      <c r="G156" s="178"/>
      <c r="H156" s="83"/>
      <c r="I156" s="83"/>
      <c r="J156" s="83"/>
      <c r="K156" s="83"/>
      <c r="L156" s="83"/>
      <c r="M156" s="83"/>
    </row>
    <row r="157" spans="1:13">
      <c r="A157" s="83"/>
      <c r="B157" s="84"/>
      <c r="C157" s="83"/>
      <c r="D157" s="83"/>
      <c r="E157" s="83"/>
      <c r="F157" s="85"/>
      <c r="G157" s="178"/>
      <c r="H157" s="83"/>
      <c r="I157" s="83"/>
      <c r="J157" s="83"/>
      <c r="K157" s="83"/>
      <c r="L157" s="83"/>
      <c r="M157" s="83"/>
    </row>
    <row r="158" spans="1:13">
      <c r="A158" s="83"/>
      <c r="B158" s="84"/>
      <c r="C158" s="83"/>
      <c r="D158" s="83"/>
      <c r="E158" s="83"/>
      <c r="F158" s="85"/>
      <c r="G158" s="178"/>
      <c r="H158" s="83"/>
      <c r="I158" s="83"/>
      <c r="J158" s="83"/>
      <c r="K158" s="83"/>
      <c r="L158" s="83"/>
      <c r="M158" s="83"/>
    </row>
    <row r="159" spans="1:13">
      <c r="A159" s="83"/>
      <c r="B159" s="84"/>
      <c r="C159" s="83"/>
      <c r="D159" s="83"/>
      <c r="E159" s="83"/>
      <c r="F159" s="85"/>
      <c r="G159" s="178"/>
      <c r="H159" s="83"/>
      <c r="I159" s="83"/>
      <c r="J159" s="83"/>
      <c r="K159" s="83"/>
      <c r="L159" s="83"/>
      <c r="M159" s="83"/>
    </row>
    <row r="160" spans="1:13">
      <c r="A160" s="83"/>
      <c r="B160" s="84"/>
      <c r="C160" s="83"/>
      <c r="D160" s="83"/>
      <c r="E160" s="83"/>
      <c r="F160" s="85"/>
      <c r="G160" s="178"/>
      <c r="H160" s="83"/>
      <c r="I160" s="83"/>
      <c r="J160" s="83"/>
      <c r="K160" s="83"/>
      <c r="L160" s="83"/>
      <c r="M160" s="83"/>
    </row>
    <row r="161" spans="1:13">
      <c r="A161" s="83"/>
      <c r="B161" s="84"/>
      <c r="C161" s="83"/>
      <c r="D161" s="83"/>
      <c r="E161" s="83"/>
      <c r="F161" s="85"/>
      <c r="G161" s="178"/>
      <c r="H161" s="83"/>
      <c r="I161" s="83"/>
      <c r="J161" s="83"/>
      <c r="K161" s="83"/>
      <c r="L161" s="83"/>
      <c r="M161" s="83"/>
    </row>
    <row r="162" spans="1:13">
      <c r="A162" s="83"/>
      <c r="B162" s="84"/>
      <c r="C162" s="83"/>
      <c r="D162" s="83"/>
      <c r="E162" s="83"/>
      <c r="F162" s="85"/>
      <c r="G162" s="178"/>
      <c r="H162" s="83"/>
      <c r="I162" s="83"/>
      <c r="J162" s="83"/>
      <c r="K162" s="83"/>
      <c r="L162" s="83"/>
      <c r="M162" s="83"/>
    </row>
    <row r="163" spans="1:13">
      <c r="A163" s="83"/>
      <c r="B163" s="84"/>
      <c r="C163" s="83"/>
      <c r="D163" s="83"/>
      <c r="E163" s="83"/>
      <c r="F163" s="85"/>
      <c r="G163" s="178"/>
      <c r="H163" s="83"/>
      <c r="I163" s="83"/>
      <c r="J163" s="83"/>
      <c r="K163" s="83"/>
      <c r="L163" s="83"/>
      <c r="M163" s="83"/>
    </row>
    <row r="164" spans="1:13">
      <c r="A164" s="83"/>
      <c r="B164" s="84"/>
      <c r="C164" s="83"/>
      <c r="D164" s="83"/>
      <c r="E164" s="83"/>
      <c r="F164" s="85"/>
      <c r="G164" s="178"/>
      <c r="H164" s="83"/>
      <c r="I164" s="83"/>
      <c r="J164" s="83"/>
      <c r="K164" s="83"/>
      <c r="L164" s="83"/>
      <c r="M164" s="83"/>
    </row>
    <row r="165" spans="1:13">
      <c r="A165" s="83"/>
      <c r="B165" s="84"/>
      <c r="C165" s="83"/>
      <c r="D165" s="83"/>
      <c r="E165" s="83"/>
      <c r="F165" s="85"/>
      <c r="G165" s="178"/>
      <c r="H165" s="83"/>
      <c r="I165" s="83"/>
      <c r="J165" s="83"/>
      <c r="K165" s="83"/>
      <c r="L165" s="83"/>
      <c r="M165" s="83"/>
    </row>
    <row r="166" spans="1:13">
      <c r="A166" s="83"/>
      <c r="B166" s="84"/>
      <c r="C166" s="83"/>
      <c r="D166" s="83"/>
      <c r="E166" s="83"/>
      <c r="F166" s="85"/>
      <c r="G166" s="178"/>
      <c r="H166" s="83"/>
      <c r="I166" s="83"/>
      <c r="J166" s="83"/>
      <c r="K166" s="83"/>
      <c r="L166" s="83"/>
      <c r="M166" s="83"/>
    </row>
    <row r="167" spans="1:13">
      <c r="A167" s="83"/>
      <c r="B167" s="84"/>
      <c r="C167" s="83"/>
      <c r="D167" s="83"/>
      <c r="E167" s="83"/>
      <c r="F167" s="85"/>
      <c r="G167" s="178"/>
      <c r="H167" s="83"/>
      <c r="I167" s="83"/>
      <c r="J167" s="83"/>
      <c r="K167" s="83"/>
      <c r="L167" s="83"/>
      <c r="M167" s="83"/>
    </row>
    <row r="168" spans="1:13">
      <c r="A168" s="83"/>
      <c r="B168" s="84"/>
      <c r="C168" s="83"/>
      <c r="D168" s="83"/>
      <c r="E168" s="83"/>
      <c r="F168" s="85"/>
      <c r="G168" s="178"/>
      <c r="H168" s="83"/>
      <c r="I168" s="83"/>
      <c r="J168" s="83"/>
      <c r="K168" s="83"/>
      <c r="L168" s="83"/>
      <c r="M168" s="83"/>
    </row>
    <row r="169" spans="1:13">
      <c r="A169" s="83"/>
      <c r="B169" s="84"/>
      <c r="C169" s="83"/>
      <c r="D169" s="83"/>
      <c r="E169" s="83"/>
      <c r="F169" s="85"/>
      <c r="G169" s="178"/>
      <c r="H169" s="83"/>
      <c r="I169" s="83"/>
      <c r="J169" s="83"/>
      <c r="K169" s="83"/>
      <c r="L169" s="83"/>
      <c r="M169" s="83"/>
    </row>
    <row r="170" spans="1:13">
      <c r="A170" s="83"/>
      <c r="B170" s="84"/>
      <c r="C170" s="83"/>
      <c r="D170" s="83"/>
      <c r="E170" s="83"/>
      <c r="F170" s="85"/>
      <c r="G170" s="178"/>
      <c r="H170" s="83"/>
      <c r="I170" s="83"/>
      <c r="J170" s="83"/>
      <c r="K170" s="83"/>
      <c r="L170" s="83"/>
      <c r="M170" s="83"/>
    </row>
    <row r="171" spans="1:13">
      <c r="A171" s="83"/>
      <c r="B171" s="84"/>
      <c r="C171" s="83"/>
      <c r="D171" s="83"/>
      <c r="E171" s="83"/>
      <c r="F171" s="85"/>
      <c r="G171" s="178"/>
      <c r="H171" s="83"/>
      <c r="I171" s="83"/>
      <c r="J171" s="83"/>
      <c r="K171" s="83"/>
      <c r="L171" s="83"/>
      <c r="M171" s="83"/>
    </row>
    <row r="172" spans="1:13">
      <c r="A172" s="83"/>
      <c r="B172" s="84"/>
      <c r="C172" s="83"/>
      <c r="D172" s="83"/>
      <c r="E172" s="83"/>
      <c r="F172" s="85"/>
      <c r="G172" s="178"/>
      <c r="H172" s="83"/>
      <c r="I172" s="83"/>
      <c r="J172" s="83"/>
      <c r="K172" s="83"/>
      <c r="L172" s="83"/>
      <c r="M172" s="83"/>
    </row>
    <row r="173" spans="1:13">
      <c r="A173" s="83"/>
      <c r="B173" s="84"/>
      <c r="C173" s="83"/>
      <c r="D173" s="83"/>
      <c r="E173" s="83"/>
      <c r="F173" s="85"/>
      <c r="G173" s="178"/>
      <c r="H173" s="83"/>
      <c r="I173" s="83"/>
      <c r="J173" s="83"/>
      <c r="K173" s="83"/>
      <c r="L173" s="83"/>
      <c r="M173" s="83"/>
    </row>
    <row r="174" spans="1:13">
      <c r="A174" s="83"/>
      <c r="B174" s="84"/>
      <c r="C174" s="83"/>
      <c r="D174" s="83"/>
      <c r="E174" s="83"/>
      <c r="F174" s="85"/>
      <c r="G174" s="178"/>
      <c r="H174" s="83"/>
      <c r="I174" s="83"/>
      <c r="J174" s="83"/>
      <c r="K174" s="83"/>
      <c r="L174" s="83"/>
      <c r="M174" s="83"/>
    </row>
    <row r="175" spans="1:13">
      <c r="A175" s="83"/>
      <c r="B175" s="84"/>
      <c r="C175" s="83"/>
      <c r="D175" s="83"/>
      <c r="E175" s="83"/>
      <c r="F175" s="85"/>
      <c r="G175" s="178"/>
      <c r="H175" s="83"/>
      <c r="I175" s="83"/>
      <c r="J175" s="83"/>
      <c r="K175" s="83"/>
      <c r="L175" s="83"/>
      <c r="M175" s="83"/>
    </row>
    <row r="176" spans="1:13">
      <c r="A176" s="83"/>
      <c r="B176" s="84"/>
      <c r="C176" s="83"/>
      <c r="D176" s="83"/>
      <c r="E176" s="83"/>
      <c r="F176" s="85"/>
      <c r="G176" s="178"/>
      <c r="H176" s="83"/>
      <c r="I176" s="83"/>
      <c r="J176" s="83"/>
      <c r="K176" s="83"/>
      <c r="L176" s="83"/>
      <c r="M176" s="83"/>
    </row>
    <row r="177" spans="1:13">
      <c r="A177" s="83"/>
      <c r="B177" s="84"/>
      <c r="C177" s="83"/>
      <c r="D177" s="83"/>
      <c r="E177" s="83"/>
      <c r="F177" s="85"/>
      <c r="G177" s="178"/>
      <c r="H177" s="83"/>
      <c r="I177" s="83"/>
      <c r="J177" s="83"/>
      <c r="K177" s="83"/>
      <c r="L177" s="83"/>
      <c r="M177" s="83"/>
    </row>
    <row r="178" spans="1:13">
      <c r="A178" s="83"/>
      <c r="B178" s="84"/>
      <c r="C178" s="83"/>
      <c r="D178" s="83"/>
      <c r="E178" s="83"/>
      <c r="F178" s="85"/>
      <c r="G178" s="178"/>
      <c r="H178" s="83"/>
      <c r="I178" s="83"/>
      <c r="J178" s="83"/>
      <c r="K178" s="83"/>
      <c r="L178" s="83"/>
      <c r="M178" s="83"/>
    </row>
    <row r="179" spans="1:13">
      <c r="A179" s="83"/>
      <c r="B179" s="84"/>
      <c r="C179" s="83"/>
      <c r="D179" s="83"/>
      <c r="E179" s="83"/>
      <c r="F179" s="85"/>
      <c r="G179" s="178"/>
      <c r="H179" s="83"/>
      <c r="I179" s="83"/>
      <c r="J179" s="83"/>
      <c r="K179" s="83"/>
      <c r="L179" s="83"/>
      <c r="M179" s="83"/>
    </row>
    <row r="180" spans="1:13">
      <c r="A180" s="83"/>
      <c r="B180" s="84"/>
      <c r="C180" s="83"/>
      <c r="D180" s="83"/>
      <c r="E180" s="83"/>
      <c r="F180" s="85"/>
      <c r="G180" s="178"/>
      <c r="H180" s="83"/>
      <c r="I180" s="83"/>
      <c r="J180" s="83"/>
      <c r="K180" s="83"/>
      <c r="L180" s="83"/>
      <c r="M180" s="83"/>
    </row>
    <row r="181" spans="1:13">
      <c r="A181" s="83"/>
      <c r="B181" s="84"/>
      <c r="C181" s="83"/>
      <c r="D181" s="83"/>
      <c r="E181" s="83"/>
      <c r="F181" s="85"/>
      <c r="G181" s="178"/>
      <c r="H181" s="83"/>
      <c r="I181" s="83"/>
      <c r="J181" s="83"/>
      <c r="K181" s="83"/>
      <c r="L181" s="83"/>
      <c r="M181" s="83"/>
    </row>
    <row r="182" spans="1:13">
      <c r="A182" s="83"/>
      <c r="B182" s="84"/>
      <c r="C182" s="83"/>
      <c r="D182" s="83"/>
      <c r="E182" s="83"/>
      <c r="F182" s="85"/>
      <c r="G182" s="178"/>
      <c r="H182" s="83"/>
      <c r="I182" s="83"/>
      <c r="J182" s="83"/>
      <c r="K182" s="83"/>
      <c r="L182" s="83"/>
      <c r="M182" s="83"/>
    </row>
    <row r="183" spans="1:13">
      <c r="A183" s="83"/>
      <c r="B183" s="84"/>
      <c r="C183" s="83"/>
      <c r="D183" s="83"/>
      <c r="E183" s="83"/>
      <c r="F183" s="85"/>
      <c r="G183" s="178"/>
      <c r="H183" s="83"/>
      <c r="I183" s="83"/>
      <c r="J183" s="83"/>
      <c r="K183" s="83"/>
      <c r="L183" s="83"/>
      <c r="M183" s="83"/>
    </row>
    <row r="184" spans="1:13">
      <c r="A184" s="83"/>
      <c r="B184" s="84"/>
      <c r="C184" s="83"/>
      <c r="D184" s="83"/>
      <c r="E184" s="83"/>
      <c r="F184" s="85"/>
      <c r="G184" s="178"/>
      <c r="H184" s="83"/>
      <c r="I184" s="83"/>
      <c r="J184" s="83"/>
      <c r="K184" s="83"/>
      <c r="L184" s="83"/>
      <c r="M184" s="83"/>
    </row>
    <row r="185" spans="1:13">
      <c r="A185" s="83"/>
      <c r="B185" s="84"/>
      <c r="C185" s="83"/>
      <c r="D185" s="83"/>
      <c r="E185" s="83"/>
      <c r="F185" s="85"/>
      <c r="G185" s="178"/>
      <c r="H185" s="83"/>
      <c r="I185" s="83"/>
      <c r="J185" s="83"/>
      <c r="K185" s="83"/>
      <c r="L185" s="83"/>
      <c r="M185" s="83"/>
    </row>
    <row r="186" spans="1:13">
      <c r="A186" s="83"/>
      <c r="B186" s="84"/>
      <c r="C186" s="83"/>
      <c r="D186" s="83"/>
      <c r="E186" s="83"/>
      <c r="F186" s="85"/>
      <c r="G186" s="178"/>
      <c r="H186" s="83"/>
      <c r="I186" s="83"/>
      <c r="J186" s="83"/>
      <c r="K186" s="83"/>
      <c r="L186" s="83"/>
      <c r="M186" s="83"/>
    </row>
    <row r="187" spans="1:13">
      <c r="A187" s="83"/>
      <c r="B187" s="84"/>
      <c r="C187" s="83"/>
      <c r="D187" s="83"/>
      <c r="E187" s="83"/>
      <c r="F187" s="85"/>
      <c r="G187" s="178"/>
      <c r="H187" s="83"/>
      <c r="I187" s="83"/>
      <c r="J187" s="83"/>
      <c r="K187" s="83"/>
      <c r="L187" s="83"/>
      <c r="M187" s="83"/>
    </row>
    <row r="188" spans="1:13">
      <c r="A188" s="83"/>
      <c r="B188" s="84"/>
      <c r="C188" s="83"/>
      <c r="D188" s="83"/>
      <c r="E188" s="83"/>
      <c r="F188" s="85"/>
      <c r="G188" s="178"/>
      <c r="H188" s="83"/>
      <c r="I188" s="83"/>
      <c r="J188" s="83"/>
      <c r="K188" s="83"/>
      <c r="L188" s="83"/>
      <c r="M188" s="83"/>
    </row>
    <row r="189" spans="1:13">
      <c r="A189" s="83"/>
      <c r="B189" s="84"/>
      <c r="C189" s="83"/>
      <c r="D189" s="83"/>
      <c r="E189" s="83"/>
      <c r="F189" s="85"/>
      <c r="G189" s="178"/>
      <c r="H189" s="83"/>
      <c r="I189" s="83"/>
      <c r="J189" s="83"/>
      <c r="K189" s="83"/>
      <c r="L189" s="83"/>
      <c r="M189" s="83"/>
    </row>
    <row r="190" spans="1:13">
      <c r="A190" s="83"/>
      <c r="B190" s="84"/>
      <c r="C190" s="83"/>
      <c r="D190" s="83"/>
      <c r="E190" s="83"/>
      <c r="F190" s="85"/>
      <c r="G190" s="178"/>
      <c r="H190" s="83"/>
      <c r="I190" s="83"/>
      <c r="J190" s="83"/>
      <c r="K190" s="83"/>
      <c r="L190" s="83"/>
      <c r="M190" s="83"/>
    </row>
    <row r="191" spans="1:13">
      <c r="A191" s="83"/>
      <c r="B191" s="84"/>
      <c r="C191" s="83"/>
      <c r="D191" s="83"/>
      <c r="E191" s="83"/>
      <c r="F191" s="85"/>
      <c r="G191" s="178"/>
      <c r="H191" s="83"/>
      <c r="I191" s="83"/>
      <c r="J191" s="83"/>
      <c r="K191" s="83"/>
      <c r="L191" s="83"/>
      <c r="M191" s="83"/>
    </row>
    <row r="192" spans="1:13">
      <c r="A192" s="83"/>
      <c r="B192" s="84"/>
      <c r="C192" s="83"/>
      <c r="D192" s="83"/>
      <c r="E192" s="83"/>
      <c r="F192" s="85"/>
      <c r="G192" s="178"/>
      <c r="H192" s="83"/>
      <c r="I192" s="83"/>
      <c r="J192" s="83"/>
      <c r="K192" s="83"/>
      <c r="L192" s="83"/>
      <c r="M192" s="83"/>
    </row>
    <row r="193" spans="1:13">
      <c r="A193" s="83"/>
      <c r="B193" s="84"/>
      <c r="C193" s="83"/>
      <c r="D193" s="83"/>
      <c r="E193" s="83"/>
      <c r="F193" s="85"/>
      <c r="G193" s="178"/>
      <c r="H193" s="83"/>
      <c r="I193" s="83"/>
      <c r="J193" s="83"/>
      <c r="K193" s="83"/>
      <c r="L193" s="83"/>
      <c r="M193" s="83"/>
    </row>
    <row r="194" spans="1:13">
      <c r="A194" s="83"/>
      <c r="B194" s="84"/>
      <c r="C194" s="83"/>
      <c r="D194" s="83"/>
      <c r="E194" s="83"/>
      <c r="F194" s="85"/>
      <c r="G194" s="178"/>
      <c r="H194" s="83"/>
      <c r="I194" s="83"/>
      <c r="J194" s="83"/>
      <c r="K194" s="83"/>
      <c r="L194" s="83"/>
      <c r="M194" s="83"/>
    </row>
    <row r="195" spans="1:13">
      <c r="A195" s="83"/>
      <c r="B195" s="84"/>
      <c r="C195" s="83"/>
      <c r="D195" s="83"/>
      <c r="E195" s="83"/>
      <c r="F195" s="85"/>
      <c r="G195" s="178"/>
      <c r="H195" s="83"/>
      <c r="I195" s="83"/>
      <c r="J195" s="83"/>
      <c r="K195" s="83"/>
      <c r="L195" s="83"/>
      <c r="M195" s="83"/>
    </row>
    <row r="196" spans="1:13">
      <c r="A196" s="83"/>
      <c r="B196" s="84"/>
      <c r="C196" s="83"/>
      <c r="D196" s="83"/>
      <c r="E196" s="83"/>
      <c r="F196" s="85"/>
      <c r="G196" s="178"/>
      <c r="H196" s="83"/>
      <c r="I196" s="83"/>
      <c r="J196" s="83"/>
      <c r="K196" s="83"/>
      <c r="L196" s="83"/>
      <c r="M196" s="83"/>
    </row>
    <row r="197" spans="1:13">
      <c r="A197" s="83"/>
      <c r="B197" s="84"/>
      <c r="C197" s="83"/>
      <c r="D197" s="83"/>
      <c r="E197" s="83"/>
      <c r="F197" s="85"/>
      <c r="G197" s="178"/>
      <c r="H197" s="83"/>
      <c r="I197" s="83"/>
      <c r="J197" s="83"/>
      <c r="K197" s="83"/>
      <c r="L197" s="83"/>
      <c r="M197" s="83"/>
    </row>
    <row r="198" spans="1:13">
      <c r="A198" s="83"/>
      <c r="B198" s="84"/>
      <c r="C198" s="83"/>
      <c r="D198" s="83"/>
      <c r="E198" s="83"/>
      <c r="F198" s="85"/>
      <c r="G198" s="178"/>
      <c r="H198" s="83"/>
      <c r="I198" s="83"/>
      <c r="J198" s="83"/>
      <c r="K198" s="83"/>
      <c r="L198" s="83"/>
      <c r="M198" s="83"/>
    </row>
    <row r="199" spans="1:13">
      <c r="A199" s="83"/>
      <c r="B199" s="84"/>
      <c r="C199" s="83"/>
      <c r="D199" s="83"/>
      <c r="E199" s="83"/>
      <c r="F199" s="85"/>
      <c r="G199" s="178"/>
      <c r="H199" s="83"/>
      <c r="I199" s="83"/>
      <c r="J199" s="83"/>
      <c r="K199" s="83"/>
      <c r="L199" s="83"/>
      <c r="M199" s="83"/>
    </row>
    <row r="200" spans="1:13">
      <c r="A200" s="83"/>
      <c r="B200" s="84"/>
      <c r="C200" s="83"/>
      <c r="D200" s="83"/>
      <c r="E200" s="83"/>
      <c r="F200" s="85"/>
      <c r="G200" s="178"/>
      <c r="H200" s="83"/>
      <c r="I200" s="83"/>
      <c r="J200" s="83"/>
      <c r="K200" s="83"/>
      <c r="L200" s="83"/>
      <c r="M200" s="83"/>
    </row>
    <row r="201" spans="1:13">
      <c r="A201" s="83"/>
      <c r="B201" s="84"/>
      <c r="C201" s="83"/>
      <c r="D201" s="83"/>
      <c r="E201" s="83"/>
      <c r="F201" s="85"/>
      <c r="G201" s="178"/>
      <c r="H201" s="83"/>
      <c r="I201" s="83"/>
      <c r="J201" s="83"/>
      <c r="K201" s="83"/>
      <c r="L201" s="83"/>
      <c r="M201" s="83"/>
    </row>
    <row r="202" spans="1:13">
      <c r="A202" s="83"/>
      <c r="B202" s="84"/>
      <c r="C202" s="83"/>
      <c r="D202" s="83"/>
      <c r="E202" s="83"/>
      <c r="F202" s="85"/>
      <c r="G202" s="178"/>
      <c r="H202" s="83"/>
      <c r="I202" s="83"/>
      <c r="J202" s="83"/>
      <c r="K202" s="83"/>
      <c r="L202" s="83"/>
      <c r="M202" s="83"/>
    </row>
    <row r="203" spans="1:13">
      <c r="A203" s="83"/>
      <c r="B203" s="84"/>
      <c r="C203" s="83"/>
      <c r="D203" s="83"/>
      <c r="E203" s="83"/>
      <c r="F203" s="85"/>
      <c r="G203" s="178"/>
      <c r="H203" s="83"/>
      <c r="I203" s="83"/>
      <c r="J203" s="83"/>
      <c r="K203" s="83"/>
      <c r="L203" s="83"/>
      <c r="M203" s="83"/>
    </row>
    <row r="204" spans="1:13">
      <c r="A204" s="83"/>
      <c r="B204" s="84"/>
      <c r="C204" s="83"/>
      <c r="D204" s="83"/>
      <c r="E204" s="83"/>
      <c r="F204" s="85"/>
      <c r="G204" s="178"/>
      <c r="H204" s="83"/>
      <c r="I204" s="83"/>
      <c r="J204" s="83"/>
      <c r="K204" s="83"/>
      <c r="L204" s="83"/>
      <c r="M204" s="83"/>
    </row>
    <row r="205" spans="1:13">
      <c r="A205" s="83"/>
      <c r="B205" s="84"/>
      <c r="C205" s="83"/>
      <c r="D205" s="83"/>
      <c r="E205" s="83"/>
      <c r="F205" s="85"/>
      <c r="G205" s="178"/>
      <c r="H205" s="83"/>
      <c r="I205" s="83"/>
      <c r="J205" s="83"/>
      <c r="K205" s="83"/>
      <c r="L205" s="83"/>
      <c r="M205" s="83"/>
    </row>
    <row r="206" spans="1:13">
      <c r="A206" s="83"/>
      <c r="B206" s="84"/>
      <c r="C206" s="83"/>
      <c r="D206" s="83"/>
      <c r="E206" s="83"/>
      <c r="F206" s="85"/>
      <c r="G206" s="178"/>
      <c r="H206" s="83"/>
      <c r="I206" s="83"/>
      <c r="J206" s="83"/>
      <c r="K206" s="83"/>
      <c r="L206" s="83"/>
      <c r="M206" s="83"/>
    </row>
    <row r="207" spans="1:13">
      <c r="A207" s="83"/>
      <c r="B207" s="84"/>
      <c r="C207" s="83"/>
      <c r="D207" s="83"/>
      <c r="E207" s="83"/>
      <c r="F207" s="85"/>
      <c r="G207" s="178"/>
      <c r="H207" s="83"/>
      <c r="I207" s="83"/>
      <c r="J207" s="83"/>
      <c r="K207" s="83"/>
      <c r="L207" s="83"/>
      <c r="M207" s="83"/>
    </row>
    <row r="208" spans="1:13">
      <c r="A208" s="83"/>
      <c r="B208" s="84"/>
      <c r="C208" s="83"/>
      <c r="D208" s="83"/>
      <c r="E208" s="83"/>
      <c r="F208" s="85"/>
      <c r="G208" s="178"/>
      <c r="H208" s="83"/>
      <c r="I208" s="83"/>
      <c r="J208" s="83"/>
      <c r="K208" s="83"/>
      <c r="L208" s="83"/>
      <c r="M208" s="83"/>
    </row>
    <row r="209" spans="1:13">
      <c r="A209" s="83"/>
      <c r="B209" s="84"/>
      <c r="C209" s="83"/>
      <c r="D209" s="83"/>
      <c r="E209" s="83"/>
      <c r="F209" s="85"/>
      <c r="G209" s="178"/>
      <c r="H209" s="83"/>
      <c r="I209" s="83"/>
      <c r="J209" s="83"/>
      <c r="K209" s="83"/>
      <c r="L209" s="83"/>
      <c r="M209" s="83"/>
    </row>
    <row r="210" spans="1:13">
      <c r="A210" s="83"/>
      <c r="B210" s="84"/>
      <c r="C210" s="83"/>
      <c r="D210" s="83"/>
      <c r="E210" s="83"/>
      <c r="F210" s="85"/>
      <c r="G210" s="178"/>
      <c r="H210" s="83"/>
      <c r="I210" s="83"/>
      <c r="J210" s="83"/>
      <c r="K210" s="83"/>
      <c r="L210" s="83"/>
      <c r="M210" s="83"/>
    </row>
    <row r="211" spans="1:13">
      <c r="A211" s="83"/>
      <c r="B211" s="84"/>
      <c r="C211" s="83"/>
      <c r="D211" s="83"/>
      <c r="E211" s="83"/>
      <c r="F211" s="85"/>
      <c r="G211" s="178"/>
      <c r="H211" s="83"/>
      <c r="I211" s="83"/>
      <c r="J211" s="83"/>
      <c r="K211" s="83"/>
      <c r="L211" s="83"/>
      <c r="M211" s="83"/>
    </row>
    <row r="212" spans="1:13">
      <c r="A212" s="83"/>
      <c r="B212" s="84"/>
      <c r="C212" s="83"/>
      <c r="D212" s="83"/>
      <c r="E212" s="83"/>
      <c r="F212" s="85"/>
      <c r="G212" s="178"/>
      <c r="H212" s="83"/>
      <c r="I212" s="83"/>
      <c r="J212" s="83"/>
      <c r="K212" s="83"/>
      <c r="L212" s="83"/>
      <c r="M212" s="83"/>
    </row>
    <row r="213" spans="1:13">
      <c r="A213" s="83"/>
      <c r="B213" s="84"/>
      <c r="C213" s="83"/>
      <c r="D213" s="83"/>
      <c r="E213" s="83"/>
      <c r="F213" s="85"/>
      <c r="G213" s="178"/>
      <c r="H213" s="83"/>
      <c r="I213" s="83"/>
      <c r="J213" s="83"/>
      <c r="K213" s="83"/>
      <c r="L213" s="83"/>
      <c r="M213" s="83"/>
    </row>
    <row r="214" spans="1:13">
      <c r="A214" s="83"/>
      <c r="B214" s="84"/>
      <c r="C214" s="83"/>
      <c r="D214" s="83"/>
      <c r="E214" s="83"/>
      <c r="F214" s="85"/>
      <c r="G214" s="178"/>
      <c r="H214" s="83"/>
      <c r="I214" s="83"/>
      <c r="J214" s="83"/>
      <c r="K214" s="83"/>
      <c r="L214" s="83"/>
      <c r="M214" s="83"/>
    </row>
    <row r="215" spans="1:13">
      <c r="A215" s="83"/>
      <c r="B215" s="84"/>
      <c r="C215" s="83"/>
      <c r="D215" s="83"/>
      <c r="E215" s="83"/>
      <c r="F215" s="85"/>
      <c r="G215" s="178"/>
      <c r="H215" s="83"/>
      <c r="I215" s="83"/>
      <c r="J215" s="83"/>
      <c r="K215" s="83"/>
      <c r="L215" s="83"/>
      <c r="M215" s="83"/>
    </row>
    <row r="216" spans="1:13">
      <c r="A216" s="83"/>
      <c r="B216" s="84"/>
      <c r="C216" s="83"/>
      <c r="D216" s="83"/>
      <c r="E216" s="83"/>
      <c r="F216" s="85"/>
      <c r="G216" s="178"/>
      <c r="H216" s="83"/>
      <c r="I216" s="83"/>
      <c r="J216" s="83"/>
      <c r="K216" s="83"/>
      <c r="L216" s="83"/>
      <c r="M216" s="83"/>
    </row>
    <row r="217" spans="1:13">
      <c r="A217" s="83"/>
      <c r="B217" s="84"/>
      <c r="C217" s="83"/>
      <c r="D217" s="83"/>
      <c r="E217" s="83"/>
      <c r="F217" s="85"/>
      <c r="G217" s="178"/>
      <c r="H217" s="83"/>
      <c r="I217" s="83"/>
      <c r="J217" s="83"/>
      <c r="K217" s="83"/>
      <c r="L217" s="83"/>
      <c r="M217" s="83"/>
    </row>
    <row r="218" spans="1:13">
      <c r="A218" s="83"/>
      <c r="B218" s="84"/>
      <c r="C218" s="83"/>
      <c r="D218" s="83"/>
      <c r="E218" s="83"/>
      <c r="F218" s="85"/>
      <c r="G218" s="178"/>
      <c r="H218" s="83"/>
      <c r="I218" s="83"/>
      <c r="J218" s="83"/>
      <c r="K218" s="83"/>
      <c r="L218" s="83"/>
      <c r="M218" s="83"/>
    </row>
    <row r="219" spans="1:13">
      <c r="A219" s="83"/>
      <c r="B219" s="84"/>
      <c r="C219" s="83"/>
      <c r="D219" s="83"/>
      <c r="E219" s="83"/>
      <c r="F219" s="85"/>
      <c r="G219" s="178"/>
      <c r="H219" s="83"/>
      <c r="I219" s="83"/>
      <c r="J219" s="83"/>
      <c r="K219" s="83"/>
      <c r="L219" s="83"/>
      <c r="M219" s="83"/>
    </row>
    <row r="220" spans="1:13">
      <c r="A220" s="83"/>
      <c r="B220" s="84"/>
      <c r="C220" s="83"/>
      <c r="D220" s="83"/>
      <c r="E220" s="83"/>
      <c r="F220" s="85"/>
      <c r="G220" s="178"/>
      <c r="H220" s="83"/>
      <c r="I220" s="83"/>
      <c r="J220" s="83"/>
      <c r="K220" s="83"/>
      <c r="L220" s="83"/>
      <c r="M220" s="83"/>
    </row>
  </sheetData>
  <mergeCells count="2">
    <mergeCell ref="A1:M1"/>
    <mergeCell ref="A2:M2"/>
  </mergeCells>
  <dataValidations count="1">
    <dataValidation type="list" sqref="H5:H220" xr:uid="{00000000-0002-0000-0800-000000000000}">
      <formula1>"Not Started,In Progress,Complete,Blocked,Cancelled"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0"/>
  <sheetViews>
    <sheetView workbookViewId="0"/>
  </sheetViews>
  <sheetFormatPr defaultRowHeight="14.25"/>
  <cols>
    <col min="1" max="2" width="12" customWidth="1"/>
    <col min="3" max="4" width="45" customWidth="1"/>
    <col min="5" max="5" width="12" customWidth="1"/>
    <col min="6" max="6" width="16" customWidth="1"/>
    <col min="7" max="7" width="32" customWidth="1"/>
    <col min="8" max="8" width="38" customWidth="1"/>
  </cols>
  <sheetData>
    <row r="1" spans="1:8" ht="27.95" customHeight="1">
      <c r="A1" s="234" t="s">
        <v>48</v>
      </c>
      <c r="B1" s="235"/>
      <c r="C1" s="235"/>
      <c r="D1" s="235"/>
      <c r="E1" s="235"/>
      <c r="F1" s="235"/>
      <c r="G1" s="235"/>
      <c r="H1" s="235"/>
    </row>
    <row r="3" spans="1:8" ht="15">
      <c r="A3" s="80" t="s">
        <v>636</v>
      </c>
      <c r="B3" s="80" t="s">
        <v>587</v>
      </c>
      <c r="C3" s="80" t="s">
        <v>637</v>
      </c>
      <c r="D3" s="80" t="s">
        <v>638</v>
      </c>
      <c r="E3" s="80" t="s">
        <v>121</v>
      </c>
      <c r="F3" s="80" t="s">
        <v>639</v>
      </c>
      <c r="G3" s="80" t="s">
        <v>640</v>
      </c>
      <c r="H3" s="80" t="s">
        <v>641</v>
      </c>
    </row>
    <row r="4" spans="1:8" ht="28.5">
      <c r="A4" s="78" t="s">
        <v>642</v>
      </c>
      <c r="B4" s="81">
        <v>46200</v>
      </c>
      <c r="C4" s="78" t="s">
        <v>643</v>
      </c>
      <c r="D4" s="78" t="s">
        <v>644</v>
      </c>
      <c r="E4" s="78" t="s">
        <v>645</v>
      </c>
      <c r="F4" s="78" t="s">
        <v>646</v>
      </c>
      <c r="G4" s="78" t="s">
        <v>647</v>
      </c>
      <c r="H4" s="78" t="s">
        <v>648</v>
      </c>
    </row>
    <row r="5" spans="1:8" ht="28.5">
      <c r="A5" s="78" t="s">
        <v>649</v>
      </c>
      <c r="B5" s="81">
        <v>46200</v>
      </c>
      <c r="C5" s="78" t="s">
        <v>650</v>
      </c>
      <c r="D5" s="78" t="s">
        <v>651</v>
      </c>
      <c r="E5" s="78" t="s">
        <v>645</v>
      </c>
      <c r="F5" s="78" t="s">
        <v>646</v>
      </c>
      <c r="G5" s="78" t="s">
        <v>349</v>
      </c>
      <c r="H5" s="78" t="s">
        <v>652</v>
      </c>
    </row>
    <row r="6" spans="1:8" ht="28.5">
      <c r="A6" s="78" t="s">
        <v>653</v>
      </c>
      <c r="B6" s="81">
        <v>46207</v>
      </c>
      <c r="C6" s="78" t="s">
        <v>654</v>
      </c>
      <c r="D6" s="78" t="s">
        <v>655</v>
      </c>
      <c r="E6" s="78" t="s">
        <v>645</v>
      </c>
      <c r="F6" s="78" t="s">
        <v>133</v>
      </c>
      <c r="G6" s="78" t="s">
        <v>656</v>
      </c>
      <c r="H6" s="78" t="s">
        <v>657</v>
      </c>
    </row>
    <row r="7" spans="1:8" ht="28.5">
      <c r="A7" s="78" t="s">
        <v>658</v>
      </c>
      <c r="B7" s="81">
        <v>46207</v>
      </c>
      <c r="C7" s="78" t="s">
        <v>659</v>
      </c>
      <c r="D7" s="78" t="s">
        <v>660</v>
      </c>
      <c r="E7" s="78" t="s">
        <v>645</v>
      </c>
      <c r="F7" s="78" t="s">
        <v>661</v>
      </c>
      <c r="G7" s="78" t="s">
        <v>662</v>
      </c>
      <c r="H7" s="78" t="s">
        <v>663</v>
      </c>
    </row>
    <row r="8" spans="1:8" ht="28.5">
      <c r="A8" s="78" t="s">
        <v>664</v>
      </c>
      <c r="B8" s="81">
        <v>46207</v>
      </c>
      <c r="C8" s="78" t="s">
        <v>279</v>
      </c>
      <c r="D8" s="78" t="s">
        <v>665</v>
      </c>
      <c r="E8" s="78" t="s">
        <v>645</v>
      </c>
      <c r="F8" s="78" t="s">
        <v>666</v>
      </c>
      <c r="G8" s="78" t="s">
        <v>667</v>
      </c>
      <c r="H8" s="78" t="s">
        <v>668</v>
      </c>
    </row>
    <row r="9" spans="1:8" ht="28.5">
      <c r="A9" s="78" t="s">
        <v>669</v>
      </c>
      <c r="B9" s="81">
        <v>46207</v>
      </c>
      <c r="C9" s="78" t="s">
        <v>670</v>
      </c>
      <c r="D9" s="78" t="s">
        <v>671</v>
      </c>
      <c r="E9" s="78" t="s">
        <v>645</v>
      </c>
      <c r="F9" s="78" t="s">
        <v>672</v>
      </c>
      <c r="G9" s="78" t="s">
        <v>673</v>
      </c>
      <c r="H9" s="78" t="s">
        <v>674</v>
      </c>
    </row>
    <row r="10" spans="1:8" ht="28.5">
      <c r="A10" s="78" t="s">
        <v>675</v>
      </c>
      <c r="B10" s="81">
        <v>46207</v>
      </c>
      <c r="C10" s="78" t="s">
        <v>676</v>
      </c>
      <c r="D10" s="78" t="s">
        <v>677</v>
      </c>
      <c r="E10" s="78" t="s">
        <v>645</v>
      </c>
      <c r="F10" s="78" t="s">
        <v>678</v>
      </c>
      <c r="G10" s="78" t="s">
        <v>679</v>
      </c>
      <c r="H10" s="78" t="s">
        <v>680</v>
      </c>
    </row>
    <row r="11" spans="1:8" ht="28.5">
      <c r="A11" s="78" t="s">
        <v>681</v>
      </c>
      <c r="B11" s="81">
        <v>46207</v>
      </c>
      <c r="C11" s="78" t="s">
        <v>682</v>
      </c>
      <c r="D11" s="78" t="s">
        <v>683</v>
      </c>
      <c r="E11" s="78" t="s">
        <v>645</v>
      </c>
      <c r="F11" s="78" t="s">
        <v>684</v>
      </c>
      <c r="G11" s="78" t="s">
        <v>343</v>
      </c>
      <c r="H11" s="78" t="s">
        <v>685</v>
      </c>
    </row>
    <row r="12" spans="1:8" ht="62.1" customHeight="1">
      <c r="A12" s="182" t="s">
        <v>686</v>
      </c>
      <c r="B12" s="196">
        <v>46208</v>
      </c>
      <c r="C12" s="183" t="s">
        <v>687</v>
      </c>
      <c r="D12" s="183" t="s">
        <v>688</v>
      </c>
      <c r="E12" s="183" t="s">
        <v>645</v>
      </c>
      <c r="F12" s="183" t="s">
        <v>689</v>
      </c>
      <c r="G12" s="183" t="s">
        <v>690</v>
      </c>
      <c r="H12" s="184" t="s">
        <v>691</v>
      </c>
    </row>
    <row r="13" spans="1:8" ht="62.1" customHeight="1">
      <c r="A13" s="187" t="s">
        <v>692</v>
      </c>
      <c r="B13" s="197">
        <v>46208</v>
      </c>
      <c r="C13" s="188" t="s">
        <v>693</v>
      </c>
      <c r="D13" s="188" t="s">
        <v>694</v>
      </c>
      <c r="E13" s="188" t="s">
        <v>645</v>
      </c>
      <c r="F13" s="188" t="s">
        <v>695</v>
      </c>
      <c r="G13" s="188" t="s">
        <v>696</v>
      </c>
      <c r="H13" s="189" t="s">
        <v>697</v>
      </c>
    </row>
    <row r="14" spans="1:8">
      <c r="A14" s="78"/>
      <c r="B14" s="78"/>
      <c r="C14" s="78"/>
      <c r="D14" s="78"/>
      <c r="E14" s="78"/>
      <c r="F14" s="78"/>
      <c r="G14" s="78"/>
      <c r="H14" s="78"/>
    </row>
    <row r="15" spans="1:8">
      <c r="A15" s="78"/>
      <c r="B15" s="78"/>
      <c r="C15" s="78"/>
      <c r="D15" s="78"/>
      <c r="E15" s="78"/>
      <c r="F15" s="78"/>
      <c r="G15" s="78"/>
      <c r="H15" s="78"/>
    </row>
    <row r="16" spans="1:8">
      <c r="A16" s="78"/>
      <c r="B16" s="78"/>
      <c r="C16" s="78"/>
      <c r="D16" s="78"/>
      <c r="E16" s="78"/>
      <c r="F16" s="78"/>
      <c r="G16" s="78"/>
      <c r="H16" s="78"/>
    </row>
    <row r="17" spans="1:8">
      <c r="A17" s="78"/>
      <c r="B17" s="78"/>
      <c r="C17" s="78"/>
      <c r="D17" s="78"/>
      <c r="E17" s="78"/>
      <c r="F17" s="78"/>
      <c r="G17" s="78"/>
      <c r="H17" s="78"/>
    </row>
    <row r="18" spans="1:8">
      <c r="A18" s="78"/>
      <c r="B18" s="78"/>
      <c r="C18" s="78"/>
      <c r="D18" s="78"/>
      <c r="E18" s="78"/>
      <c r="F18" s="78"/>
      <c r="G18" s="78"/>
      <c r="H18" s="78"/>
    </row>
    <row r="19" spans="1:8">
      <c r="A19" s="78"/>
      <c r="B19" s="78"/>
      <c r="C19" s="78"/>
      <c r="D19" s="78"/>
      <c r="E19" s="78"/>
      <c r="F19" s="78"/>
      <c r="G19" s="78"/>
      <c r="H19" s="78"/>
    </row>
    <row r="20" spans="1:8">
      <c r="A20" s="78"/>
      <c r="B20" s="78"/>
      <c r="C20" s="78"/>
      <c r="D20" s="78"/>
      <c r="E20" s="78"/>
      <c r="F20" s="78"/>
      <c r="G20" s="78"/>
      <c r="H20" s="78"/>
    </row>
    <row r="21" spans="1:8">
      <c r="A21" s="78"/>
      <c r="B21" s="78"/>
      <c r="C21" s="78"/>
      <c r="D21" s="78"/>
      <c r="E21" s="78"/>
      <c r="F21" s="78"/>
      <c r="G21" s="78"/>
      <c r="H21" s="78"/>
    </row>
    <row r="22" spans="1:8">
      <c r="A22" s="78"/>
      <c r="B22" s="78"/>
      <c r="C22" s="78"/>
      <c r="D22" s="78"/>
      <c r="E22" s="78"/>
      <c r="F22" s="78"/>
      <c r="G22" s="78"/>
      <c r="H22" s="78"/>
    </row>
    <row r="23" spans="1:8">
      <c r="A23" s="78"/>
      <c r="B23" s="78"/>
      <c r="C23" s="78"/>
      <c r="D23" s="78"/>
      <c r="E23" s="78"/>
      <c r="F23" s="78"/>
      <c r="G23" s="78"/>
      <c r="H23" s="78"/>
    </row>
    <row r="24" spans="1:8">
      <c r="A24" s="78"/>
      <c r="B24" s="78"/>
      <c r="C24" s="78"/>
      <c r="D24" s="78"/>
      <c r="E24" s="78"/>
      <c r="F24" s="78"/>
      <c r="G24" s="78"/>
      <c r="H24" s="78"/>
    </row>
    <row r="25" spans="1:8">
      <c r="A25" s="78"/>
      <c r="B25" s="78"/>
      <c r="C25" s="78"/>
      <c r="D25" s="78"/>
      <c r="E25" s="78"/>
      <c r="F25" s="78"/>
      <c r="G25" s="78"/>
      <c r="H25" s="78"/>
    </row>
    <row r="26" spans="1:8">
      <c r="A26" s="78"/>
      <c r="B26" s="78"/>
      <c r="C26" s="78"/>
      <c r="D26" s="78"/>
      <c r="E26" s="78"/>
      <c r="F26" s="78"/>
      <c r="G26" s="78"/>
      <c r="H26" s="78"/>
    </row>
    <row r="27" spans="1:8">
      <c r="A27" s="78"/>
      <c r="B27" s="78"/>
      <c r="C27" s="78"/>
      <c r="D27" s="78"/>
      <c r="E27" s="78"/>
      <c r="F27" s="78"/>
      <c r="G27" s="78"/>
      <c r="H27" s="78"/>
    </row>
    <row r="28" spans="1:8">
      <c r="A28" s="78"/>
      <c r="B28" s="78"/>
      <c r="C28" s="78"/>
      <c r="D28" s="78"/>
      <c r="E28" s="78"/>
      <c r="F28" s="78"/>
      <c r="G28" s="78"/>
      <c r="H28" s="78"/>
    </row>
    <row r="29" spans="1:8">
      <c r="A29" s="78"/>
      <c r="B29" s="78"/>
      <c r="C29" s="78"/>
      <c r="D29" s="78"/>
      <c r="E29" s="78"/>
      <c r="F29" s="78"/>
      <c r="G29" s="78"/>
      <c r="H29" s="78"/>
    </row>
    <row r="30" spans="1:8">
      <c r="A30" s="78"/>
      <c r="B30" s="78"/>
      <c r="C30" s="78"/>
      <c r="D30" s="78"/>
      <c r="E30" s="78"/>
      <c r="F30" s="78"/>
      <c r="G30" s="78"/>
      <c r="H30" s="78"/>
    </row>
    <row r="31" spans="1:8">
      <c r="A31" s="78"/>
      <c r="B31" s="78"/>
      <c r="C31" s="78"/>
      <c r="D31" s="78"/>
      <c r="E31" s="78"/>
      <c r="F31" s="78"/>
      <c r="G31" s="78"/>
      <c r="H31" s="78"/>
    </row>
    <row r="32" spans="1:8">
      <c r="A32" s="78"/>
      <c r="B32" s="78"/>
      <c r="C32" s="78"/>
      <c r="D32" s="78"/>
      <c r="E32" s="78"/>
      <c r="F32" s="78"/>
      <c r="G32" s="78"/>
      <c r="H32" s="78"/>
    </row>
    <row r="33" spans="1:8">
      <c r="A33" s="78"/>
      <c r="B33" s="78"/>
      <c r="C33" s="78"/>
      <c r="D33" s="78"/>
      <c r="E33" s="78"/>
      <c r="F33" s="78"/>
      <c r="G33" s="78"/>
      <c r="H33" s="78"/>
    </row>
    <row r="34" spans="1:8">
      <c r="A34" s="78"/>
      <c r="B34" s="78"/>
      <c r="C34" s="78"/>
      <c r="D34" s="78"/>
      <c r="E34" s="78"/>
      <c r="F34" s="78"/>
      <c r="G34" s="78"/>
      <c r="H34" s="78"/>
    </row>
    <row r="35" spans="1:8">
      <c r="A35" s="78"/>
      <c r="B35" s="78"/>
      <c r="C35" s="78"/>
      <c r="D35" s="78"/>
      <c r="E35" s="78"/>
      <c r="F35" s="78"/>
      <c r="G35" s="78"/>
      <c r="H35" s="78"/>
    </row>
    <row r="36" spans="1:8">
      <c r="A36" s="78"/>
      <c r="B36" s="78"/>
      <c r="C36" s="78"/>
      <c r="D36" s="78"/>
      <c r="E36" s="78"/>
      <c r="F36" s="78"/>
      <c r="G36" s="78"/>
      <c r="H36" s="78"/>
    </row>
    <row r="37" spans="1:8">
      <c r="A37" s="78"/>
      <c r="B37" s="78"/>
      <c r="C37" s="78"/>
      <c r="D37" s="78"/>
      <c r="E37" s="78"/>
      <c r="F37" s="78"/>
      <c r="G37" s="78"/>
      <c r="H37" s="78"/>
    </row>
    <row r="38" spans="1:8">
      <c r="A38" s="78"/>
      <c r="B38" s="78"/>
      <c r="C38" s="78"/>
      <c r="D38" s="78"/>
      <c r="E38" s="78"/>
      <c r="F38" s="78"/>
      <c r="G38" s="78"/>
      <c r="H38" s="78"/>
    </row>
    <row r="39" spans="1:8">
      <c r="A39" s="78"/>
      <c r="B39" s="78"/>
      <c r="C39" s="78"/>
      <c r="D39" s="78"/>
      <c r="E39" s="78"/>
      <c r="F39" s="78"/>
      <c r="G39" s="78"/>
      <c r="H39" s="78"/>
    </row>
    <row r="40" spans="1:8">
      <c r="A40" s="78"/>
      <c r="B40" s="78"/>
      <c r="C40" s="78"/>
      <c r="D40" s="78"/>
      <c r="E40" s="78"/>
      <c r="F40" s="78"/>
      <c r="G40" s="78"/>
      <c r="H40" s="78"/>
    </row>
    <row r="41" spans="1:8">
      <c r="A41" s="78"/>
      <c r="B41" s="78"/>
      <c r="C41" s="78"/>
      <c r="D41" s="78"/>
      <c r="E41" s="78"/>
      <c r="F41" s="78"/>
      <c r="G41" s="78"/>
      <c r="H41" s="78"/>
    </row>
    <row r="42" spans="1:8">
      <c r="A42" s="78"/>
      <c r="B42" s="78"/>
      <c r="C42" s="78"/>
      <c r="D42" s="78"/>
      <c r="E42" s="78"/>
      <c r="F42" s="78"/>
      <c r="G42" s="78"/>
      <c r="H42" s="78"/>
    </row>
    <row r="43" spans="1:8">
      <c r="A43" s="78"/>
      <c r="B43" s="78"/>
      <c r="C43" s="78"/>
      <c r="D43" s="78"/>
      <c r="E43" s="78"/>
      <c r="F43" s="78"/>
      <c r="G43" s="78"/>
      <c r="H43" s="78"/>
    </row>
    <row r="44" spans="1:8">
      <c r="A44" s="78"/>
      <c r="B44" s="78"/>
      <c r="C44" s="78"/>
      <c r="D44" s="78"/>
      <c r="E44" s="78"/>
      <c r="F44" s="78"/>
      <c r="G44" s="78"/>
      <c r="H44" s="78"/>
    </row>
    <row r="45" spans="1:8">
      <c r="A45" s="78"/>
      <c r="B45" s="78"/>
      <c r="C45" s="78"/>
      <c r="D45" s="78"/>
      <c r="E45" s="78"/>
      <c r="F45" s="78"/>
      <c r="G45" s="78"/>
      <c r="H45" s="78"/>
    </row>
    <row r="46" spans="1:8">
      <c r="A46" s="78"/>
      <c r="B46" s="78"/>
      <c r="C46" s="78"/>
      <c r="D46" s="78"/>
      <c r="E46" s="78"/>
      <c r="F46" s="78"/>
      <c r="G46" s="78"/>
      <c r="H46" s="78"/>
    </row>
    <row r="47" spans="1:8">
      <c r="A47" s="78"/>
      <c r="B47" s="78"/>
      <c r="C47" s="78"/>
      <c r="D47" s="78"/>
      <c r="E47" s="78"/>
      <c r="F47" s="78"/>
      <c r="G47" s="78"/>
      <c r="H47" s="78"/>
    </row>
    <row r="48" spans="1:8">
      <c r="A48" s="78"/>
      <c r="B48" s="78"/>
      <c r="C48" s="78"/>
      <c r="D48" s="78"/>
      <c r="E48" s="78"/>
      <c r="F48" s="78"/>
      <c r="G48" s="78"/>
      <c r="H48" s="78"/>
    </row>
    <row r="49" spans="1:8">
      <c r="A49" s="78"/>
      <c r="B49" s="78"/>
      <c r="C49" s="78"/>
      <c r="D49" s="78"/>
      <c r="E49" s="78"/>
      <c r="F49" s="78"/>
      <c r="G49" s="78"/>
      <c r="H49" s="78"/>
    </row>
    <row r="50" spans="1:8">
      <c r="A50" s="78"/>
      <c r="B50" s="78"/>
      <c r="C50" s="78"/>
      <c r="D50" s="78"/>
      <c r="E50" s="78"/>
      <c r="F50" s="78"/>
      <c r="G50" s="78"/>
      <c r="H50" s="78"/>
    </row>
    <row r="51" spans="1:8">
      <c r="A51" s="78"/>
      <c r="B51" s="78"/>
      <c r="C51" s="78"/>
      <c r="D51" s="78"/>
      <c r="E51" s="78"/>
      <c r="F51" s="78"/>
      <c r="G51" s="78"/>
      <c r="H51" s="78"/>
    </row>
    <row r="52" spans="1:8">
      <c r="A52" s="78"/>
      <c r="B52" s="78"/>
      <c r="C52" s="78"/>
      <c r="D52" s="78"/>
      <c r="E52" s="78"/>
      <c r="F52" s="78"/>
      <c r="G52" s="78"/>
      <c r="H52" s="78"/>
    </row>
    <row r="53" spans="1:8">
      <c r="A53" s="78"/>
      <c r="B53" s="78"/>
      <c r="C53" s="78"/>
      <c r="D53" s="78"/>
      <c r="E53" s="78"/>
      <c r="F53" s="78"/>
      <c r="G53" s="78"/>
      <c r="H53" s="78"/>
    </row>
    <row r="54" spans="1:8">
      <c r="A54" s="78"/>
      <c r="B54" s="78"/>
      <c r="C54" s="78"/>
      <c r="D54" s="78"/>
      <c r="E54" s="78"/>
      <c r="F54" s="78"/>
      <c r="G54" s="78"/>
      <c r="H54" s="78"/>
    </row>
    <row r="55" spans="1:8">
      <c r="A55" s="78"/>
      <c r="B55" s="78"/>
      <c r="C55" s="78"/>
      <c r="D55" s="78"/>
      <c r="E55" s="78"/>
      <c r="F55" s="78"/>
      <c r="G55" s="78"/>
      <c r="H55" s="78"/>
    </row>
    <row r="56" spans="1:8">
      <c r="A56" s="78"/>
      <c r="B56" s="78"/>
      <c r="C56" s="78"/>
      <c r="D56" s="78"/>
      <c r="E56" s="78"/>
      <c r="F56" s="78"/>
      <c r="G56" s="78"/>
      <c r="H56" s="78"/>
    </row>
    <row r="57" spans="1:8">
      <c r="A57" s="78"/>
      <c r="B57" s="78"/>
      <c r="C57" s="78"/>
      <c r="D57" s="78"/>
      <c r="E57" s="78"/>
      <c r="F57" s="78"/>
      <c r="G57" s="78"/>
      <c r="H57" s="78"/>
    </row>
    <row r="58" spans="1:8">
      <c r="A58" s="78"/>
      <c r="B58" s="78"/>
      <c r="C58" s="78"/>
      <c r="D58" s="78"/>
      <c r="E58" s="78"/>
      <c r="F58" s="78"/>
      <c r="G58" s="78"/>
      <c r="H58" s="78"/>
    </row>
    <row r="59" spans="1:8">
      <c r="A59" s="78"/>
      <c r="B59" s="78"/>
      <c r="C59" s="78"/>
      <c r="D59" s="78"/>
      <c r="E59" s="78"/>
      <c r="F59" s="78"/>
      <c r="G59" s="78"/>
      <c r="H59" s="78"/>
    </row>
    <row r="60" spans="1:8">
      <c r="A60" s="78"/>
      <c r="B60" s="78"/>
      <c r="C60" s="78"/>
      <c r="D60" s="78"/>
      <c r="E60" s="78"/>
      <c r="F60" s="78"/>
      <c r="G60" s="78"/>
      <c r="H60" s="78"/>
    </row>
    <row r="61" spans="1:8">
      <c r="A61" s="78"/>
      <c r="B61" s="78"/>
      <c r="C61" s="78"/>
      <c r="D61" s="78"/>
      <c r="E61" s="78"/>
      <c r="F61" s="78"/>
      <c r="G61" s="78"/>
      <c r="H61" s="78"/>
    </row>
    <row r="62" spans="1:8">
      <c r="A62" s="78"/>
      <c r="B62" s="78"/>
      <c r="C62" s="78"/>
      <c r="D62" s="78"/>
      <c r="E62" s="78"/>
      <c r="F62" s="78"/>
      <c r="G62" s="78"/>
      <c r="H62" s="78"/>
    </row>
    <row r="63" spans="1:8">
      <c r="A63" s="78"/>
      <c r="B63" s="78"/>
      <c r="C63" s="78"/>
      <c r="D63" s="78"/>
      <c r="E63" s="78"/>
      <c r="F63" s="78"/>
      <c r="G63" s="78"/>
      <c r="H63" s="78"/>
    </row>
    <row r="64" spans="1:8">
      <c r="A64" s="78"/>
      <c r="B64" s="78"/>
      <c r="C64" s="78"/>
      <c r="D64" s="78"/>
      <c r="E64" s="78"/>
      <c r="F64" s="78"/>
      <c r="G64" s="78"/>
      <c r="H64" s="78"/>
    </row>
    <row r="65" spans="1:8">
      <c r="A65" s="78"/>
      <c r="B65" s="78"/>
      <c r="C65" s="78"/>
      <c r="D65" s="78"/>
      <c r="E65" s="78"/>
      <c r="F65" s="78"/>
      <c r="G65" s="78"/>
      <c r="H65" s="78"/>
    </row>
    <row r="66" spans="1:8">
      <c r="A66" s="78"/>
      <c r="B66" s="78"/>
      <c r="C66" s="78"/>
      <c r="D66" s="78"/>
      <c r="E66" s="78"/>
      <c r="F66" s="78"/>
      <c r="G66" s="78"/>
      <c r="H66" s="78"/>
    </row>
    <row r="67" spans="1:8">
      <c r="A67" s="78"/>
      <c r="B67" s="78"/>
      <c r="C67" s="78"/>
      <c r="D67" s="78"/>
      <c r="E67" s="78"/>
      <c r="F67" s="78"/>
      <c r="G67" s="78"/>
      <c r="H67" s="78"/>
    </row>
    <row r="68" spans="1:8">
      <c r="A68" s="78"/>
      <c r="B68" s="78"/>
      <c r="C68" s="78"/>
      <c r="D68" s="78"/>
      <c r="E68" s="78"/>
      <c r="F68" s="78"/>
      <c r="G68" s="78"/>
      <c r="H68" s="78"/>
    </row>
    <row r="69" spans="1:8">
      <c r="A69" s="78"/>
      <c r="B69" s="78"/>
      <c r="C69" s="78"/>
      <c r="D69" s="78"/>
      <c r="E69" s="78"/>
      <c r="F69" s="78"/>
      <c r="G69" s="78"/>
      <c r="H69" s="78"/>
    </row>
    <row r="70" spans="1:8">
      <c r="A70" s="78"/>
      <c r="B70" s="78"/>
      <c r="C70" s="78"/>
      <c r="D70" s="78"/>
      <c r="E70" s="78"/>
      <c r="F70" s="78"/>
      <c r="G70" s="78"/>
      <c r="H70" s="78"/>
    </row>
    <row r="71" spans="1:8">
      <c r="A71" s="78"/>
      <c r="B71" s="78"/>
      <c r="C71" s="78"/>
      <c r="D71" s="78"/>
      <c r="E71" s="78"/>
      <c r="F71" s="78"/>
      <c r="G71" s="78"/>
      <c r="H71" s="78"/>
    </row>
    <row r="72" spans="1:8">
      <c r="A72" s="78"/>
      <c r="B72" s="78"/>
      <c r="C72" s="78"/>
      <c r="D72" s="78"/>
      <c r="E72" s="78"/>
      <c r="F72" s="78"/>
      <c r="G72" s="78"/>
      <c r="H72" s="78"/>
    </row>
    <row r="73" spans="1:8">
      <c r="A73" s="78"/>
      <c r="B73" s="78"/>
      <c r="C73" s="78"/>
      <c r="D73" s="78"/>
      <c r="E73" s="78"/>
      <c r="F73" s="78"/>
      <c r="G73" s="78"/>
      <c r="H73" s="78"/>
    </row>
    <row r="74" spans="1:8">
      <c r="A74" s="78"/>
      <c r="B74" s="78"/>
      <c r="C74" s="78"/>
      <c r="D74" s="78"/>
      <c r="E74" s="78"/>
      <c r="F74" s="78"/>
      <c r="G74" s="78"/>
      <c r="H74" s="78"/>
    </row>
    <row r="75" spans="1:8">
      <c r="A75" s="78"/>
      <c r="B75" s="78"/>
      <c r="C75" s="78"/>
      <c r="D75" s="78"/>
      <c r="E75" s="78"/>
      <c r="F75" s="78"/>
      <c r="G75" s="78"/>
      <c r="H75" s="78"/>
    </row>
    <row r="76" spans="1:8">
      <c r="A76" s="78"/>
      <c r="B76" s="78"/>
      <c r="C76" s="78"/>
      <c r="D76" s="78"/>
      <c r="E76" s="78"/>
      <c r="F76" s="78"/>
      <c r="G76" s="78"/>
      <c r="H76" s="78"/>
    </row>
    <row r="77" spans="1:8">
      <c r="A77" s="78"/>
      <c r="B77" s="78"/>
      <c r="C77" s="78"/>
      <c r="D77" s="78"/>
      <c r="E77" s="78"/>
      <c r="F77" s="78"/>
      <c r="G77" s="78"/>
      <c r="H77" s="78"/>
    </row>
    <row r="78" spans="1:8">
      <c r="A78" s="78"/>
      <c r="B78" s="78"/>
      <c r="C78" s="78"/>
      <c r="D78" s="78"/>
      <c r="E78" s="78"/>
      <c r="F78" s="78"/>
      <c r="G78" s="78"/>
      <c r="H78" s="78"/>
    </row>
    <row r="79" spans="1:8">
      <c r="A79" s="78"/>
      <c r="B79" s="78"/>
      <c r="C79" s="78"/>
      <c r="D79" s="78"/>
      <c r="E79" s="78"/>
      <c r="F79" s="78"/>
      <c r="G79" s="78"/>
      <c r="H79" s="78"/>
    </row>
    <row r="80" spans="1:8">
      <c r="A80" s="78"/>
      <c r="B80" s="78"/>
      <c r="C80" s="78"/>
      <c r="D80" s="78"/>
      <c r="E80" s="78"/>
      <c r="F80" s="78"/>
      <c r="G80" s="78"/>
      <c r="H80" s="78"/>
    </row>
    <row r="81" spans="1:8">
      <c r="A81" s="78"/>
      <c r="B81" s="78"/>
      <c r="C81" s="78"/>
      <c r="D81" s="78"/>
      <c r="E81" s="78"/>
      <c r="F81" s="78"/>
      <c r="G81" s="78"/>
      <c r="H81" s="78"/>
    </row>
    <row r="82" spans="1:8">
      <c r="A82" s="78"/>
      <c r="B82" s="78"/>
      <c r="C82" s="78"/>
      <c r="D82" s="78"/>
      <c r="E82" s="78"/>
      <c r="F82" s="78"/>
      <c r="G82" s="78"/>
      <c r="H82" s="78"/>
    </row>
    <row r="83" spans="1:8">
      <c r="A83" s="78"/>
      <c r="B83" s="78"/>
      <c r="C83" s="78"/>
      <c r="D83" s="78"/>
      <c r="E83" s="78"/>
      <c r="F83" s="78"/>
      <c r="G83" s="78"/>
      <c r="H83" s="78"/>
    </row>
    <row r="84" spans="1:8">
      <c r="A84" s="78"/>
      <c r="B84" s="78"/>
      <c r="C84" s="78"/>
      <c r="D84" s="78"/>
      <c r="E84" s="78"/>
      <c r="F84" s="78"/>
      <c r="G84" s="78"/>
      <c r="H84" s="78"/>
    </row>
    <row r="85" spans="1:8">
      <c r="A85" s="78"/>
      <c r="B85" s="78"/>
      <c r="C85" s="78"/>
      <c r="D85" s="78"/>
      <c r="E85" s="78"/>
      <c r="F85" s="78"/>
      <c r="G85" s="78"/>
      <c r="H85" s="78"/>
    </row>
    <row r="86" spans="1:8">
      <c r="A86" s="78"/>
      <c r="B86" s="78"/>
      <c r="C86" s="78"/>
      <c r="D86" s="78"/>
      <c r="E86" s="78"/>
      <c r="F86" s="78"/>
      <c r="G86" s="78"/>
      <c r="H86" s="78"/>
    </row>
    <row r="87" spans="1:8">
      <c r="A87" s="78"/>
      <c r="B87" s="78"/>
      <c r="C87" s="78"/>
      <c r="D87" s="78"/>
      <c r="E87" s="78"/>
      <c r="F87" s="78"/>
      <c r="G87" s="78"/>
      <c r="H87" s="78"/>
    </row>
    <row r="88" spans="1:8">
      <c r="A88" s="78"/>
      <c r="B88" s="78"/>
      <c r="C88" s="78"/>
      <c r="D88" s="78"/>
      <c r="E88" s="78"/>
      <c r="F88" s="78"/>
      <c r="G88" s="78"/>
      <c r="H88" s="78"/>
    </row>
    <row r="89" spans="1:8">
      <c r="A89" s="78"/>
      <c r="B89" s="78"/>
      <c r="C89" s="78"/>
      <c r="D89" s="78"/>
      <c r="E89" s="78"/>
      <c r="F89" s="78"/>
      <c r="G89" s="78"/>
      <c r="H89" s="78"/>
    </row>
    <row r="90" spans="1:8">
      <c r="A90" s="78"/>
      <c r="B90" s="78"/>
      <c r="C90" s="78"/>
      <c r="D90" s="78"/>
      <c r="E90" s="78"/>
      <c r="F90" s="78"/>
      <c r="G90" s="78"/>
      <c r="H90" s="78"/>
    </row>
    <row r="91" spans="1:8">
      <c r="A91" s="78"/>
      <c r="B91" s="78"/>
      <c r="C91" s="78"/>
      <c r="D91" s="78"/>
      <c r="E91" s="78"/>
      <c r="F91" s="78"/>
      <c r="G91" s="78"/>
      <c r="H91" s="78"/>
    </row>
    <row r="92" spans="1:8">
      <c r="A92" s="78"/>
      <c r="B92" s="78"/>
      <c r="C92" s="78"/>
      <c r="D92" s="78"/>
      <c r="E92" s="78"/>
      <c r="F92" s="78"/>
      <c r="G92" s="78"/>
      <c r="H92" s="78"/>
    </row>
    <row r="93" spans="1:8">
      <c r="A93" s="78"/>
      <c r="B93" s="78"/>
      <c r="C93" s="78"/>
      <c r="D93" s="78"/>
      <c r="E93" s="78"/>
      <c r="F93" s="78"/>
      <c r="G93" s="78"/>
      <c r="H93" s="78"/>
    </row>
    <row r="94" spans="1:8">
      <c r="A94" s="78"/>
      <c r="B94" s="78"/>
      <c r="C94" s="78"/>
      <c r="D94" s="78"/>
      <c r="E94" s="78"/>
      <c r="F94" s="78"/>
      <c r="G94" s="78"/>
      <c r="H94" s="78"/>
    </row>
    <row r="95" spans="1:8">
      <c r="A95" s="78"/>
      <c r="B95" s="78"/>
      <c r="C95" s="78"/>
      <c r="D95" s="78"/>
      <c r="E95" s="78"/>
      <c r="F95" s="78"/>
      <c r="G95" s="78"/>
      <c r="H95" s="78"/>
    </row>
    <row r="96" spans="1:8">
      <c r="A96" s="78"/>
      <c r="B96" s="78"/>
      <c r="C96" s="78"/>
      <c r="D96" s="78"/>
      <c r="E96" s="78"/>
      <c r="F96" s="78"/>
      <c r="G96" s="78"/>
      <c r="H96" s="78"/>
    </row>
    <row r="97" spans="1:8">
      <c r="A97" s="78"/>
      <c r="B97" s="78"/>
      <c r="C97" s="78"/>
      <c r="D97" s="78"/>
      <c r="E97" s="78"/>
      <c r="F97" s="78"/>
      <c r="G97" s="78"/>
      <c r="H97" s="78"/>
    </row>
    <row r="98" spans="1:8">
      <c r="A98" s="78"/>
      <c r="B98" s="78"/>
      <c r="C98" s="78"/>
      <c r="D98" s="78"/>
      <c r="E98" s="78"/>
      <c r="F98" s="78"/>
      <c r="G98" s="78"/>
      <c r="H98" s="78"/>
    </row>
    <row r="99" spans="1:8">
      <c r="A99" s="78"/>
      <c r="B99" s="78"/>
      <c r="C99" s="78"/>
      <c r="D99" s="78"/>
      <c r="E99" s="78"/>
      <c r="F99" s="78"/>
      <c r="G99" s="78"/>
      <c r="H99" s="78"/>
    </row>
    <row r="100" spans="1:8">
      <c r="A100" s="78"/>
      <c r="B100" s="78"/>
      <c r="C100" s="78"/>
      <c r="D100" s="78"/>
      <c r="E100" s="78"/>
      <c r="F100" s="78"/>
      <c r="G100" s="78"/>
      <c r="H100" s="78"/>
    </row>
  </sheetData>
  <mergeCells count="1">
    <mergeCell ref="A1:H1"/>
  </mergeCells>
  <dataValidations count="1">
    <dataValidation type="list" sqref="E4:E100" xr:uid="{00000000-0002-0000-0900-000000000000}">
      <formula1>"Proposed,Active,Superseded,Deferred"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120"/>
  <sheetViews>
    <sheetView workbookViewId="0"/>
  </sheetViews>
  <sheetFormatPr defaultRowHeight="14.25"/>
  <cols>
    <col min="1" max="2" width="10" customWidth="1"/>
    <col min="3" max="3" width="42" customWidth="1"/>
    <col min="4" max="6" width="12" customWidth="1"/>
    <col min="7" max="7" width="48" customWidth="1"/>
    <col min="8" max="8" width="13" customWidth="1"/>
    <col min="9" max="9" width="12" customWidth="1"/>
    <col min="10" max="10" width="38" customWidth="1"/>
  </cols>
  <sheetData>
    <row r="1" spans="1:10" ht="27.95" customHeight="1">
      <c r="A1" s="234" t="s">
        <v>698</v>
      </c>
      <c r="B1" s="235"/>
      <c r="C1" s="235"/>
      <c r="D1" s="235"/>
      <c r="E1" s="235"/>
      <c r="F1" s="235"/>
      <c r="G1" s="235"/>
      <c r="H1" s="235"/>
      <c r="I1" s="235"/>
      <c r="J1" s="235"/>
    </row>
    <row r="3" spans="1:10" ht="30">
      <c r="A3" s="80" t="s">
        <v>69</v>
      </c>
      <c r="B3" s="80" t="s">
        <v>337</v>
      </c>
      <c r="C3" s="80" t="s">
        <v>699</v>
      </c>
      <c r="D3" s="80" t="s">
        <v>700</v>
      </c>
      <c r="E3" s="80" t="s">
        <v>701</v>
      </c>
      <c r="F3" s="80" t="s">
        <v>702</v>
      </c>
      <c r="G3" s="80" t="s">
        <v>703</v>
      </c>
      <c r="H3" s="80" t="s">
        <v>121</v>
      </c>
      <c r="I3" s="80" t="s">
        <v>704</v>
      </c>
      <c r="J3" s="80" t="s">
        <v>126</v>
      </c>
    </row>
    <row r="4" spans="1:10" ht="28.5">
      <c r="A4" s="78" t="s">
        <v>705</v>
      </c>
      <c r="B4" s="78" t="s">
        <v>706</v>
      </c>
      <c r="C4" s="78" t="s">
        <v>707</v>
      </c>
      <c r="D4" s="78" t="s">
        <v>708</v>
      </c>
      <c r="E4" s="78" t="s">
        <v>708</v>
      </c>
      <c r="F4" s="78" t="s">
        <v>709</v>
      </c>
      <c r="G4" s="78" t="s">
        <v>710</v>
      </c>
      <c r="H4" s="78" t="s">
        <v>711</v>
      </c>
      <c r="I4" s="81">
        <v>46215</v>
      </c>
      <c r="J4" s="78" t="s">
        <v>712</v>
      </c>
    </row>
    <row r="5" spans="1:10" ht="28.5">
      <c r="A5" s="78" t="s">
        <v>713</v>
      </c>
      <c r="B5" s="78" t="s">
        <v>706</v>
      </c>
      <c r="C5" s="78" t="s">
        <v>714</v>
      </c>
      <c r="D5" s="78" t="s">
        <v>708</v>
      </c>
      <c r="E5" s="78" t="s">
        <v>708</v>
      </c>
      <c r="F5" s="78" t="s">
        <v>709</v>
      </c>
      <c r="G5" s="78" t="s">
        <v>715</v>
      </c>
      <c r="H5" s="78" t="s">
        <v>716</v>
      </c>
      <c r="I5" s="81">
        <v>46215</v>
      </c>
      <c r="J5" s="78" t="s">
        <v>717</v>
      </c>
    </row>
    <row r="6" spans="1:10" ht="28.5">
      <c r="A6" s="78" t="s">
        <v>718</v>
      </c>
      <c r="B6" s="78" t="s">
        <v>706</v>
      </c>
      <c r="C6" s="78" t="s">
        <v>719</v>
      </c>
      <c r="D6" s="78" t="s">
        <v>720</v>
      </c>
      <c r="E6" s="78" t="s">
        <v>708</v>
      </c>
      <c r="F6" s="78" t="s">
        <v>709</v>
      </c>
      <c r="G6" s="78" t="s">
        <v>721</v>
      </c>
      <c r="H6" s="78" t="s">
        <v>711</v>
      </c>
      <c r="I6" s="81">
        <v>46229</v>
      </c>
      <c r="J6" s="78" t="s">
        <v>722</v>
      </c>
    </row>
    <row r="7" spans="1:10" ht="54" customHeight="1">
      <c r="A7" s="78" t="s">
        <v>723</v>
      </c>
      <c r="B7" s="78" t="s">
        <v>706</v>
      </c>
      <c r="C7" s="78" t="s">
        <v>724</v>
      </c>
      <c r="D7" s="78" t="s">
        <v>720</v>
      </c>
      <c r="E7" s="78" t="s">
        <v>708</v>
      </c>
      <c r="F7" s="78" t="s">
        <v>709</v>
      </c>
      <c r="G7" s="78" t="s">
        <v>725</v>
      </c>
      <c r="H7" s="78" t="s">
        <v>716</v>
      </c>
      <c r="I7" s="81">
        <v>46257</v>
      </c>
      <c r="J7" s="78" t="s">
        <v>726</v>
      </c>
    </row>
    <row r="8" spans="1:10" ht="28.5">
      <c r="A8" s="78" t="s">
        <v>727</v>
      </c>
      <c r="B8" s="78" t="s">
        <v>706</v>
      </c>
      <c r="C8" s="78" t="s">
        <v>728</v>
      </c>
      <c r="D8" s="78" t="s">
        <v>720</v>
      </c>
      <c r="E8" s="78" t="s">
        <v>720</v>
      </c>
      <c r="F8" s="78" t="s">
        <v>709</v>
      </c>
      <c r="G8" s="78" t="s">
        <v>729</v>
      </c>
      <c r="H8" s="78" t="s">
        <v>711</v>
      </c>
      <c r="I8" s="81">
        <v>46222</v>
      </c>
      <c r="J8" s="78" t="s">
        <v>730</v>
      </c>
    </row>
    <row r="9" spans="1:10" ht="28.5">
      <c r="A9" s="78" t="s">
        <v>731</v>
      </c>
      <c r="B9" s="78" t="s">
        <v>706</v>
      </c>
      <c r="C9" s="78" t="s">
        <v>732</v>
      </c>
      <c r="D9" s="78" t="s">
        <v>733</v>
      </c>
      <c r="E9" s="78" t="s">
        <v>708</v>
      </c>
      <c r="F9" s="78" t="s">
        <v>709</v>
      </c>
      <c r="G9" s="78" t="s">
        <v>734</v>
      </c>
      <c r="H9" s="78" t="s">
        <v>711</v>
      </c>
      <c r="I9" s="81">
        <v>46257</v>
      </c>
      <c r="J9" s="78" t="s">
        <v>735</v>
      </c>
    </row>
    <row r="10" spans="1:10" ht="28.5">
      <c r="A10" s="78" t="s">
        <v>736</v>
      </c>
      <c r="B10" s="78" t="s">
        <v>737</v>
      </c>
      <c r="C10" s="78" t="s">
        <v>738</v>
      </c>
      <c r="D10" s="78" t="s">
        <v>739</v>
      </c>
      <c r="E10" s="78" t="s">
        <v>733</v>
      </c>
      <c r="F10" s="78" t="s">
        <v>709</v>
      </c>
      <c r="G10" s="78" t="s">
        <v>740</v>
      </c>
      <c r="H10" s="78" t="s">
        <v>741</v>
      </c>
      <c r="I10" s="81">
        <v>46208</v>
      </c>
      <c r="J10" s="78" t="s">
        <v>742</v>
      </c>
    </row>
    <row r="11" spans="1:10" ht="28.5">
      <c r="A11" s="78" t="s">
        <v>743</v>
      </c>
      <c r="B11" s="78" t="s">
        <v>737</v>
      </c>
      <c r="C11" s="78" t="s">
        <v>744</v>
      </c>
      <c r="D11" s="78" t="s">
        <v>739</v>
      </c>
      <c r="E11" s="78" t="s">
        <v>720</v>
      </c>
      <c r="F11" s="78" t="s">
        <v>709</v>
      </c>
      <c r="G11" s="78" t="s">
        <v>745</v>
      </c>
      <c r="H11" s="78" t="s">
        <v>741</v>
      </c>
      <c r="I11" s="81">
        <v>46209</v>
      </c>
      <c r="J11" s="78" t="s">
        <v>746</v>
      </c>
    </row>
    <row r="12" spans="1:10">
      <c r="A12" s="78"/>
      <c r="B12" s="78"/>
      <c r="C12" s="78"/>
      <c r="D12" s="78"/>
      <c r="E12" s="78"/>
      <c r="F12" s="78"/>
      <c r="G12" s="78"/>
      <c r="H12" s="78"/>
      <c r="I12" s="78"/>
      <c r="J12" s="78"/>
    </row>
    <row r="13" spans="1:10">
      <c r="A13" s="78"/>
      <c r="B13" s="78"/>
      <c r="C13" s="78"/>
      <c r="D13" s="78"/>
      <c r="E13" s="78"/>
      <c r="F13" s="78"/>
      <c r="G13" s="78"/>
      <c r="H13" s="78"/>
      <c r="I13" s="78"/>
      <c r="J13" s="78"/>
    </row>
    <row r="14" spans="1:10">
      <c r="A14" s="78"/>
      <c r="B14" s="78"/>
      <c r="C14" s="78"/>
      <c r="D14" s="78"/>
      <c r="E14" s="78"/>
      <c r="F14" s="78"/>
      <c r="G14" s="78"/>
      <c r="H14" s="78"/>
      <c r="I14" s="78"/>
      <c r="J14" s="78"/>
    </row>
    <row r="15" spans="1:10">
      <c r="A15" s="78"/>
      <c r="B15" s="78"/>
      <c r="C15" s="78"/>
      <c r="D15" s="78"/>
      <c r="E15" s="78"/>
      <c r="F15" s="78"/>
      <c r="G15" s="78"/>
      <c r="H15" s="78"/>
      <c r="I15" s="78"/>
      <c r="J15" s="78"/>
    </row>
    <row r="16" spans="1:10">
      <c r="A16" s="78"/>
      <c r="B16" s="78"/>
      <c r="C16" s="78"/>
      <c r="D16" s="78"/>
      <c r="E16" s="78"/>
      <c r="F16" s="78"/>
      <c r="G16" s="78"/>
      <c r="H16" s="78"/>
      <c r="I16" s="78"/>
      <c r="J16" s="78"/>
    </row>
    <row r="17" spans="1:10">
      <c r="A17" s="78"/>
      <c r="B17" s="78"/>
      <c r="C17" s="78"/>
      <c r="D17" s="78"/>
      <c r="E17" s="78"/>
      <c r="F17" s="78"/>
      <c r="G17" s="78"/>
      <c r="H17" s="78"/>
      <c r="I17" s="78"/>
      <c r="J17" s="78"/>
    </row>
    <row r="18" spans="1:10">
      <c r="A18" s="78"/>
      <c r="B18" s="78"/>
      <c r="C18" s="78"/>
      <c r="D18" s="78"/>
      <c r="E18" s="78"/>
      <c r="F18" s="78"/>
      <c r="G18" s="78"/>
      <c r="H18" s="78"/>
      <c r="I18" s="78"/>
      <c r="J18" s="78"/>
    </row>
    <row r="19" spans="1:10">
      <c r="A19" s="78"/>
      <c r="B19" s="78"/>
      <c r="C19" s="78"/>
      <c r="D19" s="78"/>
      <c r="E19" s="78"/>
      <c r="F19" s="78"/>
      <c r="G19" s="78"/>
      <c r="H19" s="78"/>
      <c r="I19" s="78"/>
      <c r="J19" s="78"/>
    </row>
    <row r="20" spans="1:10">
      <c r="A20" s="78"/>
      <c r="B20" s="78"/>
      <c r="C20" s="78"/>
      <c r="D20" s="78"/>
      <c r="E20" s="78"/>
      <c r="F20" s="78"/>
      <c r="G20" s="78"/>
      <c r="H20" s="78"/>
      <c r="I20" s="78"/>
      <c r="J20" s="78"/>
    </row>
    <row r="21" spans="1:10">
      <c r="A21" s="78"/>
      <c r="B21" s="78"/>
      <c r="C21" s="78"/>
      <c r="D21" s="78"/>
      <c r="E21" s="78"/>
      <c r="F21" s="78"/>
      <c r="G21" s="78"/>
      <c r="H21" s="78"/>
      <c r="I21" s="78"/>
      <c r="J21" s="78"/>
    </row>
    <row r="22" spans="1:10">
      <c r="A22" s="78"/>
      <c r="B22" s="78"/>
      <c r="C22" s="78"/>
      <c r="D22" s="78"/>
      <c r="E22" s="78"/>
      <c r="F22" s="78"/>
      <c r="G22" s="78"/>
      <c r="H22" s="78"/>
      <c r="I22" s="78"/>
      <c r="J22" s="78"/>
    </row>
    <row r="23" spans="1:10">
      <c r="A23" s="78"/>
      <c r="B23" s="78"/>
      <c r="C23" s="78"/>
      <c r="D23" s="78"/>
      <c r="E23" s="78"/>
      <c r="F23" s="78"/>
      <c r="G23" s="78"/>
      <c r="H23" s="78"/>
      <c r="I23" s="78"/>
      <c r="J23" s="78"/>
    </row>
    <row r="24" spans="1:10">
      <c r="A24" s="78"/>
      <c r="B24" s="78"/>
      <c r="C24" s="78"/>
      <c r="D24" s="78"/>
      <c r="E24" s="78"/>
      <c r="F24" s="78"/>
      <c r="G24" s="78"/>
      <c r="H24" s="78"/>
      <c r="I24" s="78"/>
      <c r="J24" s="78"/>
    </row>
    <row r="25" spans="1:10">
      <c r="A25" s="78"/>
      <c r="B25" s="78"/>
      <c r="C25" s="78"/>
      <c r="D25" s="78"/>
      <c r="E25" s="78"/>
      <c r="F25" s="78"/>
      <c r="G25" s="78"/>
      <c r="H25" s="78"/>
      <c r="I25" s="78"/>
      <c r="J25" s="78"/>
    </row>
    <row r="26" spans="1:10">
      <c r="A26" s="78"/>
      <c r="B26" s="78"/>
      <c r="C26" s="78"/>
      <c r="D26" s="78"/>
      <c r="E26" s="78"/>
      <c r="F26" s="78"/>
      <c r="G26" s="78"/>
      <c r="H26" s="78"/>
      <c r="I26" s="78"/>
      <c r="J26" s="78"/>
    </row>
    <row r="27" spans="1:10">
      <c r="A27" s="78"/>
      <c r="B27" s="78"/>
      <c r="C27" s="78"/>
      <c r="D27" s="78"/>
      <c r="E27" s="78"/>
      <c r="F27" s="78"/>
      <c r="G27" s="78"/>
      <c r="H27" s="78"/>
      <c r="I27" s="78"/>
      <c r="J27" s="78"/>
    </row>
    <row r="28" spans="1:10">
      <c r="A28" s="78"/>
      <c r="B28" s="78"/>
      <c r="C28" s="78"/>
      <c r="D28" s="78"/>
      <c r="E28" s="78"/>
      <c r="F28" s="78"/>
      <c r="G28" s="78"/>
      <c r="H28" s="78"/>
      <c r="I28" s="78"/>
      <c r="J28" s="78"/>
    </row>
    <row r="29" spans="1:10">
      <c r="A29" s="78"/>
      <c r="B29" s="78"/>
      <c r="C29" s="78"/>
      <c r="D29" s="78"/>
      <c r="E29" s="78"/>
      <c r="F29" s="78"/>
      <c r="G29" s="78"/>
      <c r="H29" s="78"/>
      <c r="I29" s="78"/>
      <c r="J29" s="78"/>
    </row>
    <row r="30" spans="1:10">
      <c r="A30" s="78"/>
      <c r="B30" s="78"/>
      <c r="C30" s="78"/>
      <c r="D30" s="78"/>
      <c r="E30" s="78"/>
      <c r="F30" s="78"/>
      <c r="G30" s="78"/>
      <c r="H30" s="78"/>
      <c r="I30" s="78"/>
      <c r="J30" s="78"/>
    </row>
    <row r="31" spans="1:10">
      <c r="A31" s="78"/>
      <c r="B31" s="78"/>
      <c r="C31" s="78"/>
      <c r="D31" s="78"/>
      <c r="E31" s="78"/>
      <c r="F31" s="78"/>
      <c r="G31" s="78"/>
      <c r="H31" s="78"/>
      <c r="I31" s="78"/>
      <c r="J31" s="78"/>
    </row>
    <row r="32" spans="1:10">
      <c r="A32" s="78"/>
      <c r="B32" s="78"/>
      <c r="C32" s="78"/>
      <c r="D32" s="78"/>
      <c r="E32" s="78"/>
      <c r="F32" s="78"/>
      <c r="G32" s="78"/>
      <c r="H32" s="78"/>
      <c r="I32" s="78"/>
      <c r="J32" s="78"/>
    </row>
    <row r="33" spans="1:10">
      <c r="A33" s="78"/>
      <c r="B33" s="78"/>
      <c r="C33" s="78"/>
      <c r="D33" s="78"/>
      <c r="E33" s="78"/>
      <c r="F33" s="78"/>
      <c r="G33" s="78"/>
      <c r="H33" s="78"/>
      <c r="I33" s="78"/>
      <c r="J33" s="78"/>
    </row>
    <row r="34" spans="1:10">
      <c r="A34" s="78"/>
      <c r="B34" s="78"/>
      <c r="C34" s="78"/>
      <c r="D34" s="78"/>
      <c r="E34" s="78"/>
      <c r="F34" s="78"/>
      <c r="G34" s="78"/>
      <c r="H34" s="78"/>
      <c r="I34" s="78"/>
      <c r="J34" s="78"/>
    </row>
    <row r="35" spans="1:10">
      <c r="A35" s="78"/>
      <c r="B35" s="78"/>
      <c r="C35" s="78"/>
      <c r="D35" s="78"/>
      <c r="E35" s="78"/>
      <c r="F35" s="78"/>
      <c r="G35" s="78"/>
      <c r="H35" s="78"/>
      <c r="I35" s="78"/>
      <c r="J35" s="78"/>
    </row>
    <row r="36" spans="1:10">
      <c r="A36" s="78"/>
      <c r="B36" s="78"/>
      <c r="C36" s="78"/>
      <c r="D36" s="78"/>
      <c r="E36" s="78"/>
      <c r="F36" s="78"/>
      <c r="G36" s="78"/>
      <c r="H36" s="78"/>
      <c r="I36" s="78"/>
      <c r="J36" s="78"/>
    </row>
    <row r="37" spans="1:10">
      <c r="A37" s="78"/>
      <c r="B37" s="78"/>
      <c r="C37" s="78"/>
      <c r="D37" s="78"/>
      <c r="E37" s="78"/>
      <c r="F37" s="78"/>
      <c r="G37" s="78"/>
      <c r="H37" s="78"/>
      <c r="I37" s="78"/>
      <c r="J37" s="78"/>
    </row>
    <row r="38" spans="1:10">
      <c r="A38" s="78"/>
      <c r="B38" s="78"/>
      <c r="C38" s="78"/>
      <c r="D38" s="78"/>
      <c r="E38" s="78"/>
      <c r="F38" s="78"/>
      <c r="G38" s="78"/>
      <c r="H38" s="78"/>
      <c r="I38" s="78"/>
      <c r="J38" s="78"/>
    </row>
    <row r="39" spans="1:10">
      <c r="A39" s="78"/>
      <c r="B39" s="78"/>
      <c r="C39" s="78"/>
      <c r="D39" s="78"/>
      <c r="E39" s="78"/>
      <c r="F39" s="78"/>
      <c r="G39" s="78"/>
      <c r="H39" s="78"/>
      <c r="I39" s="78"/>
      <c r="J39" s="78"/>
    </row>
    <row r="40" spans="1:10">
      <c r="A40" s="78"/>
      <c r="B40" s="78"/>
      <c r="C40" s="78"/>
      <c r="D40" s="78"/>
      <c r="E40" s="78"/>
      <c r="F40" s="78"/>
      <c r="G40" s="78"/>
      <c r="H40" s="78"/>
      <c r="I40" s="78"/>
      <c r="J40" s="78"/>
    </row>
    <row r="41" spans="1:10">
      <c r="A41" s="78"/>
      <c r="B41" s="78"/>
      <c r="C41" s="78"/>
      <c r="D41" s="78"/>
      <c r="E41" s="78"/>
      <c r="F41" s="78"/>
      <c r="G41" s="78"/>
      <c r="H41" s="78"/>
      <c r="I41" s="78"/>
      <c r="J41" s="78"/>
    </row>
    <row r="42" spans="1:10">
      <c r="A42" s="78"/>
      <c r="B42" s="78"/>
      <c r="C42" s="78"/>
      <c r="D42" s="78"/>
      <c r="E42" s="78"/>
      <c r="F42" s="78"/>
      <c r="G42" s="78"/>
      <c r="H42" s="78"/>
      <c r="I42" s="78"/>
      <c r="J42" s="78"/>
    </row>
    <row r="43" spans="1:10">
      <c r="A43" s="78"/>
      <c r="B43" s="78"/>
      <c r="C43" s="78"/>
      <c r="D43" s="78"/>
      <c r="E43" s="78"/>
      <c r="F43" s="78"/>
      <c r="G43" s="78"/>
      <c r="H43" s="78"/>
      <c r="I43" s="78"/>
      <c r="J43" s="78"/>
    </row>
    <row r="44" spans="1:10">
      <c r="A44" s="78"/>
      <c r="B44" s="78"/>
      <c r="C44" s="78"/>
      <c r="D44" s="78"/>
      <c r="E44" s="78"/>
      <c r="F44" s="78"/>
      <c r="G44" s="78"/>
      <c r="H44" s="78"/>
      <c r="I44" s="78"/>
      <c r="J44" s="78"/>
    </row>
    <row r="45" spans="1:10">
      <c r="A45" s="78"/>
      <c r="B45" s="78"/>
      <c r="C45" s="78"/>
      <c r="D45" s="78"/>
      <c r="E45" s="78"/>
      <c r="F45" s="78"/>
      <c r="G45" s="78"/>
      <c r="H45" s="78"/>
      <c r="I45" s="78"/>
      <c r="J45" s="78"/>
    </row>
    <row r="46" spans="1:10">
      <c r="A46" s="78"/>
      <c r="B46" s="78"/>
      <c r="C46" s="78"/>
      <c r="D46" s="78"/>
      <c r="E46" s="78"/>
      <c r="F46" s="78"/>
      <c r="G46" s="78"/>
      <c r="H46" s="78"/>
      <c r="I46" s="78"/>
      <c r="J46" s="78"/>
    </row>
    <row r="47" spans="1:10">
      <c r="A47" s="78"/>
      <c r="B47" s="78"/>
      <c r="C47" s="78"/>
      <c r="D47" s="78"/>
      <c r="E47" s="78"/>
      <c r="F47" s="78"/>
      <c r="G47" s="78"/>
      <c r="H47" s="78"/>
      <c r="I47" s="78"/>
      <c r="J47" s="78"/>
    </row>
    <row r="48" spans="1:10">
      <c r="A48" s="78"/>
      <c r="B48" s="78"/>
      <c r="C48" s="78"/>
      <c r="D48" s="78"/>
      <c r="E48" s="78"/>
      <c r="F48" s="78"/>
      <c r="G48" s="78"/>
      <c r="H48" s="78"/>
      <c r="I48" s="78"/>
      <c r="J48" s="78"/>
    </row>
    <row r="49" spans="1:10">
      <c r="A49" s="78"/>
      <c r="B49" s="78"/>
      <c r="C49" s="78"/>
      <c r="D49" s="78"/>
      <c r="E49" s="78"/>
      <c r="F49" s="78"/>
      <c r="G49" s="78"/>
      <c r="H49" s="78"/>
      <c r="I49" s="78"/>
      <c r="J49" s="78"/>
    </row>
    <row r="50" spans="1:10">
      <c r="A50" s="78"/>
      <c r="B50" s="78"/>
      <c r="C50" s="78"/>
      <c r="D50" s="78"/>
      <c r="E50" s="78"/>
      <c r="F50" s="78"/>
      <c r="G50" s="78"/>
      <c r="H50" s="78"/>
      <c r="I50" s="78"/>
      <c r="J50" s="78"/>
    </row>
    <row r="51" spans="1:10">
      <c r="A51" s="78"/>
      <c r="B51" s="78"/>
      <c r="C51" s="78"/>
      <c r="D51" s="78"/>
      <c r="E51" s="78"/>
      <c r="F51" s="78"/>
      <c r="G51" s="78"/>
      <c r="H51" s="78"/>
      <c r="I51" s="78"/>
      <c r="J51" s="78"/>
    </row>
    <row r="52" spans="1:10">
      <c r="A52" s="78"/>
      <c r="B52" s="78"/>
      <c r="C52" s="78"/>
      <c r="D52" s="78"/>
      <c r="E52" s="78"/>
      <c r="F52" s="78"/>
      <c r="G52" s="78"/>
      <c r="H52" s="78"/>
      <c r="I52" s="78"/>
      <c r="J52" s="78"/>
    </row>
    <row r="53" spans="1:10">
      <c r="A53" s="78"/>
      <c r="B53" s="78"/>
      <c r="C53" s="78"/>
      <c r="D53" s="78"/>
      <c r="E53" s="78"/>
      <c r="F53" s="78"/>
      <c r="G53" s="78"/>
      <c r="H53" s="78"/>
      <c r="I53" s="78"/>
      <c r="J53" s="78"/>
    </row>
    <row r="54" spans="1:10">
      <c r="A54" s="78"/>
      <c r="B54" s="78"/>
      <c r="C54" s="78"/>
      <c r="D54" s="78"/>
      <c r="E54" s="78"/>
      <c r="F54" s="78"/>
      <c r="G54" s="78"/>
      <c r="H54" s="78"/>
      <c r="I54" s="78"/>
      <c r="J54" s="78"/>
    </row>
    <row r="55" spans="1:10">
      <c r="A55" s="78"/>
      <c r="B55" s="78"/>
      <c r="C55" s="78"/>
      <c r="D55" s="78"/>
      <c r="E55" s="78"/>
      <c r="F55" s="78"/>
      <c r="G55" s="78"/>
      <c r="H55" s="78"/>
      <c r="I55" s="78"/>
      <c r="J55" s="78"/>
    </row>
    <row r="56" spans="1:10">
      <c r="A56" s="78"/>
      <c r="B56" s="78"/>
      <c r="C56" s="78"/>
      <c r="D56" s="78"/>
      <c r="E56" s="78"/>
      <c r="F56" s="78"/>
      <c r="G56" s="78"/>
      <c r="H56" s="78"/>
      <c r="I56" s="78"/>
      <c r="J56" s="78"/>
    </row>
    <row r="57" spans="1:10">
      <c r="A57" s="78"/>
      <c r="B57" s="78"/>
      <c r="C57" s="78"/>
      <c r="D57" s="78"/>
      <c r="E57" s="78"/>
      <c r="F57" s="78"/>
      <c r="G57" s="78"/>
      <c r="H57" s="78"/>
      <c r="I57" s="78"/>
      <c r="J57" s="78"/>
    </row>
    <row r="58" spans="1:10">
      <c r="A58" s="78"/>
      <c r="B58" s="78"/>
      <c r="C58" s="78"/>
      <c r="D58" s="78"/>
      <c r="E58" s="78"/>
      <c r="F58" s="78"/>
      <c r="G58" s="78"/>
      <c r="H58" s="78"/>
      <c r="I58" s="78"/>
      <c r="J58" s="78"/>
    </row>
    <row r="59" spans="1:10">
      <c r="A59" s="78"/>
      <c r="B59" s="78"/>
      <c r="C59" s="78"/>
      <c r="D59" s="78"/>
      <c r="E59" s="78"/>
      <c r="F59" s="78"/>
      <c r="G59" s="78"/>
      <c r="H59" s="78"/>
      <c r="I59" s="78"/>
      <c r="J59" s="78"/>
    </row>
    <row r="60" spans="1:10">
      <c r="A60" s="78"/>
      <c r="B60" s="78"/>
      <c r="C60" s="78"/>
      <c r="D60" s="78"/>
      <c r="E60" s="78"/>
      <c r="F60" s="78"/>
      <c r="G60" s="78"/>
      <c r="H60" s="78"/>
      <c r="I60" s="78"/>
      <c r="J60" s="78"/>
    </row>
    <row r="61" spans="1:10">
      <c r="A61" s="78"/>
      <c r="B61" s="78"/>
      <c r="C61" s="78"/>
      <c r="D61" s="78"/>
      <c r="E61" s="78"/>
      <c r="F61" s="78"/>
      <c r="G61" s="78"/>
      <c r="H61" s="78"/>
      <c r="I61" s="78"/>
      <c r="J61" s="78"/>
    </row>
    <row r="62" spans="1:10">
      <c r="A62" s="78"/>
      <c r="B62" s="78"/>
      <c r="C62" s="78"/>
      <c r="D62" s="78"/>
      <c r="E62" s="78"/>
      <c r="F62" s="78"/>
      <c r="G62" s="78"/>
      <c r="H62" s="78"/>
      <c r="I62" s="78"/>
      <c r="J62" s="78"/>
    </row>
    <row r="63" spans="1:10">
      <c r="A63" s="78"/>
      <c r="B63" s="78"/>
      <c r="C63" s="78"/>
      <c r="D63" s="78"/>
      <c r="E63" s="78"/>
      <c r="F63" s="78"/>
      <c r="G63" s="78"/>
      <c r="H63" s="78"/>
      <c r="I63" s="78"/>
      <c r="J63" s="78"/>
    </row>
    <row r="64" spans="1:10">
      <c r="A64" s="78"/>
      <c r="B64" s="78"/>
      <c r="C64" s="78"/>
      <c r="D64" s="78"/>
      <c r="E64" s="78"/>
      <c r="F64" s="78"/>
      <c r="G64" s="78"/>
      <c r="H64" s="78"/>
      <c r="I64" s="78"/>
      <c r="J64" s="78"/>
    </row>
    <row r="65" spans="1:10">
      <c r="A65" s="78"/>
      <c r="B65" s="78"/>
      <c r="C65" s="78"/>
      <c r="D65" s="78"/>
      <c r="E65" s="78"/>
      <c r="F65" s="78"/>
      <c r="G65" s="78"/>
      <c r="H65" s="78"/>
      <c r="I65" s="78"/>
      <c r="J65" s="78"/>
    </row>
    <row r="66" spans="1:10">
      <c r="A66" s="78"/>
      <c r="B66" s="78"/>
      <c r="C66" s="78"/>
      <c r="D66" s="78"/>
      <c r="E66" s="78"/>
      <c r="F66" s="78"/>
      <c r="G66" s="78"/>
      <c r="H66" s="78"/>
      <c r="I66" s="78"/>
      <c r="J66" s="78"/>
    </row>
    <row r="67" spans="1:10">
      <c r="A67" s="78"/>
      <c r="B67" s="78"/>
      <c r="C67" s="78"/>
      <c r="D67" s="78"/>
      <c r="E67" s="78"/>
      <c r="F67" s="78"/>
      <c r="G67" s="78"/>
      <c r="H67" s="78"/>
      <c r="I67" s="78"/>
      <c r="J67" s="78"/>
    </row>
    <row r="68" spans="1:10">
      <c r="A68" s="78"/>
      <c r="B68" s="78"/>
      <c r="C68" s="78"/>
      <c r="D68" s="78"/>
      <c r="E68" s="78"/>
      <c r="F68" s="78"/>
      <c r="G68" s="78"/>
      <c r="H68" s="78"/>
      <c r="I68" s="78"/>
      <c r="J68" s="78"/>
    </row>
    <row r="69" spans="1:10">
      <c r="A69" s="78"/>
      <c r="B69" s="78"/>
      <c r="C69" s="78"/>
      <c r="D69" s="78"/>
      <c r="E69" s="78"/>
      <c r="F69" s="78"/>
      <c r="G69" s="78"/>
      <c r="H69" s="78"/>
      <c r="I69" s="78"/>
      <c r="J69" s="78"/>
    </row>
    <row r="70" spans="1:10">
      <c r="A70" s="78"/>
      <c r="B70" s="78"/>
      <c r="C70" s="78"/>
      <c r="D70" s="78"/>
      <c r="E70" s="78"/>
      <c r="F70" s="78"/>
      <c r="G70" s="78"/>
      <c r="H70" s="78"/>
      <c r="I70" s="78"/>
      <c r="J70" s="78"/>
    </row>
    <row r="71" spans="1:10">
      <c r="A71" s="78"/>
      <c r="B71" s="78"/>
      <c r="C71" s="78"/>
      <c r="D71" s="78"/>
      <c r="E71" s="78"/>
      <c r="F71" s="78"/>
      <c r="G71" s="78"/>
      <c r="H71" s="78"/>
      <c r="I71" s="78"/>
      <c r="J71" s="78"/>
    </row>
    <row r="72" spans="1:10">
      <c r="A72" s="78"/>
      <c r="B72" s="78"/>
      <c r="C72" s="78"/>
      <c r="D72" s="78"/>
      <c r="E72" s="78"/>
      <c r="F72" s="78"/>
      <c r="G72" s="78"/>
      <c r="H72" s="78"/>
      <c r="I72" s="78"/>
      <c r="J72" s="78"/>
    </row>
    <row r="73" spans="1:10">
      <c r="A73" s="78"/>
      <c r="B73" s="78"/>
      <c r="C73" s="78"/>
      <c r="D73" s="78"/>
      <c r="E73" s="78"/>
      <c r="F73" s="78"/>
      <c r="G73" s="78"/>
      <c r="H73" s="78"/>
      <c r="I73" s="78"/>
      <c r="J73" s="78"/>
    </row>
    <row r="74" spans="1:10">
      <c r="A74" s="78"/>
      <c r="B74" s="78"/>
      <c r="C74" s="78"/>
      <c r="D74" s="78"/>
      <c r="E74" s="78"/>
      <c r="F74" s="78"/>
      <c r="G74" s="78"/>
      <c r="H74" s="78"/>
      <c r="I74" s="78"/>
      <c r="J74" s="78"/>
    </row>
    <row r="75" spans="1:10">
      <c r="A75" s="78"/>
      <c r="B75" s="78"/>
      <c r="C75" s="78"/>
      <c r="D75" s="78"/>
      <c r="E75" s="78"/>
      <c r="F75" s="78"/>
      <c r="G75" s="78"/>
      <c r="H75" s="78"/>
      <c r="I75" s="78"/>
      <c r="J75" s="78"/>
    </row>
    <row r="76" spans="1:10">
      <c r="A76" s="78"/>
      <c r="B76" s="78"/>
      <c r="C76" s="78"/>
      <c r="D76" s="78"/>
      <c r="E76" s="78"/>
      <c r="F76" s="78"/>
      <c r="G76" s="78"/>
      <c r="H76" s="78"/>
      <c r="I76" s="78"/>
      <c r="J76" s="78"/>
    </row>
    <row r="77" spans="1:10">
      <c r="A77" s="78"/>
      <c r="B77" s="78"/>
      <c r="C77" s="78"/>
      <c r="D77" s="78"/>
      <c r="E77" s="78"/>
      <c r="F77" s="78"/>
      <c r="G77" s="78"/>
      <c r="H77" s="78"/>
      <c r="I77" s="78"/>
      <c r="J77" s="78"/>
    </row>
    <row r="78" spans="1:10">
      <c r="A78" s="78"/>
      <c r="B78" s="78"/>
      <c r="C78" s="78"/>
      <c r="D78" s="78"/>
      <c r="E78" s="78"/>
      <c r="F78" s="78"/>
      <c r="G78" s="78"/>
      <c r="H78" s="78"/>
      <c r="I78" s="78"/>
      <c r="J78" s="78"/>
    </row>
    <row r="79" spans="1:10">
      <c r="A79" s="78"/>
      <c r="B79" s="78"/>
      <c r="C79" s="78"/>
      <c r="D79" s="78"/>
      <c r="E79" s="78"/>
      <c r="F79" s="78"/>
      <c r="G79" s="78"/>
      <c r="H79" s="78"/>
      <c r="I79" s="78"/>
      <c r="J79" s="78"/>
    </row>
    <row r="80" spans="1:10">
      <c r="A80" s="78"/>
      <c r="B80" s="78"/>
      <c r="C80" s="78"/>
      <c r="D80" s="78"/>
      <c r="E80" s="78"/>
      <c r="F80" s="78"/>
      <c r="G80" s="78"/>
      <c r="H80" s="78"/>
      <c r="I80" s="78"/>
      <c r="J80" s="78"/>
    </row>
    <row r="81" spans="1:10">
      <c r="A81" s="78"/>
      <c r="B81" s="78"/>
      <c r="C81" s="78"/>
      <c r="D81" s="78"/>
      <c r="E81" s="78"/>
      <c r="F81" s="78"/>
      <c r="G81" s="78"/>
      <c r="H81" s="78"/>
      <c r="I81" s="78"/>
      <c r="J81" s="78"/>
    </row>
    <row r="82" spans="1:10">
      <c r="A82" s="78"/>
      <c r="B82" s="78"/>
      <c r="C82" s="78"/>
      <c r="D82" s="78"/>
      <c r="E82" s="78"/>
      <c r="F82" s="78"/>
      <c r="G82" s="78"/>
      <c r="H82" s="78"/>
      <c r="I82" s="78"/>
      <c r="J82" s="78"/>
    </row>
    <row r="83" spans="1:10">
      <c r="A83" s="78"/>
      <c r="B83" s="78"/>
      <c r="C83" s="78"/>
      <c r="D83" s="78"/>
      <c r="E83" s="78"/>
      <c r="F83" s="78"/>
      <c r="G83" s="78"/>
      <c r="H83" s="78"/>
      <c r="I83" s="78"/>
      <c r="J83" s="78"/>
    </row>
    <row r="84" spans="1:10">
      <c r="A84" s="78"/>
      <c r="B84" s="78"/>
      <c r="C84" s="78"/>
      <c r="D84" s="78"/>
      <c r="E84" s="78"/>
      <c r="F84" s="78"/>
      <c r="G84" s="78"/>
      <c r="H84" s="78"/>
      <c r="I84" s="78"/>
      <c r="J84" s="78"/>
    </row>
    <row r="85" spans="1:10">
      <c r="A85" s="78"/>
      <c r="B85" s="78"/>
      <c r="C85" s="78"/>
      <c r="D85" s="78"/>
      <c r="E85" s="78"/>
      <c r="F85" s="78"/>
      <c r="G85" s="78"/>
      <c r="H85" s="78"/>
      <c r="I85" s="78"/>
      <c r="J85" s="78"/>
    </row>
    <row r="86" spans="1:10">
      <c r="A86" s="78"/>
      <c r="B86" s="78"/>
      <c r="C86" s="78"/>
      <c r="D86" s="78"/>
      <c r="E86" s="78"/>
      <c r="F86" s="78"/>
      <c r="G86" s="78"/>
      <c r="H86" s="78"/>
      <c r="I86" s="78"/>
      <c r="J86" s="78"/>
    </row>
    <row r="87" spans="1:10">
      <c r="A87" s="78"/>
      <c r="B87" s="78"/>
      <c r="C87" s="78"/>
      <c r="D87" s="78"/>
      <c r="E87" s="78"/>
      <c r="F87" s="78"/>
      <c r="G87" s="78"/>
      <c r="H87" s="78"/>
      <c r="I87" s="78"/>
      <c r="J87" s="78"/>
    </row>
    <row r="88" spans="1:10">
      <c r="A88" s="78"/>
      <c r="B88" s="78"/>
      <c r="C88" s="78"/>
      <c r="D88" s="78"/>
      <c r="E88" s="78"/>
      <c r="F88" s="78"/>
      <c r="G88" s="78"/>
      <c r="H88" s="78"/>
      <c r="I88" s="78"/>
      <c r="J88" s="78"/>
    </row>
    <row r="89" spans="1:10">
      <c r="A89" s="78"/>
      <c r="B89" s="78"/>
      <c r="C89" s="78"/>
      <c r="D89" s="78"/>
      <c r="E89" s="78"/>
      <c r="F89" s="78"/>
      <c r="G89" s="78"/>
      <c r="H89" s="78"/>
      <c r="I89" s="78"/>
      <c r="J89" s="78"/>
    </row>
    <row r="90" spans="1:10">
      <c r="A90" s="78"/>
      <c r="B90" s="78"/>
      <c r="C90" s="78"/>
      <c r="D90" s="78"/>
      <c r="E90" s="78"/>
      <c r="F90" s="78"/>
      <c r="G90" s="78"/>
      <c r="H90" s="78"/>
      <c r="I90" s="78"/>
      <c r="J90" s="78"/>
    </row>
    <row r="91" spans="1:10">
      <c r="A91" s="78"/>
      <c r="B91" s="78"/>
      <c r="C91" s="78"/>
      <c r="D91" s="78"/>
      <c r="E91" s="78"/>
      <c r="F91" s="78"/>
      <c r="G91" s="78"/>
      <c r="H91" s="78"/>
      <c r="I91" s="78"/>
      <c r="J91" s="78"/>
    </row>
    <row r="92" spans="1:10">
      <c r="A92" s="78"/>
      <c r="B92" s="78"/>
      <c r="C92" s="78"/>
      <c r="D92" s="78"/>
      <c r="E92" s="78"/>
      <c r="F92" s="78"/>
      <c r="G92" s="78"/>
      <c r="H92" s="78"/>
      <c r="I92" s="78"/>
      <c r="J92" s="78"/>
    </row>
    <row r="93" spans="1:10">
      <c r="A93" s="78"/>
      <c r="B93" s="78"/>
      <c r="C93" s="78"/>
      <c r="D93" s="78"/>
      <c r="E93" s="78"/>
      <c r="F93" s="78"/>
      <c r="G93" s="78"/>
      <c r="H93" s="78"/>
      <c r="I93" s="78"/>
      <c r="J93" s="78"/>
    </row>
    <row r="94" spans="1:10">
      <c r="A94" s="78"/>
      <c r="B94" s="78"/>
      <c r="C94" s="78"/>
      <c r="D94" s="78"/>
      <c r="E94" s="78"/>
      <c r="F94" s="78"/>
      <c r="G94" s="78"/>
      <c r="H94" s="78"/>
      <c r="I94" s="78"/>
      <c r="J94" s="78"/>
    </row>
    <row r="95" spans="1:10">
      <c r="A95" s="78"/>
      <c r="B95" s="78"/>
      <c r="C95" s="78"/>
      <c r="D95" s="78"/>
      <c r="E95" s="78"/>
      <c r="F95" s="78"/>
      <c r="G95" s="78"/>
      <c r="H95" s="78"/>
      <c r="I95" s="78"/>
      <c r="J95" s="78"/>
    </row>
    <row r="96" spans="1:10">
      <c r="A96" s="78"/>
      <c r="B96" s="78"/>
      <c r="C96" s="78"/>
      <c r="D96" s="78"/>
      <c r="E96" s="78"/>
      <c r="F96" s="78"/>
      <c r="G96" s="78"/>
      <c r="H96" s="78"/>
      <c r="I96" s="78"/>
      <c r="J96" s="78"/>
    </row>
    <row r="97" spans="1:10">
      <c r="A97" s="78"/>
      <c r="B97" s="78"/>
      <c r="C97" s="78"/>
      <c r="D97" s="78"/>
      <c r="E97" s="78"/>
      <c r="F97" s="78"/>
      <c r="G97" s="78"/>
      <c r="H97" s="78"/>
      <c r="I97" s="78"/>
      <c r="J97" s="78"/>
    </row>
    <row r="98" spans="1:10">
      <c r="A98" s="78"/>
      <c r="B98" s="78"/>
      <c r="C98" s="78"/>
      <c r="D98" s="78"/>
      <c r="E98" s="78"/>
      <c r="F98" s="78"/>
      <c r="G98" s="78"/>
      <c r="H98" s="78"/>
      <c r="I98" s="78"/>
      <c r="J98" s="78"/>
    </row>
    <row r="99" spans="1:10">
      <c r="A99" s="78"/>
      <c r="B99" s="78"/>
      <c r="C99" s="78"/>
      <c r="D99" s="78"/>
      <c r="E99" s="78"/>
      <c r="F99" s="78"/>
      <c r="G99" s="78"/>
      <c r="H99" s="78"/>
      <c r="I99" s="78"/>
      <c r="J99" s="78"/>
    </row>
    <row r="100" spans="1:10">
      <c r="A100" s="78"/>
      <c r="B100" s="78"/>
      <c r="C100" s="78"/>
      <c r="D100" s="78"/>
      <c r="E100" s="78"/>
      <c r="F100" s="78"/>
      <c r="G100" s="78"/>
      <c r="H100" s="78"/>
      <c r="I100" s="78"/>
      <c r="J100" s="78"/>
    </row>
    <row r="101" spans="1:10">
      <c r="A101" s="78"/>
      <c r="B101" s="78"/>
      <c r="C101" s="78"/>
      <c r="D101" s="78"/>
      <c r="E101" s="78"/>
      <c r="F101" s="78"/>
      <c r="G101" s="78"/>
      <c r="H101" s="78"/>
      <c r="I101" s="78"/>
      <c r="J101" s="78"/>
    </row>
    <row r="102" spans="1:10">
      <c r="A102" s="78"/>
      <c r="B102" s="78"/>
      <c r="C102" s="78"/>
      <c r="D102" s="78"/>
      <c r="E102" s="78"/>
      <c r="F102" s="78"/>
      <c r="G102" s="78"/>
      <c r="H102" s="78"/>
      <c r="I102" s="78"/>
      <c r="J102" s="78"/>
    </row>
    <row r="103" spans="1:10">
      <c r="A103" s="78"/>
      <c r="B103" s="78"/>
      <c r="C103" s="78"/>
      <c r="D103" s="78"/>
      <c r="E103" s="78"/>
      <c r="F103" s="78"/>
      <c r="G103" s="78"/>
      <c r="H103" s="78"/>
      <c r="I103" s="78"/>
      <c r="J103" s="78"/>
    </row>
    <row r="104" spans="1:10">
      <c r="A104" s="78"/>
      <c r="B104" s="78"/>
      <c r="C104" s="78"/>
      <c r="D104" s="78"/>
      <c r="E104" s="78"/>
      <c r="F104" s="78"/>
      <c r="G104" s="78"/>
      <c r="H104" s="78"/>
      <c r="I104" s="78"/>
      <c r="J104" s="78"/>
    </row>
    <row r="105" spans="1:10">
      <c r="A105" s="78"/>
      <c r="B105" s="78"/>
      <c r="C105" s="78"/>
      <c r="D105" s="78"/>
      <c r="E105" s="78"/>
      <c r="F105" s="78"/>
      <c r="G105" s="78"/>
      <c r="H105" s="78"/>
      <c r="I105" s="78"/>
      <c r="J105" s="78"/>
    </row>
    <row r="106" spans="1:10">
      <c r="A106" s="78"/>
      <c r="B106" s="78"/>
      <c r="C106" s="78"/>
      <c r="D106" s="78"/>
      <c r="E106" s="78"/>
      <c r="F106" s="78"/>
      <c r="G106" s="78"/>
      <c r="H106" s="78"/>
      <c r="I106" s="78"/>
      <c r="J106" s="78"/>
    </row>
    <row r="107" spans="1:10">
      <c r="A107" s="78"/>
      <c r="B107" s="78"/>
      <c r="C107" s="78"/>
      <c r="D107" s="78"/>
      <c r="E107" s="78"/>
      <c r="F107" s="78"/>
      <c r="G107" s="78"/>
      <c r="H107" s="78"/>
      <c r="I107" s="78"/>
      <c r="J107" s="78"/>
    </row>
    <row r="108" spans="1:10">
      <c r="A108" s="78"/>
      <c r="B108" s="78"/>
      <c r="C108" s="78"/>
      <c r="D108" s="78"/>
      <c r="E108" s="78"/>
      <c r="F108" s="78"/>
      <c r="G108" s="78"/>
      <c r="H108" s="78"/>
      <c r="I108" s="78"/>
      <c r="J108" s="78"/>
    </row>
    <row r="109" spans="1:10">
      <c r="A109" s="78"/>
      <c r="B109" s="78"/>
      <c r="C109" s="78"/>
      <c r="D109" s="78"/>
      <c r="E109" s="78"/>
      <c r="F109" s="78"/>
      <c r="G109" s="78"/>
      <c r="H109" s="78"/>
      <c r="I109" s="78"/>
      <c r="J109" s="78"/>
    </row>
    <row r="110" spans="1:10">
      <c r="A110" s="78"/>
      <c r="B110" s="78"/>
      <c r="C110" s="78"/>
      <c r="D110" s="78"/>
      <c r="E110" s="78"/>
      <c r="F110" s="78"/>
      <c r="G110" s="78"/>
      <c r="H110" s="78"/>
      <c r="I110" s="78"/>
      <c r="J110" s="78"/>
    </row>
    <row r="111" spans="1:10">
      <c r="A111" s="78"/>
      <c r="B111" s="78"/>
      <c r="C111" s="78"/>
      <c r="D111" s="78"/>
      <c r="E111" s="78"/>
      <c r="F111" s="78"/>
      <c r="G111" s="78"/>
      <c r="H111" s="78"/>
      <c r="I111" s="78"/>
      <c r="J111" s="78"/>
    </row>
    <row r="112" spans="1:10">
      <c r="A112" s="78"/>
      <c r="B112" s="78"/>
      <c r="C112" s="78"/>
      <c r="D112" s="78"/>
      <c r="E112" s="78"/>
      <c r="F112" s="78"/>
      <c r="G112" s="78"/>
      <c r="H112" s="78"/>
      <c r="I112" s="78"/>
      <c r="J112" s="78"/>
    </row>
    <row r="113" spans="1:10">
      <c r="A113" s="78"/>
      <c r="B113" s="78"/>
      <c r="C113" s="78"/>
      <c r="D113" s="78"/>
      <c r="E113" s="78"/>
      <c r="F113" s="78"/>
      <c r="G113" s="78"/>
      <c r="H113" s="78"/>
      <c r="I113" s="78"/>
      <c r="J113" s="78"/>
    </row>
    <row r="114" spans="1:10">
      <c r="A114" s="78"/>
      <c r="B114" s="78"/>
      <c r="C114" s="78"/>
      <c r="D114" s="78"/>
      <c r="E114" s="78"/>
      <c r="F114" s="78"/>
      <c r="G114" s="78"/>
      <c r="H114" s="78"/>
      <c r="I114" s="78"/>
      <c r="J114" s="78"/>
    </row>
    <row r="115" spans="1:10">
      <c r="A115" s="78"/>
      <c r="B115" s="78"/>
      <c r="C115" s="78"/>
      <c r="D115" s="78"/>
      <c r="E115" s="78"/>
      <c r="F115" s="78"/>
      <c r="G115" s="78"/>
      <c r="H115" s="78"/>
      <c r="I115" s="78"/>
      <c r="J115" s="78"/>
    </row>
    <row r="116" spans="1:10">
      <c r="A116" s="78"/>
      <c r="B116" s="78"/>
      <c r="C116" s="78"/>
      <c r="D116" s="78"/>
      <c r="E116" s="78"/>
      <c r="F116" s="78"/>
      <c r="G116" s="78"/>
      <c r="H116" s="78"/>
      <c r="I116" s="78"/>
      <c r="J116" s="78"/>
    </row>
    <row r="117" spans="1:10">
      <c r="A117" s="78"/>
      <c r="B117" s="78"/>
      <c r="C117" s="78"/>
      <c r="D117" s="78"/>
      <c r="E117" s="78"/>
      <c r="F117" s="78"/>
      <c r="G117" s="78"/>
      <c r="H117" s="78"/>
      <c r="I117" s="78"/>
      <c r="J117" s="78"/>
    </row>
    <row r="118" spans="1:10">
      <c r="A118" s="78"/>
      <c r="B118" s="78"/>
      <c r="C118" s="78"/>
      <c r="D118" s="78"/>
      <c r="E118" s="78"/>
      <c r="F118" s="78"/>
      <c r="G118" s="78"/>
      <c r="H118" s="78"/>
      <c r="I118" s="78"/>
      <c r="J118" s="78"/>
    </row>
    <row r="119" spans="1:10">
      <c r="A119" s="78"/>
      <c r="B119" s="78"/>
      <c r="C119" s="78"/>
      <c r="D119" s="78"/>
      <c r="E119" s="78"/>
      <c r="F119" s="78"/>
      <c r="G119" s="78"/>
      <c r="H119" s="78"/>
      <c r="I119" s="78"/>
      <c r="J119" s="78"/>
    </row>
    <row r="120" spans="1:10">
      <c r="A120" s="78"/>
      <c r="B120" s="78"/>
      <c r="C120" s="78"/>
      <c r="D120" s="78"/>
      <c r="E120" s="78"/>
      <c r="F120" s="78"/>
      <c r="G120" s="78"/>
      <c r="H120" s="78"/>
      <c r="I120" s="78"/>
      <c r="J120" s="78"/>
    </row>
  </sheetData>
  <mergeCells count="1">
    <mergeCell ref="A1:J1"/>
  </mergeCells>
  <dataValidations count="4">
    <dataValidation type="list" sqref="B4:B120" xr:uid="{00000000-0002-0000-0A00-000000000000}">
      <formula1>"Risk,Issue"</formula1>
    </dataValidation>
    <dataValidation type="list" sqref="D4:D120" xr:uid="{00000000-0002-0000-0A00-000001000000}">
      <formula1>"Low,Medium,High,N/A"</formula1>
    </dataValidation>
    <dataValidation type="list" sqref="E4:E120" xr:uid="{00000000-0002-0000-0A00-000002000000}">
      <formula1>"Low,Medium,High"</formula1>
    </dataValidation>
    <dataValidation type="list" sqref="H4:H120" xr:uid="{00000000-0002-0000-0A00-000003000000}">
      <formula1>"Open,Mitigating,Closed,Accepted"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20"/>
  <sheetViews>
    <sheetView workbookViewId="0"/>
  </sheetViews>
  <sheetFormatPr defaultRowHeight="14.25"/>
  <cols>
    <col min="1" max="2" width="12" customWidth="1"/>
    <col min="3" max="3" width="10" customWidth="1"/>
    <col min="4" max="4" width="46" customWidth="1"/>
    <col min="5" max="5" width="15" customWidth="1"/>
    <col min="6" max="6" width="28" customWidth="1"/>
    <col min="7" max="7" width="38" customWidth="1"/>
    <col min="8" max="8" width="12" customWidth="1"/>
    <col min="9" max="9" width="34" customWidth="1"/>
  </cols>
  <sheetData>
    <row r="1" spans="1:9" ht="27.95" customHeight="1">
      <c r="A1" s="234" t="s">
        <v>747</v>
      </c>
      <c r="B1" s="235"/>
      <c r="C1" s="235"/>
      <c r="D1" s="235"/>
      <c r="E1" s="235"/>
      <c r="F1" s="235"/>
      <c r="G1" s="235"/>
      <c r="H1" s="235"/>
      <c r="I1" s="235"/>
    </row>
    <row r="3" spans="1:9" ht="15">
      <c r="A3" s="80" t="s">
        <v>748</v>
      </c>
      <c r="B3" s="80" t="s">
        <v>587</v>
      </c>
      <c r="C3" s="80" t="s">
        <v>113</v>
      </c>
      <c r="D3" s="80" t="s">
        <v>300</v>
      </c>
      <c r="E3" s="80" t="s">
        <v>337</v>
      </c>
      <c r="F3" s="80" t="s">
        <v>749</v>
      </c>
      <c r="G3" s="80" t="s">
        <v>750</v>
      </c>
      <c r="H3" s="80" t="s">
        <v>121</v>
      </c>
      <c r="I3" s="80" t="s">
        <v>126</v>
      </c>
    </row>
    <row r="4" spans="1:9" ht="28.5">
      <c r="A4" s="78" t="s">
        <v>751</v>
      </c>
      <c r="B4" s="81">
        <v>46201</v>
      </c>
      <c r="C4" s="78" t="s">
        <v>127</v>
      </c>
      <c r="D4" s="78" t="s">
        <v>752</v>
      </c>
      <c r="E4" s="78" t="s">
        <v>753</v>
      </c>
      <c r="F4" s="78" t="s">
        <v>754</v>
      </c>
      <c r="G4" s="78" t="s">
        <v>755</v>
      </c>
      <c r="H4" s="78" t="s">
        <v>756</v>
      </c>
      <c r="I4" s="78" t="s">
        <v>757</v>
      </c>
    </row>
    <row r="5" spans="1:9" ht="28.5">
      <c r="A5" s="78" t="s">
        <v>758</v>
      </c>
      <c r="B5" s="81">
        <v>46203</v>
      </c>
      <c r="C5" s="78" t="s">
        <v>133</v>
      </c>
      <c r="D5" s="78" t="s">
        <v>759</v>
      </c>
      <c r="E5" s="78" t="s">
        <v>760</v>
      </c>
      <c r="F5" s="78" t="s">
        <v>761</v>
      </c>
      <c r="G5" s="78" t="s">
        <v>762</v>
      </c>
      <c r="H5" s="78" t="s">
        <v>756</v>
      </c>
      <c r="I5" s="78" t="s">
        <v>763</v>
      </c>
    </row>
    <row r="6" spans="1:9" ht="28.5">
      <c r="A6" s="78" t="s">
        <v>764</v>
      </c>
      <c r="B6" s="81">
        <v>46207</v>
      </c>
      <c r="C6" s="78" t="s">
        <v>138</v>
      </c>
      <c r="D6" s="78" t="s">
        <v>765</v>
      </c>
      <c r="E6" s="78" t="s">
        <v>766</v>
      </c>
      <c r="F6" s="78" t="s">
        <v>767</v>
      </c>
      <c r="G6" s="78" t="s">
        <v>768</v>
      </c>
      <c r="H6" s="78" t="s">
        <v>756</v>
      </c>
      <c r="I6" s="78" t="s">
        <v>769</v>
      </c>
    </row>
    <row r="7" spans="1:9" ht="28.5">
      <c r="A7" s="78" t="s">
        <v>770</v>
      </c>
      <c r="B7" s="81">
        <v>46207</v>
      </c>
      <c r="C7" s="78" t="s">
        <v>138</v>
      </c>
      <c r="D7" s="78" t="s">
        <v>771</v>
      </c>
      <c r="E7" s="78" t="s">
        <v>772</v>
      </c>
      <c r="F7" s="78" t="s">
        <v>773</v>
      </c>
      <c r="G7" s="78" t="s">
        <v>774</v>
      </c>
      <c r="H7" s="78" t="s">
        <v>756</v>
      </c>
      <c r="I7" s="78" t="s">
        <v>775</v>
      </c>
    </row>
    <row r="8" spans="1:9">
      <c r="A8" s="78" t="s">
        <v>776</v>
      </c>
      <c r="B8" s="81">
        <v>46207</v>
      </c>
      <c r="C8" s="78" t="s">
        <v>138</v>
      </c>
      <c r="D8" s="78" t="s">
        <v>777</v>
      </c>
      <c r="E8" s="78" t="s">
        <v>772</v>
      </c>
      <c r="F8" s="78" t="s">
        <v>778</v>
      </c>
      <c r="G8" s="78" t="s">
        <v>779</v>
      </c>
      <c r="H8" s="78" t="s">
        <v>756</v>
      </c>
      <c r="I8" s="78" t="s">
        <v>780</v>
      </c>
    </row>
    <row r="9" spans="1:9">
      <c r="A9" s="78" t="s">
        <v>781</v>
      </c>
      <c r="B9" s="81">
        <v>46207</v>
      </c>
      <c r="C9" s="78" t="s">
        <v>138</v>
      </c>
      <c r="D9" s="78" t="s">
        <v>782</v>
      </c>
      <c r="E9" s="78" t="s">
        <v>772</v>
      </c>
      <c r="F9" s="78" t="s">
        <v>783</v>
      </c>
      <c r="G9" s="78" t="s">
        <v>784</v>
      </c>
      <c r="H9" s="78" t="s">
        <v>756</v>
      </c>
      <c r="I9" s="78" t="s">
        <v>785</v>
      </c>
    </row>
    <row r="10" spans="1:9" ht="28.5">
      <c r="A10" s="78" t="s">
        <v>786</v>
      </c>
      <c r="B10" s="81">
        <v>46207</v>
      </c>
      <c r="C10" s="78" t="s">
        <v>133</v>
      </c>
      <c r="D10" s="78" t="s">
        <v>787</v>
      </c>
      <c r="E10" s="78" t="s">
        <v>788</v>
      </c>
      <c r="F10" s="78" t="s">
        <v>349</v>
      </c>
      <c r="G10" s="78" t="s">
        <v>789</v>
      </c>
      <c r="H10" s="78" t="s">
        <v>756</v>
      </c>
      <c r="I10" s="78" t="s">
        <v>790</v>
      </c>
    </row>
    <row r="11" spans="1:9" ht="28.5">
      <c r="A11" s="78" t="s">
        <v>791</v>
      </c>
      <c r="B11" s="81">
        <v>46207</v>
      </c>
      <c r="C11" s="78" t="s">
        <v>133</v>
      </c>
      <c r="D11" s="78" t="s">
        <v>792</v>
      </c>
      <c r="E11" s="78" t="s">
        <v>342</v>
      </c>
      <c r="F11" s="78" t="s">
        <v>347</v>
      </c>
      <c r="G11" s="78" t="s">
        <v>793</v>
      </c>
      <c r="H11" s="78" t="s">
        <v>756</v>
      </c>
      <c r="I11" s="78" t="s">
        <v>794</v>
      </c>
    </row>
    <row r="12" spans="1:9" ht="28.5">
      <c r="A12" s="78" t="s">
        <v>795</v>
      </c>
      <c r="B12" s="81">
        <v>46207</v>
      </c>
      <c r="C12" s="78" t="s">
        <v>133</v>
      </c>
      <c r="D12" s="78" t="s">
        <v>796</v>
      </c>
      <c r="E12" s="78" t="s">
        <v>797</v>
      </c>
      <c r="F12" s="78" t="s">
        <v>798</v>
      </c>
      <c r="G12" s="78" t="s">
        <v>88</v>
      </c>
      <c r="H12" s="78" t="s">
        <v>756</v>
      </c>
      <c r="I12" s="78" t="s">
        <v>799</v>
      </c>
    </row>
    <row r="13" spans="1:9" ht="60" customHeight="1">
      <c r="A13" s="198" t="s">
        <v>800</v>
      </c>
      <c r="B13" s="199">
        <v>46208</v>
      </c>
      <c r="C13" s="200" t="s">
        <v>801</v>
      </c>
      <c r="D13" s="200" t="s">
        <v>802</v>
      </c>
      <c r="E13" s="200" t="s">
        <v>803</v>
      </c>
      <c r="F13" s="200" t="s">
        <v>804</v>
      </c>
      <c r="G13" s="200" t="s">
        <v>805</v>
      </c>
      <c r="H13" s="200" t="s">
        <v>756</v>
      </c>
      <c r="I13" s="201" t="s">
        <v>806</v>
      </c>
    </row>
    <row r="14" spans="1:9">
      <c r="A14" s="78"/>
      <c r="B14" s="78"/>
      <c r="C14" s="78"/>
      <c r="D14" s="78"/>
      <c r="E14" s="78"/>
      <c r="F14" s="78"/>
      <c r="G14" s="78"/>
      <c r="H14" s="78"/>
      <c r="I14" s="78"/>
    </row>
    <row r="15" spans="1:9">
      <c r="A15" s="78"/>
      <c r="B15" s="78"/>
      <c r="C15" s="78"/>
      <c r="D15" s="78"/>
      <c r="E15" s="78"/>
      <c r="F15" s="78"/>
      <c r="G15" s="78"/>
      <c r="H15" s="78"/>
      <c r="I15" s="78"/>
    </row>
    <row r="16" spans="1:9">
      <c r="A16" s="78"/>
      <c r="B16" s="78"/>
      <c r="C16" s="78"/>
      <c r="D16" s="78"/>
      <c r="E16" s="78"/>
      <c r="F16" s="78"/>
      <c r="G16" s="78"/>
      <c r="H16" s="78"/>
      <c r="I16" s="78"/>
    </row>
    <row r="17" spans="1:9">
      <c r="A17" s="78"/>
      <c r="B17" s="78"/>
      <c r="C17" s="78"/>
      <c r="D17" s="78"/>
      <c r="E17" s="78"/>
      <c r="F17" s="78"/>
      <c r="G17" s="78"/>
      <c r="H17" s="78"/>
      <c r="I17" s="78"/>
    </row>
    <row r="18" spans="1:9">
      <c r="A18" s="78"/>
      <c r="B18" s="78"/>
      <c r="C18" s="78"/>
      <c r="D18" s="78"/>
      <c r="E18" s="78"/>
      <c r="F18" s="78"/>
      <c r="G18" s="78"/>
      <c r="H18" s="78"/>
      <c r="I18" s="78"/>
    </row>
    <row r="19" spans="1:9">
      <c r="A19" s="78"/>
      <c r="B19" s="78"/>
      <c r="C19" s="78"/>
      <c r="D19" s="78"/>
      <c r="E19" s="78"/>
      <c r="F19" s="78"/>
      <c r="G19" s="78"/>
      <c r="H19" s="78"/>
      <c r="I19" s="78"/>
    </row>
    <row r="20" spans="1:9">
      <c r="A20" s="78"/>
      <c r="B20" s="78"/>
      <c r="C20" s="78"/>
      <c r="D20" s="78"/>
      <c r="E20" s="78"/>
      <c r="F20" s="78"/>
      <c r="G20" s="78"/>
      <c r="H20" s="78"/>
      <c r="I20" s="78"/>
    </row>
    <row r="21" spans="1:9">
      <c r="A21" s="78"/>
      <c r="B21" s="78"/>
      <c r="C21" s="78"/>
      <c r="D21" s="78"/>
      <c r="E21" s="78"/>
      <c r="F21" s="78"/>
      <c r="G21" s="78"/>
      <c r="H21" s="78"/>
      <c r="I21" s="78"/>
    </row>
    <row r="22" spans="1:9">
      <c r="A22" s="78"/>
      <c r="B22" s="78"/>
      <c r="C22" s="78"/>
      <c r="D22" s="78"/>
      <c r="E22" s="78"/>
      <c r="F22" s="78"/>
      <c r="G22" s="78"/>
      <c r="H22" s="78"/>
      <c r="I22" s="78"/>
    </row>
    <row r="23" spans="1:9">
      <c r="A23" s="78"/>
      <c r="B23" s="78"/>
      <c r="C23" s="78"/>
      <c r="D23" s="78"/>
      <c r="E23" s="78"/>
      <c r="F23" s="78"/>
      <c r="G23" s="78"/>
      <c r="H23" s="78"/>
      <c r="I23" s="78"/>
    </row>
    <row r="24" spans="1:9">
      <c r="A24" s="78"/>
      <c r="B24" s="78"/>
      <c r="C24" s="78"/>
      <c r="D24" s="78"/>
      <c r="E24" s="78"/>
      <c r="F24" s="78"/>
      <c r="G24" s="78"/>
      <c r="H24" s="78"/>
      <c r="I24" s="78"/>
    </row>
    <row r="25" spans="1:9">
      <c r="A25" s="78"/>
      <c r="B25" s="78"/>
      <c r="C25" s="78"/>
      <c r="D25" s="78"/>
      <c r="E25" s="78"/>
      <c r="F25" s="78"/>
      <c r="G25" s="78"/>
      <c r="H25" s="78"/>
      <c r="I25" s="78"/>
    </row>
    <row r="26" spans="1:9">
      <c r="A26" s="78"/>
      <c r="B26" s="78"/>
      <c r="C26" s="78"/>
      <c r="D26" s="78"/>
      <c r="E26" s="78"/>
      <c r="F26" s="78"/>
      <c r="G26" s="78"/>
      <c r="H26" s="78"/>
      <c r="I26" s="78"/>
    </row>
    <row r="27" spans="1:9">
      <c r="A27" s="78"/>
      <c r="B27" s="78"/>
      <c r="C27" s="78"/>
      <c r="D27" s="78"/>
      <c r="E27" s="78"/>
      <c r="F27" s="78"/>
      <c r="G27" s="78"/>
      <c r="H27" s="78"/>
      <c r="I27" s="78"/>
    </row>
    <row r="28" spans="1:9">
      <c r="A28" s="78"/>
      <c r="B28" s="78"/>
      <c r="C28" s="78"/>
      <c r="D28" s="78"/>
      <c r="E28" s="78"/>
      <c r="F28" s="78"/>
      <c r="G28" s="78"/>
      <c r="H28" s="78"/>
      <c r="I28" s="78"/>
    </row>
    <row r="29" spans="1:9">
      <c r="A29" s="78"/>
      <c r="B29" s="78"/>
      <c r="C29" s="78"/>
      <c r="D29" s="78"/>
      <c r="E29" s="78"/>
      <c r="F29" s="78"/>
      <c r="G29" s="78"/>
      <c r="H29" s="78"/>
      <c r="I29" s="78"/>
    </row>
    <row r="30" spans="1:9">
      <c r="A30" s="78"/>
      <c r="B30" s="78"/>
      <c r="C30" s="78"/>
      <c r="D30" s="78"/>
      <c r="E30" s="78"/>
      <c r="F30" s="78"/>
      <c r="G30" s="78"/>
      <c r="H30" s="78"/>
      <c r="I30" s="78"/>
    </row>
    <row r="31" spans="1:9">
      <c r="A31" s="78"/>
      <c r="B31" s="78"/>
      <c r="C31" s="78"/>
      <c r="D31" s="78"/>
      <c r="E31" s="78"/>
      <c r="F31" s="78"/>
      <c r="G31" s="78"/>
      <c r="H31" s="78"/>
      <c r="I31" s="78"/>
    </row>
    <row r="32" spans="1:9">
      <c r="A32" s="78"/>
      <c r="B32" s="78"/>
      <c r="C32" s="78"/>
      <c r="D32" s="78"/>
      <c r="E32" s="78"/>
      <c r="F32" s="78"/>
      <c r="G32" s="78"/>
      <c r="H32" s="78"/>
      <c r="I32" s="78"/>
    </row>
    <row r="33" spans="1:9">
      <c r="A33" s="78"/>
      <c r="B33" s="78"/>
      <c r="C33" s="78"/>
      <c r="D33" s="78"/>
      <c r="E33" s="78"/>
      <c r="F33" s="78"/>
      <c r="G33" s="78"/>
      <c r="H33" s="78"/>
      <c r="I33" s="78"/>
    </row>
    <row r="34" spans="1:9">
      <c r="A34" s="78"/>
      <c r="B34" s="78"/>
      <c r="C34" s="78"/>
      <c r="D34" s="78"/>
      <c r="E34" s="78"/>
      <c r="F34" s="78"/>
      <c r="G34" s="78"/>
      <c r="H34" s="78"/>
      <c r="I34" s="78"/>
    </row>
    <row r="35" spans="1:9">
      <c r="A35" s="78"/>
      <c r="B35" s="78"/>
      <c r="C35" s="78"/>
      <c r="D35" s="78"/>
      <c r="E35" s="78"/>
      <c r="F35" s="78"/>
      <c r="G35" s="78"/>
      <c r="H35" s="78"/>
      <c r="I35" s="78"/>
    </row>
    <row r="36" spans="1:9">
      <c r="A36" s="78"/>
      <c r="B36" s="78"/>
      <c r="C36" s="78"/>
      <c r="D36" s="78"/>
      <c r="E36" s="78"/>
      <c r="F36" s="78"/>
      <c r="G36" s="78"/>
      <c r="H36" s="78"/>
      <c r="I36" s="78"/>
    </row>
    <row r="37" spans="1:9">
      <c r="A37" s="78"/>
      <c r="B37" s="78"/>
      <c r="C37" s="78"/>
      <c r="D37" s="78"/>
      <c r="E37" s="78"/>
      <c r="F37" s="78"/>
      <c r="G37" s="78"/>
      <c r="H37" s="78"/>
      <c r="I37" s="78"/>
    </row>
    <row r="38" spans="1:9">
      <c r="A38" s="78"/>
      <c r="B38" s="78"/>
      <c r="C38" s="78"/>
      <c r="D38" s="78"/>
      <c r="E38" s="78"/>
      <c r="F38" s="78"/>
      <c r="G38" s="78"/>
      <c r="H38" s="78"/>
      <c r="I38" s="78"/>
    </row>
    <row r="39" spans="1:9">
      <c r="A39" s="78"/>
      <c r="B39" s="78"/>
      <c r="C39" s="78"/>
      <c r="D39" s="78"/>
      <c r="E39" s="78"/>
      <c r="F39" s="78"/>
      <c r="G39" s="78"/>
      <c r="H39" s="78"/>
      <c r="I39" s="78"/>
    </row>
    <row r="40" spans="1:9">
      <c r="A40" s="78"/>
      <c r="B40" s="78"/>
      <c r="C40" s="78"/>
      <c r="D40" s="78"/>
      <c r="E40" s="78"/>
      <c r="F40" s="78"/>
      <c r="G40" s="78"/>
      <c r="H40" s="78"/>
      <c r="I40" s="78"/>
    </row>
    <row r="41" spans="1:9">
      <c r="A41" s="78"/>
      <c r="B41" s="78"/>
      <c r="C41" s="78"/>
      <c r="D41" s="78"/>
      <c r="E41" s="78"/>
      <c r="F41" s="78"/>
      <c r="G41" s="78"/>
      <c r="H41" s="78"/>
      <c r="I41" s="78"/>
    </row>
    <row r="42" spans="1:9">
      <c r="A42" s="78"/>
      <c r="B42" s="78"/>
      <c r="C42" s="78"/>
      <c r="D42" s="78"/>
      <c r="E42" s="78"/>
      <c r="F42" s="78"/>
      <c r="G42" s="78"/>
      <c r="H42" s="78"/>
      <c r="I42" s="78"/>
    </row>
    <row r="43" spans="1:9">
      <c r="A43" s="78"/>
      <c r="B43" s="78"/>
      <c r="C43" s="78"/>
      <c r="D43" s="78"/>
      <c r="E43" s="78"/>
      <c r="F43" s="78"/>
      <c r="G43" s="78"/>
      <c r="H43" s="78"/>
      <c r="I43" s="78"/>
    </row>
    <row r="44" spans="1:9">
      <c r="A44" s="78"/>
      <c r="B44" s="78"/>
      <c r="C44" s="78"/>
      <c r="D44" s="78"/>
      <c r="E44" s="78"/>
      <c r="F44" s="78"/>
      <c r="G44" s="78"/>
      <c r="H44" s="78"/>
      <c r="I44" s="78"/>
    </row>
    <row r="45" spans="1:9">
      <c r="A45" s="78"/>
      <c r="B45" s="78"/>
      <c r="C45" s="78"/>
      <c r="D45" s="78"/>
      <c r="E45" s="78"/>
      <c r="F45" s="78"/>
      <c r="G45" s="78"/>
      <c r="H45" s="78"/>
      <c r="I45" s="78"/>
    </row>
    <row r="46" spans="1:9">
      <c r="A46" s="78"/>
      <c r="B46" s="78"/>
      <c r="C46" s="78"/>
      <c r="D46" s="78"/>
      <c r="E46" s="78"/>
      <c r="F46" s="78"/>
      <c r="G46" s="78"/>
      <c r="H46" s="78"/>
      <c r="I46" s="78"/>
    </row>
    <row r="47" spans="1:9">
      <c r="A47" s="78"/>
      <c r="B47" s="78"/>
      <c r="C47" s="78"/>
      <c r="D47" s="78"/>
      <c r="E47" s="78"/>
      <c r="F47" s="78"/>
      <c r="G47" s="78"/>
      <c r="H47" s="78"/>
      <c r="I47" s="78"/>
    </row>
    <row r="48" spans="1:9">
      <c r="A48" s="78"/>
      <c r="B48" s="78"/>
      <c r="C48" s="78"/>
      <c r="D48" s="78"/>
      <c r="E48" s="78"/>
      <c r="F48" s="78"/>
      <c r="G48" s="78"/>
      <c r="H48" s="78"/>
      <c r="I48" s="78"/>
    </row>
    <row r="49" spans="1:9">
      <c r="A49" s="78"/>
      <c r="B49" s="78"/>
      <c r="C49" s="78"/>
      <c r="D49" s="78"/>
      <c r="E49" s="78"/>
      <c r="F49" s="78"/>
      <c r="G49" s="78"/>
      <c r="H49" s="78"/>
      <c r="I49" s="78"/>
    </row>
    <row r="50" spans="1:9">
      <c r="A50" s="78"/>
      <c r="B50" s="78"/>
      <c r="C50" s="78"/>
      <c r="D50" s="78"/>
      <c r="E50" s="78"/>
      <c r="F50" s="78"/>
      <c r="G50" s="78"/>
      <c r="H50" s="78"/>
      <c r="I50" s="78"/>
    </row>
    <row r="51" spans="1:9">
      <c r="A51" s="78"/>
      <c r="B51" s="78"/>
      <c r="C51" s="78"/>
      <c r="D51" s="78"/>
      <c r="E51" s="78"/>
      <c r="F51" s="78"/>
      <c r="G51" s="78"/>
      <c r="H51" s="78"/>
      <c r="I51" s="78"/>
    </row>
    <row r="52" spans="1:9">
      <c r="A52" s="78"/>
      <c r="B52" s="78"/>
      <c r="C52" s="78"/>
      <c r="D52" s="78"/>
      <c r="E52" s="78"/>
      <c r="F52" s="78"/>
      <c r="G52" s="78"/>
      <c r="H52" s="78"/>
      <c r="I52" s="78"/>
    </row>
    <row r="53" spans="1:9">
      <c r="A53" s="78"/>
      <c r="B53" s="78"/>
      <c r="C53" s="78"/>
      <c r="D53" s="78"/>
      <c r="E53" s="78"/>
      <c r="F53" s="78"/>
      <c r="G53" s="78"/>
      <c r="H53" s="78"/>
      <c r="I53" s="78"/>
    </row>
    <row r="54" spans="1:9">
      <c r="A54" s="78"/>
      <c r="B54" s="78"/>
      <c r="C54" s="78"/>
      <c r="D54" s="78"/>
      <c r="E54" s="78"/>
      <c r="F54" s="78"/>
      <c r="G54" s="78"/>
      <c r="H54" s="78"/>
      <c r="I54" s="78"/>
    </row>
    <row r="55" spans="1:9">
      <c r="A55" s="78"/>
      <c r="B55" s="78"/>
      <c r="C55" s="78"/>
      <c r="D55" s="78"/>
      <c r="E55" s="78"/>
      <c r="F55" s="78"/>
      <c r="G55" s="78"/>
      <c r="H55" s="78"/>
      <c r="I55" s="78"/>
    </row>
    <row r="56" spans="1:9">
      <c r="A56" s="78"/>
      <c r="B56" s="78"/>
      <c r="C56" s="78"/>
      <c r="D56" s="78"/>
      <c r="E56" s="78"/>
      <c r="F56" s="78"/>
      <c r="G56" s="78"/>
      <c r="H56" s="78"/>
      <c r="I56" s="78"/>
    </row>
    <row r="57" spans="1:9">
      <c r="A57" s="78"/>
      <c r="B57" s="78"/>
      <c r="C57" s="78"/>
      <c r="D57" s="78"/>
      <c r="E57" s="78"/>
      <c r="F57" s="78"/>
      <c r="G57" s="78"/>
      <c r="H57" s="78"/>
      <c r="I57" s="78"/>
    </row>
    <row r="58" spans="1:9">
      <c r="A58" s="78"/>
      <c r="B58" s="78"/>
      <c r="C58" s="78"/>
      <c r="D58" s="78"/>
      <c r="E58" s="78"/>
      <c r="F58" s="78"/>
      <c r="G58" s="78"/>
      <c r="H58" s="78"/>
      <c r="I58" s="78"/>
    </row>
    <row r="59" spans="1:9">
      <c r="A59" s="78"/>
      <c r="B59" s="78"/>
      <c r="C59" s="78"/>
      <c r="D59" s="78"/>
      <c r="E59" s="78"/>
      <c r="F59" s="78"/>
      <c r="G59" s="78"/>
      <c r="H59" s="78"/>
      <c r="I59" s="78"/>
    </row>
    <row r="60" spans="1:9">
      <c r="A60" s="78"/>
      <c r="B60" s="78"/>
      <c r="C60" s="78"/>
      <c r="D60" s="78"/>
      <c r="E60" s="78"/>
      <c r="F60" s="78"/>
      <c r="G60" s="78"/>
      <c r="H60" s="78"/>
      <c r="I60" s="78"/>
    </row>
    <row r="61" spans="1:9">
      <c r="A61" s="78"/>
      <c r="B61" s="78"/>
      <c r="C61" s="78"/>
      <c r="D61" s="78"/>
      <c r="E61" s="78"/>
      <c r="F61" s="78"/>
      <c r="G61" s="78"/>
      <c r="H61" s="78"/>
      <c r="I61" s="78"/>
    </row>
    <row r="62" spans="1:9">
      <c r="A62" s="78"/>
      <c r="B62" s="78"/>
      <c r="C62" s="78"/>
      <c r="D62" s="78"/>
      <c r="E62" s="78"/>
      <c r="F62" s="78"/>
      <c r="G62" s="78"/>
      <c r="H62" s="78"/>
      <c r="I62" s="78"/>
    </row>
    <row r="63" spans="1:9">
      <c r="A63" s="78"/>
      <c r="B63" s="78"/>
      <c r="C63" s="78"/>
      <c r="D63" s="78"/>
      <c r="E63" s="78"/>
      <c r="F63" s="78"/>
      <c r="G63" s="78"/>
      <c r="H63" s="78"/>
      <c r="I63" s="78"/>
    </row>
    <row r="64" spans="1:9">
      <c r="A64" s="78"/>
      <c r="B64" s="78"/>
      <c r="C64" s="78"/>
      <c r="D64" s="78"/>
      <c r="E64" s="78"/>
      <c r="F64" s="78"/>
      <c r="G64" s="78"/>
      <c r="H64" s="78"/>
      <c r="I64" s="78"/>
    </row>
    <row r="65" spans="1:9">
      <c r="A65" s="78"/>
      <c r="B65" s="78"/>
      <c r="C65" s="78"/>
      <c r="D65" s="78"/>
      <c r="E65" s="78"/>
      <c r="F65" s="78"/>
      <c r="G65" s="78"/>
      <c r="H65" s="78"/>
      <c r="I65" s="78"/>
    </row>
    <row r="66" spans="1:9">
      <c r="A66" s="78"/>
      <c r="B66" s="78"/>
      <c r="C66" s="78"/>
      <c r="D66" s="78"/>
      <c r="E66" s="78"/>
      <c r="F66" s="78"/>
      <c r="G66" s="78"/>
      <c r="H66" s="78"/>
      <c r="I66" s="78"/>
    </row>
    <row r="67" spans="1:9">
      <c r="A67" s="78"/>
      <c r="B67" s="78"/>
      <c r="C67" s="78"/>
      <c r="D67" s="78"/>
      <c r="E67" s="78"/>
      <c r="F67" s="78"/>
      <c r="G67" s="78"/>
      <c r="H67" s="78"/>
      <c r="I67" s="78"/>
    </row>
    <row r="68" spans="1:9">
      <c r="A68" s="78"/>
      <c r="B68" s="78"/>
      <c r="C68" s="78"/>
      <c r="D68" s="78"/>
      <c r="E68" s="78"/>
      <c r="F68" s="78"/>
      <c r="G68" s="78"/>
      <c r="H68" s="78"/>
      <c r="I68" s="78"/>
    </row>
    <row r="69" spans="1:9">
      <c r="A69" s="78"/>
      <c r="B69" s="78"/>
      <c r="C69" s="78"/>
      <c r="D69" s="78"/>
      <c r="E69" s="78"/>
      <c r="F69" s="78"/>
      <c r="G69" s="78"/>
      <c r="H69" s="78"/>
      <c r="I69" s="78"/>
    </row>
    <row r="70" spans="1:9">
      <c r="A70" s="78"/>
      <c r="B70" s="78"/>
      <c r="C70" s="78"/>
      <c r="D70" s="78"/>
      <c r="E70" s="78"/>
      <c r="F70" s="78"/>
      <c r="G70" s="78"/>
      <c r="H70" s="78"/>
      <c r="I70" s="78"/>
    </row>
    <row r="71" spans="1:9">
      <c r="A71" s="78"/>
      <c r="B71" s="78"/>
      <c r="C71" s="78"/>
      <c r="D71" s="78"/>
      <c r="E71" s="78"/>
      <c r="F71" s="78"/>
      <c r="G71" s="78"/>
      <c r="H71" s="78"/>
      <c r="I71" s="78"/>
    </row>
    <row r="72" spans="1:9">
      <c r="A72" s="78"/>
      <c r="B72" s="78"/>
      <c r="C72" s="78"/>
      <c r="D72" s="78"/>
      <c r="E72" s="78"/>
      <c r="F72" s="78"/>
      <c r="G72" s="78"/>
      <c r="H72" s="78"/>
      <c r="I72" s="78"/>
    </row>
    <row r="73" spans="1:9">
      <c r="A73" s="78"/>
      <c r="B73" s="78"/>
      <c r="C73" s="78"/>
      <c r="D73" s="78"/>
      <c r="E73" s="78"/>
      <c r="F73" s="78"/>
      <c r="G73" s="78"/>
      <c r="H73" s="78"/>
      <c r="I73" s="78"/>
    </row>
    <row r="74" spans="1:9">
      <c r="A74" s="78"/>
      <c r="B74" s="78"/>
      <c r="C74" s="78"/>
      <c r="D74" s="78"/>
      <c r="E74" s="78"/>
      <c r="F74" s="78"/>
      <c r="G74" s="78"/>
      <c r="H74" s="78"/>
      <c r="I74" s="78"/>
    </row>
    <row r="75" spans="1:9">
      <c r="A75" s="78"/>
      <c r="B75" s="78"/>
      <c r="C75" s="78"/>
      <c r="D75" s="78"/>
      <c r="E75" s="78"/>
      <c r="F75" s="78"/>
      <c r="G75" s="78"/>
      <c r="H75" s="78"/>
      <c r="I75" s="78"/>
    </row>
    <row r="76" spans="1:9">
      <c r="A76" s="78"/>
      <c r="B76" s="78"/>
      <c r="C76" s="78"/>
      <c r="D76" s="78"/>
      <c r="E76" s="78"/>
      <c r="F76" s="78"/>
      <c r="G76" s="78"/>
      <c r="H76" s="78"/>
      <c r="I76" s="78"/>
    </row>
    <row r="77" spans="1:9">
      <c r="A77" s="78"/>
      <c r="B77" s="78"/>
      <c r="C77" s="78"/>
      <c r="D77" s="78"/>
      <c r="E77" s="78"/>
      <c r="F77" s="78"/>
      <c r="G77" s="78"/>
      <c r="H77" s="78"/>
      <c r="I77" s="78"/>
    </row>
    <row r="78" spans="1:9">
      <c r="A78" s="78"/>
      <c r="B78" s="78"/>
      <c r="C78" s="78"/>
      <c r="D78" s="78"/>
      <c r="E78" s="78"/>
      <c r="F78" s="78"/>
      <c r="G78" s="78"/>
      <c r="H78" s="78"/>
      <c r="I78" s="78"/>
    </row>
    <row r="79" spans="1:9">
      <c r="A79" s="78"/>
      <c r="B79" s="78"/>
      <c r="C79" s="78"/>
      <c r="D79" s="78"/>
      <c r="E79" s="78"/>
      <c r="F79" s="78"/>
      <c r="G79" s="78"/>
      <c r="H79" s="78"/>
      <c r="I79" s="78"/>
    </row>
    <row r="80" spans="1:9">
      <c r="A80" s="78"/>
      <c r="B80" s="78"/>
      <c r="C80" s="78"/>
      <c r="D80" s="78"/>
      <c r="E80" s="78"/>
      <c r="F80" s="78"/>
      <c r="G80" s="78"/>
      <c r="H80" s="78"/>
      <c r="I80" s="78"/>
    </row>
    <row r="81" spans="1:9">
      <c r="A81" s="78"/>
      <c r="B81" s="78"/>
      <c r="C81" s="78"/>
      <c r="D81" s="78"/>
      <c r="E81" s="78"/>
      <c r="F81" s="78"/>
      <c r="G81" s="78"/>
      <c r="H81" s="78"/>
      <c r="I81" s="78"/>
    </row>
    <row r="82" spans="1:9">
      <c r="A82" s="78"/>
      <c r="B82" s="78"/>
      <c r="C82" s="78"/>
      <c r="D82" s="78"/>
      <c r="E82" s="78"/>
      <c r="F82" s="78"/>
      <c r="G82" s="78"/>
      <c r="H82" s="78"/>
      <c r="I82" s="78"/>
    </row>
    <row r="83" spans="1:9">
      <c r="A83" s="78"/>
      <c r="B83" s="78"/>
      <c r="C83" s="78"/>
      <c r="D83" s="78"/>
      <c r="E83" s="78"/>
      <c r="F83" s="78"/>
      <c r="G83" s="78"/>
      <c r="H83" s="78"/>
      <c r="I83" s="78"/>
    </row>
    <row r="84" spans="1:9">
      <c r="A84" s="78"/>
      <c r="B84" s="78"/>
      <c r="C84" s="78"/>
      <c r="D84" s="78"/>
      <c r="E84" s="78"/>
      <c r="F84" s="78"/>
      <c r="G84" s="78"/>
      <c r="H84" s="78"/>
      <c r="I84" s="78"/>
    </row>
    <row r="85" spans="1:9">
      <c r="A85" s="78"/>
      <c r="B85" s="78"/>
      <c r="C85" s="78"/>
      <c r="D85" s="78"/>
      <c r="E85" s="78"/>
      <c r="F85" s="78"/>
      <c r="G85" s="78"/>
      <c r="H85" s="78"/>
      <c r="I85" s="78"/>
    </row>
    <row r="86" spans="1:9">
      <c r="A86" s="78"/>
      <c r="B86" s="78"/>
      <c r="C86" s="78"/>
      <c r="D86" s="78"/>
      <c r="E86" s="78"/>
      <c r="F86" s="78"/>
      <c r="G86" s="78"/>
      <c r="H86" s="78"/>
      <c r="I86" s="78"/>
    </row>
    <row r="87" spans="1:9">
      <c r="A87" s="78"/>
      <c r="B87" s="78"/>
      <c r="C87" s="78"/>
      <c r="D87" s="78"/>
      <c r="E87" s="78"/>
      <c r="F87" s="78"/>
      <c r="G87" s="78"/>
      <c r="H87" s="78"/>
      <c r="I87" s="78"/>
    </row>
    <row r="88" spans="1:9">
      <c r="A88" s="78"/>
      <c r="B88" s="78"/>
      <c r="C88" s="78"/>
      <c r="D88" s="78"/>
      <c r="E88" s="78"/>
      <c r="F88" s="78"/>
      <c r="G88" s="78"/>
      <c r="H88" s="78"/>
      <c r="I88" s="78"/>
    </row>
    <row r="89" spans="1:9">
      <c r="A89" s="78"/>
      <c r="B89" s="78"/>
      <c r="C89" s="78"/>
      <c r="D89" s="78"/>
      <c r="E89" s="78"/>
      <c r="F89" s="78"/>
      <c r="G89" s="78"/>
      <c r="H89" s="78"/>
      <c r="I89" s="78"/>
    </row>
    <row r="90" spans="1:9">
      <c r="A90" s="78"/>
      <c r="B90" s="78"/>
      <c r="C90" s="78"/>
      <c r="D90" s="78"/>
      <c r="E90" s="78"/>
      <c r="F90" s="78"/>
      <c r="G90" s="78"/>
      <c r="H90" s="78"/>
      <c r="I90" s="78"/>
    </row>
    <row r="91" spans="1:9">
      <c r="A91" s="78"/>
      <c r="B91" s="78"/>
      <c r="C91" s="78"/>
      <c r="D91" s="78"/>
      <c r="E91" s="78"/>
      <c r="F91" s="78"/>
      <c r="G91" s="78"/>
      <c r="H91" s="78"/>
      <c r="I91" s="78"/>
    </row>
    <row r="92" spans="1:9">
      <c r="A92" s="78"/>
      <c r="B92" s="78"/>
      <c r="C92" s="78"/>
      <c r="D92" s="78"/>
      <c r="E92" s="78"/>
      <c r="F92" s="78"/>
      <c r="G92" s="78"/>
      <c r="H92" s="78"/>
      <c r="I92" s="78"/>
    </row>
    <row r="93" spans="1:9">
      <c r="A93" s="78"/>
      <c r="B93" s="78"/>
      <c r="C93" s="78"/>
      <c r="D93" s="78"/>
      <c r="E93" s="78"/>
      <c r="F93" s="78"/>
      <c r="G93" s="78"/>
      <c r="H93" s="78"/>
      <c r="I93" s="78"/>
    </row>
    <row r="94" spans="1:9">
      <c r="A94" s="78"/>
      <c r="B94" s="78"/>
      <c r="C94" s="78"/>
      <c r="D94" s="78"/>
      <c r="E94" s="78"/>
      <c r="F94" s="78"/>
      <c r="G94" s="78"/>
      <c r="H94" s="78"/>
      <c r="I94" s="78"/>
    </row>
    <row r="95" spans="1:9">
      <c r="A95" s="78"/>
      <c r="B95" s="78"/>
      <c r="C95" s="78"/>
      <c r="D95" s="78"/>
      <c r="E95" s="78"/>
      <c r="F95" s="78"/>
      <c r="G95" s="78"/>
      <c r="H95" s="78"/>
      <c r="I95" s="78"/>
    </row>
    <row r="96" spans="1:9">
      <c r="A96" s="78"/>
      <c r="B96" s="78"/>
      <c r="C96" s="78"/>
      <c r="D96" s="78"/>
      <c r="E96" s="78"/>
      <c r="F96" s="78"/>
      <c r="G96" s="78"/>
      <c r="H96" s="78"/>
      <c r="I96" s="78"/>
    </row>
    <row r="97" spans="1:9">
      <c r="A97" s="78"/>
      <c r="B97" s="78"/>
      <c r="C97" s="78"/>
      <c r="D97" s="78"/>
      <c r="E97" s="78"/>
      <c r="F97" s="78"/>
      <c r="G97" s="78"/>
      <c r="H97" s="78"/>
      <c r="I97" s="78"/>
    </row>
    <row r="98" spans="1:9">
      <c r="A98" s="78"/>
      <c r="B98" s="78"/>
      <c r="C98" s="78"/>
      <c r="D98" s="78"/>
      <c r="E98" s="78"/>
      <c r="F98" s="78"/>
      <c r="G98" s="78"/>
      <c r="H98" s="78"/>
      <c r="I98" s="78"/>
    </row>
    <row r="99" spans="1:9">
      <c r="A99" s="78"/>
      <c r="B99" s="78"/>
      <c r="C99" s="78"/>
      <c r="D99" s="78"/>
      <c r="E99" s="78"/>
      <c r="F99" s="78"/>
      <c r="G99" s="78"/>
      <c r="H99" s="78"/>
      <c r="I99" s="78"/>
    </row>
    <row r="100" spans="1:9">
      <c r="A100" s="78"/>
      <c r="B100" s="78"/>
      <c r="C100" s="78"/>
      <c r="D100" s="78"/>
      <c r="E100" s="78"/>
      <c r="F100" s="78"/>
      <c r="G100" s="78"/>
      <c r="H100" s="78"/>
      <c r="I100" s="78"/>
    </row>
    <row r="101" spans="1:9">
      <c r="A101" s="78"/>
      <c r="B101" s="78"/>
      <c r="C101" s="78"/>
      <c r="D101" s="78"/>
      <c r="E101" s="78"/>
      <c r="F101" s="78"/>
      <c r="G101" s="78"/>
      <c r="H101" s="78"/>
      <c r="I101" s="78"/>
    </row>
    <row r="102" spans="1:9">
      <c r="A102" s="78"/>
      <c r="B102" s="78"/>
      <c r="C102" s="78"/>
      <c r="D102" s="78"/>
      <c r="E102" s="78"/>
      <c r="F102" s="78"/>
      <c r="G102" s="78"/>
      <c r="H102" s="78"/>
      <c r="I102" s="78"/>
    </row>
    <row r="103" spans="1:9">
      <c r="A103" s="78"/>
      <c r="B103" s="78"/>
      <c r="C103" s="78"/>
      <c r="D103" s="78"/>
      <c r="E103" s="78"/>
      <c r="F103" s="78"/>
      <c r="G103" s="78"/>
      <c r="H103" s="78"/>
      <c r="I103" s="78"/>
    </row>
    <row r="104" spans="1:9">
      <c r="A104" s="78"/>
      <c r="B104" s="78"/>
      <c r="C104" s="78"/>
      <c r="D104" s="78"/>
      <c r="E104" s="78"/>
      <c r="F104" s="78"/>
      <c r="G104" s="78"/>
      <c r="H104" s="78"/>
      <c r="I104" s="78"/>
    </row>
    <row r="105" spans="1:9">
      <c r="A105" s="78"/>
      <c r="B105" s="78"/>
      <c r="C105" s="78"/>
      <c r="D105" s="78"/>
      <c r="E105" s="78"/>
      <c r="F105" s="78"/>
      <c r="G105" s="78"/>
      <c r="H105" s="78"/>
      <c r="I105" s="78"/>
    </row>
    <row r="106" spans="1:9">
      <c r="A106" s="78"/>
      <c r="B106" s="78"/>
      <c r="C106" s="78"/>
      <c r="D106" s="78"/>
      <c r="E106" s="78"/>
      <c r="F106" s="78"/>
      <c r="G106" s="78"/>
      <c r="H106" s="78"/>
      <c r="I106" s="78"/>
    </row>
    <row r="107" spans="1:9">
      <c r="A107" s="78"/>
      <c r="B107" s="78"/>
      <c r="C107" s="78"/>
      <c r="D107" s="78"/>
      <c r="E107" s="78"/>
      <c r="F107" s="78"/>
      <c r="G107" s="78"/>
      <c r="H107" s="78"/>
      <c r="I107" s="78"/>
    </row>
    <row r="108" spans="1:9">
      <c r="A108" s="78"/>
      <c r="B108" s="78"/>
      <c r="C108" s="78"/>
      <c r="D108" s="78"/>
      <c r="E108" s="78"/>
      <c r="F108" s="78"/>
      <c r="G108" s="78"/>
      <c r="H108" s="78"/>
      <c r="I108" s="78"/>
    </row>
    <row r="109" spans="1:9">
      <c r="A109" s="78"/>
      <c r="B109" s="78"/>
      <c r="C109" s="78"/>
      <c r="D109" s="78"/>
      <c r="E109" s="78"/>
      <c r="F109" s="78"/>
      <c r="G109" s="78"/>
      <c r="H109" s="78"/>
      <c r="I109" s="78"/>
    </row>
    <row r="110" spans="1:9">
      <c r="A110" s="78"/>
      <c r="B110" s="78"/>
      <c r="C110" s="78"/>
      <c r="D110" s="78"/>
      <c r="E110" s="78"/>
      <c r="F110" s="78"/>
      <c r="G110" s="78"/>
      <c r="H110" s="78"/>
      <c r="I110" s="78"/>
    </row>
    <row r="111" spans="1:9">
      <c r="A111" s="78"/>
      <c r="B111" s="78"/>
      <c r="C111" s="78"/>
      <c r="D111" s="78"/>
      <c r="E111" s="78"/>
      <c r="F111" s="78"/>
      <c r="G111" s="78"/>
      <c r="H111" s="78"/>
      <c r="I111" s="78"/>
    </row>
    <row r="112" spans="1:9">
      <c r="A112" s="78"/>
      <c r="B112" s="78"/>
      <c r="C112" s="78"/>
      <c r="D112" s="78"/>
      <c r="E112" s="78"/>
      <c r="F112" s="78"/>
      <c r="G112" s="78"/>
      <c r="H112" s="78"/>
      <c r="I112" s="78"/>
    </row>
    <row r="113" spans="1:9">
      <c r="A113" s="78"/>
      <c r="B113" s="78"/>
      <c r="C113" s="78"/>
      <c r="D113" s="78"/>
      <c r="E113" s="78"/>
      <c r="F113" s="78"/>
      <c r="G113" s="78"/>
      <c r="H113" s="78"/>
      <c r="I113" s="78"/>
    </row>
    <row r="114" spans="1:9">
      <c r="A114" s="78"/>
      <c r="B114" s="78"/>
      <c r="C114" s="78"/>
      <c r="D114" s="78"/>
      <c r="E114" s="78"/>
      <c r="F114" s="78"/>
      <c r="G114" s="78"/>
      <c r="H114" s="78"/>
      <c r="I114" s="78"/>
    </row>
    <row r="115" spans="1:9">
      <c r="A115" s="78"/>
      <c r="B115" s="78"/>
      <c r="C115" s="78"/>
      <c r="D115" s="78"/>
      <c r="E115" s="78"/>
      <c r="F115" s="78"/>
      <c r="G115" s="78"/>
      <c r="H115" s="78"/>
      <c r="I115" s="78"/>
    </row>
    <row r="116" spans="1:9">
      <c r="A116" s="78"/>
      <c r="B116" s="78"/>
      <c r="C116" s="78"/>
      <c r="D116" s="78"/>
      <c r="E116" s="78"/>
      <c r="F116" s="78"/>
      <c r="G116" s="78"/>
      <c r="H116" s="78"/>
      <c r="I116" s="78"/>
    </row>
    <row r="117" spans="1:9">
      <c r="A117" s="78"/>
      <c r="B117" s="78"/>
      <c r="C117" s="78"/>
      <c r="D117" s="78"/>
      <c r="E117" s="78"/>
      <c r="F117" s="78"/>
      <c r="G117" s="78"/>
      <c r="H117" s="78"/>
      <c r="I117" s="78"/>
    </row>
    <row r="118" spans="1:9">
      <c r="A118" s="78"/>
      <c r="B118" s="78"/>
      <c r="C118" s="78"/>
      <c r="D118" s="78"/>
      <c r="E118" s="78"/>
      <c r="F118" s="78"/>
      <c r="G118" s="78"/>
      <c r="H118" s="78"/>
      <c r="I118" s="78"/>
    </row>
    <row r="119" spans="1:9">
      <c r="A119" s="78"/>
      <c r="B119" s="78"/>
      <c r="C119" s="78"/>
      <c r="D119" s="78"/>
      <c r="E119" s="78"/>
      <c r="F119" s="78"/>
      <c r="G119" s="78"/>
      <c r="H119" s="78"/>
      <c r="I119" s="78"/>
    </row>
    <row r="120" spans="1:9">
      <c r="A120" s="78"/>
      <c r="B120" s="78"/>
      <c r="C120" s="78"/>
      <c r="D120" s="78"/>
      <c r="E120" s="78"/>
      <c r="F120" s="78"/>
      <c r="G120" s="78"/>
      <c r="H120" s="78"/>
      <c r="I120" s="78"/>
    </row>
  </sheetData>
  <mergeCells count="1">
    <mergeCell ref="A1:I1"/>
  </mergeCells>
  <dataValidations count="1">
    <dataValidation type="list" sqref="H4:H120" xr:uid="{00000000-0002-0000-0B00-000000000000}">
      <formula1>"Pending,Accepted,Rejected,Superseded"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0"/>
  <sheetViews>
    <sheetView workbookViewId="0"/>
  </sheetViews>
  <sheetFormatPr defaultRowHeight="14.25"/>
  <cols>
    <col min="1" max="1" width="9" customWidth="1"/>
    <col min="2" max="2" width="18" customWidth="1"/>
    <col min="3" max="3" width="38" customWidth="1"/>
    <col min="4" max="5" width="42" customWidth="1"/>
    <col min="6" max="6" width="11" customWidth="1"/>
    <col min="7" max="7" width="12" customWidth="1"/>
    <col min="8" max="8" width="26" customWidth="1"/>
    <col min="9" max="9" width="12" customWidth="1"/>
  </cols>
  <sheetData>
    <row r="1" spans="1:9" ht="27.95" customHeight="1">
      <c r="A1" s="234" t="s">
        <v>807</v>
      </c>
      <c r="B1" s="235"/>
      <c r="C1" s="235"/>
      <c r="D1" s="235"/>
      <c r="E1" s="235"/>
      <c r="F1" s="235"/>
      <c r="G1" s="235"/>
      <c r="H1" s="235"/>
      <c r="I1" s="235"/>
    </row>
    <row r="2" spans="1:9">
      <c r="A2" s="233" t="s">
        <v>808</v>
      </c>
      <c r="B2" s="233"/>
      <c r="C2" s="233"/>
      <c r="D2" s="233"/>
      <c r="E2" s="233"/>
      <c r="F2" s="233"/>
      <c r="G2" s="233"/>
      <c r="H2" s="233"/>
      <c r="I2" s="233"/>
    </row>
    <row r="4" spans="1:9" ht="30">
      <c r="A4" s="80" t="s">
        <v>69</v>
      </c>
      <c r="B4" s="80" t="s">
        <v>809</v>
      </c>
      <c r="C4" s="80" t="s">
        <v>810</v>
      </c>
      <c r="D4" s="80" t="s">
        <v>811</v>
      </c>
      <c r="E4" s="80" t="s">
        <v>812</v>
      </c>
      <c r="F4" s="80" t="s">
        <v>813</v>
      </c>
      <c r="G4" s="80" t="s">
        <v>814</v>
      </c>
      <c r="H4" s="80" t="s">
        <v>815</v>
      </c>
      <c r="I4" s="80" t="s">
        <v>121</v>
      </c>
    </row>
    <row r="5" spans="1:9" ht="28.5">
      <c r="A5" s="78" t="s">
        <v>816</v>
      </c>
      <c r="B5" s="78" t="s">
        <v>817</v>
      </c>
      <c r="C5" s="78" t="s">
        <v>818</v>
      </c>
      <c r="D5" s="78" t="s">
        <v>819</v>
      </c>
      <c r="E5" s="78" t="s">
        <v>820</v>
      </c>
      <c r="F5" s="78" t="s">
        <v>821</v>
      </c>
      <c r="G5" s="78" t="s">
        <v>822</v>
      </c>
      <c r="H5" s="78" t="s">
        <v>823</v>
      </c>
      <c r="I5" s="78" t="s">
        <v>824</v>
      </c>
    </row>
    <row r="6" spans="1:9" ht="57">
      <c r="A6" s="78" t="s">
        <v>825</v>
      </c>
      <c r="B6" s="78" t="s">
        <v>826</v>
      </c>
      <c r="C6" s="78" t="s">
        <v>827</v>
      </c>
      <c r="D6" s="78" t="s">
        <v>828</v>
      </c>
      <c r="E6" s="78" t="s">
        <v>829</v>
      </c>
      <c r="F6" s="78" t="s">
        <v>708</v>
      </c>
      <c r="G6" s="78" t="s">
        <v>830</v>
      </c>
      <c r="H6" s="78" t="s">
        <v>826</v>
      </c>
      <c r="I6" s="78" t="s">
        <v>824</v>
      </c>
    </row>
    <row r="7" spans="1:9" ht="57">
      <c r="A7" s="78" t="s">
        <v>831</v>
      </c>
      <c r="B7" s="78" t="s">
        <v>832</v>
      </c>
      <c r="C7" s="78" t="s">
        <v>833</v>
      </c>
      <c r="D7" s="78" t="s">
        <v>834</v>
      </c>
      <c r="E7" s="78" t="s">
        <v>835</v>
      </c>
      <c r="F7" s="78" t="s">
        <v>708</v>
      </c>
      <c r="G7" s="78" t="s">
        <v>836</v>
      </c>
      <c r="H7" s="78" t="s">
        <v>837</v>
      </c>
      <c r="I7" s="78" t="s">
        <v>824</v>
      </c>
    </row>
    <row r="8" spans="1:9" ht="57">
      <c r="A8" s="78" t="s">
        <v>838</v>
      </c>
      <c r="B8" s="78" t="s">
        <v>839</v>
      </c>
      <c r="C8" s="78" t="s">
        <v>840</v>
      </c>
      <c r="D8" s="78" t="s">
        <v>841</v>
      </c>
      <c r="E8" s="78" t="s">
        <v>842</v>
      </c>
      <c r="F8" s="78" t="s">
        <v>708</v>
      </c>
      <c r="G8" s="78" t="s">
        <v>822</v>
      </c>
      <c r="H8" s="78" t="s">
        <v>843</v>
      </c>
      <c r="I8" s="78" t="s">
        <v>824</v>
      </c>
    </row>
    <row r="9" spans="1:9" ht="28.5">
      <c r="A9" s="78" t="s">
        <v>844</v>
      </c>
      <c r="B9" s="78" t="s">
        <v>845</v>
      </c>
      <c r="C9" s="78" t="s">
        <v>846</v>
      </c>
      <c r="D9" s="78" t="s">
        <v>847</v>
      </c>
      <c r="E9" s="78" t="s">
        <v>848</v>
      </c>
      <c r="F9" s="78" t="s">
        <v>720</v>
      </c>
      <c r="G9" s="78" t="s">
        <v>822</v>
      </c>
      <c r="H9" s="78" t="s">
        <v>849</v>
      </c>
      <c r="I9" s="78" t="s">
        <v>824</v>
      </c>
    </row>
    <row r="10" spans="1:9" ht="28.5">
      <c r="A10" s="78" t="s">
        <v>850</v>
      </c>
      <c r="B10" s="78" t="s">
        <v>851</v>
      </c>
      <c r="C10" s="78" t="s">
        <v>852</v>
      </c>
      <c r="D10" s="78" t="s">
        <v>853</v>
      </c>
      <c r="E10" s="78" t="s">
        <v>854</v>
      </c>
      <c r="F10" s="78" t="s">
        <v>720</v>
      </c>
      <c r="G10" s="78" t="s">
        <v>855</v>
      </c>
      <c r="H10" s="78" t="s">
        <v>851</v>
      </c>
      <c r="I10" s="78" t="s">
        <v>824</v>
      </c>
    </row>
    <row r="11" spans="1:9" ht="28.5">
      <c r="A11" s="78" t="s">
        <v>856</v>
      </c>
      <c r="B11" s="78" t="s">
        <v>857</v>
      </c>
      <c r="C11" s="78" t="s">
        <v>858</v>
      </c>
      <c r="D11" s="78" t="s">
        <v>859</v>
      </c>
      <c r="E11" s="78" t="s">
        <v>860</v>
      </c>
      <c r="F11" s="78" t="s">
        <v>720</v>
      </c>
      <c r="G11" s="78" t="s">
        <v>861</v>
      </c>
      <c r="H11" s="78" t="s">
        <v>862</v>
      </c>
      <c r="I11" s="78" t="s">
        <v>824</v>
      </c>
    </row>
    <row r="12" spans="1:9" ht="28.5">
      <c r="A12" s="78" t="s">
        <v>863</v>
      </c>
      <c r="B12" s="78" t="s">
        <v>864</v>
      </c>
      <c r="C12" s="78" t="s">
        <v>865</v>
      </c>
      <c r="D12" s="78" t="s">
        <v>866</v>
      </c>
      <c r="E12" s="78" t="s">
        <v>867</v>
      </c>
      <c r="F12" s="78" t="s">
        <v>733</v>
      </c>
      <c r="G12" s="78" t="s">
        <v>836</v>
      </c>
      <c r="H12" s="78" t="s">
        <v>864</v>
      </c>
      <c r="I12" s="78" t="s">
        <v>824</v>
      </c>
    </row>
    <row r="13" spans="1:9" ht="28.5">
      <c r="A13" s="78" t="s">
        <v>868</v>
      </c>
      <c r="B13" s="78" t="s">
        <v>862</v>
      </c>
      <c r="C13" s="78" t="s">
        <v>869</v>
      </c>
      <c r="D13" s="78" t="s">
        <v>870</v>
      </c>
      <c r="E13" s="78" t="s">
        <v>871</v>
      </c>
      <c r="F13" s="78" t="s">
        <v>720</v>
      </c>
      <c r="G13" s="78" t="s">
        <v>855</v>
      </c>
      <c r="H13" s="78" t="s">
        <v>862</v>
      </c>
      <c r="I13" s="78" t="s">
        <v>824</v>
      </c>
    </row>
    <row r="14" spans="1:9" ht="28.5">
      <c r="A14" s="78" t="s">
        <v>872</v>
      </c>
      <c r="B14" s="78" t="s">
        <v>873</v>
      </c>
      <c r="C14" s="78" t="s">
        <v>874</v>
      </c>
      <c r="D14" s="78" t="s">
        <v>875</v>
      </c>
      <c r="E14" s="78" t="s">
        <v>876</v>
      </c>
      <c r="F14" s="78" t="s">
        <v>720</v>
      </c>
      <c r="G14" s="78" t="s">
        <v>877</v>
      </c>
      <c r="H14" s="78" t="s">
        <v>873</v>
      </c>
      <c r="I14" s="78" t="s">
        <v>824</v>
      </c>
    </row>
    <row r="15" spans="1:9" ht="28.5">
      <c r="A15" s="78" t="s">
        <v>878</v>
      </c>
      <c r="B15" s="78" t="s">
        <v>879</v>
      </c>
      <c r="C15" s="78" t="s">
        <v>880</v>
      </c>
      <c r="D15" s="78" t="s">
        <v>881</v>
      </c>
      <c r="E15" s="78" t="s">
        <v>882</v>
      </c>
      <c r="F15" s="78" t="s">
        <v>733</v>
      </c>
      <c r="G15" s="78" t="s">
        <v>883</v>
      </c>
      <c r="H15" s="78" t="s">
        <v>884</v>
      </c>
      <c r="I15" s="78" t="s">
        <v>824</v>
      </c>
    </row>
    <row r="16" spans="1:9" ht="28.5">
      <c r="A16" s="78" t="s">
        <v>885</v>
      </c>
      <c r="B16" s="78" t="s">
        <v>886</v>
      </c>
      <c r="C16" s="78" t="s">
        <v>887</v>
      </c>
      <c r="D16" s="78" t="s">
        <v>888</v>
      </c>
      <c r="E16" s="78" t="s">
        <v>889</v>
      </c>
      <c r="F16" s="78" t="s">
        <v>733</v>
      </c>
      <c r="G16" s="78" t="s">
        <v>890</v>
      </c>
      <c r="H16" s="78" t="s">
        <v>886</v>
      </c>
      <c r="I16" s="78" t="s">
        <v>824</v>
      </c>
    </row>
    <row r="17" spans="1:9" ht="72" customHeight="1">
      <c r="A17" s="182" t="s">
        <v>891</v>
      </c>
      <c r="B17" s="183" t="s">
        <v>892</v>
      </c>
      <c r="C17" s="183" t="s">
        <v>893</v>
      </c>
      <c r="D17" s="183" t="s">
        <v>894</v>
      </c>
      <c r="E17" s="183" t="s">
        <v>895</v>
      </c>
      <c r="F17" s="183" t="s">
        <v>708</v>
      </c>
      <c r="G17" s="183" t="s">
        <v>836</v>
      </c>
      <c r="H17" s="183" t="s">
        <v>896</v>
      </c>
      <c r="I17" s="184" t="s">
        <v>824</v>
      </c>
    </row>
    <row r="18" spans="1:9" ht="72" customHeight="1">
      <c r="A18" s="185" t="s">
        <v>897</v>
      </c>
      <c r="B18" s="83" t="s">
        <v>898</v>
      </c>
      <c r="C18" s="83" t="s">
        <v>899</v>
      </c>
      <c r="D18" s="83" t="s">
        <v>900</v>
      </c>
      <c r="E18" s="83" t="s">
        <v>901</v>
      </c>
      <c r="F18" s="83" t="s">
        <v>708</v>
      </c>
      <c r="G18" s="83" t="s">
        <v>902</v>
      </c>
      <c r="H18" s="83" t="s">
        <v>903</v>
      </c>
      <c r="I18" s="186" t="s">
        <v>824</v>
      </c>
    </row>
    <row r="19" spans="1:9" ht="72" customHeight="1">
      <c r="A19" s="187" t="s">
        <v>904</v>
      </c>
      <c r="B19" s="188" t="s">
        <v>905</v>
      </c>
      <c r="C19" s="188" t="s">
        <v>906</v>
      </c>
      <c r="D19" s="188" t="s">
        <v>907</v>
      </c>
      <c r="E19" s="188" t="s">
        <v>908</v>
      </c>
      <c r="F19" s="188" t="s">
        <v>708</v>
      </c>
      <c r="G19" s="188" t="s">
        <v>890</v>
      </c>
      <c r="H19" s="188" t="s">
        <v>909</v>
      </c>
      <c r="I19" s="189" t="s">
        <v>824</v>
      </c>
    </row>
    <row r="20" spans="1:9">
      <c r="A20" s="78"/>
      <c r="B20" s="78"/>
      <c r="C20" s="78"/>
      <c r="D20" s="78"/>
      <c r="E20" s="78"/>
      <c r="F20" s="78"/>
      <c r="G20" s="78"/>
      <c r="H20" s="78"/>
      <c r="I20" s="78"/>
    </row>
    <row r="21" spans="1:9">
      <c r="A21" s="78"/>
      <c r="B21" s="78"/>
      <c r="C21" s="78"/>
      <c r="D21" s="78"/>
      <c r="E21" s="78"/>
      <c r="F21" s="78"/>
      <c r="G21" s="78"/>
      <c r="H21" s="78"/>
      <c r="I21" s="78"/>
    </row>
    <row r="22" spans="1:9">
      <c r="A22" s="78"/>
      <c r="B22" s="78"/>
      <c r="C22" s="78"/>
      <c r="D22" s="78"/>
      <c r="E22" s="78"/>
      <c r="F22" s="78"/>
      <c r="G22" s="78"/>
      <c r="H22" s="78"/>
      <c r="I22" s="78"/>
    </row>
    <row r="23" spans="1:9">
      <c r="A23" s="78"/>
      <c r="B23" s="78"/>
      <c r="C23" s="78"/>
      <c r="D23" s="78"/>
      <c r="E23" s="78"/>
      <c r="F23" s="78"/>
      <c r="G23" s="78"/>
      <c r="H23" s="78"/>
      <c r="I23" s="78"/>
    </row>
    <row r="24" spans="1:9">
      <c r="A24" s="78"/>
      <c r="B24" s="78"/>
      <c r="C24" s="78"/>
      <c r="D24" s="78"/>
      <c r="E24" s="78"/>
      <c r="F24" s="78"/>
      <c r="G24" s="78"/>
      <c r="H24" s="78"/>
      <c r="I24" s="78"/>
    </row>
    <row r="25" spans="1:9">
      <c r="A25" s="78"/>
      <c r="B25" s="78"/>
      <c r="C25" s="78"/>
      <c r="D25" s="78"/>
      <c r="E25" s="78"/>
      <c r="F25" s="78"/>
      <c r="G25" s="78"/>
      <c r="H25" s="78"/>
      <c r="I25" s="78"/>
    </row>
    <row r="26" spans="1:9">
      <c r="A26" s="78"/>
      <c r="B26" s="78"/>
      <c r="C26" s="78"/>
      <c r="D26" s="78"/>
      <c r="E26" s="78"/>
      <c r="F26" s="78"/>
      <c r="G26" s="78"/>
      <c r="H26" s="78"/>
      <c r="I26" s="78"/>
    </row>
    <row r="27" spans="1:9">
      <c r="A27" s="78"/>
      <c r="B27" s="78"/>
      <c r="C27" s="78"/>
      <c r="D27" s="78"/>
      <c r="E27" s="78"/>
      <c r="F27" s="78"/>
      <c r="G27" s="78"/>
      <c r="H27" s="78"/>
      <c r="I27" s="78"/>
    </row>
    <row r="28" spans="1:9">
      <c r="A28" s="78"/>
      <c r="B28" s="78"/>
      <c r="C28" s="78"/>
      <c r="D28" s="78"/>
      <c r="E28" s="78"/>
      <c r="F28" s="78"/>
      <c r="G28" s="78"/>
      <c r="H28" s="78"/>
      <c r="I28" s="78"/>
    </row>
    <row r="29" spans="1:9">
      <c r="A29" s="78"/>
      <c r="B29" s="78"/>
      <c r="C29" s="78"/>
      <c r="D29" s="78"/>
      <c r="E29" s="78"/>
      <c r="F29" s="78"/>
      <c r="G29" s="78"/>
      <c r="H29" s="78"/>
      <c r="I29" s="78"/>
    </row>
    <row r="30" spans="1:9">
      <c r="A30" s="78"/>
      <c r="B30" s="78"/>
      <c r="C30" s="78"/>
      <c r="D30" s="78"/>
      <c r="E30" s="78"/>
      <c r="F30" s="78"/>
      <c r="G30" s="78"/>
      <c r="H30" s="78"/>
      <c r="I30" s="78"/>
    </row>
    <row r="31" spans="1:9">
      <c r="A31" s="78"/>
      <c r="B31" s="78"/>
      <c r="C31" s="78"/>
      <c r="D31" s="78"/>
      <c r="E31" s="78"/>
      <c r="F31" s="78"/>
      <c r="G31" s="78"/>
      <c r="H31" s="78"/>
      <c r="I31" s="78"/>
    </row>
    <row r="32" spans="1:9">
      <c r="A32" s="78"/>
      <c r="B32" s="78"/>
      <c r="C32" s="78"/>
      <c r="D32" s="78"/>
      <c r="E32" s="78"/>
      <c r="F32" s="78"/>
      <c r="G32" s="78"/>
      <c r="H32" s="78"/>
      <c r="I32" s="78"/>
    </row>
    <row r="33" spans="1:9">
      <c r="A33" s="78"/>
      <c r="B33" s="78"/>
      <c r="C33" s="78"/>
      <c r="D33" s="78"/>
      <c r="E33" s="78"/>
      <c r="F33" s="78"/>
      <c r="G33" s="78"/>
      <c r="H33" s="78"/>
      <c r="I33" s="78"/>
    </row>
    <row r="34" spans="1:9">
      <c r="A34" s="78"/>
      <c r="B34" s="78"/>
      <c r="C34" s="78"/>
      <c r="D34" s="78"/>
      <c r="E34" s="78"/>
      <c r="F34" s="78"/>
      <c r="G34" s="78"/>
      <c r="H34" s="78"/>
      <c r="I34" s="78"/>
    </row>
    <row r="35" spans="1:9">
      <c r="A35" s="78"/>
      <c r="B35" s="78"/>
      <c r="C35" s="78"/>
      <c r="D35" s="78"/>
      <c r="E35" s="78"/>
      <c r="F35" s="78"/>
      <c r="G35" s="78"/>
      <c r="H35" s="78"/>
      <c r="I35" s="78"/>
    </row>
    <row r="36" spans="1:9">
      <c r="A36" s="78"/>
      <c r="B36" s="78"/>
      <c r="C36" s="78"/>
      <c r="D36" s="78"/>
      <c r="E36" s="78"/>
      <c r="F36" s="78"/>
      <c r="G36" s="78"/>
      <c r="H36" s="78"/>
      <c r="I36" s="78"/>
    </row>
    <row r="37" spans="1:9">
      <c r="A37" s="78"/>
      <c r="B37" s="78"/>
      <c r="C37" s="78"/>
      <c r="D37" s="78"/>
      <c r="E37" s="78"/>
      <c r="F37" s="78"/>
      <c r="G37" s="78"/>
      <c r="H37" s="78"/>
      <c r="I37" s="78"/>
    </row>
    <row r="38" spans="1:9">
      <c r="A38" s="78"/>
      <c r="B38" s="78"/>
      <c r="C38" s="78"/>
      <c r="D38" s="78"/>
      <c r="E38" s="78"/>
      <c r="F38" s="78"/>
      <c r="G38" s="78"/>
      <c r="H38" s="78"/>
      <c r="I38" s="78"/>
    </row>
    <row r="39" spans="1:9">
      <c r="A39" s="78"/>
      <c r="B39" s="78"/>
      <c r="C39" s="78"/>
      <c r="D39" s="78"/>
      <c r="E39" s="78"/>
      <c r="F39" s="78"/>
      <c r="G39" s="78"/>
      <c r="H39" s="78"/>
      <c r="I39" s="78"/>
    </row>
    <row r="40" spans="1:9">
      <c r="A40" s="78"/>
      <c r="B40" s="78"/>
      <c r="C40" s="78"/>
      <c r="D40" s="78"/>
      <c r="E40" s="78"/>
      <c r="F40" s="78"/>
      <c r="G40" s="78"/>
      <c r="H40" s="78"/>
      <c r="I40" s="78"/>
    </row>
    <row r="41" spans="1:9">
      <c r="A41" s="78"/>
      <c r="B41" s="78"/>
      <c r="C41" s="78"/>
      <c r="D41" s="78"/>
      <c r="E41" s="78"/>
      <c r="F41" s="78"/>
      <c r="G41" s="78"/>
      <c r="H41" s="78"/>
      <c r="I41" s="78"/>
    </row>
    <row r="42" spans="1:9">
      <c r="A42" s="78"/>
      <c r="B42" s="78"/>
      <c r="C42" s="78"/>
      <c r="D42" s="78"/>
      <c r="E42" s="78"/>
      <c r="F42" s="78"/>
      <c r="G42" s="78"/>
      <c r="H42" s="78"/>
      <c r="I42" s="78"/>
    </row>
    <row r="43" spans="1:9">
      <c r="A43" s="78"/>
      <c r="B43" s="78"/>
      <c r="C43" s="78"/>
      <c r="D43" s="78"/>
      <c r="E43" s="78"/>
      <c r="F43" s="78"/>
      <c r="G43" s="78"/>
      <c r="H43" s="78"/>
      <c r="I43" s="78"/>
    </row>
    <row r="44" spans="1:9">
      <c r="A44" s="78"/>
      <c r="B44" s="78"/>
      <c r="C44" s="78"/>
      <c r="D44" s="78"/>
      <c r="E44" s="78"/>
      <c r="F44" s="78"/>
      <c r="G44" s="78"/>
      <c r="H44" s="78"/>
      <c r="I44" s="78"/>
    </row>
    <row r="45" spans="1:9">
      <c r="A45" s="78"/>
      <c r="B45" s="78"/>
      <c r="C45" s="78"/>
      <c r="D45" s="78"/>
      <c r="E45" s="78"/>
      <c r="F45" s="78"/>
      <c r="G45" s="78"/>
      <c r="H45" s="78"/>
      <c r="I45" s="78"/>
    </row>
    <row r="46" spans="1:9">
      <c r="A46" s="78"/>
      <c r="B46" s="78"/>
      <c r="C46" s="78"/>
      <c r="D46" s="78"/>
      <c r="E46" s="78"/>
      <c r="F46" s="78"/>
      <c r="G46" s="78"/>
      <c r="H46" s="78"/>
      <c r="I46" s="78"/>
    </row>
    <row r="47" spans="1:9">
      <c r="A47" s="78"/>
      <c r="B47" s="78"/>
      <c r="C47" s="78"/>
      <c r="D47" s="78"/>
      <c r="E47" s="78"/>
      <c r="F47" s="78"/>
      <c r="G47" s="78"/>
      <c r="H47" s="78"/>
      <c r="I47" s="78"/>
    </row>
    <row r="48" spans="1:9">
      <c r="A48" s="78"/>
      <c r="B48" s="78"/>
      <c r="C48" s="78"/>
      <c r="D48" s="78"/>
      <c r="E48" s="78"/>
      <c r="F48" s="78"/>
      <c r="G48" s="78"/>
      <c r="H48" s="78"/>
      <c r="I48" s="78"/>
    </row>
    <row r="49" spans="1:9">
      <c r="A49" s="78"/>
      <c r="B49" s="78"/>
      <c r="C49" s="78"/>
      <c r="D49" s="78"/>
      <c r="E49" s="78"/>
      <c r="F49" s="78"/>
      <c r="G49" s="78"/>
      <c r="H49" s="78"/>
      <c r="I49" s="78"/>
    </row>
    <row r="50" spans="1:9">
      <c r="A50" s="78"/>
      <c r="B50" s="78"/>
      <c r="C50" s="78"/>
      <c r="D50" s="78"/>
      <c r="E50" s="78"/>
      <c r="F50" s="78"/>
      <c r="G50" s="78"/>
      <c r="H50" s="78"/>
      <c r="I50" s="78"/>
    </row>
    <row r="51" spans="1:9">
      <c r="A51" s="78"/>
      <c r="B51" s="78"/>
      <c r="C51" s="78"/>
      <c r="D51" s="78"/>
      <c r="E51" s="78"/>
      <c r="F51" s="78"/>
      <c r="G51" s="78"/>
      <c r="H51" s="78"/>
      <c r="I51" s="78"/>
    </row>
    <row r="52" spans="1:9">
      <c r="A52" s="78"/>
      <c r="B52" s="78"/>
      <c r="C52" s="78"/>
      <c r="D52" s="78"/>
      <c r="E52" s="78"/>
      <c r="F52" s="78"/>
      <c r="G52" s="78"/>
      <c r="H52" s="78"/>
      <c r="I52" s="78"/>
    </row>
    <row r="53" spans="1:9">
      <c r="A53" s="78"/>
      <c r="B53" s="78"/>
      <c r="C53" s="78"/>
      <c r="D53" s="78"/>
      <c r="E53" s="78"/>
      <c r="F53" s="78"/>
      <c r="G53" s="78"/>
      <c r="H53" s="78"/>
      <c r="I53" s="78"/>
    </row>
    <row r="54" spans="1:9">
      <c r="A54" s="78"/>
      <c r="B54" s="78"/>
      <c r="C54" s="78"/>
      <c r="D54" s="78"/>
      <c r="E54" s="78"/>
      <c r="F54" s="78"/>
      <c r="G54" s="78"/>
      <c r="H54" s="78"/>
      <c r="I54" s="78"/>
    </row>
    <row r="55" spans="1:9">
      <c r="A55" s="78"/>
      <c r="B55" s="78"/>
      <c r="C55" s="78"/>
      <c r="D55" s="78"/>
      <c r="E55" s="78"/>
      <c r="F55" s="78"/>
      <c r="G55" s="78"/>
      <c r="H55" s="78"/>
      <c r="I55" s="78"/>
    </row>
    <row r="56" spans="1:9">
      <c r="A56" s="78"/>
      <c r="B56" s="78"/>
      <c r="C56" s="78"/>
      <c r="D56" s="78"/>
      <c r="E56" s="78"/>
      <c r="F56" s="78"/>
      <c r="G56" s="78"/>
      <c r="H56" s="78"/>
      <c r="I56" s="78"/>
    </row>
    <row r="57" spans="1:9">
      <c r="A57" s="78"/>
      <c r="B57" s="78"/>
      <c r="C57" s="78"/>
      <c r="D57" s="78"/>
      <c r="E57" s="78"/>
      <c r="F57" s="78"/>
      <c r="G57" s="78"/>
      <c r="H57" s="78"/>
      <c r="I57" s="78"/>
    </row>
    <row r="58" spans="1:9">
      <c r="A58" s="78"/>
      <c r="B58" s="78"/>
      <c r="C58" s="78"/>
      <c r="D58" s="78"/>
      <c r="E58" s="78"/>
      <c r="F58" s="78"/>
      <c r="G58" s="78"/>
      <c r="H58" s="78"/>
      <c r="I58" s="78"/>
    </row>
    <row r="59" spans="1:9">
      <c r="A59" s="78"/>
      <c r="B59" s="78"/>
      <c r="C59" s="78"/>
      <c r="D59" s="78"/>
      <c r="E59" s="78"/>
      <c r="F59" s="78"/>
      <c r="G59" s="78"/>
      <c r="H59" s="78"/>
      <c r="I59" s="78"/>
    </row>
    <row r="60" spans="1:9">
      <c r="A60" s="78"/>
      <c r="B60" s="78"/>
      <c r="C60" s="78"/>
      <c r="D60" s="78"/>
      <c r="E60" s="78"/>
      <c r="F60" s="78"/>
      <c r="G60" s="78"/>
      <c r="H60" s="78"/>
      <c r="I60" s="78"/>
    </row>
    <row r="61" spans="1:9">
      <c r="A61" s="78"/>
      <c r="B61" s="78"/>
      <c r="C61" s="78"/>
      <c r="D61" s="78"/>
      <c r="E61" s="78"/>
      <c r="F61" s="78"/>
      <c r="G61" s="78"/>
      <c r="H61" s="78"/>
      <c r="I61" s="78"/>
    </row>
    <row r="62" spans="1:9">
      <c r="A62" s="78"/>
      <c r="B62" s="78"/>
      <c r="C62" s="78"/>
      <c r="D62" s="78"/>
      <c r="E62" s="78"/>
      <c r="F62" s="78"/>
      <c r="G62" s="78"/>
      <c r="H62" s="78"/>
      <c r="I62" s="78"/>
    </row>
    <row r="63" spans="1:9">
      <c r="A63" s="78"/>
      <c r="B63" s="78"/>
      <c r="C63" s="78"/>
      <c r="D63" s="78"/>
      <c r="E63" s="78"/>
      <c r="F63" s="78"/>
      <c r="G63" s="78"/>
      <c r="H63" s="78"/>
      <c r="I63" s="78"/>
    </row>
    <row r="64" spans="1:9">
      <c r="A64" s="78"/>
      <c r="B64" s="78"/>
      <c r="C64" s="78"/>
      <c r="D64" s="78"/>
      <c r="E64" s="78"/>
      <c r="F64" s="78"/>
      <c r="G64" s="78"/>
      <c r="H64" s="78"/>
      <c r="I64" s="78"/>
    </row>
    <row r="65" spans="1:9">
      <c r="A65" s="78"/>
      <c r="B65" s="78"/>
      <c r="C65" s="78"/>
      <c r="D65" s="78"/>
      <c r="E65" s="78"/>
      <c r="F65" s="78"/>
      <c r="G65" s="78"/>
      <c r="H65" s="78"/>
      <c r="I65" s="78"/>
    </row>
    <row r="66" spans="1:9">
      <c r="A66" s="78"/>
      <c r="B66" s="78"/>
      <c r="C66" s="78"/>
      <c r="D66" s="78"/>
      <c r="E66" s="78"/>
      <c r="F66" s="78"/>
      <c r="G66" s="78"/>
      <c r="H66" s="78"/>
      <c r="I66" s="78"/>
    </row>
    <row r="67" spans="1:9">
      <c r="A67" s="78"/>
      <c r="B67" s="78"/>
      <c r="C67" s="78"/>
      <c r="D67" s="78"/>
      <c r="E67" s="78"/>
      <c r="F67" s="78"/>
      <c r="G67" s="78"/>
      <c r="H67" s="78"/>
      <c r="I67" s="78"/>
    </row>
    <row r="68" spans="1:9">
      <c r="A68" s="78"/>
      <c r="B68" s="78"/>
      <c r="C68" s="78"/>
      <c r="D68" s="78"/>
      <c r="E68" s="78"/>
      <c r="F68" s="78"/>
      <c r="G68" s="78"/>
      <c r="H68" s="78"/>
      <c r="I68" s="78"/>
    </row>
    <row r="69" spans="1:9">
      <c r="A69" s="78"/>
      <c r="B69" s="78"/>
      <c r="C69" s="78"/>
      <c r="D69" s="78"/>
      <c r="E69" s="78"/>
      <c r="F69" s="78"/>
      <c r="G69" s="78"/>
      <c r="H69" s="78"/>
      <c r="I69" s="78"/>
    </row>
    <row r="70" spans="1:9">
      <c r="A70" s="78"/>
      <c r="B70" s="78"/>
      <c r="C70" s="78"/>
      <c r="D70" s="78"/>
      <c r="E70" s="78"/>
      <c r="F70" s="78"/>
      <c r="G70" s="78"/>
      <c r="H70" s="78"/>
      <c r="I70" s="78"/>
    </row>
    <row r="71" spans="1:9">
      <c r="A71" s="78"/>
      <c r="B71" s="78"/>
      <c r="C71" s="78"/>
      <c r="D71" s="78"/>
      <c r="E71" s="78"/>
      <c r="F71" s="78"/>
      <c r="G71" s="78"/>
      <c r="H71" s="78"/>
      <c r="I71" s="78"/>
    </row>
    <row r="72" spans="1:9">
      <c r="A72" s="78"/>
      <c r="B72" s="78"/>
      <c r="C72" s="78"/>
      <c r="D72" s="78"/>
      <c r="E72" s="78"/>
      <c r="F72" s="78"/>
      <c r="G72" s="78"/>
      <c r="H72" s="78"/>
      <c r="I72" s="78"/>
    </row>
    <row r="73" spans="1:9">
      <c r="A73" s="78"/>
      <c r="B73" s="78"/>
      <c r="C73" s="78"/>
      <c r="D73" s="78"/>
      <c r="E73" s="78"/>
      <c r="F73" s="78"/>
      <c r="G73" s="78"/>
      <c r="H73" s="78"/>
      <c r="I73" s="78"/>
    </row>
    <row r="74" spans="1:9">
      <c r="A74" s="78"/>
      <c r="B74" s="78"/>
      <c r="C74" s="78"/>
      <c r="D74" s="78"/>
      <c r="E74" s="78"/>
      <c r="F74" s="78"/>
      <c r="G74" s="78"/>
      <c r="H74" s="78"/>
      <c r="I74" s="78"/>
    </row>
    <row r="75" spans="1:9">
      <c r="A75" s="78"/>
      <c r="B75" s="78"/>
      <c r="C75" s="78"/>
      <c r="D75" s="78"/>
      <c r="E75" s="78"/>
      <c r="F75" s="78"/>
      <c r="G75" s="78"/>
      <c r="H75" s="78"/>
      <c r="I75" s="78"/>
    </row>
    <row r="76" spans="1:9">
      <c r="A76" s="78"/>
      <c r="B76" s="78"/>
      <c r="C76" s="78"/>
      <c r="D76" s="78"/>
      <c r="E76" s="78"/>
      <c r="F76" s="78"/>
      <c r="G76" s="78"/>
      <c r="H76" s="78"/>
      <c r="I76" s="78"/>
    </row>
    <row r="77" spans="1:9">
      <c r="A77" s="78"/>
      <c r="B77" s="78"/>
      <c r="C77" s="78"/>
      <c r="D77" s="78"/>
      <c r="E77" s="78"/>
      <c r="F77" s="78"/>
      <c r="G77" s="78"/>
      <c r="H77" s="78"/>
      <c r="I77" s="78"/>
    </row>
    <row r="78" spans="1:9">
      <c r="A78" s="78"/>
      <c r="B78" s="78"/>
      <c r="C78" s="78"/>
      <c r="D78" s="78"/>
      <c r="E78" s="78"/>
      <c r="F78" s="78"/>
      <c r="G78" s="78"/>
      <c r="H78" s="78"/>
      <c r="I78" s="78"/>
    </row>
    <row r="79" spans="1:9">
      <c r="A79" s="78"/>
      <c r="B79" s="78"/>
      <c r="C79" s="78"/>
      <c r="D79" s="78"/>
      <c r="E79" s="78"/>
      <c r="F79" s="78"/>
      <c r="G79" s="78"/>
      <c r="H79" s="78"/>
      <c r="I79" s="78"/>
    </row>
    <row r="80" spans="1:9">
      <c r="A80" s="78"/>
      <c r="B80" s="78"/>
      <c r="C80" s="78"/>
      <c r="D80" s="78"/>
      <c r="E80" s="78"/>
      <c r="F80" s="78"/>
      <c r="G80" s="78"/>
      <c r="H80" s="78"/>
      <c r="I80" s="78"/>
    </row>
    <row r="81" spans="1:9">
      <c r="A81" s="78"/>
      <c r="B81" s="78"/>
      <c r="C81" s="78"/>
      <c r="D81" s="78"/>
      <c r="E81" s="78"/>
      <c r="F81" s="78"/>
      <c r="G81" s="78"/>
      <c r="H81" s="78"/>
      <c r="I81" s="78"/>
    </row>
    <row r="82" spans="1:9">
      <c r="A82" s="78"/>
      <c r="B82" s="78"/>
      <c r="C82" s="78"/>
      <c r="D82" s="78"/>
      <c r="E82" s="78"/>
      <c r="F82" s="78"/>
      <c r="G82" s="78"/>
      <c r="H82" s="78"/>
      <c r="I82" s="78"/>
    </row>
    <row r="83" spans="1:9">
      <c r="A83" s="78"/>
      <c r="B83" s="78"/>
      <c r="C83" s="78"/>
      <c r="D83" s="78"/>
      <c r="E83" s="78"/>
      <c r="F83" s="78"/>
      <c r="G83" s="78"/>
      <c r="H83" s="78"/>
      <c r="I83" s="78"/>
    </row>
    <row r="84" spans="1:9">
      <c r="A84" s="78"/>
      <c r="B84" s="78"/>
      <c r="C84" s="78"/>
      <c r="D84" s="78"/>
      <c r="E84" s="78"/>
      <c r="F84" s="78"/>
      <c r="G84" s="78"/>
      <c r="H84" s="78"/>
      <c r="I84" s="78"/>
    </row>
    <row r="85" spans="1:9">
      <c r="A85" s="78"/>
      <c r="B85" s="78"/>
      <c r="C85" s="78"/>
      <c r="D85" s="78"/>
      <c r="E85" s="78"/>
      <c r="F85" s="78"/>
      <c r="G85" s="78"/>
      <c r="H85" s="78"/>
      <c r="I85" s="78"/>
    </row>
    <row r="86" spans="1:9">
      <c r="A86" s="78"/>
      <c r="B86" s="78"/>
      <c r="C86" s="78"/>
      <c r="D86" s="78"/>
      <c r="E86" s="78"/>
      <c r="F86" s="78"/>
      <c r="G86" s="78"/>
      <c r="H86" s="78"/>
      <c r="I86" s="78"/>
    </row>
    <row r="87" spans="1:9">
      <c r="A87" s="78"/>
      <c r="B87" s="78"/>
      <c r="C87" s="78"/>
      <c r="D87" s="78"/>
      <c r="E87" s="78"/>
      <c r="F87" s="78"/>
      <c r="G87" s="78"/>
      <c r="H87" s="78"/>
      <c r="I87" s="78"/>
    </row>
    <row r="88" spans="1:9">
      <c r="A88" s="78"/>
      <c r="B88" s="78"/>
      <c r="C88" s="78"/>
      <c r="D88" s="78"/>
      <c r="E88" s="78"/>
      <c r="F88" s="78"/>
      <c r="G88" s="78"/>
      <c r="H88" s="78"/>
      <c r="I88" s="78"/>
    </row>
    <row r="89" spans="1:9">
      <c r="A89" s="78"/>
      <c r="B89" s="78"/>
      <c r="C89" s="78"/>
      <c r="D89" s="78"/>
      <c r="E89" s="78"/>
      <c r="F89" s="78"/>
      <c r="G89" s="78"/>
      <c r="H89" s="78"/>
      <c r="I89" s="78"/>
    </row>
    <row r="90" spans="1:9">
      <c r="A90" s="78"/>
      <c r="B90" s="78"/>
      <c r="C90" s="78"/>
      <c r="D90" s="78"/>
      <c r="E90" s="78"/>
      <c r="F90" s="78"/>
      <c r="G90" s="78"/>
      <c r="H90" s="78"/>
      <c r="I90" s="78"/>
    </row>
    <row r="91" spans="1:9">
      <c r="A91" s="78"/>
      <c r="B91" s="78"/>
      <c r="C91" s="78"/>
      <c r="D91" s="78"/>
      <c r="E91" s="78"/>
      <c r="F91" s="78"/>
      <c r="G91" s="78"/>
      <c r="H91" s="78"/>
      <c r="I91" s="78"/>
    </row>
    <row r="92" spans="1:9">
      <c r="A92" s="78"/>
      <c r="B92" s="78"/>
      <c r="C92" s="78"/>
      <c r="D92" s="78"/>
      <c r="E92" s="78"/>
      <c r="F92" s="78"/>
      <c r="G92" s="78"/>
      <c r="H92" s="78"/>
      <c r="I92" s="78"/>
    </row>
    <row r="93" spans="1:9">
      <c r="A93" s="78"/>
      <c r="B93" s="78"/>
      <c r="C93" s="78"/>
      <c r="D93" s="78"/>
      <c r="E93" s="78"/>
      <c r="F93" s="78"/>
      <c r="G93" s="78"/>
      <c r="H93" s="78"/>
      <c r="I93" s="78"/>
    </row>
    <row r="94" spans="1:9">
      <c r="A94" s="78"/>
      <c r="B94" s="78"/>
      <c r="C94" s="78"/>
      <c r="D94" s="78"/>
      <c r="E94" s="78"/>
      <c r="F94" s="78"/>
      <c r="G94" s="78"/>
      <c r="H94" s="78"/>
      <c r="I94" s="78"/>
    </row>
    <row r="95" spans="1:9">
      <c r="A95" s="78"/>
      <c r="B95" s="78"/>
      <c r="C95" s="78"/>
      <c r="D95" s="78"/>
      <c r="E95" s="78"/>
      <c r="F95" s="78"/>
      <c r="G95" s="78"/>
      <c r="H95" s="78"/>
      <c r="I95" s="78"/>
    </row>
    <row r="96" spans="1:9">
      <c r="A96" s="78"/>
      <c r="B96" s="78"/>
      <c r="C96" s="78"/>
      <c r="D96" s="78"/>
      <c r="E96" s="78"/>
      <c r="F96" s="78"/>
      <c r="G96" s="78"/>
      <c r="H96" s="78"/>
      <c r="I96" s="78"/>
    </row>
    <row r="97" spans="1:9">
      <c r="A97" s="78"/>
      <c r="B97" s="78"/>
      <c r="C97" s="78"/>
      <c r="D97" s="78"/>
      <c r="E97" s="78"/>
      <c r="F97" s="78"/>
      <c r="G97" s="78"/>
      <c r="H97" s="78"/>
      <c r="I97" s="78"/>
    </row>
    <row r="98" spans="1:9">
      <c r="A98" s="78"/>
      <c r="B98" s="78"/>
      <c r="C98" s="78"/>
      <c r="D98" s="78"/>
      <c r="E98" s="78"/>
      <c r="F98" s="78"/>
      <c r="G98" s="78"/>
      <c r="H98" s="78"/>
      <c r="I98" s="78"/>
    </row>
    <row r="99" spans="1:9">
      <c r="A99" s="78"/>
      <c r="B99" s="78"/>
      <c r="C99" s="78"/>
      <c r="D99" s="78"/>
      <c r="E99" s="78"/>
      <c r="F99" s="78"/>
      <c r="G99" s="78"/>
      <c r="H99" s="78"/>
      <c r="I99" s="78"/>
    </row>
    <row r="100" spans="1:9">
      <c r="A100" s="78"/>
      <c r="B100" s="78"/>
      <c r="C100" s="78"/>
      <c r="D100" s="78"/>
      <c r="E100" s="78"/>
      <c r="F100" s="78"/>
      <c r="G100" s="78"/>
      <c r="H100" s="78"/>
      <c r="I100" s="78"/>
    </row>
  </sheetData>
  <mergeCells count="2">
    <mergeCell ref="A1:I1"/>
    <mergeCell ref="A2:I2"/>
  </mergeCells>
  <dataValidations count="2">
    <dataValidation type="list" sqref="F5:F100" xr:uid="{00000000-0002-0000-0C00-000000000000}">
      <formula1>"Next,High,Medium,Low"</formula1>
    </dataValidation>
    <dataValidation type="list" sqref="I5:I100" xr:uid="{00000000-0002-0000-0C00-000001000000}">
      <formula1>"Deferred,Candidate,Approved,In Progress,Complete"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41"/>
  <sheetViews>
    <sheetView workbookViewId="0"/>
  </sheetViews>
  <sheetFormatPr defaultRowHeight="14.25"/>
  <cols>
    <col min="1" max="1" width="18" customWidth="1"/>
    <col min="2" max="2" width="42" customWidth="1"/>
    <col min="3" max="3" width="18" customWidth="1"/>
    <col min="4" max="4" width="36" customWidth="1"/>
    <col min="5" max="5" width="18" customWidth="1"/>
    <col min="6" max="6" width="28" customWidth="1"/>
    <col min="7" max="7" width="18" customWidth="1"/>
    <col min="8" max="8" width="22" customWidth="1"/>
  </cols>
  <sheetData>
    <row r="1" spans="1:8" ht="27.95" customHeight="1">
      <c r="A1" s="234" t="s">
        <v>910</v>
      </c>
      <c r="B1" s="235"/>
      <c r="C1" s="235"/>
      <c r="D1" s="235"/>
      <c r="E1" s="235"/>
      <c r="F1" s="235"/>
      <c r="G1" s="235"/>
      <c r="H1" s="235"/>
    </row>
    <row r="2" spans="1:8" ht="32.1" customHeight="1">
      <c r="A2" s="244" t="s">
        <v>911</v>
      </c>
      <c r="B2" s="244"/>
      <c r="C2" s="244"/>
      <c r="D2" s="244"/>
      <c r="E2" s="244"/>
      <c r="F2" s="244"/>
      <c r="G2" s="244"/>
      <c r="H2" s="244"/>
    </row>
    <row r="4" spans="1:8" ht="15.75">
      <c r="A4" s="237" t="s">
        <v>912</v>
      </c>
      <c r="B4" s="235"/>
      <c r="C4" s="235"/>
      <c r="D4" s="235"/>
      <c r="E4" s="235"/>
      <c r="F4" s="235"/>
      <c r="G4" s="235"/>
      <c r="H4" s="235"/>
    </row>
    <row r="5" spans="1:8" ht="42" customHeight="1">
      <c r="A5" s="156" t="s">
        <v>913</v>
      </c>
      <c r="B5" s="78" t="s">
        <v>914</v>
      </c>
      <c r="C5" s="156" t="s">
        <v>793</v>
      </c>
      <c r="D5" s="78" t="s">
        <v>111</v>
      </c>
      <c r="E5" s="156" t="s">
        <v>11</v>
      </c>
      <c r="F5" s="78" t="s">
        <v>915</v>
      </c>
      <c r="G5" s="156" t="s">
        <v>916</v>
      </c>
      <c r="H5" s="78" t="s">
        <v>917</v>
      </c>
    </row>
    <row r="6" spans="1:8" ht="42" customHeight="1">
      <c r="A6" s="156" t="s">
        <v>918</v>
      </c>
      <c r="B6" s="78" t="s">
        <v>919</v>
      </c>
      <c r="C6" s="156" t="s">
        <v>920</v>
      </c>
      <c r="D6" s="78" t="s">
        <v>921</v>
      </c>
      <c r="E6" s="156" t="s">
        <v>922</v>
      </c>
      <c r="F6" s="78" t="s">
        <v>923</v>
      </c>
      <c r="G6" s="156" t="s">
        <v>924</v>
      </c>
      <c r="H6" s="78" t="s">
        <v>925</v>
      </c>
    </row>
    <row r="7" spans="1:8" ht="42" customHeight="1">
      <c r="A7" s="156" t="s">
        <v>926</v>
      </c>
      <c r="B7" s="78" t="s">
        <v>927</v>
      </c>
      <c r="C7" s="156" t="s">
        <v>928</v>
      </c>
      <c r="D7" s="78" t="s">
        <v>929</v>
      </c>
      <c r="E7" s="156" t="s">
        <v>29</v>
      </c>
      <c r="F7" s="78" t="s">
        <v>143</v>
      </c>
      <c r="G7" s="156" t="s">
        <v>930</v>
      </c>
      <c r="H7" s="78" t="s">
        <v>148</v>
      </c>
    </row>
    <row r="8" spans="1:8" ht="42" customHeight="1">
      <c r="A8" s="156" t="s">
        <v>931</v>
      </c>
      <c r="B8" s="78" t="s">
        <v>932</v>
      </c>
      <c r="C8" s="156" t="s">
        <v>933</v>
      </c>
      <c r="D8" s="78" t="s">
        <v>934</v>
      </c>
      <c r="E8" s="156" t="s">
        <v>935</v>
      </c>
      <c r="F8" s="78" t="s">
        <v>936</v>
      </c>
      <c r="G8" s="156" t="s">
        <v>937</v>
      </c>
      <c r="H8" s="78" t="s">
        <v>938</v>
      </c>
    </row>
    <row r="9" spans="1:8" ht="48" customHeight="1">
      <c r="A9" s="202" t="s">
        <v>939</v>
      </c>
      <c r="B9" s="203" t="s">
        <v>940</v>
      </c>
      <c r="C9" s="202" t="s">
        <v>941</v>
      </c>
      <c r="D9" s="203" t="s">
        <v>942</v>
      </c>
      <c r="E9" s="202" t="s">
        <v>943</v>
      </c>
      <c r="F9" s="203" t="s">
        <v>944</v>
      </c>
      <c r="G9" s="202" t="s">
        <v>945</v>
      </c>
      <c r="H9" s="203" t="s">
        <v>946</v>
      </c>
    </row>
    <row r="10" spans="1:8" ht="15.75">
      <c r="A10" s="237" t="s">
        <v>947</v>
      </c>
      <c r="B10" s="235"/>
      <c r="D10" s="237" t="s">
        <v>948</v>
      </c>
      <c r="E10" s="235"/>
      <c r="F10" s="235"/>
      <c r="G10" s="235"/>
      <c r="H10" s="235"/>
    </row>
    <row r="11" spans="1:8" ht="30" customHeight="1">
      <c r="A11" s="157" t="s">
        <v>6</v>
      </c>
      <c r="B11" s="78" t="s">
        <v>949</v>
      </c>
      <c r="D11" s="157" t="s">
        <v>6</v>
      </c>
      <c r="E11" s="78" t="s">
        <v>950</v>
      </c>
    </row>
    <row r="12" spans="1:8" ht="30" customHeight="1">
      <c r="A12" s="157" t="s">
        <v>9</v>
      </c>
      <c r="B12" s="78" t="s">
        <v>951</v>
      </c>
      <c r="D12" s="157" t="s">
        <v>9</v>
      </c>
      <c r="E12" s="78" t="s">
        <v>952</v>
      </c>
    </row>
    <row r="13" spans="1:8" ht="30" customHeight="1">
      <c r="A13" s="157" t="s">
        <v>12</v>
      </c>
      <c r="B13" s="78" t="s">
        <v>953</v>
      </c>
      <c r="D13" s="157" t="s">
        <v>12</v>
      </c>
      <c r="E13" s="78" t="s">
        <v>954</v>
      </c>
    </row>
    <row r="14" spans="1:8" ht="30" customHeight="1">
      <c r="A14" s="157" t="s">
        <v>16</v>
      </c>
      <c r="B14" s="78" t="s">
        <v>955</v>
      </c>
      <c r="D14" s="157" t="s">
        <v>16</v>
      </c>
      <c r="E14" s="78" t="s">
        <v>956</v>
      </c>
    </row>
    <row r="15" spans="1:8" ht="30" customHeight="1">
      <c r="A15" s="157" t="s">
        <v>19</v>
      </c>
      <c r="B15" s="78" t="s">
        <v>957</v>
      </c>
      <c r="D15" s="157" t="s">
        <v>19</v>
      </c>
      <c r="E15" s="78" t="s">
        <v>958</v>
      </c>
    </row>
    <row r="17" spans="1:8" ht="15.75">
      <c r="A17" s="237" t="s">
        <v>959</v>
      </c>
      <c r="B17" s="235"/>
      <c r="D17" s="237" t="s">
        <v>960</v>
      </c>
      <c r="E17" s="235"/>
      <c r="F17" s="235"/>
      <c r="G17" s="235"/>
      <c r="H17" s="235"/>
    </row>
    <row r="18" spans="1:8" ht="27.95" customHeight="1">
      <c r="A18" s="157" t="s">
        <v>961</v>
      </c>
      <c r="B18" s="78" t="s">
        <v>962</v>
      </c>
      <c r="D18" s="157" t="s">
        <v>6</v>
      </c>
      <c r="E18" s="78" t="s">
        <v>963</v>
      </c>
    </row>
    <row r="19" spans="1:8" ht="27.95" customHeight="1">
      <c r="A19" s="157" t="s">
        <v>964</v>
      </c>
      <c r="B19" s="78" t="s">
        <v>965</v>
      </c>
      <c r="D19" s="157" t="s">
        <v>9</v>
      </c>
      <c r="E19" s="78" t="s">
        <v>966</v>
      </c>
    </row>
    <row r="20" spans="1:8" ht="27.95" customHeight="1">
      <c r="A20" s="157" t="s">
        <v>753</v>
      </c>
      <c r="B20" s="78" t="s">
        <v>967</v>
      </c>
      <c r="D20" s="157" t="s">
        <v>12</v>
      </c>
      <c r="E20" s="78" t="s">
        <v>968</v>
      </c>
    </row>
    <row r="21" spans="1:8" ht="27.95" customHeight="1">
      <c r="A21" s="157" t="s">
        <v>969</v>
      </c>
      <c r="B21" s="78" t="s">
        <v>970</v>
      </c>
      <c r="D21" s="157" t="s">
        <v>16</v>
      </c>
      <c r="E21" s="78" t="s">
        <v>971</v>
      </c>
    </row>
    <row r="22" spans="1:8" ht="27.95" customHeight="1">
      <c r="A22" s="157" t="s">
        <v>972</v>
      </c>
      <c r="B22" s="78" t="s">
        <v>973</v>
      </c>
      <c r="D22" s="157" t="s">
        <v>19</v>
      </c>
      <c r="E22" s="78" t="s">
        <v>974</v>
      </c>
    </row>
    <row r="23" spans="1:8" ht="27.95" customHeight="1">
      <c r="A23" s="157" t="s">
        <v>975</v>
      </c>
      <c r="B23" s="78" t="s">
        <v>976</v>
      </c>
      <c r="D23" s="157" t="s">
        <v>22</v>
      </c>
      <c r="E23" s="78" t="s">
        <v>977</v>
      </c>
    </row>
    <row r="24" spans="1:8" ht="27.95" customHeight="1">
      <c r="A24" s="157" t="s">
        <v>978</v>
      </c>
      <c r="B24" s="78" t="s">
        <v>979</v>
      </c>
      <c r="D24" s="157" t="s">
        <v>25</v>
      </c>
      <c r="E24" s="78" t="s">
        <v>980</v>
      </c>
    </row>
    <row r="25" spans="1:8" ht="27.95" customHeight="1">
      <c r="A25" s="157" t="s">
        <v>981</v>
      </c>
      <c r="B25" s="78" t="s">
        <v>982</v>
      </c>
      <c r="D25" s="157" t="s">
        <v>56</v>
      </c>
      <c r="E25" s="78" t="s">
        <v>983</v>
      </c>
    </row>
    <row r="27" spans="1:8" ht="15.75">
      <c r="A27" s="237" t="s">
        <v>984</v>
      </c>
      <c r="B27" s="235"/>
      <c r="C27" s="235"/>
      <c r="D27" s="235"/>
      <c r="E27" s="235"/>
      <c r="F27" s="235"/>
      <c r="G27" s="235"/>
      <c r="H27" s="235"/>
    </row>
    <row r="28" spans="1:8" ht="38.1" customHeight="1">
      <c r="A28" s="156" t="s">
        <v>300</v>
      </c>
      <c r="B28" s="78" t="s">
        <v>985</v>
      </c>
      <c r="C28" s="156" t="s">
        <v>986</v>
      </c>
      <c r="D28" s="78" t="s">
        <v>987</v>
      </c>
      <c r="E28" s="156" t="s">
        <v>988</v>
      </c>
      <c r="F28" s="78" t="s">
        <v>989</v>
      </c>
      <c r="G28" s="156" t="s">
        <v>702</v>
      </c>
      <c r="H28" s="78" t="s">
        <v>709</v>
      </c>
    </row>
    <row r="29" spans="1:8" ht="38.1" customHeight="1">
      <c r="A29" s="156" t="s">
        <v>300</v>
      </c>
      <c r="B29" s="78" t="s">
        <v>990</v>
      </c>
      <c r="C29" s="156" t="s">
        <v>986</v>
      </c>
      <c r="D29" s="78" t="s">
        <v>991</v>
      </c>
      <c r="E29" s="156" t="s">
        <v>988</v>
      </c>
      <c r="F29" s="78" t="s">
        <v>992</v>
      </c>
      <c r="G29" s="156" t="s">
        <v>702</v>
      </c>
      <c r="H29" s="78" t="s">
        <v>709</v>
      </c>
    </row>
    <row r="30" spans="1:8" ht="38.1" customHeight="1">
      <c r="A30" s="156" t="s">
        <v>300</v>
      </c>
      <c r="B30" s="78" t="s">
        <v>993</v>
      </c>
      <c r="C30" s="156" t="s">
        <v>986</v>
      </c>
      <c r="D30" s="78" t="s">
        <v>994</v>
      </c>
      <c r="E30" s="156" t="s">
        <v>988</v>
      </c>
      <c r="F30" s="78" t="s">
        <v>995</v>
      </c>
      <c r="G30" s="156" t="s">
        <v>702</v>
      </c>
      <c r="H30" s="78" t="s">
        <v>709</v>
      </c>
    </row>
    <row r="31" spans="1:8" ht="38.1" customHeight="1">
      <c r="A31" s="156" t="s">
        <v>300</v>
      </c>
      <c r="B31" s="78" t="s">
        <v>996</v>
      </c>
      <c r="C31" s="156" t="s">
        <v>986</v>
      </c>
      <c r="D31" s="78" t="s">
        <v>997</v>
      </c>
      <c r="E31" s="156" t="s">
        <v>988</v>
      </c>
      <c r="F31" s="78" t="s">
        <v>998</v>
      </c>
      <c r="G31" s="156" t="s">
        <v>702</v>
      </c>
      <c r="H31" s="78" t="s">
        <v>709</v>
      </c>
    </row>
    <row r="32" spans="1:8" ht="38.1" customHeight="1">
      <c r="A32" s="156" t="s">
        <v>999</v>
      </c>
      <c r="B32" s="78" t="s">
        <v>1000</v>
      </c>
      <c r="C32" s="156" t="s">
        <v>706</v>
      </c>
      <c r="D32" s="78" t="s">
        <v>1001</v>
      </c>
      <c r="E32" s="156" t="s">
        <v>988</v>
      </c>
      <c r="F32" s="78" t="s">
        <v>1002</v>
      </c>
      <c r="G32" s="156" t="s">
        <v>702</v>
      </c>
      <c r="H32" s="78" t="s">
        <v>709</v>
      </c>
    </row>
    <row r="34" spans="1:8" ht="15">
      <c r="A34" s="238" t="s">
        <v>1003</v>
      </c>
      <c r="B34" s="238"/>
      <c r="C34" s="238"/>
      <c r="D34" s="238"/>
      <c r="E34" s="238"/>
      <c r="F34" s="238"/>
      <c r="G34" s="238"/>
      <c r="H34" s="238"/>
    </row>
    <row r="35" spans="1:8" ht="42" customHeight="1">
      <c r="A35" s="239" t="s">
        <v>1004</v>
      </c>
      <c r="B35" s="240"/>
      <c r="C35" s="241" t="s">
        <v>1005</v>
      </c>
      <c r="D35" s="242"/>
      <c r="E35" s="242"/>
      <c r="F35" s="242"/>
      <c r="G35" s="242"/>
      <c r="H35" s="243"/>
    </row>
    <row r="36" spans="1:8" ht="42" customHeight="1">
      <c r="A36" s="239" t="s">
        <v>1006</v>
      </c>
      <c r="B36" s="240"/>
      <c r="C36" s="241" t="s">
        <v>1007</v>
      </c>
      <c r="D36" s="242"/>
      <c r="E36" s="242"/>
      <c r="F36" s="242"/>
      <c r="G36" s="242"/>
      <c r="H36" s="243"/>
    </row>
    <row r="37" spans="1:8" ht="42" customHeight="1">
      <c r="A37" s="239" t="s">
        <v>1008</v>
      </c>
      <c r="B37" s="240"/>
      <c r="C37" s="241" t="s">
        <v>1009</v>
      </c>
      <c r="D37" s="242"/>
      <c r="E37" s="242"/>
      <c r="F37" s="242"/>
      <c r="G37" s="242"/>
      <c r="H37" s="243"/>
    </row>
    <row r="38" spans="1:8" ht="42" customHeight="1">
      <c r="A38" s="239" t="s">
        <v>1010</v>
      </c>
      <c r="B38" s="240"/>
      <c r="C38" s="241" t="s">
        <v>1011</v>
      </c>
      <c r="D38" s="242"/>
      <c r="E38" s="242"/>
      <c r="F38" s="242"/>
      <c r="G38" s="242"/>
      <c r="H38" s="243"/>
    </row>
    <row r="39" spans="1:8" ht="42" customHeight="1">
      <c r="A39" s="239" t="s">
        <v>1012</v>
      </c>
      <c r="B39" s="240"/>
      <c r="C39" s="241" t="s">
        <v>1013</v>
      </c>
      <c r="D39" s="242"/>
      <c r="E39" s="242"/>
      <c r="F39" s="242"/>
      <c r="G39" s="242"/>
      <c r="H39" s="243"/>
    </row>
    <row r="40" spans="1:8" ht="42" customHeight="1">
      <c r="A40" s="239" t="s">
        <v>981</v>
      </c>
      <c r="B40" s="240"/>
      <c r="C40" s="241" t="s">
        <v>1014</v>
      </c>
      <c r="D40" s="242"/>
      <c r="E40" s="242"/>
      <c r="F40" s="242"/>
      <c r="G40" s="242"/>
      <c r="H40" s="243"/>
    </row>
    <row r="41" spans="1:8" ht="42" customHeight="1">
      <c r="A41" s="239" t="s">
        <v>1015</v>
      </c>
      <c r="B41" s="240"/>
      <c r="C41" s="241" t="s">
        <v>1016</v>
      </c>
      <c r="D41" s="242"/>
      <c r="E41" s="242"/>
      <c r="F41" s="242"/>
      <c r="G41" s="242"/>
      <c r="H41" s="243"/>
    </row>
  </sheetData>
  <mergeCells count="23">
    <mergeCell ref="A40:B40"/>
    <mergeCell ref="C40:H40"/>
    <mergeCell ref="A41:B41"/>
    <mergeCell ref="C41:H41"/>
    <mergeCell ref="A2:H2"/>
    <mergeCell ref="A37:B37"/>
    <mergeCell ref="C37:H37"/>
    <mergeCell ref="A38:B38"/>
    <mergeCell ref="C38:H38"/>
    <mergeCell ref="A39:B39"/>
    <mergeCell ref="C39:H39"/>
    <mergeCell ref="A27:H27"/>
    <mergeCell ref="A34:H34"/>
    <mergeCell ref="A35:B35"/>
    <mergeCell ref="C35:H35"/>
    <mergeCell ref="A36:B36"/>
    <mergeCell ref="C36:H36"/>
    <mergeCell ref="A1:H1"/>
    <mergeCell ref="A4:H4"/>
    <mergeCell ref="A10:B10"/>
    <mergeCell ref="D10:H10"/>
    <mergeCell ref="A17:B17"/>
    <mergeCell ref="D17:H1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27"/>
  <sheetViews>
    <sheetView workbookViewId="0"/>
  </sheetViews>
  <sheetFormatPr defaultRowHeight="14.25"/>
  <cols>
    <col min="1" max="1" width="24" customWidth="1"/>
    <col min="2" max="2" width="14" customWidth="1"/>
    <col min="3" max="3" width="20" customWidth="1"/>
    <col min="4" max="4" width="46" customWidth="1"/>
    <col min="5" max="5" width="18" customWidth="1"/>
    <col min="6" max="6" width="24" customWidth="1"/>
    <col min="7" max="14" width="14" customWidth="1"/>
  </cols>
  <sheetData>
    <row r="1" spans="1:14" ht="27.95" customHeight="1">
      <c r="A1" s="234" t="s">
        <v>1017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</row>
    <row r="3" spans="1:14" ht="15.75">
      <c r="A3" s="237" t="s">
        <v>1018</v>
      </c>
      <c r="B3" s="235"/>
      <c r="C3" s="235"/>
      <c r="D3" s="235"/>
      <c r="F3" s="237" t="s">
        <v>1019</v>
      </c>
      <c r="G3" s="235"/>
      <c r="H3" s="235"/>
      <c r="I3" s="235"/>
      <c r="J3" s="235"/>
      <c r="K3" s="235"/>
      <c r="L3" s="235"/>
      <c r="M3" s="235"/>
      <c r="N3" s="235"/>
    </row>
    <row r="4" spans="1:14" ht="30" customHeight="1">
      <c r="A4" s="79" t="s">
        <v>109</v>
      </c>
      <c r="B4" s="166">
        <v>46257</v>
      </c>
      <c r="F4" s="156" t="s">
        <v>29</v>
      </c>
      <c r="G4" s="245" t="s">
        <v>30</v>
      </c>
      <c r="H4" s="245"/>
      <c r="I4" s="246"/>
      <c r="J4" s="245"/>
      <c r="K4" s="245"/>
      <c r="L4" s="246"/>
      <c r="M4" s="245"/>
      <c r="N4" s="245"/>
    </row>
    <row r="5" spans="1:14" ht="30" customHeight="1">
      <c r="A5" s="79" t="s">
        <v>71</v>
      </c>
      <c r="B5" s="167">
        <v>76</v>
      </c>
      <c r="F5" s="156" t="s">
        <v>1020</v>
      </c>
      <c r="G5" s="245" t="s">
        <v>32</v>
      </c>
      <c r="H5" s="245"/>
      <c r="I5" s="246"/>
      <c r="J5" s="245"/>
      <c r="K5" s="245"/>
      <c r="L5" s="246"/>
      <c r="M5" s="245"/>
      <c r="N5" s="245"/>
    </row>
    <row r="6" spans="1:14" ht="30" customHeight="1">
      <c r="A6" s="79" t="s">
        <v>1021</v>
      </c>
      <c r="B6" s="168">
        <f>SUM('Work Block Log'!F5:F200)</f>
        <v>7.5500000000000007</v>
      </c>
      <c r="F6" s="156" t="s">
        <v>1022</v>
      </c>
      <c r="G6" s="245" t="s">
        <v>1023</v>
      </c>
      <c r="H6" s="245"/>
      <c r="I6" s="246"/>
      <c r="J6" s="245"/>
      <c r="K6" s="245"/>
      <c r="L6" s="246"/>
      <c r="M6" s="245"/>
      <c r="N6" s="245"/>
    </row>
    <row r="7" spans="1:14" ht="30" customHeight="1">
      <c r="A7" s="79" t="s">
        <v>1024</v>
      </c>
      <c r="B7" s="169">
        <f>SUMPRODUCT('Detailed Gantt'!F6:F27,'Detailed Gantt'!L6:L27)/SUM('Detailed Gantt'!F6:F27)</f>
        <v>0.13289473684210529</v>
      </c>
      <c r="F7" s="156" t="s">
        <v>931</v>
      </c>
      <c r="G7" s="245" t="s">
        <v>1025</v>
      </c>
      <c r="H7" s="245"/>
      <c r="I7" s="246"/>
      <c r="J7" s="245"/>
      <c r="K7" s="245"/>
      <c r="L7" s="246"/>
      <c r="M7" s="245"/>
      <c r="N7" s="245"/>
    </row>
    <row r="8" spans="1:14" ht="30" customHeight="1">
      <c r="A8" s="79" t="s">
        <v>1026</v>
      </c>
      <c r="B8" s="167">
        <v>25</v>
      </c>
      <c r="F8" s="156" t="s">
        <v>1027</v>
      </c>
      <c r="G8" s="245" t="s">
        <v>1028</v>
      </c>
      <c r="H8" s="245"/>
      <c r="I8" s="246"/>
      <c r="J8" s="245"/>
      <c r="K8" s="245"/>
      <c r="L8" s="246"/>
      <c r="M8" s="245"/>
      <c r="N8" s="245"/>
    </row>
    <row r="9" spans="1:14" ht="30" customHeight="1">
      <c r="A9" s="79" t="s">
        <v>1029</v>
      </c>
      <c r="B9" s="167">
        <v>3</v>
      </c>
      <c r="F9" s="156" t="s">
        <v>824</v>
      </c>
      <c r="G9" s="245" t="s">
        <v>1030</v>
      </c>
      <c r="H9" s="245"/>
      <c r="I9" s="246"/>
      <c r="J9" s="245"/>
      <c r="K9" s="245"/>
      <c r="L9" s="246"/>
      <c r="M9" s="245"/>
      <c r="N9" s="245"/>
    </row>
    <row r="10" spans="1:14" ht="30" customHeight="1">
      <c r="A10" s="79" t="s">
        <v>1031</v>
      </c>
      <c r="B10" s="167">
        <v>5</v>
      </c>
      <c r="F10" s="156" t="s">
        <v>1032</v>
      </c>
      <c r="G10" s="245" t="s">
        <v>1033</v>
      </c>
      <c r="H10" s="245"/>
      <c r="I10" s="245"/>
      <c r="J10" s="245"/>
      <c r="K10" s="245"/>
      <c r="L10" s="245"/>
      <c r="M10" s="245"/>
      <c r="N10" s="245"/>
    </row>
    <row r="11" spans="1:14" ht="15">
      <c r="A11" s="79" t="s">
        <v>1034</v>
      </c>
      <c r="B11" s="167" t="s">
        <v>798</v>
      </c>
    </row>
    <row r="13" spans="1:14" ht="15.75">
      <c r="A13" s="237" t="s">
        <v>1035</v>
      </c>
      <c r="B13" s="235"/>
      <c r="C13" s="235"/>
      <c r="D13" s="235"/>
      <c r="E13" s="235"/>
    </row>
    <row r="14" spans="1:14" ht="30">
      <c r="A14" s="80" t="s">
        <v>70</v>
      </c>
      <c r="B14" s="80" t="s">
        <v>71</v>
      </c>
      <c r="C14" s="80" t="s">
        <v>72</v>
      </c>
      <c r="D14" s="80" t="s">
        <v>73</v>
      </c>
      <c r="E14" s="80" t="s">
        <v>266</v>
      </c>
    </row>
    <row r="15" spans="1:14" ht="28.5">
      <c r="A15" s="78" t="s">
        <v>87</v>
      </c>
      <c r="B15" s="82">
        <v>8</v>
      </c>
      <c r="C15" s="82">
        <f>SUMIF('Detailed Gantt'!$B$6:$B$27,A15,'Detailed Gantt'!$M$6:$M$27)</f>
        <v>7.5500000000000007</v>
      </c>
      <c r="D15" s="170">
        <f>IF(B15=0,0,SUMPRODUCT(('Detailed Gantt'!$B$6:$B$27=A15)*'Detailed Gantt'!$F$6:$F$27*'Detailed Gantt'!$L$6:$L$27)/B15)</f>
        <v>1</v>
      </c>
      <c r="E15" s="78" t="s">
        <v>88</v>
      </c>
    </row>
    <row r="16" spans="1:14" ht="42.75">
      <c r="A16" s="78" t="s">
        <v>91</v>
      </c>
      <c r="B16" s="82">
        <v>24</v>
      </c>
      <c r="C16" s="82">
        <f>SUMIF('Detailed Gantt'!$B$6:$B$27,A16,'Detailed Gantt'!$M$6:$M$27)</f>
        <v>0</v>
      </c>
      <c r="D16" s="170">
        <f>IF(B16=0,0,SUMPRODUCT(('Detailed Gantt'!$B$6:$B$27=A16)*'Detailed Gantt'!$F$6:$F$27*'Detailed Gantt'!$L$6:$L$27)/B16)</f>
        <v>0</v>
      </c>
      <c r="E16" s="78" t="s">
        <v>92</v>
      </c>
    </row>
    <row r="17" spans="1:14" ht="28.5">
      <c r="A17" s="78" t="s">
        <v>94</v>
      </c>
      <c r="B17" s="82">
        <v>14</v>
      </c>
      <c r="C17" s="82">
        <f>SUMIF('Detailed Gantt'!$B$6:$B$27,A17,'Detailed Gantt'!$M$6:$M$27)</f>
        <v>0</v>
      </c>
      <c r="D17" s="170">
        <f>IF(B17=0,0,SUMPRODUCT(('Detailed Gantt'!$B$6:$B$27=A17)*'Detailed Gantt'!$F$6:$F$27*'Detailed Gantt'!$L$6:$L$27)/B17)</f>
        <v>0</v>
      </c>
      <c r="E17" s="78" t="s">
        <v>95</v>
      </c>
    </row>
    <row r="18" spans="1:14" ht="28.5">
      <c r="A18" s="78" t="s">
        <v>97</v>
      </c>
      <c r="B18" s="82">
        <v>14</v>
      </c>
      <c r="C18" s="82">
        <f>SUMIF('Detailed Gantt'!$B$6:$B$27,A18,'Detailed Gantt'!$M$6:$M$27)</f>
        <v>0</v>
      </c>
      <c r="D18" s="170">
        <f>IF(B18=0,0,SUMPRODUCT(('Detailed Gantt'!$B$6:$B$27=A18)*'Detailed Gantt'!$F$6:$F$27*'Detailed Gantt'!$L$6:$L$27)/B18)</f>
        <v>0</v>
      </c>
      <c r="E18" s="78" t="s">
        <v>98</v>
      </c>
    </row>
    <row r="19" spans="1:14" ht="42.75">
      <c r="A19" s="78" t="s">
        <v>100</v>
      </c>
      <c r="B19" s="82">
        <v>8</v>
      </c>
      <c r="C19" s="82">
        <f>SUMIF('Detailed Gantt'!$B$6:$B$27,A19,'Detailed Gantt'!$M$6:$M$27)</f>
        <v>0</v>
      </c>
      <c r="D19" s="170">
        <f>IF(B19=0,0,SUMPRODUCT(('Detailed Gantt'!$B$6:$B$27=A19)*'Detailed Gantt'!$F$6:$F$27*'Detailed Gantt'!$L$6:$L$27)/B19)</f>
        <v>0.26249999999999996</v>
      </c>
      <c r="E19" s="78" t="s">
        <v>101</v>
      </c>
    </row>
    <row r="20" spans="1:14" ht="28.5">
      <c r="A20" s="78" t="s">
        <v>103</v>
      </c>
      <c r="B20" s="82">
        <v>8</v>
      </c>
      <c r="C20" s="82">
        <f>SUMIF('Detailed Gantt'!$B$6:$B$27,A20,'Detailed Gantt'!$M$6:$M$27)</f>
        <v>0</v>
      </c>
      <c r="D20" s="170">
        <f>IF(B20=0,0,SUMPRODUCT(('Detailed Gantt'!$B$6:$B$27=A20)*'Detailed Gantt'!$F$6:$F$27*'Detailed Gantt'!$L$6:$L$27)/B20)</f>
        <v>0</v>
      </c>
      <c r="E20" s="78" t="s">
        <v>104</v>
      </c>
    </row>
    <row r="23" spans="1:14" ht="15.75">
      <c r="A23" s="237" t="s">
        <v>1036</v>
      </c>
      <c r="B23" s="235"/>
      <c r="C23" s="235"/>
      <c r="D23" s="235"/>
      <c r="E23" s="235"/>
      <c r="F23" s="235"/>
      <c r="G23" s="235"/>
      <c r="H23" s="235"/>
      <c r="I23" s="235"/>
      <c r="J23" s="235"/>
      <c r="K23" s="235"/>
      <c r="L23" s="235"/>
      <c r="M23" s="235"/>
      <c r="N23" s="235"/>
    </row>
    <row r="24" spans="1:14" ht="30" customHeight="1">
      <c r="A24" s="175" t="s">
        <v>813</v>
      </c>
      <c r="B24" s="175" t="s">
        <v>113</v>
      </c>
      <c r="C24" s="175" t="s">
        <v>1037</v>
      </c>
      <c r="D24" s="175" t="s">
        <v>1038</v>
      </c>
      <c r="E24" s="175" t="s">
        <v>297</v>
      </c>
      <c r="F24" s="175" t="s">
        <v>1039</v>
      </c>
      <c r="G24" s="175" t="s">
        <v>300</v>
      </c>
      <c r="H24" s="175" t="s">
        <v>702</v>
      </c>
    </row>
    <row r="25" spans="1:14" ht="54" customHeight="1">
      <c r="A25" s="177">
        <v>1</v>
      </c>
      <c r="B25" s="177" t="s">
        <v>133</v>
      </c>
      <c r="C25" s="83" t="s">
        <v>134</v>
      </c>
      <c r="D25" s="83" t="s">
        <v>1040</v>
      </c>
      <c r="E25" s="177">
        <v>2</v>
      </c>
      <c r="F25" s="83" t="s">
        <v>1041</v>
      </c>
      <c r="G25" s="83" t="s">
        <v>1042</v>
      </c>
      <c r="H25" s="177" t="s">
        <v>709</v>
      </c>
    </row>
    <row r="26" spans="1:14" ht="54" customHeight="1">
      <c r="A26" s="177">
        <v>2</v>
      </c>
      <c r="B26" s="177" t="s">
        <v>143</v>
      </c>
      <c r="C26" s="83" t="s">
        <v>1043</v>
      </c>
      <c r="D26" s="83" t="s">
        <v>1044</v>
      </c>
      <c r="E26" s="177">
        <v>2</v>
      </c>
      <c r="F26" s="83" t="s">
        <v>1045</v>
      </c>
      <c r="G26" s="83" t="s">
        <v>1046</v>
      </c>
      <c r="H26" s="177" t="s">
        <v>709</v>
      </c>
    </row>
    <row r="27" spans="1:14" ht="54" customHeight="1">
      <c r="A27" s="177">
        <v>3</v>
      </c>
      <c r="B27" s="177" t="s">
        <v>148</v>
      </c>
      <c r="C27" s="83" t="s">
        <v>1047</v>
      </c>
      <c r="D27" s="83" t="s">
        <v>1048</v>
      </c>
      <c r="E27" s="177">
        <v>3</v>
      </c>
      <c r="F27" s="83" t="s">
        <v>1049</v>
      </c>
      <c r="G27" s="83" t="s">
        <v>1050</v>
      </c>
      <c r="H27" s="177" t="s">
        <v>709</v>
      </c>
    </row>
  </sheetData>
  <mergeCells count="12">
    <mergeCell ref="A1:N1"/>
    <mergeCell ref="A3:D3"/>
    <mergeCell ref="F3:N3"/>
    <mergeCell ref="A13:E13"/>
    <mergeCell ref="A23:N23"/>
    <mergeCell ref="G4:N4"/>
    <mergeCell ref="G5:N5"/>
    <mergeCell ref="G6:N6"/>
    <mergeCell ref="G7:N7"/>
    <mergeCell ref="G8:N8"/>
    <mergeCell ref="G9:N9"/>
    <mergeCell ref="G10:N10"/>
  </mergeCells>
  <conditionalFormatting sqref="D15:D20">
    <cfRule type="dataBar" priority="1">
      <dataBar>
        <cfvo type="min"/>
        <cfvo type="max"/>
        <color rgb="FF2F75B5"/>
      </dataBar>
    </cfRule>
    <cfRule type="dataBar" priority="2">
      <dataBar>
        <cfvo type="min"/>
        <cfvo type="max"/>
        <color rgb="FF2F75B5"/>
      </dataBar>
      <extLst>
        <ext xmlns:x14="http://schemas.microsoft.com/office/spreadsheetml/2009/9/main" uri="{B025F937-C7B1-47D3-B67F-A62EFF666E3E}">
          <x14:id>{D1214ACC-5D14-E3A4-5673-BCFD96F7FC1E}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214ACC-5D14-E3A4-5673-BCFD96F7FC1E}">
            <x14:dataBar>
              <x14:cfvo type="min"/>
              <x14:cfvo type="max"/>
              <x14:negativeFillColor auto="1"/>
              <x14:axisColor auto="1"/>
            </x14:dataBar>
          </x14:cfRule>
          <xm:sqref>D15:D20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45"/>
  <sheetViews>
    <sheetView workbookViewId="0"/>
  </sheetViews>
  <sheetFormatPr defaultRowHeight="14.25"/>
  <cols>
    <col min="1" max="1" width="12" customWidth="1"/>
    <col min="2" max="2" width="18" customWidth="1"/>
    <col min="3" max="3" width="22" customWidth="1"/>
    <col min="4" max="5" width="28" customWidth="1"/>
    <col min="6" max="6" width="24" customWidth="1"/>
    <col min="7" max="7" width="14" customWidth="1"/>
    <col min="8" max="8" width="24" customWidth="1"/>
  </cols>
  <sheetData>
    <row r="1" spans="1:8" ht="27.95" customHeight="1">
      <c r="A1" s="247" t="s">
        <v>1051</v>
      </c>
      <c r="B1" s="247"/>
      <c r="C1" s="247"/>
      <c r="D1" s="247"/>
      <c r="E1" s="247"/>
      <c r="F1" s="247"/>
      <c r="G1" s="247"/>
      <c r="H1" s="247"/>
    </row>
    <row r="2" spans="1:8" ht="42" customHeight="1">
      <c r="A2" s="248" t="s">
        <v>1052</v>
      </c>
      <c r="B2" s="248"/>
      <c r="C2" s="248"/>
      <c r="D2" s="248"/>
      <c r="E2" s="248"/>
      <c r="F2" s="248"/>
      <c r="G2" s="248"/>
      <c r="H2" s="248"/>
    </row>
    <row r="4" spans="1:8" ht="15">
      <c r="A4" s="238" t="s">
        <v>1053</v>
      </c>
      <c r="B4" s="238"/>
      <c r="C4" s="238"/>
      <c r="D4" s="238"/>
      <c r="E4" s="238"/>
      <c r="F4" s="238"/>
      <c r="G4" s="238"/>
      <c r="H4" s="238"/>
    </row>
    <row r="5" spans="1:8" ht="33.950000000000003" customHeight="1">
      <c r="A5" s="239" t="s">
        <v>1054</v>
      </c>
      <c r="B5" s="240"/>
      <c r="C5" s="241" t="s">
        <v>1055</v>
      </c>
      <c r="D5" s="242"/>
      <c r="E5" s="242"/>
      <c r="F5" s="242"/>
      <c r="G5" s="242"/>
      <c r="H5" s="243"/>
    </row>
    <row r="6" spans="1:8" ht="33.950000000000003" customHeight="1">
      <c r="A6" s="239" t="s">
        <v>1056</v>
      </c>
      <c r="B6" s="240"/>
      <c r="C6" s="241" t="s">
        <v>1057</v>
      </c>
      <c r="D6" s="242"/>
      <c r="E6" s="242"/>
      <c r="F6" s="242"/>
      <c r="G6" s="242"/>
      <c r="H6" s="243"/>
    </row>
    <row r="7" spans="1:8" ht="33.950000000000003" customHeight="1">
      <c r="A7" s="239" t="s">
        <v>1058</v>
      </c>
      <c r="B7" s="240"/>
      <c r="C7" s="241" t="s">
        <v>1059</v>
      </c>
      <c r="D7" s="242"/>
      <c r="E7" s="242"/>
      <c r="F7" s="242"/>
      <c r="G7" s="242"/>
      <c r="H7" s="243"/>
    </row>
    <row r="8" spans="1:8" ht="33.950000000000003" customHeight="1">
      <c r="A8" s="239" t="s">
        <v>1060</v>
      </c>
      <c r="B8" s="240"/>
      <c r="C8" s="241" t="s">
        <v>1061</v>
      </c>
      <c r="D8" s="242"/>
      <c r="E8" s="242"/>
      <c r="F8" s="242"/>
      <c r="G8" s="242"/>
      <c r="H8" s="243"/>
    </row>
    <row r="9" spans="1:8" ht="33.950000000000003" customHeight="1">
      <c r="A9" s="239" t="s">
        <v>1062</v>
      </c>
      <c r="B9" s="240"/>
      <c r="C9" s="241" t="s">
        <v>1063</v>
      </c>
      <c r="D9" s="242"/>
      <c r="E9" s="242"/>
      <c r="F9" s="242"/>
      <c r="G9" s="242"/>
      <c r="H9" s="243"/>
    </row>
    <row r="11" spans="1:8" ht="15">
      <c r="A11" s="238" t="s">
        <v>1064</v>
      </c>
      <c r="B11" s="238"/>
      <c r="C11" s="238"/>
      <c r="D11" s="238"/>
      <c r="E11" s="238"/>
      <c r="F11" s="238"/>
      <c r="G11" s="238"/>
      <c r="H11" s="238"/>
    </row>
    <row r="12" spans="1:8" ht="33.950000000000003" customHeight="1">
      <c r="A12" s="179" t="s">
        <v>1065</v>
      </c>
      <c r="B12" s="180" t="s">
        <v>1066</v>
      </c>
      <c r="C12" s="180" t="s">
        <v>1067</v>
      </c>
      <c r="D12" s="180" t="s">
        <v>1068</v>
      </c>
      <c r="E12" s="180" t="s">
        <v>1069</v>
      </c>
      <c r="F12" s="180" t="s">
        <v>812</v>
      </c>
      <c r="G12" s="180" t="s">
        <v>121</v>
      </c>
      <c r="H12" s="181" t="s">
        <v>1070</v>
      </c>
    </row>
    <row r="13" spans="1:8" ht="78" customHeight="1">
      <c r="A13" s="182" t="s">
        <v>86</v>
      </c>
      <c r="B13" s="183" t="s">
        <v>1071</v>
      </c>
      <c r="C13" s="183" t="s">
        <v>1072</v>
      </c>
      <c r="D13" s="183" t="s">
        <v>1073</v>
      </c>
      <c r="E13" s="183" t="s">
        <v>1074</v>
      </c>
      <c r="F13" s="183" t="s">
        <v>1075</v>
      </c>
      <c r="G13" s="183" t="s">
        <v>645</v>
      </c>
      <c r="H13" s="184" t="s">
        <v>1076</v>
      </c>
    </row>
    <row r="14" spans="1:8" ht="78" customHeight="1">
      <c r="A14" s="185" t="s">
        <v>6</v>
      </c>
      <c r="B14" s="83" t="s">
        <v>1077</v>
      </c>
      <c r="C14" s="83" t="s">
        <v>1078</v>
      </c>
      <c r="D14" s="83" t="s">
        <v>1079</v>
      </c>
      <c r="E14" s="83" t="s">
        <v>1080</v>
      </c>
      <c r="F14" s="83" t="s">
        <v>1081</v>
      </c>
      <c r="G14" s="83" t="s">
        <v>824</v>
      </c>
      <c r="H14" s="186" t="s">
        <v>1082</v>
      </c>
    </row>
    <row r="15" spans="1:8" ht="78" customHeight="1">
      <c r="A15" s="185" t="s">
        <v>9</v>
      </c>
      <c r="B15" s="83" t="s">
        <v>1077</v>
      </c>
      <c r="C15" s="83" t="s">
        <v>1083</v>
      </c>
      <c r="D15" s="83" t="s">
        <v>1084</v>
      </c>
      <c r="E15" s="83" t="s">
        <v>1085</v>
      </c>
      <c r="F15" s="83" t="s">
        <v>1086</v>
      </c>
      <c r="G15" s="83" t="s">
        <v>824</v>
      </c>
      <c r="H15" s="186" t="s">
        <v>1087</v>
      </c>
    </row>
    <row r="16" spans="1:8" ht="78" customHeight="1">
      <c r="A16" s="185" t="s">
        <v>12</v>
      </c>
      <c r="B16" s="83" t="s">
        <v>1077</v>
      </c>
      <c r="C16" s="83" t="s">
        <v>1088</v>
      </c>
      <c r="D16" s="83" t="s">
        <v>1089</v>
      </c>
      <c r="E16" s="83" t="s">
        <v>1090</v>
      </c>
      <c r="F16" s="83" t="s">
        <v>1091</v>
      </c>
      <c r="G16" s="83" t="s">
        <v>824</v>
      </c>
      <c r="H16" s="186" t="s">
        <v>1092</v>
      </c>
    </row>
    <row r="17" spans="1:8" ht="78" customHeight="1">
      <c r="A17" s="185" t="s">
        <v>16</v>
      </c>
      <c r="B17" s="83" t="s">
        <v>1077</v>
      </c>
      <c r="C17" s="83" t="s">
        <v>1093</v>
      </c>
      <c r="D17" s="83" t="s">
        <v>1094</v>
      </c>
      <c r="E17" s="83" t="s">
        <v>1095</v>
      </c>
      <c r="F17" s="83" t="s">
        <v>1096</v>
      </c>
      <c r="G17" s="83" t="s">
        <v>824</v>
      </c>
      <c r="H17" s="186" t="s">
        <v>1097</v>
      </c>
    </row>
    <row r="18" spans="1:8" ht="78" customHeight="1">
      <c r="A18" s="185" t="s">
        <v>19</v>
      </c>
      <c r="B18" s="83" t="s">
        <v>1077</v>
      </c>
      <c r="C18" s="83" t="s">
        <v>1098</v>
      </c>
      <c r="D18" s="83" t="s">
        <v>1099</v>
      </c>
      <c r="E18" s="83" t="s">
        <v>1100</v>
      </c>
      <c r="F18" s="83" t="s">
        <v>1101</v>
      </c>
      <c r="G18" s="83" t="s">
        <v>824</v>
      </c>
      <c r="H18" s="186" t="s">
        <v>1102</v>
      </c>
    </row>
    <row r="19" spans="1:8" ht="78" customHeight="1">
      <c r="A19" s="187" t="s">
        <v>22</v>
      </c>
      <c r="B19" s="188" t="s">
        <v>1103</v>
      </c>
      <c r="C19" s="188" t="s">
        <v>1104</v>
      </c>
      <c r="D19" s="188" t="s">
        <v>1105</v>
      </c>
      <c r="E19" s="188" t="s">
        <v>1106</v>
      </c>
      <c r="F19" s="188" t="s">
        <v>1107</v>
      </c>
      <c r="G19" s="188" t="s">
        <v>1108</v>
      </c>
      <c r="H19" s="189" t="s">
        <v>1109</v>
      </c>
    </row>
    <row r="21" spans="1:8" ht="15">
      <c r="A21" s="238" t="s">
        <v>1110</v>
      </c>
      <c r="B21" s="238"/>
      <c r="C21" s="238"/>
      <c r="D21" s="238"/>
      <c r="E21" s="238"/>
      <c r="F21" s="238"/>
      <c r="G21" s="238"/>
      <c r="H21" s="238"/>
    </row>
    <row r="22" spans="1:8" ht="38.1" customHeight="1">
      <c r="A22" s="239" t="s">
        <v>1111</v>
      </c>
      <c r="B22" s="240"/>
      <c r="C22" s="241" t="s">
        <v>1112</v>
      </c>
      <c r="D22" s="242"/>
      <c r="E22" s="242"/>
      <c r="F22" s="242"/>
      <c r="G22" s="242"/>
      <c r="H22" s="243"/>
    </row>
    <row r="23" spans="1:8" ht="38.1" customHeight="1">
      <c r="A23" s="239" t="s">
        <v>1113</v>
      </c>
      <c r="B23" s="240"/>
      <c r="C23" s="241" t="s">
        <v>1114</v>
      </c>
      <c r="D23" s="242"/>
      <c r="E23" s="242"/>
      <c r="F23" s="242"/>
      <c r="G23" s="242"/>
      <c r="H23" s="243"/>
    </row>
    <row r="24" spans="1:8" ht="38.1" customHeight="1">
      <c r="A24" s="239" t="s">
        <v>1115</v>
      </c>
      <c r="B24" s="240"/>
      <c r="C24" s="241" t="s">
        <v>1116</v>
      </c>
      <c r="D24" s="242"/>
      <c r="E24" s="242"/>
      <c r="F24" s="242"/>
      <c r="G24" s="242"/>
      <c r="H24" s="243"/>
    </row>
    <row r="25" spans="1:8" ht="38.1" customHeight="1">
      <c r="A25" s="239" t="s">
        <v>1117</v>
      </c>
      <c r="B25" s="240"/>
      <c r="C25" s="241" t="s">
        <v>1118</v>
      </c>
      <c r="D25" s="242"/>
      <c r="E25" s="242"/>
      <c r="F25" s="242"/>
      <c r="G25" s="242"/>
      <c r="H25" s="243"/>
    </row>
    <row r="26" spans="1:8" ht="38.1" customHeight="1">
      <c r="A26" s="239" t="s">
        <v>1119</v>
      </c>
      <c r="B26" s="240"/>
      <c r="C26" s="241" t="s">
        <v>1120</v>
      </c>
      <c r="D26" s="242"/>
      <c r="E26" s="242"/>
      <c r="F26" s="242"/>
      <c r="G26" s="242"/>
      <c r="H26" s="243"/>
    </row>
    <row r="27" spans="1:8" ht="38.1" customHeight="1">
      <c r="A27" s="239" t="s">
        <v>1121</v>
      </c>
      <c r="B27" s="240"/>
      <c r="C27" s="241" t="s">
        <v>1122</v>
      </c>
      <c r="D27" s="242"/>
      <c r="E27" s="242"/>
      <c r="F27" s="242"/>
      <c r="G27" s="242"/>
      <c r="H27" s="243"/>
    </row>
    <row r="28" spans="1:8" ht="38.1" customHeight="1">
      <c r="A28" s="239" t="s">
        <v>1087</v>
      </c>
      <c r="B28" s="240"/>
      <c r="C28" s="241" t="s">
        <v>1123</v>
      </c>
      <c r="D28" s="242"/>
      <c r="E28" s="242"/>
      <c r="F28" s="242"/>
      <c r="G28" s="242"/>
      <c r="H28" s="243"/>
    </row>
    <row r="29" spans="1:8" ht="38.1" customHeight="1">
      <c r="A29" s="239" t="s">
        <v>1124</v>
      </c>
      <c r="B29" s="240"/>
      <c r="C29" s="241" t="s">
        <v>1125</v>
      </c>
      <c r="D29" s="242"/>
      <c r="E29" s="242"/>
      <c r="F29" s="242"/>
      <c r="G29" s="242"/>
      <c r="H29" s="243"/>
    </row>
    <row r="31" spans="1:8" ht="15">
      <c r="A31" s="238" t="s">
        <v>1126</v>
      </c>
      <c r="B31" s="238"/>
      <c r="C31" s="238"/>
      <c r="D31" s="238"/>
      <c r="E31" s="238"/>
      <c r="F31" s="238"/>
      <c r="G31" s="238"/>
      <c r="H31" s="238"/>
    </row>
    <row r="32" spans="1:8" ht="39.950000000000003" customHeight="1">
      <c r="A32" s="239" t="s">
        <v>1127</v>
      </c>
      <c r="B32" s="240"/>
      <c r="C32" s="241" t="s">
        <v>1128</v>
      </c>
      <c r="D32" s="242"/>
      <c r="E32" s="242"/>
      <c r="F32" s="242"/>
      <c r="G32" s="242"/>
      <c r="H32" s="243"/>
    </row>
    <row r="33" spans="1:8" ht="39.950000000000003" customHeight="1">
      <c r="A33" s="239" t="s">
        <v>1129</v>
      </c>
      <c r="B33" s="240"/>
      <c r="C33" s="241" t="s">
        <v>1130</v>
      </c>
      <c r="D33" s="242"/>
      <c r="E33" s="242"/>
      <c r="F33" s="242"/>
      <c r="G33" s="242"/>
      <c r="H33" s="243"/>
    </row>
    <row r="34" spans="1:8" ht="39.950000000000003" customHeight="1">
      <c r="A34" s="239" t="s">
        <v>1131</v>
      </c>
      <c r="B34" s="240"/>
      <c r="C34" s="241" t="s">
        <v>1132</v>
      </c>
      <c r="D34" s="242"/>
      <c r="E34" s="242"/>
      <c r="F34" s="242"/>
      <c r="G34" s="242"/>
      <c r="H34" s="243"/>
    </row>
    <row r="35" spans="1:8" ht="39.950000000000003" customHeight="1">
      <c r="A35" s="239" t="s">
        <v>1133</v>
      </c>
      <c r="B35" s="240"/>
      <c r="C35" s="241" t="s">
        <v>1134</v>
      </c>
      <c r="D35" s="242"/>
      <c r="E35" s="242"/>
      <c r="F35" s="242"/>
      <c r="G35" s="242"/>
      <c r="H35" s="243"/>
    </row>
    <row r="36" spans="1:8" ht="39.950000000000003" customHeight="1">
      <c r="A36" s="239" t="s">
        <v>1135</v>
      </c>
      <c r="B36" s="240"/>
      <c r="C36" s="241" t="s">
        <v>1136</v>
      </c>
      <c r="D36" s="242"/>
      <c r="E36" s="242"/>
      <c r="F36" s="242"/>
      <c r="G36" s="242"/>
      <c r="H36" s="243"/>
    </row>
    <row r="37" spans="1:8" ht="39.950000000000003" customHeight="1">
      <c r="A37" s="239" t="s">
        <v>1137</v>
      </c>
      <c r="B37" s="240"/>
      <c r="C37" s="241" t="s">
        <v>1138</v>
      </c>
      <c r="D37" s="242"/>
      <c r="E37" s="242"/>
      <c r="F37" s="242"/>
      <c r="G37" s="242"/>
      <c r="H37" s="243"/>
    </row>
    <row r="38" spans="1:8" ht="39.950000000000003" customHeight="1">
      <c r="A38" s="239" t="s">
        <v>1139</v>
      </c>
      <c r="B38" s="240"/>
      <c r="C38" s="241" t="s">
        <v>1140</v>
      </c>
      <c r="D38" s="242"/>
      <c r="E38" s="242"/>
      <c r="F38" s="242"/>
      <c r="G38" s="242"/>
      <c r="H38" s="243"/>
    </row>
    <row r="40" spans="1:8" ht="15">
      <c r="A40" s="238" t="s">
        <v>1141</v>
      </c>
      <c r="B40" s="238"/>
      <c r="C40" s="238"/>
      <c r="D40" s="238"/>
      <c r="E40" s="238"/>
      <c r="F40" s="238"/>
      <c r="G40" s="238"/>
      <c r="H40" s="238"/>
    </row>
    <row r="41" spans="1:8" ht="42" customHeight="1">
      <c r="A41" s="239" t="s">
        <v>1142</v>
      </c>
      <c r="B41" s="240"/>
      <c r="C41" s="241" t="s">
        <v>1143</v>
      </c>
      <c r="D41" s="242"/>
      <c r="E41" s="242"/>
      <c r="F41" s="242"/>
      <c r="G41" s="242"/>
      <c r="H41" s="243"/>
    </row>
    <row r="42" spans="1:8" ht="42" customHeight="1">
      <c r="A42" s="239" t="s">
        <v>1144</v>
      </c>
      <c r="B42" s="240"/>
      <c r="C42" s="241" t="s">
        <v>1145</v>
      </c>
      <c r="D42" s="242"/>
      <c r="E42" s="242"/>
      <c r="F42" s="242"/>
      <c r="G42" s="242"/>
      <c r="H42" s="243"/>
    </row>
    <row r="43" spans="1:8" ht="42" customHeight="1">
      <c r="A43" s="239" t="s">
        <v>1146</v>
      </c>
      <c r="B43" s="240"/>
      <c r="C43" s="241" t="s">
        <v>1147</v>
      </c>
      <c r="D43" s="242"/>
      <c r="E43" s="242"/>
      <c r="F43" s="242"/>
      <c r="G43" s="242"/>
      <c r="H43" s="243"/>
    </row>
    <row r="44" spans="1:8" ht="42" customHeight="1">
      <c r="A44" s="239" t="s">
        <v>1148</v>
      </c>
      <c r="B44" s="240"/>
      <c r="C44" s="241" t="s">
        <v>1149</v>
      </c>
      <c r="D44" s="242"/>
      <c r="E44" s="242"/>
      <c r="F44" s="242"/>
      <c r="G44" s="242"/>
      <c r="H44" s="243"/>
    </row>
    <row r="45" spans="1:8" ht="42" customHeight="1">
      <c r="A45" s="239" t="s">
        <v>1150</v>
      </c>
      <c r="B45" s="240"/>
      <c r="C45" s="241" t="s">
        <v>1151</v>
      </c>
      <c r="D45" s="242"/>
      <c r="E45" s="242"/>
      <c r="F45" s="242"/>
      <c r="G45" s="242"/>
      <c r="H45" s="243"/>
    </row>
  </sheetData>
  <mergeCells count="57">
    <mergeCell ref="A43:B43"/>
    <mergeCell ref="C43:H43"/>
    <mergeCell ref="A44:B44"/>
    <mergeCell ref="C44:H44"/>
    <mergeCell ref="A45:B45"/>
    <mergeCell ref="C45:H45"/>
    <mergeCell ref="A40:H40"/>
    <mergeCell ref="A41:B41"/>
    <mergeCell ref="C41:H41"/>
    <mergeCell ref="A42:B42"/>
    <mergeCell ref="C42:H42"/>
    <mergeCell ref="A36:B36"/>
    <mergeCell ref="C36:H36"/>
    <mergeCell ref="A37:B37"/>
    <mergeCell ref="C37:H37"/>
    <mergeCell ref="A38:B38"/>
    <mergeCell ref="C38:H38"/>
    <mergeCell ref="A33:B33"/>
    <mergeCell ref="C33:H33"/>
    <mergeCell ref="A34:B34"/>
    <mergeCell ref="C34:H34"/>
    <mergeCell ref="A35:B35"/>
    <mergeCell ref="C35:H35"/>
    <mergeCell ref="A29:B29"/>
    <mergeCell ref="C29:H29"/>
    <mergeCell ref="A31:H31"/>
    <mergeCell ref="A32:B32"/>
    <mergeCell ref="C32:H32"/>
    <mergeCell ref="A26:B26"/>
    <mergeCell ref="C26:H26"/>
    <mergeCell ref="A27:B27"/>
    <mergeCell ref="C27:H27"/>
    <mergeCell ref="A28:B28"/>
    <mergeCell ref="C28:H28"/>
    <mergeCell ref="A23:B23"/>
    <mergeCell ref="C23:H23"/>
    <mergeCell ref="A24:B24"/>
    <mergeCell ref="C24:H24"/>
    <mergeCell ref="A25:B25"/>
    <mergeCell ref="C25:H25"/>
    <mergeCell ref="A9:B9"/>
    <mergeCell ref="C9:H9"/>
    <mergeCell ref="A11:H11"/>
    <mergeCell ref="A21:H21"/>
    <mergeCell ref="A22:B22"/>
    <mergeCell ref="C22:H22"/>
    <mergeCell ref="A6:B6"/>
    <mergeCell ref="C6:H6"/>
    <mergeCell ref="A7:B7"/>
    <mergeCell ref="C7:H7"/>
    <mergeCell ref="A8:B8"/>
    <mergeCell ref="C8:H8"/>
    <mergeCell ref="A1:H1"/>
    <mergeCell ref="A2:H2"/>
    <mergeCell ref="A4:H4"/>
    <mergeCell ref="A5:B5"/>
    <mergeCell ref="C5:H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Start Here</vt:lpstr>
      <vt:lpstr>Executive Gantt</vt:lpstr>
      <vt:lpstr>Detailed Gantt</vt:lpstr>
      <vt:lpstr>Weekly Control</vt:lpstr>
      <vt:lpstr>Phase Summary</vt:lpstr>
      <vt:lpstr>Assumptions &amp; Gates</vt:lpstr>
      <vt:lpstr>Sources</vt:lpstr>
      <vt:lpstr>Legacy Baseline</vt:lpstr>
      <vt:lpstr>Work Block Log</vt:lpstr>
      <vt:lpstr>Decision Register</vt:lpstr>
      <vt:lpstr>Risks &amp; Issues</vt:lpstr>
      <vt:lpstr>Evidence Register</vt:lpstr>
      <vt:lpstr>Expansion Backlog</vt:lpstr>
      <vt:lpstr>AI Context</vt:lpstr>
      <vt:lpstr>MVP Dashboard</vt:lpstr>
      <vt:lpstr>Product Vision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Jason Jensen</cp:lastModifiedBy>
  <dcterms:created xsi:type="dcterms:W3CDTF">2026-07-05T16:57:35Z</dcterms:created>
  <dcterms:modified xsi:type="dcterms:W3CDTF">2026-07-05T16:57:35Z</dcterms:modified>
</cp:coreProperties>
</file>