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64cc89cbf94b40" /></Relationships>
</file>

<file path=xl/workbook.xml><?xml version="1.0" encoding="utf-8"?>
<x:workbook xmlns:x="http://schemas.openxmlformats.org/spreadsheetml/2006/main">
  <x:sheets>
    <x:sheet xmlns:r="http://schemas.openxmlformats.org/officeDocument/2006/relationships" name="Start Here" sheetId="1" r:id="R2cee7b7a79c2404b"/>
    <x:sheet xmlns:r="http://schemas.openxmlformats.org/officeDocument/2006/relationships" name="Executive Gantt" sheetId="2" r:id="Rad3e7da289974ed2"/>
    <x:sheet xmlns:r="http://schemas.openxmlformats.org/officeDocument/2006/relationships" name="Detailed Gantt" sheetId="3" r:id="R2c334a3ff4594920"/>
    <x:sheet xmlns:r="http://schemas.openxmlformats.org/officeDocument/2006/relationships" name="Weekly Control" sheetId="4" r:id="R0743e0b32ae3427c"/>
    <x:sheet xmlns:r="http://schemas.openxmlformats.org/officeDocument/2006/relationships" name="Phase Summary" sheetId="5" r:id="R4889513e4d614467"/>
    <x:sheet xmlns:r="http://schemas.openxmlformats.org/officeDocument/2006/relationships" name="Assumptions &amp; Gates" sheetId="6" r:id="R15cd9c4c29e04f28"/>
    <x:sheet xmlns:r="http://schemas.openxmlformats.org/officeDocument/2006/relationships" name="Sources" sheetId="7" r:id="Rb3447fc851be4cf9"/>
    <x:sheet xmlns:r="http://schemas.openxmlformats.org/officeDocument/2006/relationships" name="Legacy Baseline" sheetId="8" r:id="Ree04204150104b91"/>
    <x:sheet xmlns:r="http://schemas.openxmlformats.org/officeDocument/2006/relationships" name="Work Block Log" sheetId="9" r:id="R8ed1667b5d2e4775"/>
    <x:sheet xmlns:r="http://schemas.openxmlformats.org/officeDocument/2006/relationships" name="Decision Register" sheetId="10" r:id="R2b1ff1b27c6e4e56"/>
    <x:sheet xmlns:r="http://schemas.openxmlformats.org/officeDocument/2006/relationships" name="Risks &amp; Issues" sheetId="11" r:id="R1ec97488e0454d47"/>
    <x:sheet xmlns:r="http://schemas.openxmlformats.org/officeDocument/2006/relationships" name="Evidence Register" sheetId="12" r:id="R79efd99f31114c64"/>
    <x:sheet xmlns:r="http://schemas.openxmlformats.org/officeDocument/2006/relationships" name="Expansion Backlog" sheetId="13" r:id="R9b8721957ad343c4"/>
    <x:sheet xmlns:r="http://schemas.openxmlformats.org/officeDocument/2006/relationships" name="AI Context" sheetId="14" r:id="Rf7a4329abda14aaf"/>
    <x:sheet xmlns:r="http://schemas.openxmlformats.org/officeDocument/2006/relationships" name="MVP Dashboard" sheetId="15" r:id="R19cb3858e52b4e59"/>
    <x:sheet xmlns:r="http://schemas.openxmlformats.org/officeDocument/2006/relationships" name="Product Vision" sheetId="16" r:id="R694954f76b07474b"/>
    <x:sheet xmlns:r="http://schemas.openxmlformats.org/officeDocument/2006/relationships" name="Pilot Gantt" sheetId="17" r:id="Rb8c13710ced24e49"/>
    <x:sheet xmlns:r="http://schemas.openxmlformats.org/officeDocument/2006/relationships" name="Pilot Dashboard" sheetId="18" r:id="R9beef79f60e3417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<x:sst xmlns:x="http://schemas.openxmlformats.org/spreadsheetml/2006/main">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</x:sst>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80">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888264e41624714" /><Relationship Type="http://schemas.openxmlformats.org/officeDocument/2006/relationships/theme" Target="/xl/theme/theme1.xml" Id="Rabba6932c1604ada" /><Relationship Type="http://schemas.openxmlformats.org/officeDocument/2006/relationships/sharedStrings" Target="/xl/sharedStrings.xml" Id="R046f28201586446a" /><Relationship Type="http://schemas.openxmlformats.org/officeDocument/2006/relationships/worksheet" Target="/xl/worksheets/sheet1.xml" Id="R2cee7b7a79c2404b" /><Relationship Type="http://schemas.openxmlformats.org/officeDocument/2006/relationships/worksheet" Target="/xl/worksheets/sheet2.xml" Id="Rad3e7da289974ed2" /><Relationship Type="http://schemas.openxmlformats.org/officeDocument/2006/relationships/worksheet" Target="/xl/worksheets/sheet3.xml" Id="R2c334a3ff4594920" /><Relationship Type="http://schemas.openxmlformats.org/officeDocument/2006/relationships/worksheet" Target="/xl/worksheets/sheet4.xml" Id="R0743e0b32ae3427c" /><Relationship Type="http://schemas.openxmlformats.org/officeDocument/2006/relationships/worksheet" Target="/xl/worksheets/sheet5.xml" Id="R4889513e4d614467" /><Relationship Type="http://schemas.openxmlformats.org/officeDocument/2006/relationships/worksheet" Target="/xl/worksheets/sheet6.xml" Id="R15cd9c4c29e04f28" /><Relationship Type="http://schemas.openxmlformats.org/officeDocument/2006/relationships/worksheet" Target="/xl/worksheets/sheet7.xml" Id="Rb3447fc851be4cf9" /><Relationship Type="http://schemas.openxmlformats.org/officeDocument/2006/relationships/worksheet" Target="/xl/worksheets/sheet8.xml" Id="Ree04204150104b91" /><Relationship Type="http://schemas.openxmlformats.org/officeDocument/2006/relationships/worksheet" Target="/xl/worksheets/sheet9.xml" Id="R8ed1667b5d2e4775" /><Relationship Type="http://schemas.openxmlformats.org/officeDocument/2006/relationships/worksheet" Target="/xl/worksheets/sheet10.xml" Id="R2b1ff1b27c6e4e56" /><Relationship Type="http://schemas.openxmlformats.org/officeDocument/2006/relationships/worksheet" Target="/xl/worksheets/sheet11.xml" Id="R1ec97488e0454d47" /><Relationship Type="http://schemas.openxmlformats.org/officeDocument/2006/relationships/worksheet" Target="/xl/worksheets/sheet12.xml" Id="R79efd99f31114c64" /><Relationship Type="http://schemas.openxmlformats.org/officeDocument/2006/relationships/worksheet" Target="/xl/worksheets/sheet13.xml" Id="R9b8721957ad343c4" /><Relationship Type="http://schemas.openxmlformats.org/officeDocument/2006/relationships/worksheet" Target="/xl/worksheets/sheet14.xml" Id="Rf7a4329abda14aaf" /><Relationship Type="http://schemas.openxmlformats.org/officeDocument/2006/relationships/worksheet" Target="/xl/worksheets/sheet15.xml" Id="R19cb3858e52b4e59" /><Relationship Type="http://schemas.openxmlformats.org/officeDocument/2006/relationships/worksheet" Target="/xl/worksheets/sheet16.xml" Id="R694954f76b07474b" /><Relationship Type="http://schemas.openxmlformats.org/officeDocument/2006/relationships/worksheet" Target="/xl/worksheets/sheet17.xml" Id="Rb8c13710ced24e49" /><Relationship Type="http://schemas.openxmlformats.org/officeDocument/2006/relationships/worksheet" Target="/xl/worksheets/sheet18.xml" Id="R9beef79f60e341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7d9c11c0d02d45b6" /></Relationships>
</file>

<file path=xl/drawings/_rels/drawing2.xml.rels>&#65279;<?xml version="1.0" encoding="utf-8"?><Relationships xmlns="http://schemas.openxmlformats.org/package/2006/relationships"><Relationship Type="http://schemas.openxmlformats.org/officeDocument/2006/relationships/chart" Target="/xl/drawings/charts/chart2.xml" Id="R4dafa4270a55425c" /></Relationships>
</file>

<file path=xl/drawings/_rels/drawing3.xml.rels>&#65279;<?xml version="1.0" encoding="utf-8"?><Relationships xmlns="http://schemas.openxmlformats.org/package/2006/relationships"><Relationship Type="http://schemas.openxmlformats.org/officeDocument/2006/relationships/chart" Target="/xl/drawings/charts/chart3.xml" Id="Re6ebf25f0bb844a7"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9c11c0d02d45b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dafa4270a55425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6ebf25f0bb844a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f9d41c1bed64706" /></Relationships>
</file>

<file path=xl/worksheets/_rels/sheet5.xml.rels>&#65279;<?xml version="1.0" encoding="utf-8"?><Relationships xmlns="http://schemas.openxmlformats.org/package/2006/relationships"><Relationship Type="http://schemas.openxmlformats.org/officeDocument/2006/relationships/drawing" Target="/xl/drawings/drawing2.xml" Id="R0acca8cc04834388" /></Relationships>
</file>

<file path=xl/worksheets/_rels/sheet15.xml.rels>&#65279;<?xml version="1.0" encoding="utf-8"?><Relationships xmlns="http://schemas.openxmlformats.org/package/2006/relationships"><Relationship Type="http://schemas.openxmlformats.org/officeDocument/2006/relationships/drawing" Target="/xl/drawings/drawing3.xml" Id="R491a2dcfadd84d2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D-118 benchmark-authoring corrective action 2026-07-23</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D-118 accepted and implemented; D-119 new-family preparation owner review</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D-118 public contract and protected target-reachability controls</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D-118 implementation and proposed D-119 isolated new-family preparation gate</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#70 merged the consumed D-117 result to exact main 2246d1a. The owner accepted D-118. VAL-PKG-AUTHORING-001 now reuses the accepted eight mandatory gates as a producer-visible pre-freeze contract check and rejects the exact D-117 authority-scope defect without running relationships. VER-PKG-TARGET-REACHABILITY-001 separately verifies one clean package clears all gates and that protected gate or relationship targets are not skipped by unintended earlier blockers. Public attestations disclose aggregate counts and salted commitments only; scenario mappings and the 256-bit commitment nonce remain protected. Development-only proof passed six controls and performed zero held-out semantic executions. Local closeout passes: focused authoring plus governance 36/36; protected-safe full 354/1 at 88.02%; validation 5/5; Ruff; publication sentinel 4 outputs; development benchmark 22/22; frozen baseline 9/9 with generated evidence; demo 2/2. During discovery, an unexpectedly broad search surfaced protected text from an already-consumed release-ineligible historical family. No value was used and no protected asset changed; I-012 and IMP-040 record the recurrence, and AIR-008 is reopened. NC-002 remains contained until effectiveness is proven on a genuinely new isolated family. AIR-003, AIR-008, AIR-011, NC-002, and pending D-119 hold release. D-119 would authorize isolated family preparation and control verification only; official execution remains a later decision.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f9d41c1bed6470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0acca8cc04834388"/>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45" customHeight="1">
      <x:c r="A28" s="771" t="str">
        <x:v>AIMS Gate</x:v>
      </x:c>
      <x:c r="B28" s="485" t="str">
        <x:v>Continuous</x:v>
      </x:c>
      <x:c r="C28" s="774" t="n">
        <x:v>46226</x:v>
      </x:c>
      <x:c r="D28" s="485" t="str">
        <x:v>Active / Release Held</x:v>
      </x:c>
      <x:c r="E28" s="485" t="str">
        <x:v>The binding AI management policy and machine-readable control plane remain valid. Release-ready mode must pass before any release claim.</x:v>
      </x:c>
      <x:c r="F28" s="485" t="str">
        <x:v>PR #70 main 2246d1a; D-115; D-118; NC-002; AIR-008 reopened; I-012; IMP-040; EV-191-EV-196; focused 36/36; full 354/1 at 88.02%; validation 5/5; Ruff; sentinel; development benchmark 22/22; baseline 9/9; demo 2/2</x:v>
      </x:c>
      <x:c r="G28" s="485" t="str">
        <x:v>G0.1 remains active. Preserve AIR-003, AIR-008, AIR-011, NC-002, and pending D-119;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5" customHeight="1">
      <x:c r="A31" s="438" t="str">
        <x:v>P4.2 Authoring Corrective Action / New-Family Gate</x:v>
      </x:c>
      <x:c r="B31" s="438" t="str">
        <x:v>Owner review</x:v>
      </x:c>
      <x:c r="C31" s="779" t="n">
        <x:v>46226</x:v>
      </x:c>
      <x:c r="D31" s="438" t="str">
        <x:v>D-118 Complete / D-119 Proposed / Release Held</x:v>
      </x:c>
      <x:c r="E31" s="438" t="str">
        <x:v>The exact D-117 authoring defect is prevented and protected target reachability has development-only operating proof. External effectiveness and unconfounded relationship performance remain unproven.</x:v>
      </x:c>
      <x:c r="F31" s="438" t="str">
        <x:v>D-118; EV-191-EV-196; NC-002; AIR-003; AIR-008; AIR-011; I-012; IMP-037; IMP-040; proof 6/6; focused 36/36; full 354/1 at 88.02%; proposed D-119</x:v>
      </x:c>
      <x:c r="G31" s="438" t="str">
        <x:v>Review and accept or revise D-119. Preserve all consumed-family evidence. Do not create a new family, execute an official benchmark, tune the evaluator, publish protected values, begin P4.3, or make release/performance claims.</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ht="190" customHeight="1">
      <x:c r="A31" s="431" t="str">
        <x:v>WB-028</x:v>
      </x:c>
      <x:c r="B31" s="491" t="n">
        <x:v>46226</x:v>
      </x:c>
      <x:c r="C31" s="431"/>
      <x:c r="D31" s="431"/>
      <x:c r="E31" s="431" t="str">
        <x:v>P4.2</x:v>
      </x:c>
      <x:c r="F31" s="432"/>
      <x:c r="G31" s="433" t="n">
        <x:v>6</x:v>
      </x:c>
      <x:c r="H31" s="431" t="str">
        <x:v>Complete / D-117 Review</x:v>
      </x:c>
      <x:c r="I31" s="431" t="str">
        <x:v>Accept D-116, integrate D-114, prepare one materially distinct external family and oracle-blind runner under separated custody, prove the final physical publication path, and return an exact zero-run D-117 gate.</x:v>
      </x:c>
      <x:c r="J31" s="431" t="str">
        <x:v>Merged PR #68 at exact main 3a6766f; authored eight opaque carton-indexing conveyor scenarios outside Git; verified rights, manifests, authority/oracle contract, and zero leakage; preserved three rejected runner revisions; froze short-root runner R4 with exact evaluator, local dependency environment, bytecode and path controls; passed 8/8 mandatory and 51/51 detailed controls plus one four-output development sentinel. Local governance 22/22; full 340/1 at 88.33%; validation 5/5; Ruff; repository sentinel; development benchmark 22/22; baseline 9/9; demo 2/2. PR #69 hosted workflows 2/2; Linux sentinel 4 outputs at runs path 223; full 341 at 88.50%.</x:v>
      </x:c>
      <x:c r="K31" s="431" t="str">
        <x:v>D-116 is complete, but no benchmark-performance evidence exists yet. Opaque semantic executions, held-out publications, and protected comparisons remain zero; D-117 authorization is absent. Failed runners and failed sentinel evidence remain immutable. This is internal AI-assisted review, not external independent assurance.</x:v>
      </x:c>
      <x:c r="L31" s="431" t="str">
        <x:v>Review the D-116 freeze and proposed D-117. Do not create authorization or run the exact command until the owner explicitly accepts D-117.</x:v>
      </x:c>
      <x:c r="M31" s="431" t="str">
        <x:v>codex/p4.2-external-benchmark-recovery-preparation; PR #68 main 3a6766f; D-116; proposed D-117; EV-179-EV-184; I-010; IMP-033-IMP-035; AIR-003</x:v>
      </x:c>
    </x:row>
    <x:row r="32" ht="205" customHeight="1">
      <x:c r="A32" s="431" t="str">
        <x:v>WB-029</x:v>
      </x:c>
      <x:c r="B32" s="491" t="n">
        <x:v>46226</x:v>
      </x:c>
      <x:c r="C32" s="431"/>
      <x:c r="D32" s="431"/>
      <x:c r="E32" s="431" t="str">
        <x:v>P4.2</x:v>
      </x:c>
      <x:c r="F32" s="432"/>
      <x:c r="G32" s="433"/>
      <x:c r="H32" s="431" t="str">
        <x:v>Complete / D-118 Review</x:v>
      </x:c>
      <x:c r="I32" s="431" t="str">
        <x:v>Execute D-117 exactly once, freeze and verify raw evidence without oracle access, perform one separate protected comparison, classify the result honestly, and return the next bounded owner gate.</x:v>
      </x:c>
      <x:c r="J32" s="431" t="str">
        <x:v>Merged PR #69 at exact main 04d919f; created exact authorization; invoked runner once; completed 8/8 attempts and publications; froze 73 read-only files at f9bc8135...cb5c; passed raw verifier 14/14 after preserving two failed verifier revisions; completed protected comparison; identified shared authority-map defect; opened NC-002 and AIR-011; authored D-118 and AIMS-AUD-002. Local governance 22/22; full 340/1 at 88.33%; validation 5/5; Ruff; sentinel 4; development benchmark 22/22; baseline 9/9; demo 2/2.</x:v>
      </x:c>
      <x:c r="K32" s="431" t="str">
        <x:v>D-117 cannot support intended relationship-performance claims: exact findings 0/8, expected finding true positives 0/7, unexpected findings 8, clean false positives 1/1, and target checks executed 0/7. A preserved long-temp-root regression failure produced IMP-039; the unchanged suite passed under short runs/t117f.</x:v>
      </x:c>
      <x:c r="L32" s="431" t="str">
        <x:v>Review proposed D-118. Do not repair, rerun, reuse, create a new external family, execute another semantic benchmark, tune the evaluator, begin P4.3, or make release/performance claims.</x:v>
      </x:c>
      <x:c r="M32" s="431" t="str">
        <x:v>codex/p4.2-external-benchmark-first-run; PR #69 main 04d919f; D-117; proposed D-118; EV-185-EV-190; I-011; NC-002; AIR-003; AIR-011; IMP-036-IMP-039</x:v>
      </x:c>
    </x:row>
    <x:row r="33" ht="215" customHeight="1">
      <x:c r="A33" s="431" t="str">
        <x:v>WB-030</x:v>
      </x:c>
      <x:c r="B33" s="429" t="n">
        <x:v>46226</x:v>
      </x:c>
      <x:c r="C33" s="431"/>
      <x:c r="D33" s="431"/>
      <x:c r="E33" s="431" t="str">
        <x:v>P4.2</x:v>
      </x:c>
      <x:c r="F33" s="432"/>
      <x:c r="G33" s="433"/>
      <x:c r="H33" s="431" t="str">
        <x:v>Complete / D-119 Review</x:v>
      </x:c>
      <x:c r="I33" s="431" t="str">
        <x:v>Accept D-118 and implement bounded benchmark-authoring correction: producer-visible package-contract validation, separated custodian target-reachability verification, development-only operating proof, governance alignment, and the next owner gate.</x:v>
      </x:c>
      <x:c r="J33" s="431" t="str">
        <x:v>Merged PR #70 at exact main 2246d1a; added VAL-PKG-AUTHORING-001 and VER-PKG-TARGET-REACHABILITY-001 plus two CLI commands, 14 authoring-control tests, and six-control development proof. The exact D-117 scope defect is rejected; clean and intended relationship-fault packages pass the public contract; protected target reachability and nonce-hardened public redaction pass; an unintended authority blocker is rejected. Local focused authoring plus governance 36/36; protected-safe full 354/1 at 88.02%; validation 5/5; Ruff; sentinel 4; development benchmark 22/22; baseline 9/9; demo 2/2.</x:v>
      </x:c>
      <x:c r="K33" s="431" t="str">
        <x:v>D-118 changes authoring assurance, not evaluator semantics. NC-002 remains contained pending external effectiveness. A repeated search-boundary incident created I-012/IMP-040 and reopened AIR-008; no protected value was used. New-family preparation and official execution remain separately gated.</x:v>
      </x:c>
      <x:c r="L33" s="431" t="str">
        <x:v>Review proposed D-119. Do not create a new external family, perform official semantic execution, tune the evaluator, publish protected values, begin P4.3, or make release/performance claims before the appropriate gate.</x:v>
      </x:c>
      <x:c r="M33" s="431" t="str">
        <x:v>codex/p4.2-benchmark-authoring-corrective-action; PR #70 main 2246d1a; D-118; proposed D-119; EV-191-EV-196; I-012; NC-002; AIR-003; AIR-008; AIR-011; IMP-037; IMP-040; runs/d118-proof-b; runs/t118m; runs/s118a; runs/b118a; runs/v118a; runs/d118a</x:v>
      </x:c>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Accepted / Implemented</x:v>
      </x:c>
      <x:c r="F119" s="431" t="str">
        <x:v>P4.2 external benchmark recovery preparation gate</x:v>
      </x:c>
      <x:c r="G119" s="431" t="str">
        <x:v>Owner instruction 2026-07-23; PR #68 exact main 3a6766f; docs/package_assurance/p4_2_external_benchmark_recovery_definition_v0.3.0.md; docs/package_assurance/p4_2_external_benchmark_recovery_freeze_review_v0.3.0.md; docs/package_assurance/p4_2_external_benchmark_recovery_freeze_evidence_v0.3.0.json; EV-179-EV-184; I-010; IMP-033-IMP-035</x:v>
      </x:c>
      <x:c r="H119" s="431" t="str">
        <x:v>Accepted by the project owner on 2026-07-23 after PR #68 merged. The block prepared one materially distinct external family and one oracle-blind runner, preserved three failed revisions, passed the final in-bundle sentinel, and kept opaque execution at zero. It authorizes no semantic run, protected comparison, P4.3, or release claim.</x:v>
      </x:c>
    </x:row>
    <x:row r="120" ht="190" customHeight="1">
      <x:c r="A120" s="431" t="str">
        <x:v>D-117</x:v>
      </x:c>
      <x:c r="B120" s="431" t="n">
        <x:v>46226</x:v>
      </x:c>
      <x:c r="C120" s="431" t="str">
        <x:v>Authorize exactly one invocation of RUNNER-D116-CIM-20260723-04 against FAM-D116-CIM-20260723-01, containing one evaluator attempt per eight frozen opaque scenarios, followed by immutable raw freeze, oracle-blind raw verification, and separate protected comparison.</x:v>
      </x:c>
      <x:c r="D120" s="431" t="str">
        <x:v>D-116 passed 8/8 mandatory and 51/51 detailed controls with one four-output development sentinel, exact static identities, zero opaque executions, and an absent authorization file. A separate owner decision is required before semantic evidence can be collected.</x:v>
      </x:c>
      <x:c r="E120" s="431" t="str">
        <x:v>Accepted / Consumed</x:v>
      </x:c>
      <x:c r="F120" s="431" t="str">
        <x:v>P4.2 external benchmark semantic execution gate</x:v>
      </x:c>
      <x:c r="G120" s="431" t="str">
        <x:v>Owner instruction 2026-07-23; docs/package_assurance/p4_2_external_benchmark_execution_gate_v0.3.0.md; docs/package_assurance/p4_2_external_benchmark_d117_result_review_v0.3.0.md; docs/package_assurance/p4_2_external_benchmark_d117_result_evidence_v0.3.0.json; EV-185-EV-190; NC-002; AIR-003; AIR-011</x:v>
      </x:c>
      <x:c r="H120" s="431" t="str">
        <x:v>Accepted by the project owner on 2026-07-23 and permanently consumed. One runner invocation completed eight attempts and eight four-output publications with no retry or tuning. Separate comparison exposed a shared authority-map defect, so the family is invalid for intended downstream performance and cannot be repaired, rerun, or reused as fresh evidence.</x:v>
      </x:c>
    </x:row>
    <x:row r="121" ht="190" customHeight="1">
      <x:c r="A121" s="431" t="str">
        <x:v>D-118</x:v>
      </x:c>
      <x:c r="B121" s="431" t="n">
        <x:v>46226</x:v>
      </x:c>
      <x:c r="C121" s="431" t="str">
        <x:v>Accept D-117 as consumed fail-closed evidence, open NC-002, and authorize a bounded benchmark-authoring corrective-action block: producer-visible public-contract validation plus separated custodian target-reachability checks before any later new-family decision.</x:v>
      </x:c>
      <x:c r="D121" s="431" t="str">
        <x:v>D-117 published complete evidence but the accepted family violated a public authority-scope invariant in all eight scenarios. Every intended relationship target was blocked, proving the freeze controls were incomplete and that state-only agreement can be misleading.</x:v>
      </x:c>
      <x:c r="E121" s="431" t="str">
        <x:v>Accepted / Implemented</x:v>
      </x:c>
      <x:c r="F121" s="431" t="str">
        <x:v>P4.2 benchmark-authoring corrective-action gate</x:v>
      </x:c>
      <x:c r="G121" s="431" t="str">
        <x:v>Owner instruction 2026-07-23; PR #70 exact main 2246d1a; docs/package_assurance/p4_2_benchmark_authoring_corrective_action_gate_v0.3.0.md; docs/package_assurance/p4_2_benchmark_authoring_control_procedure_v0.3.0.md; docs/package_assurance/p4_2_benchmark_authoring_corrective_action_review_v0.3.0.md; EV-191-EV-196; NC-002; AIR-003; AIR-008; AIR-011; I-012; IMP-037; IMP-040</x:v>
      </x:c>
      <x:c r="H121" s="431" t="str">
        <x:v>Accepted by the project owner on 2026-07-23. The bounded correction adds public contract validation and separated custodian target reachability with development-only proof. It does not authorize a new family, official execution, tuning, P4.3, or release. NC-002 remains contained pending external effectiveness evidence.</x:v>
      </x:c>
    </x:row>
    <x:row r="122" ht="195" customHeight="1">
      <x:c r="A122" s="431" t="str">
        <x:v>D-119</x:v>
      </x:c>
      <x:c r="B122" s="429" t="n">
        <x:v>46226</x:v>
      </x:c>
      <x:c r="C122" s="431" t="str">
        <x:v>Authorize preparation of one genuinely new isolated external family and apply the D-118 public-contract and protected target-reachability controls before freeze.</x:v>
      </x:c>
      <x:c r="D122" s="431" t="str">
        <x:v>D-118 prevents the known defect and proves the controls on development data. A new family is required to test corrective-control effectiveness without repairing, rerunning, or reusing either consumed family.</x:v>
      </x:c>
      <x:c r="E122" s="431" t="str">
        <x:v>Proposed / Owner Review</x:v>
      </x:c>
      <x:c r="F122" s="431" t="str">
        <x:v>P4.2 new external family preparation gate</x:v>
      </x:c>
      <x:c r="G122" s="431" t="str">
        <x:v>docs/package_assurance/p4_2_new_external_family_preparation_gate_v0.3.0.md; docs/package_assurance/p4_2_benchmark_authoring_corrective_action_review_v0.3.0.md; EV-191-EV-196; NC-002; AIR-003; AIR-008; AIR-011; I-012; IMP-037; IMP-040</x:v>
      </x:c>
      <x:c r="H122" s="431" t="str">
        <x:v>D-119 would authorize isolated authorship, rights/provenance, public validation, protected reachability, and independent freeze verification only. It would not authorize an official semantic benchmark run, tuning, P4.3, release, or performance claims. D-120 remains required for execution.</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ht="155" customHeight="1">
      <x:c r="A30" s="431" t="str">
        <x:v>I-010</x:v>
      </x:c>
      <x:c r="B30" s="431" t="str">
        <x:v>Issue</x:v>
      </x:c>
      <x:c r="C30" s="431" t="str">
        <x:v>D-116 runner revisions 1-3 failed before opaque execution because runner-level dependency visibility did not match the nested sentinel, control imports created uninventoried bytecode, and a long physical root exceeded the whole staged-tree Windows path budget.</x:v>
      </x:c>
      <x:c r="D30" s="431" t="str">
        <x:v>N/A</x:v>
      </x:c>
      <x:c r="E30" s="431" t="str">
        <x:v>High</x:v>
      </x:c>
      <x:c r="F30" s="431" t="str">
        <x:v>Jason</x:v>
      </x:c>
      <x:c r="G30" s="431" t="str">
        <x:v>Preserve every failed revision. Freeze dependencies in a capsule-local environment; use -B and pre-import bytecode suppression; reject cache artifacts; calculate every staged path; require the real development sentinel in the final short physical root.</x:v>
      </x:c>
      <x:c r="H30" s="431" t="str">
        <x:v>Closed / Runner R4 Verified</x:v>
      </x:c>
      <x:c r="I30" s="431" t="n">
        <x:v>46226</x:v>
      </x:c>
      <x:c r="J30" s="431" t="str">
        <x:v>Revisions 1-3 remain byte-exact and unexecuted against opaque inputs. Runner R4 passed 8/8 mandatory and 51/51 detailed controls; one development sentinel published four valid outputs, static hashes remained exact, and opaque execution count stayed zero. IMP-033-IMP-035 retain the controls.</x:v>
      </x:c>
    </x:row>
    <x:row r="31" ht="165" customHeight="1">
      <x:c r="A31" s="431" t="str">
        <x:v>I-011</x:v>
      </x:c>
      <x:c r="B31" s="431" t="str">
        <x:v>Issue</x:v>
      </x:c>
      <x:c r="C31" s="431" t="str">
        <x:v>The D-116 benchmark freeze accepted all eight scenario authority maps even though each applied to the family ID rather than its scenario package ID. D-117 therefore failed the authority gate in every package and never reached an intended relationship target.</x:v>
      </x:c>
      <x:c r="D31" s="431" t="str">
        <x:v>N/A</x:v>
      </x:c>
      <x:c r="E31" s="431" t="str">
        <x:v>High</x:v>
      </x:c>
      <x:c r="F31" s="431" t="str">
        <x:v>Jason</x:v>
      </x:c>
      <x:c r="G31" s="431" t="str">
        <x:v>Preserve the consumed family and all D-117 evidence. Add a producer-visible public-contract validator and a separate custodian target-reachability check. Require a later owner gate before any new family or semantic execution.</x:v>
      </x:c>
      <x:c r="H31" s="431" t="str">
        <x:v>Contained / Controls Implemented</x:v>
      </x:c>
      <x:c r="I31" s="431" t="n">
        <x:v>46226</x:v>
      </x:c>
      <x:c r="J31" s="431" t="str">
        <x:v>D-118 now rejects the exact defect and verifies protected target reachability. NC-002 remains contained until the controls prove effective on a genuinely new isolated family and a later official run. Consumed-family repair, rerun, reuse, tuning, P4.3, and release claims remain prohibited.</x:v>
      </x:c>
    </x:row>
    <x:row r="32" ht="185" customHeight="1">
      <x:c r="A32" s="431" t="str">
        <x:v>I-012</x:v>
      </x:c>
      <x:c r="B32" s="431" t="str">
        <x:v>Issue</x:v>
      </x:c>
      <x:c r="C32" s="431" t="str">
        <x:v>During D-118, a command intended to inspect one governance file unexpectedly returned repository-wide matches and surfaced protected text from an already-consumed, release-ineligible historical family.</x:v>
      </x:c>
      <x:c r="D32" s="431" t="str">
        <x:v>N/A</x:v>
      </x:c>
      <x:c r="E32" s="431" t="str">
        <x:v>High</x:v>
      </x:c>
      <x:c r="F32" s="431" t="str">
        <x:v>Jason</x:v>
      </x:c>
      <x:c r="G32" s="431" t="str">
        <x:v>Use literal-path readers for exact files; permit recursive searches only over explicitly named approved roots; keep every future release-eligible family physically outside Git through first official execution; stop and disclose any protected match.</x:v>
      </x:c>
      <x:c r="H32" s="431" t="str">
        <x:v>Contained / AIR-008 Reopened</x:v>
      </x:c>
      <x:c r="I32" s="429" t="n">
        <x:v>46226</x:v>
      </x:c>
      <x:c r="J32" s="431" t="str">
        <x:v>No protected file changed, no protected fixture test ran, no external D-117 custody asset was accessed, and no surfaced value informed implementation or tests. IMP-040 records the recurrence. AIR-008 is reopened until D-119 demonstrates the stronger physical and command boundary.</x:v>
      </x:c>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row r="182" ht="175" customHeight="1">
      <x:c r="A182" s="431" t="str">
        <x:v>EV-179</x:v>
      </x:c>
      <x:c r="B182" s="431" t="n">
        <x:v>46226</x:v>
      </x:c>
      <x:c r="C182" s="431" t="str">
        <x:v>PR #68 integration and D-116 owner acceptance</x:v>
      </x:c>
      <x:c r="D182" s="431" t="str">
        <x:v>PR #68 passed both hosted checks and merged D-114 to exact main 3a6766f. The owner then accepted D-116 for one materially distinct external family and oracle-blind runner preparation with zero semantic execution and a separate D-117 gate.</x:v>
      </x:c>
      <x:c r="E182" s="431" t="str">
        <x:v>Merge / Owner decision / Scope authority</x:v>
      </x:c>
      <x:c r="F182" s="431" t="str">
        <x:v>PR #68; main 3a6766f; owner instruction 2026-07-23; D-116</x:v>
      </x:c>
      <x:c r="G182" s="431" t="str">
        <x:v>P4.2 recovery authority</x:v>
      </x:c>
      <x:c r="H182" s="431" t="str">
        <x:v>Accepted Evidence</x:v>
      </x:c>
      <x:c r="I182" s="431" t="str">
        <x:v>D-116 authorized preparation and independent zero-run freeze only. AIR-003, semantic execution, protected comparison, P4.3, and release claims remained held.</x:v>
      </x:c>
    </x:row>
    <x:row r="183" ht="175" customHeight="1">
      <x:c r="A183" s="431" t="str">
        <x:v>EV-180</x:v>
      </x:c>
      <x:c r="B183" s="431" t="n">
        <x:v>46226</x:v>
      </x:c>
      <x:c r="C183" s="431" t="str">
        <x:v>External family authorship and custody separation</x:v>
      </x:c>
      <x:c r="D183" s="431" t="str">
        <x:v>FAM-D116-CIM-20260723-01 is a self-authored synthetic carton-indexing conveyor family with eight opaque scenarios, 129 producer files, three protected files, 140 inventory entries, exact rights/provenance, schema-valid manifests, complete authority/oracle contract, and zero producer-visible oracle leakage.</x:v>
      </x:c>
      <x:c r="E183" s="431" t="str">
        <x:v>External custody / Rights / Structure / Leakage</x:v>
      </x:c>
      <x:c r="F183" s="431" t="str">
        <x:v>docs/package_assurance/p4_2_external_benchmark_recovery_freeze_evidence_v0.3.0.json; family public handoff; producer hash ccaf7ed4...2173; protected hash 27911e90...002</x:v>
      </x:c>
      <x:c r="G183" s="431" t="str">
        <x:v>D-116 family freeze evidence</x:v>
      </x:c>
      <x:c r="H183" s="431" t="str">
        <x:v>Accepted Evidence</x:v>
      </x:c>
      <x:c r="I183" s="431" t="str">
        <x:v>Family and oracle remain outside Git. The implementation context read public handoffs only. Protected values were not published.</x:v>
      </x:c>
    </x:row>
    <x:row r="184" ht="175" customHeight="1">
      <x:c r="A184" s="431" t="str">
        <x:v>EV-181</x:v>
      </x:c>
      <x:c r="B184" s="431" t="n">
        <x:v>46226</x:v>
      </x:c>
      <x:c r="C184" s="431" t="str">
        <x:v>Preserved runner failures and preventive controls</x:v>
      </x:c>
      <x:c r="D184" s="431" t="str">
        <x:v>Runner revisions 1-3 were rejected before opaque execution for nested dependency visibility, import-time bytecode mutation, and whole-tree Windows path length. Every failed capsule and report remains byte-exact; IMP-033-IMP-035 convert each failure into a mandatory control.</x:v>
      </x:c>
      <x:c r="E184" s="431" t="str">
        <x:v>Failed-run preservation / Root cause / Prevention</x:v>
      </x:c>
      <x:c r="F184" s="431" t="str">
        <x:v>docs/package_assurance/p4_2_external_benchmark_recovery_freeze_review_v0.3.0.md; IMP-033-IMP-035; runner R1-R3 preservation hashes</x:v>
      </x:c>
      <x:c r="G184" s="431" t="str">
        <x:v>D-116 improvement-loop evidence</x:v>
      </x:c>
      <x:c r="H184" s="431" t="str">
        <x:v>Accepted Evidence</x:v>
      </x:c>
      <x:c r="I184" s="431" t="str">
        <x:v>No failed revision was retried or repaired in place. No opaque audit or protected comparison occurred.</x:v>
      </x:c>
    </x:row>
    <x:row r="185" ht="175" customHeight="1">
      <x:c r="A185" s="431" t="str">
        <x:v>EV-182</x:v>
      </x:c>
      <x:c r="B185" s="431" t="n">
        <x:v>46226</x:v>
      </x:c>
      <x:c r="C185" s="431" t="str">
        <x:v>Oracle-blind runner revision 4 static freeze</x:v>
      </x:c>
      <x:c r="D185" s="431" t="str">
        <x:v>RUNNER-D116-CIM-20260723-04 freezes exact evaluator 3a6766f, 48/48 Git blobs, 340 read-only static files, 339 inventory entries, a pip-free capsule interpreter, five dependency distributions, zero cache artifacts, bounded environment, one-shot consumption, and no retry/resume/overwrite/tuning/protected-comparison path.</x:v>
      </x:c>
      <x:c r="E185" s="431" t="str">
        <x:v>Runner freeze / Static identity / Environment / One-shot control</x:v>
      </x:c>
      <x:c r="F185" s="431" t="str">
        <x:v>runner aggregate 9d7ce69e...c1eb; inventory d0aba026...e741; manifest a0949d94...0590; docs/package_assurance/p4_2_external_benchmark_recovery_freeze_evidence_v0.3.0.json</x:v>
      </x:c>
      <x:c r="G185" s="431" t="str">
        <x:v>D-116 runner freeze evidence</x:v>
      </x:c>
      <x:c r="H185" s="431" t="str">
        <x:v>Accepted Evidence</x:v>
      </x:c>
      <x:c r="I185" s="431" t="str">
        <x:v>The authorization directory is empty and semantic runtime is empty. Exact D-117 binding is required before use.</x:v>
      </x:c>
    </x:row>
    <x:row r="186" ht="175" customHeight="1">
      <x:c r="A186" s="431" t="str">
        <x:v>EV-183</x:v>
      </x:c>
      <x:c r="B186" s="431" t="n">
        <x:v>46226</x:v>
      </x:c>
      <x:c r="C186" s="431" t="str">
        <x:v>Independent D-116 freeze and publication-sentinel proof</x:v>
      </x:c>
      <x:c r="D186" s="431" t="str">
        <x:v>Internal separate-context verification passed 8/8 mandatory and 51/51 detailed controls. One development-only sentinel returned outer/child exit 0, published four schema-valid automatic-pass outputs, preserved exact static identities, forwarded no PATH or credentials, and exercised runs path 193, staged path 256, and former-defect path 264.</x:v>
      </x:c>
      <x:c r="E186" s="431" t="str">
        <x:v>Independent static review / Development sentinel / Zero-run proof</x:v>
      </x:c>
      <x:c r="F186" s="431" t="str">
        <x:v>VER-D116-R4-20260723-01; public verification SHA-256 c21e2ea6...90c4; docs/package_assurance/p4_2_external_benchmark_recovery_freeze_review_v0.3.0.md</x:v>
      </x:c>
      <x:c r="G186" s="431" t="str">
        <x:v>D-116 acceptance evidence</x:v>
      </x:c>
      <x:c r="H186" s="431" t="str">
        <x:v>Accepted Evidence</x:v>
      </x:c>
      <x:c r="I186" s="431" t="str">
        <x:v>Opaque semantic executions, held-out publications, and protected comparisons remain zero. This is internal AI-assisted review, not external independent assurance or performance evidence.</x:v>
      </x:c>
    </x:row>
    <x:row r="187" ht="175" customHeight="1">
      <x:c r="A187" s="431" t="str">
        <x:v>EV-184</x:v>
      </x:c>
      <x:c r="B187" s="431" t="n">
        <x:v>46226</x:v>
      </x:c>
      <x:c r="C187" s="431" t="str">
        <x:v>D-116 repository verification and proposed D-117 gate</x:v>
      </x:c>
      <x:c r="D187" s="431" t="str">
        <x:v>Governance tests passed 22/22. Protected-safe full regression passed 340 with one expected Windows skip at 88.33%; validation 5/5, Ruff, repository sentinel, development benchmark 22/22, frozen baseline 9/9 with explicit generated evidence, and demo 2/2 passed. Governance normal mode passes and strict mode exits 2 on AIR-003 plus pending D-117. PR #69 push and pull-request workflows passed; hosted Linux sentinel published four outputs at runs path 223 and 341 tests passed at 88.50%.</x:v>
      </x:c>
      <x:c r="E187" s="431" t="str">
        <x:v>Regression / Governance / Baseline / Decision gate</x:v>
      </x:c>
      <x:c r="F187" s="431" t="str">
        <x:v>docs/package_assurance/p4_2_external_benchmark_recovery_freeze_evidence_v0.3.0.json; docs/package_assurance/p4_2_external_benchmark_execution_gate_v0.3.0.md; runs/d116-closeout-*; PR #69; GitHub Actions 30041470927 and 30041835325; proposed D-117</x:v>
      </x:c>
      <x:c r="G187" s="431" t="str">
        <x:v>D-116 closeout and D-117 handoff</x:v>
      </x:c>
      <x:c r="H187" s="431" t="str">
        <x:v>Owner Review Required</x:v>
      </x:c>
      <x:c r="I187" s="431" t="str">
        <x:v>D-117 would authorize one runner invocation with eight frozen attempts, immediate raw freeze, oracle-blind verification, and separate protected comparison. It does not authorize retries, tuning, P4.3, or release/performance claims.</x:v>
      </x:c>
    </x:row>
    <x:row r="188" ht="180" customHeight="1">
      <x:c r="A188" s="431" t="str">
        <x:v>EV-185</x:v>
      </x:c>
      <x:c r="B188" s="431" t="n">
        <x:v>46226</x:v>
      </x:c>
      <x:c r="C188" s="431" t="str">
        <x:v>PR #69 integration and D-117 owner authority</x:v>
      </x:c>
      <x:c r="D188" s="431" t="str">
        <x:v>PR #69 passed both hosted checks and merged the exact D-116 recovery freeze to main 04d919f. The owner then accepted D-117, authorizing exactly one runner invocation with eight frozen attempts, immediate raw freeze, oracle-blind verification, and one separate protected comparison.</x:v>
      </x:c>
      <x:c r="E188" s="431" t="str">
        <x:v>Merge / Owner decision / One-shot authority</x:v>
      </x:c>
      <x:c r="F188" s="431" t="str">
        <x:v>PR #69; main 04d919f98f412fd0951cc804ce1a95f2ce078920; owner instruction 2026-07-23; D-117</x:v>
      </x:c>
      <x:c r="G188" s="431" t="str">
        <x:v>P4.2 execution authority</x:v>
      </x:c>
      <x:c r="H188" s="431" t="str">
        <x:v>Accepted Evidence</x:v>
      </x:c>
      <x:c r="I188" s="431" t="str">
        <x:v>No retry, resume, overwrite, second invocation, tuning, evaluator or scenario change, in-runner protected comparison, P4.3, or release claim was authorized.</x:v>
      </x:c>
    </x:row>
    <x:row r="189" ht="180" customHeight="1">
      <x:c r="A189" s="431" t="str">
        <x:v>EV-186</x:v>
      </x:c>
      <x:c r="B189" s="431" t="n">
        <x:v>46226</x:v>
      </x:c>
      <x:c r="C189" s="431" t="str">
        <x:v>D-117 one-shot execution and immutable raw freeze</x:v>
      </x:c>
      <x:c r="D189" s="431" t="str">
        <x:v>Execution EXEC-D117-R4-20260724-01 invoked RUNNER-D116-CIM-20260723-04 once against eight opaque scenarios. All eight attempts completed exactly once, each child returned exit 1, and all eight published four schema-valid outputs. The runner returned 0; static inputs remained exact; no retry, repair, overwrite, tuning, or second invocation occurred.</x:v>
      </x:c>
      <x:c r="E189" s="431" t="str">
        <x:v>One-shot execution / Complete publication / Raw custody</x:v>
      </x:c>
      <x:c r="F189" s="431" t="str">
        <x:v>authorization f7547399...2e7; raw handoff 8d9049b0...c07; 73-file aggregate f9bc8135...cb5c; docs/package_assurance/p4_2_external_benchmark_d117_result_evidence_v0.3.0.json</x:v>
      </x:c>
      <x:c r="G189" s="431" t="str">
        <x:v>D-117 execution evidence</x:v>
      </x:c>
      <x:c r="H189" s="431" t="str">
        <x:v>Accepted Evidence</x:v>
      </x:c>
      <x:c r="I189" s="431" t="str">
        <x:v>The family and authorization are permanently consumed. Raw evidence is read-only and remains outside Git under separated custody.</x:v>
      </x:c>
    </x:row>
    <x:row r="190" ht="180" customHeight="1">
      <x:c r="A190" s="431" t="str">
        <x:v>EV-187</x:v>
      </x:c>
      <x:c r="B190" s="431" t="n">
        <x:v>46226</x:v>
      </x:c>
      <x:c r="C190" s="431" t="str">
        <x:v>Oracle-blind D-117 raw verification</x:v>
      </x:c>
      <x:c r="D190" s="431" t="str">
        <x:v>VER-D117-RAW-20260724-03 passed 14/14 controls: 8/8 attempts, 8/8 complete publications, 8/8 schema-valid package results, exact 73-file aggregate, exact static pre/post identity, zero protected paths, and zero oracle values. Verifier revisions 1 and 2 remain preserved as failed-assumption evidence.</x:v>
      </x:c>
      <x:c r="E190" s="431" t="str">
        <x:v>Independent raw verification / Failed-verifier preservation</x:v>
      </x:c>
      <x:c r="F190" s="431" t="str">
        <x:v>verification JSON def6db6a...250; verifier 6af3d70c...c73; raw aggregate f9bc8135...cb5c; IMP-036</x:v>
      </x:c>
      <x:c r="G190" s="431" t="str">
        <x:v>D-117 raw acceptance evidence</x:v>
      </x:c>
      <x:c r="H190" s="431" t="str">
        <x:v>Accepted Evidence</x:v>
      </x:c>
      <x:c r="I190" s="431" t="str">
        <x:v>Failed verifier revisions did not mutate raw evidence or invoke the semantic runner. The accepted verifier used the exact handoff scope and encodings.</x:v>
      </x:c>
    </x:row>
    <x:row r="191" ht="180" customHeight="1">
      <x:c r="A191" s="431" t="str">
        <x:v>EV-188</x:v>
      </x:c>
      <x:c r="B191" s="431" t="n">
        <x:v>46226</x:v>
      </x:c>
      <x:c r="C191" s="431" t="str">
        <x:v>Separated protected comparison and non-diagnostic state metric</x:v>
      </x:c>
      <x:c r="D191" s="431" t="str">
        <x:v>CMP-D117-R4-20260724-01 compared the exact raw set in a separate custodian context. File/state comparison covered 8/8 scenarios: 7/8 states matched, but exact findings were 0/8, expected finding true positives 0/7, false negatives 7/7, unexpected findings 8, clean false positives 1/1, intended target checks 0/7, and exact combined matches 0/8.</x:v>
      </x:c>
      <x:c r="E191" s="431" t="str">
        <x:v>Protected comparison / Accuracy boundary / Anti-misleading metric</x:v>
      </x:c>
      <x:c r="F191" s="431" t="str">
        <x:v>comparison handoff 742132ce...c19; docs/package_assurance/p4_2_external_benchmark_d117_result_review_v0.3.0.md; IMP-038</x:v>
      </x:c>
      <x:c r="G191" s="431" t="str">
        <x:v>D-117 comparison evidence</x:v>
      </x:c>
      <x:c r="H191" s="431" t="str">
        <x:v>Accepted with Limitation</x:v>
      </x:c>
      <x:c r="I191" s="431" t="str">
        <x:v>The 87.5% broad state agreement is explicitly non-diagnostic because a shared unintended authority failure produced the same broad failure state while blocking every intended target.</x:v>
      </x:c>
    </x:row>
    <x:row r="192" ht="180" customHeight="1">
      <x:c r="A192" s="431" t="str">
        <x:v>EV-189</x:v>
      </x:c>
      <x:c r="B192" s="431" t="n">
        <x:v>46226</x:v>
      </x:c>
      <x:c r="C192" s="431" t="str">
        <x:v>Benchmark-authoring root cause, NC-002, and corrective controls</x:v>
      </x:c>
      <x:c r="D192" s="431" t="str">
        <x:v>All eight authority maps used the family ID where the accepted public contract required each scenario package ID. GATE-PKG-AUTHORITY-001 correctly failed closed in every package and skipped all eleven relationship checks. AIMS-AUD-002 opened NC-002; AIR-011 was reopened; IMP-037 requires public-contract validation and protected target reachability.</x:v>
      </x:c>
      <x:c r="E192" s="431" t="str">
        <x:v>Root cause / Internal audit / Nonconformity / Risk treatment</x:v>
      </x:c>
      <x:c r="F192" s="431" t="str">
        <x:v>docs/governance/internal_audit_d117_benchmark_authoring_2026-07-23.md; NC-002; AIR-011; IMP-037; docs/package_assurance/p4_2_replacement_custodian_public_contract_v0.3.0.md</x:v>
      </x:c>
      <x:c r="G192" s="431" t="str">
        <x:v>D-117 governance evidence</x:v>
      </x:c>
      <x:c r="H192" s="431" t="str">
        <x:v>Accepted with Hold</x:v>
      </x:c>
      <x:c r="I192" s="431" t="str">
        <x:v>Evaluator behavior is not the defect. D-117 proves fail-closed authority enforcement and complete publication, not intended downstream relationship performance.</x:v>
      </x:c>
    </x:row>
    <x:row r="193" ht="180" customHeight="1">
      <x:c r="A193" s="431" t="str">
        <x:v>EV-190</x:v>
      </x:c>
      <x:c r="B193" s="431" t="n">
        <x:v>46226</x:v>
      </x:c>
      <x:c r="C193" s="431" t="str">
        <x:v>D-117 repository verification and proposed D-118 gate</x:v>
      </x:c>
      <x:c r="D193" s="431" t="str">
        <x:v>AI-governance tests passed 22/22. Protected-safe full regression passed 340 with one expected Windows skip at 88.33%; validation 5/5, Ruff, publication sentinel four outputs, development benchmark 22/22, frozen baseline 9/9 with generated evidence, and demo 2/2 passed. A long-temp-root failure is preserved; the unchanged suite passed under short runs/t117f and IMP-039 retains the rule.</x:v>
      </x:c>
      <x:c r="E193" s="431" t="str">
        <x:v>Regression / Governance / Improvement loop / Decision gate</x:v>
      </x:c>
      <x:c r="F193" s="431" t="str">
        <x:v>runs/t117f; runs/s117a; runs/b117a; runs/v117a; runs/v117e; runs/p117a; docs/package_assurance/p4_2_benchmark_authoring_corrective_action_gate_v0.3.0.md; proposed D-118; IMP-039</x:v>
      </x:c>
      <x:c r="G193" s="431" t="str">
        <x:v>D-117 closeout and D-118 handoff</x:v>
      </x:c>
      <x:c r="H193" s="431" t="str">
        <x:v>Owner Review Required</x:v>
      </x:c>
      <x:c r="I193" s="431" t="str">
        <x:v>D-118 authorizes only public-contract validation and separated custodian reachability controls. New family creation, semantic execution, tuning, P4.3, and release claims remain held.</x:v>
      </x:c>
    </x:row>
    <x:row r="194" ht="185" customHeight="1">
      <x:c r="A194" s="431" t="str">
        <x:v>EV-191</x:v>
      </x:c>
      <x:c r="B194" s="429" t="n">
        <x:v>46226</x:v>
      </x:c>
      <x:c r="C194" s="431" t="str">
        <x:v>PR #70 integration and D-118 owner acceptance</x:v>
      </x:c>
      <x:c r="D194" s="431" t="str">
        <x:v>PR #70 merged the consumed D-117 result to exact main 2246d1a. The owner accepted D-118, authorizing bounded public-contract validation, separated custodian target-reachability controls, development-only proof, and a later new-family gate.</x:v>
      </x:c>
      <x:c r="E194" s="431" t="str">
        <x:v>Merge / Owner decision / Scope authority</x:v>
      </x:c>
      <x:c r="F194" s="431" t="str">
        <x:v>PR #70; main 2246d1ae1651b48d2dae2b2278e5120be168b9a1; owner instruction 2026-07-23; D-118</x:v>
      </x:c>
      <x:c r="G194" s="431" t="str">
        <x:v>P4.2 corrective-action authority</x:v>
      </x:c>
      <x:c r="H194" s="431" t="str">
        <x:v>Accepted Evidence</x:v>
      </x:c>
      <x:c r="I194" s="431" t="str">
        <x:v>No consumed-family repair, rerun, or reuse; no new external family; no official semantic execution, tuning, P4.3, or release claim was authorized.</x:v>
      </x:c>
    </x:row>
    <x:row r="195" ht="185" customHeight="1">
      <x:c r="A195" s="431" t="str">
        <x:v>EV-192</x:v>
      </x:c>
      <x:c r="B195" s="429" t="n">
        <x:v>46226</x:v>
      </x:c>
      <x:c r="C195" s="431" t="str">
        <x:v>Producer-visible public package-contract validator</x:v>
      </x:c>
      <x:c r="D195" s="431" t="str">
        <x:v>VAL-PKG-AUTHORING-001 reuses the accepted eight mandatory gates without running relationships. It emits deterministic path-safe JSON and rejects the exact D-117 package/authority scope defect with GATE-PKG-AUTHORITY-001 and AUTHORITY_SCOPE_CONFLICT.</x:v>
      </x:c>
      <x:c r="E195" s="431" t="str">
        <x:v>Pre-freeze prevention / Public contract / Fail closed</x:v>
      </x:c>
      <x:c r="F195" s="431" t="str">
        <x:v>src/mech_eval_harness/package_assurance/public_contract.py; CLI validate-package-contract; tests/test_package_authoring_controls.py; docs/package_assurance/p4_2_benchmark_authoring_control_procedure_v0.3.0.md</x:v>
      </x:c>
      <x:c r="G195" s="431" t="str">
        <x:v>D-118 public-control evidence</x:v>
      </x:c>
      <x:c r="H195" s="431" t="str">
        <x:v>Accepted Evidence</x:v>
      </x:c>
      <x:c r="I195" s="431" t="str">
        <x:v>The validator covers producer-visible authoring invariants only. It does not prove relationship accuracy, engineering correctness, benchmark performance, or release readiness.</x:v>
      </x:c>
    </x:row>
    <x:row r="196" ht="185" customHeight="1">
      <x:c r="A196" s="431" t="str">
        <x:v>EV-193</x:v>
      </x:c>
      <x:c r="B196" s="429" t="n">
        <x:v>46226</x:v>
      </x:c>
      <x:c r="C196" s="431" t="str">
        <x:v>Separated custodian target-reachability verifier</x:v>
      </x:c>
      <x:c r="D196" s="431" t="str">
        <x:v>VER-PKG-TARGET-REACHABILITY-001 confines inputs to one custody root, requires schema-valid exact-order package results, proves one clean scenario clears all gates, and checks each protected gate or relationship target is not skipped by an unintended earlier blocker.</x:v>
      </x:c>
      <x:c r="E196" s="431" t="str">
        <x:v>Protected reachability / Redaction / Immutable evidence</x:v>
      </x:c>
      <x:c r="F196" s="431" t="str">
        <x:v>src/mech_eval_harness/package_assurance/target_reachability.py; CLI verify-target-reachability; tests/test_package_authoring_controls.py; docs/package_assurance/p4_2_benchmark_authoring_control_procedure_v0.3.0.md</x:v>
      </x:c>
      <x:c r="G196" s="431" t="str">
        <x:v>D-118 custodian-control evidence</x:v>
      </x:c>
      <x:c r="H196" s="431" t="str">
        <x:v>Accepted Evidence</x:v>
      </x:c>
      <x:c r="I196" s="431" t="str">
        <x:v>Public output exposes aggregate counts and hashes only. Protected scenario mappings remain separate; reports are write-once and protected detail is written before the public completion marker.</x:v>
      </x:c>
    </x:row>
    <x:row r="197" ht="185" customHeight="1">
      <x:c r="A197" s="431" t="str">
        <x:v>EV-194</x:v>
      </x:c>
      <x:c r="B197" s="429" t="n">
        <x:v>46226</x:v>
      </x:c>
      <x:c r="C197" s="431" t="str">
        <x:v>Development-only D-118 operating proof</x:v>
      </x:c>
      <x:c r="D197" s="431" t="str">
        <x:v>PROOF-D118-AUTHORING-CONTROLS-001 passed all six controls: clean contract, relationship-fault contract, exact defect rejection, intended target reachability, unintended blocker rejection, and public redaction. It copied no expected directory and performed zero held-out semantic executions.</x:v>
      </x:c>
      <x:c r="E197" s="431" t="str">
        <x:v>Development proof / Positive and negative controls / Leakage boundary</x:v>
      </x:c>
      <x:c r="F197" s="431" t="str">
        <x:v>scripts/run_benchmark_authoring_control_proof.py; runs/d118-proof-b/benchmark_authoring_control_proof.json; runs/d118-proof-b/benchmark_authoring_control_proof.md</x:v>
      </x:c>
      <x:c r="G197" s="431" t="str">
        <x:v>D-118 operating evidence</x:v>
      </x:c>
      <x:c r="H197" s="431" t="str">
        <x:v>Accepted with Limitation</x:v>
      </x:c>
      <x:c r="I197" s="431" t="str">
        <x:v>This proves control operation on development-only synthetic packages. External corrective-control effectiveness and benchmark performance remain unproven.</x:v>
      </x:c>
    </x:row>
    <x:row r="198" ht="185" customHeight="1">
      <x:c r="A198" s="431" t="str">
        <x:v>EV-195</x:v>
      </x:c>
      <x:c r="B198" s="429" t="n">
        <x:v>46226</x:v>
      </x:c>
      <x:c r="C198" s="431" t="str">
        <x:v>Search-boundary recurrence, disclosure, and strengthened treatment</x:v>
      </x:c>
      <x:c r="D198" s="431" t="str">
        <x:v>An unexpectedly broad search surfaced protected text from a consumed release-ineligible historical family. No value was used and no asset changed. I-012 and IMP-040 require literal-path reads, named approved search roots, and physical external custody for every future release-eligible family through first official execution.</x:v>
      </x:c>
      <x:c r="E198" s="431" t="str">
        <x:v>Incident / Disclosure / Risk treatment / Improvement loop</x:v>
      </x:c>
      <x:c r="F198" s="431" t="str">
        <x:v>AGENTS.md; docs/quality/improvement_register.md; docs/package_assurance/p4_2_benchmark_authoring_corrective_action_review_v0.3.0.md; AIR-008; I-012; IMP-032; IMP-040</x:v>
      </x:c>
      <x:c r="G198" s="431" t="str">
        <x:v>D-118 governance evidence</x:v>
      </x:c>
      <x:c r="H198" s="431" t="str">
        <x:v>Accepted with Hold</x:v>
      </x:c>
      <x:c r="I198" s="431" t="str">
        <x:v>AIR-008 is reopened. No protected fixture test ran, no external D-117 custody asset was accessed, and no surfaced value informed implementation or testing.</x:v>
      </x:c>
    </x:row>
    <x:row r="199" ht="185" customHeight="1">
      <x:c r="A199" s="431" t="str">
        <x:v>EV-196</x:v>
      </x:c>
      <x:c r="B199" s="429" t="n">
        <x:v>46226</x:v>
      </x:c>
      <x:c r="C199" s="431" t="str">
        <x:v>D-118 local verification and proposed D-119 gate</x:v>
      </x:c>
      <x:c r="D199" s="431" t="str">
        <x:v>Authoring-control plus governance tests passed 36/36. Protected-safe full regression passed 354 with one expected Windows skip at 88.02%; repository validation 5/5, Ruff, four-output sentinel, development benchmark 22/22, frozen baseline 9/9 with generated evidence, and demo 2/2 passed. Normal governance passes; strict release-ready validation remains held.</x:v>
      </x:c>
      <x:c r="E199" s="431" t="str">
        <x:v>Regression / Governance / Operational proof / Decision gate</x:v>
      </x:c>
      <x:c r="F199" s="431" t="str">
        <x:v>runs/t118l; runs/t118m; runs/s118a; runs/b118a; runs/v118a; runs/d118a; docs/package_assurance/p4_2_benchmark_authoring_corrective_action_review_v0.3.0.md; docs/package_assurance/p4_2_new_external_family_preparation_gate_v0.3.0.md; proposed D-119</x:v>
      </x:c>
      <x:c r="G199" s="431" t="str">
        <x:v>D-118 closeout and D-119 handoff</x:v>
      </x:c>
      <x:c r="H199" s="431" t="str">
        <x:v>Owner Review Required</x:v>
      </x:c>
      <x:c r="I199" s="431" t="str">
        <x:v>D-119 would authorize isolated preparation and authoring-control verification for one genuinely new family only. Official execution remains D-120; tuning, P4.3, release, and performance claims remain held.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46226</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D-118 authoring controls complete; D-119 owner review</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The D-117 authoring defect now has deterministic prevention and protected reachability checks, but external effectiveness and relationship performance remain unproven.</x:v>
      </x:c>
      <x:c r="E7" s="765" t="str">
        <x:v>Product interpretation</x:v>
      </x:c>
      <x:c r="F7" s="431" t="str">
        <x:v>Successful kernel; not yet a complete economically useful workflow.</x:v>
      </x:c>
      <x:c r="G7" s="765" t="str">
        <x:v>Response</x:v>
      </x:c>
      <x:c r="H7" s="431" t="str">
        <x:v>Review D-118 and accept or revise D-119 before a genuinely new isolated family is prepared.</x:v>
      </x:c>
    </x:row>
    <x:row r="8" ht="153" hidden="0" customHeight="1">
      <x:c r="A8" s="765" t="str">
        <x:v>Immediate next action</x:v>
      </x:c>
      <x:c r="B8" s="431" t="str">
        <x:v>Review the D-118 controls, NC-002 containment, reopened AIR-008, and proposed D-119. Preserve all consumed-family evidence.</x:v>
      </x:c>
      <x:c r="C8" s="765" t="str">
        <x:v>Selected vertical</x:v>
      </x:c>
      <x:c r="D8" s="431" t="str">
        <x:v>D-118 controls -&gt; D-119 isolated new-family preparation and control proof -&gt; later D-120 official one-shot execution -&gt; bounded result review.</x:v>
      </x:c>
      <x:c r="E8" s="765" t="str">
        <x:v>Primary deliverable</x:v>
      </x:c>
      <x:c r="F8" s="431" t="str">
        <x:v>Evidence-linked issue register plus release-readiness summary.</x:v>
      </x:c>
      <x:c r="G8" s="765" t="str">
        <x:v>Scope rule</x:v>
      </x:c>
      <x:c r="H8" s="431" t="str">
        <x:v>No new family, official benchmark execution, evaluator tuning, protected-value publication, P4.3, or release claim before its separate gate.</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PR #70 integrated D-117 at exact main 2246d1a and the owner accepted D-118. The new public validator rejects the exact package/authority scope defect before freeze and exposes all accepted mandatory-gate authoring failures without running relationship checks. A separate custodian verifier checks clean-gate success and protected target reachability, writes protected detail before a redacted public completion marker, uses a protected 256-bit nonce before publishing the plan commitment, binds inputs and outputs by SHA-256, and refuses overwrite. Development-only proof passed six controls with zero held-out semantic executions. Local authoring plus governance tests pass 36/36; protected-safe full regression passes 354 with one expected Windows skip at 88.02%; validation 5/5, Ruff, publication sentinel, development benchmark 22/22, frozen baseline 9/9, and demo 2/2 pass. NC-002 remains contained because external effectiveness is not yet proven. A repeated search-boundary incident reopened AIR-008 and created I-012/IMP-040; no surfaced value informed implementation or testing. AIR-003, AIR-008, AIR-011, NC-002, and proposed D-119 hold release. D-119 would authorize one genuinely new isolated family for authoring-control verification only; D-120 would be required for official execution.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91a2dcfadd84d2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D-118 Complete / D-119 Owner Review</x:v>
      </x:c>
      <x:c r="L19" s="664" t="n">
        <x:v>0.99</x:v>
      </x:c>
      <x:c r="M19" s="662" t="n">
        <x:f>SUMIF('Work Block Log'!$E$5:$E$200,A19,'Work Block Log'!$F$5:$F$200)</x:f>
        <x:v>0</x:v>
      </x:c>
      <x:c r="N19" s="662" t="n">
        <x:f>MAX(F19*(1-L19),0)</x:f>
        <x:v>0.030000000000000027</x:v>
      </x:c>
      <x:c r="O19" s="662" t="n">
        <x:f>M19-F19</x:f>
        <x:v>-3</x:v>
      </x:c>
      <x:c r="P19" s="431" t="str">
        <x:v>PR #70 main 2246d1a; D-118 accepted; VAL-PKG-AUTHORING-001; VER-PKG-TARGET-REACHABILITY-001; proof 6/6; exact D-117 defect rejected; nonce-hardened public redaction verified; NC-002 contained; AIR-008 reopened; EV-191-EV-196; I-012; IMP-040; focused 36; full 354/1 at 88.02%; validation 5/5; Ruff; sentinel 4; dev 22/22; baseline 9/9; demo 2/2</x:v>
      </x:c>
      <x:c r="Q19" s="431" t="str">
        <x:v>Review D-118 and proposed D-119. D-119 authorizes only isolated preparation and authoring-control verification for one genuinely new family.</x:v>
      </x:c>
      <x:c r="R19" s="431" t="str">
        <x:v>The controls operate on development evidence, but external effectiveness and unconfounded relationship performance remain unproven. Official execution requires D-120.</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governance only. AIR-003, AIR-008, AIR-011, NC-002, and pending D-119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0.8689130434782608</x:v>
      </x:c>
      <x:c r="M24" s="683" t="n">
        <x:f>SUM(M6:M22)</x:f>
        <x:v>0</x:v>
      </x:c>
      <x:c r="N24" s="683" t="n">
        <x:f>SUM(N6:N22)</x:f>
        <x:v>6.03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D-118 Authoring Controls</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D-118 complete; D-119 owner review</x:v>
      </x:c>
      <x:c r="H4" s="697"/>
    </x:row>
    <x:row r="5" ht="72" customHeight="1">
      <x:c r="A5" s="688" t="str">
        <x:v>Schedule Baseline</x:v>
      </x:c>
      <x:c r="B5" s="693" t="str">
        <x:v>Legacy only; not controlling</x:v>
      </x:c>
      <x:c r="C5" s="691"/>
      <x:c r="D5" s="691"/>
      <x:c r="F5" s="696" t="str">
        <x:v>Objective</x:v>
      </x:c>
      <x:c r="G5" s="697" t="str">
        <x:v>Prevent the known benchmark-authoring defect, prove protected target reachability without leaking mappings, and retain a separate owner gate before any new family.</x:v>
      </x:c>
      <x:c r="H5" s="697"/>
    </x:row>
    <x:row r="6" ht="63" customHeight="1">
      <x:c r="A6" s="688" t="str">
        <x:v>Time Tracking</x:v>
      </x:c>
      <x:c r="B6" s="693" t="str">
        <x:v>Waived prospectively</x:v>
      </x:c>
      <x:c r="C6" s="691"/>
      <x:c r="D6" s="691"/>
      <x:c r="F6" s="696" t="str">
        <x:v>Gate Status</x:v>
      </x:c>
      <x:c r="G6" s="697" t="str">
        <x:v>Exact defect rejected; proof 6/6; focused 36/36; full 354/1 at 88.02%; validation 5/5; Ruff; sentinel 4; development 22/22; baseline 9/9; demo 2/2.</x:v>
      </x:c>
      <x:c r="H6" s="697"/>
    </x:row>
    <x:row r="7" ht="81" customHeight="1">
      <x:c r="A7" s="688" t="str">
        <x:v>Current Gate</x:v>
      </x:c>
      <x:c r="B7" s="694" t="str">
        <x:v>D-118 complete; AIR-003, AIR-008, AIR-011, NC-002 hold release; D-119 pending</x:v>
      </x:c>
      <x:c r="C7" s="691"/>
      <x:c r="D7" s="691"/>
      <x:c r="F7" s="696" t="str">
        <x:v>Definition of Done</x:v>
      </x:c>
      <x:c r="G7" s="697" t="str">
        <x:v>Authoring prevention and redacted reachability controls work on development evidence. External effectiveness and relationship performance are still unproven.</x:v>
      </x:c>
      <x:c r="H7" s="697"/>
    </x:row>
    <x:row r="8" ht="63" customHeight="1">
      <x:c r="A8" s="688" t="str">
        <x:v>Released Kernel</x:v>
      </x:c>
      <x:c r="B8" s="691" t="str">
        <x:v>v0.2.0 / commit 45336a2</x:v>
      </x:c>
      <x:c r="C8" s="691"/>
      <x:c r="D8" s="691"/>
      <x:c r="F8" s="696" t="str">
        <x:v>Immediate Next Action</x:v>
      </x:c>
      <x:c r="G8" s="697" t="str">
        <x:v>Review D-118 implementation and accept or revise proposed D-119.</x:v>
      </x:c>
      <x:c r="H8" s="697"/>
    </x:row>
    <x:row r="9" ht="72" customHeight="1">
      <x:c r="A9" s="688" t="str">
        <x:v>Release Target</x:v>
      </x:c>
      <x:c r="B9" s="691" t="str">
        <x:v>v0.3.0</x:v>
      </x:c>
      <x:c r="C9" s="691"/>
      <x:c r="D9" s="691"/>
      <x:c r="F9" s="696" t="str">
        <x:v>Primary Risk</x:v>
      </x:c>
      <x:c r="G9" s="697" t="str">
        <x:v>Primary risk: treating development-only control proof as external benchmark evidence, or repeating a custody-boundary search failure.</x:v>
      </x:c>
      <x:c r="H9" s="697"/>
    </x:row>
    <x:row r="10" ht="81" customHeight="1">
      <x:c r="A10" s="688" t="str">
        <x:v>Baseline Test Count</x:v>
      </x:c>
      <x:c r="B10" s="691" t="n">
        <x:v>121</x:v>
      </x:c>
      <x:c r="C10" s="691"/>
      <x:c r="D10" s="691"/>
      <x:c r="F10" s="696" t="str">
        <x:v>Deferred</x:v>
      </x:c>
      <x:c r="G10" s="697" t="str">
        <x:v>New external family creation, official semantic execution, evaluator tuning, protected-value publication, P4.3, and release/performance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D-118 Complete / D-119 Owner Review</x:v>
      </x:c>
      <x:c r="C19" s="699" t="str">
        <x:v>Known authoring defect prevented; protected reachability proven on development data</x:v>
      </x:c>
      <x:c r="D19" s="700" t="n">
        <x:v>0.99</x:v>
      </x:c>
      <x:c r="E19" s="698" t="str">
        <x:v>Gate P4 - AIR-003, AIR-008, AIR-011, NC-002; D-119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active; D-118 controlled; AIR-008 reopened; NC-002 contained; release held</x:v>
      </x:c>
      <x:c r="D21" s="664" t="n">
        <x:v>1</x:v>
      </x:c>
      <x:c r="E21" s="431" t="str">
        <x:v>Gate G0 - AIR-003, AIR-008, AIR-011, NC-002, and D-119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row r="58" ht="165" customHeight="1">
      <x:c r="A58" s="431" t="n">
        <x:v>35</x:v>
      </x:c>
      <x:c r="B58" s="431" t="str">
        <x:v>P4.2</x:v>
      </x:c>
      <x:c r="C58" s="431" t="str">
        <x:v>D-116 external benchmark recovery freeze</x:v>
      </x:c>
      <x:c r="D58" s="431" t="str">
        <x:v>Prepare and independently verify one materially distinct external family and one oracle-blind runner, prove four-output publication in the final physical pattern, preserve every failed revision, and return D-117 with zero opaque runs.</x:v>
      </x:c>
      <x:c r="E58" s="431" t="str">
        <x:v>Complete / D-117 Owner Review</x:v>
      </x:c>
      <x:c r="F58" s="431" t="str">
        <x:v>codex/p4.2-external-benchmark-recovery-preparation</x:v>
      </x:c>
      <x:c r="G58" s="431" t="str">
        <x:v>D-116; proposed D-117; PR #68 main 3a6766f; PR #69 hosted 2/2, runs 30041470927 and 30041835325; family FAM-D116-CIM-20260723-01; runner R4; EV-179-EV-184; I-010; IMP-033-IMP-035; 8/8 mandatory; 51/51 detailed; sentinel 4 outputs; focused 22; full 340/1 at 88.33%; hosted 341 at 88.50%; validation 5/5; Ruff; dev 22/22; baseline 9/9; demo 2/2</x:v>
      </x:c>
      <x:c r="H58" s="431" t="str">
        <x:v>Jason</x:v>
      </x:c>
    </x:row>
    <x:row r="59" ht="180" customHeight="1">
      <x:c r="A59" s="431" t="n">
        <x:v>36</x:v>
      </x:c>
      <x:c r="B59" s="431" t="str">
        <x:v>P4.2</x:v>
      </x:c>
      <x:c r="C59" s="431" t="str">
        <x:v>D-117 external benchmark execution and result review</x:v>
      </x:c>
      <x:c r="D59" s="431" t="str">
        <x:v>Invoke the frozen runner exactly once, preserve eight immutable publications, verify raw evidence without oracle access, compare in a separate custodian context, and return an honest result and next gate.</x:v>
      </x:c>
      <x:c r="E59" s="431" t="str">
        <x:v>Complete / D-118 Owner Review</x:v>
      </x:c>
      <x:c r="F59" s="431" t="str">
        <x:v>codex/p4.2-external-benchmark-first-run</x:v>
      </x:c>
      <x:c r="G59" s="431" t="str">
        <x:v>D-117; proposed D-118; PR #69 main 04d919f; execution EXEC-D117-R4-20260724-01; raw f9bc8135...cb5c; verifier 14/14; comparison CMP-D117-R4-20260724-01; states 7/8; findings 0/8; targets 0/7; NC-002; AIR-011; EV-185-EV-190; I-011; IMP-036-IMP-039; focused 22; full 340/1 at 88.33%; validation 5/5; Ruff; sentinel 4; dev 22/22; baseline 9/9; demo 2/2</x:v>
      </x:c>
      <x:c r="H59" s="431" t="str">
        <x:v>Jason</x:v>
      </x:c>
    </x:row>
    <x:row r="60" ht="185" customHeight="1">
      <x:c r="A60" s="431" t="n">
        <x:v>37</x:v>
      </x:c>
      <x:c r="B60" s="431" t="str">
        <x:v>P4.2</x:v>
      </x:c>
      <x:c r="C60" s="431" t="str">
        <x:v>D-118 benchmark-authoring corrective action</x:v>
      </x:c>
      <x:c r="D60" s="431" t="str">
        <x:v>Add a producer-visible package-contract validator and separated custodian target-reachability verifier, prove both on development-only packages, align governance, and return a separate new-family gate.</x:v>
      </x:c>
      <x:c r="E60" s="431" t="str">
        <x:v>Complete / D-119 Owner Review</x:v>
      </x:c>
      <x:c r="F60" s="431" t="str">
        <x:v>codex/p4.2-benchmark-authoring-corrective-action</x:v>
      </x:c>
      <x:c r="G60" s="431" t="str">
        <x:v>PR #70 main 2246d1a; D-118; proposed D-119; VAL-PKG-AUTHORING-001; VER-PKG-TARGET-REACHABILITY-001; proof 6/6; protected nonce commitment; NC-002; AIR-008; EV-191-EV-196; I-012; IMP-037; IMP-040; focused 36/36; full 354/1 at 88.02%; validation 5/5; Ruff; sentinel 4; dev 22/22; baseline 9/9; demo 2/2</x:v>
      </x:c>
      <x:c r="H60"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