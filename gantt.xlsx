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c9d1016cb844ec8" /></Relationships>
</file>

<file path=xl/workbook.xml><?xml version="1.0" encoding="utf-8"?>
<x:workbook xmlns:x="http://schemas.openxmlformats.org/spreadsheetml/2006/main">
  <x:sheets>
    <x:sheet xmlns:r="http://schemas.openxmlformats.org/officeDocument/2006/relationships" name="Start Here" sheetId="1" r:id="Rd83124171dc24ae6"/>
    <x:sheet xmlns:r="http://schemas.openxmlformats.org/officeDocument/2006/relationships" name="Executive Gantt" sheetId="2" r:id="Re951034bc4b94965"/>
    <x:sheet xmlns:r="http://schemas.openxmlformats.org/officeDocument/2006/relationships" name="Detailed Gantt" sheetId="3" r:id="R40fd2b64a58f4b8f"/>
    <x:sheet xmlns:r="http://schemas.openxmlformats.org/officeDocument/2006/relationships" name="Weekly Control" sheetId="4" r:id="R2f69fba90de14f2d"/>
    <x:sheet xmlns:r="http://schemas.openxmlformats.org/officeDocument/2006/relationships" name="Phase Summary" sheetId="5" r:id="R7af2b881c15147c1"/>
    <x:sheet xmlns:r="http://schemas.openxmlformats.org/officeDocument/2006/relationships" name="Assumptions &amp; Gates" sheetId="6" r:id="R7ff15773570f4b94"/>
    <x:sheet xmlns:r="http://schemas.openxmlformats.org/officeDocument/2006/relationships" name="Sources" sheetId="7" r:id="R0bb55989b0a04ee2"/>
    <x:sheet xmlns:r="http://schemas.openxmlformats.org/officeDocument/2006/relationships" name="Legacy Baseline" sheetId="8" r:id="Rbafd2df0d689449b"/>
    <x:sheet xmlns:r="http://schemas.openxmlformats.org/officeDocument/2006/relationships" name="Work Block Log" sheetId="9" r:id="R1ce1794dce144881"/>
    <x:sheet xmlns:r="http://schemas.openxmlformats.org/officeDocument/2006/relationships" name="Decision Register" sheetId="10" r:id="R80239e57f2af417e"/>
    <x:sheet xmlns:r="http://schemas.openxmlformats.org/officeDocument/2006/relationships" name="Risks &amp; Issues" sheetId="11" r:id="Rf8ac73011e5c4f39"/>
    <x:sheet xmlns:r="http://schemas.openxmlformats.org/officeDocument/2006/relationships" name="Evidence Register" sheetId="12" r:id="R98602339e60b4c1b"/>
    <x:sheet xmlns:r="http://schemas.openxmlformats.org/officeDocument/2006/relationships" name="Expansion Backlog" sheetId="13" r:id="Radeba53f0ac343a1"/>
    <x:sheet xmlns:r="http://schemas.openxmlformats.org/officeDocument/2006/relationships" name="AI Context" sheetId="14" r:id="Raf89e7401db94367"/>
    <x:sheet xmlns:r="http://schemas.openxmlformats.org/officeDocument/2006/relationships" name="MVP Dashboard" sheetId="15" r:id="R50f6d5c8b5a446e6"/>
    <x:sheet xmlns:r="http://schemas.openxmlformats.org/officeDocument/2006/relationships" name="Product Vision" sheetId="16" r:id="R705b2b86e950445e"/>
    <x:sheet xmlns:r="http://schemas.openxmlformats.org/officeDocument/2006/relationships" name="Pilot Gantt" sheetId="17" r:id="Raad467e71375430b"/>
    <x:sheet xmlns:r="http://schemas.openxmlformats.org/officeDocument/2006/relationships" name="Pilot Dashboard" sheetId="18" r:id="Ra57aaacf62374056"/>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<x:sst xmlns:x="http://schemas.openxmlformats.org/spreadsheetml/2006/main">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</x:sst>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53">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4d19a0fe3074d4c" /><Relationship Type="http://schemas.openxmlformats.org/officeDocument/2006/relationships/theme" Target="/xl/theme/theme1.xml" Id="R2d291e2007164d49" /><Relationship Type="http://schemas.openxmlformats.org/officeDocument/2006/relationships/sharedStrings" Target="/xl/sharedStrings.xml" Id="R25e6358ff90a40c2" /><Relationship Type="http://schemas.openxmlformats.org/officeDocument/2006/relationships/worksheet" Target="/xl/worksheets/sheet1.xml" Id="Rd83124171dc24ae6" /><Relationship Type="http://schemas.openxmlformats.org/officeDocument/2006/relationships/worksheet" Target="/xl/worksheets/sheet2.xml" Id="Re951034bc4b94965" /><Relationship Type="http://schemas.openxmlformats.org/officeDocument/2006/relationships/worksheet" Target="/xl/worksheets/sheet3.xml" Id="R40fd2b64a58f4b8f" /><Relationship Type="http://schemas.openxmlformats.org/officeDocument/2006/relationships/worksheet" Target="/xl/worksheets/sheet4.xml" Id="R2f69fba90de14f2d" /><Relationship Type="http://schemas.openxmlformats.org/officeDocument/2006/relationships/worksheet" Target="/xl/worksheets/sheet5.xml" Id="R7af2b881c15147c1" /><Relationship Type="http://schemas.openxmlformats.org/officeDocument/2006/relationships/worksheet" Target="/xl/worksheets/sheet6.xml" Id="R7ff15773570f4b94" /><Relationship Type="http://schemas.openxmlformats.org/officeDocument/2006/relationships/worksheet" Target="/xl/worksheets/sheet7.xml" Id="R0bb55989b0a04ee2" /><Relationship Type="http://schemas.openxmlformats.org/officeDocument/2006/relationships/worksheet" Target="/xl/worksheets/sheet8.xml" Id="Rbafd2df0d689449b" /><Relationship Type="http://schemas.openxmlformats.org/officeDocument/2006/relationships/worksheet" Target="/xl/worksheets/sheet9.xml" Id="R1ce1794dce144881" /><Relationship Type="http://schemas.openxmlformats.org/officeDocument/2006/relationships/worksheet" Target="/xl/worksheets/sheet10.xml" Id="R80239e57f2af417e" /><Relationship Type="http://schemas.openxmlformats.org/officeDocument/2006/relationships/worksheet" Target="/xl/worksheets/sheet11.xml" Id="Rf8ac73011e5c4f39" /><Relationship Type="http://schemas.openxmlformats.org/officeDocument/2006/relationships/worksheet" Target="/xl/worksheets/sheet12.xml" Id="R98602339e60b4c1b" /><Relationship Type="http://schemas.openxmlformats.org/officeDocument/2006/relationships/worksheet" Target="/xl/worksheets/sheet13.xml" Id="Radeba53f0ac343a1" /><Relationship Type="http://schemas.openxmlformats.org/officeDocument/2006/relationships/worksheet" Target="/xl/worksheets/sheet14.xml" Id="Raf89e7401db94367" /><Relationship Type="http://schemas.openxmlformats.org/officeDocument/2006/relationships/worksheet" Target="/xl/worksheets/sheet15.xml" Id="R50f6d5c8b5a446e6" /><Relationship Type="http://schemas.openxmlformats.org/officeDocument/2006/relationships/worksheet" Target="/xl/worksheets/sheet16.xml" Id="R705b2b86e950445e" /><Relationship Type="http://schemas.openxmlformats.org/officeDocument/2006/relationships/worksheet" Target="/xl/worksheets/sheet17.xml" Id="Raad467e71375430b" /><Relationship Type="http://schemas.openxmlformats.org/officeDocument/2006/relationships/worksheet" Target="/xl/worksheets/sheet18.xml" Id="Ra57aaacf62374056" /></Relationships>
</file>

<file path=xl/drawings/_rels/drawing1.xml.rels>&#65279;<?xml version="1.0" encoding="utf-8"?><Relationships xmlns="http://schemas.openxmlformats.org/package/2006/relationships"><Relationship Type="http://schemas.openxmlformats.org/officeDocument/2006/relationships/chart" Target="/xl/drawings/charts/chart1.xml" Id="R30244b0223b74a9a" /></Relationships>
</file>

<file path=xl/drawings/_rels/drawing2.xml.rels>&#65279;<?xml version="1.0" encoding="utf-8"?><Relationships xmlns="http://schemas.openxmlformats.org/package/2006/relationships"><Relationship Type="http://schemas.openxmlformats.org/officeDocument/2006/relationships/chart" Target="/xl/drawings/charts/chart2.xml" Id="Rf0d92a16e1ce490a" /></Relationships>
</file>

<file path=xl/drawings/_rels/drawing3.xml.rels>&#65279;<?xml version="1.0" encoding="utf-8"?><Relationships xmlns="http://schemas.openxmlformats.org/package/2006/relationships"><Relationship Type="http://schemas.openxmlformats.org/officeDocument/2006/relationships/chart" Target="/xl/drawings/charts/chart3.xml" Id="R1e537798bc3647a8"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0244b0223b74a9a"/>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0d92a16e1ce490a"/>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e537798bc3647a8"/>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1f44285e6a8b4353" /></Relationships>
</file>

<file path=xl/worksheets/_rels/sheet5.xml.rels>&#65279;<?xml version="1.0" encoding="utf-8"?><Relationships xmlns="http://schemas.openxmlformats.org/package/2006/relationships"><Relationship Type="http://schemas.openxmlformats.org/officeDocument/2006/relationships/drawing" Target="/xl/drawings/drawing2.xml" Id="Ra81600b2cc674e30" /></Relationships>
</file>

<file path=xl/worksheets/_rels/sheet15.xml.rels>&#65279;<?xml version="1.0" encoding="utf-8"?><Relationships xmlns="http://schemas.openxmlformats.org/package/2006/relationships"><Relationship Type="http://schemas.openxmlformats.org/officeDocument/2006/relationships/drawing" Target="/xl/drawings/drawing3.xml" Id="Rb361a1fe9e034e49"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38" customHeight="1">
      <x:c r="A4" s="739" t="str">
        <x:v>Control revision</x:v>
      </x:c>
      <x:c r="B4" s="747" t="str">
        <x:v>Program v3.0 - first P2.2 slice integrated; second definition accepted 2026-07-17</x:v>
      </x:c>
      <x:c r="C4" s="1"/>
      <x:c r="D4" s="752" t="n">
        <x:v>1</x:v>
      </x:c>
      <x:c r="E4" s="72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8" customHeight="1">
      <x:c r="A5" s="739" t="str">
        <x:v>Released baseline</x:v>
      </x:c>
      <x:c r="B5" s="747" t="str">
        <x:v>v0.2.0 released; accepted commit 45336a2; tag verified</x:v>
      </x:c>
      <x:c r="C5" s="1"/>
      <x:c r="D5" s="752" t="n">
        <x:v>2</x:v>
      </x:c>
      <x:c r="E5" s="72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38" customHeight="1">
      <x:c r="A6" s="739" t="str">
        <x:v>Pilot start (legacy)</x:v>
      </x:c>
      <x:c r="B6" s="748" t="str">
        <x:v>2026-07-13</x:v>
      </x:c>
      <x:c r="C6" s="1"/>
      <x:c r="D6" s="752" t="n">
        <x:v>3</x:v>
      </x:c>
      <x:c r="E6" s="72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38" customHeight="1">
      <x:c r="A7" s="739" t="str">
        <x:v>Target finish (legacy)</x:v>
      </x:c>
      <x:c r="B7" s="748" t="str">
        <x:v>2026-08-23</x:v>
      </x:c>
      <x:c r="C7" s="1"/>
      <x:c r="D7" s="752" t="n">
        <x:v>4</x:v>
      </x:c>
      <x:c r="E7" s="72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8" customHeight="1">
      <x:c r="A8" s="739" t="str">
        <x:v>Planned labour (legacy)</x:v>
      </x:c>
      <x:c r="B8" s="749" t="str">
        <x:v>46 hours; not controlling</x:v>
      </x:c>
      <x:c r="C8" s="1"/>
      <x:c r="D8" s="752" t="n">
        <x:v>5</x:v>
      </x:c>
      <x:c r="E8" s="72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38" customHeight="1">
      <x:c r="A9" s="739" t="str">
        <x:v>Time tracking</x:v>
      </x:c>
      <x:c r="B9" s="749" t="str">
        <x:v>Waived prospectively</x:v>
      </x:c>
      <x:c r="C9" s="1"/>
      <x:c r="D9" s="752" t="n">
        <x:v>6</x:v>
      </x:c>
      <x:c r="E9" s="72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38" customHeight="1">
      <x:c r="A10" s="739" t="str">
        <x:v>Current gate</x:v>
      </x:c>
      <x:c r="B10" s="750" t="str">
        <x:v>P2.2 second relationship-slice integration</x:v>
      </x:c>
      <x:c r="C10" s="1"/>
      <x:c r="D10" s="752" t="n">
        <x:v>7</x:v>
      </x:c>
      <x:c r="E10" s="72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6" hidden="0" customHeight="1">
      <x:c r="A11" s="739" t="str">
        <x:v>Current product state</x:v>
      </x:c>
      <x:c r="B11" s="75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36" hidden="0" customHeight="1">
      <x:c r="A12" s="741" t="str">
        <x:v>Active WBS</x:v>
      </x:c>
      <x:c r="B12" s="751" t="str">
        <x:v>P2.2 - Integrate accepted drawing metadata presence definition</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36" hidden="0" customHeight="1">
      <x:c r="A13" s="741" t="str">
        <x:v>Next build WBS</x:v>
      </x:c>
      <x:c r="B13" s="751" t="str">
        <x:v>Merge PR #30 and verify the exact main commit before implementation</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34" customHeight="1">
      <x:c r="A16" s="165" t="n">
        <x:v>1</x:v>
      </x:c>
      <x:c r="B16" s="72" t="str">
        <x:v>Approved workflow contract and authority map for the structured package audit.</x:v>
      </x:c>
      <x:c r="C16" s="72"/>
      <x:c r="D16" s="165" t="str">
        <x:v>Pilot Gantt</x:v>
      </x:c>
      <x:c r="E16" s="72"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34" customHeight="1">
      <x:c r="A17" s="165" t="n">
        <x:v>2</x:v>
      </x:c>
      <x:c r="B17" s="72" t="str">
        <x:v>Versioned package manifest schema plus one development and one newly authored held-out package.</x:v>
      </x:c>
      <x:c r="C17" s="72"/>
      <x:c r="D17" s="165" t="str">
        <x:v>MVP Dashboard</x:v>
      </x:c>
      <x:c r="E17" s="72"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34" customHeight="1">
      <x:c r="A18" s="165" t="n">
        <x:v>3</x:v>
      </x:c>
      <x:c r="B18" s="72" t="str">
        <x:v>Mandatory inventory, parse, revision, file-reference, and authority gates before scoring.</x:v>
      </x:c>
      <x:c r="C18" s="74"/>
      <x:c r="D18" s="165" t="str">
        <x:v>Detailed Gantt</x:v>
      </x:c>
      <x:c r="E18" s="72"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34" customHeight="1">
      <x:c r="A19" s="153" t="n">
        <x:v>4</x:v>
      </x:c>
      <x:c r="B19" s="141" t="str">
        <x:v>Deterministic document, tag, BOM/equipment, datasheet/specification, quantity, and revision consistency checks.</x:v>
      </x:c>
      <x:c r="C19" s="1"/>
      <x:c r="D19" s="153" t="str">
        <x:v>Work Block Log</x:v>
      </x:c>
      <x:c r="E19" s="141"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34" customHeight="1">
      <x:c r="A20" s="153" t="n">
        <x:v>5</x:v>
      </x:c>
      <x:c r="B20" s="141" t="str">
        <x:v>Explicit result states: automatic pass, automatic fail, engineering review required, missing authoritative information, extraction/tool failure, and evaluator uncertainty.</x:v>
      </x:c>
      <x:c r="C20" s="1"/>
      <x:c r="D20" s="153" t="str">
        <x:v>Decision Register</x:v>
      </x:c>
      <x:c r="E20" s="141"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34" customHeight="1">
      <x:c r="A21" s="153" t="n">
        <x:v>6</x:v>
      </x:c>
      <x:c r="B21" s="141" t="str">
        <x:v>Immutable package result, evidence-linked issue register, release-readiness summary, and stable audit-package CLI exit codes.</x:v>
      </x:c>
      <x:c r="C21" s="1"/>
      <x:c r="D21" s="153" t="str">
        <x:v>Risks &amp; Issues</x:v>
      </x:c>
      <x:c r="E21" s="141"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34" customHeight="1">
      <x:c r="A22" s="153" t="n">
        <x:v>7</x:v>
      </x:c>
      <x:c r="B22" s="141" t="str">
        <x:v>Development and held-out benchmark with fault injection, failed-run preservation, false-positive/false-negative review, and bounded claims.</x:v>
      </x:c>
      <x:c r="C22" s="1"/>
      <x:c r="D22" s="153" t="str">
        <x:v>Evidence Register</x:v>
      </x:c>
      <x:c r="E22" s="141"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34" customHeight="1">
      <x:c r="A23" s="153" t="n">
        <x:v>8</x:v>
      </x:c>
      <x:c r="B23" s="141" t="str">
        <x:v>Regression tests, CI, clean-clone acceptance, documentation, terminal-first demo, bounded service specification, and annotated v0.3.0 tag.</x:v>
      </x:c>
      <x:c r="C23" s="1"/>
      <x:c r="D23" s="153" t="str">
        <x:v>AI Context</x:v>
      </x:c>
      <x:c r="E23" s="141"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35" hidden="0" customHeight="1">
      <x:c r="A28" s="704" t="str">
        <x:v>PR #28 integrated the accepted first P2.2 drawing revision slice to main at 5866212. Verification on that exact merged tree passed 30 focused tests, the full 201-test suite with one expected skip, validation 5/5, Ruff, and 84.64% coverage. The user accepted the intentionally one-directional drawing metadata presence definition on 2026-07-17. Every authoritative drawing-register entry must have a drawing-metadata counterpart under AUTH-DWG-001; a missing counterpart is a high-severity automatic_fail release hold. Metadata records with no register authority remain deferred because they route to missing_authoritative_information and need a separate absence-evidence decision. Merge and verify PR #30 before implementation.</x:v>
      </x:c>
      <x:c r="B28" s="704"/>
      <x:c r="C28" s="704"/>
      <x:c r="D28" s="704"/>
      <x:c r="E28" s="704"/>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1f44285e6a8b4353"/>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a81600b2cc674e30"/>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x:c r="A59" s="78"/>
      <x:c r="B59" s="78"/>
      <x:c r="C59" s="78"/>
      <x:c r="D59" s="78"/>
      <x:c r="E59" s="78"/>
      <x:c r="F59" s="78"/>
      <x:c r="G59" s="78"/>
      <x:c r="H59" s="78"/>
    </x:row>
    <x:row r="60">
      <x:c r="A60" s="78"/>
      <x:c r="B60" s="78"/>
      <x:c r="C60" s="78"/>
      <x:c r="D60" s="78"/>
      <x:c r="E60" s="78"/>
      <x:c r="F60" s="78"/>
      <x:c r="G60" s="78"/>
      <x:c r="H60" s="78"/>
    </x:row>
    <x:row r="61">
      <x:c r="A61" s="78"/>
      <x:c r="B61" s="78"/>
      <x:c r="C61" s="78"/>
      <x:c r="D61" s="78"/>
      <x:c r="E61" s="78"/>
      <x:c r="F61" s="78"/>
      <x:c r="G61" s="78"/>
      <x:c r="H61" s="78"/>
    </x:row>
    <x:row r="62">
      <x:c r="A62" s="78"/>
      <x:c r="B62" s="78"/>
      <x:c r="C62" s="78"/>
      <x:c r="D62" s="78"/>
      <x:c r="E62" s="78"/>
      <x:c r="F62" s="78"/>
      <x:c r="G62" s="78"/>
      <x:c r="H62" s="78"/>
    </x:row>
    <x:row r="63">
      <x:c r="A63" s="78"/>
      <x:c r="B63" s="78"/>
      <x:c r="C63" s="78"/>
      <x:c r="D63" s="78"/>
      <x:c r="E63" s="78"/>
      <x:c r="F63" s="78"/>
      <x:c r="G63" s="78"/>
      <x:c r="H63" s="78"/>
    </x:row>
    <x:row r="64">
      <x:c r="A64" s="78"/>
      <x:c r="B64" s="78"/>
      <x:c r="C64" s="78"/>
      <x:c r="D64" s="78"/>
      <x:c r="E64" s="78"/>
      <x:c r="F64" s="78"/>
      <x:c r="G64" s="78"/>
      <x:c r="H64" s="78"/>
    </x:row>
    <x:row r="65">
      <x:c r="A65" s="78"/>
      <x:c r="B65" s="78"/>
      <x:c r="C65" s="78"/>
      <x:c r="D65" s="78"/>
      <x:c r="E65" s="78"/>
      <x:c r="F65" s="78"/>
      <x:c r="G65" s="78"/>
      <x:c r="H65" s="78"/>
    </x:row>
    <x:row r="66">
      <x:c r="A66" s="78"/>
      <x:c r="B66" s="78"/>
      <x:c r="C66" s="78"/>
      <x:c r="D66" s="78"/>
      <x:c r="E66" s="78"/>
      <x:c r="F66" s="78"/>
      <x:c r="G66" s="78"/>
      <x:c r="H66" s="78"/>
    </x:row>
    <x:row r="67">
      <x:c r="A67" s="78"/>
      <x:c r="B67" s="78"/>
      <x:c r="C67" s="78"/>
      <x:c r="D67" s="78"/>
      <x:c r="E67" s="78"/>
      <x:c r="F67" s="78"/>
      <x:c r="G67" s="78"/>
      <x:c r="H67" s="78"/>
    </x:row>
    <x:row r="68">
      <x:c r="A68" s="78"/>
      <x:c r="B68" s="78"/>
      <x:c r="C68" s="78"/>
      <x:c r="D68" s="78"/>
      <x:c r="E68" s="78"/>
      <x:c r="F68" s="78"/>
      <x:c r="G68" s="78"/>
      <x:c r="H68" s="78"/>
    </x:row>
    <x:row r="69">
      <x:c r="A69" s="78"/>
      <x:c r="B69" s="78"/>
      <x:c r="C69" s="78"/>
      <x:c r="D69" s="78"/>
      <x:c r="E69" s="78"/>
      <x:c r="F69" s="78"/>
      <x:c r="G69" s="78"/>
      <x:c r="H69" s="78"/>
    </x:row>
    <x:row r="70">
      <x:c r="A70" s="78"/>
      <x:c r="B70" s="78"/>
      <x:c r="C70" s="78"/>
      <x:c r="D70" s="78"/>
      <x:c r="E70" s="78"/>
      <x:c r="F70" s="78"/>
      <x:c r="G70" s="78"/>
      <x:c r="H70" s="78"/>
    </x:row>
    <x:row r="71">
      <x:c r="A71" s="78"/>
      <x:c r="B71" s="78"/>
      <x:c r="C71" s="78"/>
      <x:c r="D71" s="78"/>
      <x:c r="E71" s="78"/>
      <x:c r="F71" s="78"/>
      <x:c r="G71" s="78"/>
      <x:c r="H71" s="78"/>
    </x:row>
    <x:row r="72">
      <x:c r="A72" s="78"/>
      <x:c r="B72" s="78"/>
      <x:c r="C72" s="78"/>
      <x:c r="D72" s="78"/>
      <x:c r="E72" s="78"/>
      <x:c r="F72" s="78"/>
      <x:c r="G72" s="78"/>
      <x:c r="H72" s="78"/>
    </x:row>
    <x:row r="73">
      <x:c r="A73" s="78"/>
      <x:c r="B73" s="78"/>
      <x:c r="C73" s="78"/>
      <x:c r="D73" s="78"/>
      <x:c r="E73" s="78"/>
      <x:c r="F73" s="78"/>
      <x:c r="G73" s="78"/>
      <x:c r="H73" s="78"/>
    </x:row>
    <x:row r="74">
      <x:c r="A74" s="78"/>
      <x:c r="B74" s="78"/>
      <x:c r="C74" s="78"/>
      <x:c r="D74" s="78"/>
      <x:c r="E74" s="78"/>
      <x:c r="F74" s="78"/>
      <x:c r="G74" s="78"/>
      <x:c r="H74" s="78"/>
    </x:row>
    <x:row r="75">
      <x:c r="A75" s="78"/>
      <x:c r="B75" s="78"/>
      <x:c r="C75" s="78"/>
      <x:c r="D75" s="78"/>
      <x:c r="E75" s="78"/>
      <x:c r="F75" s="78"/>
      <x:c r="G75" s="78"/>
      <x:c r="H75" s="78"/>
    </x:row>
    <x:row r="76">
      <x:c r="A76" s="78"/>
      <x:c r="B76" s="78"/>
      <x:c r="C76" s="78"/>
      <x:c r="D76" s="78"/>
      <x:c r="E76" s="78"/>
      <x:c r="F76" s="78"/>
      <x:c r="G76" s="78"/>
      <x:c r="H76" s="78"/>
    </x:row>
    <x:row r="77">
      <x:c r="A77" s="78"/>
      <x:c r="B77" s="78"/>
      <x:c r="C77" s="78"/>
      <x:c r="D77" s="78"/>
      <x:c r="E77" s="78"/>
      <x:c r="F77" s="78"/>
      <x:c r="G77" s="78"/>
      <x:c r="H77" s="78"/>
    </x:row>
    <x:row r="78">
      <x:c r="A78" s="78"/>
      <x:c r="B78" s="78"/>
      <x:c r="C78" s="78"/>
      <x:c r="D78" s="78"/>
      <x:c r="E78" s="78"/>
      <x:c r="F78" s="78"/>
      <x:c r="G78" s="78"/>
      <x:c r="H78" s="78"/>
    </x:row>
    <x:row r="79">
      <x:c r="A79" s="78"/>
      <x:c r="B79" s="78"/>
      <x:c r="C79" s="78"/>
      <x:c r="D79" s="78"/>
      <x:c r="E79" s="78"/>
      <x:c r="F79" s="78"/>
      <x:c r="G79" s="78"/>
      <x:c r="H79" s="78"/>
    </x:row>
    <x:row r="80">
      <x:c r="A80" s="78"/>
      <x:c r="B80" s="78"/>
      <x:c r="C80" s="78"/>
      <x:c r="D80" s="78"/>
      <x:c r="E80" s="78"/>
      <x:c r="F80" s="78"/>
      <x:c r="G80" s="78"/>
      <x:c r="H80" s="78"/>
    </x:row>
    <x:row r="81">
      <x:c r="A81" s="78"/>
      <x:c r="B81" s="78"/>
      <x:c r="C81" s="78"/>
      <x:c r="D81" s="78"/>
      <x:c r="E81" s="78"/>
      <x:c r="F81" s="78"/>
      <x:c r="G81" s="78"/>
      <x:c r="H81" s="78"/>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46220</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48" hidden="0" customHeight="1">
      <x:c r="A6" s="449" t="str">
        <x:v>Repository state</x:v>
      </x:c>
      <x:c r="B6" s="447" t="str">
        <x:v>v0.2.0 released and frozen at accepted commit 45336a2</x:v>
      </x:c>
      <x:c r="C6" s="449" t="str">
        <x:v>Verification</x:v>
      </x:c>
      <x:c r="D6" s="447" t="str">
        <x:v>121 tests; clean-clone acceptance; baseline 9/9; demo 2/2</x:v>
      </x:c>
      <x:c r="E6" s="449" t="str">
        <x:v>Active release</x:v>
      </x:c>
      <x:c r="F6" s="447" t="str">
        <x:v>v0.3.0 Package Assurance Pilot</x:v>
      </x:c>
      <x:c r="G6" s="449" t="str">
        <x:v>Active WBS</x:v>
      </x:c>
      <x:c r="H6" s="447" t="str">
        <x:v>P2.2 second relationship-slice integration</x:v>
      </x:c>
    </x:row>
    <x:row r="7" ht="108.75" hidden="0" customHeight="1">
      <x:c r="A7" s="449" t="str">
        <x:v>Released capability</x:v>
      </x:c>
      <x:c r="B7" s="447" t="str">
        <x:v>Model/runtime-agnostic deterministic evaluation kernel with candidate loading, mandatory gates, deterministic checks, weighted scoring, structured evidence, evaluate CLI, immutable results, five reviewed cases, frozen split, CI, docs, demo, and release proof.</x:v>
      </x:c>
      <x:c r="C7" s="449" t="str">
        <x:v>Current gap</x:v>
      </x:c>
      <x:c r="D7" s="447" t="str">
        <x:v>The first P2.2 drawing-register-to-metadata revision slice is integrated to main at 5866212 and verified. The user accepted the second slice defining only authoritative register drawings missing drawing-metadata counterparts. Its narrow implementation is authorized after PR #30 integration and verification. Reverse orphan detection, remaining P2.2 relationships, P2.3 consistency rules, P2.4 routing, reports, and semantic held-out evaluation remain blocked.</x:v>
      </x:c>
      <x:c r="E7" s="449" t="str">
        <x:v>Product interpretation</x:v>
      </x:c>
      <x:c r="F7" s="447" t="str">
        <x:v>Successful kernel; not yet a complete economically useful workflow.</x:v>
      </x:c>
      <x:c r="G7" s="449" t="str">
        <x:v>Response</x:v>
      </x:c>
      <x:c r="H7" s="447" t="str">
        <x:v>Build one vertical end-to-end without restarting the repository.</x:v>
      </x:c>
    </x:row>
    <x:row r="8" ht="72" hidden="0" customHeight="1">
      <x:c r="A8" s="449" t="str">
        <x:v>Immediate next action</x:v>
      </x:c>
      <x:c r="B8" s="447" t="str">
        <x:v>Merge PR #30, verify the exact main commit, then create codex/p2.2-drawing-metadata-presence-implementation. Implement only the accepted directional presence rule.</x:v>
      </x:c>
      <x:c r="C8" s="449" t="str">
        <x:v>Selected vertical</x:v>
      </x:c>
      <x:c r="D8" s="447" t="str">
        <x:v>Drawing register ↔ drawing metadata ↔ BOM/equipment list ↔ datasheet/specification metadata ↔ revision history.</x:v>
      </x:c>
      <x:c r="E8" s="449" t="str">
        <x:v>Primary deliverable</x:v>
      </x:c>
      <x:c r="F8" s="447" t="str">
        <x:v>Evidence-linked issue register plus release-readiness summary.</x:v>
      </x:c>
      <x:c r="G8" s="449" t="str">
        <x:v>Scope rule</x:v>
      </x:c>
      <x:c r="H8" s="447"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2" customHeight="1">
      <x:c r="A18" s="449" t="str">
        <x:v>Task</x:v>
      </x:c>
      <x:c r="B18" s="447" t="str">
        <x:v>Instructions, controlled inputs, deliverable, constraints, authority model, and evaluation intent.</x:v>
      </x:c>
      <x:c r="C18" s="447"/>
      <x:c r="D18" s="449" t="n">
        <x:v>1</x:v>
      </x:c>
      <x:c r="E18" s="447" t="str">
        <x:v>Approved workflow contract and authority map.</x:v>
      </x:c>
      <x:c r="F18" s="447"/>
      <x:c r="G18" s="447"/>
      <x:c r="H18" s="447"/>
    </x:row>
    <x:row r="19" ht="42" customHeight="1">
      <x:c r="A19" s="449" t="str">
        <x:v>Agent</x:v>
      </x:c>
      <x:c r="B19" s="447" t="str">
        <x:v>Direct model, Codex/OpenClaw/another harness, deterministic software, or human producer remains replaceable.</x:v>
      </x:c>
      <x:c r="C19" s="447"/>
      <x:c r="D19" s="449" t="n">
        <x:v>2</x:v>
      </x:c>
      <x:c r="E19" s="447" t="str">
        <x:v>Versioned package manifest plus development and held-out packages.</x:v>
      </x:c>
      <x:c r="F19" s="447"/>
      <x:c r="G19" s="447"/>
      <x:c r="H19" s="447"/>
    </x:row>
    <x:row r="20" ht="42" customHeight="1">
      <x:c r="A20" s="449" t="str">
        <x:v>Environment</x:v>
      </x:c>
      <x:c r="B20" s="447" t="str">
        <x:v>Files, tools, permissions, shell/GUI state, network access, and destructive/external actions are explicitly bounded.</x:v>
      </x:c>
      <x:c r="C20" s="447"/>
      <x:c r="D20" s="449" t="n">
        <x:v>3</x:v>
      </x:c>
      <x:c r="E20" s="447" t="str">
        <x:v>Mandatory package gates before consistency scoring.</x:v>
      </x:c>
      <x:c r="F20" s="447"/>
      <x:c r="G20" s="447"/>
      <x:c r="H20" s="447"/>
    </x:row>
    <x:row r="21" ht="42" customHeight="1">
      <x:c r="A21" s="449" t="str">
        <x:v>Trace / Artifacts</x:v>
      </x:c>
      <x:c r="B21" s="447" t="str">
        <x:v>Actions, tool calls, file states, errors, corrections, candidate artifacts, and generated reports are preserved.</x:v>
      </x:c>
      <x:c r="C21" s="447"/>
      <x:c r="D21" s="449" t="n">
        <x:v>4</x:v>
      </x:c>
      <x:c r="E21" s="447" t="str">
        <x:v>Deterministic cross-document checks with evidence.</x:v>
      </x:c>
      <x:c r="F21" s="447"/>
      <x:c r="G21" s="447"/>
      <x:c r="H21" s="447"/>
    </x:row>
    <x:row r="22" ht="42" customHeight="1">
      <x:c r="A22" s="449" t="str">
        <x:v>Evaluator</x:v>
      </x:c>
      <x:c r="B22" s="447" t="str">
        <x:v>Independent gates, rules, tolerances, authority resolution, result-state routing, and failure evidence.</x:v>
      </x:c>
      <x:c r="C22" s="447"/>
      <x:c r="D22" s="449" t="n">
        <x:v>5</x:v>
      </x:c>
      <x:c r="E22" s="447" t="str">
        <x:v>Explicit pass/fail/review/missing-authority/tool-failure/uncertainty states.</x:v>
      </x:c>
      <x:c r="F22" s="447"/>
      <x:c r="G22" s="447"/>
      <x:c r="H22" s="447"/>
    </x:row>
    <x:row r="23" ht="42" customHeight="1">
      <x:c r="A23" s="449" t="str">
        <x:v>Results</x:v>
      </x:c>
      <x:c r="B23" s="447" t="str">
        <x:v>Immutable package result, issue register, release summary, artifact references, versions, and benchmark status.</x:v>
      </x:c>
      <x:c r="C23" s="447"/>
      <x:c r="D23" s="449" t="n">
        <x:v>6</x:v>
      </x:c>
      <x:c r="E23" s="447" t="str">
        <x:v>audit-package CLI plus immutable result and report views.</x:v>
      </x:c>
      <x:c r="F23" s="447"/>
      <x:c r="G23" s="447"/>
      <x:c r="H23" s="447"/>
    </x:row>
    <x:row r="24" ht="42" customHeight="1">
      <x:c r="A24" s="449" t="str">
        <x:v>Separation rule</x:v>
      </x:c>
      <x:c r="B24" s="447" t="str">
        <x:v>Benchmark case definitions and golden relationships are versioned inputs; runs and reports are generated evidence.</x:v>
      </x:c>
      <x:c r="C24" s="447"/>
      <x:c r="D24" s="449" t="n">
        <x:v>7</x:v>
      </x:c>
      <x:c r="E24" s="447" t="str">
        <x:v>Frozen development/held-out benchmark and false-negative review.</x:v>
      </x:c>
      <x:c r="F24" s="447"/>
      <x:c r="G24" s="447"/>
      <x:c r="H24" s="447"/>
    </x:row>
    <x:row r="25" ht="42" customHeight="1">
      <x:c r="A25" s="449" t="str">
        <x:v>Engineering boundary</x:v>
      </x:c>
      <x:c r="B25" s="447" t="str">
        <x:v>No engineering sign-off, stamped deliverables, autonomous release, code-compliance opinion, or final safety-critical decision.</x:v>
      </x:c>
      <x:c r="C25" s="447"/>
      <x:c r="D25" s="449" t="n">
        <x:v>8</x:v>
      </x:c>
      <x:c r="E25" s="447" t="str">
        <x:v>Tests, CI, clean-clone acceptance, docs, demo, service specification, and v0.3.0 tag.</x:v>
      </x:c>
      <x:c r="F25" s="447"/>
      <x:c r="G25" s="447"/>
      <x:c r="H25" s="447"/>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56" hidden="0" customHeight="1">
      <x:c r="A28" s="449" t="str">
        <x:v>Evidence</x:v>
      </x:c>
      <x:c r="B28" s="447" t="str">
        <x:v>v0.2.0 is released at accepted commit 45336a2 with five reviewed cases, 121 tests, clean-clone acceptance, baseline 9/9, demo 2/2, immutable results, CI, documentation, and an annotated tag.</x:v>
      </x:c>
      <x:c r="C28" s="449" t="str">
        <x:v>Gap</x:v>
      </x:c>
      <x:c r="D28" s="447" t="str">
        <x:v>The evidence proves the kernel, not a realistic package-assurance outcome.</x:v>
      </x:c>
      <x:c r="E28" s="449" t="str">
        <x:v>Response</x:v>
      </x:c>
      <x:c r="F28" s="447" t="str">
        <x:v>Preserve v0.2.0; build v0.3.0 as a separate vertical release.</x:v>
      </x:c>
      <x:c r="G28" s="449" t="str">
        <x:v>Owner</x:v>
      </x:c>
      <x:c r="H28" s="447" t="str">
        <x:v>Jason</x:v>
      </x:c>
    </x:row>
    <x:row r="29" ht="56" hidden="0" customHeight="1">
      <x:c r="A29" s="449" t="str">
        <x:v>Evidence</x:v>
      </x:c>
      <x:c r="B29" s="447" t="str">
        <x:v>Existing cases already exercise revision auditing, BOM reconciliation, unit errors, and structured failure evidence.</x:v>
      </x:c>
      <x:c r="C29" s="449" t="str">
        <x:v>Gap</x:v>
      </x:c>
      <x:c r="D29" s="447" t="str">
        <x:v>They are isolated case files rather than one coherent multi-document release package.</x:v>
      </x:c>
      <x:c r="E29" s="449" t="str">
        <x:v>Response</x:v>
      </x:c>
      <x:c r="F29" s="447" t="str">
        <x:v>Create a package manifest and relationship model that composes those concepts.</x:v>
      </x:c>
      <x:c r="G29" s="449" t="str">
        <x:v>Owner</x:v>
      </x:c>
      <x:c r="H29" s="447" t="str">
        <x:v>Jason</x:v>
      </x:c>
    </x:row>
    <x:row r="30" ht="56" hidden="0" customHeight="1">
      <x:c r="A30" s="449" t="str">
        <x:v>Evidence</x:v>
      </x:c>
      <x:c r="B30" s="447" t="str">
        <x:v>MECH-003 is frozen as held-out but was historically seen before the split.</x:v>
      </x:c>
      <x:c r="C30" s="449" t="str">
        <x:v>Gap</x:v>
      </x:c>
      <x:c r="D30" s="447" t="str">
        <x:v>It is not a pristine blind benchmark.</x:v>
      </x:c>
      <x:c r="E30" s="449" t="str">
        <x:v>Response</x:v>
      </x:c>
      <x:c r="F30" s="447" t="str">
        <x:v>Author and freeze a materially distinct held-out package before rule tuning.</x:v>
      </x:c>
      <x:c r="G30" s="449" t="str">
        <x:v>Owner</x:v>
      </x:c>
      <x:c r="H30" s="447" t="str">
        <x:v>Jason</x:v>
      </x:c>
    </x:row>
    <x:row r="31" ht="56" customHeight="1">
      <x:c r="A31" s="449" t="str">
        <x:v>Evidence</x:v>
      </x:c>
      <x:c r="B31" s="447" t="str">
        <x:v>Capable long-horizon coding agents improve repository work, tool use, and artifact production.</x:v>
      </x:c>
      <x:c r="C31" s="449" t="str">
        <x:v>Gap</x:v>
      </x:c>
      <x:c r="D31" s="447" t="str">
        <x:v>Stronger agents can also overreach, take unauthorized actions, or overclaim completion.</x:v>
      </x:c>
      <x:c r="E31" s="449" t="str">
        <x:v>Response</x:v>
      </x:c>
      <x:c r="F31" s="447" t="str">
        <x:v>Use supervised worktrees, explicit permissions, independent verification, and deterministic acceptance gates.</x:v>
      </x:c>
      <x:c r="G31" s="449" t="str">
        <x:v>Owner</x:v>
      </x:c>
      <x:c r="H31" s="447" t="str">
        <x:v>Jason</x:v>
      </x:c>
    </x:row>
    <x:row r="32" ht="81" customHeight="1">
      <x:c r="A32" s="449" t="str">
        <x:v>Control rule</x:v>
      </x:c>
      <x:c r="B32" s="447" t="str">
        <x:v>One branch per coherent capability; tests support the product; failed runs and uncertainty are evidence.</x:v>
      </x:c>
      <x:c r="C32" s="449" t="str">
        <x:v>Risk</x:v>
      </x:c>
      <x:c r="D32" s="447" t="str">
        <x:v>Planning, framework work, or extraction complexity can displace the actual package workflow.</x:v>
      </x:c>
      <x:c r="E32" s="449" t="str">
        <x:v>Response</x:v>
      </x:c>
      <x:c r="F32" s="447" t="str">
        <x:v>P1.3 remains frozen pre-tuning. Tracked path metadata was inadvertently enumerated and opaque integrity tests ran; protected source/oracle content was not opened or used for tuning. First semantic held-out evaluation remains gated.</x:v>
      </x:c>
      <x:c r="G32" s="449" t="str">
        <x:v>Owner</x:v>
      </x:c>
      <x:c r="H32" s="447"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171" hidden="0" customHeight="1">
      <x:c r="A41" s="604" t="str">
        <x:v>Immediate implication</x:v>
      </x:c>
      <x:c r="B41" s="605"/>
      <x:c r="C41" s="606" t="str">
        <x:v>The accepted first P2.2 slice remains drawing_register_metadata_revision v0.3.0 in relationships.py. PR #28 merged it to main at 5866212 after green CI; merged-tree verification passed focused 30, full 201/1, validation 5/5, Ruff, and 84.64% coverage. The user accepted drawing_register_metadata_presence v0.3.0 on 2026-07-17. It freezes finding DRAWING_METADATA_MISSING, exact drawing_number membership, automatic_fail and release-hold routing under AUTH-DWG-001, authoritative row plus searched JSON collection evidence, stable identity, check ordering, temporary-copy tests, and explicit exclusions. Merge and verify PR #30 before implementation. Reverse metadata-without-register authority remains a later separate decision.</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b361a1fe9e034e49"/>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80"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In Progress</x:v>
      </x:c>
      <x:c r="L12" s="664" t="n">
        <x:v>0.2</x:v>
      </x:c>
      <x:c r="M12" s="662" t="n">
        <x:f>SUMIF('Work Block Log'!$E$5:$E$200,A12,'Work Block Log'!$F$5:$F$200)</x:f>
        <x:v>0</x:v>
      </x:c>
      <x:c r="N12" s="662" t="n">
        <x:f>MAX(F12*(1-L12),0)</x:f>
        <x:v>3.2</x:v>
      </x:c>
      <x:c r="O12" s="662" t="n">
        <x:f>M12-F12</x:f>
        <x:v>-4</x:v>
      </x:c>
      <x:c r="P12" s="431" t="str">
        <x:v>first slice integrated through PR #28 at main 5866212; PR #29 d714f4e; definition e9e1a31; implementation f33ef1b; merged-tree focused 30; full 201/1; validation 5/5; Ruff; coverage 84.64%; accepted second definition docs/package_assurance/p2_2_drawing_metadata_presence_definition_v0.3.0.md; codex/p2.2-drawing-counterpart-definition; D-049-D-055; EV-046-EV-052</x:v>
      </x:c>
      <x:c r="Q12" s="431" t="str">
        <x:v>Merge PR #30, verify the exact main commit and green checks, then create codex/p2.2-drawing-metadata-presence-implementation.</x:v>
      </x:c>
      <x:c r="R12" s="431" t="str">
        <x:v>First slice is integrated and verified. The accepted second slice covers register-to-metadata absence only; reverse orphan metadata has different authority routing and remains separate. P2.2 stays at 20% until another relationship outcome is implemented and accepted.</x:v>
      </x:c>
      <x:c r="S12" s="669"/>
      <x:c r="T12" s="669"/>
      <x:c r="U12" s="669" t="str">
        <x:v>■</x:v>
      </x:c>
      <x:c r="V12" s="669"/>
      <x:c r="W12" s="669"/>
      <x:c r="X12" s="669"/>
    </x:row>
    <x:row r="13" ht="64"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P2.1</x:v>
      </x:c>
      <x:c r="F13" s="662" t="n">
        <x:v>4</x:v>
      </x:c>
      <x:c r="G13" s="431" t="n">
        <x:v>3</x:v>
      </x:c>
      <x:c r="H13" s="431" t="n">
        <x:v>4</x:v>
      </x:c>
      <x:c r="I13" s="429" t="n">
        <x:f>$B$1+(G13-1)*7</x:f>
        <x:v>46230</x:v>
      </x:c>
      <x:c r="J13" s="429" t="n">
        <x:f>$B$1+H13*7-1</x:f>
        <x:v>46243</x:v>
      </x:c>
      <x:c r="K13" s="431" t="str">
        <x:v>Not Started</x:v>
      </x:c>
      <x:c r="L13" s="664" t="n">
        <x:v>0</x:v>
      </x:c>
      <x:c r="M13" s="662" t="n">
        <x:f>SUMIF('Work Block Log'!$E$5:$E$200,A13,'Work Block Log'!$F$5:$F$200)</x:f>
        <x:v>0</x:v>
      </x:c>
      <x:c r="N13" s="662" t="n">
        <x:f>MAX(F13*(1-L13),0)</x:f>
        <x:v>4</x:v>
      </x:c>
      <x:c r="O13" s="662" t="n">
        <x:f>M13-F13</x:f>
        <x:v>-4</x:v>
      </x:c>
      <x:c r="P13" s="431" t="str">
        <x:v>feature/package-consistency-checks</x:v>
      </x:c>
      <x:c r="Q13" s="431" t="str">
        <x:v>Add one rule family at a time with representative passing and failing fixtures.</x:v>
      </x:c>
      <x:c r="R13" s="431" t="str">
        <x:v>Keep checks deterministic and field-level for v0.3.0.</x:v>
      </x:c>
      <x:c r="S13" s="669"/>
      <x:c r="T13" s="669"/>
      <x:c r="U13" s="669" t="str">
        <x:v>■</x:v>
      </x:c>
      <x:c r="V13" s="669" t="str">
        <x:v>■</x:v>
      </x:c>
      <x:c r="W13" s="669"/>
      <x:c r="X13" s="669"/>
    </x:row>
    <x:row r="14" ht="64"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P2.2,P2.3</x:v>
      </x:c>
      <x:c r="F14" s="662" t="n">
        <x:v>3</x:v>
      </x:c>
      <x:c r="G14" s="431" t="n">
        <x:v>4</x:v>
      </x:c>
      <x:c r="H14" s="431" t="n">
        <x:v>4</x:v>
      </x:c>
      <x:c r="I14" s="429" t="n">
        <x:f>$B$1+(G14-1)*7</x:f>
        <x:v>46237</x:v>
      </x:c>
      <x:c r="J14" s="429" t="n">
        <x:f>$B$1+H14*7-1</x:f>
        <x:v>46243</x:v>
      </x:c>
      <x:c r="K14" s="431" t="str">
        <x:v>Not Started</x:v>
      </x:c>
      <x:c r="L14" s="664" t="n">
        <x:v>0</x:v>
      </x:c>
      <x:c r="M14" s="662" t="n">
        <x:f>SUMIF('Work Block Log'!$E$5:$E$200,A14,'Work Block Log'!$F$5:$F$200)</x:f>
        <x:v>0</x:v>
      </x:c>
      <x:c r="N14" s="662" t="n">
        <x:f>MAX(F14*(1-L14),0)</x:f>
        <x:v>3</x:v>
      </x:c>
      <x:c r="O14" s="662" t="n">
        <x:f>M14-F14</x:f>
        <x:v>-3</x:v>
      </x:c>
      <x:c r="P14" s="431" t="str">
        <x:v>feature/result-state-routing</x:v>
      </x:c>
      <x:c r="Q14" s="431" t="str">
        <x:v>Implement explicit state transitions and hold logic.</x:v>
      </x:c>
      <x:c r="R14" s="431" t="str">
        <x:v>A single score must never conceal a release-critical finding.</x:v>
      </x:c>
      <x:c r="S14" s="669"/>
      <x:c r="T14" s="669"/>
      <x:c r="U14" s="669"/>
      <x:c r="V14" s="669" t="str">
        <x:v>■</x:v>
      </x:c>
      <x:c r="W14" s="669"/>
      <x:c r="X14" s="669"/>
    </x:row>
    <x:row r="15" ht="64"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Not Started</x:v>
      </x:c>
      <x:c r="L15" s="664" t="n">
        <x:v>0</x:v>
      </x:c>
      <x:c r="M15" s="662" t="n">
        <x:f>SUMIF('Work Block Log'!$E$5:$E$200,A15,'Work Block Log'!$F$5:$F$200)</x:f>
        <x:v>0</x:v>
      </x:c>
      <x:c r="N15" s="662" t="n">
        <x:f>MAX(F15*(1-L15),0)</x:f>
        <x:v>4</x:v>
      </x:c>
      <x:c r="O15" s="662" t="n">
        <x:f>M15-F15</x:f>
        <x:v>-4</x:v>
      </x:c>
      <x:c r="P15" s="431" t="str">
        <x:v>feature/issue-register</x:v>
      </x:c>
      <x:c r="Q15" s="431" t="str">
        <x:v>Define schema, renderer, and regression tests.</x:v>
      </x:c>
      <x:c r="R15" s="431" t="str">
        <x:v>Preserve machine-readable JSON; add CSV/Markdown only as views.</x:v>
      </x:c>
      <x:c r="S15" s="669"/>
      <x:c r="T15" s="669"/>
      <x:c r="U15" s="669"/>
      <x:c r="V15" s="669" t="str">
        <x:v>■</x:v>
      </x:c>
      <x:c r="W15" s="669"/>
      <x:c r="X15" s="669"/>
    </x:row>
    <x:row r="16" ht="64"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Not Started</x:v>
      </x:c>
      <x:c r="L16" s="664" t="n">
        <x:v>0</x:v>
      </x:c>
      <x:c r="M16" s="662" t="n">
        <x:f>SUMIF('Work Block Log'!$E$5:$E$200,A16,'Work Block Log'!$F$5:$F$200)</x:f>
        <x:v>0</x:v>
      </x:c>
      <x:c r="N16" s="662" t="n">
        <x:f>MAX(F16*(1-L16),0)</x:f>
        <x:v>2</x:v>
      </x:c>
      <x:c r="O16" s="662" t="n">
        <x:f>M16-F16</x:f>
        <x:v>-2</x:v>
      </x:c>
      <x:c r="P16" s="431" t="str">
        <x:v>feature/issue-register</x:v>
      </x:c>
      <x:c r="Q16" s="431" t="str">
        <x:v>Create a concise management-facing report from the same result record.</x:v>
      </x:c>
      <x:c r="R16" s="431" t="str">
        <x:v>No engineering release or sign-off claim.</x:v>
      </x:c>
      <x:c r="S16" s="669"/>
      <x:c r="T16" s="669"/>
      <x:c r="U16" s="669"/>
      <x:c r="V16" s="669" t="str">
        <x:v>■</x:v>
      </x:c>
      <x:c r="W16" s="669"/>
      <x:c r="X16" s="669"/>
    </x:row>
    <x:row r="17" ht="64"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Not Started</x:v>
      </x:c>
      <x:c r="L17" s="664" t="n">
        <x:v>0</x:v>
      </x:c>
      <x:c r="M17" s="662" t="n">
        <x:f>SUMIF('Work Block Log'!$E$5:$E$200,A17,'Work Block Log'!$F$5:$F$200)</x:f>
        <x:v>0</x:v>
      </x:c>
      <x:c r="N17" s="662" t="n">
        <x:f>MAX(F17*(1-L17),0)</x:f>
        <x:v>2</x:v>
      </x:c>
      <x:c r="O17" s="662" t="n">
        <x:f>M17-F17</x:f>
        <x:v>-2</x:v>
      </x:c>
      <x:c r="P17" s="431" t="str">
        <x:v>feature/audit-package-cli</x:v>
      </x:c>
      <x:c r="Q17" s="431" t="str">
        <x:v>Reuse existing CLI and persistence infrastructure.</x:v>
      </x:c>
      <x:c r="R17" s="431" t="str">
        <x:v>Do not add API/database/frontend work.</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P3.3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0.34347826086956523</x:v>
      </x:c>
      <x:c r="M24" s="683" t="n">
        <x:f>SUM(M6:M22)</x:f>
        <x:v>0</x:v>
      </x:c>
      <x:c r="N24" s="683" t="n">
        <x:f>SUM(N6:N22)</x:f>
        <x:v>30.2</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Second P2.2 Definition Accepted</x:v>
      </x:c>
      <x:c r="B1" s="686"/>
      <x:c r="C1" s="686"/>
      <x:c r="D1" s="686"/>
      <x:c r="E1" s="686"/>
      <x:c r="F1" s="686"/>
      <x:c r="G1" s="686"/>
      <x:c r="H1" s="686"/>
    </x:row>
    <x:row r="3">
      <x:c r="A3" s="687" t="str">
        <x:v>Key Metrics</x:v>
      </x:c>
      <x:c r="B3" s="687"/>
      <x:c r="C3" s="687"/>
      <x:c r="D3" s="687"/>
      <x:c r="F3" s="687" t="str">
        <x:v>Current Focus</x:v>
      </x:c>
      <x:c r="G3" s="687"/>
      <x:c r="H3" s="687"/>
    </x:row>
    <x:row r="4" ht="45" customHeight="1">
      <x:c r="A4" s="688" t="str">
        <x:v>Control Basis</x:v>
      </x:c>
      <x:c r="B4" s="692" t="str">
        <x:v>Gate and evidence based</x:v>
      </x:c>
      <x:c r="C4" s="691"/>
      <x:c r="D4" s="691"/>
      <x:c r="F4" s="696" t="str">
        <x:v>Active WBS</x:v>
      </x:c>
      <x:c r="G4" s="697" t="str">
        <x:v>P2.2 - Drawing metadata presence definition integration</x:v>
      </x:c>
      <x:c r="H4" s="697"/>
    </x:row>
    <x:row r="5" ht="54" customHeight="1">
      <x:c r="A5" s="688" t="str">
        <x:v>Schedule Baseline</x:v>
      </x:c>
      <x:c r="B5" s="693" t="str">
        <x:v>Legacy only; not controlling</x:v>
      </x:c>
      <x:c r="C5" s="691"/>
      <x:c r="D5" s="691"/>
      <x:c r="F5" s="696" t="str">
        <x:v>Objective</x:v>
      </x:c>
      <x:c r="G5" s="697" t="str">
        <x:v>Integrate the accepted directional missing-counterpart rule before implementation.</x:v>
      </x:c>
      <x:c r="H5" s="697"/>
    </x:row>
    <x:row r="6" ht="54" customHeight="1">
      <x:c r="A6" s="688" t="str">
        <x:v>Time Tracking</x:v>
      </x:c>
      <x:c r="B6" s="693" t="str">
        <x:v>Waived prospectively</x:v>
      </x:c>
      <x:c r="C6" s="691"/>
      <x:c r="D6" s="691"/>
      <x:c r="F6" s="696" t="str">
        <x:v>Gate Status</x:v>
      </x:c>
      <x:c r="G6" s="697" t="str">
        <x:v>First slice integrated at main 5866212; second definition accepted 2026-07-17.</x:v>
      </x:c>
      <x:c r="H6" s="697"/>
    </x:row>
    <x:row r="7" ht="54" customHeight="1">
      <x:c r="A7" s="688" t="str">
        <x:v>Current Gate</x:v>
      </x:c>
      <x:c r="B7" s="694" t="str">
        <x:v>P2.2 second relationship-slice integration</x:v>
      </x:c>
      <x:c r="C7" s="691"/>
      <x:c r="D7" s="691"/>
      <x:c r="F7" s="696" t="str">
        <x:v>Definition of Done</x:v>
      </x:c>
      <x:c r="G7" s="697" t="str">
        <x:v>PR #30 merges cleanly with green checks and the exact main commit is verified.</x:v>
      </x:c>
      <x:c r="H7" s="697"/>
    </x:row>
    <x:row r="8" ht="63" customHeight="1">
      <x:c r="A8" s="688" t="str">
        <x:v>Released Kernel</x:v>
      </x:c>
      <x:c r="B8" s="691" t="str">
        <x:v>v0.2.0 / commit 45336a2</x:v>
      </x:c>
      <x:c r="C8" s="691"/>
      <x:c r="D8" s="691"/>
      <x:c r="F8" s="696" t="str">
        <x:v>Immediate Next Action</x:v>
      </x:c>
      <x:c r="G8" s="697" t="str">
        <x:v>Merge PR #30, verify main, then create the scoped implementation branch.</x:v>
      </x:c>
      <x:c r="H8" s="697"/>
    </x:row>
    <x:row r="9" ht="63" customHeight="1">
      <x:c r="A9" s="688" t="str">
        <x:v>Release Target</x:v>
      </x:c>
      <x:c r="B9" s="691" t="str">
        <x:v>v0.3.0</x:v>
      </x:c>
      <x:c r="C9" s="691"/>
      <x:c r="D9" s="691"/>
      <x:c r="F9" s="696" t="str">
        <x:v>Primary Risk</x:v>
      </x:c>
      <x:c r="G9" s="697" t="str">
        <x:v>Primary risk is treating opposite relationship directions as one state; the definition separates them.</x:v>
      </x:c>
      <x:c r="H9" s="697"/>
    </x:row>
    <x:row r="10" ht="63" customHeight="1">
      <x:c r="A10" s="688" t="str">
        <x:v>Baseline Test Count</x:v>
      </x:c>
      <x:c r="B10" s="691" t="n">
        <x:v>121</x:v>
      </x:c>
      <x:c r="C10" s="691"/>
      <x:c r="D10" s="691"/>
      <x:c r="F10" s="696" t="str">
        <x:v>Deferred</x:v>
      </x:c>
      <x:c r="G10" s="697" t="str">
        <x:v>Reverse orphan metadata, other P2.2 rules, routing, reports, CLI, held-out semantics, and deferred capabilities.</x:v>
      </x:c>
      <x:c r="H10" s="697"/>
    </x:row>
    <x:row r="11" ht="63" customHeight="1">
      <x:c r="A11" s="688" t="str">
        <x:v>Fixture Package Families</x:v>
      </x:c>
      <x:c r="B11" s="691" t="n">
        <x:v>2</x:v>
      </x:c>
      <x:c r="C11" s="691"/>
      <x:c r="D11" s="691"/>
      <x:c r="F11" s="696" t="str">
        <x:v>Data Boundary</x:v>
      </x:c>
      <x:c r="G11" s="697" t="str">
        <x:v>Outputs remain decision support for qualified human review; no engineering sign-off or autonomous release.</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In Progress</x:v>
      </x:c>
      <x:c r="C17" s="699" t="str">
        <x:v>First P2.2 slice integrated; second directional definition accepted and awaiting integration; broader P2.2 remains open</x:v>
      </x:c>
      <x:c r="D17" s="700" t="n">
        <x:f>AVERAGE('Pilot Gantt'!L11:L14)</x:f>
        <x:v>0.3</x:v>
      </x:c>
      <x:c r="E17" s="698" t="str">
        <x:v>Gate P2 - deterministic audit core and result-state routing</x:v>
      </x:c>
    </x:row>
    <x:row r="18" ht="36" customHeight="1">
      <x:c r="A18" s="698" t="str">
        <x:v>P3 Issue Register &amp; CLI</x:v>
      </x:c>
      <x:c r="B18" s="699" t="str">
        <x:v>Not Started</x:v>
      </x:c>
      <x:c r="C18" s="699" t="str">
        <x:v>Blocked by P2</x:v>
      </x:c>
      <x:c r="D18" s="700" t="n">
        <x:v>0</x:v>
      </x:c>
      <x:c r="E18" s="698" t="str">
        <x:v>Gate P3 - reproducible issue register and audit-package command</x:v>
      </x:c>
    </x:row>
    <x:row r="19" ht="36" customHeight="1">
      <x:c r="A19" s="698" t="str">
        <x:v>P4 Benchmark &amp; Reliability</x:v>
      </x:c>
      <x:c r="B19" s="699" t="str">
        <x:v>Not Started</x:v>
      </x:c>
      <x:c r="C19" s="699" t="str">
        <x:v>Blocked by P3</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35" customHeight="1">
      <x:c r="A27" s="431" t="n">
        <x:v>4</x:v>
      </x:c>
      <x:c r="B27" s="431" t="str">
        <x:v>P2.2</x:v>
      </x:c>
      <x:c r="C27" s="431" t="str">
        <x:v>Drawing metadata presence definition integration</x:v>
      </x:c>
      <x:c r="D27" s="431" t="str">
        <x:v>First slice is integrated. The accepted second slice freezes authoritative register drawings missing metadata counterparts while keeping reverse orphan authority separate.</x:v>
      </x:c>
      <x:c r="E27" s="431" t="str">
        <x:v>Integration</x:v>
      </x:c>
      <x:c r="F27" s="431" t="str">
        <x:v>codex/p2.2-drawing-counterpart-definition</x:v>
      </x:c>
      <x:c r="G27" s="431" t="str">
        <x:v>main 5866212; PR #28 merged; PR #30 pending; accepted second definition; D-053-D-055; EV-050-EV-052; IMP-009; focused 30; full 201/1; coverage 84.64%</x:v>
      </x:c>
      <x:c r="H27"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