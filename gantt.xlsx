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86203dbf53e49b6" /></Relationships>
</file>

<file path=xl/workbook.xml><?xml version="1.0" encoding="utf-8"?>
<x:workbook xmlns:x="http://schemas.openxmlformats.org/spreadsheetml/2006/main">
  <x:sheets>
    <x:sheet xmlns:r="http://schemas.openxmlformats.org/officeDocument/2006/relationships" name="Start Here" sheetId="1" r:id="Rf8e229ffc0cd404f"/>
    <x:sheet xmlns:r="http://schemas.openxmlformats.org/officeDocument/2006/relationships" name="Executive Gantt" sheetId="2" r:id="R4b5b96e675684535"/>
    <x:sheet xmlns:r="http://schemas.openxmlformats.org/officeDocument/2006/relationships" name="Detailed Gantt" sheetId="3" r:id="Rc6922757e1674a48"/>
    <x:sheet xmlns:r="http://schemas.openxmlformats.org/officeDocument/2006/relationships" name="Weekly Control" sheetId="4" r:id="Rf6ba19e092f34f24"/>
    <x:sheet xmlns:r="http://schemas.openxmlformats.org/officeDocument/2006/relationships" name="Phase Summary" sheetId="5" r:id="Rf5b0f28f9d6542b1"/>
    <x:sheet xmlns:r="http://schemas.openxmlformats.org/officeDocument/2006/relationships" name="Assumptions &amp; Gates" sheetId="6" r:id="R67a392530a2b46c3"/>
    <x:sheet xmlns:r="http://schemas.openxmlformats.org/officeDocument/2006/relationships" name="Sources" sheetId="7" r:id="R684eec1ea13743d4"/>
    <x:sheet xmlns:r="http://schemas.openxmlformats.org/officeDocument/2006/relationships" name="Legacy Baseline" sheetId="8" r:id="R51ff76dd51a145ee"/>
    <x:sheet xmlns:r="http://schemas.openxmlformats.org/officeDocument/2006/relationships" name="Work Block Log" sheetId="9" r:id="R2a3723ef2b3e423a"/>
    <x:sheet xmlns:r="http://schemas.openxmlformats.org/officeDocument/2006/relationships" name="Decision Register" sheetId="10" r:id="Rbd9f61a3e36f4b00"/>
    <x:sheet xmlns:r="http://schemas.openxmlformats.org/officeDocument/2006/relationships" name="Risks &amp; Issues" sheetId="11" r:id="R4a2edd1a9c6c4408"/>
    <x:sheet xmlns:r="http://schemas.openxmlformats.org/officeDocument/2006/relationships" name="Evidence Register" sheetId="12" r:id="R79931aa0a8794b68"/>
    <x:sheet xmlns:r="http://schemas.openxmlformats.org/officeDocument/2006/relationships" name="Expansion Backlog" sheetId="13" r:id="Ra00271938fba441b"/>
    <x:sheet xmlns:r="http://schemas.openxmlformats.org/officeDocument/2006/relationships" name="AI Context" sheetId="14" r:id="R5689fd3700454406"/>
    <x:sheet xmlns:r="http://schemas.openxmlformats.org/officeDocument/2006/relationships" name="MVP Dashboard" sheetId="15" r:id="R6e356beddce24b06"/>
    <x:sheet xmlns:r="http://schemas.openxmlformats.org/officeDocument/2006/relationships" name="Product Vision" sheetId="16" r:id="R9a2ef3f265bc472d"/>
    <x:sheet xmlns:r="http://schemas.openxmlformats.org/officeDocument/2006/relationships" name="Pilot Gantt" sheetId="17" r:id="R35d118a5f9504664"/>
    <x:sheet xmlns:r="http://schemas.openxmlformats.org/officeDocument/2006/relationships" name="Pilot Dashboard" sheetId="18" r:id="R82e2c7d809ca41f8"/>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<x:sst xmlns:x="http://schemas.openxmlformats.org/spreadsheetml/2006/main">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</x:sst>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54c3006e97b4e0e" /><Relationship Type="http://schemas.openxmlformats.org/officeDocument/2006/relationships/theme" Target="/xl/theme/theme1.xml" Id="Rb6c57648a18d400d" /><Relationship Type="http://schemas.openxmlformats.org/officeDocument/2006/relationships/sharedStrings" Target="/xl/sharedStrings.xml" Id="R40ae18ed08ee4e52" /><Relationship Type="http://schemas.openxmlformats.org/officeDocument/2006/relationships/worksheet" Target="/xl/worksheets/sheet1.xml" Id="Rf8e229ffc0cd404f" /><Relationship Type="http://schemas.openxmlformats.org/officeDocument/2006/relationships/worksheet" Target="/xl/worksheets/sheet2.xml" Id="R4b5b96e675684535" /><Relationship Type="http://schemas.openxmlformats.org/officeDocument/2006/relationships/worksheet" Target="/xl/worksheets/sheet3.xml" Id="Rc6922757e1674a48" /><Relationship Type="http://schemas.openxmlformats.org/officeDocument/2006/relationships/worksheet" Target="/xl/worksheets/sheet4.xml" Id="Rf6ba19e092f34f24" /><Relationship Type="http://schemas.openxmlformats.org/officeDocument/2006/relationships/worksheet" Target="/xl/worksheets/sheet5.xml" Id="Rf5b0f28f9d6542b1" /><Relationship Type="http://schemas.openxmlformats.org/officeDocument/2006/relationships/worksheet" Target="/xl/worksheets/sheet6.xml" Id="R67a392530a2b46c3" /><Relationship Type="http://schemas.openxmlformats.org/officeDocument/2006/relationships/worksheet" Target="/xl/worksheets/sheet7.xml" Id="R684eec1ea13743d4" /><Relationship Type="http://schemas.openxmlformats.org/officeDocument/2006/relationships/worksheet" Target="/xl/worksheets/sheet8.xml" Id="R51ff76dd51a145ee" /><Relationship Type="http://schemas.openxmlformats.org/officeDocument/2006/relationships/worksheet" Target="/xl/worksheets/sheet9.xml" Id="R2a3723ef2b3e423a" /><Relationship Type="http://schemas.openxmlformats.org/officeDocument/2006/relationships/worksheet" Target="/xl/worksheets/sheet10.xml" Id="Rbd9f61a3e36f4b00" /><Relationship Type="http://schemas.openxmlformats.org/officeDocument/2006/relationships/worksheet" Target="/xl/worksheets/sheet11.xml" Id="R4a2edd1a9c6c4408" /><Relationship Type="http://schemas.openxmlformats.org/officeDocument/2006/relationships/worksheet" Target="/xl/worksheets/sheet12.xml" Id="R79931aa0a8794b68" /><Relationship Type="http://schemas.openxmlformats.org/officeDocument/2006/relationships/worksheet" Target="/xl/worksheets/sheet13.xml" Id="Ra00271938fba441b" /><Relationship Type="http://schemas.openxmlformats.org/officeDocument/2006/relationships/worksheet" Target="/xl/worksheets/sheet14.xml" Id="R5689fd3700454406" /><Relationship Type="http://schemas.openxmlformats.org/officeDocument/2006/relationships/worksheet" Target="/xl/worksheets/sheet15.xml" Id="R6e356beddce24b06" /><Relationship Type="http://schemas.openxmlformats.org/officeDocument/2006/relationships/worksheet" Target="/xl/worksheets/sheet16.xml" Id="R9a2ef3f265bc472d" /><Relationship Type="http://schemas.openxmlformats.org/officeDocument/2006/relationships/worksheet" Target="/xl/worksheets/sheet17.xml" Id="R35d118a5f9504664" /><Relationship Type="http://schemas.openxmlformats.org/officeDocument/2006/relationships/worksheet" Target="/xl/worksheets/sheet18.xml" Id="R82e2c7d809ca41f8" /></Relationships>
</file>

<file path=xl/drawings/_rels/drawing1.xml.rels>&#65279;<?xml version="1.0" encoding="utf-8"?><Relationships xmlns="http://schemas.openxmlformats.org/package/2006/relationships"><Relationship Type="http://schemas.openxmlformats.org/officeDocument/2006/relationships/chart" Target="/xl/drawings/charts/chart1.xml" Id="Rd0defeaa07674d6a" /></Relationships>
</file>

<file path=xl/drawings/_rels/drawing2.xml.rels>&#65279;<?xml version="1.0" encoding="utf-8"?><Relationships xmlns="http://schemas.openxmlformats.org/package/2006/relationships"><Relationship Type="http://schemas.openxmlformats.org/officeDocument/2006/relationships/chart" Target="/xl/drawings/charts/chart2.xml" Id="Rb2c1266c77854b2b" /></Relationships>
</file>

<file path=xl/drawings/_rels/drawing3.xml.rels>&#65279;<?xml version="1.0" encoding="utf-8"?><Relationships xmlns="http://schemas.openxmlformats.org/package/2006/relationships"><Relationship Type="http://schemas.openxmlformats.org/officeDocument/2006/relationships/chart" Target="/xl/drawings/charts/chart3.xml" Id="R117f49d554dd4b48"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defeaa07674d6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c1266c77854b2b"/>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7f49d554dd4b4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fc0d168936e4851" /></Relationships>
</file>

<file path=xl/worksheets/_rels/sheet5.xml.rels>&#65279;<?xml version="1.0" encoding="utf-8"?><Relationships xmlns="http://schemas.openxmlformats.org/package/2006/relationships"><Relationship Type="http://schemas.openxmlformats.org/officeDocument/2006/relationships/drawing" Target="/xl/drawings/drawing2.xml" Id="Rbf87889f4ce942ba" /></Relationships>
</file>

<file path=xl/worksheets/_rels/sheet15.xml.rels>&#65279;<?xml version="1.0" encoding="utf-8"?><Relationships xmlns="http://schemas.openxmlformats.org/package/2006/relationships"><Relationship Type="http://schemas.openxmlformats.org/officeDocument/2006/relationships/drawing" Target="/xl/drawings/drawing3.xml" Id="Rdcee42eadd4a4d0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P2.4 result core implemented and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P2.4 package-result core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P2.4 - Completeness, final findings, state, result, persistence</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Review cbcfc2b and its PR; reports and CLI remain blocked until acceptance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597" t="str">
        <x:v>P2.4 implementation cbcfc2b is ready for review on codex/p2.4-result-core from accepted predecessor 1e7da37. The result core requires all eight gates and five checks exactly once in order, fails closed on incomplete or unexplained skipped evaluation, creates one canonical finding list, applies exact package-state precedence, fingerprints only controlled inputs, validates package_result.schema.json, and writes package_result.json without overwrite. Verification: 15 focused result tests; full 237 passed / 1 expected Windows symlink skip; repository validation 5/5; Ruff passed; coverage 86.10%. Generated clean and controlled-incomplete results were inspected. The frozen v0.2 result path and protected assets are unchanged. P2.4 acceptance and integration remain required. Reports, CLI, P2.3, semantic held-out execution,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fc0d168936e485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f87889f4ce942ba"/>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P2.4 package-result core review</x:v>
      </x:c>
    </x:row>
    <x:row r="7" ht="99"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minimum package-result core is implemented and verified, but it is not yet user-accepted or integrated. There are still no issue-register views, release summary, audit-package CLI, broad P2.3 relationships, or semantic held-out execution.</x:v>
      </x:c>
      <x:c r="E7" s="765" t="str">
        <x:v>Product interpretation</x:v>
      </x:c>
      <x:c r="F7" s="431" t="str">
        <x:v>Successful kernel; not yet a complete economically useful workflow.</x:v>
      </x:c>
      <x:c r="G7" s="765" t="str">
        <x:v>Response</x:v>
      </x:c>
      <x:c r="H7" s="431" t="str">
        <x:v>Review and integrate cbcfc2b so the proven gate/check set has an accepted deterministic, immutable machine-readable package result.</x:v>
      </x:c>
    </x:row>
    <x:row r="8" ht="90" hidden="0" customHeight="1">
      <x:c r="A8" s="765" t="str">
        <x:v>Immediate next action</x:v>
      </x:c>
      <x:c r="B8" s="431" t="str">
        <x:v>Review cbcfc2b and the P2.4 PR. Accept, revise, or reject the bounded result core before any report or CLI implementation begins.</x:v>
      </x:c>
      <x:c r="C8" s="765" t="str">
        <x:v>Selected vertical</x:v>
      </x:c>
      <x:c r="D8" s="431" t="str">
        <x:v>Eight P2.1 gates -&gt; five P2.2 checks -&gt; completeness control -&gt; canonical final findings -&gt; state router -&gt; immutable package result.</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26" hidden="0" customHeight="1">
      <x:c r="A41" s="604" t="str">
        <x:v>Immediate implication</x:v>
      </x:c>
      <x:c r="B41" s="605"/>
      <x:c r="C41" s="606" t="str">
        <x:v>P2.4 implementation cbcfc2b is verified and ready for review from predecessor 1e7da37. A package passes only when all eight required gates and five checks are present exactly once, in order, and passed. Missing, duplicate, reordered, or unexplained skipped output produces REQUIRED_EVALUATION_INCOMPLETE uncertainty and a hold. Canonical findings preserve authority or honest governing controls; state routing retains all blockers by exact precedence. package_result.json records declared-input fingerprints and validates before immutable no-overwrite persistence. Focused result 15; full 237/1; validation 5/5; Ruff; coverage 86.10%. P3 reports and CLI remain separate blocked gates until P2.4 acceptance and integration.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cee42eadd4a4d0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In Progress</x:v>
      </x:c>
      <x:c r="L14" s="664" t="n">
        <x:v>0.9</x:v>
      </x:c>
      <x:c r="M14" s="662" t="n">
        <x:f>SUMIF('Work Block Log'!$E$5:$E$200,A14,'Work Block Log'!$F$5:$F$200)</x:f>
        <x:v>0</x:v>
      </x:c>
      <x:c r="N14" s="662" t="n">
        <x:f>MAX(F14*(1-L14),0)</x:f>
        <x:v>0.29999999999999993</x:v>
      </x:c>
      <x:c r="O14" s="662" t="n">
        <x:f>M14-F14</x:f>
        <x:v>-3</x:v>
      </x:c>
      <x:c r="P14" s="431" t="str">
        <x:v>codex/p2.4-result-core; implementation cbcfc2b; exact predecessor 1e7da37; package_result.schema.json; result_core.py; package persistence; 15 focused; 237/1 full; validation 5/5; Ruff; coverage 86.10%; D-077; EV-074; IMP-012</x:v>
      </x:c>
      <x:c r="Q14" s="431" t="str">
        <x:v>Review the P2.4 diff and PR, then accept, revise, or reject. Integrate and verify exact main before authorizing report views.</x:v>
      </x:c>
      <x:c r="R14" s="431" t="str">
        <x:v>Implementation is technically complete but not accepted. Reports, CLI, P2.3 expansion, semantic held-out execution, protected-asset changes, and deferred capabilities remain blocked.</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 first usable audit definition; D-072; EV-069</x:v>
      </x:c>
      <x:c r="Q15" s="431" t="str">
        <x:v>After the accepted result core, render CSV and Markdown issue registers as pure views of package_result.json.</x:v>
      </x:c>
      <x:c r="R15" s="431" t="str">
        <x:v>Canonical findings must be report-ready; report code cannot infer authority, owner, severity, or state from prose messages.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0.4717391304347826</x:v>
      </x:c>
      <x:c r="M24" s="683" t="n">
        <x:f>SUM(M6:M22)</x:f>
        <x:v>0</x:v>
      </x:c>
      <x:c r="N24" s="683" t="n">
        <x:f>SUM(N6:N22)</x:f>
        <x:v>24.3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P2.4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P2.4 - Result completeness, state, model, and persistence review</x:v>
      </x:c>
      <x:c r="H4" s="697"/>
    </x:row>
    <x:row r="5" ht="72" customHeight="1">
      <x:c r="A5" s="688" t="str">
        <x:v>Schedule Baseline</x:v>
      </x:c>
      <x:c r="B5" s="693" t="str">
        <x:v>Legacy only; not controlling</x:v>
      </x:c>
      <x:c r="C5" s="691"/>
      <x:c r="D5" s="691"/>
      <x:c r="F5" s="696" t="str">
        <x:v>Objective</x:v>
      </x:c>
      <x:c r="G5" s="697" t="str">
        <x:v>Accept one trustworthy machine result before building report and command-line views.</x:v>
      </x:c>
      <x:c r="H5" s="697"/>
    </x:row>
    <x:row r="6" ht="63" customHeight="1">
      <x:c r="A6" s="688" t="str">
        <x:v>Time Tracking</x:v>
      </x:c>
      <x:c r="B6" s="693" t="str">
        <x:v>Waived prospectively</x:v>
      </x:c>
      <x:c r="C6" s="691"/>
      <x:c r="D6" s="691"/>
      <x:c r="F6" s="696" t="str">
        <x:v>Gate Status</x:v>
      </x:c>
      <x:c r="G6" s="697" t="str">
        <x:v>Implementation cbcfc2b is verified and ready for review; acceptance and integration are pending.</x:v>
      </x:c>
      <x:c r="H6" s="697"/>
    </x:row>
    <x:row r="7" ht="81" customHeight="1">
      <x:c r="A7" s="688" t="str">
        <x:v>Current Gate</x:v>
      </x:c>
      <x:c r="B7" s="694" t="str">
        <x:v>P2.4 package-result core review</x:v>
      </x:c>
      <x:c r="C7" s="691"/>
      <x:c r="D7" s="691"/>
      <x:c r="F7" s="696" t="str">
        <x:v>Definition of Done</x:v>
      </x:c>
      <x:c r="G7" s="697" t="str">
        <x:v>Exact required-result set; canonical findings; deterministic state/holds; declared-input fingerprint; schema validation; no overwrite.</x:v>
      </x:c>
      <x:c r="H7" s="697"/>
    </x:row>
    <x:row r="8" ht="63" customHeight="1">
      <x:c r="A8" s="688" t="str">
        <x:v>Released Kernel</x:v>
      </x:c>
      <x:c r="B8" s="691" t="str">
        <x:v>v0.2.0 / commit 45336a2</x:v>
      </x:c>
      <x:c r="C8" s="691"/>
      <x:c r="D8" s="691"/>
      <x:c r="F8" s="696" t="str">
        <x:v>Immediate Next Action</x:v>
      </x:c>
      <x:c r="G8" s="697" t="str">
        <x:v>Review the P2.4 diff and PR; accept, revise, or reject before P3 begins.</x:v>
      </x:c>
      <x:c r="H8" s="697"/>
    </x:row>
    <x:row r="9" ht="72" customHeight="1">
      <x:c r="A9" s="688" t="str">
        <x:v>Release Target</x:v>
      </x:c>
      <x:c r="B9" s="691" t="str">
        <x:v>v0.3.0</x:v>
      </x:c>
      <x:c r="C9" s="691"/>
      <x:c r="D9" s="691"/>
      <x:c r="F9" s="696" t="str">
        <x:v>Primary Risk</x:v>
      </x:c>
      <x:c r="G9" s="697" t="str">
        <x:v>Primary remaining risk is allowing a later view to recompute or reinterpret package state instead of rendering the canonical result.</x:v>
      </x:c>
      <x:c r="H9" s="697"/>
    </x:row>
    <x:row r="10" ht="81" customHeight="1">
      <x:c r="A10" s="688" t="str">
        <x:v>Baseline Test Count</x:v>
      </x:c>
      <x:c r="B10" s="691" t="n">
        <x:v>121</x:v>
      </x:c>
      <x:c r="C10" s="691"/>
      <x:c r="D10" s="691"/>
      <x:c r="F10" s="696" t="str">
        <x:v>Deferred</x:v>
      </x:c>
      <x:c r="G10" s="697" t="str">
        <x:v>Reports, CLI, P2.3 expansion, semantic held-out execution, protected assets, and deferred platform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implementation ready for review</x:v>
      </x:c>
      <x:c r="D17" s="700" t="n">
        <x:v>0.725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Ready for review</x:v>
      </x:c>
      <x:c r="F28" s="431" t="str">
        <x:v>codex/p2.4-result-core</x:v>
      </x:c>
      <x:c r="G28" s="431" t="str">
        <x:v>implementation cbcfc2b; predecessor 1e7da37; D-077; EV-074; focused result 15; full 237/1; validation 5/5; Ruff; coverage 86.10%; generated clean/incomplete results inspected; v0.2 and protected assets unchanged</x:v>
      </x:c>
      <x:c r="H2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