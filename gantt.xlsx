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58d9da32dab4727" /></Relationships>
</file>

<file path=xl/workbook.xml><?xml version="1.0" encoding="utf-8"?>
<x:workbook xmlns:x="http://schemas.openxmlformats.org/spreadsheetml/2006/main">
  <x:sheets>
    <x:sheet xmlns:r="http://schemas.openxmlformats.org/officeDocument/2006/relationships" name="Start Here" sheetId="1" r:id="Ra18fe8700e0e4c67"/>
    <x:sheet xmlns:r="http://schemas.openxmlformats.org/officeDocument/2006/relationships" name="Executive Gantt" sheetId="2" r:id="R71c4a98657014e8c"/>
    <x:sheet xmlns:r="http://schemas.openxmlformats.org/officeDocument/2006/relationships" name="Detailed Gantt" sheetId="3" r:id="R85ca861a4eed407b"/>
    <x:sheet xmlns:r="http://schemas.openxmlformats.org/officeDocument/2006/relationships" name="Weekly Control" sheetId="4" r:id="R87edda5947c94fdb"/>
    <x:sheet xmlns:r="http://schemas.openxmlformats.org/officeDocument/2006/relationships" name="Phase Summary" sheetId="5" r:id="Rfeaf31be4aa64d0b"/>
    <x:sheet xmlns:r="http://schemas.openxmlformats.org/officeDocument/2006/relationships" name="Assumptions &amp; Gates" sheetId="6" r:id="R8cc38a711db148d2"/>
    <x:sheet xmlns:r="http://schemas.openxmlformats.org/officeDocument/2006/relationships" name="Sources" sheetId="7" r:id="R2345e93bca204207"/>
    <x:sheet xmlns:r="http://schemas.openxmlformats.org/officeDocument/2006/relationships" name="Legacy Baseline" sheetId="8" r:id="R751c39aed4cb40f4"/>
    <x:sheet xmlns:r="http://schemas.openxmlformats.org/officeDocument/2006/relationships" name="Work Block Log" sheetId="9" r:id="Rcc21ce2dd62048d4"/>
    <x:sheet xmlns:r="http://schemas.openxmlformats.org/officeDocument/2006/relationships" name="Decision Register" sheetId="10" r:id="R0af2f19f24de49f1"/>
    <x:sheet xmlns:r="http://schemas.openxmlformats.org/officeDocument/2006/relationships" name="Risks &amp; Issues" sheetId="11" r:id="Rabbcc508973749b6"/>
    <x:sheet xmlns:r="http://schemas.openxmlformats.org/officeDocument/2006/relationships" name="Evidence Register" sheetId="12" r:id="R16b560a79bb04134"/>
    <x:sheet xmlns:r="http://schemas.openxmlformats.org/officeDocument/2006/relationships" name="Expansion Backlog" sheetId="13" r:id="Rf699771b8bcb4545"/>
    <x:sheet xmlns:r="http://schemas.openxmlformats.org/officeDocument/2006/relationships" name="AI Context" sheetId="14" r:id="Rda2e8f329c464aea"/>
    <x:sheet xmlns:r="http://schemas.openxmlformats.org/officeDocument/2006/relationships" name="MVP Dashboard" sheetId="15" r:id="R900e642420474776"/>
    <x:sheet xmlns:r="http://schemas.openxmlformats.org/officeDocument/2006/relationships" name="Product Vision" sheetId="16" r:id="R1becc789270848e1"/>
    <x:sheet xmlns:r="http://schemas.openxmlformats.org/officeDocument/2006/relationships" name="Pilot Gantt" sheetId="17" r:id="R27585a0d3c564d81"/>
    <x:sheet xmlns:r="http://schemas.openxmlformats.org/officeDocument/2006/relationships" name="Pilot Dashboard" sheetId="18" r:id="Re2d4570769094584"/>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<x:sst xmlns:x="http://schemas.openxmlformats.org/spreadsheetml/2006/main">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</x:sst>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830b953a92a4121" /><Relationship Type="http://schemas.openxmlformats.org/officeDocument/2006/relationships/theme" Target="/xl/theme/theme1.xml" Id="R3ee758ea06ec4fbc" /><Relationship Type="http://schemas.openxmlformats.org/officeDocument/2006/relationships/sharedStrings" Target="/xl/sharedStrings.xml" Id="Ra098f41e4e32456d" /><Relationship Type="http://schemas.openxmlformats.org/officeDocument/2006/relationships/worksheet" Target="/xl/worksheets/sheet1.xml" Id="Ra18fe8700e0e4c67" /><Relationship Type="http://schemas.openxmlformats.org/officeDocument/2006/relationships/worksheet" Target="/xl/worksheets/sheet2.xml" Id="R71c4a98657014e8c" /><Relationship Type="http://schemas.openxmlformats.org/officeDocument/2006/relationships/worksheet" Target="/xl/worksheets/sheet3.xml" Id="R85ca861a4eed407b" /><Relationship Type="http://schemas.openxmlformats.org/officeDocument/2006/relationships/worksheet" Target="/xl/worksheets/sheet4.xml" Id="R87edda5947c94fdb" /><Relationship Type="http://schemas.openxmlformats.org/officeDocument/2006/relationships/worksheet" Target="/xl/worksheets/sheet5.xml" Id="Rfeaf31be4aa64d0b" /><Relationship Type="http://schemas.openxmlformats.org/officeDocument/2006/relationships/worksheet" Target="/xl/worksheets/sheet6.xml" Id="R8cc38a711db148d2" /><Relationship Type="http://schemas.openxmlformats.org/officeDocument/2006/relationships/worksheet" Target="/xl/worksheets/sheet7.xml" Id="R2345e93bca204207" /><Relationship Type="http://schemas.openxmlformats.org/officeDocument/2006/relationships/worksheet" Target="/xl/worksheets/sheet8.xml" Id="R751c39aed4cb40f4" /><Relationship Type="http://schemas.openxmlformats.org/officeDocument/2006/relationships/worksheet" Target="/xl/worksheets/sheet9.xml" Id="Rcc21ce2dd62048d4" /><Relationship Type="http://schemas.openxmlformats.org/officeDocument/2006/relationships/worksheet" Target="/xl/worksheets/sheet10.xml" Id="R0af2f19f24de49f1" /><Relationship Type="http://schemas.openxmlformats.org/officeDocument/2006/relationships/worksheet" Target="/xl/worksheets/sheet11.xml" Id="Rabbcc508973749b6" /><Relationship Type="http://schemas.openxmlformats.org/officeDocument/2006/relationships/worksheet" Target="/xl/worksheets/sheet12.xml" Id="R16b560a79bb04134" /><Relationship Type="http://schemas.openxmlformats.org/officeDocument/2006/relationships/worksheet" Target="/xl/worksheets/sheet13.xml" Id="Rf699771b8bcb4545" /><Relationship Type="http://schemas.openxmlformats.org/officeDocument/2006/relationships/worksheet" Target="/xl/worksheets/sheet14.xml" Id="Rda2e8f329c464aea" /><Relationship Type="http://schemas.openxmlformats.org/officeDocument/2006/relationships/worksheet" Target="/xl/worksheets/sheet15.xml" Id="R900e642420474776" /><Relationship Type="http://schemas.openxmlformats.org/officeDocument/2006/relationships/worksheet" Target="/xl/worksheets/sheet16.xml" Id="R1becc789270848e1" /><Relationship Type="http://schemas.openxmlformats.org/officeDocument/2006/relationships/worksheet" Target="/xl/worksheets/sheet17.xml" Id="R27585a0d3c564d81" /><Relationship Type="http://schemas.openxmlformats.org/officeDocument/2006/relationships/worksheet" Target="/xl/worksheets/sheet18.xml" Id="Re2d457076909458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902010817d745df" /></Relationships>
</file>

<file path=xl/drawings/_rels/drawing2.xml.rels>&#65279;<?xml version="1.0" encoding="utf-8"?><Relationships xmlns="http://schemas.openxmlformats.org/package/2006/relationships"><Relationship Type="http://schemas.openxmlformats.org/officeDocument/2006/relationships/chart" Target="/xl/drawings/charts/chart2.xml" Id="R97e2a3d385144144" /></Relationships>
</file>

<file path=xl/drawings/_rels/drawing3.xml.rels>&#65279;<?xml version="1.0" encoding="utf-8"?><Relationships xmlns="http://schemas.openxmlformats.org/package/2006/relationships"><Relationship Type="http://schemas.openxmlformats.org/officeDocument/2006/relationships/chart" Target="/xl/drawings/charts/chart3.xml" Id="R27ffcea19f5245ce"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902010817d745df"/>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7e2a3d385144144"/>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7ffcea19f5245c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6c1b093e74f7451b" /></Relationships>
</file>

<file path=xl/worksheets/_rels/sheet5.xml.rels>&#65279;<?xml version="1.0" encoding="utf-8"?><Relationships xmlns="http://schemas.openxmlformats.org/package/2006/relationships"><Relationship Type="http://schemas.openxmlformats.org/officeDocument/2006/relationships/drawing" Target="/xl/drawings/drawing2.xml" Id="R657999b561d04a9f" /></Relationships>
</file>

<file path=xl/worksheets/_rels/sheet15.xml.rels>&#65279;<?xml version="1.0" encoding="utf-8"?><Relationships xmlns="http://schemas.openxmlformats.org/package/2006/relationships"><Relationship Type="http://schemas.openxmlformats.org/officeDocument/2006/relationships/drawing" Target="/xl/drawings/drawing3.xml" Id="R13e0bb24cf754822"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545" t="str">
        <x:v>Control revision</x:v>
      </x:c>
      <x:c r="B4" s="755" t="str">
        <x:v>Program v3.0 - P2.3 public-package audit stopped for stabilization review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545" t="str">
        <x:v>Current gate</x:v>
      </x:c>
      <x:c r="B10" s="760" t="str">
        <x:v>P2.3 NASA/JPL audit failure and identifier-contract review</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545" t="str">
        <x:v>Active WBS</x:v>
      </x:c>
      <x:c r="B12" s="761" t="str">
        <x:v>P2.3 - Public-package audit failure review</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545" t="str">
        <x:v>Next build WBS</x:v>
      </x:c>
      <x:c r="B13" s="761" t="str">
        <x:v>Review failure evidence; accept or revise D-099 narrow stabilization gate</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243" hidden="0" customHeight="1">
      <x:c r="A28" s="597" t="str">
        <x:v>D-098 is accepted and PR #50 merged the preparation review at exact main 7009fe2. The accepted NASA/JPL package tree was reverified, but audit-package returned internal exit 70 before publication: 58 BOM rows with three intentionally blank optional references produced 174 CANONICAL_IDENTIFIER_INVALID findings whose blank affected identifiers violated the strict result schema. Zero outputs were published. OpenFlexure was not audited; a read-only diagnostic confirmed the same defect would create 99 invalid findings. Both package trees remain unchanged. EV-101-EV-103 and IMP-017 preserve the evidence and root cause. D-099 proposes a narrow identifier/result-contract stabilization with synthetic end-to-end proof before either public package may run again.</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6c1b093e74f7451b"/>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657999b561d04a9f"/>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Proposed</x:v>
      </x:c>
      <x:c r="F102" s="431" t="str">
        <x:v>Public-package audit stabilization gate</x:v>
      </x:c>
      <x:c r="G102" s="431" t="str">
        <x:v>docs/package_assurance/dual_public_package_audit_failure_review_2026-07-20.md; local ignored NASA/JPL failure evidence; EV-101-EV-103; IMP-017; D-098</x:v>
      </x:c>
      <x:c r="H102" s="431" t="str">
        <x:v>CEO accepts or revises the root-cause classification and exact stabilization criteria. If accepted, change only optional-blank identifier handling and invalid-finding representation; add synthetic full-CLI proof; preserve both public package trees; return for fix review before rerun. Do not weaken schemas, insert placeholder identifiers, implement check 8, or execute OpenFlexure.</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16"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Stop OpenFlexure and all reruns; preserve failure evidence; review D-099; then make only the narrow optional-presence and finding-representation fix with synthetic full-output regression proof.</x:v>
      </x:c>
      <x:c r="H22" s="431" t="str">
        <x:v>Open</x:v>
      </x:c>
      <x:c r="I22" s="431" t="n">
        <x:v>46223</x:v>
      </x:c>
      <x:c r="J22" s="431" t="str">
        <x:v>NASA/JPL returned internal exit 70 with zero outputs. The strict schema worked as intended. Both package trees remain unchanged; IMP-017 records the durable prevention.</x:v>
      </x:c>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first public audit stopped; identifier/result stabilization review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Seven checks run on synthetic packages. The first real package exposed a gap between optional identifier presence, invalid-value findings, and the strict result schema.</x:v>
      </x:c>
      <x:c r="E7" s="765" t="str">
        <x:v>Product interpretation</x:v>
      </x:c>
      <x:c r="F7" s="431" t="str">
        <x:v>Successful kernel; not yet a complete economically useful workflow.</x:v>
      </x:c>
      <x:c r="G7" s="765" t="str">
        <x:v>Response</x:v>
      </x:c>
      <x:c r="H7" s="431" t="str">
        <x:v>Review the failed execution and D-099 before any fix or public-package rerun.</x:v>
      </x:c>
    </x:row>
    <x:row r="8" ht="135" hidden="0" customHeight="1">
      <x:c r="A8" s="765" t="str">
        <x:v>Immediate next action</x:v>
      </x:c>
      <x:c r="B8" s="431" t="str">
        <x:v>Accept or revise the failure classification and narrow stabilization gate D-099.</x:v>
      </x:c>
      <x:c r="C8" s="765" t="str">
        <x:v>Selected vertical</x:v>
      </x:c>
      <x:c r="D8" s="431" t="str">
        <x:v>Failure review -&gt; narrow stabilization -&gt; synthetic full-output proof -&gt; fix review -&gt; public rerun decision.</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288" hidden="0" customHeight="1">
      <x:c r="A41" s="604" t="str">
        <x:v>Immediate implication</x:v>
      </x:c>
      <x:c r="B41" s="605"/>
      <x:c r="C41" s="606" t="str">
        <x:v>D-098 was accepted and PR #50 merged the exact preparation review at main 7009fe2. Both populated logs were marked accepted and both package tree hashes were reverified. The first NASA/JPL audit returned internal exit 70 before publishing any output. The accepted mapping intentionally leaves drawing_number, datasheet_id, and specification_id blank when no authority exists, but the identifier gate treats every blank as an automatic-fail malformed identifier. Across 58 rows this produced 174 findings, and each finding copied the blank source value into canonical affected_identifiers. The strict result schema correctly rejected those malformed findings. OpenFlexure was not audited; its 33 rows would deterministically produce 99 equivalent findings. Both packages remain unchanged. IMP-017 and the failure review propose only a narrow identifier/result-contract stabilization with synthetic CLI proof. No package change, schema weakening, check 8, held-out execution, PDF/CAD extraction, or deferred capability is authorized.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13e0bb24cf754822"/>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40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0.74</x:v>
      </x:c>
      <x:c r="M13" s="662" t="n">
        <x:f>SUMIF('Work Block Log'!$E$5:$E$200,A13,'Work Block Log'!$F$5:$F$200)</x:f>
        <x:v>0</x:v>
      </x:c>
      <x:c r="N13" s="662" t="n">
        <x:f>MAX(F13*(1-L13),0)</x:f>
        <x:v>1.04</x:v>
      </x:c>
      <x:c r="O13" s="662" t="n">
        <x:f>M13-F13</x:f>
        <x:v>-4</x:v>
      </x:c>
      <x:c r="P13" s="431" t="str">
        <x:v>checks 6-7 integrated; PR #50 exact main 7009fe2; D-085-D-099; EV-082-EV-103; IMP-016-IMP-017; D-098 accepted; NASA/JPL audit exit 70 before publication; 174 blank-identifier findings; zero outputs; OpenFlexure audit stopped; diagnostic predicts 99 equivalent findings; both package trees unchanged</x:v>
      </x:c>
      <x:c r="Q13" s="431" t="str">
        <x:v>CEO reviews dual_public_package_audit_failure_review_2026-07-20.md and accepts or revises proposed D-099.</x:v>
      </x:c>
      <x:c r="R13" s="431" t="str">
        <x:v>Do not change or rerun either public package. Recommended stabilization separates optional blank references from malformed present identifiers and prevents invalid raw values from entering canonical affected_identifiers. Preserve the strict result schema and all authority holds. Checks 8-11, held-out semantics, PDF/CAD extraction, and deferred capabilities remain blocked.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0.7165217391304348</x:v>
      </x:c>
      <x:c r="M24" s="683" t="n">
        <x:f>SUM(M6:M22)</x:f>
        <x:v>0</x:v>
      </x:c>
      <x:c r="N24" s="683" t="n">
        <x:f>SUM(N6:N22)</x:f>
        <x:v>13.04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Public Audit Failure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Public-package audit failure review</x:v>
      </x:c>
      <x:c r="H4" s="697"/>
    </x:row>
    <x:row r="5" ht="72" customHeight="1">
      <x:c r="A5" s="688" t="str">
        <x:v>Schedule Baseline</x:v>
      </x:c>
      <x:c r="B5" s="693" t="str">
        <x:v>Legacy only; not controlling</x:v>
      </x:c>
      <x:c r="C5" s="691"/>
      <x:c r="D5" s="691"/>
      <x:c r="F5" s="696" t="str">
        <x:v>Objective</x:v>
      </x:c>
      <x:c r="G5" s="697" t="str">
        <x:v>Preserve the first failed execution and define the smallest safe stabilization.</x:v>
      </x:c>
      <x:c r="H5" s="697"/>
    </x:row>
    <x:row r="6" ht="63" customHeight="1">
      <x:c r="A6" s="688" t="str">
        <x:v>Time Tracking</x:v>
      </x:c>
      <x:c r="B6" s="693" t="str">
        <x:v>Waived prospectively</x:v>
      </x:c>
      <x:c r="C6" s="691"/>
      <x:c r="D6" s="691"/>
      <x:c r="F6" s="696" t="str">
        <x:v>Gate Status</x:v>
      </x:c>
      <x:c r="G6" s="697" t="str">
        <x:v>NASA/JPL stopped at internal exit 70 with zero outputs; OpenFlexure was not audited.</x:v>
      </x:c>
      <x:c r="H6" s="697"/>
    </x:row>
    <x:row r="7" ht="81" customHeight="1">
      <x:c r="A7" s="688" t="str">
        <x:v>Current Gate</x:v>
      </x:c>
      <x:c r="B7" s="694" t="str">
        <x:v>P2.3 NASA/JPL audit failure and identifier-contract review</x:v>
      </x:c>
      <x:c r="C7" s="691"/>
      <x:c r="D7" s="691"/>
      <x:c r="F7" s="696" t="str">
        <x:v>Definition of Done</x:v>
      </x:c>
      <x:c r="G7" s="697" t="str">
        <x:v>CEO accepts or revises the root cause and narrow stabilization gate D-099.</x:v>
      </x:c>
      <x:c r="H7" s="697"/>
    </x:row>
    <x:row r="8" ht="63" customHeight="1">
      <x:c r="A8" s="688" t="str">
        <x:v>Released Kernel</x:v>
      </x:c>
      <x:c r="B8" s="691" t="str">
        <x:v>v0.2.0 / commit 45336a2</x:v>
      </x:c>
      <x:c r="C8" s="691"/>
      <x:c r="D8" s="691"/>
      <x:c r="F8" s="696" t="str">
        <x:v>Immediate Next Action</x:v>
      </x:c>
      <x:c r="G8" s="697" t="str">
        <x:v>Review dual_public_package_audit_failure_review_2026-07-20.md.</x:v>
      </x:c>
      <x:c r="H8" s="697"/>
    </x:row>
    <x:row r="9" ht="72" customHeight="1">
      <x:c r="A9" s="688" t="str">
        <x:v>Release Target</x:v>
      </x:c>
      <x:c r="B9" s="691" t="str">
        <x:v>v0.3.0</x:v>
      </x:c>
      <x:c r="C9" s="691"/>
      <x:c r="D9" s="691"/>
      <x:c r="F9" s="696" t="str">
        <x:v>Primary Risk</x:v>
      </x:c>
      <x:c r="G9" s="697" t="str">
        <x:v>Primary risk is hiding missing authority with placeholder IDs or weakening the strict result schema.</x:v>
      </x:c>
      <x:c r="H9" s="697"/>
    </x:row>
    <x:row r="10" ht="81" customHeight="1">
      <x:c r="A10" s="688" t="str">
        <x:v>Baseline Test Count</x:v>
      </x:c>
      <x:c r="B10" s="691" t="n">
        <x:v>121</x:v>
      </x:c>
      <x:c r="C10" s="691"/>
      <x:c r="D10" s="691"/>
      <x:c r="F10" s="696" t="str">
        <x:v>Deferred</x:v>
      </x:c>
      <x:c r="G10" s="697" t="str">
        <x:v>Public reruns, checks 8-11, held-out semantics, and deferred capabilities remain blocked.</x:v>
      </x:c>
      <x:c r="H10" s="697"/>
    </x:row>
    <x:row r="11" ht="63" customHeight="1">
      <x:c r="A11" s="688" t="str">
        <x:v>Fixture Package Families</x:v>
      </x:c>
      <x:c r="B11" s="691" t="n">
        <x:v>2</x:v>
      </x:c>
      <x:c r="C11" s="691"/>
      <x:c r="D11" s="691"/>
      <x:c r="F11" s="696" t="str">
        <x:v>Data Boundary</x:v>
      </x:c>
      <x:c r="G11" s="697" t="str">
        <x:v>Both accepted package trees remain unchanged; failed execution and diagnostic evidence stay local and Git-ignored.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Stabilization review required</x:v>
      </x:c>
      <x:c r="D17" s="700" t="n">
        <x:v>0.74</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Stopped - Stabilization Review</x:v>
      </x:c>
      <x:c r="F41" s="431" t="str">
        <x:v>codex/p2.3-dual-public-package-audit-execution</x:v>
      </x:c>
      <x:c r="G41" s="431" t="str">
        <x:v>D-098-D-099; EV-101-EV-103; IMP-017; NASA/JPL exit 70/zero outputs/174 invalid findings; OpenFlexure not audited/99 diagnostic findings; both package trees unchanged; strict schema retained</x:v>
      </x:c>
      <x:c r="H41"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