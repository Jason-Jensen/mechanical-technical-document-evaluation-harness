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61f313cf984b04" /></Relationships>
</file>

<file path=xl/workbook.xml><?xml version="1.0" encoding="utf-8"?>
<x:workbook xmlns:x="http://schemas.openxmlformats.org/spreadsheetml/2006/main">
  <x:sheets>
    <x:sheet xmlns:r="http://schemas.openxmlformats.org/officeDocument/2006/relationships" name="Start Here" sheetId="1" r:id="R661a3f808e8540e2"/>
    <x:sheet xmlns:r="http://schemas.openxmlformats.org/officeDocument/2006/relationships" name="Executive Gantt" sheetId="2" r:id="R9c255d23db9b43fe"/>
    <x:sheet xmlns:r="http://schemas.openxmlformats.org/officeDocument/2006/relationships" name="Detailed Gantt" sheetId="3" r:id="R98ceeec787df4ea9"/>
    <x:sheet xmlns:r="http://schemas.openxmlformats.org/officeDocument/2006/relationships" name="Weekly Control" sheetId="4" r:id="R88b9e2461e96403f"/>
    <x:sheet xmlns:r="http://schemas.openxmlformats.org/officeDocument/2006/relationships" name="Phase Summary" sheetId="5" r:id="Rc2b1686afc33458d"/>
    <x:sheet xmlns:r="http://schemas.openxmlformats.org/officeDocument/2006/relationships" name="Assumptions &amp; Gates" sheetId="6" r:id="Re1ef28d460844036"/>
    <x:sheet xmlns:r="http://schemas.openxmlformats.org/officeDocument/2006/relationships" name="Sources" sheetId="7" r:id="R4e3c53f8ffa0461b"/>
    <x:sheet xmlns:r="http://schemas.openxmlformats.org/officeDocument/2006/relationships" name="Legacy Baseline" sheetId="8" r:id="Rc55472d224874de1"/>
    <x:sheet xmlns:r="http://schemas.openxmlformats.org/officeDocument/2006/relationships" name="Work Block Log" sheetId="9" r:id="Rd8b141b16f064b30"/>
    <x:sheet xmlns:r="http://schemas.openxmlformats.org/officeDocument/2006/relationships" name="Decision Register" sheetId="10" r:id="R7c320eb9189746d6"/>
    <x:sheet xmlns:r="http://schemas.openxmlformats.org/officeDocument/2006/relationships" name="Risks &amp; Issues" sheetId="11" r:id="R7579e9455ba64573"/>
    <x:sheet xmlns:r="http://schemas.openxmlformats.org/officeDocument/2006/relationships" name="Evidence Register" sheetId="12" r:id="R2cd09b789a044e2b"/>
    <x:sheet xmlns:r="http://schemas.openxmlformats.org/officeDocument/2006/relationships" name="Expansion Backlog" sheetId="13" r:id="R506a9c287e6344c6"/>
    <x:sheet xmlns:r="http://schemas.openxmlformats.org/officeDocument/2006/relationships" name="AI Context" sheetId="14" r:id="R4b68d73334c641b9"/>
    <x:sheet xmlns:r="http://schemas.openxmlformats.org/officeDocument/2006/relationships" name="MVP Dashboard" sheetId="15" r:id="R19b6506277564b11"/>
    <x:sheet xmlns:r="http://schemas.openxmlformats.org/officeDocument/2006/relationships" name="Product Vision" sheetId="16" r:id="Rd42319322d974008"/>
    <x:sheet xmlns:r="http://schemas.openxmlformats.org/officeDocument/2006/relationships" name="Pilot Gantt" sheetId="17" r:id="R949ade71aab64b3c"/>
    <x:sheet xmlns:r="http://schemas.openxmlformats.org/officeDocument/2006/relationships" name="Pilot Dashboard" sheetId="18" r:id="Rf16d4a0ef86f400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<x:sst xmlns:x="http://schemas.openxmlformats.org/spreadsheetml/2006/main">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</x:sst>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6">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
      <x:patternFill patternType="solid">
        <x:fgColor rgb="FF2F75B5"/>
      </x:patternFill>
    </x:fill>
    <x:fill>
      <x:patternFill patternType="solid">
        <x:fgColor rgb="FF2F75B5"/>
      </x:patternFill>
    </x:fill>
    <x:fill>
      <x:patternFill patternType="solid">
        <x:fgColor rgb="FF2F75B5"/>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80">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0" fontId="3" fillId="4" borderId="0" xfId="0" applyNumberFormat="1" applyFont="1" applyFill="1" applyBorder="1" applyAlignment="1">
      <x:alignment vertical="top" wrapText="1"/>
    </x:xf>
    <x:xf numFmtId="0" fontId="3" fillId="53" borderId="0" xfId="0" applyNumberFormat="1" applyFont="1" applyFill="1" applyBorder="1" applyAlignment="1">
      <x:alignment vertical="top" wrapText="1"/>
    </x:xf>
    <x:xf numFmtId="0" fontId="2" fillId="53" borderId="0" xfId="0" applyNumberFormat="1" applyFont="1" applyFill="1" applyBorder="1" applyAlignment="1">
      <x:alignment vertical="top" wrapText="1"/>
    </x:xf>
    <x:xf numFmtId="0" fontId="2" fillId="54" borderId="0" xfId="0" applyNumberFormat="1" applyFont="1" applyFill="1" applyBorder="1" applyAlignment="1">
      <x:alignment vertical="top" wrapText="1"/>
    </x:xf>
    <x:xf numFmtId="0" fontId="2" fillId="55"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e4df51196484756" /><Relationship Type="http://schemas.openxmlformats.org/officeDocument/2006/relationships/theme" Target="/xl/theme/theme1.xml" Id="Rffa3218c2af9498b" /><Relationship Type="http://schemas.openxmlformats.org/officeDocument/2006/relationships/sharedStrings" Target="/xl/sharedStrings.xml" Id="R7defee4eca864110" /><Relationship Type="http://schemas.openxmlformats.org/officeDocument/2006/relationships/worksheet" Target="/xl/worksheets/sheet1.xml" Id="R661a3f808e8540e2" /><Relationship Type="http://schemas.openxmlformats.org/officeDocument/2006/relationships/worksheet" Target="/xl/worksheets/sheet2.xml" Id="R9c255d23db9b43fe" /><Relationship Type="http://schemas.openxmlformats.org/officeDocument/2006/relationships/worksheet" Target="/xl/worksheets/sheet3.xml" Id="R98ceeec787df4ea9" /><Relationship Type="http://schemas.openxmlformats.org/officeDocument/2006/relationships/worksheet" Target="/xl/worksheets/sheet4.xml" Id="R88b9e2461e96403f" /><Relationship Type="http://schemas.openxmlformats.org/officeDocument/2006/relationships/worksheet" Target="/xl/worksheets/sheet5.xml" Id="Rc2b1686afc33458d" /><Relationship Type="http://schemas.openxmlformats.org/officeDocument/2006/relationships/worksheet" Target="/xl/worksheets/sheet6.xml" Id="Re1ef28d460844036" /><Relationship Type="http://schemas.openxmlformats.org/officeDocument/2006/relationships/worksheet" Target="/xl/worksheets/sheet7.xml" Id="R4e3c53f8ffa0461b" /><Relationship Type="http://schemas.openxmlformats.org/officeDocument/2006/relationships/worksheet" Target="/xl/worksheets/sheet8.xml" Id="Rc55472d224874de1" /><Relationship Type="http://schemas.openxmlformats.org/officeDocument/2006/relationships/worksheet" Target="/xl/worksheets/sheet9.xml" Id="Rd8b141b16f064b30" /><Relationship Type="http://schemas.openxmlformats.org/officeDocument/2006/relationships/worksheet" Target="/xl/worksheets/sheet10.xml" Id="R7c320eb9189746d6" /><Relationship Type="http://schemas.openxmlformats.org/officeDocument/2006/relationships/worksheet" Target="/xl/worksheets/sheet11.xml" Id="R7579e9455ba64573" /><Relationship Type="http://schemas.openxmlformats.org/officeDocument/2006/relationships/worksheet" Target="/xl/worksheets/sheet12.xml" Id="R2cd09b789a044e2b" /><Relationship Type="http://schemas.openxmlformats.org/officeDocument/2006/relationships/worksheet" Target="/xl/worksheets/sheet13.xml" Id="R506a9c287e6344c6" /><Relationship Type="http://schemas.openxmlformats.org/officeDocument/2006/relationships/worksheet" Target="/xl/worksheets/sheet14.xml" Id="R4b68d73334c641b9" /><Relationship Type="http://schemas.openxmlformats.org/officeDocument/2006/relationships/worksheet" Target="/xl/worksheets/sheet15.xml" Id="R19b6506277564b11" /><Relationship Type="http://schemas.openxmlformats.org/officeDocument/2006/relationships/worksheet" Target="/xl/worksheets/sheet16.xml" Id="Rd42319322d974008" /><Relationship Type="http://schemas.openxmlformats.org/officeDocument/2006/relationships/worksheet" Target="/xl/worksheets/sheet17.xml" Id="R949ade71aab64b3c" /><Relationship Type="http://schemas.openxmlformats.org/officeDocument/2006/relationships/worksheet" Target="/xl/worksheets/sheet18.xml" Id="Rf16d4a0ef86f400a" /></Relationships>
</file>

<file path=xl/drawings/_rels/drawing1.xml.rels>&#65279;<?xml version="1.0" encoding="utf-8"?><Relationships xmlns="http://schemas.openxmlformats.org/package/2006/relationships"><Relationship Type="http://schemas.openxmlformats.org/officeDocument/2006/relationships/chart" Target="/xl/drawings/charts/chart1.xml" Id="Rb544209237ca4fd6" /></Relationships>
</file>

<file path=xl/drawings/_rels/drawing2.xml.rels>&#65279;<?xml version="1.0" encoding="utf-8"?><Relationships xmlns="http://schemas.openxmlformats.org/package/2006/relationships"><Relationship Type="http://schemas.openxmlformats.org/officeDocument/2006/relationships/chart" Target="/xl/drawings/charts/chart2.xml" Id="Rb42358d3ab8b49c8" /></Relationships>
</file>

<file path=xl/drawings/_rels/drawing3.xml.rels>&#65279;<?xml version="1.0" encoding="utf-8"?><Relationships xmlns="http://schemas.openxmlformats.org/package/2006/relationships"><Relationship Type="http://schemas.openxmlformats.org/officeDocument/2006/relationships/chart" Target="/xl/drawings/charts/chart3.xml" Id="R9b3facb0d7d04dae"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544209237ca4fd6"/>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42358d3ab8b49c8"/>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b3facb0d7d04da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203752ecaa7a4e79" /></Relationships>
</file>

<file path=xl/worksheets/_rels/sheet5.xml.rels>&#65279;<?xml version="1.0" encoding="utf-8"?><Relationships xmlns="http://schemas.openxmlformats.org/package/2006/relationships"><Relationship Type="http://schemas.openxmlformats.org/officeDocument/2006/relationships/drawing" Target="/xl/drawings/drawing2.xml" Id="R343ddf65c74a4468" /></Relationships>
</file>

<file path=xl/worksheets/_rels/sheet15.xml.rels>&#65279;<?xml version="1.0" encoding="utf-8"?><Relationships xmlns="http://schemas.openxmlformats.org/package/2006/relationships"><Relationship Type="http://schemas.openxmlformats.org/officeDocument/2006/relationships/drawing" Target="/xl/drawings/drawing3.xml" Id="Rec44a438977f42de"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D-116 external benchmark recovery freeze 2026-07-23</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D-116 freeze complete; D-117 owner review; product release held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D-116 external benchmark recovery freeze</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the D-116 freeze and proposed D-117 before any opaque semantic execution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#68 integrated D-114 at exact main 3a6766f. The owner accepted D-116 and authorized one zero-run external recovery preparation. A separate custodian authored synthetic carton-indexing conveyor family FAM-D116-CIM-20260723-01 with eight opaque scenarios, 129 producer files, three protected files, self-authored rights, complete authority/oracle contracts, and zero semantic executions. The implementation context read only public handoffs. Runner revisions 1-3 were rejected and preserved for nested dependency closure, import-time bytecode mutation, and whole-tree Windows path budgeting. Final short-root RUNNER-D116-CIM-20260723-04 freezes exact evaluator 3a6766f, 340/340 read-only static files, 48/48 Git blobs, a pip-free capsule interpreter, five dependency distributions, zero bytecode artifacts, and no retry/resume/overwrite/tuning/protected-comparison path. Independent verification passed 8/8 mandatory and 51/51 detailed controls. One development-only sentinel published four schema-valid automatic-pass outputs with exact pre/post identity at runs path 193, actual longest staged path 256, and former-defect stress path 264. Opaque semantic executions, held-out publications, and protected comparisons remain zero; D-117 authorization is absent. Local proof: governance 22/22; protected-safe full 340/1 at 88.33%; validation 5/5; Ruff; repository sentinel; development benchmark 22/22; baseline 9/9 with explicit generated evidence; demo 2/2. PR #69 push and pull-request workflows also pass: hosted Linux sentinel 4 outputs at runs path 223 and protected-safe full 341 at 88.50%. AIR-003 and pending D-117 hold release. EV-179-EV-184, I-010, IMP-033-IMP-035, and the D-117 gate preserve the proof and next decision.</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0.42</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17.14</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x:v>
      </x:c>
      <x:c r="N27" s="627" t="n">
        <x:f t="shared" si="3">MAX(F27*(1-L27),0)</x:f>
        <x:v>0</x:v>
      </x:c>
      <x:c r="O27" s="627" t="n">
        <x:f t="shared" si="4">M27-F27</x:f>
        <x:v>-3</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17.14</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17.14</x:v>
      </x:c>
      <x:c r="F5" s="68" t="n">
        <x:f t="shared" ref="F5:F35" si="0">IF(E5="","",E5-D5)</x:f>
        <x:v>9.14</x:v>
      </x:c>
      <x:c r="G5" s="68" t="n">
        <x:f t="shared" ref="G5:G36" si="2">SUM($D$5:D5)</x:f>
        <x:v>8</x:v>
      </x:c>
      <x:c r="H5" s="68" t="n">
        <x:f t="shared" ref="H5:H36" si="3">SUM($E$5:E5)</x:f>
        <x:v>17.14</x:v>
      </x:c>
      <x:c r="I5" s="68" t="n">
        <x:f t="shared" ref="I5:I35" si="1">MAX($G$13-H5,0)</x:f>
        <x:v>58.86</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17.14</x:v>
      </x:c>
      <x:c r="I6" s="68" t="n">
        <x:f t="shared" si="1">MAX($G$13-H6,0)</x:f>
        <x:v>58.86</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17.14</x:v>
      </x:c>
      <x:c r="I7" s="68" t="n">
        <x:f t="shared" si="1">MAX($G$13-H7,0)</x:f>
        <x:v>58.86</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17.14</x:v>
      </x:c>
      <x:c r="I8" s="68" t="n">
        <x:f t="shared" si="1">MAX($G$13-H8,0)</x:f>
        <x:v>58.86</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17.14</x:v>
      </x:c>
      <x:c r="I9" s="68" t="n">
        <x:f t="shared" si="1">MAX($G$13-H9,0)</x:f>
        <x:v>58.86</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17.14</x:v>
      </x:c>
      <x:c r="I10" s="68" t="n">
        <x:f t="shared" si="1">MAX($G$13-H10,0)</x:f>
        <x:v>58.86</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17.14</x:v>
      </x:c>
      <x:c r="I11" s="68" t="n">
        <x:f t="shared" si="1">MAX($G$13-H11,0)</x:f>
        <x:v>58.86</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17.14</x:v>
      </x:c>
      <x:c r="I12" s="140" t="n">
        <x:f t="shared" si="1">MAX($G$13-H12,0)</x:f>
        <x:v>58.86</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203752ecaa7a4e7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0.42</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17.14</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343ddf65c74a4468"/>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40.5" customHeight="1">
      <x:c r="A27" s="778" t="str">
        <x:v>AI Management Gate / Hold Point</x:v>
      </x:c>
      <x:c r="B27" s="778"/>
      <x:c r="C27" s="778"/>
      <x:c r="D27" s="778"/>
      <x:c r="E27" s="778"/>
      <x:c r="F27" s="778"/>
      <x:c r="G27" s="778"/>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80" customHeight="1">
      <x:c r="A28" s="771" t="str">
        <x:v>AIMS Gate</x:v>
      </x:c>
      <x:c r="B28" s="485" t="str">
        <x:v>Continuous</x:v>
      </x:c>
      <x:c r="C28" s="774" t="n">
        <x:v>46226</x:v>
      </x:c>
      <x:c r="D28" s="485" t="str">
        <x:v>Active / Release Held</x:v>
      </x:c>
      <x:c r="E28" s="485" t="str">
        <x:v>The binding AI management policy and machine-readable control plane remain valid. Release-ready mode must pass before any release claim.</x:v>
      </x:c>
      <x:c r="F28" s="485" t="str">
        <x:v>PR #67 main 540a1f6; D-115; PR #68 main 3a6766f; D-116 freeze; EV-179-EV-184; governance 22/22; full 340/1 at 88.33%; validation 5/5; Ruff; sentinel; development benchmark 22/22; baseline 9/9; demo 2/2; PR #69 hosted 2/2, 341 at 88.50%</x:v>
      </x:c>
      <x:c r="G28" s="485" t="str">
        <x:v>G0.1 is integrated. D-116 passed its zero-run freeze. Preserve AIR-003 and pending D-117; strict release-ready mode must continue to fail.</x:v>
      </x:c>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4" customHeight="1">
      <x:c r="A30" s="597" t="str">
        <x:v>P4.2 Recovery Gate / Hold Point</x:v>
      </x:c>
      <x:c r="B30" s="597"/>
      <x:c r="C30" s="597"/>
      <x:c r="D30" s="597"/>
      <x:c r="E30" s="597"/>
      <x:c r="F30" s="597"/>
      <x:c r="G30" s="597"/>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45" customHeight="1">
      <x:c r="A31" s="438" t="str">
        <x:v>P4.2 Recovery Gate</x:v>
      </x:c>
      <x:c r="B31" s="438" t="str">
        <x:v>Owner review</x:v>
      </x:c>
      <x:c r="C31" s="779" t="n">
        <x:v>46226</x:v>
      </x:c>
      <x:c r="D31" s="438" t="str">
        <x:v>D-116 Complete / D-117 Proposed / Release Held</x:v>
      </x:c>
      <x:c r="E31" s="438" t="str">
        <x:v>A materially distinct external family and oracle-blind runner are frozen. The final physical sentinel publishes four valid outputs with exact static identity. Opaque semantic execution remains zero and requires D-117.</x:v>
      </x:c>
      <x:c r="F31" s="438" t="str">
        <x:v>D-116; family FAM-D116-CIM-20260723-01; runner R4; EV-179-EV-184; 8/8 mandatory; 51/51 detailed; IMP-033-IMP-035; AIR-003; proposed D-117</x:v>
      </x:c>
      <x:c r="G31" s="438" t="str">
        <x:v>Review and accept or revise D-117. Do not create authorization, invoke the opaque runner, compare the protected oracle, begin P4.3, or make performance/release claims before the corresponding gate.</x:v>
      </x:c>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9:G30"/>
    <x:mergeCell ref="A27:G27"/>
    <x:mergeCell ref="A30: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194</x:v>
      </x:c>
      <x:c r="B3" s="494" t="s">
        <x:v>195</x:v>
      </x:c>
      <x:c r="C3" s="494" t="s">
        <x:v>196</x:v>
      </x:c>
      <x:c r="D3" s="494" t="s">
        <x:v>197</x:v>
      </x:c>
      <x:c r="E3" s="494" t="s">
        <x:v>198</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199</x:v>
      </x:c>
      <x:c r="B4" s="438" t="s">
        <x:v>200</x:v>
      </x:c>
      <x:c r="C4" s="438" t="s">
        <x:v>201</x:v>
      </x:c>
      <x:c r="D4" s="438" t="s">
        <x:v>202</x:v>
      </x:c>
      <x:c r="E4" s="448" t="s">
        <x:v>203</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204</x:v>
      </x:c>
      <x:c r="B5" s="438" t="s">
        <x:v>205</x:v>
      </x:c>
      <x:c r="C5" s="438" t="s">
        <x:v>201</x:v>
      </x:c>
      <x:c r="D5" s="438" t="str">
        <x:v>gantt_v0.3_package_assurance_pilot.xlsx</x:v>
      </x:c>
      <x:c r="E5" s="448" t="s">
        <x:v>206</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207</x:v>
      </x:c>
      <x:c r="B6" s="438" t="s">
        <x:v>208</x:v>
      </x:c>
      <x:c r="C6" s="438" t="s">
        <x:v>209</x:v>
      </x:c>
      <x:c r="D6" s="438" t="s">
        <x:v>210</x:v>
      </x:c>
      <x:c r="E6" s="448" t="s">
        <x:v>211</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212</x:v>
      </x:c>
      <x:c r="B7" s="438" t="s">
        <x:v>213</x:v>
      </x:c>
      <x:c r="C7" s="438" t="s">
        <x:v>214</x:v>
      </x:c>
      <x:c r="D7" s="438" t="s">
        <x:v>215</x:v>
      </x:c>
      <x:c r="E7" s="448" t="s">
        <x:v>216</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217</x:v>
      </x:c>
      <x:c r="B8" s="438" t="s">
        <x:v>218</x:v>
      </x:c>
      <x:c r="C8" s="438" t="s">
        <x:v>214</x:v>
      </x:c>
      <x:c r="D8" s="438" t="s">
        <x:v>215</x:v>
      </x:c>
      <x:c r="E8" s="448" t="s">
        <x:v>219</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220</x:v>
      </x:c>
      <x:c r="B9" s="438" t="s">
        <x:v>221</x:v>
      </x:c>
      <x:c r="C9" s="438" t="s">
        <x:v>222</x:v>
      </x:c>
      <x:c r="D9" s="438" t="s">
        <x:v>223</x:v>
      </x:c>
      <x:c r="E9" s="448" t="s">
        <x:v>224</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225</x:v>
      </x:c>
      <x:c r="B10" s="448" t="s">
        <x:v>226</x:v>
      </x:c>
      <x:c r="C10" s="448" t="s">
        <x:v>222</x:v>
      </x:c>
      <x:c r="D10" s="448" t="s">
        <x:v>227</x:v>
      </x:c>
      <x:c r="E10" s="448" t="s">
        <x:v>228</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229</x:v>
      </x:c>
      <x:c r="B11" s="448" t="s">
        <x:v>230</x:v>
      </x:c>
      <x:c r="C11" s="448" t="s">
        <x:v>222</x:v>
      </x:c>
      <x:c r="D11" s="448" t="s">
        <x:v>231</x:v>
      </x:c>
      <x:c r="E11" s="448" t="s">
        <x:v>228</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232</x:v>
      </x:c>
      <x:c r="B12" s="448" t="s">
        <x:v>233</x:v>
      </x:c>
      <x:c r="C12" s="448" t="s">
        <x:v>214</x:v>
      </x:c>
      <x:c r="D12" s="448" t="s">
        <x:v>215</x:v>
      </x:c>
      <x:c r="E12" s="448" t="s">
        <x:v>234</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26" customHeight="1">
      <x:c r="A17" s="438" t="str">
        <x:v>ISO/IEC 42001:2023 official public record</x:v>
      </x:c>
      <x:c r="B17" s="438" t="str">
        <x:v>Defines the public purpose and management-system basis for establishing, implementing, maintaining, and continually improving responsible AI governance.</x:v>
      </x:c>
      <x:c r="C17" s="438" t="str">
        <x:v>Official ISO source</x:v>
      </x:c>
      <x:c r="D17" s="438" t="str">
        <x:v>https://www.iso.org/standard/42001</x:v>
      </x:c>
      <x:c r="E17" s="438" t="str">
        <x:v>High-level alignment only. A licensed copy and independent assessment are required for formal conformity.</x:v>
      </x:c>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26" customHeight="1">
      <x:c r="A18" s="438" t="str">
        <x:v>ISO/IEC 23894:2023 official public record</x:v>
      </x:c>
      <x:c r="B18" s="438" t="str">
        <x:v>Confirms the role of AI-specific risk management across organizations that develop, provide, deploy, or use AI systems.</x:v>
      </x:c>
      <x:c r="C18" s="438" t="str">
        <x:v>Official ISO source</x:v>
      </x:c>
      <x:c r="D18" s="438" t="str">
        <x:v>https://www.iso.org/standard/77304.html</x:v>
      </x:c>
      <x:c r="E18" s="438" t="str">
        <x:v>Risk-reference summary only; do not reproduce the standard.</x:v>
      </x:c>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26" customHeight="1">
      <x:c r="A19" s="438" t="str">
        <x:v>NIST AI Risk Management Framework 1.0</x:v>
      </x:c>
      <x:c r="B19" s="438" t="str">
        <x:v>Provides voluntary operational practices for governing, mapping, measuring, and managing AI risk.</x:v>
      </x:c>
      <x:c r="C19" s="438" t="str">
        <x:v>Official NIST source</x:v>
      </x:c>
      <x:c r="D19" s="438" t="str">
        <x:v>https://www.nist.gov/itl/ai-risk-management-framework</x:v>
      </x:c>
      <x:c r="E19" s="438" t="str">
        <x:v>Operational supplement, not certification. NIST says 1.0 is being updated; a published revision triggers governance review.</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26" customHeight="1">
      <x:c r="A20" s="438" t="str">
        <x:v>NIST AI RMF Generative AI Profile</x:v>
      </x:c>
      <x:c r="B20" s="438" t="str">
        <x:v>Adds public generative-AI risk guidance for project-assistant use and future model capabilities.</x:v>
      </x:c>
      <x:c r="C20" s="438" t="str">
        <x:v>Official NIST source</x:v>
      </x:c>
      <x:c r="D20" s="438" t="str">
        <x:v>https://doi.org/10.6028/NIST.AI.600-1</x:v>
      </x:c>
      <x:c r="E20" s="438" t="str">
        <x:v>Used for project-specific risk treatment and monitoring controls.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235</x:v>
      </x:c>
      <x:c r="B1" s="232"/>
      <x:c r="C1" s="232"/>
      <x:c r="D1" s="232"/>
      <x:c r="E1" s="232"/>
      <x:c r="F1" s="232"/>
      <x:c r="G1" s="232"/>
      <x:c r="H1" s="232"/>
      <x:c r="I1" s="232"/>
      <x:c r="J1" s="232"/>
      <x:c r="K1" s="232"/>
      <x:c r="L1" s="232"/>
      <x:c r="M1" s="232"/>
      <x:c r="N1" s="232"/>
      <x:c r="O1" s="232"/>
      <x:c r="P1" s="232"/>
      <x:c r="Q1" s="232"/>
      <x:c r="R1" s="232"/>
      <x:c r="S1" s="232"/>
      <x:c r="T1" s="232"/>
    </x:row>
    <x:row r="2">
      <x:c r="A2" s="233" t="s">
        <x:v>236</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237</x:v>
      </x:c>
      <x:c r="L4" t="s">
        <x:v>238</x:v>
      </x:c>
    </x:row>
    <x:row r="6">
      <x:c r="A6" t="s">
        <x:v>239</x:v>
      </x:c>
      <x:c r="C6" t="s">
        <x:v>240</x:v>
      </x:c>
    </x:row>
    <x:row r="8">
      <x:c r="A8" t="s">
        <x:v>48</x:v>
      </x:c>
      <x:c r="B8" t="s">
        <x:v>1</x:v>
      </x:c>
      <x:c r="C8" t="s">
        <x:v>49</x:v>
      </x:c>
      <x:c r="D8" t="s">
        <x:v>50</x:v>
      </x:c>
      <x:c r="E8" t="s">
        <x:v>51</x:v>
      </x:c>
      <x:c r="F8" t="s">
        <x:v>2</x:v>
      </x:c>
      <x:c r="G8" t="s">
        <x:v>52</x:v>
      </x:c>
      <x:c r="H8" t="s">
        <x:v>53</x:v>
      </x:c>
      <x:c r="I8" t="s">
        <x:v>241</x:v>
      </x:c>
      <x:c r="J8" t="s">
        <x:v>54</x:v>
      </x:c>
      <x:c r="K8" t="s">
        <x:v>55</x:v>
      </x:c>
      <x:c r="L8" t="s">
        <x:v>56</x:v>
      </x:c>
      <x:c r="M8" t="s">
        <x:v>4</x:v>
      </x:c>
      <x:c r="N8" t="s">
        <x:v>3</x:v>
      </x:c>
      <x:c r="O8" t="s">
        <x:v>58</x:v>
      </x:c>
      <x:c r="P8" t="s">
        <x:v>57</x:v>
      </x:c>
      <x:c r="Q8" t="s">
        <x:v>61</x:v>
      </x:c>
    </x:row>
    <x:row r="9">
      <x:c r="A9" t="s">
        <x:v>62</x:v>
      </x:c>
      <x:c r="B9" t="s">
        <x:v>242</x:v>
      </x:c>
      <x:c r="C9" t="s">
        <x:v>243</x:v>
      </x:c>
      <x:c r="D9" t="s">
        <x:v>244</x:v>
      </x:c>
      <x:c r="E9" t="s">
        <x:v>65</x:v>
      </x:c>
      <x:c r="F9">
        <x:v>4</x:v>
      </x:c>
      <x:c r="G9">
        <x:v>1</x:v>
      </x:c>
      <x:c r="H9">
        <x:v>1</x:v>
      </x:c>
      <x:c r="I9">
        <x:v>1</x:v>
      </x:c>
      <x:c r="J9">
        <x:v>46202</x:v>
      </x:c>
      <x:c r="K9">
        <x:v>46208</x:v>
      </x:c>
      <x:c r="L9" t="s">
        <x:v>245</x:v>
      </x:c>
      <x:c r="M9">
        <x:v>1</x:v>
      </x:c>
      <x:c r="N9">
        <x:v>1.5</x:v>
      </x:c>
      <x:c r="O9">
        <x:v>-2.5</x:v>
      </x:c>
      <x:c r="P9">
        <x:v>0</x:v>
      </x:c>
      <x:c r="Q9" t="s">
        <x:v>246</x:v>
      </x:c>
    </x:row>
    <x:row r="10">
      <x:c r="A10" t="s">
        <x:v>68</x:v>
      </x:c>
      <x:c r="B10" t="s">
        <x:v>242</x:v>
      </x:c>
      <x:c r="C10" t="s">
        <x:v>247</x:v>
      </x:c>
      <x:c r="D10" t="s">
        <x:v>248</x:v>
      </x:c>
      <x:c r="E10" t="s">
        <x:v>62</x:v>
      </x:c>
      <x:c r="F10">
        <x:v>4</x:v>
      </x:c>
      <x:c r="G10">
        <x:v>1</x:v>
      </x:c>
      <x:c r="H10">
        <x:v>1</x:v>
      </x:c>
      <x:c r="I10">
        <x:v>1</x:v>
      </x:c>
      <x:c r="J10">
        <x:v>46202</x:v>
      </x:c>
      <x:c r="K10">
        <x:v>46208</x:v>
      </x:c>
      <x:c r="L10" t="s">
        <x:v>245</x:v>
      </x:c>
      <x:c r="M10">
        <x:v>1</x:v>
      </x:c>
      <x:c r="P10">
        <x:v>0</x:v>
      </x:c>
      <x:c r="Q10" t="s">
        <x:v>249</x:v>
      </x:c>
    </x:row>
    <x:row r="11">
      <x:c r="A11" t="s">
        <x:v>73</x:v>
      </x:c>
      <x:c r="B11" t="s">
        <x:v>242</x:v>
      </x:c>
      <x:c r="C11" t="s">
        <x:v>250</x:v>
      </x:c>
      <x:c r="D11" t="s">
        <x:v>251</x:v>
      </x:c>
      <x:c r="E11" t="s">
        <x:v>62</x:v>
      </x:c>
      <x:c r="F11">
        <x:v>4</x:v>
      </x:c>
      <x:c r="G11">
        <x:v>1</x:v>
      </x:c>
      <x:c r="H11">
        <x:v>2</x:v>
      </x:c>
      <x:c r="I11">
        <x:v>2</x:v>
      </x:c>
      <x:c r="J11">
        <x:v>46202</x:v>
      </x:c>
      <x:c r="K11">
        <x:v>46215</x:v>
      </x:c>
      <x:c r="L11" t="s">
        <x:v>252</x:v>
      </x:c>
      <x:c r="M11">
        <x:v>0.5</x:v>
      </x:c>
      <x:c r="P11">
        <x:v>2</x:v>
      </x:c>
      <x:c r="Q11" t="s">
        <x:v>253</x:v>
      </x:c>
    </x:row>
    <x:row r="12">
      <x:c r="A12" t="s">
        <x:v>254</x:v>
      </x:c>
      <x:c r="B12" t="s">
        <x:v>242</x:v>
      </x:c>
      <x:c r="C12" t="s">
        <x:v>255</x:v>
      </x:c>
      <x:c r="D12" t="s">
        <x:v>256</x:v>
      </x:c>
      <x:c r="E12" t="s">
        <x:v>68</x:v>
      </x:c>
      <x:c r="F12">
        <x:v>4</x:v>
      </x:c>
      <x:c r="G12">
        <x:v>2</x:v>
      </x:c>
      <x:c r="H12">
        <x:v>2</x:v>
      </x:c>
      <x:c r="I12">
        <x:v>1</x:v>
      </x:c>
      <x:c r="J12">
        <x:v>46209</x:v>
      </x:c>
      <x:c r="K12">
        <x:v>46215</x:v>
      </x:c>
      <x:c r="L12" t="s">
        <x:v>142</x:v>
      </x:c>
      <x:c r="M12">
        <x:v>0</x:v>
      </x:c>
      <x:c r="P12">
        <x:v>4</x:v>
      </x:c>
    </x:row>
    <x:row r="13">
      <x:c r="A13" t="s">
        <x:v>257</x:v>
      </x:c>
      <x:c r="B13" t="s">
        <x:v>242</x:v>
      </x:c>
      <x:c r="C13" t="s">
        <x:v>258</x:v>
      </x:c>
      <x:c r="D13" t="s">
        <x:v>259</x:v>
      </x:c>
      <x:c r="E13" t="s">
        <x:v>254</x:v>
      </x:c>
      <x:c r="F13">
        <x:v>12</x:v>
      </x:c>
      <x:c r="G13">
        <x:v>1</x:v>
      </x:c>
      <x:c r="H13">
        <x:v>52</x:v>
      </x:c>
      <x:c r="I13">
        <x:v>52</x:v>
      </x:c>
      <x:c r="J13">
        <x:v>46202</x:v>
      </x:c>
      <x:c r="K13">
        <x:v>46565</x:v>
      </x:c>
      <x:c r="L13" t="s">
        <x:v>252</x:v>
      </x:c>
      <x:c r="M13">
        <x:v>0.02</x:v>
      </x:c>
      <x:c r="P13">
        <x:v>11.76</x:v>
      </x:c>
      <x:c r="Q13" t="s">
        <x:v>260</x:v>
      </x:c>
    </x:row>
    <x:row r="14">
      <x:c r="A14" t="s">
        <x:v>261</x:v>
      </x:c>
      <x:c r="B14" t="s">
        <x:v>242</x:v>
      </x:c>
      <x:c r="C14" t="s">
        <x:v>262</x:v>
      </x:c>
      <x:c r="D14" t="s">
        <x:v>263</x:v>
      </x:c>
      <x:c r="E14" t="s">
        <x:v>254</x:v>
      </x:c>
      <x:c r="F14">
        <x:v>6</x:v>
      </x:c>
      <x:c r="G14">
        <x:v>4</x:v>
      </x:c>
      <x:c r="H14">
        <x:v>52</x:v>
      </x:c>
      <x:c r="I14">
        <x:v>49</x:v>
      </x:c>
      <x:c r="J14">
        <x:v>46223</x:v>
      </x:c>
      <x:c r="K14">
        <x:v>46565</x:v>
      </x:c>
      <x:c r="L14" t="s">
        <x:v>142</x:v>
      </x:c>
      <x:c r="M14">
        <x:v>0</x:v>
      </x:c>
      <x:c r="P14">
        <x:v>6</x:v>
      </x:c>
    </x:row>
    <x:row r="15">
      <x:c r="A15" t="s">
        <x:v>264</x:v>
      </x:c>
      <x:c r="B15" t="s">
        <x:v>242</x:v>
      </x:c>
      <x:c r="C15" t="s">
        <x:v>265</x:v>
      </x:c>
      <x:c r="D15" t="s">
        <x:v>266</x:v>
      </x:c>
      <x:c r="E15" t="s">
        <x:v>254</x:v>
      </x:c>
      <x:c r="F15">
        <x:v>6</x:v>
      </x:c>
      <x:c r="G15">
        <x:v>9</x:v>
      </x:c>
      <x:c r="H15">
        <x:v>52</x:v>
      </x:c>
      <x:c r="I15">
        <x:v>44</x:v>
      </x:c>
      <x:c r="J15">
        <x:v>46258</x:v>
      </x:c>
      <x:c r="K15">
        <x:v>46565</x:v>
      </x:c>
      <x:c r="L15" t="s">
        <x:v>142</x:v>
      </x:c>
      <x:c r="M15">
        <x:v>0</x:v>
      </x:c>
      <x:c r="P15">
        <x:v>6</x:v>
      </x:c>
    </x:row>
    <x:row r="16">
      <x:c r="A16" t="s">
        <x:v>78</x:v>
      </x:c>
      <x:c r="B16" t="s">
        <x:v>267</x:v>
      </x:c>
      <x:c r="C16" t="s">
        <x:v>268</x:v>
      </x:c>
      <x:c r="D16" t="s">
        <x:v>269</x:v>
      </x:c>
      <x:c r="E16" t="s">
        <x:v>73</x:v>
      </x:c>
      <x:c r="F16">
        <x:v>8</x:v>
      </x:c>
      <x:c r="G16">
        <x:v>3</x:v>
      </x:c>
      <x:c r="H16">
        <x:v>3</x:v>
      </x:c>
      <x:c r="I16">
        <x:v>1</x:v>
      </x:c>
      <x:c r="J16">
        <x:v>46216</x:v>
      </x:c>
      <x:c r="K16">
        <x:v>46222</x:v>
      </x:c>
      <x:c r="L16" t="s">
        <x:v>142</x:v>
      </x:c>
      <x:c r="M16">
        <x:v>0</x:v>
      </x:c>
      <x:c r="P16">
        <x:v>8</x:v>
      </x:c>
    </x:row>
    <x:row r="17">
      <x:c r="A17" t="s">
        <x:v>81</x:v>
      </x:c>
      <x:c r="B17" t="s">
        <x:v>267</x:v>
      </x:c>
      <x:c r="C17" t="s">
        <x:v>270</x:v>
      </x:c>
      <x:c r="D17" t="s">
        <x:v>271</x:v>
      </x:c>
      <x:c r="E17" t="s">
        <x:v>78</x:v>
      </x:c>
      <x:c r="F17">
        <x:v>6</x:v>
      </x:c>
      <x:c r="G17">
        <x:v>3</x:v>
      </x:c>
      <x:c r="H17">
        <x:v>4</x:v>
      </x:c>
      <x:c r="I17">
        <x:v>2</x:v>
      </x:c>
      <x:c r="J17">
        <x:v>46216</x:v>
      </x:c>
      <x:c r="K17">
        <x:v>46229</x:v>
      </x:c>
      <x:c r="L17" t="s">
        <x:v>142</x:v>
      </x:c>
      <x:c r="M17">
        <x:v>0</x:v>
      </x:c>
      <x:c r="P17">
        <x:v>6</x:v>
      </x:c>
    </x:row>
    <x:row r="18">
      <x:c r="A18" t="s">
        <x:v>84</x:v>
      </x:c>
      <x:c r="B18" t="s">
        <x:v>267</x:v>
      </x:c>
      <x:c r="C18" t="s">
        <x:v>272</x:v>
      </x:c>
      <x:c r="D18" t="s">
        <x:v>273</x:v>
      </x:c>
      <x:c r="E18" t="s">
        <x:v>81</x:v>
      </x:c>
      <x:c r="F18">
        <x:v>14</x:v>
      </x:c>
      <x:c r="G18">
        <x:v>4</x:v>
      </x:c>
      <x:c r="H18">
        <x:v>5</x:v>
      </x:c>
      <x:c r="I18">
        <x:v>2</x:v>
      </x:c>
      <x:c r="J18">
        <x:v>46223</x:v>
      </x:c>
      <x:c r="K18">
        <x:v>46236</x:v>
      </x:c>
      <x:c r="L18" t="s">
        <x:v>142</x:v>
      </x:c>
      <x:c r="M18">
        <x:v>0</x:v>
      </x:c>
      <x:c r="P18">
        <x:v>14</x:v>
      </x:c>
    </x:row>
    <x:row r="19">
      <x:c r="A19" t="s">
        <x:v>87</x:v>
      </x:c>
      <x:c r="B19" t="s">
        <x:v>267</x:v>
      </x:c>
      <x:c r="C19" t="s">
        <x:v>274</x:v>
      </x:c>
      <x:c r="D19" t="s">
        <x:v>275</x:v>
      </x:c>
      <x:c r="E19" t="s">
        <x:v>84</x:v>
      </x:c>
      <x:c r="F19">
        <x:v>18</x:v>
      </x:c>
      <x:c r="G19">
        <x:v>5</x:v>
      </x:c>
      <x:c r="H19">
        <x:v>7</x:v>
      </x:c>
      <x:c r="I19">
        <x:v>3</x:v>
      </x:c>
      <x:c r="J19">
        <x:v>46230</x:v>
      </x:c>
      <x:c r="K19">
        <x:v>46250</x:v>
      </x:c>
      <x:c r="L19" t="s">
        <x:v>142</x:v>
      </x:c>
      <x:c r="M19">
        <x:v>0</x:v>
      </x:c>
      <x:c r="P19">
        <x:v>18</x:v>
      </x:c>
    </x:row>
    <x:row r="20">
      <x:c r="A20" t="s">
        <x:v>90</x:v>
      </x:c>
      <x:c r="B20" t="s">
        <x:v>267</x:v>
      </x:c>
      <x:c r="C20" t="s">
        <x:v>276</x:v>
      </x:c>
      <x:c r="D20" t="s">
        <x:v>277</x:v>
      </x:c>
      <x:c r="E20" t="s">
        <x:v>87</x:v>
      </x:c>
      <x:c r="F20">
        <x:v>6</x:v>
      </x:c>
      <x:c r="G20">
        <x:v>7</x:v>
      </x:c>
      <x:c r="H20">
        <x:v>8</x:v>
      </x:c>
      <x:c r="I20">
        <x:v>2</x:v>
      </x:c>
      <x:c r="J20">
        <x:v>46244</x:v>
      </x:c>
      <x:c r="K20">
        <x:v>46257</x:v>
      </x:c>
      <x:c r="L20" t="s">
        <x:v>142</x:v>
      </x:c>
      <x:c r="M20">
        <x:v>0</x:v>
      </x:c>
      <x:c r="P20">
        <x:v>6</x:v>
      </x:c>
    </x:row>
    <x:row r="21">
      <x:c r="A21" t="s">
        <x:v>278</x:v>
      </x:c>
      <x:c r="B21" t="s">
        <x:v>267</x:v>
      </x:c>
      <x:c r="C21" t="s">
        <x:v>279</x:v>
      </x:c>
      <x:c r="D21" t="s">
        <x:v>280</x:v>
      </x:c>
      <x:c r="E21" t="s">
        <x:v>90</x:v>
      </x:c>
      <x:c r="F21">
        <x:v>6</x:v>
      </x:c>
      <x:c r="G21">
        <x:v>8</x:v>
      </x:c>
      <x:c r="H21">
        <x:v>8</x:v>
      </x:c>
      <x:c r="I21">
        <x:v>1</x:v>
      </x:c>
      <x:c r="J21">
        <x:v>46251</x:v>
      </x:c>
      <x:c r="K21">
        <x:v>46257</x:v>
      </x:c>
      <x:c r="L21" t="s">
        <x:v>142</x:v>
      </x:c>
      <x:c r="M21">
        <x:v>0</x:v>
      </x:c>
      <x:c r="P21">
        <x:v>6</x:v>
      </x:c>
    </x:row>
    <x:row r="22">
      <x:c r="A22" t="s">
        <x:v>281</x:v>
      </x:c>
      <x:c r="B22" t="s">
        <x:v>267</x:v>
      </x:c>
      <x:c r="C22" t="s">
        <x:v>282</x:v>
      </x:c>
      <x:c r="D22" t="s">
        <x:v>283</x:v>
      </x:c>
      <x:c r="E22" t="s">
        <x:v>278</x:v>
      </x:c>
      <x:c r="F22">
        <x:v>6</x:v>
      </x:c>
      <x:c r="G22">
        <x:v>9</x:v>
      </x:c>
      <x:c r="H22">
        <x:v>9</x:v>
      </x:c>
      <x:c r="I22">
        <x:v>1</x:v>
      </x:c>
      <x:c r="J22">
        <x:v>46258</x:v>
      </x:c>
      <x:c r="K22">
        <x:v>46264</x:v>
      </x:c>
      <x:c r="L22" t="s">
        <x:v>142</x:v>
      </x:c>
      <x:c r="M22">
        <x:v>0</x:v>
      </x:c>
      <x:c r="P22">
        <x:v>6</x:v>
      </x:c>
    </x:row>
    <x:row r="23">
      <x:c r="A23" t="s">
        <x:v>94</x:v>
      </x:c>
      <x:c r="B23" t="s">
        <x:v>284</x:v>
      </x:c>
      <x:c r="C23" t="s">
        <x:v>285</x:v>
      </x:c>
      <x:c r="D23" t="s">
        <x:v>286</x:v>
      </x:c>
      <x:c r="E23" t="s">
        <x:v>281</x:v>
      </x:c>
      <x:c r="F23">
        <x:v>10</x:v>
      </x:c>
      <x:c r="G23">
        <x:v>10</x:v>
      </x:c>
      <x:c r="H23">
        <x:v>10</x:v>
      </x:c>
      <x:c r="I23">
        <x:v>1</x:v>
      </x:c>
      <x:c r="J23">
        <x:v>46265</x:v>
      </x:c>
      <x:c r="K23">
        <x:v>46271</x:v>
      </x:c>
      <x:c r="L23" t="s">
        <x:v>252</x:v>
      </x:c>
      <x:c r="M23">
        <x:v>0.2</x:v>
      </x:c>
      <x:c r="P23">
        <x:v>8</x:v>
      </x:c>
      <x:c r="Q23" t="s">
        <x:v>287</x:v>
      </x:c>
    </x:row>
    <x:row r="24">
      <x:c r="A24" t="s">
        <x:v>97</x:v>
      </x:c>
      <x:c r="B24" t="s">
        <x:v>284</x:v>
      </x:c>
      <x:c r="C24" t="s">
        <x:v>288</x:v>
      </x:c>
      <x:c r="D24" t="s">
        <x:v>289</x:v>
      </x:c>
      <x:c r="E24" t="s">
        <x:v>94</x:v>
      </x:c>
      <x:c r="F24">
        <x:v>12</x:v>
      </x:c>
      <x:c r="G24">
        <x:v>10</x:v>
      </x:c>
      <x:c r="H24">
        <x:v>11</x:v>
      </x:c>
      <x:c r="I24">
        <x:v>2</x:v>
      </x:c>
      <x:c r="J24">
        <x:v>46265</x:v>
      </x:c>
      <x:c r="K24">
        <x:v>46278</x:v>
      </x:c>
      <x:c r="L24" t="s">
        <x:v>252</x:v>
      </x:c>
      <x:c r="M24">
        <x:v>0.15</x:v>
      </x:c>
      <x:c r="N24">
        <x:v>0.62</x:v>
      </x:c>
      <x:c r="O24">
        <x:v>-11.38</x:v>
      </x:c>
      <x:c r="P24">
        <x:v>10.199999999999999</x:v>
      </x:c>
      <x:c r="Q24" t="s">
        <x:v>290</x:v>
      </x:c>
    </x:row>
    <x:row r="25">
      <x:c r="A25" t="s">
        <x:v>100</x:v>
      </x:c>
      <x:c r="B25" t="s">
        <x:v>284</x:v>
      </x:c>
      <x:c r="C25" t="s">
        <x:v>291</x:v>
      </x:c>
      <x:c r="D25" t="s">
        <x:v>292</x:v>
      </x:c>
      <x:c r="E25" t="s">
        <x:v>97</x:v>
      </x:c>
      <x:c r="F25">
        <x:v>14</x:v>
      </x:c>
      <x:c r="G25">
        <x:v>11</x:v>
      </x:c>
      <x:c r="H25">
        <x:v>12</x:v>
      </x:c>
      <x:c r="I25">
        <x:v>2</x:v>
      </x:c>
      <x:c r="J25">
        <x:v>46272</x:v>
      </x:c>
      <x:c r="K25">
        <x:v>46285</x:v>
      </x:c>
      <x:c r="L25" t="s">
        <x:v>245</x:v>
      </x:c>
      <x:c r="M25">
        <x:v>1</x:v>
      </x:c>
      <x:c r="P25">
        <x:v>0</x:v>
      </x:c>
      <x:c r="Q25" t="s">
        <x:v>293</x:v>
      </x:c>
    </x:row>
    <x:row r="26">
      <x:c r="A26" t="s">
        <x:v>103</x:v>
      </x:c>
      <x:c r="B26" t="s">
        <x:v>284</x:v>
      </x:c>
      <x:c r="C26" t="s">
        <x:v>294</x:v>
      </x:c>
      <x:c r="D26" t="s">
        <x:v>295</x:v>
      </x:c>
      <x:c r="E26" t="s">
        <x:v>100</x:v>
      </x:c>
      <x:c r="F26">
        <x:v>10</x:v>
      </x:c>
      <x:c r="G26">
        <x:v>12</x:v>
      </x:c>
      <x:c r="H26">
        <x:v>13</x:v>
      </x:c>
      <x:c r="I26">
        <x:v>2</x:v>
      </x:c>
      <x:c r="J26">
        <x:v>46279</x:v>
      </x:c>
      <x:c r="K26">
        <x:v>46292</x:v>
      </x:c>
      <x:c r="L26" t="s">
        <x:v>142</x:v>
      </x:c>
      <x:c r="M26">
        <x:v>0</x:v>
      </x:c>
      <x:c r="P26">
        <x:v>10</x:v>
      </x:c>
    </x:row>
    <x:row r="27">
      <x:c r="A27" t="s">
        <x:v>296</x:v>
      </x:c>
      <x:c r="B27" t="s">
        <x:v>284</x:v>
      </x:c>
      <x:c r="C27" t="s">
        <x:v>297</x:v>
      </x:c>
      <x:c r="D27" t="s">
        <x:v>298</x:v>
      </x:c>
      <x:c r="E27" t="s">
        <x:v>100</x:v>
      </x:c>
      <x:c r="F27">
        <x:v>10</x:v>
      </x:c>
      <x:c r="G27">
        <x:v>13</x:v>
      </x:c>
      <x:c r="H27">
        <x:v>14</x:v>
      </x:c>
      <x:c r="I27">
        <x:v>2</x:v>
      </x:c>
      <x:c r="J27">
        <x:v>46286</x:v>
      </x:c>
      <x:c r="K27">
        <x:v>46299</x:v>
      </x:c>
      <x:c r="L27" t="s">
        <x:v>142</x:v>
      </x:c>
      <x:c r="M27">
        <x:v>0</x:v>
      </x:c>
      <x:c r="P27">
        <x:v>10</x:v>
      </x:c>
    </x:row>
    <x:row r="28">
      <x:c r="A28" t="s">
        <x:v>299</x:v>
      </x:c>
      <x:c r="B28" t="s">
        <x:v>284</x:v>
      </x:c>
      <x:c r="C28" t="s">
        <x:v>300</x:v>
      </x:c>
      <x:c r="D28" t="s">
        <x:v>301</x:v>
      </x:c>
      <x:c r="E28" t="s">
        <x:v>103</x:v>
      </x:c>
      <x:c r="F28">
        <x:v>8</x:v>
      </x:c>
      <x:c r="G28">
        <x:v>14</x:v>
      </x:c>
      <x:c r="H28">
        <x:v>15</x:v>
      </x:c>
      <x:c r="I28">
        <x:v>2</x:v>
      </x:c>
      <x:c r="J28">
        <x:v>46293</x:v>
      </x:c>
      <x:c r="K28">
        <x:v>46306</x:v>
      </x:c>
      <x:c r="L28" t="s">
        <x:v>142</x:v>
      </x:c>
      <x:c r="M28">
        <x:v>0</x:v>
      </x:c>
      <x:c r="P28">
        <x:v>8</x:v>
      </x:c>
    </x:row>
    <x:row r="29">
      <x:c r="A29" t="s">
        <x:v>302</x:v>
      </x:c>
      <x:c r="B29" t="s">
        <x:v>284</x:v>
      </x:c>
      <x:c r="C29" t="s">
        <x:v>303</x:v>
      </x:c>
      <x:c r="D29" t="s">
        <x:v>304</x:v>
      </x:c>
      <x:c r="E29" t="s">
        <x:v>296</x:v>
      </x:c>
      <x:c r="F29">
        <x:v>4</x:v>
      </x:c>
      <x:c r="G29">
        <x:v>15</x:v>
      </x:c>
      <x:c r="H29">
        <x:v>15</x:v>
      </x:c>
      <x:c r="I29">
        <x:v>1</x:v>
      </x:c>
      <x:c r="J29">
        <x:v>46300</x:v>
      </x:c>
      <x:c r="K29">
        <x:v>46306</x:v>
      </x:c>
      <x:c r="L29" t="s">
        <x:v>142</x:v>
      </x:c>
      <x:c r="M29">
        <x:v>0</x:v>
      </x:c>
      <x:c r="P29">
        <x:v>4</x:v>
      </x:c>
    </x:row>
    <x:row r="30">
      <x:c r="A30" t="s">
        <x:v>305</x:v>
      </x:c>
      <x:c r="B30" t="s">
        <x:v>284</x:v>
      </x:c>
      <x:c r="C30" t="s">
        <x:v>306</x:v>
      </x:c>
      <x:c r="D30" t="s">
        <x:v>307</x:v>
      </x:c>
      <x:c r="E30" t="s">
        <x:v>299</x:v>
      </x:c>
      <x:c r="F30">
        <x:v>4</x:v>
      </x:c>
      <x:c r="G30">
        <x:v>16</x:v>
      </x:c>
      <x:c r="H30">
        <x:v>16</x:v>
      </x:c>
      <x:c r="I30">
        <x:v>1</x:v>
      </x:c>
      <x:c r="J30">
        <x:v>46307</x:v>
      </x:c>
      <x:c r="K30">
        <x:v>46313</x:v>
      </x:c>
      <x:c r="L30" t="s">
        <x:v>142</x:v>
      </x:c>
      <x:c r="M30">
        <x:v>0</x:v>
      </x:c>
      <x:c r="P30">
        <x:v>4</x:v>
      </x:c>
    </x:row>
    <x:row r="31">
      <x:c r="A31" t="s">
        <x:v>107</x:v>
      </x:c>
      <x:c r="B31" t="s">
        <x:v>308</x:v>
      </x:c>
      <x:c r="C31" t="s">
        <x:v>309</x:v>
      </x:c>
      <x:c r="D31" t="s">
        <x:v>310</x:v>
      </x:c>
      <x:c r="E31" t="s">
        <x:v>305</x:v>
      </x:c>
      <x:c r="F31">
        <x:v>18</x:v>
      </x:c>
      <x:c r="G31">
        <x:v>17</x:v>
      </x:c>
      <x:c r="H31">
        <x:v>18</x:v>
      </x:c>
      <x:c r="I31">
        <x:v>2</x:v>
      </x:c>
      <x:c r="J31">
        <x:v>46314</x:v>
      </x:c>
      <x:c r="K31">
        <x:v>46327</x:v>
      </x:c>
      <x:c r="L31" t="s">
        <x:v>142</x:v>
      </x:c>
      <x:c r="M31">
        <x:v>0</x:v>
      </x:c>
      <x:c r="P31">
        <x:v>18</x:v>
      </x:c>
    </x:row>
    <x:row r="32">
      <x:c r="A32" t="s">
        <x:v>110</x:v>
      </x:c>
      <x:c r="B32" t="s">
        <x:v>308</x:v>
      </x:c>
      <x:c r="C32" t="s">
        <x:v>311</x:v>
      </x:c>
      <x:c r="D32" t="s">
        <x:v>312</x:v>
      </x:c>
      <x:c r="E32" t="s">
        <x:v>107</x:v>
      </x:c>
      <x:c r="F32">
        <x:v>12</x:v>
      </x:c>
      <x:c r="G32">
        <x:v>18</x:v>
      </x:c>
      <x:c r="H32">
        <x:v>19</x:v>
      </x:c>
      <x:c r="I32">
        <x:v>2</x:v>
      </x:c>
      <x:c r="J32">
        <x:v>46321</x:v>
      </x:c>
      <x:c r="K32">
        <x:v>46334</x:v>
      </x:c>
      <x:c r="L32" t="s">
        <x:v>142</x:v>
      </x:c>
      <x:c r="M32">
        <x:v>0</x:v>
      </x:c>
      <x:c r="P32">
        <x:v>12</x:v>
      </x:c>
    </x:row>
    <x:row r="33">
      <x:c r="A33" t="s">
        <x:v>114</x:v>
      </x:c>
      <x:c r="B33" t="s">
        <x:v>308</x:v>
      </x:c>
      <x:c r="C33" t="s">
        <x:v>313</x:v>
      </x:c>
      <x:c r="D33" t="s">
        <x:v>314</x:v>
      </x:c>
      <x:c r="E33" t="s">
        <x:v>110</x:v>
      </x:c>
      <x:c r="F33">
        <x:v>12</x:v>
      </x:c>
      <x:c r="G33">
        <x:v>19</x:v>
      </x:c>
      <x:c r="H33">
        <x:v>20</x:v>
      </x:c>
      <x:c r="I33">
        <x:v>2</x:v>
      </x:c>
      <x:c r="J33">
        <x:v>46328</x:v>
      </x:c>
      <x:c r="K33">
        <x:v>46341</x:v>
      </x:c>
      <x:c r="L33" t="s">
        <x:v>142</x:v>
      </x:c>
      <x:c r="M33">
        <x:v>0</x:v>
      </x:c>
      <x:c r="P33">
        <x:v>12</x:v>
      </x:c>
    </x:row>
    <x:row r="34">
      <x:c r="A34" t="s">
        <x:v>117</x:v>
      </x:c>
      <x:c r="B34" t="s">
        <x:v>308</x:v>
      </x:c>
      <x:c r="C34" t="s">
        <x:v>315</x:v>
      </x:c>
      <x:c r="D34" t="s">
        <x:v>316</x:v>
      </x:c>
      <x:c r="E34" t="s">
        <x:v>114</x:v>
      </x:c>
      <x:c r="F34">
        <x:v>8</x:v>
      </x:c>
      <x:c r="G34">
        <x:v>20</x:v>
      </x:c>
      <x:c r="H34">
        <x:v>20</x:v>
      </x:c>
      <x:c r="I34">
        <x:v>1</x:v>
      </x:c>
      <x:c r="J34">
        <x:v>46335</x:v>
      </x:c>
      <x:c r="K34">
        <x:v>46341</x:v>
      </x:c>
      <x:c r="L34" t="s">
        <x:v>142</x:v>
      </x:c>
      <x:c r="M34">
        <x:v>0</x:v>
      </x:c>
      <x:c r="P34">
        <x:v>8</x:v>
      </x:c>
    </x:row>
    <x:row r="35">
      <x:c r="A35" t="s">
        <x:v>317</x:v>
      </x:c>
      <x:c r="B35" t="s">
        <x:v>308</x:v>
      </x:c>
      <x:c r="C35" t="s">
        <x:v>318</x:v>
      </x:c>
      <x:c r="D35" t="s">
        <x:v>319</x:v>
      </x:c>
      <x:c r="E35" t="s">
        <x:v>117</x:v>
      </x:c>
      <x:c r="F35">
        <x:v>10</x:v>
      </x:c>
      <x:c r="G35">
        <x:v>21</x:v>
      </x:c>
      <x:c r="H35">
        <x:v>21</x:v>
      </x:c>
      <x:c r="I35">
        <x:v>1</x:v>
      </x:c>
      <x:c r="J35">
        <x:v>46342</x:v>
      </x:c>
      <x:c r="K35">
        <x:v>46348</x:v>
      </x:c>
      <x:c r="L35" t="s">
        <x:v>142</x:v>
      </x:c>
      <x:c r="M35">
        <x:v>0</x:v>
      </x:c>
      <x:c r="P35">
        <x:v>10</x:v>
      </x:c>
    </x:row>
    <x:row r="36">
      <x:c r="A36" t="s">
        <x:v>320</x:v>
      </x:c>
      <x:c r="B36" t="s">
        <x:v>308</x:v>
      </x:c>
      <x:c r="C36" t="s">
        <x:v>321</x:v>
      </x:c>
      <x:c r="D36" t="s">
        <x:v>322</x:v>
      </x:c>
      <x:c r="E36" t="s">
        <x:v>317</x:v>
      </x:c>
      <x:c r="F36">
        <x:v>10</x:v>
      </x:c>
      <x:c r="G36">
        <x:v>21</x:v>
      </x:c>
      <x:c r="H36">
        <x:v>22</x:v>
      </x:c>
      <x:c r="I36">
        <x:v>2</x:v>
      </x:c>
      <x:c r="J36">
        <x:v>46342</x:v>
      </x:c>
      <x:c r="K36">
        <x:v>46355</x:v>
      </x:c>
      <x:c r="L36" t="s">
        <x:v>142</x:v>
      </x:c>
      <x:c r="M36">
        <x:v>0</x:v>
      </x:c>
      <x:c r="P36">
        <x:v>10</x:v>
      </x:c>
    </x:row>
    <x:row r="37">
      <x:c r="A37" t="s">
        <x:v>323</x:v>
      </x:c>
      <x:c r="B37" t="s">
        <x:v>308</x:v>
      </x:c>
      <x:c r="C37" t="s">
        <x:v>324</x:v>
      </x:c>
      <x:c r="D37" t="s">
        <x:v>325</x:v>
      </x:c>
      <x:c r="E37" t="s">
        <x:v>320</x:v>
      </x:c>
      <x:c r="F37">
        <x:v>10</x:v>
      </x:c>
      <x:c r="G37">
        <x:v>22</x:v>
      </x:c>
      <x:c r="H37">
        <x:v>23</x:v>
      </x:c>
      <x:c r="I37">
        <x:v>2</x:v>
      </x:c>
      <x:c r="J37">
        <x:v>46349</x:v>
      </x:c>
      <x:c r="K37">
        <x:v>46362</x:v>
      </x:c>
      <x:c r="L37" t="s">
        <x:v>142</x:v>
      </x:c>
      <x:c r="M37">
        <x:v>0</x:v>
      </x:c>
      <x:c r="P37">
        <x:v>10</x:v>
      </x:c>
    </x:row>
    <x:row r="38">
      <x:c r="A38" t="s">
        <x:v>326</x:v>
      </x:c>
      <x:c r="B38" t="s">
        <x:v>308</x:v>
      </x:c>
      <x:c r="C38" t="s">
        <x:v>327</x:v>
      </x:c>
      <x:c r="D38" t="s">
        <x:v>328</x:v>
      </x:c>
      <x:c r="E38" t="s">
        <x:v>323</x:v>
      </x:c>
      <x:c r="F38">
        <x:v>8</x:v>
      </x:c>
      <x:c r="G38">
        <x:v>24</x:v>
      </x:c>
      <x:c r="H38">
        <x:v>24</x:v>
      </x:c>
      <x:c r="I38">
        <x:v>1</x:v>
      </x:c>
      <x:c r="J38">
        <x:v>46363</x:v>
      </x:c>
      <x:c r="K38">
        <x:v>46369</x:v>
      </x:c>
      <x:c r="L38" t="s">
        <x:v>142</x:v>
      </x:c>
      <x:c r="M38">
        <x:v>0</x:v>
      </x:c>
      <x:c r="P38">
        <x:v>8</x:v>
      </x:c>
    </x:row>
    <x:row r="39">
      <x:c r="A39" t="s">
        <x:v>121</x:v>
      </x:c>
      <x:c r="B39" t="s">
        <x:v>329</x:v>
      </x:c>
      <x:c r="C39" t="s">
        <x:v>330</x:v>
      </x:c>
      <x:c r="D39" t="s">
        <x:v>331</x:v>
      </x:c>
      <x:c r="E39" t="s">
        <x:v>326</x:v>
      </x:c>
      <x:c r="F39">
        <x:v>8</x:v>
      </x:c>
      <x:c r="G39">
        <x:v>25</x:v>
      </x:c>
      <x:c r="H39">
        <x:v>25</x:v>
      </x:c>
      <x:c r="I39">
        <x:v>1</x:v>
      </x:c>
      <x:c r="J39">
        <x:v>46370</x:v>
      </x:c>
      <x:c r="K39">
        <x:v>46376</x:v>
      </x:c>
      <x:c r="L39" t="s">
        <x:v>142</x:v>
      </x:c>
      <x:c r="M39">
        <x:v>0</x:v>
      </x:c>
      <x:c r="P39">
        <x:v>8</x:v>
      </x:c>
    </x:row>
    <x:row r="40">
      <x:c r="A40" t="s">
        <x:v>124</x:v>
      </x:c>
      <x:c r="B40" t="s">
        <x:v>329</x:v>
      </x:c>
      <x:c r="C40" t="s">
        <x:v>332</x:v>
      </x:c>
      <x:c r="D40" t="s">
        <x:v>333</x:v>
      </x:c>
      <x:c r="E40" t="s">
        <x:v>121</x:v>
      </x:c>
      <x:c r="F40">
        <x:v>10</x:v>
      </x:c>
      <x:c r="G40">
        <x:v>25</x:v>
      </x:c>
      <x:c r="H40">
        <x:v>26</x:v>
      </x:c>
      <x:c r="I40">
        <x:v>2</x:v>
      </x:c>
      <x:c r="J40">
        <x:v>46370</x:v>
      </x:c>
      <x:c r="K40">
        <x:v>46383</x:v>
      </x:c>
      <x:c r="L40" t="s">
        <x:v>142</x:v>
      </x:c>
      <x:c r="M40">
        <x:v>0</x:v>
      </x:c>
      <x:c r="P40">
        <x:v>10</x:v>
      </x:c>
    </x:row>
    <x:row r="41">
      <x:c r="A41" t="s">
        <x:v>127</x:v>
      </x:c>
      <x:c r="B41" t="s">
        <x:v>329</x:v>
      </x:c>
      <x:c r="C41" t="s">
        <x:v>334</x:v>
      </x:c>
      <x:c r="D41" t="s">
        <x:v>335</x:v>
      </x:c>
      <x:c r="E41" t="s">
        <x:v>124</x:v>
      </x:c>
      <x:c r="F41">
        <x:v>18</x:v>
      </x:c>
      <x:c r="G41">
        <x:v>26</x:v>
      </x:c>
      <x:c r="H41">
        <x:v>28</x:v>
      </x:c>
      <x:c r="I41">
        <x:v>3</x:v>
      </x:c>
      <x:c r="J41">
        <x:v>46377</x:v>
      </x:c>
      <x:c r="K41">
        <x:v>46397</x:v>
      </x:c>
      <x:c r="L41" t="s">
        <x:v>142</x:v>
      </x:c>
      <x:c r="M41">
        <x:v>0</x:v>
      </x:c>
      <x:c r="P41">
        <x:v>18</x:v>
      </x:c>
    </x:row>
    <x:row r="42">
      <x:c r="A42" t="s">
        <x:v>336</x:v>
      </x:c>
      <x:c r="B42" t="s">
        <x:v>329</x:v>
      </x:c>
      <x:c r="C42" t="s">
        <x:v>337</x:v>
      </x:c>
      <x:c r="D42" t="s">
        <x:v>338</x:v>
      </x:c>
      <x:c r="E42" t="s">
        <x:v>127</x:v>
      </x:c>
      <x:c r="F42">
        <x:v>14</x:v>
      </x:c>
      <x:c r="G42">
        <x:v>28</x:v>
      </x:c>
      <x:c r="H42">
        <x:v>29</x:v>
      </x:c>
      <x:c r="I42">
        <x:v>2</x:v>
      </x:c>
      <x:c r="J42">
        <x:v>46391</x:v>
      </x:c>
      <x:c r="K42">
        <x:v>46404</x:v>
      </x:c>
      <x:c r="L42" t="s">
        <x:v>142</x:v>
      </x:c>
      <x:c r="M42">
        <x:v>0</x:v>
      </x:c>
      <x:c r="P42">
        <x:v>14</x:v>
      </x:c>
    </x:row>
    <x:row r="43">
      <x:c r="A43" t="s">
        <x:v>339</x:v>
      </x:c>
      <x:c r="B43" t="s">
        <x:v>329</x:v>
      </x:c>
      <x:c r="C43" t="s">
        <x:v>340</x:v>
      </x:c>
      <x:c r="D43" t="s">
        <x:v>341</x:v>
      </x:c>
      <x:c r="E43" t="s">
        <x:v>127</x:v>
      </x:c>
      <x:c r="F43">
        <x:v>14</x:v>
      </x:c>
      <x:c r="G43">
        <x:v>29</x:v>
      </x:c>
      <x:c r="H43">
        <x:v>30</x:v>
      </x:c>
      <x:c r="I43">
        <x:v>2</x:v>
      </x:c>
      <x:c r="J43">
        <x:v>46398</x:v>
      </x:c>
      <x:c r="K43">
        <x:v>46411</x:v>
      </x:c>
      <x:c r="L43" t="s">
        <x:v>142</x:v>
      </x:c>
      <x:c r="M43">
        <x:v>0</x:v>
      </x:c>
      <x:c r="P43">
        <x:v>14</x:v>
      </x:c>
    </x:row>
    <x:row r="44">
      <x:c r="A44" t="s">
        <x:v>342</x:v>
      </x:c>
      <x:c r="B44" t="s">
        <x:v>329</x:v>
      </x:c>
      <x:c r="C44" t="s">
        <x:v>343</x:v>
      </x:c>
      <x:c r="D44" t="s">
        <x:v>344</x:v>
      </x:c>
      <x:c r="E44" t="s">
        <x:v>336</x:v>
      </x:c>
      <x:c r="F44">
        <x:v>20</x:v>
      </x:c>
      <x:c r="G44">
        <x:v>30</x:v>
      </x:c>
      <x:c r="H44">
        <x:v>31</x:v>
      </x:c>
      <x:c r="I44">
        <x:v>2</x:v>
      </x:c>
      <x:c r="J44">
        <x:v>46405</x:v>
      </x:c>
      <x:c r="K44">
        <x:v>46418</x:v>
      </x:c>
      <x:c r="L44" t="s">
        <x:v>142</x:v>
      </x:c>
      <x:c r="M44">
        <x:v>0</x:v>
      </x:c>
      <x:c r="P44">
        <x:v>20</x:v>
      </x:c>
    </x:row>
    <x:row r="45">
      <x:c r="A45" t="s">
        <x:v>345</x:v>
      </x:c>
      <x:c r="B45" t="s">
        <x:v>329</x:v>
      </x:c>
      <x:c r="C45" t="s">
        <x:v>346</x:v>
      </x:c>
      <x:c r="D45" t="s">
        <x:v>347</x:v>
      </x:c>
      <x:c r="E45" t="s">
        <x:v>342</x:v>
      </x:c>
      <x:c r="F45">
        <x:v>12</x:v>
      </x:c>
      <x:c r="G45">
        <x:v>32</x:v>
      </x:c>
      <x:c r="H45">
        <x:v>32</x:v>
      </x:c>
      <x:c r="I45">
        <x:v>1</x:v>
      </x:c>
      <x:c r="J45">
        <x:v>46419</x:v>
      </x:c>
      <x:c r="K45">
        <x:v>46425</x:v>
      </x:c>
      <x:c r="L45" t="s">
        <x:v>142</x:v>
      </x:c>
      <x:c r="M45">
        <x:v>0</x:v>
      </x:c>
      <x:c r="P45">
        <x:v>12</x:v>
      </x:c>
    </x:row>
    <x:row r="46">
      <x:c r="A46" t="s">
        <x:v>131</x:v>
      </x:c>
      <x:c r="B46" t="s">
        <x:v>348</x:v>
      </x:c>
      <x:c r="C46" t="s">
        <x:v>349</x:v>
      </x:c>
      <x:c r="D46" t="s">
        <x:v>350</x:v>
      </x:c>
      <x:c r="E46" t="s">
        <x:v>345</x:v>
      </x:c>
      <x:c r="F46">
        <x:v>10</x:v>
      </x:c>
      <x:c r="G46">
        <x:v>33</x:v>
      </x:c>
      <x:c r="H46">
        <x:v>33</x:v>
      </x:c>
      <x:c r="I46">
        <x:v>1</x:v>
      </x:c>
      <x:c r="J46">
        <x:v>46426</x:v>
      </x:c>
      <x:c r="K46">
        <x:v>46432</x:v>
      </x:c>
      <x:c r="L46" t="s">
        <x:v>142</x:v>
      </x:c>
      <x:c r="M46">
        <x:v>0</x:v>
      </x:c>
      <x:c r="P46">
        <x:v>10</x:v>
      </x:c>
    </x:row>
    <x:row r="47">
      <x:c r="A47" t="s">
        <x:v>135</x:v>
      </x:c>
      <x:c r="B47" t="s">
        <x:v>348</x:v>
      </x:c>
      <x:c r="C47" t="s">
        <x:v>351</x:v>
      </x:c>
      <x:c r="D47" t="s">
        <x:v>352</x:v>
      </x:c>
      <x:c r="E47" t="s">
        <x:v>131</x:v>
      </x:c>
      <x:c r="F47">
        <x:v>16</x:v>
      </x:c>
      <x:c r="G47">
        <x:v>34</x:v>
      </x:c>
      <x:c r="H47">
        <x:v>35</x:v>
      </x:c>
      <x:c r="I47">
        <x:v>2</x:v>
      </x:c>
      <x:c r="J47">
        <x:v>46433</x:v>
      </x:c>
      <x:c r="K47">
        <x:v>46446</x:v>
      </x:c>
      <x:c r="L47" t="s">
        <x:v>142</x:v>
      </x:c>
      <x:c r="M47">
        <x:v>0</x:v>
      </x:c>
      <x:c r="P47">
        <x:v>16</x:v>
      </x:c>
    </x:row>
    <x:row r="48">
      <x:c r="A48" t="s">
        <x:v>138</x:v>
      </x:c>
      <x:c r="B48" t="s">
        <x:v>348</x:v>
      </x:c>
      <x:c r="C48" t="s">
        <x:v>353</x:v>
      </x:c>
      <x:c r="D48" t="s">
        <x:v>354</x:v>
      </x:c>
      <x:c r="E48" t="s">
        <x:v>135</x:v>
      </x:c>
      <x:c r="F48">
        <x:v>12</x:v>
      </x:c>
      <x:c r="G48">
        <x:v>35</x:v>
      </x:c>
      <x:c r="H48">
        <x:v>36</x:v>
      </x:c>
      <x:c r="I48">
        <x:v>2</x:v>
      </x:c>
      <x:c r="J48">
        <x:v>46440</x:v>
      </x:c>
      <x:c r="K48">
        <x:v>46453</x:v>
      </x:c>
      <x:c r="L48" t="s">
        <x:v>142</x:v>
      </x:c>
      <x:c r="M48">
        <x:v>0</x:v>
      </x:c>
      <x:c r="P48">
        <x:v>12</x:v>
      </x:c>
    </x:row>
    <x:row r="49">
      <x:c r="A49" t="s">
        <x:v>355</x:v>
      </x:c>
      <x:c r="B49" t="s">
        <x:v>348</x:v>
      </x:c>
      <x:c r="C49" t="s">
        <x:v>356</x:v>
      </x:c>
      <x:c r="D49" t="s">
        <x:v>357</x:v>
      </x:c>
      <x:c r="E49" t="s">
        <x:v>138</x:v>
      </x:c>
      <x:c r="F49">
        <x:v>10</x:v>
      </x:c>
      <x:c r="G49">
        <x:v>36</x:v>
      </x:c>
      <x:c r="H49">
        <x:v>36</x:v>
      </x:c>
      <x:c r="I49">
        <x:v>1</x:v>
      </x:c>
      <x:c r="J49">
        <x:v>46447</x:v>
      </x:c>
      <x:c r="K49">
        <x:v>46453</x:v>
      </x:c>
      <x:c r="L49" t="s">
        <x:v>142</x:v>
      </x:c>
      <x:c r="M49">
        <x:v>0</x:v>
      </x:c>
      <x:c r="P49">
        <x:v>10</x:v>
      </x:c>
    </x:row>
    <x:row r="50">
      <x:c r="A50" t="s">
        <x:v>358</x:v>
      </x:c>
      <x:c r="B50" t="s">
        <x:v>348</x:v>
      </x:c>
      <x:c r="C50" t="s">
        <x:v>359</x:v>
      </x:c>
      <x:c r="D50" t="s">
        <x:v>360</x:v>
      </x:c>
      <x:c r="E50" t="s">
        <x:v>355</x:v>
      </x:c>
      <x:c r="F50">
        <x:v>16</x:v>
      </x:c>
      <x:c r="G50">
        <x:v>37</x:v>
      </x:c>
      <x:c r="H50">
        <x:v>38</x:v>
      </x:c>
      <x:c r="I50">
        <x:v>2</x:v>
      </x:c>
      <x:c r="J50">
        <x:v>46454</x:v>
      </x:c>
      <x:c r="K50">
        <x:v>46467</x:v>
      </x:c>
      <x:c r="L50" t="s">
        <x:v>142</x:v>
      </x:c>
      <x:c r="M50">
        <x:v>0</x:v>
      </x:c>
      <x:c r="P50">
        <x:v>16</x:v>
      </x:c>
    </x:row>
    <x:row r="51">
      <x:c r="A51" t="s">
        <x:v>361</x:v>
      </x:c>
      <x:c r="B51" t="s">
        <x:v>348</x:v>
      </x:c>
      <x:c r="C51" t="s">
        <x:v>362</x:v>
      </x:c>
      <x:c r="D51" t="s">
        <x:v>363</x:v>
      </x:c>
      <x:c r="E51" t="s">
        <x:v>358</x:v>
      </x:c>
      <x:c r="F51">
        <x:v>14</x:v>
      </x:c>
      <x:c r="G51">
        <x:v>38</x:v>
      </x:c>
      <x:c r="H51">
        <x:v>39</x:v>
      </x:c>
      <x:c r="I51">
        <x:v>2</x:v>
      </x:c>
      <x:c r="J51">
        <x:v>46461</x:v>
      </x:c>
      <x:c r="K51">
        <x:v>46474</x:v>
      </x:c>
      <x:c r="L51" t="s">
        <x:v>142</x:v>
      </x:c>
      <x:c r="M51">
        <x:v>0</x:v>
      </x:c>
      <x:c r="P51">
        <x:v>14</x:v>
      </x:c>
    </x:row>
    <x:row r="52">
      <x:c r="A52" t="s">
        <x:v>364</x:v>
      </x:c>
      <x:c r="B52" t="s">
        <x:v>348</x:v>
      </x:c>
      <x:c r="C52" t="s">
        <x:v>365</x:v>
      </x:c>
      <x:c r="D52" t="s">
        <x:v>366</x:v>
      </x:c>
      <x:c r="E52" t="s">
        <x:v>361</x:v>
      </x:c>
      <x:c r="F52">
        <x:v>16</x:v>
      </x:c>
      <x:c r="G52">
        <x:v>40</x:v>
      </x:c>
      <x:c r="H52">
        <x:v>41</x:v>
      </x:c>
      <x:c r="I52">
        <x:v>2</x:v>
      </x:c>
      <x:c r="J52">
        <x:v>46475</x:v>
      </x:c>
      <x:c r="K52">
        <x:v>46488</x:v>
      </x:c>
      <x:c r="L52" t="s">
        <x:v>142</x:v>
      </x:c>
      <x:c r="M52">
        <x:v>0</x:v>
      </x:c>
      <x:c r="P52">
        <x:v>16</x:v>
      </x:c>
    </x:row>
    <x:row r="53">
      <x:c r="A53" t="s">
        <x:v>367</x:v>
      </x:c>
      <x:c r="B53" t="s">
        <x:v>348</x:v>
      </x:c>
      <x:c r="C53" t="s">
        <x:v>368</x:v>
      </x:c>
      <x:c r="D53" t="s">
        <x:v>369</x:v>
      </x:c>
      <x:c r="E53" t="s">
        <x:v>364</x:v>
      </x:c>
      <x:c r="F53">
        <x:v>10</x:v>
      </x:c>
      <x:c r="G53">
        <x:v>42</x:v>
      </x:c>
      <x:c r="H53">
        <x:v>42</x:v>
      </x:c>
      <x:c r="I53">
        <x:v>1</x:v>
      </x:c>
      <x:c r="J53">
        <x:v>46489</x:v>
      </x:c>
      <x:c r="K53">
        <x:v>46495</x:v>
      </x:c>
      <x:c r="L53" t="s">
        <x:v>142</x:v>
      </x:c>
      <x:c r="M53">
        <x:v>0</x:v>
      </x:c>
      <x:c r="P53">
        <x:v>10</x:v>
      </x:c>
    </x:row>
    <x:row r="54">
      <x:c r="A54" t="s">
        <x:v>370</x:v>
      </x:c>
      <x:c r="B54" t="s">
        <x:v>371</x:v>
      </x:c>
      <x:c r="C54" t="s">
        <x:v>372</x:v>
      </x:c>
      <x:c r="D54" t="s">
        <x:v>373</x:v>
      </x:c>
      <x:c r="E54" t="s">
        <x:v>367</x:v>
      </x:c>
      <x:c r="F54">
        <x:v>6</x:v>
      </x:c>
      <x:c r="G54">
        <x:v>43</x:v>
      </x:c>
      <x:c r="H54">
        <x:v>43</x:v>
      </x:c>
      <x:c r="I54">
        <x:v>1</x:v>
      </x:c>
      <x:c r="J54">
        <x:v>46496</x:v>
      </x:c>
      <x:c r="K54">
        <x:v>46502</x:v>
      </x:c>
      <x:c r="L54" t="s">
        <x:v>142</x:v>
      </x:c>
      <x:c r="M54">
        <x:v>0</x:v>
      </x:c>
      <x:c r="P54">
        <x:v>6</x:v>
      </x:c>
    </x:row>
    <x:row r="55">
      <x:c r="A55" t="s">
        <x:v>374</x:v>
      </x:c>
      <x:c r="B55" t="s">
        <x:v>371</x:v>
      </x:c>
      <x:c r="C55" t="s">
        <x:v>375</x:v>
      </x:c>
      <x:c r="D55" t="s">
        <x:v>376</x:v>
      </x:c>
      <x:c r="E55" t="s">
        <x:v>370</x:v>
      </x:c>
      <x:c r="F55">
        <x:v>10</x:v>
      </x:c>
      <x:c r="G55">
        <x:v>43</x:v>
      </x:c>
      <x:c r="H55">
        <x:v>44</x:v>
      </x:c>
      <x:c r="I55">
        <x:v>2</x:v>
      </x:c>
      <x:c r="J55">
        <x:v>46496</x:v>
      </x:c>
      <x:c r="K55">
        <x:v>46509</x:v>
      </x:c>
      <x:c r="L55" t="s">
        <x:v>142</x:v>
      </x:c>
      <x:c r="M55">
        <x:v>0</x:v>
      </x:c>
      <x:c r="P55">
        <x:v>10</x:v>
      </x:c>
    </x:row>
    <x:row r="56">
      <x:c r="A56" t="s">
        <x:v>377</x:v>
      </x:c>
      <x:c r="B56" t="s">
        <x:v>371</x:v>
      </x:c>
      <x:c r="C56" t="s">
        <x:v>378</x:v>
      </x:c>
      <x:c r="D56" t="s">
        <x:v>379</x:v>
      </x:c>
      <x:c r="E56" t="s">
        <x:v>374</x:v>
      </x:c>
      <x:c r="F56">
        <x:v>14</x:v>
      </x:c>
      <x:c r="G56">
        <x:v>44</x:v>
      </x:c>
      <x:c r="H56">
        <x:v>45</x:v>
      </x:c>
      <x:c r="I56">
        <x:v>2</x:v>
      </x:c>
      <x:c r="J56">
        <x:v>46503</x:v>
      </x:c>
      <x:c r="K56">
        <x:v>46516</x:v>
      </x:c>
      <x:c r="L56" t="s">
        <x:v>142</x:v>
      </x:c>
      <x:c r="M56">
        <x:v>0</x:v>
      </x:c>
      <x:c r="P56">
        <x:v>14</x:v>
      </x:c>
    </x:row>
    <x:row r="57">
      <x:c r="A57" t="s">
        <x:v>380</x:v>
      </x:c>
      <x:c r="B57" t="s">
        <x:v>371</x:v>
      </x:c>
      <x:c r="C57" t="s">
        <x:v>381</x:v>
      </x:c>
      <x:c r="D57" t="s">
        <x:v>382</x:v>
      </x:c>
      <x:c r="E57" t="s">
        <x:v>377</x:v>
      </x:c>
      <x:c r="F57">
        <x:v>8</x:v>
      </x:c>
      <x:c r="G57">
        <x:v>45</x:v>
      </x:c>
      <x:c r="H57">
        <x:v>46</x:v>
      </x:c>
      <x:c r="I57">
        <x:v>2</x:v>
      </x:c>
      <x:c r="J57">
        <x:v>46510</x:v>
      </x:c>
      <x:c r="K57">
        <x:v>46523</x:v>
      </x:c>
      <x:c r="L57" t="s">
        <x:v>142</x:v>
      </x:c>
      <x:c r="M57">
        <x:v>0</x:v>
      </x:c>
      <x:c r="P57">
        <x:v>8</x:v>
      </x:c>
    </x:row>
    <x:row r="58">
      <x:c r="A58" t="s">
        <x:v>383</x:v>
      </x:c>
      <x:c r="B58" t="s">
        <x:v>371</x:v>
      </x:c>
      <x:c r="C58" t="s">
        <x:v>384</x:v>
      </x:c>
      <x:c r="D58" t="s">
        <x:v>385</x:v>
      </x:c>
      <x:c r="E58" t="s">
        <x:v>380</x:v>
      </x:c>
      <x:c r="F58">
        <x:v>10</x:v>
      </x:c>
      <x:c r="G58">
        <x:v>46</x:v>
      </x:c>
      <x:c r="H58">
        <x:v>47</x:v>
      </x:c>
      <x:c r="I58">
        <x:v>2</x:v>
      </x:c>
      <x:c r="J58">
        <x:v>46517</x:v>
      </x:c>
      <x:c r="K58">
        <x:v>46530</x:v>
      </x:c>
      <x:c r="L58" t="s">
        <x:v>142</x:v>
      </x:c>
      <x:c r="M58">
        <x:v>0</x:v>
      </x:c>
      <x:c r="P58">
        <x:v>10</x:v>
      </x:c>
    </x:row>
    <x:row r="59">
      <x:c r="A59" t="s">
        <x:v>386</x:v>
      </x:c>
      <x:c r="B59" t="s">
        <x:v>371</x:v>
      </x:c>
      <x:c r="C59" t="s">
        <x:v>387</x:v>
      </x:c>
      <x:c r="D59" t="s">
        <x:v>388</x:v>
      </x:c>
      <x:c r="E59" t="s">
        <x:v>383</x:v>
      </x:c>
      <x:c r="F59">
        <x:v>4</x:v>
      </x:c>
      <x:c r="G59">
        <x:v>47</x:v>
      </x:c>
      <x:c r="H59">
        <x:v>47</x:v>
      </x:c>
      <x:c r="I59">
        <x:v>1</x:v>
      </x:c>
      <x:c r="J59">
        <x:v>46524</x:v>
      </x:c>
      <x:c r="K59">
        <x:v>46530</x:v>
      </x:c>
      <x:c r="L59" t="s">
        <x:v>142</x:v>
      </x:c>
      <x:c r="M59">
        <x:v>0</x:v>
      </x:c>
      <x:c r="P59">
        <x:v>4</x:v>
      </x:c>
    </x:row>
    <x:row r="60">
      <x:c r="A60" t="s">
        <x:v>389</x:v>
      </x:c>
      <x:c r="B60" t="s">
        <x:v>390</x:v>
      </x:c>
      <x:c r="C60" t="s">
        <x:v>391</x:v>
      </x:c>
      <x:c r="D60" t="s">
        <x:v>392</x:v>
      </x:c>
      <x:c r="E60" t="s">
        <x:v>386</x:v>
      </x:c>
      <x:c r="F60">
        <x:v>12</x:v>
      </x:c>
      <x:c r="G60">
        <x:v>48</x:v>
      </x:c>
      <x:c r="H60">
        <x:v>48</x:v>
      </x:c>
      <x:c r="I60">
        <x:v>1</x:v>
      </x:c>
      <x:c r="J60">
        <x:v>46531</x:v>
      </x:c>
      <x:c r="K60">
        <x:v>46537</x:v>
      </x:c>
      <x:c r="L60" t="s">
        <x:v>142</x:v>
      </x:c>
      <x:c r="M60">
        <x:v>0</x:v>
      </x:c>
      <x:c r="P60">
        <x:v>12</x:v>
      </x:c>
    </x:row>
    <x:row r="61">
      <x:c r="A61" t="s">
        <x:v>393</x:v>
      </x:c>
      <x:c r="B61" t="s">
        <x:v>390</x:v>
      </x:c>
      <x:c r="C61" t="s">
        <x:v>394</x:v>
      </x:c>
      <x:c r="D61" t="s">
        <x:v>395</x:v>
      </x:c>
      <x:c r="E61" t="s">
        <x:v>389</x:v>
      </x:c>
      <x:c r="F61">
        <x:v>10</x:v>
      </x:c>
      <x:c r="G61">
        <x:v>48</x:v>
      </x:c>
      <x:c r="H61">
        <x:v>49</x:v>
      </x:c>
      <x:c r="I61">
        <x:v>2</x:v>
      </x:c>
      <x:c r="J61">
        <x:v>46531</x:v>
      </x:c>
      <x:c r="K61">
        <x:v>46544</x:v>
      </x:c>
      <x:c r="L61" t="s">
        <x:v>142</x:v>
      </x:c>
      <x:c r="M61">
        <x:v>0</x:v>
      </x:c>
      <x:c r="P61">
        <x:v>10</x:v>
      </x:c>
    </x:row>
    <x:row r="62">
      <x:c r="A62" t="s">
        <x:v>396</x:v>
      </x:c>
      <x:c r="B62" t="s">
        <x:v>390</x:v>
      </x:c>
      <x:c r="C62" t="s">
        <x:v>397</x:v>
      </x:c>
      <x:c r="D62" t="s">
        <x:v>398</x:v>
      </x:c>
      <x:c r="E62" t="s">
        <x:v>389</x:v>
      </x:c>
      <x:c r="F62">
        <x:v>10</x:v>
      </x:c>
      <x:c r="G62">
        <x:v>49</x:v>
      </x:c>
      <x:c r="H62">
        <x:v>50</x:v>
      </x:c>
      <x:c r="I62">
        <x:v>2</x:v>
      </x:c>
      <x:c r="J62">
        <x:v>46538</x:v>
      </x:c>
      <x:c r="K62">
        <x:v>46551</x:v>
      </x:c>
      <x:c r="L62" t="s">
        <x:v>142</x:v>
      </x:c>
      <x:c r="M62">
        <x:v>0</x:v>
      </x:c>
      <x:c r="P62">
        <x:v>10</x:v>
      </x:c>
    </x:row>
    <x:row r="63">
      <x:c r="A63" t="s">
        <x:v>399</x:v>
      </x:c>
      <x:c r="B63" t="s">
        <x:v>390</x:v>
      </x:c>
      <x:c r="C63" t="s">
        <x:v>400</x:v>
      </x:c>
      <x:c r="D63" t="s">
        <x:v>401</x:v>
      </x:c>
      <x:c r="E63" t="s">
        <x:v>393</x:v>
      </x:c>
      <x:c r="F63">
        <x:v>10</x:v>
      </x:c>
      <x:c r="G63">
        <x:v>50</x:v>
      </x:c>
      <x:c r="H63">
        <x:v>50</x:v>
      </x:c>
      <x:c r="I63">
        <x:v>1</x:v>
      </x:c>
      <x:c r="J63">
        <x:v>46545</x:v>
      </x:c>
      <x:c r="K63">
        <x:v>46551</x:v>
      </x:c>
      <x:c r="L63" t="s">
        <x:v>142</x:v>
      </x:c>
      <x:c r="M63">
        <x:v>0</x:v>
      </x:c>
      <x:c r="P63">
        <x:v>10</x:v>
      </x:c>
    </x:row>
    <x:row r="64">
      <x:c r="A64" t="s">
        <x:v>402</x:v>
      </x:c>
      <x:c r="B64" t="s">
        <x:v>390</x:v>
      </x:c>
      <x:c r="C64" t="s">
        <x:v>403</x:v>
      </x:c>
      <x:c r="D64" t="s">
        <x:v>404</x:v>
      </x:c>
      <x:c r="E64" t="s">
        <x:v>396</x:v>
      </x:c>
      <x:c r="F64">
        <x:v>8</x:v>
      </x:c>
      <x:c r="G64">
        <x:v>51</x:v>
      </x:c>
      <x:c r="H64">
        <x:v>51</x:v>
      </x:c>
      <x:c r="I64">
        <x:v>1</x:v>
      </x:c>
      <x:c r="J64">
        <x:v>46552</x:v>
      </x:c>
      <x:c r="K64">
        <x:v>46558</x:v>
      </x:c>
      <x:c r="L64" t="s">
        <x:v>142</x:v>
      </x:c>
      <x:c r="M64">
        <x:v>0</x:v>
      </x:c>
      <x:c r="P64">
        <x:v>8</x:v>
      </x:c>
    </x:row>
    <x:row r="65">
      <x:c r="A65" t="s">
        <x:v>405</x:v>
      </x:c>
      <x:c r="B65" t="s">
        <x:v>390</x:v>
      </x:c>
      <x:c r="C65" t="s">
        <x:v>406</x:v>
      </x:c>
      <x:c r="D65" t="s">
        <x:v>407</x:v>
      </x:c>
      <x:c r="E65" t="s">
        <x:v>399</x:v>
      </x:c>
      <x:c r="F65">
        <x:v>6</x:v>
      </x:c>
      <x:c r="G65">
        <x:v>51</x:v>
      </x:c>
      <x:c r="H65">
        <x:v>52</x:v>
      </x:c>
      <x:c r="I65">
        <x:v>2</x:v>
      </x:c>
      <x:c r="J65">
        <x:v>46552</x:v>
      </x:c>
      <x:c r="K65">
        <x:v>46565</x:v>
      </x:c>
      <x:c r="L65" t="s">
        <x:v>142</x:v>
      </x:c>
      <x:c r="M65">
        <x:v>0</x:v>
      </x:c>
      <x:c r="P65">
        <x:v>6</x:v>
      </x:c>
    </x:row>
    <x:row r="66">
      <x:c r="A66" t="s">
        <x:v>408</x:v>
      </x:c>
      <x:c r="B66" t="s">
        <x:v>390</x:v>
      </x:c>
      <x:c r="C66" t="s">
        <x:v>409</x:v>
      </x:c>
      <x:c r="D66" t="s">
        <x:v>410</x:v>
      </x:c>
      <x:c r="E66" t="s">
        <x:v>402</x:v>
      </x:c>
      <x:c r="F66">
        <x:v>4</x:v>
      </x:c>
      <x:c r="G66">
        <x:v>52</x:v>
      </x:c>
      <x:c r="H66">
        <x:v>52</x:v>
      </x:c>
      <x:c r="I66">
        <x:v>1</x:v>
      </x:c>
      <x:c r="J66">
        <x:v>46559</x:v>
      </x:c>
      <x:c r="K66">
        <x:v>46565</x:v>
      </x:c>
      <x:c r="L66" t="s">
        <x:v>142</x:v>
      </x:c>
      <x:c r="M66">
        <x:v>0</x:v>
      </x:c>
      <x:c r="P66">
        <x:v>4</x:v>
      </x:c>
    </x:row>
    <x:row r="69">
      <x:c r="A69" t="s">
        <x:v>411</x:v>
      </x:c>
    </x:row>
    <x:row r="70">
      <x:c r="A70" t="s">
        <x:v>48</x:v>
      </x:c>
      <x:c r="B70" t="s">
        <x:v>1</x:v>
      </x:c>
      <x:c r="C70" t="s">
        <x:v>412</x:v>
      </x:c>
      <x:c r="D70" t="s">
        <x:v>413</x:v>
      </x:c>
      <x:c r="E70" t="s">
        <x:v>5</x:v>
      </x:c>
      <x:c r="F70" t="s">
        <x:v>6</x:v>
      </x:c>
      <x:c r="G70" t="s">
        <x:v>7</x:v>
      </x:c>
      <x:c r="H70" t="s">
        <x:v>8</x:v>
      </x:c>
      <x:c r="I70" t="s">
        <x:v>414</x:v>
      </x:c>
      <x:c r="J70" t="s">
        <x:v>415</x:v>
      </x:c>
      <x:c r="K70" t="s">
        <x:v>416</x:v>
      </x:c>
      <x:c r="L70" t="s">
        <x:v>417</x:v>
      </x:c>
      <x:c r="M70" t="s">
        <x:v>418</x:v>
      </x:c>
      <x:c r="N70" t="s">
        <x:v>419</x:v>
      </x:c>
      <x:c r="O70" t="s">
        <x:v>420</x:v>
      </x:c>
      <x:c r="P70" t="s">
        <x:v>421</x:v>
      </x:c>
      <x:c r="Q70" t="s">
        <x:v>422</x:v>
      </x:c>
      <x:c r="R70" t="s">
        <x:v>423</x:v>
      </x:c>
      <x:c r="S70" t="s">
        <x:v>424</x:v>
      </x:c>
      <x:c r="T70" t="s">
        <x:v>425</x:v>
      </x:c>
    </x:row>
    <x:row r="71">
      <x:c r="A71" t="s">
        <x:v>17</x:v>
      </x:c>
      <x:c r="B71" t="s">
        <x:v>242</x:v>
      </x:c>
      <x:c r="C71">
        <x:v>40</x:v>
      </x:c>
      <x:c r="D71">
        <x:v>6.9444444444444448E-2</x:v>
      </x:c>
      <x:c r="E71">
        <x:v>46202</x:v>
      </x:c>
      <x:c r="F71">
        <x:v>46565</x:v>
      </x:c>
      <x:c r="G71" t="s">
        <x:v>426</x:v>
      </x:c>
      <x:c r="H71" t="s">
        <x:v>427</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267</x:v>
      </x:c>
      <x:c r="C72">
        <x:v>64</x:v>
      </x:c>
      <x:c r="D72">
        <x:v>0.1111111111111111</x:v>
      </x:c>
      <x:c r="E72">
        <x:v>46216</x:v>
      </x:c>
      <x:c r="F72">
        <x:v>46264</x:v>
      </x:c>
      <x:c r="G72" t="s">
        <x:v>428</x:v>
      </x:c>
      <x:c r="H72" t="s">
        <x:v>429</x:v>
      </x:c>
      <x:c r="I72" t="s">
        <x:v>21</x:v>
      </x:c>
      <x:c r="J72" t="s">
        <x:v>21</x:v>
      </x:c>
    </x:row>
    <x:row r="73">
      <x:c r="A73" t="s">
        <x:v>26</x:v>
      </x:c>
      <x:c r="B73" t="s">
        <x:v>284</x:v>
      </x:c>
      <x:c r="C73">
        <x:v>72</x:v>
      </x:c>
      <x:c r="D73">
        <x:v>0.125</x:v>
      </x:c>
      <x:c r="E73">
        <x:v>46265</x:v>
      </x:c>
      <x:c r="F73">
        <x:v>46313</x:v>
      </x:c>
      <x:c r="G73" t="s">
        <x:v>430</x:v>
      </x:c>
      <x:c r="H73" t="s">
        <x:v>431</x:v>
      </x:c>
      <x:c r="J73" t="s">
        <x:v>21</x:v>
      </x:c>
      <x:c r="K73" t="s">
        <x:v>21</x:v>
      </x:c>
      <x:c r="L73" t="s">
        <x:v>21</x:v>
      </x:c>
    </x:row>
    <x:row r="74">
      <x:c r="A74" t="s">
        <x:v>30</x:v>
      </x:c>
      <x:c r="B74" t="s">
        <x:v>308</x:v>
      </x:c>
      <x:c r="C74">
        <x:v>88</x:v>
      </x:c>
      <x:c r="D74">
        <x:v>0.15277777777777779</x:v>
      </x:c>
      <x:c r="E74">
        <x:v>46314</x:v>
      </x:c>
      <x:c r="F74">
        <x:v>46369</x:v>
      </x:c>
      <x:c r="G74" t="s">
        <x:v>432</x:v>
      </x:c>
      <x:c r="H74" t="s">
        <x:v>433</x:v>
      </x:c>
      <x:c r="L74" t="s">
        <x:v>21</x:v>
      </x:c>
      <x:c r="M74" t="s">
        <x:v>21</x:v>
      </x:c>
      <x:c r="N74" t="s">
        <x:v>21</x:v>
      </x:c>
    </x:row>
    <x:row r="75">
      <x:c r="A75" t="s">
        <x:v>34</x:v>
      </x:c>
      <x:c r="B75" t="s">
        <x:v>329</x:v>
      </x:c>
      <x:c r="C75">
        <x:v>96</x:v>
      </x:c>
      <x:c r="D75">
        <x:v>0.16666666666666666</x:v>
      </x:c>
      <x:c r="E75">
        <x:v>46370</x:v>
      </x:c>
      <x:c r="F75">
        <x:v>46425</x:v>
      </x:c>
      <x:c r="G75" t="s">
        <x:v>434</x:v>
      </x:c>
      <x:c r="H75" t="s">
        <x:v>435</x:v>
      </x:c>
      <x:c r="N75" t="s">
        <x:v>21</x:v>
      </x:c>
      <x:c r="O75" t="s">
        <x:v>21</x:v>
      </x:c>
      <x:c r="P75" t="s">
        <x:v>21</x:v>
      </x:c>
    </x:row>
    <x:row r="76">
      <x:c r="A76" t="s">
        <x:v>38</x:v>
      </x:c>
      <x:c r="B76" t="s">
        <x:v>348</x:v>
      </x:c>
      <x:c r="C76">
        <x:v>104</x:v>
      </x:c>
      <x:c r="D76">
        <x:v>0.18055555555555555</x:v>
      </x:c>
      <x:c r="E76">
        <x:v>46426</x:v>
      </x:c>
      <x:c r="F76">
        <x:v>46495</x:v>
      </x:c>
      <x:c r="G76" t="s">
        <x:v>436</x:v>
      </x:c>
      <x:c r="H76" t="s">
        <x:v>437</x:v>
      </x:c>
      <x:c r="P76" t="s">
        <x:v>21</x:v>
      </x:c>
      <x:c r="Q76" t="s">
        <x:v>21</x:v>
      </x:c>
      <x:c r="R76" t="s">
        <x:v>21</x:v>
      </x:c>
    </x:row>
    <x:row r="77">
      <x:c r="A77" t="s">
        <x:v>438</x:v>
      </x:c>
      <x:c r="B77" t="s">
        <x:v>371</x:v>
      </x:c>
      <x:c r="C77">
        <x:v>52</x:v>
      </x:c>
      <x:c r="D77">
        <x:v>9.0277777777777776E-2</x:v>
      </x:c>
      <x:c r="E77">
        <x:v>46496</x:v>
      </x:c>
      <x:c r="F77">
        <x:v>46530</x:v>
      </x:c>
      <x:c r="G77" t="s">
        <x:v>439</x:v>
      </x:c>
      <x:c r="H77" t="s">
        <x:v>440</x:v>
      </x:c>
      <x:c r="R77" t="s">
        <x:v>21</x:v>
      </x:c>
      <x:c r="S77" t="s">
        <x:v>21</x:v>
      </x:c>
    </x:row>
    <x:row r="78">
      <x:c r="A78" t="s">
        <x:v>441</x:v>
      </x:c>
      <x:c r="B78" t="s">
        <x:v>390</x:v>
      </x:c>
      <x:c r="C78">
        <x:v>60</x:v>
      </x:c>
      <x:c r="D78">
        <x:v>0.10416666666666667</x:v>
      </x:c>
      <x:c r="E78">
        <x:v>46531</x:v>
      </x:c>
      <x:c r="F78">
        <x:v>46565</x:v>
      </x:c>
      <x:c r="G78" t="s">
        <x:v>442</x:v>
      </x:c>
      <x:c r="H78" t="s">
        <x:v>443</x:v>
      </x:c>
      <x:c r="S78" t="s">
        <x:v>21</x:v>
      </x:c>
      <x:c r="T78" t="s">
        <x:v>21</x:v>
      </x:c>
    </x:row>
    <x:row r="79">
      <x:c r="A79" t="s">
        <x:v>444</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445</x:v>
      </x:c>
      <x:c r="B1" s="235"/>
      <x:c r="C1" s="235"/>
      <x:c r="D1" s="235"/>
      <x:c r="E1" s="235"/>
      <x:c r="F1" s="235"/>
      <x:c r="G1" s="235"/>
      <x:c r="H1" s="235"/>
      <x:c r="I1" s="235"/>
      <x:c r="J1" s="235"/>
      <x:c r="K1" s="235"/>
      <x:c r="L1" s="235"/>
      <x:c r="M1" s="235"/>
    </x:row>
    <x:row r="2">
      <x:c r="A2" s="236" t="s">
        <x:v>446</x:v>
      </x:c>
      <x:c r="B2" s="236"/>
      <x:c r="C2" s="236"/>
      <x:c r="D2" s="236"/>
      <x:c r="E2" s="236"/>
      <x:c r="F2" s="236"/>
      <x:c r="G2" s="236"/>
      <x:c r="H2" s="236"/>
      <x:c r="I2" s="236"/>
      <x:c r="J2" s="236"/>
      <x:c r="K2" s="236"/>
      <x:c r="L2" s="236"/>
      <x:c r="M2" s="236"/>
    </x:row>
    <x:row r="4" ht="30">
      <x:c r="A4" s="80" t="s">
        <x:v>447</x:v>
      </x:c>
      <x:c r="B4" s="80" t="s">
        <x:v>448</x:v>
      </x:c>
      <x:c r="C4" s="80" t="s">
        <x:v>5</x:v>
      </x:c>
      <x:c r="D4" s="80" t="s">
        <x:v>449</x:v>
      </x:c>
      <x:c r="E4" s="80" t="s">
        <x:v>450</x:v>
      </x:c>
      <x:c r="F4" s="80" t="s">
        <x:v>3</x:v>
      </x:c>
      <x:c r="G4" s="80" t="s">
        <x:v>451</x:v>
      </x:c>
      <x:c r="H4" s="80" t="s">
        <x:v>56</x:v>
      </x:c>
      <x:c r="I4" s="80" t="s">
        <x:v>452</x:v>
      </x:c>
      <x:c r="J4" s="80" t="s">
        <x:v>453</x:v>
      </x:c>
      <x:c r="K4" s="80" t="s">
        <x:v>454</x:v>
      </x:c>
      <x:c r="L4" s="80" t="s">
        <x:v>60</x:v>
      </x:c>
      <x:c r="M4" s="80" t="s">
        <x:v>455</x:v>
      </x:c>
    </x:row>
    <x:row r="5" ht="42.75">
      <x:c r="A5" s="83" t="s">
        <x:v>456</x:v>
      </x:c>
      <x:c r="B5" s="84">
        <x:v>46201</x:v>
      </x:c>
      <x:c r="C5" s="83"/>
      <x:c r="D5" s="83"/>
      <x:c r="E5" s="83" t="s">
        <x:v>62</x:v>
      </x:c>
      <x:c r="F5" s="85">
        <x:v>2.5</x:v>
      </x:c>
      <x:c r="G5" s="178" t="n">
        <x:f t="shared" ref="G5:G10" si="0">IF(B5="","",MAX(1,INT((B5-DATE(2026,6,29))/7)+1))</x:f>
        <x:v>1</x:v>
      </x:c>
      <x:c r="H5" s="83" t="s">
        <x:v>245</x:v>
      </x:c>
      <x:c r="I5" s="83" t="s">
        <x:v>457</x:v>
      </x:c>
      <x:c r="J5" s="83" t="s">
        <x:v>458</x:v>
      </x:c>
      <x:c r="K5" s="83" t="s">
        <x:v>459</x:v>
      </x:c>
      <x:c r="L5" s="83" t="s">
        <x:v>460</x:v>
      </x:c>
      <x:c r="M5" s="83" t="s">
        <x:v>461</x:v>
      </x:c>
    </x:row>
    <x:row r="6" ht="42.75">
      <x:c r="A6" s="83" t="s">
        <x:v>462</x:v>
      </x:c>
      <x:c r="B6" s="84">
        <x:v>46203</x:v>
      </x:c>
      <x:c r="C6" s="83"/>
      <x:c r="D6" s="83"/>
      <x:c r="E6" s="83" t="s">
        <x:v>68</x:v>
      </x:c>
      <x:c r="F6" s="85">
        <x:v>1.5</x:v>
      </x:c>
      <x:c r="G6" s="178">
        <x:f t="shared" si="0"/>
        <x:v>1</x:v>
      </x:c>
      <x:c r="H6" s="83" t="s">
        <x:v>245</x:v>
      </x:c>
      <x:c r="I6" s="83" t="s">
        <x:v>463</x:v>
      </x:c>
      <x:c r="J6" s="83" t="s">
        <x:v>464</x:v>
      </x:c>
      <x:c r="K6" s="83" t="s">
        <x:v>465</x:v>
      </x:c>
      <x:c r="L6" s="83" t="s">
        <x:v>466</x:v>
      </x:c>
      <x:c r="M6" s="83" t="s">
        <x:v>467</x:v>
      </x:c>
    </x:row>
    <x:row r="7" ht="42.75">
      <x:c r="A7" s="83" t="s">
        <x:v>468</x:v>
      </x:c>
      <x:c r="B7" s="84">
        <x:v>46207</x:v>
      </x:c>
      <x:c r="C7" s="83" t="s">
        <x:v>469</x:v>
      </x:c>
      <x:c r="D7" s="83" t="s">
        <x:v>470</x:v>
      </x:c>
      <x:c r="E7" s="83" t="s">
        <x:v>73</x:v>
      </x:c>
      <x:c r="F7" s="85">
        <x:v>0.62</x:v>
      </x:c>
      <x:c r="G7" s="178">
        <x:f t="shared" si="0"/>
        <x:v>1</x:v>
      </x:c>
      <x:c r="H7" s="83" t="s">
        <x:v>245</x:v>
      </x:c>
      <x:c r="I7" s="83" t="s">
        <x:v>471</x:v>
      </x:c>
      <x:c r="J7" s="83" t="s">
        <x:v>472</x:v>
      </x:c>
      <x:c r="K7" s="83" t="s">
        <x:v>473</x:v>
      </x:c>
      <x:c r="L7" s="83" t="s">
        <x:v>474</x:v>
      </x:c>
      <x:c r="M7" s="83" t="s">
        <x:v>475</x:v>
      </x:c>
    </x:row>
    <x:row r="8" ht="57">
      <x:c r="A8" s="83" t="s">
        <x:v>476</x:v>
      </x:c>
      <x:c r="B8" s="84">
        <x:v>46207</x:v>
      </x:c>
      <x:c r="C8" s="83" t="s">
        <x:v>470</x:v>
      </x:c>
      <x:c r="D8" s="83" t="s">
        <x:v>477</x:v>
      </x:c>
      <x:c r="E8" s="83" t="s">
        <x:v>73</x:v>
      </x:c>
      <x:c r="F8" s="85">
        <x:v>1.53</x:v>
      </x:c>
      <x:c r="G8" s="178">
        <x:f t="shared" si="0"/>
        <x:v>1</x:v>
      </x:c>
      <x:c r="H8" s="83" t="s">
        <x:v>245</x:v>
      </x:c>
      <x:c r="I8" s="83" t="s">
        <x:v>478</x:v>
      </x:c>
      <x:c r="J8" s="83" t="s">
        <x:v>479</x:v>
      </x:c>
      <x:c r="K8" s="83" t="s">
        <x:v>480</x:v>
      </x:c>
      <x:c r="L8" s="83" t="s">
        <x:v>481</x:v>
      </x:c>
      <x:c r="M8" s="83" t="s">
        <x:v>482</x:v>
      </x:c>
    </x:row>
    <x:row r="9" ht="42.75">
      <x:c r="A9" s="83" t="s">
        <x:v>483</x:v>
      </x:c>
      <x:c r="B9" s="84">
        <x:v>46207</x:v>
      </x:c>
      <x:c r="C9" s="83" t="s">
        <x:v>477</x:v>
      </x:c>
      <x:c r="D9" s="83" t="s">
        <x:v>484</x:v>
      </x:c>
      <x:c r="E9" s="83" t="s">
        <x:v>68</x:v>
      </x:c>
      <x:c r="F9" s="85">
        <x:v>1.33</x:v>
      </x:c>
      <x:c r="G9" s="178">
        <x:f t="shared" si="0"/>
        <x:v>1</x:v>
      </x:c>
      <x:c r="H9" s="83" t="s">
        <x:v>245</x:v>
      </x:c>
      <x:c r="I9" s="83" t="s">
        <x:v>485</x:v>
      </x:c>
      <x:c r="J9" s="83" t="s">
        <x:v>486</x:v>
      </x:c>
      <x:c r="K9" s="83" t="s">
        <x:v>487</x:v>
      </x:c>
      <x:c r="L9" s="83" t="s">
        <x:v>488</x:v>
      </x:c>
      <x:c r="M9" s="83" t="s">
        <x:v>489</x:v>
      </x:c>
    </x:row>
    <x:row r="10" ht="42.75">
      <x:c r="A10" s="83" t="s">
        <x:v>490</x:v>
      </x:c>
      <x:c r="B10" s="84">
        <x:v>46207</x:v>
      </x:c>
      <x:c r="C10" s="83" t="s">
        <x:v>484</x:v>
      </x:c>
      <x:c r="D10" s="83" t="s">
        <x:v>491</x:v>
      </x:c>
      <x:c r="E10" s="83" t="s">
        <x:v>68</x:v>
      </x:c>
      <x:c r="F10" s="85">
        <x:v>7.0000000000000007E-2</x:v>
      </x:c>
      <x:c r="G10" s="178">
        <x:f t="shared" si="0"/>
        <x:v>1</x:v>
      </x:c>
      <x:c r="H10" s="83" t="s">
        <x:v>245</x:v>
      </x:c>
      <x:c r="I10" s="83" t="s">
        <x:v>492</x:v>
      </x:c>
      <x:c r="J10" s="83" t="s">
        <x:v>493</x:v>
      </x:c>
      <x:c r="K10" s="83" t="s">
        <x:v>494</x:v>
      </x:c>
      <x:c r="L10" s="83" t="s">
        <x:v>495</x:v>
      </x:c>
      <x:c r="M10" s="83" t="s">
        <x:v>496</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ht="675" customHeight="1">
      <x:c r="A29" s="431" t="str">
        <x:v>WB-026</x:v>
      </x:c>
      <x:c r="B29" s="491" t="n">
        <x:v>46225</x:v>
      </x:c>
      <x:c r="C29" s="431"/>
      <x:c r="D29" s="431"/>
      <x:c r="E29" s="431" t="str">
        <x:v>G0.1</x:v>
      </x:c>
      <x:c r="F29" s="432"/>
      <x:c r="G29" s="433" t="n">
        <x:v>6</x:v>
      </x:c>
      <x:c r="H29" s="431" t="str">
        <x:v>Complete / Review</x:v>
      </x:c>
      <x:c r="I29" s="431" t="str">
        <x:v>Implement a highest-level internal AI management and quality-control system aligned at a public-guidance level with ISO/IEC 42001 and operationalized with NIST AI risk practices.</x:v>
      </x:c>
      <x:c r="J29" s="431" t="str">
        <x:v>Added binding policy, manual, impact and alignment assessments, 3-system inventory, 13-risk register, 20 controls, 8 gates, 6 objectives, audit, management review, JSON Schema, validator, 22 focused tests, and CI enforcement. Validator coverage is 84%; full protected-safe regression passed 335/1 at 88.33%; validation 5/5, Ruff, baseline 9/9, and demo 2/2 passed.</x:v>
      </x:c>
      <x:c r="K29" s="431" t="str">
        <x:v>D-115 adopted. The visibly third-party-licensed ISO PDF stayed outside Git and was not used as project evidence. Internal alignment is not conformity or certification. Normal governance validation passes while strict release-ready mode correctly fails on AIR-003, AIR-010, and NC-001. D-114 remains pending.</x:v>
      </x:c>
      <x:c r="L29" s="431" t="str">
        <x:v>Review and integrate G0.1; then accept or revise D-114 separately. Preserve the D-113 no-rerun boundary and release hold.</x:v>
      </x:c>
      <x:c r="M29" s="431" t="str">
        <x:v>codex/iso-42001-ai-quality-system; D-115; EV-165-EV-170; R-017; IMP-029-IMP-030</x:v>
      </x:c>
    </x:row>
    <x:row r="30">
      <x:c r="A30" s="83" t="str">
        <x:v>WB-027</x:v>
      </x:c>
      <x:c r="B30" s="84" t="n">
        <x:v>46225</x:v>
      </x:c>
      <x:c r="C30" s="83"/>
      <x:c r="D30" s="83"/>
      <x:c r="E30" s="83" t="str">
        <x:v>P4.2</x:v>
      </x:c>
      <x:c r="F30" s="85"/>
      <x:c r="G30" s="178" t="n">
        <x:v>6</x:v>
      </x:c>
      <x:c r="H30" s="83" t="str">
        <x:v>Complete / D-116 Review</x:v>
      </x:c>
      <x:c r="I30" s="83" t="str">
        <x:v>Accept D-114, reproduce and isolate the atomic publication failure with development-only evidence, implement the smallest correction, install a production-equivalent sentinel, and return a separate external-benchmark recovery definition.</x:v>
      </x:c>
      <x:c r="J30" s="83" t="str">
        <x:v>Merged PR #67 at exact main 540a1f6; reproduced pre-fix child exit 70; identified write_package_result FileNotFoundError/errno 2 at a 263-character legacy staged path; added short internal publication names, exact diagnostics, fallback marker, sentinel script, CI gate, review/evidence records, and proposed D-116. PR #68 implementation 1c5216e passes both hosted checks; Linux sentinel publishes four outputs at an adapted 223-character root and full regression passes 341 at 88.50%. Local proof: 53 focused, full 340/1 at 88.48%, validation 5/5, Ruff, development benchmark 22/22, baseline 9/9, demo 2/2.</x:v>
      </x:c>
      <x:c r="K30" s="83" t="str">
        <x:v>D-114 accepted and implemented. NC-001 is closed and AIR-010 controlled without clearing AIR-003. Controlled reproduction used development inputs only. A final broad search traversed tracked release-ineligible historical held-out folders; no external D-113 or future D-116 family was accessed, semantic execution count remains zero, and IMP-032 now mandates exclusions. D-116 remains pending.</x:v>
      </x:c>
      <x:c r="L30" s="83" t="str">
        <x:v>Review and merge PR #68. Accept or revise D-116 before any new external family preparation; require a separate freeze decision before semantic execution.</x:v>
      </x:c>
      <x:c r="M30" s="83" t="str">
        <x:v>codex/p4.2-publication-stabilization; PR #68; implementation 1c5216e; D-114; proposed D-116; EV-171-EV-178; I-009; R-018; IMP-028; IMP-030-IMP-032</x:v>
      </x:c>
    </x:row>
    <x:row r="31" ht="190" customHeight="1">
      <x:c r="A31" s="431" t="str">
        <x:v>WB-028</x:v>
      </x:c>
      <x:c r="B31" s="491" t="n">
        <x:v>46226</x:v>
      </x:c>
      <x:c r="C31" s="431"/>
      <x:c r="D31" s="431"/>
      <x:c r="E31" s="431" t="str">
        <x:v>P4.2</x:v>
      </x:c>
      <x:c r="F31" s="432"/>
      <x:c r="G31" s="433" t="n">
        <x:v>6</x:v>
      </x:c>
      <x:c r="H31" s="431" t="str">
        <x:v>Complete / D-117 Review</x:v>
      </x:c>
      <x:c r="I31" s="431" t="str">
        <x:v>Accept D-116, integrate D-114, prepare one materially distinct external family and oracle-blind runner under separated custody, prove the final physical publication path, and return an exact zero-run D-117 gate.</x:v>
      </x:c>
      <x:c r="J31" s="431" t="str">
        <x:v>Merged PR #68 at exact main 3a6766f; authored eight opaque carton-indexing conveyor scenarios outside Git; verified rights, manifests, authority/oracle contract, and zero leakage; preserved three rejected runner revisions; froze short-root runner R4 with exact evaluator, local dependency environment, bytecode and path controls; passed 8/8 mandatory and 51/51 detailed controls plus one four-output development sentinel. Local governance 22/22; full 340/1 at 88.33%; validation 5/5; Ruff; repository sentinel; development benchmark 22/22; baseline 9/9; demo 2/2. PR #69 hosted workflows 2/2; Linux sentinel 4 outputs at runs path 223; full 341 at 88.50%.</x:v>
      </x:c>
      <x:c r="K31" s="431" t="str">
        <x:v>D-116 is complete, but no benchmark-performance evidence exists yet. Opaque semantic executions, held-out publications, and protected comparisons remain zero; D-117 authorization is absent. Failed runners and failed sentinel evidence remain immutable. This is internal AI-assisted review, not external independent assurance.</x:v>
      </x:c>
      <x:c r="L31" s="431" t="str">
        <x:v>Review the D-116 freeze and proposed D-117. Do not create authorization or run the exact command until the owner explicitly accepts D-117.</x:v>
      </x:c>
      <x:c r="M31" s="431" t="str">
        <x:v>codex/p4.2-external-benchmark-recovery-preparation; PR #68 main 3a6766f; D-116; proposed D-117; EV-179-EV-184; I-010; IMP-033-IMP-035; AIR-003</x:v>
      </x:c>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497</x:v>
      </x:c>
      <x:c r="B1" s="235"/>
      <x:c r="C1" s="235"/>
      <x:c r="D1" s="235"/>
      <x:c r="E1" s="235"/>
      <x:c r="F1" s="235"/>
      <x:c r="G1" s="235"/>
      <x:c r="H1" s="235"/>
    </x:row>
    <x:row r="3" ht="15">
      <x:c r="A3" s="80" t="s">
        <x:v>498</x:v>
      </x:c>
      <x:c r="B3" s="80" t="s">
        <x:v>448</x:v>
      </x:c>
      <x:c r="C3" s="80" t="s">
        <x:v>499</x:v>
      </x:c>
      <x:c r="D3" s="80" t="s">
        <x:v>500</x:v>
      </x:c>
      <x:c r="E3" s="80" t="s">
        <x:v>56</x:v>
      </x:c>
      <x:c r="F3" s="80" t="s">
        <x:v>501</x:v>
      </x:c>
      <x:c r="G3" s="80" t="s">
        <x:v>502</x:v>
      </x:c>
      <x:c r="H3" s="80" t="s">
        <x:v>503</x:v>
      </x:c>
    </x:row>
    <x:row r="4" ht="28.5">
      <x:c r="A4" s="78" t="s">
        <x:v>504</x:v>
      </x:c>
      <x:c r="B4" s="81">
        <x:v>46200</x:v>
      </x:c>
      <x:c r="C4" s="78" t="s">
        <x:v>505</x:v>
      </x:c>
      <x:c r="D4" s="78" t="s">
        <x:v>506</x:v>
      </x:c>
      <x:c r="E4" s="78" t="s">
        <x:v>507</x:v>
      </x:c>
      <x:c r="F4" s="78" t="s">
        <x:v>508</x:v>
      </x:c>
      <x:c r="G4" s="78" t="s">
        <x:v>509</x:v>
      </x:c>
      <x:c r="H4" s="78" t="s">
        <x:v>510</x:v>
      </x:c>
    </x:row>
    <x:row r="5" ht="28.5">
      <x:c r="A5" s="78" t="s">
        <x:v>511</x:v>
      </x:c>
      <x:c r="B5" s="81">
        <x:v>46200</x:v>
      </x:c>
      <x:c r="C5" s="78" t="s">
        <x:v>512</x:v>
      </x:c>
      <x:c r="D5" s="78" t="s">
        <x:v>513</x:v>
      </x:c>
      <x:c r="E5" s="78" t="s">
        <x:v>507</x:v>
      </x:c>
      <x:c r="F5" s="78" t="s">
        <x:v>508</x:v>
      </x:c>
      <x:c r="G5" s="78" t="s">
        <x:v>207</x:v>
      </x:c>
      <x:c r="H5" s="78" t="s">
        <x:v>514</x:v>
      </x:c>
    </x:row>
    <x:row r="6" ht="28.5">
      <x:c r="A6" s="78" t="s">
        <x:v>515</x:v>
      </x:c>
      <x:c r="B6" s="81">
        <x:v>46207</x:v>
      </x:c>
      <x:c r="C6" s="78" t="s">
        <x:v>516</x:v>
      </x:c>
      <x:c r="D6" s="78" t="s">
        <x:v>517</x:v>
      </x:c>
      <x:c r="E6" s="78" t="s">
        <x:v>507</x:v>
      </x:c>
      <x:c r="F6" s="78" t="s">
        <x:v>68</x:v>
      </x:c>
      <x:c r="G6" s="78" t="s">
        <x:v>518</x:v>
      </x:c>
      <x:c r="H6" s="78" t="s">
        <x:v>519</x:v>
      </x:c>
    </x:row>
    <x:row r="7" ht="28.5">
      <x:c r="A7" s="78" t="s">
        <x:v>520</x:v>
      </x:c>
      <x:c r="B7" s="81">
        <x:v>46207</x:v>
      </x:c>
      <x:c r="C7" s="78" t="s">
        <x:v>521</x:v>
      </x:c>
      <x:c r="D7" s="78" t="s">
        <x:v>522</x:v>
      </x:c>
      <x:c r="E7" s="78" t="s">
        <x:v>507</x:v>
      </x:c>
      <x:c r="F7" s="78" t="s">
        <x:v>523</x:v>
      </x:c>
      <x:c r="G7" s="78" t="s">
        <x:v>524</x:v>
      </x:c>
      <x:c r="H7" s="78" t="s">
        <x:v>525</x:v>
      </x:c>
    </x:row>
    <x:row r="8" ht="28.5">
      <x:c r="A8" s="78" t="s">
        <x:v>526</x:v>
      </x:c>
      <x:c r="B8" s="81">
        <x:v>46207</x:v>
      </x:c>
      <x:c r="C8" s="78" t="s">
        <x:v>161</x:v>
      </x:c>
      <x:c r="D8" s="78" t="s">
        <x:v>527</x:v>
      </x:c>
      <x:c r="E8" s="78" t="s">
        <x:v>507</x:v>
      </x:c>
      <x:c r="F8" s="78" t="s">
        <x:v>528</x:v>
      </x:c>
      <x:c r="G8" s="78" t="s">
        <x:v>529</x:v>
      </x:c>
      <x:c r="H8" s="78" t="s">
        <x:v>530</x:v>
      </x:c>
    </x:row>
    <x:row r="9" ht="28.5">
      <x:c r="A9" s="78" t="s">
        <x:v>531</x:v>
      </x:c>
      <x:c r="B9" s="81">
        <x:v>46207</x:v>
      </x:c>
      <x:c r="C9" s="78" t="s">
        <x:v>532</x:v>
      </x:c>
      <x:c r="D9" s="78" t="s">
        <x:v>533</x:v>
      </x:c>
      <x:c r="E9" s="78" t="s">
        <x:v>507</x:v>
      </x:c>
      <x:c r="F9" s="78" t="s">
        <x:v>534</x:v>
      </x:c>
      <x:c r="G9" s="78" t="s">
        <x:v>535</x:v>
      </x:c>
      <x:c r="H9" s="78" t="s">
        <x:v>536</x:v>
      </x:c>
    </x:row>
    <x:row r="10" ht="28.5">
      <x:c r="A10" s="78" t="s">
        <x:v>537</x:v>
      </x:c>
      <x:c r="B10" s="81">
        <x:v>46207</x:v>
      </x:c>
      <x:c r="C10" s="78" t="s">
        <x:v>538</x:v>
      </x:c>
      <x:c r="D10" s="78" t="s">
        <x:v>539</x:v>
      </x:c>
      <x:c r="E10" s="78" t="s">
        <x:v>507</x:v>
      </x:c>
      <x:c r="F10" s="78" t="s">
        <x:v>540</x:v>
      </x:c>
      <x:c r="G10" s="78" t="s">
        <x:v>541</x:v>
      </x:c>
      <x:c r="H10" s="78" t="s">
        <x:v>542</x:v>
      </x:c>
    </x:row>
    <x:row r="11" ht="28.5">
      <x:c r="A11" s="78" t="s">
        <x:v>543</x:v>
      </x:c>
      <x:c r="B11" s="81">
        <x:v>46207</x:v>
      </x:c>
      <x:c r="C11" s="78" t="s">
        <x:v>544</x:v>
      </x:c>
      <x:c r="D11" s="78" t="s">
        <x:v>545</x:v>
      </x:c>
      <x:c r="E11" s="78" t="s">
        <x:v>507</x:v>
      </x:c>
      <x:c r="F11" s="78" t="s">
        <x:v>546</x:v>
      </x:c>
      <x:c r="G11" s="78" t="s">
        <x:v>202</x:v>
      </x:c>
      <x:c r="H11" s="78" t="s">
        <x:v>547</x:v>
      </x:c>
    </x:row>
    <x:row r="12" ht="62.099998474121094" customHeight="1">
      <x:c r="A12" s="182" t="s">
        <x:v>548</x:v>
      </x:c>
      <x:c r="B12" s="196">
        <x:v>46208</x:v>
      </x:c>
      <x:c r="C12" s="183" t="s">
        <x:v>549</x:v>
      </x:c>
      <x:c r="D12" s="183" t="s">
        <x:v>550</x:v>
      </x:c>
      <x:c r="E12" s="183" t="s">
        <x:v>507</x:v>
      </x:c>
      <x:c r="F12" s="183" t="s">
        <x:v>551</x:v>
      </x:c>
      <x:c r="G12" s="183" t="s">
        <x:v>552</x:v>
      </x:c>
      <x:c r="H12" s="184" t="s">
        <x:v>553</x:v>
      </x:c>
    </x:row>
    <x:row r="13" ht="62.099998474121094" customHeight="1">
      <x:c r="A13" s="187" t="s">
        <x:v>554</x:v>
      </x:c>
      <x:c r="B13" s="197">
        <x:v>46208</x:v>
      </x:c>
      <x:c r="C13" s="188" t="s">
        <x:v>555</x:v>
      </x:c>
      <x:c r="D13" s="188" t="s">
        <x:v>556</x:v>
      </x:c>
      <x:c r="E13" s="188" t="s">
        <x:v>507</x:v>
      </x:c>
      <x:c r="F13" s="188" t="s">
        <x:v>557</x:v>
      </x:c>
      <x:c r="G13" s="188" t="s">
        <x:v>558</x:v>
      </x:c>
      <x:c r="H13" s="189" t="s">
        <x:v>559</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Accepted / Integration Pending</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Accepted by the project owner on 2026-07-22 and integrated through PR #65 at exact main 6a74c74. Preflight passed, then one runner invocation consumed all eight scenarios with exit 70 and zero complete output sets. Raw evidence and protected comparison are frozen; D-113 is fully consumed and authorizes no retry. D-114 controls the response.</x:v>
      </x:c>
    </x:row>
    <x:row r="117" ht="945" customHeight="1">
      <x:c r="A117" s="431" t="str">
        <x:v>D-114</x:v>
      </x:c>
      <x:c r="B117" s="431" t="n">
        <x:v>46225</x:v>
      </x:c>
      <x:c r="C117" s="431" t="str">
        <x:v>Accept the D-113 evidence as a valid immutable failed-run record; classify the benchmark as not evaluable and release-held; prohibit rerun or reuse of the consumed family; and authorize a bounded development-only stabilization block for the atomic publication failure.</x:v>
      </x:c>
      <x:c r="D117" s="431" t="str">
        <x:v>All eight one-shot attempts were correctly consumed but produced no semantic output. Development-only reproduction identified the exact publication-stage cause and permitted a minimal correction without weakening the no-rerun or semantic boundaries.</x:v>
      </x:c>
      <x:c r="E117" s="431" t="str">
        <x:v>Accepted / Implemented</x:v>
      </x:c>
      <x:c r="F117" s="431" t="str">
        <x:v>P4.2 failed-run acceptance and publication stabilization gate</x:v>
      </x:c>
      <x:c r="G117" s="431" t="str">
        <x:v>Owner instruction 2026-07-22; docs/package_assurance/p4_2_external_first_run_result_review_v0.3.0.md; docs/package_assurance/p4_2_publication_stabilization_review_v0.3.0.md; docs/package_assurance/p4_2_publication_stabilization_evidence_v0.3.0.json; PR #68; EV-171-EV-178; I-009; IMP-028; IMP-031-IMP-032</x:v>
      </x:c>
      <x:c r="H117" s="431" t="str">
        <x:v>Accepted by the project owner on 2026-07-22. The development-only block reproduced FileNotFoundError/errno 2 at write_package_result, corrected only internal publication naming, added exact diagnostics and fallback evidence, and installed the four-output sentinel. It authorizes no held-out rerun/reuse, new family, semantic change, P4.3, public rerun, import, or release claim.</x:v>
      </x:c>
    </x:row>
    <x:row r="118" ht="945" customHeight="1">
      <x:c r="A118" s="431" t="str">
        <x:v>D-115</x:v>
      </x:c>
      <x:c r="B118" s="431" t="n">
        <x:v>46225</x:v>
      </x:c>
      <x:c r="C118" s="431" t="str">
        <x:v>Adopt an internal ISO/IEC 42001-aligned and NIST-informed AI management system as the project's highest-level quality and safety governance below applicable obligations. Implement binding policy, system inventory, impact and risk assessment, controls, lifecycle gates, objectives, audit, management review, machine validation, and CI enforcement.</x:v>
      </x:c>
      <x:c r="D118" s="431" t="str">
        <x:v>AI-assisted work already affects planning, code, tests, evidence, and project decisions, while technical tests alone cannot prove safe governance. A single machine-checked control plane makes ownership, risk treatment, evidence, nonconformity, and release status explicit and preserves qualified human authority. The supplied standard copy is not authorized project evidence, so formal conformity is excluded.</x:v>
      </x:c>
      <x:c r="E118" s="431" t="str">
        <x:v>Accepted / Integrated</x:v>
      </x:c>
      <x:c r="F118" s="431" t="str">
        <x:v>G0.1 AI management and quality-control gate</x:v>
      </x:c>
      <x:c r="G118" s="431" t="str">
        <x:v>docs/governance/ai_management_system_policy_v0.3.0.md; governance/ai_management_system.json; docs/governance/ai_quality_control_manual_v0.3.0.md; docs/governance/ai_impact_assessment_v0.3.0.md; docs/governance/iso_iec_42001_alignment_and_gap_assessment_v0.3.0.md; AIMS-AUD-001; AIMS-MR-001; PR #67 exact main 540a1f6; EV-165-EV-171; R-018; IMP-029-IMP-030</x:v>
      </x:c>
      <x:c r="H118" s="431" t="str">
        <x:v>Accepted through the project owner's 2026-07-22 directive and integrated through PR #67 at exact main 540a1f6. This is internal governance only and makes no conformity, certification, legal-compliance, guaranteed-safety, or independent-assurance claim. D-114 was accepted separately afterward.</x:v>
      </x:c>
    </x:row>
    <x:row r="119" ht="180" customHeight="1">
      <x:c r="A119" s="431" t="str">
        <x:v>D-116</x:v>
      </x:c>
      <x:c r="B119" s="431" t="n">
        <x:v>46225</x:v>
      </x:c>
      <x:c r="C119" s="431" t="str">
        <x:v>Accept the D-114 publication correction and authorize preparation of one new, materially distinct external held-out family and one oracle-blind runner under independent custody. Require a separate owner freeze decision before semantic execution.</x:v>
      </x:c>
      <x:c r="D119" s="431" t="str">
        <x:v>The publication defect is corrected, but D-113 produced no semantic evidence and its family is consumed. A fresh zero-run family and runner with the passing in-bundle sentinel are required before one controlled external execution can be considered.</x:v>
      </x:c>
      <x:c r="E119" s="431" t="str">
        <x:v>Accepted / Implemented</x:v>
      </x:c>
      <x:c r="F119" s="431" t="str">
        <x:v>P4.2 external benchmark recovery preparation gate</x:v>
      </x:c>
      <x:c r="G119" s="431" t="str">
        <x:v>Owner instruction 2026-07-23; PR #68 exact main 3a6766f; docs/package_assurance/p4_2_external_benchmark_recovery_definition_v0.3.0.md; docs/package_assurance/p4_2_external_benchmark_recovery_freeze_review_v0.3.0.md; docs/package_assurance/p4_2_external_benchmark_recovery_freeze_evidence_v0.3.0.json; EV-179-EV-184; I-010; IMP-033-IMP-035</x:v>
      </x:c>
      <x:c r="H119" s="431" t="str">
        <x:v>Accepted by the project owner on 2026-07-23 after PR #68 merged. The block prepared one materially distinct external family and one oracle-blind runner, preserved three failed revisions, passed the final in-bundle sentinel, and kept opaque execution at zero. It authorizes no semantic run, protected comparison, P4.3, or release claim.</x:v>
      </x:c>
    </x:row>
    <x:row r="120" ht="190" customHeight="1">
      <x:c r="A120" s="431" t="str">
        <x:v>D-117</x:v>
      </x:c>
      <x:c r="B120" s="431" t="n">
        <x:v>46226</x:v>
      </x:c>
      <x:c r="C120" s="431" t="str">
        <x:v>Authorize exactly one invocation of RUNNER-D116-CIM-20260723-04 against FAM-D116-CIM-20260723-01, containing one evaluator attempt per eight frozen opaque scenarios, followed by immutable raw freeze, oracle-blind raw verification, and separate protected comparison.</x:v>
      </x:c>
      <x:c r="D120" s="431" t="str">
        <x:v>D-116 passed 8/8 mandatory and 51/51 detailed controls with one four-output development sentinel, exact static identities, zero opaque executions, and an absent authorization file. A separate owner decision is required before semantic evidence can be collected.</x:v>
      </x:c>
      <x:c r="E120" s="431" t="str">
        <x:v>Proposed / Owner Review</x:v>
      </x:c>
      <x:c r="F120" s="431" t="str">
        <x:v>P4.2 external benchmark semantic execution gate</x:v>
      </x:c>
      <x:c r="G120" s="431" t="str">
        <x:v>docs/package_assurance/p4_2_external_benchmark_recovery_freeze_review_v0.3.0.md; docs/package_assurance/p4_2_external_benchmark_recovery_freeze_evidence_v0.3.0.json; docs/package_assurance/p4_2_external_benchmark_execution_gate_v0.3.0.md; EV-180-EV-184; AIR-003; IMP-033-IMP-035</x:v>
      </x:c>
      <x:c r="H120" s="431" t="str">
        <x:v>D-117 would authorize one runner invocation only. No retry, resume, overwrite, second invocation, tuning, evaluator/scenario change, in-runner protected comparison, public rerun, P4.3, deletion of failed evidence, or performance/release claim is authorized.</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560</x:v>
      </x:c>
      <x:c r="B1" s="235"/>
      <x:c r="C1" s="235"/>
      <x:c r="D1" s="235"/>
      <x:c r="E1" s="235"/>
      <x:c r="F1" s="235"/>
      <x:c r="G1" s="235"/>
      <x:c r="H1" s="235"/>
      <x:c r="I1" s="235"/>
      <x:c r="J1" s="235"/>
    </x:row>
    <x:row r="3" ht="30">
      <x:c r="A3" s="80" t="s">
        <x:v>0</x:v>
      </x:c>
      <x:c r="B3" s="80" t="s">
        <x:v>196</x:v>
      </x:c>
      <x:c r="C3" s="80" t="s">
        <x:v>561</x:v>
      </x:c>
      <x:c r="D3" s="80" t="s">
        <x:v>562</x:v>
      </x:c>
      <x:c r="E3" s="80" t="s">
        <x:v>563</x:v>
      </x:c>
      <x:c r="F3" s="80" t="s">
        <x:v>564</x:v>
      </x:c>
      <x:c r="G3" s="80" t="s">
        <x:v>565</x:v>
      </x:c>
      <x:c r="H3" s="80" t="s">
        <x:v>56</x:v>
      </x:c>
      <x:c r="I3" s="80" t="s">
        <x:v>566</x:v>
      </x:c>
      <x:c r="J3" s="80" t="s">
        <x:v>61</x:v>
      </x:c>
    </x:row>
    <x:row r="4" ht="28.5">
      <x:c r="A4" s="78" t="s">
        <x:v>567</x:v>
      </x:c>
      <x:c r="B4" s="78" t="s">
        <x:v>568</x:v>
      </x:c>
      <x:c r="C4" s="78" t="s">
        <x:v>569</x:v>
      </x:c>
      <x:c r="D4" s="78" t="s">
        <x:v>570</x:v>
      </x:c>
      <x:c r="E4" s="78" t="s">
        <x:v>570</x:v>
      </x:c>
      <x:c r="F4" s="78" t="s">
        <x:v>571</x:v>
      </x:c>
      <x:c r="G4" s="78" t="s">
        <x:v>572</x:v>
      </x:c>
      <x:c r="H4" s="78" t="s">
        <x:v>573</x:v>
      </x:c>
      <x:c r="I4" s="81">
        <x:v>46215</x:v>
      </x:c>
      <x:c r="J4" s="78" t="s">
        <x:v>574</x:v>
      </x:c>
    </x:row>
    <x:row r="5" ht="28.5">
      <x:c r="A5" s="78" t="s">
        <x:v>575</x:v>
      </x:c>
      <x:c r="B5" s="78" t="s">
        <x:v>568</x:v>
      </x:c>
      <x:c r="C5" s="78" t="s">
        <x:v>576</x:v>
      </x:c>
      <x:c r="D5" s="78" t="s">
        <x:v>570</x:v>
      </x:c>
      <x:c r="E5" s="78" t="s">
        <x:v>570</x:v>
      </x:c>
      <x:c r="F5" s="78" t="s">
        <x:v>571</x:v>
      </x:c>
      <x:c r="G5" s="78" t="s">
        <x:v>577</x:v>
      </x:c>
      <x:c r="H5" s="78" t="s">
        <x:v>578</x:v>
      </x:c>
      <x:c r="I5" s="81">
        <x:v>46215</x:v>
      </x:c>
      <x:c r="J5" s="78" t="s">
        <x:v>579</x:v>
      </x:c>
    </x:row>
    <x:row r="6" ht="28.5">
      <x:c r="A6" s="78" t="s">
        <x:v>580</x:v>
      </x:c>
      <x:c r="B6" s="78" t="s">
        <x:v>568</x:v>
      </x:c>
      <x:c r="C6" s="78" t="s">
        <x:v>581</x:v>
      </x:c>
      <x:c r="D6" s="78" t="s">
        <x:v>582</x:v>
      </x:c>
      <x:c r="E6" s="78" t="s">
        <x:v>570</x:v>
      </x:c>
      <x:c r="F6" s="78" t="s">
        <x:v>571</x:v>
      </x:c>
      <x:c r="G6" s="78" t="s">
        <x:v>583</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584</x:v>
      </x:c>
      <x:c r="B7" s="78" t="s">
        <x:v>568</x:v>
      </x:c>
      <x:c r="C7" s="78" t="s">
        <x:v>585</x:v>
      </x:c>
      <x:c r="D7" s="78" t="s">
        <x:v>582</x:v>
      </x:c>
      <x:c r="E7" s="78" t="s">
        <x:v>570</x:v>
      </x:c>
      <x:c r="F7" s="78" t="s">
        <x:v>571</x:v>
      </x:c>
      <x:c r="G7" s="78" t="s">
        <x:v>586</x:v>
      </x:c>
      <x:c r="H7" s="78" t="s">
        <x:v>578</x:v>
      </x:c>
      <x:c r="I7" s="81">
        <x:v>46257</x:v>
      </x:c>
      <x:c r="J7" s="78" t="s">
        <x:v>587</x:v>
      </x:c>
    </x:row>
    <x:row r="8" ht="28.5">
      <x:c r="A8" s="78" t="s">
        <x:v>588</x:v>
      </x:c>
      <x:c r="B8" s="78" t="s">
        <x:v>568</x:v>
      </x:c>
      <x:c r="C8" s="78" t="s">
        <x:v>589</x:v>
      </x:c>
      <x:c r="D8" s="78" t="s">
        <x:v>582</x:v>
      </x:c>
      <x:c r="E8" s="78" t="s">
        <x:v>582</x:v>
      </x:c>
      <x:c r="F8" s="78" t="s">
        <x:v>571</x:v>
      </x:c>
      <x:c r="G8" s="78" t="s">
        <x:v>590</x:v>
      </x:c>
      <x:c r="H8" s="78" t="s">
        <x:v>573</x:v>
      </x:c>
      <x:c r="I8" s="81">
        <x:v>46222</x:v>
      </x:c>
      <x:c r="J8" s="78" t="s">
        <x:v>591</x:v>
      </x:c>
    </x:row>
    <x:row r="9" ht="28.5">
      <x:c r="A9" s="78" t="s">
        <x:v>592</x:v>
      </x:c>
      <x:c r="B9" s="78" t="s">
        <x:v>568</x:v>
      </x:c>
      <x:c r="C9" s="78" t="s">
        <x:v>593</x:v>
      </x:c>
      <x:c r="D9" s="78" t="s">
        <x:v>594</x:v>
      </x:c>
      <x:c r="E9" s="78" t="s">
        <x:v>570</x:v>
      </x:c>
      <x:c r="F9" s="78" t="s">
        <x:v>571</x:v>
      </x:c>
      <x:c r="G9" s="78" t="s">
        <x:v>595</x:v>
      </x:c>
      <x:c r="H9" s="78" t="s">
        <x:v>573</x:v>
      </x:c>
      <x:c r="I9" s="81">
        <x:v>46257</x:v>
      </x:c>
      <x:c r="J9" s="78" t="s">
        <x:v>596</x:v>
      </x:c>
    </x:row>
    <x:row r="10" ht="28.5">
      <x:c r="A10" s="78" t="s">
        <x:v>597</x:v>
      </x:c>
      <x:c r="B10" s="78" t="s">
        <x:v>598</x:v>
      </x:c>
      <x:c r="C10" s="78" t="s">
        <x:v>599</x:v>
      </x:c>
      <x:c r="D10" s="78" t="s">
        <x:v>600</x:v>
      </x:c>
      <x:c r="E10" s="78" t="s">
        <x:v>594</x:v>
      </x:c>
      <x:c r="F10" s="78" t="s">
        <x:v>571</x:v>
      </x:c>
      <x:c r="G10" s="78" t="s">
        <x:v>601</x:v>
      </x:c>
      <x:c r="H10" s="78" t="s">
        <x:v>602</x:v>
      </x:c>
      <x:c r="I10" s="81">
        <x:v>46208</x:v>
      </x:c>
      <x:c r="J10" s="78" t="s">
        <x:v>603</x:v>
      </x:c>
    </x:row>
    <x:row r="11" ht="28.5">
      <x:c r="A11" s="78" t="s">
        <x:v>604</x:v>
      </x:c>
      <x:c r="B11" s="78" t="s">
        <x:v>598</x:v>
      </x:c>
      <x:c r="C11" s="78" t="s">
        <x:v>605</x:v>
      </x:c>
      <x:c r="D11" s="78" t="s">
        <x:v>600</x:v>
      </x:c>
      <x:c r="E11" s="78" t="s">
        <x:v>582</x:v>
      </x:c>
      <x:c r="F11" s="78" t="s">
        <x:v>571</x:v>
      </x:c>
      <x:c r="G11" s="78" t="s">
        <x:v>606</x:v>
      </x:c>
      <x:c r="H11" s="78" t="s">
        <x:v>602</x:v>
      </x:c>
      <x:c r="I11" s="81">
        <x:v>46209</x:v>
      </x:c>
      <x:c r="J11" s="78" t="s">
        <x:v>607</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Accepted</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ht="720" customHeight="1">
      <x:c r="A28" s="431" t="str">
        <x:v>I-009</x:v>
      </x:c>
      <x:c r="B28" s="431" t="str">
        <x:v>Issue</x:v>
      </x:c>
      <x:c r="C28" s="431" t="str">
        <x:v>The D-113 first held-out run consumed all eight scenarios with exit 70 before any complete atomic publication. Static and preflight controls passed, but no semantic result exists and captured evidence lacks a lower-level root cause.</x:v>
      </x:c>
      <x:c r="D28" s="431" t="str">
        <x:v>N/A</x:v>
      </x:c>
      <x:c r="E28" s="431" t="str">
        <x:v>High</x:v>
      </x:c>
      <x:c r="F28" s="431" t="str">
        <x:v>Jason</x:v>
      </x:c>
      <x:c r="G28" s="431" t="str">
        <x:v>Preserve the family, runner, raw evidence, and comparison unchanged; prohibit rerun. Require D-114 before development-only reproduction. Add a production-equivalent non-held-out four-output publication sentinel and sanitized publication-stage plus exception/OS diagnostics before any new runner freeze.</x:v>
      </x:c>
      <x:c r="H28" s="431" t="str">
        <x:v>Closed / D-114 Verified</x:v>
      </x:c>
      <x:c r="I28" s="431" t="n">
        <x:v>46225</x:v>
      </x:c>
      <x:c r="J28" s="431" t="str">
        <x:v>D-114 preserved the consumed run and reproduced the defect with development-only inputs. The root cause was the former staging path length. Short internal names, exact diagnostics, fallback evidence, and the bounded sentinel verify corrective action. The original benchmark remains not evaluable and cannot be rerun.</x:v>
      </x:c>
    </x:row>
    <x:row r="29" ht="540" customHeight="1">
      <x:c r="A29" s="431" t="str">
        <x:v>R-018</x:v>
      </x:c>
      <x:c r="B29" s="431" t="str">
        <x:v>Risk</x:v>
      </x:c>
      <x:c r="C29" s="431" t="str">
        <x:v>An internal AI management system could be mistaken for ISO/IEC 42001 conformity, certification, legal compliance, independent assurance, or a guarantee that AI is safe.</x:v>
      </x:c>
      <x:c r="D29" s="431" t="str">
        <x:v>Low</x:v>
      </x:c>
      <x:c r="E29" s="431" t="str">
        <x:v>High</x:v>
      </x:c>
      <x:c r="F29" s="431" t="str">
        <x:v>Jason</x:v>
      </x:c>
      <x:c r="G29" s="431" t="str">
        <x:v>Use only official public sources for high-level alignment; keep the supplied restricted copy outside Git; state the claims boundary in policy, README, reports, and machine records; require a properly licensed standard and competent independent assessment before any formal conformity claim.</x:v>
      </x:c>
      <x:c r="H29" s="431" t="str">
        <x:v>Controlled / Future Gate</x:v>
      </x:c>
      <x:c r="I29" s="431" t="n">
        <x:v>46225</x:v>
      </x:c>
      <x:c r="J29" s="431" t="str">
        <x:v>D-115, AIC-008, AIMS-GAP-001, and IMP-029 preserve the boundary. certification_status is schema-fixed to not_claimed and every external reference forbids repository copying.</x:v>
      </x:c>
    </x:row>
    <x:row r="30" ht="155" customHeight="1">
      <x:c r="A30" s="431" t="str">
        <x:v>I-010</x:v>
      </x:c>
      <x:c r="B30" s="431" t="str">
        <x:v>Issue</x:v>
      </x:c>
      <x:c r="C30" s="431" t="str">
        <x:v>D-116 runner revisions 1-3 failed before opaque execution because runner-level dependency visibility did not match the nested sentinel, control imports created uninventoried bytecode, and a long physical root exceeded the whole staged-tree Windows path budget.</x:v>
      </x:c>
      <x:c r="D30" s="431" t="str">
        <x:v>N/A</x:v>
      </x:c>
      <x:c r="E30" s="431" t="str">
        <x:v>High</x:v>
      </x:c>
      <x:c r="F30" s="431" t="str">
        <x:v>Jason</x:v>
      </x:c>
      <x:c r="G30" s="431" t="str">
        <x:v>Preserve every failed revision. Freeze dependencies in a capsule-local environment; use -B and pre-import bytecode suppression; reject cache artifacts; calculate every staged path; require the real development sentinel in the final short physical root.</x:v>
      </x:c>
      <x:c r="H30" s="431" t="str">
        <x:v>Closed / Runner R4 Verified</x:v>
      </x:c>
      <x:c r="I30" s="431" t="n">
        <x:v>46226</x:v>
      </x:c>
      <x:c r="J30" s="431" t="str">
        <x:v>Revisions 1-3 remain byte-exact and unexecuted against opaque inputs. Runner R4 passed 8/8 mandatory and 51/51 detailed controls; one development sentinel published four valid outputs, static hashes remained exact, and opaque execution count stayed zero. IMP-033-IMP-035 retain the controls.</x:v>
      </x:c>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608</x:v>
      </x:c>
      <x:c r="B1" s="235"/>
      <x:c r="C1" s="235"/>
      <x:c r="D1" s="235"/>
      <x:c r="E1" s="235"/>
      <x:c r="F1" s="235"/>
      <x:c r="G1" s="235"/>
      <x:c r="H1" s="235"/>
      <x:c r="I1" s="235"/>
    </x:row>
    <x:row r="3" ht="15">
      <x:c r="A3" s="80" t="s">
        <x:v>609</x:v>
      </x:c>
      <x:c r="B3" s="80" t="s">
        <x:v>448</x:v>
      </x:c>
      <x:c r="C3" s="80" t="s">
        <x:v>48</x:v>
      </x:c>
      <x:c r="D3" s="80" t="s">
        <x:v>181</x:v>
      </x:c>
      <x:c r="E3" s="80" t="s">
        <x:v>196</x:v>
      </x:c>
      <x:c r="F3" s="80" t="s">
        <x:v>610</x:v>
      </x:c>
      <x:c r="G3" s="80" t="s">
        <x:v>611</x:v>
      </x:c>
      <x:c r="H3" s="80" t="s">
        <x:v>56</x:v>
      </x:c>
      <x:c r="I3" s="80" t="s">
        <x:v>61</x:v>
      </x:c>
    </x:row>
    <x:row r="4" ht="28.5">
      <x:c r="A4" s="78" t="s">
        <x:v>612</x:v>
      </x:c>
      <x:c r="B4" s="81">
        <x:v>46201</x:v>
      </x:c>
      <x:c r="C4" s="78" t="s">
        <x:v>62</x:v>
      </x:c>
      <x:c r="D4" s="78" t="s">
        <x:v>613</x:v>
      </x:c>
      <x:c r="E4" s="78" t="s">
        <x:v>614</x:v>
      </x:c>
      <x:c r="F4" s="78" t="s">
        <x:v>615</x:v>
      </x:c>
      <x:c r="G4" s="78" t="s">
        <x:v>616</x:v>
      </x:c>
      <x:c r="H4" s="78" t="s">
        <x:v>617</x:v>
      </x:c>
      <x:c r="I4" s="78" t="s">
        <x:v>618</x:v>
      </x:c>
    </x:row>
    <x:row r="5" ht="28.5">
      <x:c r="A5" s="78" t="s">
        <x:v>619</x:v>
      </x:c>
      <x:c r="B5" s="81">
        <x:v>46203</x:v>
      </x:c>
      <x:c r="C5" s="78" t="s">
        <x:v>68</x:v>
      </x:c>
      <x:c r="D5" s="78" t="s">
        <x:v>620</x:v>
      </x:c>
      <x:c r="E5" s="78" t="s">
        <x:v>621</x:v>
      </x:c>
      <x:c r="F5" s="78" t="s">
        <x:v>622</x:v>
      </x:c>
      <x:c r="G5" s="78" t="s">
        <x:v>623</x:v>
      </x:c>
      <x:c r="H5" s="78" t="s">
        <x:v>617</x:v>
      </x:c>
      <x:c r="I5" s="78" t="s">
        <x:v>624</x:v>
      </x:c>
    </x:row>
    <x:row r="6" ht="28.5">
      <x:c r="A6" s="78" t="s">
        <x:v>625</x:v>
      </x:c>
      <x:c r="B6" s="81">
        <x:v>46207</x:v>
      </x:c>
      <x:c r="C6" s="78" t="s">
        <x:v>73</x:v>
      </x:c>
      <x:c r="D6" s="78" t="s">
        <x:v>626</x:v>
      </x:c>
      <x:c r="E6" s="78" t="s">
        <x:v>627</x:v>
      </x:c>
      <x:c r="F6" s="78" t="s">
        <x:v>628</x:v>
      </x:c>
      <x:c r="G6" s="78" t="s">
        <x:v>629</x:v>
      </x:c>
      <x:c r="H6" s="78" t="s">
        <x:v>617</x:v>
      </x:c>
      <x:c r="I6" s="78" t="s">
        <x:v>630</x:v>
      </x:c>
    </x:row>
    <x:row r="7" ht="28.5">
      <x:c r="A7" s="78" t="s">
        <x:v>631</x:v>
      </x:c>
      <x:c r="B7" s="81">
        <x:v>46207</x:v>
      </x:c>
      <x:c r="C7" s="78" t="s">
        <x:v>73</x:v>
      </x:c>
      <x:c r="D7" s="78" t="s">
        <x:v>632</x:v>
      </x:c>
      <x:c r="E7" s="78" t="s">
        <x:v>633</x:v>
      </x:c>
      <x:c r="F7" s="78" t="s">
        <x:v>634</x:v>
      </x:c>
      <x:c r="G7" s="78" t="s">
        <x:v>635</x:v>
      </x:c>
      <x:c r="H7" s="78" t="s">
        <x:v>617</x:v>
      </x:c>
      <x:c r="I7" s="78" t="s">
        <x:v>636</x:v>
      </x:c>
    </x:row>
    <x:row r="8">
      <x:c r="A8" s="78" t="s">
        <x:v>637</x:v>
      </x:c>
      <x:c r="B8" s="81">
        <x:v>46207</x:v>
      </x:c>
      <x:c r="C8" s="78" t="s">
        <x:v>73</x:v>
      </x:c>
      <x:c r="D8" s="78" t="s">
        <x:v>638</x:v>
      </x:c>
      <x:c r="E8" s="78" t="s">
        <x:v>633</x:v>
      </x:c>
      <x:c r="F8" s="78" t="s">
        <x:v>639</x:v>
      </x:c>
      <x:c r="G8" s="78" t="s">
        <x:v>640</x:v>
      </x:c>
      <x:c r="H8" s="78" t="s">
        <x:v>617</x:v>
      </x:c>
      <x:c r="I8" s="78" t="s">
        <x:v>641</x:v>
      </x:c>
    </x:row>
    <x:row r="9">
      <x:c r="A9" s="78" t="s">
        <x:v>642</x:v>
      </x:c>
      <x:c r="B9" s="81">
        <x:v>46207</x:v>
      </x:c>
      <x:c r="C9" s="78" t="s">
        <x:v>73</x:v>
      </x:c>
      <x:c r="D9" s="78" t="s">
        <x:v>643</x:v>
      </x:c>
      <x:c r="E9" s="78" t="s">
        <x:v>633</x:v>
      </x:c>
      <x:c r="F9" s="78" t="s">
        <x:v>644</x:v>
      </x:c>
      <x:c r="G9" s="78" t="s">
        <x:v>645</x:v>
      </x:c>
      <x:c r="H9" s="78" t="s">
        <x:v>617</x:v>
      </x:c>
      <x:c r="I9" s="78" t="s">
        <x:v>646</x:v>
      </x:c>
    </x:row>
    <x:row r="10" ht="28.5">
      <x:c r="A10" s="78" t="s">
        <x:v>647</x:v>
      </x:c>
      <x:c r="B10" s="81">
        <x:v>46207</x:v>
      </x:c>
      <x:c r="C10" s="78" t="s">
        <x:v>68</x:v>
      </x:c>
      <x:c r="D10" s="78" t="s">
        <x:v>648</x:v>
      </x:c>
      <x:c r="E10" s="78" t="s">
        <x:v>649</x:v>
      </x:c>
      <x:c r="F10" s="78" t="s">
        <x:v>207</x:v>
      </x:c>
      <x:c r="G10" s="78" t="s">
        <x:v>650</x:v>
      </x:c>
      <x:c r="H10" s="78" t="s">
        <x:v>617</x:v>
      </x:c>
      <x:c r="I10" s="78" t="s">
        <x:v>651</x:v>
      </x:c>
    </x:row>
    <x:row r="11" ht="28.5">
      <x:c r="A11" s="78" t="s">
        <x:v>652</x:v>
      </x:c>
      <x:c r="B11" s="81">
        <x:v>46207</x:v>
      </x:c>
      <x:c r="C11" s="78" t="s">
        <x:v>68</x:v>
      </x:c>
      <x:c r="D11" s="78" t="s">
        <x:v>653</x:v>
      </x:c>
      <x:c r="E11" s="78" t="s">
        <x:v>201</x:v>
      </x:c>
      <x:c r="F11" s="78" t="s">
        <x:v>654</x:v>
      </x:c>
      <x:c r="G11" s="78" t="s">
        <x:v>655</x:v>
      </x:c>
      <x:c r="H11" s="78" t="s">
        <x:v>617</x:v>
      </x:c>
      <x:c r="I11" s="78" t="s">
        <x:v>656</x:v>
      </x:c>
    </x:row>
    <x:row r="12" ht="28.5">
      <x:c r="A12" s="78" t="s">
        <x:v>657</x:v>
      </x:c>
      <x:c r="B12" s="81">
        <x:v>46207</x:v>
      </x:c>
      <x:c r="C12" s="78" t="s">
        <x:v>68</x:v>
      </x:c>
      <x:c r="D12" s="78" t="s">
        <x:v>658</x:v>
      </x:c>
      <x:c r="E12" s="78" t="s">
        <x:v>659</x:v>
      </x:c>
      <x:c r="F12" s="78" t="s">
        <x:v>660</x:v>
      </x:c>
      <x:c r="G12" s="78" t="s">
        <x:v>19</x:v>
      </x:c>
      <x:c r="H12" s="78" t="s">
        <x:v>617</x:v>
      </x:c>
      <x:c r="I12" s="78" t="s">
        <x:v>661</x:v>
      </x:c>
    </x:row>
    <x:row r="13" ht="60" customHeight="1">
      <x:c r="A13" s="198" t="s">
        <x:v>662</x:v>
      </x:c>
      <x:c r="B13" s="199">
        <x:v>46208</x:v>
      </x:c>
      <x:c r="C13" s="200" t="s">
        <x:v>663</x:v>
      </x:c>
      <x:c r="D13" s="200" t="s">
        <x:v>664</x:v>
      </x:c>
      <x:c r="E13" s="200" t="s">
        <x:v>665</x:v>
      </x:c>
      <x:c r="F13" s="200" t="s">
        <x:v>666</x:v>
      </x:c>
      <x:c r="G13" s="200" t="s">
        <x:v>667</x:v>
      </x:c>
      <x:c r="H13" s="200" t="s">
        <x:v>617</x:v>
      </x:c>
      <x:c r="I13" s="201" t="s">
        <x:v>668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Accepted / Integration Pending</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Accepted / Integration Pending</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row r="163" ht="675" customHeight="1">
      <x:c r="A163" s="431" t="str">
        <x:v>EV-160</x:v>
      </x:c>
      <x:c r="B163" s="431" t="n">
        <x:v>46225</x:v>
      </x:c>
      <x:c r="C163" s="431" t="str">
        <x:v>D-113 owner acceptance and conditional first-run authority</x:v>
      </x:c>
      <x:c r="D163" s="431" t="str">
        <x:v>The project owner accepted D-113 on 2026-07-22. The decision authorizes exactly one invocation for each of eight opaque packages only after PR #65 integration, exact-main recording, and complete frozen-identity reverification. Semantic execution count remains zero at acceptance.</x:v>
      </x:c>
      <x:c r="E163" s="431" t="str">
        <x:v>Owner decision / Conditional execution authority / Zero-run handoff</x:v>
      </x:c>
      <x:c r="F163" s="431" t="str">
        <x:v>Owner acceptance 2026-07-22; D-113; PR #65; docs/package_assurance/p4_2_external_custody_freeze_review_v0.3.0.md; EV-153-EV-159</x:v>
      </x:c>
      <x:c r="G163" s="431" t="str">
        <x:v>P4.2 first-run authority</x:v>
      </x:c>
      <x:c r="H163" s="431" t="str">
        <x:v>Accepted / Consumed</x:v>
      </x:c>
      <x:c r="I163" s="431" t="str">
        <x:v>Any invocation or infrastructure failure consumes the scenario. Raw evidence must freeze before protected comparison. Retry, tuning, import, evaluator or fixture change, P4.3 work, public rerun, and release claims remain prohibited.</x:v>
      </x:c>
    </x:row>
    <x:row r="164" ht="675" customHeight="1">
      <x:c r="A164" s="431" t="str">
        <x:v>EV-161</x:v>
      </x:c>
      <x:c r="B164" s="431" t="n">
        <x:v>46225</x:v>
      </x:c>
      <x:c r="C164" s="431" t="str">
        <x:v>D-113 integration and exact-main activation</x:v>
      </x:c>
      <x:c r="D164" s="431" t="str">
        <x:v>PR #65 integrated accepted D-113 at exact main 6a74c74a8331f92342008bff8dd376124148eb36. Frozen evaluator behavior remained 4cf9fe8. The accepted family, runner, schemas, and producer inputs remained external and unchanged through activation.</x:v>
      </x:c>
      <x:c r="E164" s="431" t="str">
        <x:v>Git integration / Exact-main activation / Frozen identity</x:v>
      </x:c>
      <x:c r="F164" s="431" t="str">
        <x:v>PR #65; main 6a74c74a8331f92342008bff8dd376124148eb36; D-113; runner static 54d01f7b...98fb</x:v>
      </x:c>
      <x:c r="G164" s="431" t="str">
        <x:v>P4.2 execution activation</x:v>
      </x:c>
      <x:c r="H164" s="431" t="str">
        <x:v>Accepted / Consumed</x:v>
      </x:c>
      <x:c r="I164" s="431" t="str">
        <x:v>Integration satisfied the final pre-run condition. No repository custody-asset import occurred.</x:v>
      </x:c>
    </x:row>
    <x:row r="165" ht="675" customHeight="1">
      <x:c r="A165" s="431" t="str">
        <x:v>EV-162</x:v>
      </x:c>
      <x:c r="B165" s="431" t="n">
        <x:v>46225</x:v>
      </x:c>
      <x:c r="C165" s="431" t="str">
        <x:v>D-113 one-shot execution and raw-evidence freeze</x:v>
      </x:c>
      <x:c r="D165" s="431" t="str">
        <x:v>Oracle-blind preflight passed 27/27 with 186/186 static files read-only and 181/181 inputs exact. One runner invocation attempted and consumed all eight scenarios. Every evaluator process returned exit 70; zero complete output sets and zero result states were available. Forty raw-evidence files froze at hash 5d45bfa3...3b21.</x:v>
      </x:c>
      <x:c r="E165" s="431" t="str">
        <x:v>One-shot execution / Failure preservation / Raw freeze / No retry</x:v>
      </x:c>
      <x:c r="F165" s="431" t="str">
        <x:v>docs/package_assurance/p4_2_external_first_run_result_evidence_v0.3.0.json; execution summary 502de2d8...b9574; raw 5d45bfa3...3b21</x:v>
      </x:c>
      <x:c r="G165" s="431" t="str">
        <x:v>P4.2 first-run execution evidence</x:v>
      </x:c>
      <x:c r="H165" s="431" t="str">
        <x:v>Failed / Preserved</x:v>
      </x:c>
      <x:c r="I165" s="431" t="str">
        <x:v>No retry, reset, resume, rerun, delete, overwrite, tuning, network access, protected access, or repository modification occurred. All eight scenarios are consumed.</x:v>
      </x:c>
    </x:row>
    <x:row r="166" ht="675" customHeight="1">
      <x:c r="A166" s="431" t="str">
        <x:v>EV-163</x:v>
      </x:c>
      <x:c r="B166" s="431" t="n">
        <x:v>46225</x:v>
      </x:c>
      <x:c r="C166" s="431" t="str">
        <x:v>Independent raw-evidence and failure verification</x:v>
      </x:c>
      <x:c r="D166" s="431" t="str">
        <x:v>A fresh oracle-blind verifier reproduced static identities, exactly one global runner invocation, eight marker-before-invocation attempts, complete failure evidence, exit 70 x8, zero outputs, and the 40-file raw hash with zero public-summary mismatches. Shared class: internal atomic-publication tooling failure; lower-level cause unavailable.</x:v>
      </x:c>
      <x:c r="E166" s="431" t="str">
        <x:v>Independent execution verification / Integrity / Aggregate failure classification</x:v>
      </x:c>
      <x:c r="F166" s="431" t="str">
        <x:v>independent verification ec2005f8...a50f0f; raw 5d45bfa3...3b21; runner 54d01f7b...98fb; IMP-028</x:v>
      </x:c>
      <x:c r="G166" s="431" t="str">
        <x:v>P4.2 independent failed-run verification</x:v>
      </x:c>
      <x:c r="H166" s="431" t="str">
        <x:v>Accepted Evidence</x:v>
      </x:c>
      <x:c r="I166" s="431" t="str">
        <x:v>This proves immutable operational failure evidence, not semantic evaluator performance.</x:v>
      </x:c>
    </x:row>
    <x:row r="167" ht="675" customHeight="1">
      <x:c r="A167" s="431" t="str">
        <x:v>EV-164</x:v>
      </x:c>
      <x:c r="B167" s="431" t="n">
        <x:v>46225</x:v>
      </x:c>
      <x:c r="C167" s="431" t="str">
        <x:v>Post-freeze protected comparison and not-evaluable verdict</x:v>
      </x:c>
      <x:c r="D167" s="431" t="str">
        <x:v>Protected access began only after raw freeze and independent verification. All eight expectations mapped to consumed attempts, but zero semantic outputs were comparable. Accuracy, exact-state/finding performance, false positives, and false negatives are undefined. Raw, protected, and complete-family hashes remained unchanged. Release hold required.</x:v>
      </x:c>
      <x:c r="E167" s="431" t="str">
        <x:v>Separate protected comparison / Claim boundary / Release hold</x:v>
      </x:c>
      <x:c r="F167" s="431" t="str">
        <x:v>comparison 20bdbf9d...ab70b7; docs/package_assurance/p4_2_external_first_run_result_review_v0.3.0.md; D-114 proposed; I-009</x:v>
      </x:c>
      <x:c r="G167" s="431" t="str">
        <x:v>P4.2 benchmark verdict</x:v>
      </x:c>
      <x:c r="H167" s="431" t="str">
        <x:v>Ready for Owner Review</x:v>
      </x:c>
      <x:c r="I167" s="431" t="str">
        <x:v>Aggregate verdict: not_evaluable_due_to_output_publication_failure. No held-out rerun, reuse, or performance claim is authorized.</x:v>
      </x:c>
    </x:row>
    <x:row r="168" ht="720" customHeight="1">
      <x:c r="A168" s="431" t="str">
        <x:v>EV-165</x:v>
      </x:c>
      <x:c r="B168" s="431" t="n">
        <x:v>46225</x:v>
      </x:c>
      <x:c r="C168" s="431" t="str">
        <x:v>D-115 owner directive and governance authority</x:v>
      </x:c>
      <x:c r="D168" s="431" t="str">
        <x:v>The project owner directed ISO/IEC 42001 to become the highest-level AI quality-control basis and authorized full implementation of a quality-control system as the next work block. D-115 records the bounded interpretation: internal governance and CI enforcement without conformity, certification, legal-compliance, guaranteed-safety, or independent-assurance claims.</x:v>
      </x:c>
      <x:c r="E168" s="431" t="str">
        <x:v>Owner instruction / Governance decision / Scope authority</x:v>
      </x:c>
      <x:c r="F168" s="431" t="str">
        <x:v>Owner instruction 2026-07-22; D-115; codex/iso-42001-ai-quality-system</x:v>
      </x:c>
      <x:c r="G168" s="431" t="str">
        <x:v>G0.1 governance authority</x:v>
      </x:c>
      <x:c r="H168" s="431" t="str">
        <x:v>Accepted</x:v>
      </x:c>
      <x:c r="I168" s="431" t="str">
        <x:v>D-114 remains pending and no held-out or semantic work was authorized by this decision.</x:v>
      </x:c>
    </x:row>
    <x:row r="169" ht="720" customHeight="1">
      <x:c r="A169" s="431" t="str">
        <x:v>EV-166</x:v>
      </x:c>
      <x:c r="B169" s="431" t="n">
        <x:v>46225</x:v>
      </x:c>
      <x:c r="C169" s="431" t="str">
        <x:v>AI management policy, manual, impact, and alignment records</x:v>
      </x:c>
      <x:c r="D169" s="431" t="str">
        <x:v>AIMS-POL-001 establishes precedence, human accountability, authorized-data use, evidence-first claims, ten mandatory stop conditions, role separation, and enforcement. The manual defines Plan-Do-Check-Act, eight lifecycle gates, risk scoring, operational controls, incidents, monitoring, audit, management review, and release mode. Impact and gap assessments cover current and future systems and formal limitations.</x:v>
      </x:c>
      <x:c r="E169" s="431" t="str">
        <x:v>Controlled policy / Operating manual / Impact and gap assessment</x:v>
      </x:c>
      <x:c r="F169" s="431" t="str">
        <x:v>docs/governance/ai_management_system_policy_v0.3.0.md; docs/governance/ai_quality_control_manual_v0.3.0.md; docs/governance/ai_impact_assessment_v0.3.0.md; docs/governance/iso_iec_42001_alignment_and_gap_assessment_v0.3.0.md</x:v>
      </x:c>
      <x:c r="G169" s="431" t="str">
        <x:v>AIMS documented controls</x:v>
      </x:c>
      <x:c r="H169" s="431" t="str">
        <x:v>Accepted Evidence</x:v>
      </x:c>
      <x:c r="I169" s="431" t="str">
        <x:v>The supplied PDF is excluded; official ISO and NIST public sources are listed with high-level-use boundaries.</x:v>
      </x:c>
    </x:row>
    <x:row r="170" ht="720" customHeight="1">
      <x:c r="A170" s="431" t="str">
        <x:v>EV-167</x:v>
      </x:c>
      <x:c r="B170" s="431" t="n">
        <x:v>46225</x:v>
      </x:c>
      <x:c r="C170" s="431" t="str">
        <x:v>Machine-readable AI management control plane</x:v>
      </x:c>
      <x:c r="D170" s="431" t="str">
        <x:v>governance/ai_management_system.json inventories 3 systems, 13 risks, 20 controls, 8 mandatory gates, 6 quality objectives, NC-001, AIMS-AUD-001, AIMS-MR-001, and exact release status. The JSON Schema fixes structure, types, allowed states, dates, paths, and certification_status not_claimed.</x:v>
      </x:c>
      <x:c r="E170" s="431" t="str">
        <x:v>Machine-readable inventory / Risk and control register / JSON Schema</x:v>
      </x:c>
      <x:c r="F170" s="431" t="str">
        <x:v>governance/ai_management_system.json; schemas/ai_management_system.schema.json; AIR-001-AIR-013; AIC-001-AIC-020; AIG-01-AIG-08; AIO-001-AIO-006; NC-001</x:v>
      </x:c>
      <x:c r="G170" s="431" t="str">
        <x:v>AIMS control-plane evidence</x:v>
      </x:c>
      <x:c r="H170" s="431" t="str">
        <x:v>Accepted Evidence</x:v>
      </x:c>
      <x:c r="I170" s="431" t="str">
        <x:v>Release is held by AIR-003, AIR-010, and NC-001; pending decision D-114 is explicit.</x:v>
      </x:c>
    </x:row>
    <x:row r="171" ht="720" customHeight="1">
      <x:c r="A171" s="431" t="str">
        <x:v>EV-168</x:v>
      </x:c>
      <x:c r="B171" s="431" t="n">
        <x:v>46225</x:v>
      </x:c>
      <x:c r="C171" s="431" t="str">
        <x:v>Automated governance validation and negative-control proof</x:v>
      </x:c>
      <x:c r="D171" s="431" t="str">
        <x:v>mech_eval_harness.ai_governance validates schema, global IDs, ownership, references, risk arithmetic, high-risk holds, minimum controls, evidence paths, authoritative source hosts, blocked future AI, partial-control gaps, pending decisions, and exact release alignment. Twenty-two focused control tests pass at 84% validator coverage, including positive CLI/state proof and deliberate failures across source, authority, risk, control, gate, data, future-AI, evidence, review-date, pending-decision, and release-state boundaries.</x:v>
      </x:c>
      <x:c r="E171" s="431" t="str">
        <x:v>Executable governance validator / Focused negative tests / CI gate</x:v>
      </x:c>
      <x:c r="F171" s="431" t="str">
        <x:v>src/mech_eval_harness/ai_governance.py; tests/test_ai_governance.py; .github/workflows/ci.yml; 22/22 focused; validator coverage 84%; Ruff passed</x:v>
      </x:c>
      <x:c r="G171" s="431" t="str">
        <x:v>AIMS automated enforcement</x:v>
      </x:c>
      <x:c r="H171" s="431" t="str">
        <x:v>Accepted Evidence</x:v>
      </x:c>
      <x:c r="I171" s="431" t="str">
        <x:v>Normal validation passes and reports HELD. --require-release-ready exits 2 on AIR-003, AIR-010, NC-001, and pending D-114 as designed.</x:v>
      </x:c>
    </x:row>
    <x:row r="172" ht="720" customHeight="1">
      <x:c r="A172" s="431" t="str">
        <x:v>EV-169</x:v>
      </x:c>
      <x:c r="B172" s="431" t="n">
        <x:v>46225</x:v>
      </x:c>
      <x:c r="C172" s="431" t="str">
        <x:v>Governance full regression and frozen baseline verification</x:v>
      </x:c>
      <x:c r="D172" s="431" t="str">
        <x:v>Protected-safe full regression passed 335 with one expected Windows skip at 88.33% coverage. Repository validation passed 5/5, Ruff passed, frozen v0.2.0 baseline replay passed 9/9 using an explicit generated evidence directory, and the portfolio demo passed 2/2.</x:v>
      </x:c>
      <x:c r="E172" s="431" t="str">
        <x:v>Full regression / Coverage / Validation / Frozen baseline / Demo</x:v>
      </x:c>
      <x:c r="F172" s="431" t="str">
        <x:v>runs/g01-ai-governance-final-20260722; full 335/1; coverage 88.33%; validation 5/5; Ruff; baseline 9/9; demo 2/2</x:v>
      </x:c>
      <x:c r="G172" s="431" t="str">
        <x:v>G0.1 regression evidence</x:v>
      </x:c>
      <x:c r="H172" s="431" t="str">
        <x:v>Accepted Evidence</x:v>
      </x:c>
      <x:c r="I172" s="431" t="str">
        <x:v>Protected held-out fixture tests remained excluded and no release-eligible family was accessed.</x:v>
      </x:c>
    </x:row>
    <x:row r="173" ht="720" customHeight="1">
      <x:c r="A173" s="431" t="str">
        <x:v>EV-170</x:v>
      </x:c>
      <x:c r="B173" s="431" t="n">
        <x:v>46225</x:v>
      </x:c>
      <x:c r="C173" s="431" t="str">
        <x:v>Initial AIMS internal audit and management review</x:v>
      </x:c>
      <x:c r="D173" s="431" t="str">
        <x:v>AIMS-AUD-001 found the internal system suitable for the current repository workflow while retaining NC-001 and external assurance gaps. AIMS-MR-001 adopted the policy, machine gate, human authority, rights boundary, and review cycle, and kept D-114 separate and pending.</x:v>
      </x:c>
      <x:c r="E173" s="431" t="str">
        <x:v>Internal audit / Management review / Continual improvement</x:v>
      </x:c>
      <x:c r="F173" s="431" t="str">
        <x:v>docs/governance/internal_audit_2026-07-22.md; docs/governance/management_review_2026-07-22.md; IMP-029-IMP-030; R-018</x:v>
      </x:c>
      <x:c r="G173" s="431" t="str">
        <x:v>AIMS performance evaluation</x:v>
      </x:c>
      <x:c r="H173" s="431" t="str">
        <x:v>Accepted with Holds</x:v>
      </x:c>
      <x:c r="I173" s="431" t="str">
        <x:v>This is an internal review with disclosed independence limitations, not external assurance or certification.</x:v>
      </x:c>
    </x:row>
    <x:row r="174" ht="160" customHeight="1">
      <x:c r="A174" s="431" t="str">
        <x:v>EV-171</x:v>
      </x:c>
      <x:c r="B174" s="431" t="n">
        <x:v>46225</x:v>
      </x:c>
      <x:c r="C174" s="431" t="str">
        <x:v>D-115 governance integration</x:v>
      </x:c>
      <x:c r="D174" s="431" t="str">
        <x:v>PR #67 passed both hosted CI checks and merged the complete AI management and quality-control system to main at exact 540a1f6. Local main was fast-forwarded cleanly before D-114 work began.</x:v>
      </x:c>
      <x:c r="E174" s="431" t="str">
        <x:v>Merge / Exact-main verification / Governance integration</x:v>
      </x:c>
      <x:c r="F174" s="431" t="str">
        <x:v>PR #67; main 540a1f6; codex/iso-42001-ai-quality-system</x:v>
      </x:c>
      <x:c r="G174" s="431" t="str">
        <x:v>G0.1 integration evidence</x:v>
      </x:c>
      <x:c r="H174" s="431" t="str">
        <x:v>Accepted Evidence</x:v>
      </x:c>
      <x:c r="I174" s="431" t="str">
        <x:v>D-115 remains the continuous governance overlay; this merge did not itself accept D-114.</x:v>
      </x:c>
    </x:row>
    <x:row r="175" ht="160" customHeight="1">
      <x:c r="A175" s="431" t="str">
        <x:v>EV-172</x:v>
      </x:c>
      <x:c r="B175" s="431" t="n">
        <x:v>46225</x:v>
      </x:c>
      <x:c r="C175" s="431" t="str">
        <x:v>D-114 owner acceptance and scope authority</x:v>
      </x:c>
      <x:c r="D175" s="431" t="str">
        <x:v>The owner accepted D-114 after merging PR #67. Authority is limited to development/public-synthetic reproduction, root-cause identification, exact diagnostics, the smallest publication correction, a non-held-out sentinel, regression evidence, and a separate recovery definition.</x:v>
      </x:c>
      <x:c r="E175" s="431" t="str">
        <x:v>Owner instruction / Corrective-action authority / Scope boundary</x:v>
      </x:c>
      <x:c r="F175" s="431" t="str">
        <x:v>Owner instruction 2026-07-22; D-114; codex/p4.2-publication-stabilization</x:v>
      </x:c>
      <x:c r="G175" s="431" t="str">
        <x:v>P4.2 corrective-action authority</x:v>
      </x:c>
      <x:c r="H175" s="431" t="str">
        <x:v>Accepted</x:v>
      </x:c>
      <x:c r="I175" s="431" t="str">
        <x:v>No held-out rerun/reuse, new family, protected change, semantic change, P4.3, public rerun, import, or release claim was authorized.</x:v>
      </x:c>
    </x:row>
    <x:row r="176" ht="160" customHeight="1">
      <x:c r="A176" s="431" t="str">
        <x:v>EV-173</x:v>
      </x:c>
      <x:c r="B176" s="431" t="n">
        <x:v>46225</x:v>
      </x:c>
      <x:c r="C176" s="431" t="str">
        <x:v>Development-only publication reproduction and exact root cause</x:v>
      </x:c>
      <x:c r="D176" s="431" t="str">
        <x:v>A bounded read-only external-bundle layout using only the development pump-skid reproduced exit 70 and zero outputs. A direct legacy first-output probe at 263 characters returned FileNotFoundError/errno 2. The former run-ID-bearing staging name, not evaluator semantics, crossed the Windows legacy path boundary.</x:v>
      </x:c>
      <x:c r="E176" s="431" t="str">
        <x:v>Controlled reproduction / Root-cause evidence / Negative proof</x:v>
      </x:c>
      <x:c r="F176" s="431" t="str">
        <x:v>runs/p4.2-d114-reproduction; docs/package_assurance/p4_2_publication_stabilization_review_v0.3.0.md; IMP-031</x:v>
      </x:c>
      <x:c r="G176" s="431" t="str">
        <x:v>D-114 reproduction evidence</x:v>
      </x:c>
      <x:c r="H176" s="431" t="str">
        <x:v>Accepted Evidence</x:v>
      </x:c>
      <x:c r="I176" s="431" t="str">
        <x:v>No protected fixture test or release-eligible family directory was opened, listed, imported, changed, or executed.</x:v>
      </x:c>
    </x:row>
    <x:row r="177" ht="160" customHeight="1">
      <x:c r="A177" s="431" t="str">
        <x:v>EV-174</x:v>
      </x:c>
      <x:c r="B177" s="431" t="n">
        <x:v>46225</x:v>
      </x:c>
      <x:c r="C177" s="431" t="str">
        <x:v>Minimal publication correction and exact failure diagnostics</x:v>
      </x:c>
      <x:c r="D177" s="431" t="str">
        <x:v>Internal staging now uses .tmp-&lt;8 hex&gt;; failed evidence uses .failed-&lt;8 hex&gt;; the immutable final run ID and output contract are unchanged. Failure evidence records stage, run ID, error type, errno, and winerror when available, with a short parent fallback marker.</x:v>
      </x:c>
      <x:c r="E177" s="431" t="str">
        <x:v>Corrective implementation / Failure evidence / Regression prevention</x:v>
      </x:c>
      <x:c r="F177" s="431" t="str">
        <x:v>src/mech_eval_harness/package_assurance/publication.py; tests/test_package_audit_publication.py; tests/test_cli_audit_package.py; IMP-028; IMP-031</x:v>
      </x:c>
      <x:c r="G177" s="431" t="str">
        <x:v>D-114 corrective-action evidence</x:v>
      </x:c>
      <x:c r="H177" s="431" t="str">
        <x:v>Accepted Evidence</x:v>
      </x:c>
      <x:c r="I177" s="431" t="str">
        <x:v>Existing final-rename retry and collision/overwrite behavior are unchanged; no semantic gate, check, state, schema, or fixture changed.</x:v>
      </x:c>
    </x:row>
    <x:row r="178" ht="160" customHeight="1">
      <x:c r="A178" s="431" t="str">
        <x:v>EV-175</x:v>
      </x:c>
      <x:c r="B178" s="431" t="n">
        <x:v>46225</x:v>
      </x:c>
      <x:c r="C178" s="431" t="str">
        <x:v>Production-equivalent four-output publication sentinel</x:v>
      </x:c>
      <x:c r="D178" s="431" t="str">
        <x:v>The sentinel staged 46 read-only evaluator/schema/package files, excluded expected assets and inherited PATH/credentials/proxies, preserved exact pre/post hash 5f5d5008...363c, used a 193-character runs root where the legacy staged path would be 264 characters, and published four schema-valid automatic-pass outputs.</x:v>
      </x:c>
      <x:c r="E178" s="431" t="str">
        <x:v>End-to-end sentinel / Bounded environment / Hash and schema proof</x:v>
      </x:c>
      <x:c r="F178" s="431" t="str">
        <x:v>scripts/run_package_assurance_publication_sentinel.py; .github/workflows/ci.yml; runs/p4.2-d114-final-20260722/publication-sentinel/SENTINEL-20260723T043500Z-4af53646/sentinel_summary.json; summary SHA-256 0c8f9511...37cf</x:v>
      </x:c>
      <x:c r="G178" s="431" t="str">
        <x:v>D-114 preventive-control evidence</x:v>
      </x:c>
      <x:c r="H178" s="431" t="str">
        <x:v>Accepted Evidence</x:v>
      </x:c>
      <x:c r="I178" s="431" t="str">
        <x:v>The sentinel is non-held-out and must pass before any future one-shot runner can be frozen.</x:v>
      </x:c>
    </x:row>
    <x:row r="179" ht="160" customHeight="1">
      <x:c r="A179" s="431" t="str">
        <x:v>EV-176</x:v>
      </x:c>
      <x:c r="B179" s="431" t="n">
        <x:v>46225</x:v>
      </x:c>
      <x:c r="C179" s="431" t="str">
        <x:v>D-114 regression, benchmark, baseline, demo, and governance proof</x:v>
      </x:c>
      <x:c r="D179" s="431" t="str">
        <x:v>Focused publication/CLI/governance/sentinel-helper tests passed 53/53. Protected-safe local full regression passed 340 with one expected skip at 88.48%; validation 5/5 and Ruff passed. P4.1-DEV-1 passed 22/22, frozen baseline 9/9, and demo 2/2. Governance normal mode passes while strict mode exits 2 on AIR-003 and pending D-116.</x:v>
      </x:c>
      <x:c r="E179" s="431" t="str">
        <x:v>Focused and full regression / Development benchmark / Frozen baseline / Governance</x:v>
      </x:c>
      <x:c r="F179" s="431" t="str">
        <x:v>runs/p4.2-d114-final-20260722; docs/package_assurance/p4_2_publication_stabilization_evidence_v0.3.0.json</x:v>
      </x:c>
      <x:c r="G179" s="431" t="str">
        <x:v>D-114 verification evidence</x:v>
      </x:c>
      <x:c r="H179" s="431" t="str">
        <x:v>Accepted Evidence</x:v>
      </x:c>
      <x:c r="I179" s="431" t="str">
        <x:v>The protected fixture module remained excluded. No held-out performance claim is made.</x:v>
      </x:c>
    </x:row>
    <x:row r="180" ht="160" customHeight="1">
      <x:c r="A180" s="431" t="str">
        <x:v>EV-177</x:v>
      </x:c>
      <x:c r="B180" s="431" t="n">
        <x:v>46225</x:v>
      </x:c>
      <x:c r="C180" s="431" t="str">
        <x:v>D-114 closeout and proposed external recovery gate</x:v>
      </x:c>
      <x:c r="D180" s="431" t="str">
        <x:v>The closeout records D-114 acceptance, root cause, correction, sentinel, claims boundary, AIR-010 control, and NC-001 closure. Proposed D-116 defines one independent zero-run external family preparation with an in-bundle sentinel and a separate D-117 freeze decision before semantic execution.</x:v>
      </x:c>
      <x:c r="E180" s="431" t="str">
        <x:v>Corrective-action review / Recovery definition / Governance update</x:v>
      </x:c>
      <x:c r="F180" s="431" t="str">
        <x:v>docs/package_assurance/p4_2_publication_stabilization_review_v0.3.0.md; docs/package_assurance/p4_2_publication_stabilization_evidence_v0.3.0.json; docs/package_assurance/p4_2_external_benchmark_recovery_definition_v0.3.0.md; governance/ai_management_system.json; D-114; proposed D-116; IMP-032</x:v>
      </x:c>
      <x:c r="G180" s="431" t="str">
        <x:v>P4.2 recovery handoff</x:v>
      </x:c>
      <x:c r="H180" s="431" t="str">
        <x:v>Owner Review Required</x:v>
      </x:c>
      <x:c r="I180" s="431" t="str">
        <x:v>Release remains held by AIR-003 and pending D-116. The D-113 family remains consumed and prohibited from rerun or reuse.</x:v>
      </x:c>
    </x:row>
    <x:row r="181" ht="160" customHeight="1">
      <x:c r="A181" s="431" t="str">
        <x:v>EV-178</x:v>
      </x:c>
      <x:c r="B181" s="431" t="n">
        <x:v>46225</x:v>
      </x:c>
      <x:c r="C181" s="431" t="str">
        <x:v>PR #68 hosted publication-sentinel and regression proof</x:v>
      </x:c>
      <x:c r="D181" s="431" t="str">
        <x:v>After the initial hosted sentinel correctly exposed a checkout-root portability assumption, implementation 1c5216e made 193 characters a minimum stress length and added three helper controls. Both push and PR workflows then passed. Hosted Linux used a 223-character runs root, published four automatic-pass outputs, and passed 341 tests at 88.50% coverage. The final scope audit also recorded IMP-032 for one broad search over tracked release-ineligible historical fixture folders.</x:v>
      </x:c>
      <x:c r="E181" s="431" t="str">
        <x:v>Hosted CI / Cross-platform sentinel / Corrective follow-up / Scope audit</x:v>
      </x:c>
      <x:c r="F181" s="431" t="str">
        <x:v>PR #68; implementation 1c5216e; GitHub Actions runs 29980958009 and 29980959507; tests/test_publication_sentinel.py; IMP-032</x:v>
      </x:c>
      <x:c r="G181" s="431" t="str">
        <x:v>D-114 hosted verification</x:v>
      </x:c>
      <x:c r="H181" s="431" t="str">
        <x:v>Accepted Evidence</x:v>
      </x:c>
      <x:c r="I181" s="431" t="str">
        <x:v>The external D-113 family and raw evidence remained outside Git and were not accessed. No future D-116 family exists, no semantic run occurred, and AIR-003 plus pending D-116 continue to hold release.</x:v>
      </x:c>
    </x:row>
    <x:row r="182" ht="175" customHeight="1">
      <x:c r="A182" s="431" t="str">
        <x:v>EV-179</x:v>
      </x:c>
      <x:c r="B182" s="431" t="n">
        <x:v>46226</x:v>
      </x:c>
      <x:c r="C182" s="431" t="str">
        <x:v>PR #68 integration and D-116 owner acceptance</x:v>
      </x:c>
      <x:c r="D182" s="431" t="str">
        <x:v>PR #68 passed both hosted checks and merged D-114 to exact main 3a6766f. The owner then accepted D-116 for one materially distinct external family and oracle-blind runner preparation with zero semantic execution and a separate D-117 gate.</x:v>
      </x:c>
      <x:c r="E182" s="431" t="str">
        <x:v>Merge / Owner decision / Scope authority</x:v>
      </x:c>
      <x:c r="F182" s="431" t="str">
        <x:v>PR #68; main 3a6766f; owner instruction 2026-07-23; D-116</x:v>
      </x:c>
      <x:c r="G182" s="431" t="str">
        <x:v>P4.2 recovery authority</x:v>
      </x:c>
      <x:c r="H182" s="431" t="str">
        <x:v>Accepted Evidence</x:v>
      </x:c>
      <x:c r="I182" s="431" t="str">
        <x:v>D-116 authorized preparation and independent zero-run freeze only. AIR-003, semantic execution, protected comparison, P4.3, and release claims remained held.</x:v>
      </x:c>
    </x:row>
    <x:row r="183" ht="175" customHeight="1">
      <x:c r="A183" s="431" t="str">
        <x:v>EV-180</x:v>
      </x:c>
      <x:c r="B183" s="431" t="n">
        <x:v>46226</x:v>
      </x:c>
      <x:c r="C183" s="431" t="str">
        <x:v>External family authorship and custody separation</x:v>
      </x:c>
      <x:c r="D183" s="431" t="str">
        <x:v>FAM-D116-CIM-20260723-01 is a self-authored synthetic carton-indexing conveyor family with eight opaque scenarios, 129 producer files, three protected files, 140 inventory entries, exact rights/provenance, schema-valid manifests, complete authority/oracle contract, and zero producer-visible oracle leakage.</x:v>
      </x:c>
      <x:c r="E183" s="431" t="str">
        <x:v>External custody / Rights / Structure / Leakage</x:v>
      </x:c>
      <x:c r="F183" s="431" t="str">
        <x:v>docs/package_assurance/p4_2_external_benchmark_recovery_freeze_evidence_v0.3.0.json; family public handoff; producer hash ccaf7ed4...2173; protected hash 27911e90...002</x:v>
      </x:c>
      <x:c r="G183" s="431" t="str">
        <x:v>D-116 family freeze evidence</x:v>
      </x:c>
      <x:c r="H183" s="431" t="str">
        <x:v>Accepted Evidence</x:v>
      </x:c>
      <x:c r="I183" s="431" t="str">
        <x:v>Family and oracle remain outside Git. The implementation context read public handoffs only. Protected values were not published.</x:v>
      </x:c>
    </x:row>
    <x:row r="184" ht="175" customHeight="1">
      <x:c r="A184" s="431" t="str">
        <x:v>EV-181</x:v>
      </x:c>
      <x:c r="B184" s="431" t="n">
        <x:v>46226</x:v>
      </x:c>
      <x:c r="C184" s="431" t="str">
        <x:v>Preserved runner failures and preventive controls</x:v>
      </x:c>
      <x:c r="D184" s="431" t="str">
        <x:v>Runner revisions 1-3 were rejected before opaque execution for nested dependency visibility, import-time bytecode mutation, and whole-tree Windows path length. Every failed capsule and report remains byte-exact; IMP-033-IMP-035 convert each failure into a mandatory control.</x:v>
      </x:c>
      <x:c r="E184" s="431" t="str">
        <x:v>Failed-run preservation / Root cause / Prevention</x:v>
      </x:c>
      <x:c r="F184" s="431" t="str">
        <x:v>docs/package_assurance/p4_2_external_benchmark_recovery_freeze_review_v0.3.0.md; IMP-033-IMP-035; runner R1-R3 preservation hashes</x:v>
      </x:c>
      <x:c r="G184" s="431" t="str">
        <x:v>D-116 improvement-loop evidence</x:v>
      </x:c>
      <x:c r="H184" s="431" t="str">
        <x:v>Accepted Evidence</x:v>
      </x:c>
      <x:c r="I184" s="431" t="str">
        <x:v>No failed revision was retried or repaired in place. No opaque audit or protected comparison occurred.</x:v>
      </x:c>
    </x:row>
    <x:row r="185" ht="175" customHeight="1">
      <x:c r="A185" s="431" t="str">
        <x:v>EV-182</x:v>
      </x:c>
      <x:c r="B185" s="431" t="n">
        <x:v>46226</x:v>
      </x:c>
      <x:c r="C185" s="431" t="str">
        <x:v>Oracle-blind runner revision 4 static freeze</x:v>
      </x:c>
      <x:c r="D185" s="431" t="str">
        <x:v>RUNNER-D116-CIM-20260723-04 freezes exact evaluator 3a6766f, 48/48 Git blobs, 340 read-only static files, 339 inventory entries, a pip-free capsule interpreter, five dependency distributions, zero cache artifacts, bounded environment, one-shot consumption, and no retry/resume/overwrite/tuning/protected-comparison path.</x:v>
      </x:c>
      <x:c r="E185" s="431" t="str">
        <x:v>Runner freeze / Static identity / Environment / One-shot control</x:v>
      </x:c>
      <x:c r="F185" s="431" t="str">
        <x:v>runner aggregate 9d7ce69e...c1eb; inventory d0aba026...e741; manifest a0949d94...0590; docs/package_assurance/p4_2_external_benchmark_recovery_freeze_evidence_v0.3.0.json</x:v>
      </x:c>
      <x:c r="G185" s="431" t="str">
        <x:v>D-116 runner freeze evidence</x:v>
      </x:c>
      <x:c r="H185" s="431" t="str">
        <x:v>Accepted Evidence</x:v>
      </x:c>
      <x:c r="I185" s="431" t="str">
        <x:v>The authorization directory is empty and semantic runtime is empty. Exact D-117 binding is required before use.</x:v>
      </x:c>
    </x:row>
    <x:row r="186" ht="175" customHeight="1">
      <x:c r="A186" s="431" t="str">
        <x:v>EV-183</x:v>
      </x:c>
      <x:c r="B186" s="431" t="n">
        <x:v>46226</x:v>
      </x:c>
      <x:c r="C186" s="431" t="str">
        <x:v>Independent D-116 freeze and publication-sentinel proof</x:v>
      </x:c>
      <x:c r="D186" s="431" t="str">
        <x:v>Internal separate-context verification passed 8/8 mandatory and 51/51 detailed controls. One development-only sentinel returned outer/child exit 0, published four schema-valid automatic-pass outputs, preserved exact static identities, forwarded no PATH or credentials, and exercised runs path 193, staged path 256, and former-defect path 264.</x:v>
      </x:c>
      <x:c r="E186" s="431" t="str">
        <x:v>Independent static review / Development sentinel / Zero-run proof</x:v>
      </x:c>
      <x:c r="F186" s="431" t="str">
        <x:v>VER-D116-R4-20260723-01; public verification SHA-256 c21e2ea6...90c4; docs/package_assurance/p4_2_external_benchmark_recovery_freeze_review_v0.3.0.md</x:v>
      </x:c>
      <x:c r="G186" s="431" t="str">
        <x:v>D-116 acceptance evidence</x:v>
      </x:c>
      <x:c r="H186" s="431" t="str">
        <x:v>Accepted Evidence</x:v>
      </x:c>
      <x:c r="I186" s="431" t="str">
        <x:v>Opaque semantic executions, held-out publications, and protected comparisons remain zero. This is internal AI-assisted review, not external independent assurance or performance evidence.</x:v>
      </x:c>
    </x:row>
    <x:row r="187" ht="175" customHeight="1">
      <x:c r="A187" s="431" t="str">
        <x:v>EV-184</x:v>
      </x:c>
      <x:c r="B187" s="431" t="n">
        <x:v>46226</x:v>
      </x:c>
      <x:c r="C187" s="431" t="str">
        <x:v>D-116 repository verification and proposed D-117 gate</x:v>
      </x:c>
      <x:c r="D187" s="431" t="str">
        <x:v>Governance tests passed 22/22. Protected-safe full regression passed 340 with one expected Windows skip at 88.33%; validation 5/5, Ruff, repository sentinel, development benchmark 22/22, frozen baseline 9/9 with explicit generated evidence, and demo 2/2 passed. Governance normal mode passes and strict mode exits 2 on AIR-003 plus pending D-117. PR #69 push and pull-request workflows passed; hosted Linux sentinel published four outputs at runs path 223 and 341 tests passed at 88.50%.</x:v>
      </x:c>
      <x:c r="E187" s="431" t="str">
        <x:v>Regression / Governance / Baseline / Decision gate</x:v>
      </x:c>
      <x:c r="F187" s="431" t="str">
        <x:v>docs/package_assurance/p4_2_external_benchmark_recovery_freeze_evidence_v0.3.0.json; docs/package_assurance/p4_2_external_benchmark_execution_gate_v0.3.0.md; runs/d116-closeout-*; PR #69; GitHub Actions 30041470927 and 30041835325; proposed D-117</x:v>
      </x:c>
      <x:c r="G187" s="431" t="str">
        <x:v>D-116 closeout and D-117 handoff</x:v>
      </x:c>
      <x:c r="H187" s="431" t="str">
        <x:v>Owner Review Required</x:v>
      </x:c>
      <x:c r="I187" s="431" t="str">
        <x:v>D-117 would authorize one runner invocation with eight frozen attempts, immediate raw freeze, oracle-blind verification, and separate protected comparison. It does not authorize retries, tuning, P4.3, or release/performance claims.</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669</x:v>
      </x:c>
      <x:c r="C4" s="80" t="s">
        <x:v>670</x:v>
      </x:c>
      <x:c r="D4" s="80" t="s">
        <x:v>671</x:v>
      </x:c>
      <x:c r="E4" s="80" t="s">
        <x:v>672</x:v>
      </x:c>
      <x:c r="F4" s="80" t="s">
        <x:v>673</x:v>
      </x:c>
      <x:c r="G4" s="80" t="s">
        <x:v>674</x:v>
      </x:c>
      <x:c r="H4" s="80" t="s">
        <x:v>675</x:v>
      </x:c>
      <x:c r="I4" s="80" t="s">
        <x:v>56</x:v>
      </x:c>
    </x:row>
    <x:row r="5" ht="28.5">
      <x:c r="A5" s="78" t="s">
        <x:v>676</x:v>
      </x:c>
      <x:c r="B5" s="78" t="s">
        <x:v>677</x:v>
      </x:c>
      <x:c r="C5" s="78" t="s">
        <x:v>678</x:v>
      </x:c>
      <x:c r="D5" s="78" t="s">
        <x:v>679</x:v>
      </x:c>
      <x:c r="E5" s="78" t="s">
        <x:v>680</x:v>
      </x:c>
      <x:c r="F5" s="78" t="s">
        <x:v>681</x:v>
      </x:c>
      <x:c r="G5" s="78" t="s">
        <x:v>682</x:v>
      </x:c>
      <x:c r="H5" s="78" t="s">
        <x:v>683</x:v>
      </x:c>
      <x:c r="I5" s="78" t="str">
        <x:v>Deferred — expand selectively through package benchmark</x:v>
      </x:c>
    </x:row>
    <x:row r="6" ht="57">
      <x:c r="A6" s="78" t="s">
        <x:v>684</x:v>
      </x:c>
      <x:c r="B6" s="78" t="s">
        <x:v>685</x:v>
      </x:c>
      <x:c r="C6" s="78" t="s">
        <x:v>686</x:v>
      </x:c>
      <x:c r="D6" s="78" t="s">
        <x:v>687</x:v>
      </x:c>
      <x:c r="E6" s="78" t="s">
        <x:v>688</x:v>
      </x:c>
      <x:c r="F6" s="78" t="s">
        <x:v>570</x:v>
      </x:c>
      <x:c r="G6" s="78" t="s">
        <x:v>689</x:v>
      </x:c>
      <x:c r="H6" s="78" t="s">
        <x:v>685</x:v>
      </x:c>
      <x:c r="I6" s="78" t="str">
        <x:v>Deferred — v0.4+; structured manifests first</x:v>
      </x:c>
    </x:row>
    <x:row r="7" ht="57">
      <x:c r="A7" s="78" t="s">
        <x:v>690</x:v>
      </x:c>
      <x:c r="B7" s="78" t="s">
        <x:v>691</x:v>
      </x:c>
      <x:c r="C7" s="78" t="s">
        <x:v>692</x:v>
      </x:c>
      <x:c r="D7" s="78" t="s">
        <x:v>693</x:v>
      </x:c>
      <x:c r="E7" s="78" t="s">
        <x:v>694</x:v>
      </x:c>
      <x:c r="F7" s="78" t="s">
        <x:v>570</x:v>
      </x:c>
      <x:c r="G7" s="78" t="s">
        <x:v>695</x:v>
      </x:c>
      <x:c r="H7" s="78" t="s">
        <x:v>696</x:v>
      </x:c>
      <x:c r="I7" s="78" t="str">
        <x:v>Deferred — after package evaluator and sandbox/trace plan</x:v>
      </x:c>
    </x:row>
    <x:row r="8" ht="57">
      <x:c r="A8" s="78" t="s">
        <x:v>697</x:v>
      </x:c>
      <x:c r="B8" s="78" t="s">
        <x:v>698</x:v>
      </x:c>
      <x:c r="C8" s="78" t="s">
        <x:v>699</x:v>
      </x:c>
      <x:c r="D8" s="78" t="s">
        <x:v>700</x:v>
      </x:c>
      <x:c r="E8" s="78" t="s">
        <x:v>701</x:v>
      </x:c>
      <x:c r="F8" s="78" t="s">
        <x:v>570</x:v>
      </x:c>
      <x:c r="G8" s="78" t="s">
        <x:v>682</x:v>
      </x:c>
      <x:c r="H8" s="78" t="s">
        <x:v>702</x:v>
      </x:c>
      <x:c r="I8" s="78" t="s">
        <x:v>703</x:v>
      </x:c>
    </x:row>
    <x:row r="9" ht="28.5">
      <x:c r="A9" s="78" t="s">
        <x:v>704</x:v>
      </x:c>
      <x:c r="B9" s="78" t="s">
        <x:v>705</x:v>
      </x:c>
      <x:c r="C9" s="78" t="s">
        <x:v>706</x:v>
      </x:c>
      <x:c r="D9" s="78" t="s">
        <x:v>707</x:v>
      </x:c>
      <x:c r="E9" s="78" t="s">
        <x:v>708</x:v>
      </x:c>
      <x:c r="F9" s="78" t="s">
        <x:v>582</x:v>
      </x:c>
      <x:c r="G9" s="78" t="s">
        <x:v>682</x:v>
      </x:c>
      <x:c r="H9" s="78" t="s">
        <x:v>709</x:v>
      </x:c>
      <x:c r="I9" s="78" t="s">
        <x:v>703</x:v>
      </x:c>
    </x:row>
    <x:row r="10" ht="28.5">
      <x:c r="A10" s="78" t="s">
        <x:v>710</x:v>
      </x:c>
      <x:c r="B10" s="78" t="s">
        <x:v>711</x:v>
      </x:c>
      <x:c r="C10" s="78" t="s">
        <x:v>712</x:v>
      </x:c>
      <x:c r="D10" s="78" t="s">
        <x:v>713</x:v>
      </x:c>
      <x:c r="E10" s="78" t="s">
        <x:v>714</x:v>
      </x:c>
      <x:c r="F10" s="78" t="s">
        <x:v>582</x:v>
      </x:c>
      <x:c r="G10" s="78" t="s">
        <x:v>715</x:v>
      </x:c>
      <x:c r="H10" s="78" t="s">
        <x:v>711</x:v>
      </x:c>
      <x:c r="I10" s="78" t="s">
        <x:v>703</x:v>
      </x:c>
    </x:row>
    <x:row r="11" ht="28.5">
      <x:c r="A11" s="78" t="s">
        <x:v>716</x:v>
      </x:c>
      <x:c r="B11" s="78" t="s">
        <x:v>717</x:v>
      </x:c>
      <x:c r="C11" s="78" t="s">
        <x:v>718</x:v>
      </x:c>
      <x:c r="D11" s="78" t="s">
        <x:v>719</x:v>
      </x:c>
      <x:c r="E11" s="78" t="s">
        <x:v>720</x:v>
      </x:c>
      <x:c r="F11" s="78" t="s">
        <x:v>582</x:v>
      </x:c>
      <x:c r="G11" s="78" t="s">
        <x:v>721</x:v>
      </x:c>
      <x:c r="H11" s="78" t="s">
        <x:v>722</x:v>
      </x:c>
      <x:c r="I11" s="78" t="s">
        <x:v>703</x:v>
      </x:c>
    </x:row>
    <x:row r="12" ht="28.5">
      <x:c r="A12" s="78" t="s">
        <x:v>723</x:v>
      </x:c>
      <x:c r="B12" s="78" t="s">
        <x:v>724</x:v>
      </x:c>
      <x:c r="C12" s="78" t="s">
        <x:v>725</x:v>
      </x:c>
      <x:c r="D12" s="78" t="s">
        <x:v>726</x:v>
      </x:c>
      <x:c r="E12" s="78" t="s">
        <x:v>727</x:v>
      </x:c>
      <x:c r="F12" s="78" t="s">
        <x:v>594</x:v>
      </x:c>
      <x:c r="G12" s="78" t="s">
        <x:v>695</x:v>
      </x:c>
      <x:c r="H12" s="78" t="s">
        <x:v>724</x:v>
      </x:c>
      <x:c r="I12" s="78" t="s">
        <x:v>703</x:v>
      </x:c>
    </x:row>
    <x:row r="13" ht="28.5">
      <x:c r="A13" s="78" t="s">
        <x:v>728</x:v>
      </x:c>
      <x:c r="B13" s="78" t="s">
        <x:v>722</x:v>
      </x:c>
      <x:c r="C13" s="78" t="s">
        <x:v>729</x:v>
      </x:c>
      <x:c r="D13" s="78" t="s">
        <x:v>730</x:v>
      </x:c>
      <x:c r="E13" s="78" t="s">
        <x:v>731</x:v>
      </x:c>
      <x:c r="F13" s="78" t="s">
        <x:v>582</x:v>
      </x:c>
      <x:c r="G13" s="78" t="s">
        <x:v>715</x:v>
      </x:c>
      <x:c r="H13" s="78" t="s">
        <x:v>722</x:v>
      </x:c>
      <x:c r="I13" s="78" t="s">
        <x:v>703</x:v>
      </x:c>
    </x:row>
    <x:row r="14" ht="28.5">
      <x:c r="A14" s="78" t="s">
        <x:v>732</x:v>
      </x:c>
      <x:c r="B14" s="78" t="s">
        <x:v>733</x:v>
      </x:c>
      <x:c r="C14" s="78" t="s">
        <x:v>734</x:v>
      </x:c>
      <x:c r="D14" s="78" t="s">
        <x:v>735</x:v>
      </x:c>
      <x:c r="E14" s="78" t="s">
        <x:v>736</x:v>
      </x:c>
      <x:c r="F14" s="78" t="s">
        <x:v>582</x:v>
      </x:c>
      <x:c r="G14" s="78" t="s">
        <x:v>737</x:v>
      </x:c>
      <x:c r="H14" s="78" t="s">
        <x:v>733</x:v>
      </x:c>
      <x:c r="I14" s="78" t="s">
        <x:v>703</x:v>
      </x:c>
    </x:row>
    <x:row r="15" ht="28.5">
      <x:c r="A15" s="78" t="s">
        <x:v>738</x:v>
      </x:c>
      <x:c r="B15" s="78" t="s">
        <x:v>739</x:v>
      </x:c>
      <x:c r="C15" s="78" t="s">
        <x:v>740</x:v>
      </x:c>
      <x:c r="D15" s="78" t="s">
        <x:v>741</x:v>
      </x:c>
      <x:c r="E15" s="78" t="s">
        <x:v>742</x:v>
      </x:c>
      <x:c r="F15" s="78" t="s">
        <x:v>594</x:v>
      </x:c>
      <x:c r="G15" s="78" t="s">
        <x:v>743</x:v>
      </x:c>
      <x:c r="H15" s="78" t="s">
        <x:v>744</x:v>
      </x:c>
      <x:c r="I15" s="78" t="s">
        <x:v>703</x:v>
      </x:c>
    </x:row>
    <x:row r="16" ht="28.5">
      <x:c r="A16" s="78" t="s">
        <x:v>745</x:v>
      </x:c>
      <x:c r="B16" s="78" t="s">
        <x:v>746</x:v>
      </x:c>
      <x:c r="C16" s="78" t="s">
        <x:v>747</x:v>
      </x:c>
      <x:c r="D16" s="78" t="s">
        <x:v>748</x:v>
      </x:c>
      <x:c r="E16" s="78" t="s">
        <x:v>749</x:v>
      </x:c>
      <x:c r="F16" s="78" t="s">
        <x:v>594</x:v>
      </x:c>
      <x:c r="G16" s="78" t="s">
        <x:v>750</x:v>
      </x:c>
      <x:c r="H16" s="78" t="s">
        <x:v>746</x:v>
      </x:c>
      <x:c r="I16" s="78" t="s">
        <x:v>703</x:v>
      </x:c>
    </x:row>
    <x:row r="17" ht="72" customHeight="1">
      <x:c r="A17" s="182" t="s">
        <x:v>751</x:v>
      </x:c>
      <x:c r="B17" s="183" t="s">
        <x:v>752</x:v>
      </x:c>
      <x:c r="C17" s="183" t="s">
        <x:v>753</x:v>
      </x:c>
      <x:c r="D17" s="183" t="s">
        <x:v>754</x:v>
      </x:c>
      <x:c r="E17" s="183" t="str">
        <x:v>MVP v0.2.0 released; P0 contract and authority map approved; structured package manifests and reviewed ground truth available.</x:v>
      </x:c>
      <x:c r="F17" s="183" t="str">
        <x:v>Now</x:v>
      </x:c>
      <x:c r="G17" s="183" t="str">
        <x:v>46</x:v>
      </x:c>
      <x:c r="H17" s="183" t="s">
        <x:v>755</x:v>
      </x:c>
      <x:c r="I17" s="184" t="str">
        <x:v>Selected — v0.3.0</x:v>
      </x:c>
    </x:row>
    <x:row r="18" ht="72" customHeight="1">
      <x:c r="A18" s="185" t="s">
        <x:v>756</x:v>
      </x:c>
      <x:c r="B18" s="83" t="s">
        <x:v>757</x:v>
      </x:c>
      <x:c r="C18" s="83" t="s">
        <x:v>758</x:v>
      </x:c>
      <x:c r="D18" s="83" t="s">
        <x:v>759</x:v>
      </x:c>
      <x:c r="E18" s="83" t="s">
        <x:v>760</x:v>
      </x:c>
      <x:c r="F18" s="83" t="s">
        <x:v>570</x:v>
      </x:c>
      <x:c r="G18" s="83" t="s">
        <x:v>761</x:v>
      </x:c>
      <x:c r="H18" s="83" t="s">
        <x:v>762</x:v>
      </x:c>
      <x:c r="I18" s="186" t="s">
        <x:v>703</x:v>
      </x:c>
    </x:row>
    <x:row r="19" ht="72" customHeight="1">
      <x:c r="A19" s="187" t="s">
        <x:v>763</x:v>
      </x:c>
      <x:c r="B19" s="188" t="s">
        <x:v>764</x:v>
      </x:c>
      <x:c r="C19" s="188" t="s">
        <x:v>765</x:v>
      </x:c>
      <x:c r="D19" s="188" t="s">
        <x:v>766</x:v>
      </x:c>
      <x:c r="E19" s="188" t="s">
        <x:v>767</x:v>
      </x:c>
      <x:c r="F19" s="188" t="s">
        <x:v>570</x:v>
      </x:c>
      <x:c r="G19" s="188" t="s">
        <x:v>750</x:v>
      </x:c>
      <x:c r="H19" s="188" t="s">
        <x:v>768</x:v>
      </x:c>
      <x:c r="I19" s="189" t="s">
        <x:v>703</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46225</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D-116 external benchmark recovery freeze</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D-116 produced a verified zero-run external family and runner. Benchmark performance remains unknown until D-117 execution, raw verification, and protected comparison.</x:v>
      </x:c>
      <x:c r="E7" s="765" t="str">
        <x:v>Product interpretation</x:v>
      </x:c>
      <x:c r="F7" s="431" t="str">
        <x:v>Successful kernel; not yet a complete economically useful workflow.</x:v>
      </x:c>
      <x:c r="G7" s="765" t="str">
        <x:v>Response</x:v>
      </x:c>
      <x:c r="H7" s="431" t="str">
        <x:v>Review and integrate the D-116 freeze. Accept or revise D-117 before creating the authorization file or running any opaque scenario.</x:v>
      </x:c>
    </x:row>
    <x:row r="8" ht="153" hidden="0" customHeight="1">
      <x:c r="A8" s="765" t="str">
        <x:v>Immediate next action</x:v>
      </x:c>
      <x:c r="B8" s="431" t="str">
        <x:v>Review this branch and proposed D-117. Preserve AIR-003, all failed runners, and zero opaque execution until the owner decides.</x:v>
      </x:c>
      <x:c r="C8" s="765" t="str">
        <x:v>Selected vertical</x:v>
      </x:c>
      <x:c r="D8" s="431" t="str">
        <x:v>D-116 verified freeze -&gt; D-117 one-shot execution -&gt; oracle-blind raw verification -&gt; separate protected comparison -&gt; owner result review.</x:v>
      </x:c>
      <x:c r="E8" s="765" t="str">
        <x:v>Primary deliverable</x:v>
      </x:c>
      <x:c r="F8" s="431" t="str">
        <x:v>Evidence-linked issue register plus release-readiness summary.</x:v>
      </x:c>
      <x:c r="G8" s="765" t="str">
        <x:v>Scope rule</x:v>
      </x:c>
      <x:c r="H8" s="431" t="str">
        <x:v>No opaque execution, retry, resume, evaluator change, public rerun, protected comparison in the runner, P4.3, or release claim before its gate.</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x:c r="C41" s="606" t="str">
        <x:v>D-114 is integrated through PR #68 at main 3a6766f. D-116 is accepted and complete on codex/p4.2-external-benchmark-recovery-preparation. External family FAM-D116-CIM-20260723-01 contains eight opaque synthetic carton-indexing conveyor scenarios under separate producer/protected custody; no family or oracle asset entered Git. Runner revisions 1-3 are preserved failed evidence for nested dependency visibility, Python bytecode mutation, and long-root error 206. Final RUNNER-D116-CIM-20260723-04 uses a 90-character external root, exact evaluator 3a6766f, 340 read-only static files, a capsule-local pip-free environment, five frozen dependencies, -B launchers, zero cache artifacts, and one-shot controls. Independent verification passed 8/8 mandatory and 51/51 detailed controls. Its single development sentinel published four valid automatic-pass outputs with static identity unchanged. Local regression passes 340/1 at 88.33%, governance 22/22, validation 5/5, Ruff, repository sentinel, development benchmark 22/22, baseline 9/9, and demo 2/2. PR #69 hosted Linux checks pass with a four-output sentinel at runs path 223 and 341 tests at 88.50%. Opaque executions and comparisons remain zero; D-117 authorization is absent. AIR-003 and D-117 hold release.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769</x:v>
      </x:c>
      <x:c r="B3" s="235"/>
      <x:c r="C3" s="235"/>
      <x:c r="D3" s="235"/>
      <x:c r="F3" s="237" t="s">
        <x:v>770</x:v>
      </x:c>
      <x:c r="G3" s="235"/>
      <x:c r="H3" s="235"/>
      <x:c r="I3" s="235"/>
      <x:c r="J3" s="235"/>
      <x:c r="K3" s="235"/>
      <x:c r="L3" s="235"/>
      <x:c r="M3" s="235"/>
      <x:c r="N3" s="235"/>
    </x:row>
    <x:row r="4" ht="26.399999618530273" hidden="0" customHeight="1">
      <x:c r="A4" s="79" t="s">
        <x:v>44</x:v>
      </x:c>
      <x:c r="B4" s="166">
        <x:v>46257</x:v>
      </x:c>
      <x:c r="F4" s="449" t="s">
        <x:v>771</x:v>
      </x:c>
      <x:c r="G4" s="610" t="str">
        <x:v>Post-MVP — Select next expansion</x:v>
      </x:c>
      <x:c r="H4" s="610"/>
      <x:c r="I4" s="246"/>
      <x:c r="J4" s="245"/>
      <x:c r="K4" s="245"/>
      <x:c r="L4" s="246"/>
      <x:c r="M4" s="245"/>
      <x:c r="N4" s="245"/>
    </x:row>
    <x:row r="5" ht="14.25" hidden="0" customHeight="1">
      <x:c r="A5" s="79" t="s">
        <x:v>2</x:v>
      </x:c>
      <x:c r="B5" s="167">
        <x:v>76</x:v>
      </x:c>
      <x:c r="F5" s="449" t="s">
        <x:v>772</x:v>
      </x:c>
      <x:c r="G5" s="610" t="str">
        <x:v>Define acceptance criteria for the selected expansion</x:v>
      </x:c>
      <x:c r="H5" s="610"/>
      <x:c r="I5" s="246"/>
      <x:c r="J5" s="245"/>
      <x:c r="K5" s="245"/>
      <x:c r="L5" s="246"/>
      <x:c r="M5" s="245"/>
      <x:c r="N5" s="245"/>
    </x:row>
    <x:row r="6" ht="92.4000015258789" hidden="0" customHeight="1">
      <x:c r="A6" s="79" t="s">
        <x:v>773</x:v>
      </x:c>
      <x:c r="B6" s="168" t="n">
        <x:f>'Phase Summary'!D10</x:f>
        <x:v>17.14</x:v>
      </x:c>
      <x:c r="F6" s="449" t="s">
        <x:v>774</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775</x:v>
      </x:c>
      <x:c r="B7" s="169" t="n">
        <x:f>'Phase Summary'!E10</x:f>
        <x:v>1</x:v>
      </x:c>
      <x:c r="F7" s="449" t="s">
        <x:v>776</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777</x:v>
      </x:c>
      <x:c r="B8" s="167" t="n">
        <x:v>121</x:v>
      </x:c>
      <x:c r="F8" s="449" t="s">
        <x:v>778</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703</x:v>
      </x:c>
      <x:c r="G9" s="610" t="str">
        <x:v>All expansion work until one backlog item is selected.</x:v>
      </x:c>
      <x:c r="H9" s="610"/>
      <x:c r="I9" s="246"/>
      <x:c r="J9" s="245"/>
      <x:c r="K9" s="245"/>
      <x:c r="L9" s="246"/>
      <x:c r="M9" s="245"/>
      <x:c r="N9" s="245"/>
    </x:row>
    <x:row r="10" ht="14.25" hidden="0" customHeight="1">
      <x:c r="A10" s="79" t="s">
        <x:v>779</x:v>
      </x:c>
      <x:c r="B10" s="167" t="n">
        <x:v>22</x:v>
      </x:c>
      <x:c r="F10" s="156" t="s">
        <x:v>780</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781</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0.42</x:v>
      </x:c>
      <x:c r="D20" s="170" t="n">
        <x:f>IF(B20=0,0,SUMPRODUCT(('Detailed Gantt'!$B$6:$B$27=A20)*'Detailed Gantt'!$F$6:$F$27*'Detailed Gantt'!$L$6:$L$27)/B20)</x:f>
        <x:v>1</x:v>
      </x:c>
      <x:c r="E20" s="78" t="str">
        <x:v>Gate 6 — MVP v0.2.0 release</x:v>
      </x:c>
    </x:row>
    <x:row r="23" ht="15.75">
      <x:c r="A23" s="237" t="s">
        <x:v>782</x:v>
      </x:c>
      <x:c r="B23" s="235"/>
      <x:c r="C23" s="235"/>
      <x:c r="D23" s="235"/>
      <x:c r="E23" s="235"/>
      <x:c r="F23" s="235"/>
      <x:c r="G23" s="235"/>
      <x:c r="H23" s="235"/>
      <x:c r="I23" s="235"/>
      <x:c r="J23" s="235"/>
      <x:c r="K23" s="235"/>
      <x:c r="L23" s="235"/>
      <x:c r="M23" s="235"/>
      <x:c r="N23" s="235"/>
    </x:row>
    <x:row r="24" ht="30" customHeight="1">
      <x:c r="A24" s="175" t="s">
        <x:v>673</x:v>
      </x:c>
      <x:c r="B24" s="175" t="s">
        <x:v>48</x:v>
      </x:c>
      <x:c r="C24" s="175" t="s">
        <x:v>783</x:v>
      </x:c>
      <x:c r="D24" s="175" t="s">
        <x:v>784</x:v>
      </x:c>
      <x:c r="E24" s="175" t="s">
        <x:v>178</x:v>
      </x:c>
      <x:c r="F24" s="175" t="s">
        <x:v>785</x:v>
      </x:c>
      <x:c r="G24" s="175" t="s">
        <x:v>181</x:v>
      </x:c>
      <x:c r="H24" s="175" t="s">
        <x:v>564</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ec44a438977f42de"/>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786</x:v>
      </x:c>
      <x:c r="B4" s="238"/>
      <x:c r="C4" s="238"/>
      <x:c r="D4" s="238"/>
      <x:c r="E4" s="238"/>
      <x:c r="F4" s="238"/>
      <x:c r="G4" s="238"/>
      <x:c r="H4" s="238"/>
    </x:row>
    <x:row r="5" ht="33.95000076293945" customHeight="1">
      <x:c r="A5" s="239" t="s">
        <x:v>787</x:v>
      </x:c>
      <x:c r="B5" s="240"/>
      <x:c r="C5" s="241" t="s">
        <x:v>788</x:v>
      </x:c>
      <x:c r="D5" s="242"/>
      <x:c r="E5" s="242"/>
      <x:c r="F5" s="242"/>
      <x:c r="G5" s="242"/>
      <x:c r="H5" s="243"/>
    </x:row>
    <x:row r="6" ht="33.95000076293945" customHeight="1">
      <x:c r="A6" s="239" t="s">
        <x:v>789</x:v>
      </x:c>
      <x:c r="B6" s="240"/>
      <x:c r="C6" s="241" t="str">
        <x:v>Mechanical Technical Document Evaluation Harness v0.2.0 — released evaluation kernel</x:v>
      </x:c>
      <x:c r="D6" s="242"/>
      <x:c r="E6" s="242"/>
      <x:c r="F6" s="242"/>
      <x:c r="G6" s="242"/>
      <x:c r="H6" s="243"/>
    </x:row>
    <x:row r="7" ht="33.95000076293945" customHeight="1">
      <x:c r="A7" s="239" t="s">
        <x:v>790</x:v>
      </x:c>
      <x:c r="B7" s="240"/>
      <x:c r="C7" s="241" t="s">
        <x:v>791</x:v>
      </x:c>
      <x:c r="D7" s="242"/>
      <x:c r="E7" s="242"/>
      <x:c r="F7" s="242"/>
      <x:c r="G7" s="242"/>
      <x:c r="H7" s="243"/>
    </x:row>
    <x:row r="8" ht="33.95000076293945" customHeight="1">
      <x:c r="A8" s="239" t="s">
        <x:v>792</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793</x:v>
      </x:c>
      <x:c r="B9" s="240"/>
      <x:c r="C9" s="241" t="s">
        <x:v>794</x:v>
      </x:c>
      <x:c r="D9" s="242"/>
      <x:c r="E9" s="242"/>
      <x:c r="F9" s="242"/>
      <x:c r="G9" s="242"/>
      <x:c r="H9" s="243"/>
    </x:row>
    <x:row r="11" ht="15">
      <x:c r="A11" s="238" t="s">
        <x:v>795</x:v>
      </x:c>
      <x:c r="B11" s="238"/>
      <x:c r="C11" s="238"/>
      <x:c r="D11" s="238"/>
      <x:c r="E11" s="238"/>
      <x:c r="F11" s="238"/>
      <x:c r="G11" s="238"/>
      <x:c r="H11" s="238"/>
    </x:row>
    <x:row r="12" ht="33.95000076293945" customHeight="1">
      <x:c r="A12" s="179" t="s">
        <x:v>796</x:v>
      </x:c>
      <x:c r="B12" s="180" t="s">
        <x:v>797</x:v>
      </x:c>
      <x:c r="C12" s="180" t="s">
        <x:v>798</x:v>
      </x:c>
      <x:c r="D12" s="180" t="s">
        <x:v>799</x:v>
      </x:c>
      <x:c r="E12" s="180" t="s">
        <x:v>800</x:v>
      </x:c>
      <x:c r="F12" s="180" t="s">
        <x:v>672</x:v>
      </x:c>
      <x:c r="G12" s="180" t="s">
        <x:v>56</x:v>
      </x:c>
      <x:c r="H12" s="181" t="s">
        <x:v>801</x:v>
      </x:c>
    </x:row>
    <x:row r="13" ht="78" customHeight="1">
      <x:c r="A13" s="182" t="s">
        <x:v>17</x:v>
      </x:c>
      <x:c r="B13" s="183" t="s">
        <x:v>802</x:v>
      </x:c>
      <x:c r="C13" s="183" t="s">
        <x:v>803</x:v>
      </x:c>
      <x:c r="D13" s="183" t="s">
        <x:v>804</x:v>
      </x:c>
      <x:c r="E13" s="183" t="s">
        <x:v>805</x:v>
      </x:c>
      <x:c r="F13" s="183" t="s">
        <x:v>806</x:v>
      </x:c>
      <x:c r="G13" s="183" t="str">
        <x:v>Released</x:v>
      </x:c>
      <x:c r="H13" s="184" t="str">
        <x:v>Frozen at v0.2.0; corrective releases only unless explicitly approved.</x:v>
      </x:c>
    </x:row>
    <x:row r="14" ht="78" customHeight="1">
      <x:c r="A14" s="185" t="s">
        <x:v>22</x:v>
      </x:c>
      <x:c r="B14" s="83" t="s">
        <x:v>807</x:v>
      </x:c>
      <x:c r="C14" s="83" t="s">
        <x:v>808</x:v>
      </x:c>
      <x:c r="D14" s="83" t="s">
        <x:v>809</x:v>
      </x:c>
      <x:c r="E14" s="83" t="s">
        <x:v>810</x:v>
      </x:c>
      <x:c r="F14" s="83" t="s">
        <x:v>811</x:v>
      </x:c>
      <x:c r="G14" s="83" t="str">
        <x:v>Active — v0.3.0</x:v>
      </x:c>
      <x:c r="H14" s="186" t="str">
        <x:v>Structured manifests and file references first; issue register and release summary required.</x:v>
      </x:c>
    </x:row>
    <x:row r="15" ht="78" customHeight="1">
      <x:c r="A15" s="185" t="s">
        <x:v>26</x:v>
      </x:c>
      <x:c r="B15" s="83" t="s">
        <x:v>807</x:v>
      </x:c>
      <x:c r="C15" s="83" t="s">
        <x:v>812</x:v>
      </x:c>
      <x:c r="D15" s="83" t="s">
        <x:v>813</x:v>
      </x:c>
      <x:c r="E15" s="83" t="s">
        <x:v>814</x:v>
      </x:c>
      <x:c r="F15" s="83" t="s">
        <x:v>815</x:v>
      </x:c>
      <x:c r="G15" s="83" t="str">
        <x:v>Deferred — v0.4+</x:v>
      </x:c>
      <x:c r="H15" s="186" t="str">
        <x:v>Add extraction adapters only after the structured workflow benchmark is stable.</x:v>
      </x:c>
    </x:row>
    <x:row r="16" ht="78" customHeight="1">
      <x:c r="A16" s="185" t="s">
        <x:v>30</x:v>
      </x:c>
      <x:c r="B16" s="83" t="s">
        <x:v>807</x:v>
      </x:c>
      <x:c r="C16" s="83" t="s">
        <x:v>816</x:v>
      </x:c>
      <x:c r="D16" s="83" t="s">
        <x:v>817</x:v>
      </x:c>
      <x:c r="E16" s="83" t="s">
        <x:v>818</x:v>
      </x:c>
      <x:c r="F16" s="83" t="s">
        <x:v>819</x:v>
      </x:c>
      <x:c r="G16" s="83" t="str">
        <x:v>Active in structured form</x:v>
      </x:c>
      <x:c r="H16" s="186" t="str">
        <x:v>v0.3.0 implements register/metadata/BOM/datasheet/revision consistency; native document adapters remain deferred.</x:v>
      </x:c>
    </x:row>
    <x:row r="17" ht="78" customHeight="1">
      <x:c r="A17" s="185" t="s">
        <x:v>34</x:v>
      </x:c>
      <x:c r="B17" s="83" t="s">
        <x:v>807</x:v>
      </x:c>
      <x:c r="C17" s="83" t="s">
        <x:v>820</x:v>
      </x:c>
      <x:c r="D17" s="83" t="s">
        <x:v>821</x:v>
      </x:c>
      <x:c r="E17" s="83" t="s">
        <x:v>822</x:v>
      </x:c>
      <x:c r="F17" s="83" t="s">
        <x:v>823</x:v>
      </x:c>
      <x:c r="G17" s="83" t="str">
        <x:v>Deferred</x:v>
      </x:c>
      <x:c r="H17" s="186" t="str">
        <x:v>Require sandbox, least privilege, trace schema, and independent artifact evaluator.</x:v>
      </x:c>
    </x:row>
    <x:row r="18" ht="78" customHeight="1">
      <x:c r="A18" s="185" t="s">
        <x:v>38</x:v>
      </x:c>
      <x:c r="B18" s="83" t="s">
        <x:v>807</x:v>
      </x:c>
      <x:c r="C18" s="83" t="s">
        <x:v>824</x:v>
      </x:c>
      <x:c r="D18" s="83" t="s">
        <x:v>825</x:v>
      </x:c>
      <x:c r="E18" s="83" t="s">
        <x:v>826</x:v>
      </x:c>
      <x:c r="F18" s="83" t="s">
        <x:v>827</x:v>
      </x:c>
      <x:c r="G18" s="83" t="str">
        <x:v>Deferred</x:v>
      </x:c>
      <x:c r="H18" s="186" t="str">
        <x:v>Requires controlled standards access, calibrated cases, and qualified human review.</x:v>
      </x:c>
    </x:row>
    <x:row r="19" ht="78" customHeight="1">
      <x:c r="A19" s="187" t="s">
        <x:v>438</x:v>
      </x:c>
      <x:c r="B19" s="188" t="s">
        <x:v>828</x:v>
      </x:c>
      <x:c r="C19" s="188" t="s">
        <x:v>829</x:v>
      </x:c>
      <x:c r="D19" s="188" t="s">
        <x:v>830</x:v>
      </x:c>
      <x:c r="E19" s="188" t="s">
        <x:v>831</x:v>
      </x:c>
      <x:c r="F19" s="188" t="s">
        <x:v>832</x:v>
      </x:c>
      <x:c r="G19" s="188" t="str">
        <x:v>Future</x:v>
      </x:c>
      <x:c r="H19" s="189" t="str">
        <x:v>Productize only after repeatable pilot evidence and controlled false-negative risk.</x:v>
      </x:c>
    </x:row>
    <x:row r="21" ht="15">
      <x:c r="A21" s="238" t="s">
        <x:v>833</x:v>
      </x:c>
      <x:c r="B21" s="238"/>
      <x:c r="C21" s="238"/>
      <x:c r="D21" s="238"/>
      <x:c r="E21" s="238"/>
      <x:c r="F21" s="238"/>
      <x:c r="G21" s="238"/>
      <x:c r="H21" s="238"/>
    </x:row>
    <x:row r="22" ht="38.099998474121094" customHeight="1">
      <x:c r="A22" s="239" t="s">
        <x:v>834</x:v>
      </x:c>
      <x:c r="B22" s="240"/>
      <x:c r="C22" s="241" t="s">
        <x:v>835</x:v>
      </x:c>
      <x:c r="D22" s="242"/>
      <x:c r="E22" s="242"/>
      <x:c r="F22" s="242"/>
      <x:c r="G22" s="242"/>
      <x:c r="H22" s="243"/>
    </x:row>
    <x:row r="23" ht="38.099998474121094" customHeight="1">
      <x:c r="A23" s="239" t="s">
        <x:v>836</x:v>
      </x:c>
      <x:c r="B23" s="240"/>
      <x:c r="C23" s="241" t="s">
        <x:v>837</x:v>
      </x:c>
      <x:c r="D23" s="242"/>
      <x:c r="E23" s="242"/>
      <x:c r="F23" s="242"/>
      <x:c r="G23" s="242"/>
      <x:c r="H23" s="243"/>
    </x:row>
    <x:row r="24" ht="38.099998474121094" customHeight="1">
      <x:c r="A24" s="239" t="s">
        <x:v>838</x:v>
      </x:c>
      <x:c r="B24" s="240"/>
      <x:c r="C24" s="241" t="s">
        <x:v>839</x:v>
      </x:c>
      <x:c r="D24" s="242"/>
      <x:c r="E24" s="242"/>
      <x:c r="F24" s="242"/>
      <x:c r="G24" s="242"/>
      <x:c r="H24" s="243"/>
    </x:row>
    <x:row r="25" ht="38.099998474121094" customHeight="1">
      <x:c r="A25" s="239" t="s">
        <x:v>840</x:v>
      </x:c>
      <x:c r="B25" s="240"/>
      <x:c r="C25" s="241" t="s">
        <x:v>841</x:v>
      </x:c>
      <x:c r="D25" s="242"/>
      <x:c r="E25" s="242"/>
      <x:c r="F25" s="242"/>
      <x:c r="G25" s="242"/>
      <x:c r="H25" s="243"/>
    </x:row>
    <x:row r="26" ht="38.099998474121094" customHeight="1">
      <x:c r="A26" s="239" t="s">
        <x:v>842</x:v>
      </x:c>
      <x:c r="B26" s="240"/>
      <x:c r="C26" s="241" t="s">
        <x:v>843</x:v>
      </x:c>
      <x:c r="D26" s="242"/>
      <x:c r="E26" s="242"/>
      <x:c r="F26" s="242"/>
      <x:c r="G26" s="242"/>
      <x:c r="H26" s="243"/>
    </x:row>
    <x:row r="27" ht="38.099998474121094" customHeight="1">
      <x:c r="A27" s="239" t="s">
        <x:v>844</x:v>
      </x:c>
      <x:c r="B27" s="240"/>
      <x:c r="C27" s="241" t="s">
        <x:v>845</x:v>
      </x:c>
      <x:c r="D27" s="242"/>
      <x:c r="E27" s="242"/>
      <x:c r="F27" s="242"/>
      <x:c r="G27" s="242"/>
      <x:c r="H27" s="243"/>
    </x:row>
    <x:row r="28" ht="38.099998474121094" customHeight="1">
      <x:c r="A28" s="239" t="s">
        <x:v>846</x:v>
      </x:c>
      <x:c r="B28" s="240"/>
      <x:c r="C28" s="241" t="s">
        <x:v>847</x:v>
      </x:c>
      <x:c r="D28" s="242"/>
      <x:c r="E28" s="242"/>
      <x:c r="F28" s="242"/>
      <x:c r="G28" s="242"/>
      <x:c r="H28" s="243"/>
    </x:row>
    <x:row r="29" ht="38.099998474121094" customHeight="1">
      <x:c r="A29" s="239" t="s">
        <x:v>848</x:v>
      </x:c>
      <x:c r="B29" s="240"/>
      <x:c r="C29" s="241" t="s">
        <x:v>849</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850</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851</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852</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853</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854</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855</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856</x:v>
      </x:c>
      <x:c r="B38" s="240"/>
      <x:c r="C38" s="241" t="s">
        <x:v>857</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Freeze Complete / D-117 Owner Review</x:v>
      </x:c>
      <x:c r="L19" s="664" t="n">
        <x:v>0.97</x:v>
      </x:c>
      <x:c r="M19" s="662" t="n">
        <x:f>SUMIF('Work Block Log'!$E$5:$E$200,A19,'Work Block Log'!$F$5:$F$200)</x:f>
        <x:v>0</x:v>
      </x:c>
      <x:c r="N19" s="662" t="n">
        <x:f>MAX(F19*(1-L19),0)</x:f>
        <x:v>0.09000000000000008</x:v>
      </x:c>
      <x:c r="O19" s="662" t="n">
        <x:f>M19-F19</x:f>
        <x:v>-3</x:v>
      </x:c>
      <x:c r="P19" s="431" t="str">
        <x:v>PR #68 exact main 3a6766f; D-116 accepted; family FAM-D116-CIM-20260723-01; runner R4; 8 opaque scenarios; 8/8 mandatory; 51/51 detailed; sentinel 4 outputs; 340 read-only static; EV-179-EV-184; I-010; IMP-033-IMP-035; focused 22; full 340/1 at 88.33%; validation 5/5; Ruff; dev 22/22; baseline 9/9; demo 2/2; PR #69 hosted 2/2, 341 at 88.50%</x:v>
      </x:c>
      <x:c r="Q19" s="431" t="str">
        <x:v>Review and integrate the D-116 freeze. Accept or revise proposed D-117 before creating authorization or invoking the opaque runner.</x:v>
      </x:c>
      <x:c r="R19" s="431" t="str">
        <x:v>D-116 proves a zero-run freeze and publication path, not benchmark performance. AIR-003 remains open; opaque execution, comparison, P4.3, and release claims remain held.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ht="810" customHeight="1">
      <x:c r="A23" s="431" t="str">
        <x:v>G0.1</x:v>
      </x:c>
      <x:c r="B23" s="431" t="str">
        <x:v>Governance &amp; Quality</x:v>
      </x:c>
      <x:c r="C23" s="431" t="str">
        <x:v>Implement AI management and quality-control system</x:v>
      </x:c>
      <x:c r="D23" s="431" t="str">
        <x:v>Binding policy, machine-readable system inventory, impact and risk assessment, minimum controls, lifecycle gates, objectives, evidence, audit, management review, automated validation, and CI enforcement govern AI-assisted work and exact release holds.</x:v>
      </x:c>
      <x:c r="E23" s="431" t="str">
        <x:v>D-115</x:v>
      </x:c>
      <x:c r="F23" s="662" t="n">
        <x:v>0</x:v>
      </x:c>
      <x:c r="G23" s="431" t="n">
        <x:v>6</x:v>
      </x:c>
      <x:c r="H23" s="431" t="n">
        <x:v>6</x:v>
      </x:c>
      <x:c r="I23" s="429" t="n">
        <x:v>46225</x:v>
      </x:c>
      <x:c r="J23" s="429" t="n">
        <x:v>46225</x:v>
      </x:c>
      <x:c r="K23" s="431" t="str">
        <x:v>Complete / Integrated</x:v>
      </x:c>
      <x:c r="L23" s="664" t="n">
        <x:v>1</x:v>
      </x:c>
      <x:c r="M23" s="662" t="n">
        <x:v>0</x:v>
      </x:c>
      <x:c r="N23" s="662" t="n">
        <x:v>0</x:v>
      </x:c>
      <x:c r="O23" s="662" t="n">
        <x:v>0</x:v>
      </x:c>
      <x:c r="P23" s="431" t="str">
        <x:v>PR #67 exact main 540a1f6; D-115; EV-165-EV-171; AIMS-POL-001; AIMS-MEWA-001; AIR-001-AIR-013; AIC-001-AIC-020; AIG-01-AIG-08; AIO-001-AIO-006; NC-001; R-018; IMP-029-IMP-030; focused 22; validator coverage 84%; full 335/1; coverage 88.33%; validation 5/5; Ruff; baseline 9/9; demo 2/2; GitHub CI green</x:v>
      </x:c>
      <x:c r="Q23" s="431" t="str">
        <x:v>G0.1 is integrated and remains the continuous governance overlay; no further implementation action.</x:v>
      </x:c>
      <x:c r="R23" s="431" t="str">
        <x:v>Internal high-level governance only. D-116 passes its zero-run freeze; AIR-003 and pending D-117 keep product release held.</x:v>
      </x:c>
    </x:row>
    <x:row r="24" ht="24" customHeight="1">
      <x:c r="A24" s="682" t="str">
        <x:v>TOTAL PILOT</x:v>
      </x:c>
      <x:c r="B24" s="682"/>
      <x:c r="C24" s="682"/>
      <x:c r="D24" s="682"/>
      <x:c r="E24" s="682"/>
      <x:c r="F24" s="683" t="n">
        <x:f>SUM(F6:F22)</x:f>
        <x:v>46</x:v>
      </x:c>
      <x:c r="G24" s="682"/>
      <x:c r="H24" s="682"/>
      <x:c r="I24" s="682"/>
      <x:c r="J24" s="682"/>
      <x:c r="K24" s="682"/>
      <x:c r="L24" s="684" t="n">
        <x:f>SUMPRODUCT(F6:F22,L6:L22)/F24</x:f>
        <x:v>0.8676086956521738</x:v>
      </x:c>
      <x:c r="M24" s="683" t="n">
        <x:f>SUM(M6:M22)</x:f>
        <x:v>0</x:v>
      </x:c>
      <x:c r="N24" s="683" t="n">
        <x:f>SUM(N6:N22)</x:f>
        <x:v>6.09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D-116 Recovery Freeze</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D-116 complete; D-117 owner review</x:v>
      </x:c>
      <x:c r="H4" s="697"/>
    </x:row>
    <x:row r="5" ht="72" customHeight="1">
      <x:c r="A5" s="688" t="str">
        <x:v>Schedule Baseline</x:v>
      </x:c>
      <x:c r="B5" s="693" t="str">
        <x:v>Legacy only; not controlling</x:v>
      </x:c>
      <x:c r="C5" s="691"/>
      <x:c r="D5" s="691"/>
      <x:c r="F5" s="696" t="str">
        <x:v>Objective</x:v>
      </x:c>
      <x:c r="G5" s="697" t="str">
        <x:v>Freeze one materially distinct external family and one oracle-blind one-shot runner, prove the final publication path, and preserve zero opaque executions.</x:v>
      </x:c>
      <x:c r="H5" s="697"/>
    </x:row>
    <x:row r="6" ht="63" customHeight="1">
      <x:c r="A6" s="688" t="str">
        <x:v>Time Tracking</x:v>
      </x:c>
      <x:c r="B6" s="693" t="str">
        <x:v>Waived prospectively</x:v>
      </x:c>
      <x:c r="C6" s="691"/>
      <x:c r="D6" s="691"/>
      <x:c r="F6" s="696" t="str">
        <x:v>Gate Status</x:v>
      </x:c>
      <x:c r="G6" s="697" t="str">
        <x:v>8 opaque scenarios; 8/8 mandatory and 51/51 detailed freeze controls; sentinel 4 outputs; 340 read-only static; full 340/1 at 88.33%; validation 5/5; Ruff; dev 22/22; baseline 9/9; demo 2/2; PR #69 hosted 2/2, 341 at 88.50%.</x:v>
      </x:c>
      <x:c r="H6" s="697"/>
    </x:row>
    <x:row r="7" ht="81" customHeight="1">
      <x:c r="A7" s="688" t="str">
        <x:v>Current Gate</x:v>
      </x:c>
      <x:c r="B7" s="694" t="str">
        <x:v>D-116 verified; AIR-003 holds release; D-117 pending</x:v>
      </x:c>
      <x:c r="C7" s="691"/>
      <x:c r="D7" s="691"/>
      <x:c r="F7" s="696" t="str">
        <x:v>Definition of Done</x:v>
      </x:c>
      <x:c r="G7" s="697" t="str">
        <x:v>Family/oracle separation, rights, hashes, leakage, authority/oracle contract, runner environment, one-shot controls, path budget, and exact publication are verified with opaque execution count zero.</x:v>
      </x:c>
      <x:c r="H7" s="697"/>
    </x:row>
    <x:row r="8" ht="63" customHeight="1">
      <x:c r="A8" s="688" t="str">
        <x:v>Released Kernel</x:v>
      </x:c>
      <x:c r="B8" s="691" t="str">
        <x:v>v0.2.0 / commit 45336a2</x:v>
      </x:c>
      <x:c r="C8" s="691"/>
      <x:c r="D8" s="691"/>
      <x:c r="F8" s="696" t="str">
        <x:v>Immediate Next Action</x:v>
      </x:c>
      <x:c r="G8" s="697" t="str">
        <x:v>Review the D-116 freeze and accept or revise proposed D-117.</x:v>
      </x:c>
      <x:c r="H8" s="697"/>
    </x:row>
    <x:row r="9" ht="72" customHeight="1">
      <x:c r="A9" s="688" t="str">
        <x:v>Release Target</x:v>
      </x:c>
      <x:c r="B9" s="691" t="str">
        <x:v>v0.3.0</x:v>
      </x:c>
      <x:c r="C9" s="691"/>
      <x:c r="D9" s="691"/>
      <x:c r="F9" s="696" t="str">
        <x:v>Primary Risk</x:v>
      </x:c>
      <x:c r="G9" s="697" t="str">
        <x:v>Primary risk: treating a zero-run freeze and development sentinel as external benchmark-performance evidence.</x:v>
      </x:c>
      <x:c r="H9" s="697"/>
    </x:row>
    <x:row r="10" ht="81" customHeight="1">
      <x:c r="A10" s="688" t="str">
        <x:v>Baseline Test Count</x:v>
      </x:c>
      <x:c r="B10" s="691" t="n">
        <x:v>121</x:v>
      </x:c>
      <x:c r="C10" s="691"/>
      <x:c r="D10" s="691"/>
      <x:c r="F10" s="696" t="str">
        <x:v>Deferred</x:v>
      </x:c>
      <x:c r="G10" s="697" t="str">
        <x:v>Opaque execution before D-117, retry/resume, protected comparison in the runner, semantic changes, public reruns, P4.3, and release/performance claims.</x:v>
      </x:c>
      <x:c r="H10" s="697"/>
    </x:row>
    <x:row r="11" ht="63" customHeight="1">
      <x:c r="A11" s="688" t="str">
        <x:v>Fixture Package Families</x:v>
      </x:c>
      <x:c r="B11" s="691" t="n">
        <x:v>2</x:v>
      </x:c>
      <x:c r="C11" s="691"/>
      <x:c r="D11" s="691"/>
      <x:c r="F11" s="696" t="str">
        <x:v>Data Boundary</x:v>
      </x:c>
      <x:c r="G11" s="697" t="str">
        <x:v>Supplied ISO PDF excluded due third-party single-user license; official public ISO/NIST sources used only for high-level alignment.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Freeze Complete / D-117 Owner Review</x:v>
      </x:c>
      <x:c r="C19" s="699" t="str">
        <x:v>External family and runner verified; semantic benchmark not yet executed</x:v>
      </x:c>
      <x:c r="D19" s="700" t="n">
        <x:v>0.97</x:v>
      </x:c>
      <x:c r="E19" s="698" t="str">
        <x:v>Gate P4 - AIR-003 release hold; D-117 semantic decision pending</x:v>
      </x:c>
      <x:c r="F19"/>
      <x:c r="G19"/>
      <x:c r="H19"/>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1" ht="130.5" customHeight="1">
      <x:c r="A21" s="431" t="str">
        <x:v>G0 AI Management &amp; Quality</x:v>
      </x:c>
      <x:c r="B21" s="431" t="str">
        <x:v>Integrated / Continuous</x:v>
      </x:c>
      <x:c r="C21" s="431" t="str">
        <x:v>D-115 active; governance valid; D-116 controlled; release held</x:v>
      </x:c>
      <x:c r="D21" s="664" t="n">
        <x:v>1</x:v>
      </x:c>
      <x:c r="E21" s="431" t="str">
        <x:v>Gate G0 - AIR-003 and D-117 preserve release hold</x:v>
      </x:c>
      <x:c r="F21"/>
      <x:c r="G21"/>
      <x:c r="H21"/>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row r="54" ht="540" customHeight="1">
      <x:c r="A54" s="431" t="n">
        <x:v>31</x:v>
      </x:c>
      <x:c r="B54" s="431" t="str">
        <x:v>P4.2</x:v>
      </x:c>
      <x:c r="C54" s="431" t="str">
        <x:v>Accepted first-run authority integration</x:v>
      </x:c>
      <x:c r="D54" s="431" t="str">
        <x:v>Record the owner's D-113 acceptance, merge PR #65, record exact main, and reverify every frozen family, producer, runner, evaluator, and schema identity before execution.</x:v>
      </x:c>
      <x:c r="E54" s="431" t="str">
        <x:v>D-113 Accepted / Integration Pending</x:v>
      </x:c>
      <x:c r="F54" s="431" t="str">
        <x:v>codex/p4.2-external-held-out-freeze</x:v>
      </x:c>
      <x:c r="G54" s="431" t="str">
        <x:v>D-113 accepted 2026-07-22; PR #65 pending; family revision 2 68/68; capsule 16/16; runner revision 6 53/53; semantic runs 0; EV-153-EV-160; I-008; IMP-026-IMP-027</x:v>
      </x:c>
      <x:c r="H54" s="431" t="str">
        <x:v>Jason</x:v>
      </x:c>
    </x:row>
    <x:row r="55" ht="585" customHeight="1">
      <x:c r="A55" s="431" t="n">
        <x:v>32</x:v>
      </x:c>
      <x:c r="B55" s="431" t="str">
        <x:v>P4.2</x:v>
      </x:c>
      <x:c r="C55" s="431" t="str">
        <x:v>External first-run result review</x:v>
      </x:c>
      <x:c r="D55" s="431" t="str">
        <x:v>Preserve the consumed D-113 failed run, verify raw evidence and protected comparison, freeze the not-evaluable claim boundary, and obtain D-114 before stabilization.</x:v>
      </x:c>
      <x:c r="E55" s="431" t="str">
        <x:v>Stopped / D-114 Owner Review</x:v>
      </x:c>
      <x:c r="F55" s="431" t="str">
        <x:v>codex/p4.2-external-held-out-first-run</x:v>
      </x:c>
      <x:c r="G55" s="431" t="str">
        <x:v>PR #65 exact main 6a74c74; preflight 27/27; runner 1; scenarios 8/8 consumed; exit 70 x8; output sets 0; raw 40 at 5d45bfa3...3b21; comparison 0/8 comparable; release hold; EV-161-EV-164; I-009; IMP-028</x:v>
      </x:c>
      <x:c r="H55" s="431" t="str">
        <x:v>Jason</x:v>
      </x:c>
    </x:row>
    <x:row r="56" ht="630" customHeight="1">
      <x:c r="A56" s="431" t="n">
        <x:v>33</x:v>
      </x:c>
      <x:c r="B56" s="431" t="str">
        <x:v>G0.1</x:v>
      </x:c>
      <x:c r="C56" s="431" t="str">
        <x:v>AI management and quality-control system</x:v>
      </x:c>
      <x:c r="D56" s="431" t="str">
        <x:v>Adopt and implement binding policy, machine-readable inventory/risk/control records, eight lifecycle gates, objectives, audit, management review, automated validation, CI enforcement, exact holds, and honest standards boundaries.</x:v>
      </x:c>
      <x:c r="E56" s="431" t="str">
        <x:v>Complete / Review</x:v>
      </x:c>
      <x:c r="F56" s="431" t="str">
        <x:v>codex/iso-42001-ai-quality-system</x:v>
      </x:c>
      <x:c r="G56" s="431" t="str">
        <x:v>D-115; PR #67 exact main 540a1f6; EV-165-EV-171; 3 systems; 13 risks; 20 controls; 8 gates; 6 objectives; NC-001 corrective-action record; R-018; IMP-029-IMP-030; focused 22; validator coverage 84%; full 335/1; coverage 88.33%; validation 5/5; Ruff; baseline 9/9; demo 2/2</x:v>
      </x:c>
      <x:c r="H56" s="431" t="str">
        <x:v>Jason</x:v>
      </x:c>
    </x:row>
    <x:row r="57" ht="140" customHeight="1">
      <x:c r="A57" s="431" t="n">
        <x:v>34</x:v>
      </x:c>
      <x:c r="B57" s="431" t="str">
        <x:v>P4.2</x:v>
      </x:c>
      <x:c r="C57" s="431" t="str">
        <x:v>D-114 publication stabilization and recovery definition</x:v>
      </x:c>
      <x:c r="D57" s="431" t="str">
        <x:v>Reproduce the publication failure without protected access, identify the exact stage/cause, implement the smallest mechanical correction, preserve exact diagnostics, and pass the bounded four-output sentinel.</x:v>
      </x:c>
      <x:c r="E57" s="431" t="str">
        <x:v>Complete / D-116 Owner Review</x:v>
      </x:c>
      <x:c r="F57" s="431" t="str">
        <x:v>codex/p4.2-publication-stabilization</x:v>
      </x:c>
      <x:c r="G57" s="431" t="str">
        <x:v>D-114; PR #68; implementation 1c5216e; proposed D-116; EV-172-EV-178; I-009; IMP-028; IMP-031-IMP-032; focused 53; local full 340/1 at 88.48%; hosted 341 at 88.50%; validation 5/5; Ruff; sentinel pass; development benchmark 22/22; baseline 9/9; demo 2/2</x:v>
      </x:c>
      <x:c r="H57" s="431" t="str">
        <x:v>Jason</x:v>
      </x:c>
    </x:row>
    <x:row r="58" ht="165" customHeight="1">
      <x:c r="A58" s="431" t="n">
        <x:v>35</x:v>
      </x:c>
      <x:c r="B58" s="431" t="str">
        <x:v>P4.2</x:v>
      </x:c>
      <x:c r="C58" s="431" t="str">
        <x:v>D-116 external benchmark recovery freeze</x:v>
      </x:c>
      <x:c r="D58" s="431" t="str">
        <x:v>Prepare and independently verify one materially distinct external family and one oracle-blind runner, prove four-output publication in the final physical pattern, preserve every failed revision, and return D-117 with zero opaque runs.</x:v>
      </x:c>
      <x:c r="E58" s="431" t="str">
        <x:v>Complete / D-117 Owner Review</x:v>
      </x:c>
      <x:c r="F58" s="431" t="str">
        <x:v>codex/p4.2-external-benchmark-recovery-preparation</x:v>
      </x:c>
      <x:c r="G58" s="431" t="str">
        <x:v>D-116; proposed D-117; PR #68 main 3a6766f; PR #69 hosted 2/2, runs 30041470927 and 30041835325; family FAM-D116-CIM-20260723-01; runner R4; EV-179-EV-184; I-010; IMP-033-IMP-035; 8/8 mandatory; 51/51 detailed; sentinel 4 outputs; focused 22; full 340/1 at 88.33%; hosted 341 at 88.50%; validation 5/5; Ruff; dev 22/22; baseline 9/9; demo 2/2</x:v>
      </x:c>
      <x:c r="H58"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