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d24644bcb4a4f21" /></Relationships>
</file>

<file path=xl/workbook.xml><?xml version="1.0" encoding="utf-8"?>
<x:workbook xmlns:x="http://schemas.openxmlformats.org/spreadsheetml/2006/main">
  <x:sheets>
    <x:sheet xmlns:r="http://schemas.openxmlformats.org/officeDocument/2006/relationships" name="Start Here" sheetId="1" r:id="R153812d70b3f4da0"/>
    <x:sheet xmlns:r="http://schemas.openxmlformats.org/officeDocument/2006/relationships" name="Executive Gantt" sheetId="2" r:id="R34b7d4139b1542fc"/>
    <x:sheet xmlns:r="http://schemas.openxmlformats.org/officeDocument/2006/relationships" name="Detailed Gantt" sheetId="3" r:id="Ra7e8943d42ef4495"/>
    <x:sheet xmlns:r="http://schemas.openxmlformats.org/officeDocument/2006/relationships" name="Weekly Control" sheetId="4" r:id="R19aa184396604105"/>
    <x:sheet xmlns:r="http://schemas.openxmlformats.org/officeDocument/2006/relationships" name="Phase Summary" sheetId="5" r:id="R0ec935a5215747b7"/>
    <x:sheet xmlns:r="http://schemas.openxmlformats.org/officeDocument/2006/relationships" name="Assumptions &amp; Gates" sheetId="6" r:id="R689c6b8e463f4d87"/>
    <x:sheet xmlns:r="http://schemas.openxmlformats.org/officeDocument/2006/relationships" name="Sources" sheetId="7" r:id="R84d5216e95a24979"/>
    <x:sheet xmlns:r="http://schemas.openxmlformats.org/officeDocument/2006/relationships" name="Legacy Baseline" sheetId="8" r:id="R4636c34df7724dde"/>
    <x:sheet xmlns:r="http://schemas.openxmlformats.org/officeDocument/2006/relationships" name="Work Block Log" sheetId="9" r:id="R3b5f9b73139e4b23"/>
    <x:sheet xmlns:r="http://schemas.openxmlformats.org/officeDocument/2006/relationships" name="Decision Register" sheetId="10" r:id="Rc85fed1bcc5d4b00"/>
    <x:sheet xmlns:r="http://schemas.openxmlformats.org/officeDocument/2006/relationships" name="Risks &amp; Issues" sheetId="11" r:id="R21809933bfad4646"/>
    <x:sheet xmlns:r="http://schemas.openxmlformats.org/officeDocument/2006/relationships" name="Evidence Register" sheetId="12" r:id="Rdd677cd58f9640ca"/>
    <x:sheet xmlns:r="http://schemas.openxmlformats.org/officeDocument/2006/relationships" name="Expansion Backlog" sheetId="13" r:id="R6a9d8d5e07ca4d00"/>
    <x:sheet xmlns:r="http://schemas.openxmlformats.org/officeDocument/2006/relationships" name="AI Context" sheetId="14" r:id="Re6fb7e0cd2234f2f"/>
    <x:sheet xmlns:r="http://schemas.openxmlformats.org/officeDocument/2006/relationships" name="MVP Dashboard" sheetId="15" r:id="R49b41e2c064b4a95"/>
    <x:sheet xmlns:r="http://schemas.openxmlformats.org/officeDocument/2006/relationships" name="Product Vision" sheetId="16" r:id="R61d02ab29214426d"/>
    <x:sheet xmlns:r="http://schemas.openxmlformats.org/officeDocument/2006/relationships" name="Pilot Gantt" sheetId="17" r:id="R1b62a3d6344e4afe"/>
    <x:sheet xmlns:r="http://schemas.openxmlformats.org/officeDocument/2006/relationships" name="Pilot Dashboard" sheetId="18" r:id="R39ad225c417b486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<x:sst xmlns:x="http://schemas.openxmlformats.org/spreadsheetml/2006/main">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</x:sst>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b6cd2223c3743e6" /><Relationship Type="http://schemas.openxmlformats.org/officeDocument/2006/relationships/theme" Target="/xl/theme/theme1.xml" Id="Rb6997a73308448a6" /><Relationship Type="http://schemas.openxmlformats.org/officeDocument/2006/relationships/sharedStrings" Target="/xl/sharedStrings.xml" Id="R8c14c27d1cbf4592" /><Relationship Type="http://schemas.openxmlformats.org/officeDocument/2006/relationships/worksheet" Target="/xl/worksheets/sheet1.xml" Id="R153812d70b3f4da0" /><Relationship Type="http://schemas.openxmlformats.org/officeDocument/2006/relationships/worksheet" Target="/xl/worksheets/sheet2.xml" Id="R34b7d4139b1542fc" /><Relationship Type="http://schemas.openxmlformats.org/officeDocument/2006/relationships/worksheet" Target="/xl/worksheets/sheet3.xml" Id="Ra7e8943d42ef4495" /><Relationship Type="http://schemas.openxmlformats.org/officeDocument/2006/relationships/worksheet" Target="/xl/worksheets/sheet4.xml" Id="R19aa184396604105" /><Relationship Type="http://schemas.openxmlformats.org/officeDocument/2006/relationships/worksheet" Target="/xl/worksheets/sheet5.xml" Id="R0ec935a5215747b7" /><Relationship Type="http://schemas.openxmlformats.org/officeDocument/2006/relationships/worksheet" Target="/xl/worksheets/sheet6.xml" Id="R689c6b8e463f4d87" /><Relationship Type="http://schemas.openxmlformats.org/officeDocument/2006/relationships/worksheet" Target="/xl/worksheets/sheet7.xml" Id="R84d5216e95a24979" /><Relationship Type="http://schemas.openxmlformats.org/officeDocument/2006/relationships/worksheet" Target="/xl/worksheets/sheet8.xml" Id="R4636c34df7724dde" /><Relationship Type="http://schemas.openxmlformats.org/officeDocument/2006/relationships/worksheet" Target="/xl/worksheets/sheet9.xml" Id="R3b5f9b73139e4b23" /><Relationship Type="http://schemas.openxmlformats.org/officeDocument/2006/relationships/worksheet" Target="/xl/worksheets/sheet10.xml" Id="Rc85fed1bcc5d4b00" /><Relationship Type="http://schemas.openxmlformats.org/officeDocument/2006/relationships/worksheet" Target="/xl/worksheets/sheet11.xml" Id="R21809933bfad4646" /><Relationship Type="http://schemas.openxmlformats.org/officeDocument/2006/relationships/worksheet" Target="/xl/worksheets/sheet12.xml" Id="Rdd677cd58f9640ca" /><Relationship Type="http://schemas.openxmlformats.org/officeDocument/2006/relationships/worksheet" Target="/xl/worksheets/sheet13.xml" Id="R6a9d8d5e07ca4d00" /><Relationship Type="http://schemas.openxmlformats.org/officeDocument/2006/relationships/worksheet" Target="/xl/worksheets/sheet14.xml" Id="Re6fb7e0cd2234f2f" /><Relationship Type="http://schemas.openxmlformats.org/officeDocument/2006/relationships/worksheet" Target="/xl/worksheets/sheet15.xml" Id="R49b41e2c064b4a95" /><Relationship Type="http://schemas.openxmlformats.org/officeDocument/2006/relationships/worksheet" Target="/xl/worksheets/sheet16.xml" Id="R61d02ab29214426d" /><Relationship Type="http://schemas.openxmlformats.org/officeDocument/2006/relationships/worksheet" Target="/xl/worksheets/sheet17.xml" Id="R1b62a3d6344e4afe" /><Relationship Type="http://schemas.openxmlformats.org/officeDocument/2006/relationships/worksheet" Target="/xl/worksheets/sheet18.xml" Id="R39ad225c417b4862" /></Relationships>
</file>

<file path=xl/drawings/_rels/drawing1.xml.rels>&#65279;<?xml version="1.0" encoding="utf-8"?><Relationships xmlns="http://schemas.openxmlformats.org/package/2006/relationships"><Relationship Type="http://schemas.openxmlformats.org/officeDocument/2006/relationships/chart" Target="/xl/drawings/charts/chart1.xml" Id="R46bd37aba0344e72" /></Relationships>
</file>

<file path=xl/drawings/_rels/drawing2.xml.rels>&#65279;<?xml version="1.0" encoding="utf-8"?><Relationships xmlns="http://schemas.openxmlformats.org/package/2006/relationships"><Relationship Type="http://schemas.openxmlformats.org/officeDocument/2006/relationships/chart" Target="/xl/drawings/charts/chart2.xml" Id="R389f973151014ca5" /></Relationships>
</file>

<file path=xl/drawings/_rels/drawing3.xml.rels>&#65279;<?xml version="1.0" encoding="utf-8"?><Relationships xmlns="http://schemas.openxmlformats.org/package/2006/relationships"><Relationship Type="http://schemas.openxmlformats.org/officeDocument/2006/relationships/chart" Target="/xl/drawings/charts/chart3.xml" Id="Rd935e77608464c59"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6bd37aba0344e72"/>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9f973151014ca5"/>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935e77608464c5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2301a7893a3b4990" /></Relationships>
</file>

<file path=xl/worksheets/_rels/sheet5.xml.rels>&#65279;<?xml version="1.0" encoding="utf-8"?><Relationships xmlns="http://schemas.openxmlformats.org/package/2006/relationships"><Relationship Type="http://schemas.openxmlformats.org/officeDocument/2006/relationships/drawing" Target="/xl/drawings/drawing2.xml" Id="Rd9ac67bff9f14654" /></Relationships>
</file>

<file path=xl/worksheets/_rels/sheet15.xml.rels>&#65279;<?xml version="1.0" encoding="utf-8"?><Relationships xmlns="http://schemas.openxmlformats.org/package/2006/relationships"><Relationship Type="http://schemas.openxmlformats.org/officeDocument/2006/relationships/drawing" Target="/xl/drawings/drawing3.xml" Id="R04ae7b6060c246bd"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public-package shortlist ready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public trial package selection</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Public trial package selection</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5" hidden="0" customHeight="1">
      <x:c r="A13" s="545" t="str">
        <x:v>Next build WBS</x:v>
      </x:c>
      <x:c r="B13" s="761" t="str">
        <x:v>CEO selects one of three researched public packages</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71" hidden="0" customHeight="1">
      <x:c r="A28" s="597" t="str">
        <x:v>PR #46 integrated the structured-package trial charter at exact main 361cc77 after both GitHub checks passed. Three public candidates were then reviewed using official sources: Precious Plastic Shredder Basic 3.3, NASA/JPL Open Source Rover v4.0.0, and OpenFlexure Microscope v7.0.0-beta5. Precious Plastic is recommended because its CAD, DXF, blueprint, schematic, BOM, and manual mix most closely matches the intended fabrication-package workflow. No candidate files were downloaded. D-091-D-092 and EV-088-EV-091 record the open decision and evidence. The CEO must choose one candidate before source verification, Git-ignored download, hashing, inventory, and fit-gap assessment. Checks 8-11, held-out execution, benchmark changes, multimodal extraction, and platform work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2301a7893a3b4990"/>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d9ac67bff9f1465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Proposed</x:v>
      </x:c>
      <x:c r="F95" s="431" t="str">
        <x:v>Public trial package selection</x:v>
      </x:c>
      <x:c r="G95" s="431" t="str">
        <x:v>docs/package_assurance/public_trial_package_shortlist_2026-07-20.md; official publisher sources; PR #46; exact main 361cc77; EV-090-EV-091</x:v>
      </x:c>
      <x:c r="H95" s="431" t="str">
        <x:v>CEO accepts or revises the recommendation. After selection, verify the official source and license, download only to a local Git-ignored intake area, hash and inventory the untouched files, and produce a fit-and-gap report before transformation.</x:v>
      </x:c>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trial charter integrated; public-package shortlist awaits CEO selection</x:v>
      </x:c>
    </x:row>
    <x:row r="7" ht="112.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ordered checks run end to end; practical usefulness, source fit, and checks 8-11 remain unproven.</x:v>
      </x:c>
      <x:c r="E7" s="765" t="str">
        <x:v>Product interpretation</x:v>
      </x:c>
      <x:c r="F7" s="431" t="str">
        <x:v>Successful kernel; not yet a complete economically useful workflow.</x:v>
      </x:c>
      <x:c r="G7" s="765" t="str">
        <x:v>Response</x:v>
      </x:c>
      <x:c r="H7" s="431" t="str">
        <x:v>Choose one of three public candidates; Precious Plastic Shredder Basic 3.3 is recommended.</x:v>
      </x:c>
    </x:row>
    <x:row r="8" ht="103.5" hidden="0" customHeight="1">
      <x:c r="A8" s="765" t="str">
        <x:v>Immediate next action</x:v>
      </x:c>
      <x:c r="B8" s="431" t="str">
        <x:v>Stop until the CEO chooses a researched public candidate. No package files have been downloaded.</x:v>
      </x:c>
      <x:c r="C8" s="765" t="str">
        <x:v>Selected vertical</x:v>
      </x:c>
      <x:c r="D8" s="431" t="str">
        <x:v>Seven accepted checks -&gt; public-package selection -&gt; controlled intake and fit-gap review -&gt; improvement decision -&gt; checks 8-11 -&gt; P4 benchmark.</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PR #46 integrated the structured-package trial charter at exact main 361cc77 after both GitHub checks passed. Official sources were reviewed for three public candidates. Precious Plastic Shredder Basic 3.3 is recommended because its CAD, DXF, blueprint, schematic, BOM, and manual mix most closely resembles the target fabrication workflow. NASA/JPL Open Source Rover v4.0.0 offers the cleanest provenance and easiest structured intake. OpenFlexure Microscope v7.0.0-beta5 offers the strongest reproducibility and revision experiment. No candidate files were downloaded or transformed. CEO selection authorizes only official-source verification, local Git-ignored download, hashing, inventory, and a fit-gap report. Checks 8-11, authority-policy changes, held-out execution, protected assets, multimodal extraction, and platform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04ae7b6060c246bd"/>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79"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0.64</x:v>
      </x:c>
      <x:c r="M13" s="662" t="n">
        <x:f>SUMIF('Work Block Log'!$E$5:$E$200,A13,'Work Block Log'!$F$5:$F$200)</x:f>
        <x:v>0</x:v>
      </x:c>
      <x:c r="N13" s="662" t="n">
        <x:f>MAX(F13*(1-L13),0)</x:f>
        <x:v>1.44</x:v>
      </x:c>
      <x:c r="O13" s="662" t="n">
        <x:f>M13-F13</x:f>
        <x:v>-4</x:v>
      </x:c>
      <x:c r="P13" s="431" t="str">
        <x:v>check 7 implementation 01a70c2; PR #45 exact main 273c36a; trial charter d4e530f; PR #46 exact main 361cc77; branch codex/p2.3-public-trial-package-shortlist; D-085-D-092; EV-082-EV-091; IMP-013-IMP-015; relationship 35; focused implementation 80; current repository 27; full 283/1; validation 5/5; Ruff; coverage 87.25%; PR #46 checks 33s/34s; workbook formula errors 0; six-sheet visual review; public-source research complete</x:v>
      </x:c>
      <x:c r="Q13" s="431" t="str">
        <x:v>CEO chooses Precious Plastic Shredder Basic 3.3, NASA/JPL Open Source Rover v4.0.0, or OpenFlexure Microscope v7.0.0-beta5. Then verify the official source and perform controlled intake only.</x:v>
      </x:c>
      <x:c r="R13" s="431" t="str">
        <x:v>The trial charter is integrated and the public-package shortlist is ready. Precious Plastic is recommended. No candidate files were downloaded. Package intake, check 8, authority-gap implementation, held-out execution, protected-asset change, and multimodal work remain blocked before selection.</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0.7078260869565218</x:v>
      </x:c>
      <x:c r="M24" s="683" t="n">
        <x:f>SUM(M6:M22)</x:f>
        <x:v>0</x:v>
      </x:c>
      <x:c r="N24" s="683" t="n">
        <x:f>SUM(N6:N22)</x:f>
        <x:v>13.44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Public Package Selection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Public trial package selection</x:v>
      </x:c>
      <x:c r="H4" s="697"/>
    </x:row>
    <x:row r="5" ht="72" customHeight="1">
      <x:c r="A5" s="688" t="str">
        <x:v>Schedule Baseline</x:v>
      </x:c>
      <x:c r="B5" s="693" t="str">
        <x:v>Legacy only; not controlling</x:v>
      </x:c>
      <x:c r="C5" s="691"/>
      <x:c r="D5" s="691"/>
      <x:c r="F5" s="696" t="str">
        <x:v>Objective</x:v>
      </x:c>
      <x:c r="G5" s="697" t="str">
        <x:v>Choose the best public package for the first practical-use trial.</x:v>
      </x:c>
      <x:c r="H5" s="697"/>
    </x:row>
    <x:row r="6" ht="63" customHeight="1">
      <x:c r="A6" s="688" t="str">
        <x:v>Time Tracking</x:v>
      </x:c>
      <x:c r="B6" s="693" t="str">
        <x:v>Waived prospectively</x:v>
      </x:c>
      <x:c r="C6" s="691"/>
      <x:c r="D6" s="691"/>
      <x:c r="F6" s="696" t="str">
        <x:v>Gate Status</x:v>
      </x:c>
      <x:c r="G6" s="697" t="str">
        <x:v>Trial charter integrated; three-candidate shortlist awaiting CEO selection.</x:v>
      </x:c>
      <x:c r="H6" s="697"/>
    </x:row>
    <x:row r="7" ht="81" customHeight="1">
      <x:c r="A7" s="688" t="str">
        <x:v>Current Gate</x:v>
      </x:c>
      <x:c r="B7" s="694" t="str">
        <x:v>P2.3 public trial package selection</x:v>
      </x:c>
      <x:c r="C7" s="691"/>
      <x:c r="D7" s="691"/>
      <x:c r="F7" s="696" t="str">
        <x:v>Definition of Done</x:v>
      </x:c>
      <x:c r="G7" s="697" t="str">
        <x:v>No candidate files have been downloaded or transformed.</x:v>
      </x:c>
      <x:c r="H7" s="697"/>
    </x:row>
    <x:row r="8" ht="63" customHeight="1">
      <x:c r="A8" s="688" t="str">
        <x:v>Released Kernel</x:v>
      </x:c>
      <x:c r="B8" s="691" t="str">
        <x:v>v0.2.0 / commit 45336a2</x:v>
      </x:c>
      <x:c r="C8" s="691"/>
      <x:c r="D8" s="691"/>
      <x:c r="F8" s="696" t="str">
        <x:v>Immediate Next Action</x:v>
      </x:c>
      <x:c r="G8" s="697" t="str">
        <x:v>CEO selects a candidate; Precious Plastic Shredder Basic 3.3 is recommended.</x:v>
      </x:c>
      <x:c r="H8" s="697"/>
    </x:row>
    <x:row r="9" ht="72" customHeight="1">
      <x:c r="A9" s="688" t="str">
        <x:v>Release Target</x:v>
      </x:c>
      <x:c r="B9" s="691" t="str">
        <x:v>v0.3.0</x:v>
      </x:c>
      <x:c r="C9" s="691"/>
      <x:c r="D9" s="691"/>
      <x:c r="F9" s="696" t="str">
        <x:v>Primary Risk</x:v>
      </x:c>
      <x:c r="G9" s="697" t="str">
        <x:v>The recommended package may lack formal revisions and authority declarations; those gaps must be reported, not invented.</x:v>
      </x:c>
      <x:c r="H9" s="697"/>
    </x:row>
    <x:row r="10" ht="81" customHeight="1">
      <x:c r="A10" s="688" t="str">
        <x:v>Baseline Test Count</x:v>
      </x:c>
      <x:c r="B10" s="691" t="n">
        <x:v>121</x:v>
      </x:c>
      <x:c r="C10" s="691"/>
      <x:c r="D10" s="691"/>
      <x:c r="F10" s="696" t="str">
        <x:v>Deferred</x:v>
      </x:c>
      <x:c r="G10" s="697" t="str">
        <x:v>Checks 8-11, authority changes, held-out execution, protected assets, and multimodal work remain blocked.</x:v>
      </x:c>
      <x:c r="H10" s="697"/>
    </x:row>
    <x:row r="11" ht="63" customHeight="1">
      <x:c r="A11" s="688" t="str">
        <x:v>Fixture Package Families</x:v>
      </x:c>
      <x:c r="B11" s="691" t="n">
        <x:v>2</x:v>
      </x:c>
      <x:c r="C11" s="691"/>
      <x:c r="D11" s="691"/>
      <x:c r="F11" s="696" t="str">
        <x:v>Data Boundary</x:v>
      </x:c>
      <x:c r="G11" s="697" t="str">
        <x:v>After selection, source files stay in a local Git-ignored intake area while hashes and inventory are recorded.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Awaiting CEO candidate selection</x:v>
      </x:c>
      <x:c r="D17" s="700" t="n">
        <x:v>0.64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16"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Awaiting CEO Review</x:v>
      </x:c>
      <x:c r="F36" s="431" t="str">
        <x:v>codex/p2.3-public-trial-package-shortlist</x:v>
      </x:c>
      <x:c r="G36" s="431" t="str">
        <x:v>D-092; EV-090-EV-091; docs/package_assurance/public_trial_package_shortlist_2026-07-20.md; Precious Plastic recommended; no candidate files downloaded; repository 27; full 283/1; validation 5/5; workbook formula errors 0; six-sheet visual review</x:v>
      </x:c>
      <x:c r="H3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