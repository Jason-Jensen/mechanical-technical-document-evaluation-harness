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51aff82c0dd4a98" /></Relationships>
</file>

<file path=xl/workbook.xml><?xml version="1.0" encoding="utf-8"?>
<x:workbook xmlns:x="http://schemas.openxmlformats.org/spreadsheetml/2006/main">
  <x:sheets>
    <x:sheet xmlns:r="http://schemas.openxmlformats.org/officeDocument/2006/relationships" name="Start Here" sheetId="1" r:id="R4dc8ab9980c44e08"/>
    <x:sheet xmlns:r="http://schemas.openxmlformats.org/officeDocument/2006/relationships" name="Executive Gantt" sheetId="2" r:id="R3da468e6b85a4577"/>
    <x:sheet xmlns:r="http://schemas.openxmlformats.org/officeDocument/2006/relationships" name="Detailed Gantt" sheetId="3" r:id="Rc989f871355245cb"/>
    <x:sheet xmlns:r="http://schemas.openxmlformats.org/officeDocument/2006/relationships" name="Weekly Control" sheetId="4" r:id="R29c1a79903c945e9"/>
    <x:sheet xmlns:r="http://schemas.openxmlformats.org/officeDocument/2006/relationships" name="Phase Summary" sheetId="5" r:id="Re43d8930bd5a438d"/>
    <x:sheet xmlns:r="http://schemas.openxmlformats.org/officeDocument/2006/relationships" name="Assumptions &amp; Gates" sheetId="6" r:id="R13080624c90a44c6"/>
    <x:sheet xmlns:r="http://schemas.openxmlformats.org/officeDocument/2006/relationships" name="Sources" sheetId="7" r:id="Rd085697312a94c68"/>
    <x:sheet xmlns:r="http://schemas.openxmlformats.org/officeDocument/2006/relationships" name="Legacy Baseline" sheetId="8" r:id="R396fac29d0714190"/>
    <x:sheet xmlns:r="http://schemas.openxmlformats.org/officeDocument/2006/relationships" name="Work Block Log" sheetId="9" r:id="Rc41d1487613b4e71"/>
    <x:sheet xmlns:r="http://schemas.openxmlformats.org/officeDocument/2006/relationships" name="Decision Register" sheetId="10" r:id="Rd64eb311568d4d44"/>
    <x:sheet xmlns:r="http://schemas.openxmlformats.org/officeDocument/2006/relationships" name="Risks &amp; Issues" sheetId="11" r:id="R9ec0a63db1df4ede"/>
    <x:sheet xmlns:r="http://schemas.openxmlformats.org/officeDocument/2006/relationships" name="Evidence Register" sheetId="12" r:id="Re151e9715b804cc4"/>
    <x:sheet xmlns:r="http://schemas.openxmlformats.org/officeDocument/2006/relationships" name="Expansion Backlog" sheetId="13" r:id="R34869b41b27647b3"/>
    <x:sheet xmlns:r="http://schemas.openxmlformats.org/officeDocument/2006/relationships" name="AI Context" sheetId="14" r:id="Re7cd54506b9d41d1"/>
    <x:sheet xmlns:r="http://schemas.openxmlformats.org/officeDocument/2006/relationships" name="MVP Dashboard" sheetId="15" r:id="R04a1d09e309144ae"/>
    <x:sheet xmlns:r="http://schemas.openxmlformats.org/officeDocument/2006/relationships" name="Product Vision" sheetId="16" r:id="Rfbe47d23813e42ba"/>
    <x:sheet xmlns:r="http://schemas.openxmlformats.org/officeDocument/2006/relationships" name="Pilot Gantt" sheetId="17" r:id="Rcc70b83c14e747ed"/>
    <x:sheet xmlns:r="http://schemas.openxmlformats.org/officeDocument/2006/relationships" name="Pilot Dashboard" sheetId="18" r:id="R23a63c874c9f4d2f"/>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<x:sst xmlns:x="http://schemas.openxmlformats.org/spreadsheetml/2006/main">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</x:sst>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6aee40d97204e9e" /><Relationship Type="http://schemas.openxmlformats.org/officeDocument/2006/relationships/theme" Target="/xl/theme/theme1.xml" Id="R857e5ba1c8f34580" /><Relationship Type="http://schemas.openxmlformats.org/officeDocument/2006/relationships/sharedStrings" Target="/xl/sharedStrings.xml" Id="R4d97c472f0064a54" /><Relationship Type="http://schemas.openxmlformats.org/officeDocument/2006/relationships/worksheet" Target="/xl/worksheets/sheet1.xml" Id="R4dc8ab9980c44e08" /><Relationship Type="http://schemas.openxmlformats.org/officeDocument/2006/relationships/worksheet" Target="/xl/worksheets/sheet2.xml" Id="R3da468e6b85a4577" /><Relationship Type="http://schemas.openxmlformats.org/officeDocument/2006/relationships/worksheet" Target="/xl/worksheets/sheet3.xml" Id="Rc989f871355245cb" /><Relationship Type="http://schemas.openxmlformats.org/officeDocument/2006/relationships/worksheet" Target="/xl/worksheets/sheet4.xml" Id="R29c1a79903c945e9" /><Relationship Type="http://schemas.openxmlformats.org/officeDocument/2006/relationships/worksheet" Target="/xl/worksheets/sheet5.xml" Id="Re43d8930bd5a438d" /><Relationship Type="http://schemas.openxmlformats.org/officeDocument/2006/relationships/worksheet" Target="/xl/worksheets/sheet6.xml" Id="R13080624c90a44c6" /><Relationship Type="http://schemas.openxmlformats.org/officeDocument/2006/relationships/worksheet" Target="/xl/worksheets/sheet7.xml" Id="Rd085697312a94c68" /><Relationship Type="http://schemas.openxmlformats.org/officeDocument/2006/relationships/worksheet" Target="/xl/worksheets/sheet8.xml" Id="R396fac29d0714190" /><Relationship Type="http://schemas.openxmlformats.org/officeDocument/2006/relationships/worksheet" Target="/xl/worksheets/sheet9.xml" Id="Rc41d1487613b4e71" /><Relationship Type="http://schemas.openxmlformats.org/officeDocument/2006/relationships/worksheet" Target="/xl/worksheets/sheet10.xml" Id="Rd64eb311568d4d44" /><Relationship Type="http://schemas.openxmlformats.org/officeDocument/2006/relationships/worksheet" Target="/xl/worksheets/sheet11.xml" Id="R9ec0a63db1df4ede" /><Relationship Type="http://schemas.openxmlformats.org/officeDocument/2006/relationships/worksheet" Target="/xl/worksheets/sheet12.xml" Id="Re151e9715b804cc4" /><Relationship Type="http://schemas.openxmlformats.org/officeDocument/2006/relationships/worksheet" Target="/xl/worksheets/sheet13.xml" Id="R34869b41b27647b3" /><Relationship Type="http://schemas.openxmlformats.org/officeDocument/2006/relationships/worksheet" Target="/xl/worksheets/sheet14.xml" Id="Re7cd54506b9d41d1" /><Relationship Type="http://schemas.openxmlformats.org/officeDocument/2006/relationships/worksheet" Target="/xl/worksheets/sheet15.xml" Id="R04a1d09e309144ae" /><Relationship Type="http://schemas.openxmlformats.org/officeDocument/2006/relationships/worksheet" Target="/xl/worksheets/sheet16.xml" Id="Rfbe47d23813e42ba" /><Relationship Type="http://schemas.openxmlformats.org/officeDocument/2006/relationships/worksheet" Target="/xl/worksheets/sheet17.xml" Id="Rcc70b83c14e747ed" /><Relationship Type="http://schemas.openxmlformats.org/officeDocument/2006/relationships/worksheet" Target="/xl/worksheets/sheet18.xml" Id="R23a63c874c9f4d2f" /></Relationships>
</file>

<file path=xl/drawings/_rels/drawing1.xml.rels>&#65279;<?xml version="1.0" encoding="utf-8"?><Relationships xmlns="http://schemas.openxmlformats.org/package/2006/relationships"><Relationship Type="http://schemas.openxmlformats.org/officeDocument/2006/relationships/chart" Target="/xl/drawings/charts/chart1.xml" Id="Rbe4e4a89c33b4f21" /></Relationships>
</file>

<file path=xl/drawings/_rels/drawing2.xml.rels>&#65279;<?xml version="1.0" encoding="utf-8"?><Relationships xmlns="http://schemas.openxmlformats.org/package/2006/relationships"><Relationship Type="http://schemas.openxmlformats.org/officeDocument/2006/relationships/chart" Target="/xl/drawings/charts/chart2.xml" Id="R510fd57399324416" /></Relationships>
</file>

<file path=xl/drawings/_rels/drawing3.xml.rels>&#65279;<?xml version="1.0" encoding="utf-8"?><Relationships xmlns="http://schemas.openxmlformats.org/package/2006/relationships"><Relationship Type="http://schemas.openxmlformats.org/officeDocument/2006/relationships/chart" Target="/xl/drawings/charts/chart3.xml" Id="Rc5851be35c8d4eaa"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e4e4a89c33b4f2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10fd57399324416"/>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851be35c8d4ea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77e433a879d44b0c" /></Relationships>
</file>

<file path=xl/worksheets/_rels/sheet5.xml.rels>&#65279;<?xml version="1.0" encoding="utf-8"?><Relationships xmlns="http://schemas.openxmlformats.org/package/2006/relationships"><Relationship Type="http://schemas.openxmlformats.org/officeDocument/2006/relationships/drawing" Target="/xl/drawings/drawing2.xml" Id="R2aaf3d3215bd4dda" /></Relationships>
</file>

<file path=xl/worksheets/_rels/sheet15.xml.rels>&#65279;<?xml version="1.0" encoding="utf-8"?><Relationships xmlns="http://schemas.openxmlformats.org/package/2006/relationships"><Relationship Type="http://schemas.openxmlformats.org/officeDocument/2006/relationships/drawing" Target="/xl/drawings/drawing3.xml" Id="Rccc1f0e9d03f4010"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dual public-package fit-gap ready for review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NASA/JPL and OpenFlexure combined intake and fit-gap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Dual fit-gap CEO review</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5" hidden="0" customHeight="1">
      <x:c r="A13" s="545" t="str">
        <x:v>Next build WBS</x:v>
      </x:c>
      <x:c r="B13" s="761" t="str">
        <x:v>Accept, revise, or stop the proposed manual mapping-definition block</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84.5" hidden="0" customHeight="1">
      <x:c r="A28" s="597" t="str">
        <x:v>The Precious Plastic trial stopped without a download because official access was unavailable; no bypass was attempted. The co-equal NASA/JPL Open Source Rover v4.0.0 and OpenFlexure Microscope v7.0.0-beta5 intakes are complete under one protocol. Both official archives are preserved outside Git, SHA-256 hashed, ZIP-validated, and inventoried without opening PDF or CAD engineering content. NASA/JPL: 403,500,249 bytes, 998 ZIP entries, 897 files, SHA-256 8bcf4985904cdbabcd0b48c77e68aac66ea069947aad60fa7bc50ac283e77a7b. OpenFlexure: 62,624,351 bytes, 463 ZIP entries, 423 files, SHA-256 aecf6640c4c99538a281abaedbf75c5464543159d8a5ed4b729830b234939a78. Neither package fits the current audit unchanged. D-096 proposes controlled manual mapping definitions for both; no transformation or audit run is authorized until review. EV-095-EV-096 record the evidence.</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77e433a879d44b0c"/>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aaf3d3215bd4dda"/>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Proposed</x:v>
      </x:c>
      <x:c r="F99" s="431" t="str">
        <x:v>Dual controlled mapping-definition gate</x:v>
      </x:c>
      <x:c r="G99" s="431" t="str">
        <x:v>docs/package_assurance/dual_public_package_intake_fit_gap_2026-07-20.md; D-094-D-095; EV-093-EV-096</x:v>
      </x:c>
      <x:c r="H99" s="431" t="str">
        <x:v>CEO accepts, revises, or stops the recommendation. Until accepted, do not transform source files, create working audit packages, run audit-package, or change loaders, schemas, rules, authority policy, or protected assets.</x:v>
      </x:c>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Ready for CEO review</x:v>
      </x:c>
      <x:c r="I98" s="431" t="str">
        <x:v>NASA/JPL: 403,500,249 bytes; SHA-256 8bcf4985904cdbabcd0b48c77e68aac66ea069947aad60fa7bc50ac283e77a7b; 998 ZIP entries; 897 files. OpenFlexure: 62,624,351 bytes; SHA-256 aecf6640c4c99538a281abaedbf75c5464543159d8a5ed4b729830b234939a78; 463 ZIP entries; 423 files. NASA/JPL Expand-Archive hit a Windows long-path limit; the incomplete attempt is preserved and excluded from evidence.</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Ready for CEO review</x:v>
      </x:c>
      <x:c r="I99" s="431" t="str">
        <x:v>Both packages are recommended for a controlled manual mapping-definition block. Neither is ready for transformation or audit execution. The recommendation preserves exact source locators, refuses invented authority, and keeps evaluator contracts unchanged. Verification: repository-focused 27 passed; full regression 283 passed with one expected Windows symlink skip; validation 5/5; Ruff passed; workbook formula errors 0; all six control sheets visually inspected.</x:v>
      </x:c>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dual public-package fit-gap complete; CEO review required</x:v>
      </x:c>
    </x:row>
    <x:row r="7" ht="112.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checks run end to end; two public sources are preserved and fit-assessed without engineering-content extraction.</x:v>
      </x:c>
      <x:c r="E7" s="765" t="str">
        <x:v>Product interpretation</x:v>
      </x:c>
      <x:c r="F7" s="431" t="str">
        <x:v>Successful kernel; not yet a complete economically useful workflow.</x:v>
      </x:c>
      <x:c r="G7" s="765" t="str">
        <x:v>Response</x:v>
      </x:c>
      <x:c r="H7" s="431" t="str">
        <x:v>Review the combined fit-gap and decide whether both manual mapping definitions may begin.</x:v>
      </x:c>
    </x:row>
    <x:row r="8" ht="112.5" hidden="0" customHeight="1">
      <x:c r="A8" s="765" t="str">
        <x:v>Immediate next action</x:v>
      </x:c>
      <x:c r="B8" s="431" t="str">
        <x:v>Accept, revise, or stop the proposed controlled mapping-definition block for both packages.</x:v>
      </x:c>
      <x:c r="C8" s="765" t="str">
        <x:v>Selected vertical</x:v>
      </x:c>
      <x:c r="D8" s="431" t="str">
        <x:v>Combined fit-gap review -&gt; two mapping definitions -&gt; mapping review -&gt; controlled preparation/audit decision.</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202.5" hidden="0" customHeight="1">
      <x:c r="A41" s="604" t="str">
        <x:v>Immediate implication</x:v>
      </x:c>
      <x:c r="B41" s="605"/>
      <x:c r="C41" s="606" t="str">
        <x:v>The Precious Plastic trial stopped without a download because official access was unavailable. The co-equal NASA/JPL v4.0.0 and OpenFlexure v7.0.0-beta5 intakes are complete under identical controls. Their untouched official archives remain separate and Git-ignored, are SHA-256 hashed and ZIP-validated, and have complete filename/type/size inventories. No PDF or CAD engineering content was opened. Both sources provide useful but different product learning, and neither fits the accepted audit contract unchanged. The recommended next gate is to define one manual source-to-audit mapping for each package and one shared transformation log, without transforming sources, changing evaluator contracts, or running an audit until both mappings are reviewed. The CEO reviews product usefulness; factual claims remain traceable to publisher material and do not constitute engineering or legal approval.</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cc1f0e9d03f4010"/>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306"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0.64</x:v>
      </x:c>
      <x:c r="M13" s="662" t="n">
        <x:f>SUMIF('Work Block Log'!$E$5:$E$200,A13,'Work Block Log'!$F$5:$F$200)</x:f>
        <x:v>0</x:v>
      </x:c>
      <x:c r="N13" s="662" t="n">
        <x:f>MAX(F13*(1-L13),0)</x:f>
        <x:v>1.44</x:v>
      </x:c>
      <x:c r="O13" s="662" t="n">
        <x:f>M13-F13</x:f>
        <x:v>-4</x:v>
      </x:c>
      <x:c r="P13" s="431" t="str">
        <x:v>check 7 implementation 01a70c2; PR #45 main 273c36a; PR #46 main 361cc77; PR #47 main 36b146b; D-085-D-096; EV-082-EV-096; relationship 35; repository 27; full 283/1; validation 5/5; Ruff; coverage 87.25%; workbook formula errors 0; six-sheet visual review; Precious Plastic stopped with no download; NASA/JPL 897 files SHA-256 8bcf4985...e77a7b; OpenFlexure 423 files SHA-256 aecf6640...939a78; combined fit-gap ready</x:v>
      </x:c>
      <x:c r="Q13" s="431" t="str">
        <x:v>CEO reviews docs/package_assurance/dual_public_package_intake_fit_gap_2026-07-20.md and accepts, revises, or stops the proposed controlled manual mapping-definition block for both packages.</x:v>
      </x:c>
      <x:c r="R13" s="431" t="str">
        <x:v>No transformation, audit run, check 8, authority-policy change, held-out execution, protected-asset change, schema/loader change, or PDF/CAD engineering-content extraction is authorized before review.</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0.7078260869565218</x:v>
      </x:c>
      <x:c r="M24" s="683" t="n">
        <x:f>SUM(M6:M22)</x:f>
        <x:v>0</x:v>
      </x:c>
      <x:c r="N24" s="683" t="n">
        <x:f>SUM(N6:N22)</x:f>
        <x:v>13.44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Dual Fit-Gap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Dual fit-gap CEO review</x:v>
      </x:c>
      <x:c r="H4" s="697"/>
    </x:row>
    <x:row r="5" ht="72" customHeight="1">
      <x:c r="A5" s="688" t="str">
        <x:v>Schedule Baseline</x:v>
      </x:c>
      <x:c r="B5" s="693" t="str">
        <x:v>Legacy only; not controlling</x:v>
      </x:c>
      <x:c r="C5" s="691"/>
      <x:c r="D5" s="691"/>
      <x:c r="F5" s="696" t="str">
        <x:v>Objective</x:v>
      </x:c>
      <x:c r="G5" s="697" t="str">
        <x:v>Review both completed intakes and the controlled-mapping recommendation.</x:v>
      </x:c>
      <x:c r="H5" s="697"/>
    </x:row>
    <x:row r="6" ht="63" customHeight="1">
      <x:c r="A6" s="688" t="str">
        <x:v>Time Tracking</x:v>
      </x:c>
      <x:c r="B6" s="693" t="str">
        <x:v>Waived prospectively</x:v>
      </x:c>
      <x:c r="C6" s="691"/>
      <x:c r="D6" s="691"/>
      <x:c r="F6" s="696" t="str">
        <x:v>Gate Status</x:v>
      </x:c>
      <x:c r="G6" s="697" t="str">
        <x:v>Both intakes complete; combined assessment ready for CEO review.</x:v>
      </x:c>
      <x:c r="H6" s="697"/>
    </x:row>
    <x:row r="7" ht="81" customHeight="1">
      <x:c r="A7" s="688" t="str">
        <x:v>Current Gate</x:v>
      </x:c>
      <x:c r="B7" s="694" t="str">
        <x:v>P2.3 NASA/JPL and OpenFlexure combined intake and fit-gap review</x:v>
      </x:c>
      <x:c r="C7" s="691"/>
      <x:c r="D7" s="691"/>
      <x:c r="F7" s="696" t="str">
        <x:v>Definition of Done</x:v>
      </x:c>
      <x:c r="G7" s="697" t="str">
        <x:v>CEO accepts, revises, or stops both package-specific mapping definitions.</x:v>
      </x:c>
      <x:c r="H7" s="697"/>
    </x:row>
    <x:row r="8" ht="63" customHeight="1">
      <x:c r="A8" s="688" t="str">
        <x:v>Released Kernel</x:v>
      </x:c>
      <x:c r="B8" s="691" t="str">
        <x:v>v0.2.0 / commit 45336a2</x:v>
      </x:c>
      <x:c r="C8" s="691"/>
      <x:c r="D8" s="691"/>
      <x:c r="F8" s="696" t="str">
        <x:v>Immediate Next Action</x:v>
      </x:c>
      <x:c r="G8" s="697" t="str">
        <x:v>Review the combined fit-gap assessment and proposed D-096.</x:v>
      </x:c>
      <x:c r="H8" s="697"/>
    </x:row>
    <x:row r="9" ht="72" customHeight="1">
      <x:c r="A9" s="688" t="str">
        <x:v>Release Target</x:v>
      </x:c>
      <x:c r="B9" s="691" t="str">
        <x:v>v0.3.0</x:v>
      </x:c>
      <x:c r="C9" s="691"/>
      <x:c r="D9" s="691"/>
      <x:c r="F9" s="696" t="str">
        <x:v>Primary Risk</x:v>
      </x:c>
      <x:c r="G9" s="697" t="str">
        <x:v>Primary risk is inventing authority or treating public project structure as controlled release data.</x:v>
      </x:c>
      <x:c r="H9" s="697"/>
    </x:row>
    <x:row r="10" ht="81" customHeight="1">
      <x:c r="A10" s="688" t="str">
        <x:v>Baseline Test Count</x:v>
      </x:c>
      <x:c r="B10" s="691" t="n">
        <x:v>121</x:v>
      </x:c>
      <x:c r="C10" s="691"/>
      <x:c r="D10" s="691"/>
      <x:c r="F10" s="696" t="str">
        <x:v>Deferred</x:v>
      </x:c>
      <x:c r="G10" s="697" t="str">
        <x:v>Checks 8-11, transformation, audit execution, semantic held-out use, and deferred capabilities remain blocked.</x:v>
      </x:c>
      <x:c r="H10" s="697"/>
    </x:row>
    <x:row r="11" ht="63" customHeight="1">
      <x:c r="A11" s="688" t="str">
        <x:v>Fixture Package Families</x:v>
      </x:c>
      <x:c r="B11" s="691" t="n">
        <x:v>2</x:v>
      </x:c>
      <x:c r="C11" s="691"/>
      <x:c r="D11" s="691"/>
      <x:c r="F11" s="696" t="str">
        <x:v>Data Boundary</x:v>
      </x:c>
      <x:c r="G11" s="697" t="str">
        <x:v>Untouched sources stay outside Git; only hashes, inventories, citations, and approved assessment evidence may enter the repository.</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Combined review required</x:v>
      </x:c>
      <x:c r="D17" s="700" t="n">
        <x:v>0.64</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Ready for CEO Review</x:v>
      </x:c>
      <x:c r="F38" s="431" t="str">
        <x:v>codex/p2.3-dual-public-package-intake</x:v>
      </x:c>
      <x:c r="G38" s="431" t="str">
        <x:v>D-095-D-096; EV-094-EV-096; NASA/JPL 897 files SHA-256 8bcf4985...e77a7b; OpenFlexure 423 files SHA-256 aecf6640...939a78; combined fit-gap recommends two controlled mapping definitions; no transformation or audit authorized</x:v>
      </x:c>
      <x:c r="H3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