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143aac0a3274973" /></Relationships>
</file>

<file path=xl/workbook.xml><?xml version="1.0" encoding="utf-8"?>
<x:workbook xmlns:x="http://schemas.openxmlformats.org/spreadsheetml/2006/main">
  <x:sheets>
    <x:sheet xmlns:r="http://schemas.openxmlformats.org/officeDocument/2006/relationships" name="Start Here" sheetId="1" r:id="Re82549304f264252"/>
    <x:sheet xmlns:r="http://schemas.openxmlformats.org/officeDocument/2006/relationships" name="Executive Gantt" sheetId="2" r:id="Rb5a8e889aa0c4c53"/>
    <x:sheet xmlns:r="http://schemas.openxmlformats.org/officeDocument/2006/relationships" name="Detailed Gantt" sheetId="3" r:id="R1582f763d99647d5"/>
    <x:sheet xmlns:r="http://schemas.openxmlformats.org/officeDocument/2006/relationships" name="Weekly Control" sheetId="4" r:id="Re0e4e59aec0c45b2"/>
    <x:sheet xmlns:r="http://schemas.openxmlformats.org/officeDocument/2006/relationships" name="Phase Summary" sheetId="5" r:id="Rfe5cd29f82f848f4"/>
    <x:sheet xmlns:r="http://schemas.openxmlformats.org/officeDocument/2006/relationships" name="Assumptions &amp; Gates" sheetId="6" r:id="R5296e072038748b6"/>
    <x:sheet xmlns:r="http://schemas.openxmlformats.org/officeDocument/2006/relationships" name="Sources" sheetId="7" r:id="Rc97d100950b84e94"/>
    <x:sheet xmlns:r="http://schemas.openxmlformats.org/officeDocument/2006/relationships" name="Legacy Baseline" sheetId="8" r:id="Rb2cc8506058d4695"/>
    <x:sheet xmlns:r="http://schemas.openxmlformats.org/officeDocument/2006/relationships" name="Work Block Log" sheetId="9" r:id="R918bd1118a2d4f39"/>
    <x:sheet xmlns:r="http://schemas.openxmlformats.org/officeDocument/2006/relationships" name="Decision Register" sheetId="10" r:id="R0a882ba229a84c5c"/>
    <x:sheet xmlns:r="http://schemas.openxmlformats.org/officeDocument/2006/relationships" name="Risks &amp; Issues" sheetId="11" r:id="R9409d512e60f4522"/>
    <x:sheet xmlns:r="http://schemas.openxmlformats.org/officeDocument/2006/relationships" name="Evidence Register" sheetId="12" r:id="R5d78ce47136d41cd"/>
    <x:sheet xmlns:r="http://schemas.openxmlformats.org/officeDocument/2006/relationships" name="Expansion Backlog" sheetId="13" r:id="R39e69565db6443ee"/>
    <x:sheet xmlns:r="http://schemas.openxmlformats.org/officeDocument/2006/relationships" name="AI Context" sheetId="14" r:id="R0bce73a6fdbd41f6"/>
    <x:sheet xmlns:r="http://schemas.openxmlformats.org/officeDocument/2006/relationships" name="MVP Dashboard" sheetId="15" r:id="R2d33488a66e44592"/>
    <x:sheet xmlns:r="http://schemas.openxmlformats.org/officeDocument/2006/relationships" name="Product Vision" sheetId="16" r:id="Rfad4ee91d9624ca6"/>
    <x:sheet xmlns:r="http://schemas.openxmlformats.org/officeDocument/2006/relationships" name="Pilot Gantt" sheetId="17" r:id="Rd9b2858bc4b54d11"/>
    <x:sheet xmlns:r="http://schemas.openxmlformats.org/officeDocument/2006/relationships" name="Pilot Dashboard" sheetId="18" r:id="R399fc22c62bf4444"/>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<x:sst xmlns:x="http://schemas.openxmlformats.org/spreadsheetml/2006/main">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</x:sst>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71">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e7fa47ce2574561" /><Relationship Type="http://schemas.openxmlformats.org/officeDocument/2006/relationships/theme" Target="/xl/theme/theme1.xml" Id="Re4f0715219d74285" /><Relationship Type="http://schemas.openxmlformats.org/officeDocument/2006/relationships/sharedStrings" Target="/xl/sharedStrings.xml" Id="Re7e41ad4bc1f4461" /><Relationship Type="http://schemas.openxmlformats.org/officeDocument/2006/relationships/worksheet" Target="/xl/worksheets/sheet1.xml" Id="Re82549304f264252" /><Relationship Type="http://schemas.openxmlformats.org/officeDocument/2006/relationships/worksheet" Target="/xl/worksheets/sheet2.xml" Id="Rb5a8e889aa0c4c53" /><Relationship Type="http://schemas.openxmlformats.org/officeDocument/2006/relationships/worksheet" Target="/xl/worksheets/sheet3.xml" Id="R1582f763d99647d5" /><Relationship Type="http://schemas.openxmlformats.org/officeDocument/2006/relationships/worksheet" Target="/xl/worksheets/sheet4.xml" Id="Re0e4e59aec0c45b2" /><Relationship Type="http://schemas.openxmlformats.org/officeDocument/2006/relationships/worksheet" Target="/xl/worksheets/sheet5.xml" Id="Rfe5cd29f82f848f4" /><Relationship Type="http://schemas.openxmlformats.org/officeDocument/2006/relationships/worksheet" Target="/xl/worksheets/sheet6.xml" Id="R5296e072038748b6" /><Relationship Type="http://schemas.openxmlformats.org/officeDocument/2006/relationships/worksheet" Target="/xl/worksheets/sheet7.xml" Id="Rc97d100950b84e94" /><Relationship Type="http://schemas.openxmlformats.org/officeDocument/2006/relationships/worksheet" Target="/xl/worksheets/sheet8.xml" Id="Rb2cc8506058d4695" /><Relationship Type="http://schemas.openxmlformats.org/officeDocument/2006/relationships/worksheet" Target="/xl/worksheets/sheet9.xml" Id="R918bd1118a2d4f39" /><Relationship Type="http://schemas.openxmlformats.org/officeDocument/2006/relationships/worksheet" Target="/xl/worksheets/sheet10.xml" Id="R0a882ba229a84c5c" /><Relationship Type="http://schemas.openxmlformats.org/officeDocument/2006/relationships/worksheet" Target="/xl/worksheets/sheet11.xml" Id="R9409d512e60f4522" /><Relationship Type="http://schemas.openxmlformats.org/officeDocument/2006/relationships/worksheet" Target="/xl/worksheets/sheet12.xml" Id="R5d78ce47136d41cd" /><Relationship Type="http://schemas.openxmlformats.org/officeDocument/2006/relationships/worksheet" Target="/xl/worksheets/sheet13.xml" Id="R39e69565db6443ee" /><Relationship Type="http://schemas.openxmlformats.org/officeDocument/2006/relationships/worksheet" Target="/xl/worksheets/sheet14.xml" Id="R0bce73a6fdbd41f6" /><Relationship Type="http://schemas.openxmlformats.org/officeDocument/2006/relationships/worksheet" Target="/xl/worksheets/sheet15.xml" Id="R2d33488a66e44592" /><Relationship Type="http://schemas.openxmlformats.org/officeDocument/2006/relationships/worksheet" Target="/xl/worksheets/sheet16.xml" Id="Rfad4ee91d9624ca6" /><Relationship Type="http://schemas.openxmlformats.org/officeDocument/2006/relationships/worksheet" Target="/xl/worksheets/sheet17.xml" Id="Rd9b2858bc4b54d11" /><Relationship Type="http://schemas.openxmlformats.org/officeDocument/2006/relationships/worksheet" Target="/xl/worksheets/sheet18.xml" Id="R399fc22c62bf4444" /></Relationships>
</file>

<file path=xl/drawings/_rels/drawing1.xml.rels>&#65279;<?xml version="1.0" encoding="utf-8"?><Relationships xmlns="http://schemas.openxmlformats.org/package/2006/relationships"><Relationship Type="http://schemas.openxmlformats.org/officeDocument/2006/relationships/chart" Target="/xl/drawings/charts/chart1.xml" Id="Ra182eb43766647d9" /></Relationships>
</file>

<file path=xl/drawings/_rels/drawing2.xml.rels>&#65279;<?xml version="1.0" encoding="utf-8"?><Relationships xmlns="http://schemas.openxmlformats.org/package/2006/relationships"><Relationship Type="http://schemas.openxmlformats.org/officeDocument/2006/relationships/chart" Target="/xl/drawings/charts/chart2.xml" Id="Rf47318cd71b844d1" /></Relationships>
</file>

<file path=xl/drawings/_rels/drawing3.xml.rels>&#65279;<?xml version="1.0" encoding="utf-8"?><Relationships xmlns="http://schemas.openxmlformats.org/package/2006/relationships"><Relationship Type="http://schemas.openxmlformats.org/officeDocument/2006/relationships/chart" Target="/xl/drawings/charts/chart3.xml" Id="Rf0616b96c1e44a5c"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182eb43766647d9"/>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7318cd71b844d1"/>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0616b96c1e44a5c"/>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2e74f45cacaa438a" /></Relationships>
</file>

<file path=xl/worksheets/_rels/sheet5.xml.rels>&#65279;<?xml version="1.0" encoding="utf-8"?><Relationships xmlns="http://schemas.openxmlformats.org/package/2006/relationships"><Relationship Type="http://schemas.openxmlformats.org/officeDocument/2006/relationships/drawing" Target="/xl/drawings/drawing2.xml" Id="R25c33b38839a4bce" /></Relationships>
</file>

<file path=xl/worksheets/_rels/sheet15.xml.rels>&#65279;<?xml version="1.0" encoding="utf-8"?><Relationships xmlns="http://schemas.openxmlformats.org/package/2006/relationships"><Relationship Type="http://schemas.openxmlformats.org/officeDocument/2006/relationships/drawing" Target="/xl/drawings/drawing3.xml" Id="R2c5185d27f724564"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P4.1 development benchmark review 2026-07-21</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P4.1 implementation complete; D-109 scope decision required</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P4.1 - development benchmark and fault-injection review</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Accept or revise D-109 before P4.1 freeze or P4.2</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file-reference, and supported revision relationship checks with evidence; explicitly deferred claims remain excluded.</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603" hidden="0" customHeight="1">
      <x:c r="A28" s="597" t="str">
        <x:v>P4.1 revision P4.1-DEV-1 is implemented from exact main b439974 on codex/p4.1-development-benchmark at implementation commit 59bccca. The runner verifies the accepted a4b278e5... clean package hash, excludes hidden expected assets, generates 22 controlled development scenarios, executes each twice through the real four-output audit, preserves raw packages and runs outside versioned benchmark definitions, and compares exact normalized publication hashes. The exact-commit acceptance run passed 22/22 scenarios, 44/44 publications, all eight gate-failure cases, all eleven relationship-failure cases, 22/22 repeatability pairs, and 22/22 exact oracles. Full regression passed 319/1 at 88.57% coverage; validation 5/5, Ruff, frozen baseline 9/9, and demo 2/2 passed. D-109 is required because four states have genuine full-package paths while engineering_review_required and evaluator_uncertainty currently have router/exit coverage only. P4.2 held-out semantic execution remains blocked.</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2e74f45cacaa438a"/>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25c33b38839a4bce"/>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Accepted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Accepted by the CEO on 2026-07-20. PR #52 merged the stabilization at exact main 0611d916. The accepted authority permitted exactly one unchanged NASA/JPL audit and required a stop before OpenFlexure.</x:v>
      </x:c>
    </x:row>
    <x:row r="104" ht="585" customHeight="1">
      <x:c r="A104" s="431" t="str">
        <x:v>D-101</x:v>
      </x:c>
      <x:c r="B104" s="431" t="n">
        <x:v>46223</x:v>
      </x:c>
      <x:c r="C104" s="431" t="str">
        <x:v>Accept the single D-100 NASA/JPL observation as matching its exact contract. Close I-004, retain IMP-017, and authorize exactly one unchanged OpenFlexure audit before check 8 or any deferred capability.</x:v>
      </x:c>
      <x:c r="D104" s="431" t="str">
        <x:v>NASA/JPL completed on its one authorized invocation with the expected missing_authoritative_information state, release hold true, exit 3, and four schema-valid outputs. Inputs remained exact and OpenFlexure was not run. One controlled OpenFlexure observation is now the smallest useful next proof.</x:v>
      </x:c>
      <x:c r="E104" s="431" t="str">
        <x:v>Accepted</x:v>
      </x:c>
      <x:c r="F104" s="431" t="str">
        <x:v>OpenFlexure controlled audit gate</x:v>
      </x:c>
      <x:c r="G104" s="431" t="str">
        <x:v>docs/package_assurance/nasa_jpl_public_audit_confirmation_review_2026-07-20.md; EV-107-EV-110; I-004; IMP-016-IMP-017; RUN-20260721T001431760486Z-4f1b9817; focused 53; full 289/1; coverage 87.57%; validation 5/5; Ruff; baseline 9/9; demo 2/2</x:v>
      </x:c>
      <x:c r="H104" s="431" t="str">
        <x:v>Accepted by the CEO on 2026-07-20. PR #53 merged the NASA/JPL confirmation at exact main 65c9699b. The accepted authority closed I-004, retained IMP-017, and permitted exactly one unchanged OpenFlexure audit with a mandatory stop before check 8.</x:v>
      </x:c>
    </x:row>
    <x:row r="105" ht="612" customHeight="1">
      <x:c r="A105" s="431" t="str">
        <x:v>D-102</x:v>
      </x:c>
      <x:c r="B105" s="431" t="n">
        <x:v>46223</x:v>
      </x:c>
      <x:c r="C105" s="431" t="str">
        <x:v>Accept the single D-101 OpenFlexure observation and close the dual public-package sequence. Adopt package-scoped finding identity for future aggregation and authorize only check 8, equipment_datasheet_authority_presence, next.</x:v>
      </x:c>
      <x:c r="D105" s="431" t="str">
        <x:v>OpenFlexure matched the exact missing-authority state, hold, exit, schema, and four-output contract from unchanged inputs. Both public packages now prove safe real-world intake and refusal, but not relationship-fault detection because authority blocked every check. Check 8 is the next accepted structured slice and the fastest controlled path back to product breadth.</x:v>
      </x:c>
      <x:c r="E105" s="431" t="str">
        <x:v>Accepted</x:v>
      </x:c>
      <x:c r="F105" s="431" t="str">
        <x:v>Dual public observation closeout and check 8 gate</x:v>
      </x:c>
      <x:c r="G105" s="431" t="str">
        <x:v>docs/package_assurance/openflexure_public_audit_confirmation_review_2026-07-20.md; EV-111-EV-115; I-004; IMP-016-IMP-018; RUN-20260721T004222043918Z-254a2eca; focused 53; full 289/1; coverage 87.57%; validation 5/5; Ruff; baseline 9/9; demo 2/2</x:v>
      </x:c>
      <x:c r="H105" s="431" t="str">
        <x:v>Accepted by the CEO on 2026-07-20. PR #54 merged the OpenFlexure confirmation at exact main b0b32bb. The accepted authority closed the dual public-package sequence, adopted package-scoped finding identity for future aggregation, and authorized check 8 only under exact AUTH-SPEC-001.</x:v>
      </x:c>
    </x:row>
    <x:row r="106" ht="612" customHeight="1">
      <x:c r="A106" s="431" t="str">
        <x:v>D-103</x:v>
      </x:c>
      <x:c r="B106" s="431" t="n">
        <x:v>46223</x:v>
      </x:c>
      <x:c r="C106" s="431" t="str">
        <x:v>Accept check 8, equipment_datasheet_authority_presence, as matching D-102. Merge the implementation and authorize only check 9, equipment_datasheet_association, next under exact AUTH-SPEC-001.</x:v>
      </x:c>
      <x:c r="D106" s="431" t="str">
        <x:v>Check 8 passes the clean package and detects zero or competing authoritative datasheet records with deterministic evidence, missing-authority state, release hold, exit 3, and four consistent outputs. Check 9 is the next bounded value step because it compares the BOM datasheet ID with the single authority record established by check 8.</x:v>
      </x:c>
      <x:c r="E106" s="431" t="str">
        <x:v>Accepted</x:v>
      </x:c>
      <x:c r="F106" s="431" t="str">
        <x:v>Equipment/datasheet association gate</x:v>
      </x:c>
      <x:c r="G106" s="431" t="str">
        <x:v>docs/package_assurance/equipment_datasheet_authority_presence_implementation_review_2026-07-20.md; EV-116-EV-119; IMP-013-IMP-015; clean RUN-20260721T025957813425Z-a7aee64f; fault RUN-20260721T025913235840Z-be4840eb; focused 111; full 295/1; coverage 87.71%; validation 5/5; Ruff; baseline 9/9; demo 2/2</x:v>
      </x:c>
      <x:c r="H106" s="431" t="str">
        <x:v>Accepted by the CEO on 2026-07-20. PR #55 passed both GitHub validation checks and merged check 8 at exact main fb0113d, authorizing only check 9 under exact AUTH-SPEC-001.</x:v>
      </x:c>
    </x:row>
    <x:row r="107" ht="648" customHeight="1">
      <x:c r="A107" s="431" t="str">
        <x:v>D-104</x:v>
      </x:c>
      <x:c r="B107" s="431" t="n">
        <x:v>46223</x:v>
      </x:c>
      <x:c r="C107" s="431" t="str">
        <x:v>Accept check 9, equipment_datasheet_association, as matching D-103. Merge the implementation and authorize one narrow Windows publication-resilience stabilization before check 10.</x:v>
      </x:c>
      <x:c r="D107" s="431" t="str">
        <x:v>Check 9 detects the accepted wrong-but-valid BOM datasheet reference through the complete result path. One transient PermissionError during the final atomic rename was preserved and then cleared on an unchanged invocation. Reliable publication should be stabilized before expanding to check 10.</x:v>
      </x:c>
      <x:c r="E107" s="431" t="str">
        <x:v>Accepted</x:v>
      </x:c>
      <x:c r="F107" s="431" t="str">
        <x:v>Check-9 acceptance and publication-resilience gate</x:v>
      </x:c>
      <x:c r="G107" s="431" t="str">
        <x:v>docs/package_assurance/equipment_datasheet_association_implementation_review_2026-07-20.md; EV-120-EV-124; I-005; IMP-019; clean RUN-20260721T034251280706Z-6efeff51; fault RUN-20260721T034329189347Z-dc3cd02a; preserved failed RUN-20260721T034252120538Z-fa89f942; focused 88; full 299/1; coverage 87.86%; validation 5/5; Ruff; baseline 9/9; demo 2/2</x:v>
      </x:c>
      <x:c r="H107" s="431" t="str">
        <x:v>Accepted by the CEO on 2026-07-21. PR #56 passed both GitHub validation checks and merged check 9 at exact main 7146b23. The accepted authority approved one narrow final-rename publication-resilience stabilization before check 10.</x:v>
      </x:c>
    </x:row>
    <x:row r="108" ht="639" customHeight="1">
      <x:c r="A108" s="431" t="str">
        <x:v>D-105</x:v>
      </x:c>
      <x:c r="B108" s="431" t="n">
        <x:v>46224</x:v>
      </x:c>
      <x:c r="C108" s="431" t="str">
        <x:v>Accept the bounded final-rename publication-resilience stabilization as matching D-104. Close I-005 as controlled, retain IMP-019 as a permanent regression rule, and authorize only check 10, equipment_datasheet_manifest_reciprocity, next.</x:v>
      </x:c>
      <x:c r="D108" s="431" t="str">
        <x:v>Only PermissionError during the final same-parent rename receives five total attempts over 0.75 seconds. Collisions and other errors never retry; exhaustion preserves failure evidence and exit 70. Injected tests and 20 consecutive Windows audits prove the intended boundary without changing audit semantics.</x:v>
      </x:c>
      <x:c r="E108" s="431" t="str">
        <x:v>Accepted</x:v>
      </x:c>
      <x:c r="F108" s="431" t="str">
        <x:v>Publication resilience acceptance and check-10 gate</x:v>
      </x:c>
      <x:c r="G108" s="431" t="str">
        <x:v>docs/package_assurance/publication_resilience_stabilization_review_2026-07-21.md; EV-125-EV-128; I-005; IMP-019; Windows audit 20/20; focused 24; full 304/1; coverage 88.08%; validation 5/5; Ruff; baseline 9/9; demo 2/2</x:v>
      </x:c>
      <x:c r="H108" s="431" t="str">
        <x:v>Accepted by the CEO on 2026-07-21. PR #57 passed both GitHub validation checks and merged the bounded publication stabilization at exact main dbcd242. I-005 closed as controlled, IMP-019 was retained, and check 10 was authorized under exact AUTH-SPEC-001.</x:v>
      </x:c>
    </x:row>
    <x:row r="109" ht="675" customHeight="1">
      <x:c r="A109" s="431" t="str">
        <x:v>D-106</x:v>
      </x:c>
      <x:c r="B109" s="431" t="n">
        <x:v>46224</x:v>
      </x:c>
      <x:c r="C109" s="431" t="str">
        <x:v>Accept check 10, equipment_datasheet_manifest_reciprocity, as matching D-105 and authorize only check 11, specification_revision_history, next.</x:v>
      </x:c>
      <x:c r="D109" s="431" t="str">
        <x:v>Check 10 compares required authoritative metadata and manifest equipment_to_datasheet mappings in both directions, preserves check 8 authority ownership, emits one stable automatic-fail hold for the isolated wrong-valid target, and reaches all four outputs without changing accepted contracts or protected assets.</x:v>
      </x:c>
      <x:c r="E109" s="431" t="str">
        <x:v>Accepted</x:v>
      </x:c>
      <x:c r="F109" s="431" t="str">
        <x:v>Check-10 acceptance and check-11 gate</x:v>
      </x:c>
      <x:c r="G109" s="431" t="str">
        <x:v>docs/package_assurance/equipment_datasheet_manifest_reciprocity_implementation_review_2026-07-21.md; EV-129-EV-132; clean RUN-20260721T161152356249Z-a4995c89; fault RUN-20260721T161152970951Z-ace6c987; focused 93; full 308/1; coverage 88.27%; validation 5/5; Ruff; baseline 9/9; demo 2/2</x:v>
      </x:c>
      <x:c r="H109" s="431" t="str">
        <x:v>Accepted by the CEO on 2026-07-21. PR #58 passed GitHub CI and merged check 10 at exact main 761ac76. The accepted authority authorized check 11 only under exact AUTH-SPEC-003.</x:v>
      </x:c>
    </x:row>
    <x:row r="110" ht="702" customHeight="1">
      <x:c r="A110" s="431" t="str">
        <x:v>D-107</x:v>
      </x:c>
      <x:c r="B110" s="431" t="n">
        <x:v>46224</x:v>
      </x:c>
      <x:c r="C110" s="431" t="str">
        <x:v>Accept check 11, specification_revision_history, as matching D-106 and authorize only a P2.3 authority-gap disposition and completion-definition block next.</x:v>
      </x:c>
      <x:c r="D110" s="431" t="str">
        <x:v>Check 11 requires every release-required specification revision to match exactly one current revision-history record under exact AUTH-SPEC-003. It emits stable automatic-fail holds for missing, multiple, or mismatched history and reaches all four outputs without changing accepted contracts or protected assets. All six checks supportable by current P2.3 authority are now implemented.</x:v>
      </x:c>
      <x:c r="E110" s="431" t="str">
        <x:v>Accepted</x:v>
      </x:c>
      <x:c r="F110" s="431" t="str">
        <x:v>Check-11 acceptance and P2.3 completion-definition gate</x:v>
      </x:c>
      <x:c r="G110" s="431" t="str">
        <x:v>docs/package_assurance/specification_revision_history_implementation_review_2026-07-21.md; EV-133-EV-136; clean RUN-20260721T164400783739Z-e5fdce3c; fault RUN-20260721T164405746563Z-8ccbbbf1; focused 99; full 314/1; coverage 88.48%; validation 5/5; Ruff; baseline 9/9; demo 2/2</x:v>
      </x:c>
      <x:c r="H110" s="431" t="str">
        <x:v>Accepted by the CEO on 2026-07-21. PR #59 passed both GitHub CI runs and merged check 11 at exact main 69c0d1b. The owner directed the six unsupported claims to be deferred, the v0.3.0 claim to be narrowed to the eleven proven checks, and P4 startup to begin.</x:v>
      </x:c>
    </x:row>
    <x:row r="111" ht="666" customHeight="1">
      <x:c r="A111" s="431" t="str">
        <x:v>D-108</x:v>
      </x:c>
      <x:c r="B111" s="431" t="n">
        <x:v>46224</x:v>
      </x:c>
      <x:c r="C111" s="431" t="str">
        <x:v>Complete P2.3 for the exact eight-gate and eleven-check scope. Explicitly defer the six unsupported authority/source claims, exclude them from v0.3.0 benchmark and release claims, and authorize P4.1 development benchmark regression only.</x:v>
      </x:c>
      <x:c r="D111" s="431" t="str">
        <x:v>All P2.3 checks supported by accepted sources and authority rules are integrated and independently fault-proved. Inventing authority would reduce trust. A narrow claim preserves evidence quality and permits benchmark work without implying unsupported engineering assurance.</x:v>
      </x:c>
      <x:c r="E111" s="431" t="str">
        <x:v>Accepted</x:v>
      </x:c>
      <x:c r="F111" s="431" t="str">
        <x:v>P2.3 completion, claim boundary, and P4.1 entry</x:v>
      </x:c>
      <x:c r="G111" s="431" t="str">
        <x:v>User instruction 2026-07-21; PR #59; exact main 69c0d1b; docs/package_assurance/p2_3_completion_and_claim_boundary_v0.3.0.md; D-107; EV-137-EV-138</x:v>
      </x:c>
      <x:c r="H111" s="431" t="str">
        <x:v>Accepted by the CEO on 2026-07-21. P4.1 may use the accepted development family and temporary/generated fault copies to freeze benchmark behavior. Protected held-out semantic execution remains a separate P4.2 gate after P4.1 acceptance.</x:v>
      </x:c>
    </x:row>
    <x:row r="112" ht="738" customHeight="1">
      <x:c r="A112" s="431" t="str">
        <x:v>D-109</x:v>
      </x:c>
      <x:c r="B112" s="431" t="n">
        <x:v>46224</x:v>
      </x:c>
      <x:c r="C112" s="431" t="str">
        <x:v>Accept P4.1-DEV-1 with genuine full-package development scenarios for the four reachable states, exhaustive router and CLI-exit regression for all six states, and explicit deferral of end-to-end engineering_review_required and evaluator_uncertainty semantic triggers.</x:v>
      </x:c>
      <x:c r="D112" s="431" t="str">
        <x:v>The accepted eight gates and eleven checks do not emit those two states. Manufacturing them through mocked evaluation or edited output would be false evidence; reopening P2 now would expand the accepted pilot after D-108. The bounded variance keeps v0.3.0 useful and honest while preserving future state capability.</x:v>
      </x:c>
      <x:c r="E112" s="431" t="str">
        <x:v>Proposed</x:v>
      </x:c>
      <x:c r="F112" s="431" t="str">
        <x:v>P4.1 acceptance-plan variance and freeze gate</x:v>
      </x:c>
      <x:c r="G112" s="431" t="str">
        <x:v>docs/package_assurance/p4_1_development_benchmark_definition_and_review_v0.3.0.md; P4.1-DEV-1; EV-139-EV-141; IMP-020; 22/22 scenarios; 44/44 publications; 8/8 gates; 11/11 checks; full 319/1; coverage 88.57%</x:v>
      </x:c>
      <x:c r="H112" s="431" t="str">
        <x:v>CEO accepts or revises the bounded state-coverage interpretation. If accepted after PR integration, freeze the exact evaluator and runner commit and separately authorize P4.2. If rejected, reopen P0/P2 before any held-out execution; never manufacture benchmark states.</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Retain the optional-blank and canonical-finding regression tests. Preserve both public run records and treat any recurrence as an immediate release stop.</x:v>
      </x:c>
      <x:c r="H22" s="431" t="str">
        <x:v>Closed</x:v>
      </x:c>
      <x:c r="I22" s="431" t="n">
        <x:v>46223</x:v>
      </x:c>
      <x:c r="J22" s="431" t="str">
        <x:v>Closed under accepted D-101. NASA/JPL and OpenFlexure each completed exactly once with the expected state, hold, exit, and four schema-valid outputs; neither produced a malformed-identifier finding.</x:v>
      </x:c>
    </x:row>
    <x:row r="23" ht="324" customHeight="1">
      <x:c r="A23" s="431" t="str">
        <x:v>R-016</x:v>
      </x:c>
      <x:c r="B23" s="431" t="str">
        <x:v>Risk</x:v>
      </x:c>
      <x:c r="C23" s="431" t="str">
        <x:v>Stable semantic finding IDs can repeat across package results, so a future multi-package report or storage layer could collide if it assumes finding_id is globally unique.</x:v>
      </x:c>
      <x:c r="D23" s="431" t="str">
        <x:v>Medium</x:v>
      </x:c>
      <x:c r="E23" s="431" t="str">
        <x:v>Medium</x:v>
      </x:c>
      <x:c r="F23" s="431" t="str">
        <x:v>Jason</x:v>
      </x:c>
      <x:c r="G23" s="431" t="str">
        <x:v>Use package_id plus finding_id as the identity in every future aggregation. Require a separate reviewed contract before changing the accepted per-package finding-ID algorithm.</x:v>
      </x:c>
      <x:c r="H23" s="431" t="str">
        <x:v>Open</x:v>
      </x:c>
      <x:c r="I23" s="431" t="n">
        <x:v>46223</x:v>
      </x:c>
      <x:c r="J23" s="431" t="str">
        <x:v>No current per-package ambiguity exists. NASA/JPL and OpenFlexure both produced FND-1704FCB7F45DFE73 for the same authority gap while retaining distinct package IDs; IMP-018 records the prevention before any aggregation layer exists.</x:v>
      </x:c>
    </x:row>
    <x:row r="24" ht="387" customHeight="1">
      <x:c r="A24" s="431" t="str">
        <x:v>R-017</x:v>
      </x:c>
      <x:c r="B24" s="431" t="str">
        <x:v>Risk</x:v>
      </x:c>
      <x:c r="C24" s="431" t="str">
        <x:v>P0.2 requires six end-to-end package states, while the accepted v0.3.0 evaluator has genuine semantic paths to four. Treating router-only coverage as package evidence would overstate benchmark completeness.</x:v>
      </x:c>
      <x:c r="D24" s="431" t="str">
        <x:v>High</x:v>
      </x:c>
      <x:c r="E24" s="431" t="str">
        <x:v>Medium</x:v>
      </x:c>
      <x:c r="F24" s="431" t="str">
        <x:v>Jason</x:v>
      </x:c>
      <x:c r="G24" s="431" t="str">
        <x:v>Use D-109 as a hard stop. Separate full-audit state coverage from contract-only router coverage in every report and claim. Reopen P0/P2 if six semantic paths remain mandatory.</x:v>
      </x:c>
      <x:c r="H24" s="431" t="str">
        <x:v>Open</x:v>
      </x:c>
      <x:c r="I24" s="431" t="n">
        <x:v>46224</x:v>
      </x:c>
      <x:c r="J24" s="431" t="str">
        <x:v>P4.1-DEV-1 passes all implemented gate/check scenarios without manufacturing the two missing states. IMP-020 and the P4.1 review preserve the variance before any P4.2 execution.</x:v>
      </x:c>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Accepted</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Accepted</x:v>
      </x:c>
      <x:c r="I109" s="431" t="str">
        <x:v>Real-world confirmation remains open. D-100 proposes exactly one NASA/JPL rerun after integration and requires review before OpenFlexure.</x:v>
      </x:c>
    </x:row>
    <x:row r="110" ht="486" customHeight="1">
      <x:c r="A110" s="431" t="str">
        <x:v>EV-107</x:v>
      </x:c>
      <x:c r="B110" s="431" t="n">
        <x:v>46223</x:v>
      </x:c>
      <x:c r="C110" s="431" t="str">
        <x:v>D-100 acceptance and stabilization integration</x:v>
      </x:c>
      <x:c r="D110" s="431" t="str">
        <x:v>The CEO accepted D-100. PR #52 passed both GitHub validation checks and merged the narrow identifier/result-contract stabilization at exact main 0611d916, authorizing exactly one unchanged NASA/JPL observation and a mandatory stop before OpenFlexure.</x:v>
      </x:c>
      <x:c r="E110" s="431" t="str">
        <x:v>User instruction / GitHub checks and merge / Project control</x:v>
      </x:c>
      <x:c r="F110" s="431" t="str">
        <x:v>User instruction 2026-07-20; PR #52; exact main 0611d916; docs/package_assurance/identifier_result_contract_stabilization_review_2026-07-20.md; D-100</x:v>
      </x:c>
      <x:c r="G110" s="431" t="str">
        <x:v>NASA/JPL one-run authority</x:v>
      </x:c>
      <x:c r="H110" s="431" t="str">
        <x:v>Accepted</x:v>
      </x:c>
      <x:c r="I110" s="431" t="str">
        <x:v>No evaluator, package, authority-map, expected-state, schema, check 8, held-out, or deferred-capability change was authorized during observation.</x:v>
      </x:c>
    </x:row>
    <x:row r="111" ht="540" customHeight="1">
      <x:c r="A111" s="431" t="str">
        <x:v>EV-108</x:v>
      </x:c>
      <x:c r="B111" s="431" t="n">
        <x:v>46223</x:v>
      </x:c>
      <x:c r="C111" s="431" t="str">
        <x:v>NASA/JPL exact-input and single-execution proof</x:v>
      </x:c>
      <x:c r="D111" s="431" t="str">
        <x:v>Before and after the one authorized run, the package remained 133 files at tree SHA-256 52aedc3e... and the accepted mapping log remained 1,144 rows at d1d910f0.... Run RUN-20260721T001431760486Z-4f1b9817 was the only invocation and returned exit 3. OpenFlexure remained unexecuted and unchanged.</x:v>
      </x:c>
      <x:c r="E111" s="431" t="str">
        <x:v>Read-only hash reconciliation / Controlled CLI execution / Execution record</x:v>
      </x:c>
      <x:c r="F111" s="431" t="str">
        <x:v>scratch/public-package-audit-runs/osr-v4-control-20260720/execution_record.json; scratch/public-package-audit-runs/osr-v4-control-20260720/post_audit_integrity.json; docs/package_assurance/nasa_jpl_public_audit_confirmation_review_2026-07-20.md; D-100</x:v>
      </x:c>
      <x:c r="G111" s="431" t="str">
        <x:v>NASA/JPL observation integrity</x:v>
      </x:c>
      <x:c r="H111" s="431" t="str">
        <x:v>Accepted</x:v>
      </x:c>
      <x:c r="I111" s="431" t="str">
        <x:v>The accepted OpenFlexure tree 71656da7... and log a8ba53e5... also remained exact; no OpenFlexure audit root exists.</x:v>
      </x:c>
    </x:row>
    <x:row r="112" ht="576" customHeight="1">
      <x:c r="A112" s="431" t="str">
        <x:v>EV-109</x:v>
      </x:c>
      <x:c r="B112" s="431" t="n">
        <x:v>46223</x:v>
      </x:c>
      <x:c r="C112" s="431" t="str">
        <x:v>NASA/JPL four-output result and consistency review</x:v>
      </x:c>
      <x:c r="D112"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three report views reproduce from the canonical result without absolute local paths or approval claims.</x:v>
      </x:c>
      <x:c r="E112" s="431" t="str">
        <x:v>Schema validation / Deterministic report reproduction / Output hash review</x:v>
      </x:c>
      <x:c r="F112" s="431" t="str">
        <x:v>scratch/public-package-audit-runs/osr-v4/RUN-20260721T001431760486Z-4f1b9817; scratch/public-package-audit-runs/osr-v4-control-20260720/verification_summary.json; docs/package_assurance/nasa_jpl_public_audit_confirmation_review_2026-07-20.md; D-101</x:v>
      </x:c>
      <x:c r="G112" s="431" t="str">
        <x:v>NASA/JPL result review</x:v>
      </x:c>
      <x:c r="H112" s="431" t="str">
        <x:v>Accepted</x:v>
      </x:c>
      <x:c r="I112" s="431" t="str">
        <x:v>Output SHA-256 values are recorded in the tracked review. This evidence is a correct hold and not engineering sign-off or release approval.</x:v>
      </x:c>
    </x:row>
    <x:row r="113" ht="522" customHeight="1">
      <x:c r="A113" s="431" t="str">
        <x:v>EV-110</x:v>
      </x:c>
      <x:c r="B113" s="431" t="n">
        <x:v>46223</x:v>
      </x:c>
      <x:c r="C113" s="431" t="str">
        <x:v>NASA/JPL confirmation regression and frozen-baseline verification</x:v>
      </x:c>
      <x:c r="D113" s="431" t="str">
        <x:v>Focused gate/result/publication/CLI tests passed 53. The full suite passed 289 with one expected Windows skip at 87.57% coverage. Repository validation passed 5/5; Ruff, frozen baseline 9/9, and portfolio demo 2/2 passed. PR #52 had two green GitHub validation checks before merge.</x:v>
      </x:c>
      <x:c r="E113" s="431" t="str">
        <x:v>Local deterministic verification / Frozen baseline replay / GitHub CI</x:v>
      </x:c>
      <x:c r="F113" s="431" t="str">
        <x:v>scratch/verification/nasa-confirmation-20260720; docs/package_assurance/nasa_jpl_public_audit_confirmation_review_2026-07-20.md; PR #52; exact main 0611d916; D-101</x:v>
      </x:c>
      <x:c r="G113" s="431" t="str">
        <x:v>NASA/JPL confirmation closeout</x:v>
      </x:c>
      <x:c r="H113" s="431" t="str">
        <x:v>Accepted</x:v>
      </x:c>
      <x:c r="I113" s="431" t="str">
        <x:v>Only documentation and project-control records changed on the confirmation branch. No product code, public package, schema, fixture, golden, held-out asset, or acceptance criterion changed.</x:v>
      </x:c>
    </x:row>
    <x:row r="114" ht="504" customHeight="1">
      <x:c r="A114" s="431" t="str">
        <x:v>EV-111</x:v>
      </x:c>
      <x:c r="B114" s="431" t="n">
        <x:v>46223</x:v>
      </x:c>
      <x:c r="C114" s="431" t="str">
        <x:v>D-101 acceptance and NASA/JPL confirmation integration</x:v>
      </x:c>
      <x:c r="D114" s="431" t="str">
        <x:v>The CEO accepted D-101. PR #53 passed both GitHub validation checks and merged the NASA/JPL confirmation at exact main 65c9699b, closing I-004, retaining IMP-017, and authorizing exactly one unchanged OpenFlexure observation before check 8.</x:v>
      </x:c>
      <x:c r="E114" s="431" t="str">
        <x:v>User instruction / GitHub checks and merge / Project control</x:v>
      </x:c>
      <x:c r="F114" s="431" t="str">
        <x:v>User instruction 2026-07-20; PR #53; exact main 65c9699b; docs/package_assurance/nasa_jpl_public_audit_confirmation_review_2026-07-20.md; D-101</x:v>
      </x:c>
      <x:c r="G114" s="431" t="str">
        <x:v>OpenFlexure one-run authority</x:v>
      </x:c>
      <x:c r="H114" s="431" t="str">
        <x:v>Accepted</x:v>
      </x:c>
      <x:c r="I114" s="431" t="str">
        <x:v>No evaluator, package, authority-map, expected-state, schema, check 8, held-out, or deferred-capability change was authorized during observation.</x:v>
      </x:c>
    </x:row>
    <x:row r="115" ht="558" customHeight="1">
      <x:c r="A115" s="431" t="str">
        <x:v>EV-112</x:v>
      </x:c>
      <x:c r="B115" s="431" t="n">
        <x:v>46223</x:v>
      </x:c>
      <x:c r="C115" s="431" t="str">
        <x:v>OpenFlexure exact-input and single-execution proof</x:v>
      </x:c>
      <x:c r="D115" s="431" t="str">
        <x:v>Before and after the one authorized run, OpenFlexure remained 58 files at tree SHA-256 71656da7... and its accepted mapping log remained 620 rows at a8ba53e5.... Run RUN-20260721T004222043918Z-254a2eca was the only invocation and returned exit 3. NASA/JPL also remained unchanged with one run.</x:v>
      </x:c>
      <x:c r="E115" s="431" t="str">
        <x:v>Read-only hash reconciliation / Controlled CLI execution / Execution record</x:v>
      </x:c>
      <x:c r="F115" s="431" t="str">
        <x:v>scratch/public-package-audit-runs/ofm-beta5-high-res-control-20260720/execution_record.json; scratch/public-package-audit-runs/ofm-beta5-high-res-control-20260720/post_audit_integrity.json; docs/package_assurance/openflexure_public_audit_confirmation_review_2026-07-20.md; D-101</x:v>
      </x:c>
      <x:c r="G115" s="431" t="str">
        <x:v>OpenFlexure observation integrity</x:v>
      </x:c>
      <x:c r="H115" s="431" t="str">
        <x:v>Ready for CEO review</x:v>
      </x:c>
      <x:c r="I115" s="431" t="str">
        <x:v>Both package trees and all 1,764 accepted log rows remain exact after one authorized audit each; no unexpected additional public audit exists.</x:v>
      </x:c>
    </x:row>
    <x:row r="116" ht="576" customHeight="1">
      <x:c r="A116" s="431" t="str">
        <x:v>EV-113</x:v>
      </x:c>
      <x:c r="B116" s="431" t="n">
        <x:v>46223</x:v>
      </x:c>
      <x:c r="C116" s="431" t="str">
        <x:v>OpenFlexure four-output result and consistency review</x:v>
      </x:c>
      <x:c r="D116"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report views reproduce from the canonical result without absolute paths or approval claims.</x:v>
      </x:c>
      <x:c r="E116" s="431" t="str">
        <x:v>Schema validation / Deterministic report reproduction / Output hash review</x:v>
      </x:c>
      <x:c r="F116" s="431" t="str">
        <x:v>scratch/public-package-audit-runs/ofm-beta5-high-res/RUN-20260721T004222043918Z-254a2eca; scratch/public-package-audit-runs/ofm-beta5-high-res-control-20260720/verification_summary.json; docs/package_assurance/openflexure_public_audit_confirmation_review_2026-07-20.md; D-102</x:v>
      </x:c>
      <x:c r="G116" s="431" t="str">
        <x:v>OpenFlexure result review</x:v>
      </x:c>
      <x:c r="H116" s="431" t="str">
        <x:v>Ready for CEO review</x:v>
      </x:c>
      <x:c r="I116" s="431" t="str">
        <x:v>Output SHA-256 values are recorded in the tracked review. This is a correct hold, not engineering sign-off or package approval.</x:v>
      </x:c>
    </x:row>
    <x:row r="117" ht="603" customHeight="1">
      <x:c r="A117" s="431" t="str">
        <x:v>EV-114</x:v>
      </x:c>
      <x:c r="B117" s="431" t="n">
        <x:v>46223</x:v>
      </x:c>
      <x:c r="C117" s="431" t="str">
        <x:v>Dual public-package comparison and improvement-loop closeout</x:v>
      </x:c>
      <x:c r="D117" s="431" t="str">
        <x:v>NASA/JPL and OpenFlexure differ in size and source structure but both produced the exact expected safety result. This proves real-world intake and refusal, not real-world relationship-fault detection because authority skipped all seven checks. I-004 closes; IMP-017 is retained; IMP-016 remains open. The repeated semantic finding ID establishes IMP-018 and package-scoped identity before aggregation.</x:v>
      </x:c>
      <x:c r="E117" s="431" t="str">
        <x:v>Cross-package result comparison / Management review / Improvement loop</x:v>
      </x:c>
      <x:c r="F117" s="431" t="str">
        <x:v>scratch/public-package-audit-runs/ofm-beta5-high-res-control-20260720/cross_package_comparison.json; docs/package_assurance/openflexure_public_audit_confirmation_review_2026-07-20.md; I-004; IMP-016-IMP-018; D-102</x:v>
      </x:c>
      <x:c r="G117" s="431" t="str">
        <x:v>Dual public observation closeout</x:v>
      </x:c>
      <x:c r="H117" s="431" t="str">
        <x:v>Ready for CEO review</x:v>
      </x:c>
      <x:c r="I117" s="431" t="str">
        <x:v>The fastest controlled next step is check 8. Inventing authority for the public repositories is explicitly rejected.</x:v>
      </x:c>
    </x:row>
    <x:row r="118" ht="540" customHeight="1">
      <x:c r="A118" s="431" t="str">
        <x:v>EV-115</x:v>
      </x:c>
      <x:c r="B118" s="431" t="n">
        <x:v>46223</x:v>
      </x:c>
      <x:c r="C118" s="431" t="str">
        <x:v>OpenFlexure confirmation regression and frozen-baseline verification</x:v>
      </x:c>
      <x:c r="D118" s="431" t="str">
        <x:v>Focused gate/result/publication/CLI tests passed 53. The full suite passed 289 with one expected Windows skip at 87.57% coverage. Repository validation passed 5/5; Ruff, frozen baseline 9/9, and portfolio demo 2/2 passed. PR #53 had two green GitHub validation checks before merge.</x:v>
      </x:c>
      <x:c r="E118" s="431" t="str">
        <x:v>Local deterministic verification / Frozen baseline replay / GitHub CI</x:v>
      </x:c>
      <x:c r="F118" s="431" t="str">
        <x:v>scratch/verification/openflexure-confirmation-20260720; docs/package_assurance/openflexure_public_audit_confirmation_review_2026-07-20.md; PR #53; exact main 65c9699b; D-102</x:v>
      </x:c>
      <x:c r="G118" s="431" t="str">
        <x:v>OpenFlexure confirmation closeout</x:v>
      </x:c>
      <x:c r="H118" s="431" t="str">
        <x:v>Ready for CEO review</x:v>
      </x:c>
      <x:c r="I118" s="431" t="str">
        <x:v>Only documentation and project-control records changed on the confirmation branch. No product code, public package, schema, fixture, golden, held-out asset, or acceptance criterion changed.</x:v>
      </x:c>
    </x:row>
    <x:row r="119" ht="486" customHeight="1">
      <x:c r="A119" s="431" t="str">
        <x:v>EV-116</x:v>
      </x:c>
      <x:c r="B119" s="431" t="n">
        <x:v>46223</x:v>
      </x:c>
      <x:c r="C119" s="431" t="str">
        <x:v>D-102 acceptance and OpenFlexure confirmation integration</x:v>
      </x:c>
      <x:c r="D119" s="431" t="str">
        <x:v>The CEO accepted D-102. PR #54 passed both GitHub validation checks and merged the OpenFlexure confirmation at exact main b0b32bb, closing the dual public-package observation sequence, adopting package-scoped finding identity, and authorizing check 8 only.</x:v>
      </x:c>
      <x:c r="E119" s="431" t="str">
        <x:v>User instruction / GitHub checks and merge / Project control</x:v>
      </x:c>
      <x:c r="F119" s="431" t="str">
        <x:v>User instruction 2026-07-20; PR #54; exact main b0b32bb; docs/package_assurance/openflexure_public_audit_confirmation_review_2026-07-20.md; D-102</x:v>
      </x:c>
      <x:c r="G119" s="431" t="str">
        <x:v>Check-8 implementation authority</x:v>
      </x:c>
      <x:c r="H119" s="431" t="str">
        <x:v>Accepted</x:v>
      </x:c>
      <x:c r="I119" s="431" t="str">
        <x:v>No check 9-11, public rerun, held-out execution, protected-asset change, or deferred capability was authorized.</x:v>
      </x:c>
    </x:row>
    <x:row r="120" ht="567" customHeight="1">
      <x:c r="A120" s="431" t="str">
        <x:v>EV-117</x:v>
      </x:c>
      <x:c r="B120" s="431" t="n">
        <x:v>46223</x:v>
      </x:c>
      <x:c r="C120" s="431" t="str">
        <x:v>Equipment datasheet authority presence implementation proof</x:v>
      </x:c>
      <x:c r="D120" s="431" t="str">
        <x:v>Check 8 is appended after checks 1-7 in a separate datasheet-domain module. It requires exactly one release-required datasheet record per release-required BOM equipment tag under exact AUTH-SPEC-001. Missing and competing records produce stable high-severity missing-authority holds; source reordering preserves semantic identity; unrelated drawing and BOM authority gaps do not suppress the check.</x:v>
      </x:c>
      <x:c r="E120" s="431" t="str">
        <x:v>Code review / Deterministic relationship tests / Authority isolation tests</x:v>
      </x:c>
      <x:c r="F120" s="431" t="str">
        <x:v>src/mech_eval_harness/package_assurance/datasheet_relationships.py; tests/test_package_datasheet_relationships.py; docs/package_assurance/equipment_datasheet_authority_presence_implementation_review_2026-07-20.md; D-102-D-103</x:v>
      </x:c>
      <x:c r="G120" s="431" t="str">
        <x:v>Check-8 contract evidence</x:v>
      </x:c>
      <x:c r="H120" s="431" t="str">
        <x:v>Accepted</x:v>
      </x:c>
      <x:c r="I120" s="431" t="str">
        <x:v>Check 9 association, checks 10-11, and all six authority-gap claims remain unimplemented.</x:v>
      </x:c>
    </x:row>
    <x:row r="121" ht="603" customHeight="1">
      <x:c r="A121" s="431" t="str">
        <x:v>EV-118</x:v>
      </x:c>
      <x:c r="B121" s="431" t="n">
        <x:v>46223</x:v>
      </x:c>
      <x:c r="C121" s="431" t="str">
        <x:v>Check-8 clean and isolated-fault four-output inspection</x:v>
      </x:c>
      <x:c r="D121" s="431" t="str">
        <x:v>Clean run RUN-20260721T025957813425Z-a7aee64f returned automatic_pass, hold false, exit 0, eight passed checks, and four exact outputs. Fault run RUN-20260721T025913235840Z-be4840eb returned missing_authoritative_information, hold true, exit 3, seven passed and one failed check, one FND-55D33CACFBF70823 finding, and four exact outputs. Both results pass the strict schema and all report views reproduce exactly.</x:v>
      </x:c>
      <x:c r="E121" s="431" t="str">
        <x:v>Controlled CLI execution / Schema validation / Deterministic report reproduction</x:v>
      </x:c>
      <x:c r="F121" s="431" t="str">
        <x:v>scratch/verification/check8-implementation-20260720/check8-clean-runs; scratch/verification/check8-implementation-20260720/check8-fault-runs-bomfree; docs/package_assurance/equipment_datasheet_authority_presence_implementation_review_2026-07-20.md</x:v>
      </x:c>
      <x:c r="G121" s="431" t="str">
        <x:v>Check-8 output evidence</x:v>
      </x:c>
      <x:c r="H121" s="431" t="str">
        <x:v>Accepted</x:v>
      </x:c>
      <x:c r="I121" s="431" t="str">
        <x:v>The first manual fault copy used BOM-encoded UTF-8, correctly failed closed at parsing with exit 4, and remains preserved separately; accepted inputs were untouched.</x:v>
      </x:c>
    </x:row>
    <x:row r="122" ht="540" customHeight="1">
      <x:c r="A122" s="431" t="str">
        <x:v>EV-119</x:v>
      </x:c>
      <x:c r="B122" s="431" t="n">
        <x:v>46223</x:v>
      </x:c>
      <x:c r="C122" s="431" t="str">
        <x:v>Check-8 regression and frozen-baseline verification</x:v>
      </x:c>
      <x:c r="D122" s="431" t="str">
        <x:v>Focused gate/relationship/result/report/CLI tests passed 111. The full suite passed 295 with one expected Windows skip at 87.71% coverage. Repository validation passed 5/5; Ruff, frozen baseline 9/9, and portfolio demo 2/2 passed. The tracked diff changes only check-8 code, tests, documentation, and project controls.</x:v>
      </x:c>
      <x:c r="E122" s="431" t="str">
        <x:v>Local deterministic verification / Frozen baseline replay / Diff review</x:v>
      </x:c>
      <x:c r="F122" s="431" t="str">
        <x:v>scratch/verification/check8-implementation-20260720; docs/package_assurance/equipment_datasheet_authority_presence_implementation_review_2026-07-20.md; D-103</x:v>
      </x:c>
      <x:c r="G122" s="431" t="str">
        <x:v>Check-8 implementation closeout</x:v>
      </x:c>
      <x:c r="H122" s="431" t="str">
        <x:v>Accepted</x:v>
      </x:c>
      <x:c r="I122" s="431" t="str">
        <x:v>No accepted fixture, authority map, schema, golden, held-out asset, historical result, v0.2 behavior, or acceptance criterion changed.</x:v>
      </x:c>
    </x:row>
    <x:row r="123" ht="504" customHeight="1">
      <x:c r="A123" s="431" t="str">
        <x:v>EV-120</x:v>
      </x:c>
      <x:c r="B123" s="431" t="n">
        <x:v>46223</x:v>
      </x:c>
      <x:c r="C123" s="431" t="str">
        <x:v>D-103 acceptance and check-8 integration</x:v>
      </x:c>
      <x:c r="D123" s="431" t="str">
        <x:v>The CEO accepted D-103. PR #55 passed both GitHub validation checks and merged check 8 at exact main fb0113d, authorizing check 9 only under exact AUTH-SPEC-001.</x:v>
      </x:c>
      <x:c r="E123" s="431" t="str">
        <x:v>User instruction / GitHub checks and merge / Project control</x:v>
      </x:c>
      <x:c r="F123" s="431" t="str">
        <x:v>User instruction 2026-07-20; PR #55; exact main fb0113d; docs/package_assurance/equipment_datasheet_authority_presence_implementation_review_2026-07-20.md; D-103</x:v>
      </x:c>
      <x:c r="G123" s="431" t="str">
        <x:v>Check-9 implementation authority</x:v>
      </x:c>
      <x:c r="H123" s="431" t="str">
        <x:v>Accepted</x:v>
      </x:c>
      <x:c r="I123" s="431" t="str">
        <x:v>No check 10-11, public rerun, held-out execution, protected-asset change, publication behavior change, or deferred capability was authorized.</x:v>
      </x:c>
    </x:row>
    <x:row r="124" ht="585" customHeight="1">
      <x:c r="A124" s="431" t="str">
        <x:v>EV-121</x:v>
      </x:c>
      <x:c r="B124" s="431" t="n">
        <x:v>46223</x:v>
      </x:c>
      <x:c r="C124" s="431" t="str">
        <x:v>Equipment/datasheet association implementation proof</x:v>
      </x:c>
      <x:c r="D124" s="431" t="str">
        <x:v>Check 9 is appended after checks 1-8 in the datasheet-domain module. Under exact AUTH-SPEC-001 it compares BOM datasheet_id with the single authoritative metadata datasheet_id for the same equipment tag. Wrong-but-valid IDs produce stable automatic-fail holds; missing or ambiguous authority remains owned by check 8; source reordering preserves semantic identity.</x:v>
      </x:c>
      <x:c r="E124" s="431" t="str">
        <x:v>Code review / Deterministic relationship tests / Authority and ownership tests</x:v>
      </x:c>
      <x:c r="F124" s="431" t="str">
        <x:v>src/mech_eval_harness/package_assurance/datasheet_relationships.py; tests/test_package_datasheet_relationships.py; docs/package_assurance/equipment_datasheet_association_implementation_review_2026-07-20.md; D-103-D-104</x:v>
      </x:c>
      <x:c r="G124" s="431" t="str">
        <x:v>Check-9 contract evidence</x:v>
      </x:c>
      <x:c r="H124" s="431" t="str">
        <x:v>Accepted</x:v>
      </x:c>
      <x:c r="I124" s="431" t="str">
        <x:v>Check 10 manifest reciprocity, check 11, and all six authority-gap claims remain unimplemented.</x:v>
      </x:c>
    </x:row>
    <x:row r="125" ht="603" customHeight="1">
      <x:c r="A125" s="431" t="str">
        <x:v>EV-122</x:v>
      </x:c>
      <x:c r="B125" s="431" t="n">
        <x:v>46223</x:v>
      </x:c>
      <x:c r="C125" s="431" t="str">
        <x:v>Check-9 clean and wrong-ID four-output inspection</x:v>
      </x:c>
      <x:c r="D125" s="431" t="str">
        <x:v>Clean run RUN-20260721T034251280706Z-6efeff51 returned automatic_pass, hold false, exit 0, nine passed checks, and four exact outputs. Wrong-ID run RUN-20260721T034329189347Z-dc3cd02a returned automatic_fail, hold true, exit 1, eight passed and one failed check, one FND-91304712BCB20CEE finding, and four exact outputs. Both results pass the strict schema and all report views reproduce exactly.</x:v>
      </x:c>
      <x:c r="E125" s="431" t="str">
        <x:v>Controlled CLI execution / Schema validation / Deterministic report reproduction</x:v>
      </x:c>
      <x:c r="F125" s="431" t="str">
        <x:v>scratch/verification/check9-implementation-20260720/verification_summary.json; docs/package_assurance/equipment_datasheet_association_implementation_review_2026-07-20.md</x:v>
      </x:c>
      <x:c r="G125" s="431" t="str">
        <x:v>Check-9 output evidence</x:v>
      </x:c>
      <x:c r="H125" s="431" t="str">
        <x:v>Accepted</x:v>
      </x:c>
      <x:c r="I125" s="431" t="str">
        <x:v>The wrong-ID fault changes only one temporary BOM value from DS-P-101 to existing valid DS-M-101; accepted inputs remain untouched.</x:v>
      </x:c>
    </x:row>
    <x:row r="126" ht="630" customHeight="1">
      <x:c r="A126" s="431" t="str">
        <x:v>EV-123</x:v>
      </x:c>
      <x:c r="B126" s="431" t="n">
        <x:v>46223</x:v>
      </x:c>
      <x:c r="C126" s="431" t="str">
        <x:v>Preserved Windows publication-finalization failure</x:v>
      </x:c>
      <x:c r="D126" s="431" t="str">
        <x:v>The first wrong-ID invocation generated the correct result and three reports, then the final staging-directory rename failed with PermissionError. The workflow returned exit 70, published no complete final run, and preserved all staged files plus its failure marker. An immediate unchanged invocation succeeded. I-005 and IMP-019 retain the reliability gap for a separate stabilization block.</x:v>
      </x:c>
      <x:c r="E126" s="431" t="str">
        <x:v>Preserved failed run / Failure review / Improvement loop</x:v>
      </x:c>
      <x:c r="F126" s="431" t="str">
        <x:v>scratch/verification/check9-implementation-20260720/wrong-id-runs/.RUN-20260721T034252120538Z-fa89f942.publication-failed-2f10bb08; docs/package_assurance/equipment_datasheet_association_implementation_review_2026-07-20.md; I-005; IMP-019</x:v>
      </x:c>
      <x:c r="G126" s="431" t="str">
        <x:v>Publication reliability evidence</x:v>
      </x:c>
      <x:c r="H126" s="431" t="str">
        <x:v>Accepted</x:v>
      </x:c>
      <x:c r="I126" s="431" t="str">
        <x:v>This is a transient Windows publication risk, not a check-9 evaluator defect. No publication retry behavior changed on this branch.</x:v>
      </x:c>
    </x:row>
    <x:row r="127" ht="558" customHeight="1">
      <x:c r="A127" s="431" t="str">
        <x:v>EV-124</x:v>
      </x:c>
      <x:c r="B127" s="431" t="n">
        <x:v>46223</x:v>
      </x:c>
      <x:c r="C127" s="431" t="str">
        <x:v>Check-9 regression and frozen-baseline verification</x:v>
      </x:c>
      <x:c r="D127" s="431" t="str">
        <x:v>Focused relationship/result/report/CLI tests passed 88. The full suite passed 299 with one expected Windows skip at 87.86% coverage. Repository validation passed 5/5; Ruff, frozen baseline 9/9, and portfolio demo 2/2 passed. The tracked diff changes only check-9 code, tests, documentation, and project controls.</x:v>
      </x:c>
      <x:c r="E127" s="431" t="str">
        <x:v>Local deterministic verification / Frozen baseline replay / Diff review</x:v>
      </x:c>
      <x:c r="F127" s="431" t="str">
        <x:v>scratch/verification/check9-implementation-20260720; docs/package_assurance/equipment_datasheet_association_implementation_review_2026-07-20.md; D-104</x:v>
      </x:c>
      <x:c r="G127" s="431" t="str">
        <x:v>Check-9 implementation closeout</x:v>
      </x:c>
      <x:c r="H127" s="431" t="str">
        <x:v>Accepted</x:v>
      </x:c>
      <x:c r="I127" s="431" t="str">
        <x:v>No accepted fixture, authority map, schema, golden, held-out asset, public package, historical result, v0.2 behavior, or acceptance criterion changed.</x:v>
      </x:c>
    </x:row>
    <x:row r="128" ht="504" customHeight="1">
      <x:c r="A128" s="431" t="str">
        <x:v>EV-125</x:v>
      </x:c>
      <x:c r="B128" s="431" t="n">
        <x:v>46224</x:v>
      </x:c>
      <x:c r="C128" s="431" t="str">
        <x:v>D-104 acceptance and check-9 integration</x:v>
      </x:c>
      <x:c r="D128" s="431" t="str">
        <x:v>The CEO accepted D-104. PR #56 passed both GitHub validation checks and merged check 9 at exact main 7146b23, authorizing one narrow final-rename publication-resilience stabilization before check 10.</x:v>
      </x:c>
      <x:c r="E128" s="431" t="str">
        <x:v>User instruction / GitHub checks and merge / Project control</x:v>
      </x:c>
      <x:c r="F128" s="431" t="str">
        <x:v>User instruction 2026-07-21; PR #56; exact main 7146b23; docs/package_assurance/equipment_datasheet_association_implementation_review_2026-07-20.md; D-104</x:v>
      </x:c>
      <x:c r="G128" s="431" t="str">
        <x:v>Publication stabilization authority</x:v>
      </x:c>
      <x:c r="H128" s="431" t="str">
        <x:v>Accepted</x:v>
      </x:c>
      <x:c r="I128" s="431" t="str">
        <x:v>No check 10-11, public rerun, held-out execution, protected-asset change, or deferred capability was authorized.</x:v>
      </x:c>
    </x:row>
    <x:row r="129" ht="603" customHeight="1">
      <x:c r="A129" s="431" t="str">
        <x:v>EV-126</x:v>
      </x:c>
      <x:c r="B129" s="431" t="n">
        <x:v>46224</x:v>
      </x:c>
      <x:c r="C129" s="431" t="str">
        <x:v>Bounded final-rename retry implementation proof</x:v>
      </x:c>
      <x:c r="D129" s="431" t="str">
        <x:v>Final publication makes five total attempts with fixed 50/100/200/400 ms waits only after PermissionError. A final-directory collision or other OSError never retries. Exhaustion follows the existing failed-publication path. Four injected publication tests plus one CLI test prove recovery, exact delays, exhaustion, no-overwrite collision behavior, other-error behavior, four staged outputs, failure marker, and exit 70.</x:v>
      </x:c>
      <x:c r="E129" s="431" t="str">
        <x:v>Code review / Injected deterministic tests / CLI failure proof</x:v>
      </x:c>
      <x:c r="F129" s="431" t="str">
        <x:v>src/mech_eval_harness/package_assurance/publication.py; tests/test_package_audit_publication.py; tests/test_cli_audit_package.py; docs/package_assurance/publication_resilience_stabilization_review_2026-07-21.md; D-104-D-105</x:v>
      </x:c>
      <x:c r="G129" s="431" t="str">
        <x:v>Publication resilience contract evidence</x:v>
      </x:c>
      <x:c r="H129" s="431" t="str">
        <x:v>Accepted</x:v>
      </x:c>
      <x:c r="I129" s="431" t="str">
        <x:v>The retry is limited to the final same-parent rename. No loader, evaluator, result, report, schema, fixture, authority, or protected asset changed.</x:v>
      </x:c>
    </x:row>
    <x:row r="130" ht="576" customHeight="1">
      <x:c r="A130" s="431" t="str">
        <x:v>EV-127</x:v>
      </x:c>
      <x:c r="B130" s="431" t="n">
        <x:v>46224</x:v>
      </x:c>
      <x:c r="C130" s="431" t="str">
        <x:v>Repeated Windows publication execution proof</x:v>
      </x:c>
      <x:c r="D130" s="431" t="str">
        <x:v>Twenty consecutive real audit-package commands on Microsoft Windows returned exit 0, automatic_pass, hold false, eight passed gates, nine passed relationship checks, zero findings, and exactly four outputs. No hidden staging or failed-publication directory remained. First run RUN-20260721T153603113434Z-ab8f3cbd; last run RUN-20260721T153614063468Z-b74ed8fd.</x:v>
      </x:c>
      <x:c r="E130" s="431" t="str">
        <x:v>Controlled Windows CLI execution / Output inspection</x:v>
      </x:c>
      <x:c r="F130" s="431" t="str">
        <x:v>scratch/verification/publication-resilience-20260721/repeated_windows_audit_summary.json; scratch/verification/publication-resilience-20260721/repeated-runs; docs/package_assurance/publication_resilience_stabilization_review_2026-07-21.md</x:v>
      </x:c>
      <x:c r="G130" s="431" t="str">
        <x:v>Windows publication reliability evidence</x:v>
      </x:c>
      <x:c r="H130" s="431" t="str">
        <x:v>Accepted</x:v>
      </x:c>
      <x:c r="I130" s="431" t="str">
        <x:v>The real execution proves a stable normal path. Injected tests, not this repeated run, prove the transient PermissionError branches.</x:v>
      </x:c>
    </x:row>
    <x:row r="131" ht="558" customHeight="1">
      <x:c r="A131" s="431" t="str">
        <x:v>EV-128</x:v>
      </x:c>
      <x:c r="B131" s="431" t="n">
        <x:v>46224</x:v>
      </x:c>
      <x:c r="C131" s="431" t="str">
        <x:v>Publication stabilization regression and frozen-baseline verification</x:v>
      </x:c>
      <x:c r="D131" s="431" t="str">
        <x:v>Publication and CLI focused tests passed 24. The full suite passed 304 with one expected Windows skip at 88.08% coverage. Repository validation passed 5/5; Ruff, frozen baseline 9/9, and portfolio demo 2/2 passed. The tracked diff changes only final publication resilience, tests, documentation, and project controls.</x:v>
      </x:c>
      <x:c r="E131" s="431" t="str">
        <x:v>Local deterministic verification / Frozen baseline replay / Diff review</x:v>
      </x:c>
      <x:c r="F131" s="431" t="str">
        <x:v>scratch/verification/publication-resilience-20260721; docs/package_assurance/publication_resilience_stabilization_review_2026-07-21.md; D-105</x:v>
      </x:c>
      <x:c r="G131" s="431" t="str">
        <x:v>Publication stabilization closeout</x:v>
      </x:c>
      <x:c r="H131" s="431" t="str">
        <x:v>Accepted</x:v>
      </x:c>
      <x:c r="I131" s="431" t="str">
        <x:v>No accepted fixture, authority map, schema, golden, held-out asset, public package, historical result, v0.2 behavior, check behavior, or acceptance criterion changed.</x:v>
      </x:c>
    </x:row>
    <x:row r="132" ht="540" customHeight="1">
      <x:c r="A132" s="431" t="str">
        <x:v>EV-129</x:v>
      </x:c>
      <x:c r="B132" s="431" t="n">
        <x:v>46224</x:v>
      </x:c>
      <x:c r="C132" s="431" t="str">
        <x:v>D-105 acceptance and publication-stabilization integration</x:v>
      </x:c>
      <x:c r="D132" s="431" t="str">
        <x:v>The CEO accepted D-105. PR #57 passed both GitHub validation checks and merged the bounded publication stabilization at exact main dbcd242. I-005 closed as controlled, IMP-019 was retained, and check 10 was authorized under exact AUTH-SPEC-001.</x:v>
      </x:c>
      <x:c r="E132" s="431" t="str">
        <x:v>User instruction / GitHub checks and merge / Project control</x:v>
      </x:c>
      <x:c r="F132" s="431" t="str">
        <x:v>User instruction 2026-07-21; PR #57; exact main dbcd242; docs/package_assurance/publication_resilience_stabilization_review_2026-07-21.md; D-105; I-005; IMP-019</x:v>
      </x:c>
      <x:c r="G132" s="431" t="str">
        <x:v>Check-10 implementation authority</x:v>
      </x:c>
      <x:c r="H132" s="431" t="str">
        <x:v>Accepted</x:v>
      </x:c>
      <x:c r="I132" s="431" t="str">
        <x:v>No check 11, authority-gap claim, public rerun, held-out execution, protected-asset change, or deferred capability was authorized.</x:v>
      </x:c>
    </x:row>
    <x:row r="133" ht="612" customHeight="1">
      <x:c r="A133" s="431" t="str">
        <x:v>EV-130</x:v>
      </x:c>
      <x:c r="B133" s="431" t="n">
        <x:v>46224</x:v>
      </x:c>
      <x:c r="C133" s="431" t="str">
        <x:v>Check-10 deterministic implementation proof</x:v>
      </x:c>
      <x:c r="D133" s="431" t="str">
        <x:v>Check 10 is tenth in RELATIONSHIP_CHECK_ORDER. Exact AUTH-SPEC-001, semantic sorting, bidirectional metadata/manifest reciprocity, check-8 ownership, stable finding identity, package-relative evidence, and missing/multiple declaration behavior are covered. The exact wrong-valid REL-EQ-DS-001 target produces one automatic-fail high-severity hold for P-101A.</x:v>
      </x:c>
      <x:c r="E133" s="431" t="str">
        <x:v>Code review / Deterministic tests / Fault injection</x:v>
      </x:c>
      <x:c r="F133" s="431" t="str">
        <x:v>src/mech_eval_harness/package_assurance/datasheet_relationships.py; src/mech_eval_harness/package_assurance/relationships.py; tests/test_package_datasheet_relationships.py; docs/package_assurance/equipment_datasheet_manifest_reciprocity_implementation_review_2026-07-21.md</x:v>
      </x:c>
      <x:c r="G133" s="431" t="str">
        <x:v>Check-10 contract evidence</x:v>
      </x:c>
      <x:c r="H133" s="431" t="str">
        <x:v>Accepted</x:v>
      </x:c>
      <x:c r="I133" s="431" t="str">
        <x:v>No schema, fixture, authority map, generic rule engine, result state, output path, or earlier check changed.</x:v>
      </x:c>
    </x:row>
    <x:row r="134" ht="612" customHeight="1">
      <x:c r="A134" s="431" t="str">
        <x:v>EV-131</x:v>
      </x:c>
      <x:c r="B134" s="431" t="n">
        <x:v>46224</x:v>
      </x:c>
      <x:c r="C134" s="431" t="str">
        <x:v>Check-10 clean and wrong-manifest four-output inspection</x:v>
      </x:c>
      <x:c r="D134" s="431" t="str">
        <x:v>Clean run RUN-20260721T161152356249Z-a4995c89 returned automatic_pass, hold false, exit 0, 8/8 gates, 10/10 checks, zero findings, and four exact outputs. Fault run RUN-20260721T161152970951Z-ace6c987 returned automatic_fail, hold true, exit 1, 9 passed and one failed check, one FND-7D92758E4EE968AE finding, and the same four outputs. Canonical result, issue views, readiness summary, and terminal behavior agree.</x:v>
      </x:c>
      <x:c r="E134" s="431" t="str">
        <x:v>Controlled CLI execution / Output inspection / Report reconciliation</x:v>
      </x:c>
      <x:c r="F134" s="431" t="str">
        <x:v>scratch/verification/check10-implementation-20260721/clean-runs; scratch/verification/check10-implementation-20260721/fault-runs; docs/package_assurance/equipment_datasheet_manifest_reciprocity_implementation_review_2026-07-21.md</x:v>
      </x:c>
      <x:c r="G134" s="431" t="str">
        <x:v>Check-10 output evidence</x:v>
      </x:c>
      <x:c r="H134" s="431" t="str">
        <x:v>Accepted</x:v>
      </x:c>
      <x:c r="I134" s="431" t="str">
        <x:v>The fault changes only one temporary manifest target from DS-P-101 to existing valid DS-M-101; accepted development content remains untouched.</x:v>
      </x:c>
    </x:row>
    <x:row r="135" ht="576" customHeight="1">
      <x:c r="A135" s="431" t="str">
        <x:v>EV-132</x:v>
      </x:c>
      <x:c r="B135" s="431" t="n">
        <x:v>46224</x:v>
      </x:c>
      <x:c r="C135" s="431" t="str">
        <x:v>Check-10 regression and frozen-baseline verification</x:v>
      </x:c>
      <x:c r="D135" s="431" t="str">
        <x:v>Relationship/result/report/CLI focused tests passed 93. The full suite passed 308 with one expected Windows skip at 88.27% coverage. Repository validation passed 5/5; Ruff, frozen baseline 9/9, and portfolio demo 2/2 passed. The tracked diff changes only check-10 code, tests, documentation, and project controls.</x:v>
      </x:c>
      <x:c r="E135" s="431" t="str">
        <x:v>Local deterministic verification / Frozen baseline replay / Diff review</x:v>
      </x:c>
      <x:c r="F135" s="431" t="str">
        <x:v>scratch/verification/check10-implementation-20260721; docs/package_assurance/equipment_datasheet_manifest_reciprocity_implementation_review_2026-07-21.md; D-106</x:v>
      </x:c>
      <x:c r="G135" s="431" t="str">
        <x:v>Check-10 implementation closeout</x:v>
      </x:c>
      <x:c r="H135" s="431" t="str">
        <x:v>Accepted</x:v>
      </x:c>
      <x:c r="I135" s="431" t="str">
        <x:v>No accepted fixture, authority map, schema, golden, held-out asset, public package, historical result, v0.2 behavior, or acceptance criterion changed.</x:v>
      </x:c>
    </x:row>
    <x:row r="136" ht="522" customHeight="1">
      <x:c r="A136" s="431" t="str">
        <x:v>EV-133</x:v>
      </x:c>
      <x:c r="B136" s="431" t="n">
        <x:v>46224</x:v>
      </x:c>
      <x:c r="C136" s="431" t="str">
        <x:v>D-106 acceptance and check-10 integration</x:v>
      </x:c>
      <x:c r="D136" s="431" t="str">
        <x:v>The CEO accepted D-106. PR #58 passed GitHub CI and merged check 10 at exact main 761ac76, authorizing only check 11 under exact AUTH-SPEC-003.</x:v>
      </x:c>
      <x:c r="E136" s="431" t="str">
        <x:v>User instruction / GitHub checks and merge / Project control</x:v>
      </x:c>
      <x:c r="F136" s="431" t="str">
        <x:v>User instruction 2026-07-21; PR #58; exact main 761ac76; docs/package_assurance/equipment_datasheet_manifest_reciprocity_implementation_review_2026-07-21.md; D-106</x:v>
      </x:c>
      <x:c r="G136" s="431" t="str">
        <x:v>Check-11 implementation authority</x:v>
      </x:c>
      <x:c r="H136" s="431" t="str">
        <x:v>Accepted</x:v>
      </x:c>
      <x:c r="I136" s="431" t="str">
        <x:v>No authority-gap claim, public rerun, held-out execution, protected-asset change, P4 execution, or deferred capability was authorized.</x:v>
      </x:c>
    </x:row>
    <x:row r="137" ht="612" customHeight="1">
      <x:c r="A137" s="431" t="str">
        <x:v>EV-134</x:v>
      </x:c>
      <x:c r="B137" s="431" t="n">
        <x:v>46224</x:v>
      </x:c>
      <x:c r="C137" s="431" t="str">
        <x:v>Check-11 deterministic implementation proof</x:v>
      </x:c>
      <x:c r="D137" s="431" t="str">
        <x:v>Check 11 is eleventh in RELATIONSHIP_CHECK_ORDER. Exact AUTH-SPEC-003, normalized specification_id joins, exactly-one-current cardinality, missing/multiple/mismatch behavior, semantic sorting, stable finding identity, and package-relative evidence are covered. The accepted wrong-valid metadata revision produces one automatic-fail high-severity hold for SPEC-PUMP-001.</x:v>
      </x:c>
      <x:c r="E137" s="431" t="str">
        <x:v>Code review / Deterministic tests / Fault injection</x:v>
      </x:c>
      <x:c r="F137" s="431" t="str">
        <x:v>src/mech_eval_harness/package_assurance/specification_relationships.py; src/mech_eval_harness/package_assurance/relationships.py; tests/test_package_specification_relationships.py; docs/package_assurance/specification_revision_history_implementation_review_2026-07-21.md</x:v>
      </x:c>
      <x:c r="G137" s="431" t="str">
        <x:v>Check-11 contract evidence</x:v>
      </x:c>
      <x:c r="H137" s="431" t="str">
        <x:v>Accepted</x:v>
      </x:c>
      <x:c r="I137" s="431" t="str">
        <x:v>No loader, adapter, schema, fixture, authority map, generic rule engine, result state, output path, or earlier check changed.</x:v>
      </x:c>
    </x:row>
    <x:row r="138" ht="612" customHeight="1">
      <x:c r="A138" s="431" t="str">
        <x:v>EV-135</x:v>
      </x:c>
      <x:c r="B138" s="431" t="n">
        <x:v>46224</x:v>
      </x:c>
      <x:c r="C138" s="431" t="str">
        <x:v>Check-11 clean and wrong-revision four-output inspection</x:v>
      </x:c>
      <x:c r="D138" s="431" t="str">
        <x:v>Clean run RUN-20260721T164400783739Z-e5fdce3c returned automatic_pass, hold false, exit 0, 8/8 gates, 11/11 checks, zero findings, and four exact outputs. Fault run RUN-20260721T164405746563Z-8ccbbbf1 returned automatic_fail, hold true, exit 1, 10 passed and one failed check, one FND-C74035C8B9E5C4E7 finding with expected B and actual A, and the same four outputs. Canonical result, issue views, readiness summary, and terminal behavior agree.</x:v>
      </x:c>
      <x:c r="E138" s="431" t="str">
        <x:v>Controlled CLI execution / Output inspection / Report reconciliation</x:v>
      </x:c>
      <x:c r="F138" s="431" t="str">
        <x:v>scratch/verification/check11-implementation-20260721/clean-runs; scratch/verification/check11-implementation-20260721/fault-runs; docs/package_assurance/specification_revision_history_implementation_review_2026-07-21.md</x:v>
      </x:c>
      <x:c r="G138" s="431" t="str">
        <x:v>Check-11 output evidence</x:v>
      </x:c>
      <x:c r="H138" s="431" t="str">
        <x:v>Accepted</x:v>
      </x:c>
      <x:c r="I138" s="431" t="str">
        <x:v>The fault changes only one temporary specification-metadata revision from A to valid B; accepted development content remains untouched.</x:v>
      </x:c>
    </x:row>
    <x:row r="139" ht="576" customHeight="1">
      <x:c r="A139" s="431" t="str">
        <x:v>EV-136</x:v>
      </x:c>
      <x:c r="B139" s="431" t="n">
        <x:v>46224</x:v>
      </x:c>
      <x:c r="C139" s="431" t="str">
        <x:v>Check-11 regression and frozen-baseline verification</x:v>
      </x:c>
      <x:c r="D139" s="431" t="str">
        <x:v>Relationship/result/report/CLI focused tests passed 99. The full suite passed 314 with one expected Windows skip at 88.48% coverage. Repository validation passed 5/5; Ruff, frozen baseline 9/9, and portfolio demo 2/2 passed. The tracked diff changes only check-11 code, tests, documentation, and project controls.</x:v>
      </x:c>
      <x:c r="E139" s="431" t="str">
        <x:v>Local deterministic verification / Frozen baseline replay / Diff review</x:v>
      </x:c>
      <x:c r="F139" s="431" t="str">
        <x:v>scratch/verification/check11-implementation-20260721; docs/package_assurance/specification_revision_history_implementation_review_2026-07-21.md; D-107</x:v>
      </x:c>
      <x:c r="G139" s="431" t="str">
        <x:v>Check-11 implementation closeout</x:v>
      </x:c>
      <x:c r="H139" s="431" t="str">
        <x:v>Accepted</x:v>
      </x:c>
      <x:c r="I139" s="431" t="str">
        <x:v>No accepted fixture, authority map, schema, golden, held-out asset, public package, historical result, v0.2 behavior, or acceptance criterion changed.</x:v>
      </x:c>
    </x:row>
    <x:row r="140" ht="522" customHeight="1">
      <x:c r="A140" s="431" t="str">
        <x:v>EV-137</x:v>
      </x:c>
      <x:c r="B140" s="431" t="n">
        <x:v>46224</x:v>
      </x:c>
      <x:c r="C140" s="431" t="str">
        <x:v>D-107 acceptance and check-11 integration</x:v>
      </x:c>
      <x:c r="D140" s="431" t="str">
        <x:v>The CEO accepted D-107. PR #59 passed both GitHub CI runs and merged check 11 at exact main 69c0d1b. The owner then authorized the P2.3 authority-gap disposition and P4 startup.</x:v>
      </x:c>
      <x:c r="E140" s="431" t="str">
        <x:v>User instruction / GitHub checks and merge / Project control</x:v>
      </x:c>
      <x:c r="F140" s="431" t="str">
        <x:v>User instruction 2026-07-21; PR #59; exact main 69c0d1b; docs/package_assurance/specification_revision_history_implementation_review_2026-07-21.md; D-107</x:v>
      </x:c>
      <x:c r="G140" s="431" t="str">
        <x:v>P2.3 completion authority</x:v>
      </x:c>
      <x:c r="H140" s="431" t="str">
        <x:v>Accepted</x:v>
      </x:c>
      <x:c r="I140" s="431" t="str">
        <x:v>No protected held-out semantic execution, public rerun, schema, authority map, fixture, golden, or deferred capability changed during integration.</x:v>
      </x:c>
    </x:row>
    <x:row r="141" ht="567" customHeight="1">
      <x:c r="A141" s="431" t="str">
        <x:v>EV-138</x:v>
      </x:c>
      <x:c r="B141" s="431" t="n">
        <x:v>46224</x:v>
      </x:c>
      <x:c r="C141" s="431" t="str">
        <x:v>P2.3 completion and v0.3.0 claim-boundary decision</x:v>
      </x:c>
      <x:c r="D141" s="431" t="str">
        <x:v>D-108 completes P2.3 for eight gates and eleven relationship checks, explicitly defers six unsupported authority/source claims, excludes those claims from v0.3.0 benchmark/release language, and opens P4.1 development benchmark regression only.</x:v>
      </x:c>
      <x:c r="E141" s="431" t="str">
        <x:v>Reviewed scope disposition / Claim control / P4 entry gate</x:v>
      </x:c>
      <x:c r="F141" s="431" t="str">
        <x:v>docs/package_assurance/p2_3_completion_and_claim_boundary_v0.3.0.md; D-107-D-108; accepted P2.3 definition; acceptance_plan_v0.3.0.md</x:v>
      </x:c>
      <x:c r="G141" s="431" t="str">
        <x:v>P2.3 claim boundary and P4.1 authorization</x:v>
      </x:c>
      <x:c r="H141" s="431" t="str">
        <x:v>Accepted</x:v>
      </x:c>
      <x:c r="I141" s="431" t="str">
        <x:v>The six gaps remain visible limitations, not passes. P4.2 held-out execution remains blocked until the P4.1 evaluator/runner baseline is frozen.</x:v>
      </x:c>
    </x:row>
    <x:row r="142" ht="648" customHeight="1">
      <x:c r="A142" s="431" t="str">
        <x:v>EV-139</x:v>
      </x:c>
      <x:c r="B142" s="431" t="n">
        <x:v>46224</x:v>
      </x:c>
      <x:c r="C142" s="431" t="str">
        <x:v>P4.1 development benchmark definition and safety controls</x:v>
      </x:c>
      <x:c r="D142" s="431" t="str">
        <x:v>P4.1-DEV-1 at implementation commit 59bccca freezes 22 development scenarios, unique package/scenario IDs, 21 named mutations, exact state/exit/hold/control/finding expectations, two executions, and exact normalized four-output SHA-256 oracles. The runner verifies the accepted baseline hash, excludes expected assets, rejects benchmark-tree output and overwrites, and prevents subset acceptance claims.</x:v>
      </x:c>
      <x:c r="E142" s="431" t="str">
        <x:v>Reviewed definition / Runner implementation / Focused tests</x:v>
      </x:c>
      <x:c r="F142" s="431" t="str">
        <x:v>benchmarks/package_assurance/development/pump_skid_clean_v1/development_benchmark_v1.json; src/mech_eval_harness/package_assurance/development_benchmark.py; scripts/run_package_assurance_development_benchmark.py; tests/test_package_development_benchmark.py; docs/package_assurance/p4_1_development_benchmark_definition_and_review_v0.3.0.md</x:v>
      </x:c>
      <x:c r="G142" s="431" t="str">
        <x:v>P4.1 benchmark contract</x:v>
      </x:c>
      <x:c r="H142" s="431" t="str">
        <x:v>Ready for CEO review</x:v>
      </x:c>
      <x:c r="I142" s="431" t="str">
        <x:v>No accepted clean fixture, hidden expected asset, held-out content, authority map, schema, public package, historical result, or v0.2 behavior changed.</x:v>
      </x:c>
    </x:row>
    <x:row r="143" ht="612" customHeight="1">
      <x:c r="A143" s="431" t="str">
        <x:v>EV-140</x:v>
      </x:c>
      <x:c r="B143" s="431" t="n">
        <x:v>46224</x:v>
      </x:c>
      <x:c r="C143" s="431" t="str">
        <x:v>P4.1 exact development benchmark acceptance execution</x:v>
      </x:c>
      <x:c r="D143" s="431" t="str">
        <x:v>The acceptance execution passed 22/22 scenarios and 44/44 complete four-output audits. All eight gate-failure families and all eleven relationship-failure families were covered; all 22 run pairs were identical after removing only run ID and run metadata; all 22 exact normalized publication hashes matched; no staged package contained expected/.</x:v>
      </x:c>
      <x:c r="E143" s="431" t="str">
        <x:v>Controlled benchmark execution / Exact oracle comparison / Output inspection</x:v>
      </x:c>
      <x:c r="F143" s="431" t="str">
        <x:v>runs/p4.1-development-acceptance-59bccca-final/benchmark_report.json; runs/p4.1-development-acceptance-59bccca-final/benchmark_report.md; implementation 59bccca; P4.1-DEV-1; EV-139</x:v>
      </x:c>
      <x:c r="G143" s="431" t="str">
        <x:v>P4.1 execution evidence</x:v>
      </x:c>
      <x:c r="H143" s="431" t="str">
        <x:v>Ready for CEO review</x:v>
      </x:c>
      <x:c r="I143" s="431" t="str">
        <x:v>Generated evidence is ignored runtime data outside versioned benchmark definitions. Protected held-out semantics were not executed or opened for tuning.</x:v>
      </x:c>
    </x:row>
    <x:row r="144" ht="648" customHeight="1">
      <x:c r="A144" s="431" t="str">
        <x:v>EV-141</x:v>
      </x:c>
      <x:c r="B144" s="431" t="n">
        <x:v>46224</x:v>
      </x:c>
      <x:c r="C144" s="431" t="str">
        <x:v>P4.1 regression, frozen-baseline, and improvement-loop proof</x:v>
      </x:c>
      <x:c r="D144" s="431" t="str">
        <x:v>Focused benchmark tests passed 5. The full suite passed 319 with one expected Windows skip at 88.57% coverage. Repository validation passed 5/5; Ruff, frozen v0.2 baseline 9/9, and portfolio demo 2/2 passed. An unsafe default baseline evidence path was detected, its timestamp-only tracked changes were restored, and IMP-021 plus AGENTS.md now require generated evidence paths.</x:v>
      </x:c>
      <x:c r="E144" s="431" t="str">
        <x:v>Local deterministic verification / Protected-diff check / Improvement loop</x:v>
      </x:c>
      <x:c r="F144" s="431" t="str">
        <x:v>docs/package_assurance/p4_1_development_benchmark_definition_and_review_v0.3.0.md; docs/quality/improvement_register.md; AGENTS.md; runs/p4.1-mvp-baseline-safe; runs/p4.1-portfolio-demo; D-109</x:v>
      </x:c>
      <x:c r="G144" s="431" t="str">
        <x:v>P4.1 verification closeout</x:v>
      </x:c>
      <x:c r="H144" s="431" t="str">
        <x:v>Ready for CEO review</x:v>
      </x:c>
      <x:c r="I144" s="431" t="str">
        <x:v>D-109 remains the only management decision before integration and freeze. P4.2 held-out execution and all D-108 deferred capabilities remain blocked.</x:v>
      </x:c>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46224</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P4.1 implemented and green; D-109 review required</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P4.1-DEV-1 proves the accepted eight gates and eleven checks with 22 development scenarios run twice. Four states are reachable end to end; two remain router/exit contract only.</x:v>
      </x:c>
      <x:c r="E7" s="765" t="str">
        <x:v>Product interpretation</x:v>
      </x:c>
      <x:c r="F7" s="431" t="str">
        <x:v>Successful kernel; not yet a complete economically useful workflow.</x:v>
      </x:c>
      <x:c r="G7" s="765" t="str">
        <x:v>Response</x:v>
      </x:c>
      <x:c r="H7" s="431" t="str">
        <x:v>Accept or revise D-109 before freezing P4.1 or opening P4.2.</x:v>
      </x:c>
    </x:row>
    <x:row r="8" ht="153" hidden="0" customHeight="1">
      <x:c r="A8" s="765" t="str">
        <x:v>Immediate next action</x:v>
      </x:c>
      <x:c r="B8" s="431" t="str">
        <x:v>Review D-109: accept the bounded four-state full-audit matrix plus six-state router coverage, or reopen P0/P2 for genuine new semantic triggers.</x:v>
      </x:c>
      <x:c r="C8" s="765" t="str">
        <x:v>Selected vertical</x:v>
      </x:c>
      <x:c r="D8" s="431" t="str">
        <x:v>D-109 review -&gt; P4.1 integration and evaluator/runner freeze -&gt; separately authorized P4.2 held-out execution -&gt; P4.3 clean-clone acceptance.</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585" hidden="0" customHeight="1">
      <x:c r="A41" s="604" t="str">
        <x:v>Immediate implication</x:v>
      </x:c>
      <x:c r="B41" s="605"/>
      <x:c r="C41" s="606" t="str">
        <x:v>P4.1 revision P4.1-DEV-1 implements a controlled development-only benchmark at exact implementation commit 59bccca. It verifies the accepted clean package-tree hash before mutation, stages no expected/ assets, applies only 21 named reviewed faults, executes 22 scenarios twice, preserves all generated packages and 44 immutable four-output publications, compares exact normalized publications, rejects output under benchmarks/, refuses overwrites, and prevents scenario subsets from claiming acceptance. The exact-commit acceptance execution passed 22/22 scenarios, all eight mandatory-gate failure families, all eleven relationship-check failure families, 22/22 repeated-run pairs, and 22/22 exact publication hashes. Focused 5, full 319/1, coverage 88.57%, validation 5/5, Ruff, frozen baseline 9/9, and demo 2/2 pass. The v0.2 replay initially exposed that its default evidence path rewrites tracked history; those timestamp-only changes were restored, the safe generated evidence path was used, and IMP-021 plus AGENTS.md now prevent recurrence. D-109 is the stop decision: accept four genuine package-level states plus six-state router/exit coverage and defer two semantic triggers, or reopen P0/P2. No protected held-out semantics were executed.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2c5185d27f724564"/>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603" customHeight="1">
      <x:c r="A13" s="431" t="str">
        <x:v>P2.3</x:v>
      </x:c>
      <x:c r="B13" s="431" t="str">
        <x:v>P2 Consistency Rules</x:v>
      </x:c>
      <x:c r="C13" s="431" t="str">
        <x:v>Implement BOM, equipment-list, and datasheet checks</x:v>
      </x:c>
      <x:c r="D13" s="431" t="str">
        <x:v>The accepted structured audit implements six P2.3 checks for BOM/equipment, drawing presence, datasheet authority/association/manifest reciprocity, and specification revision history. Six unsupported claims are explicitly deferred.</x:v>
      </x:c>
      <x:c r="E13" s="431" t="str">
        <x:v>P3.3</x:v>
      </x:c>
      <x:c r="F13" s="662" t="n">
        <x:v>4</x:v>
      </x:c>
      <x:c r="G13" s="431" t="n">
        <x:v>3</x:v>
      </x:c>
      <x:c r="H13" s="431" t="n">
        <x:v>4</x:v>
      </x:c>
      <x:c r="I13" s="429" t="n">
        <x:f>$B$1+(G13-1)*7</x:f>
        <x:v>46230</x:v>
      </x:c>
      <x:c r="J13" s="429" t="n">
        <x:f>$B$1+H13*7-1</x:f>
        <x:v>46243</x:v>
      </x:c>
      <x:c r="K13" s="431" t="str">
        <x:v>Complete</x:v>
      </x:c>
      <x:c r="L13" s="664" t="n">
        <x:v>1</x:v>
      </x:c>
      <x:c r="M13" s="662" t="n">
        <x:f>SUMIF('Work Block Log'!$E$5:$E$200,A13,'Work Block Log'!$F$5:$F$200)</x:f>
        <x:v>0</x:v>
      </x:c>
      <x:c r="N13" s="662" t="n">
        <x:f>MAX(F13*(1-L13),0)</x:f>
        <x:v>0</x:v>
      </x:c>
      <x:c r="O13" s="662" t="n">
        <x:f>M13-F13</x:f>
        <x:v>-4</x:v>
      </x:c>
      <x:c r="P13" s="431" t="str">
        <x:v>checks 6-11 integrated; PR #59 exact main 69c0d1b; D-085-D-108; EV-082-EV-138; eight gates; eleven checks; clean 11/11; isolated fault proofs; six unsupported claims explicitly deferred; v0.3 claim boundary frozen</x:v>
      </x:c>
      <x:c r="Q13" s="431" t="str">
        <x:v>P2.3 is complete. Begin P4.1 development benchmark regression and fault-injection coverage on a separate branch.</x:v>
      </x:c>
      <x:c r="R13" s="431" t="str">
        <x:v>v0.3.0 claims are limited to the eight gates, eleven checks, state router, and four outputs. Quantity, part/material, BOM-item/drawing, equipment/specification, datasheet-revision, and controlled technical-value reconciliation are deferred.</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03"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Ready for Review</x:v>
      </x:c>
      <x:c r="L18" s="664" t="n">
        <x:v>0.9</x:v>
      </x:c>
      <x:c r="M18" s="662" t="n">
        <x:f>SUMIF('Work Block Log'!$E$5:$E$200,A18,'Work Block Log'!$F$5:$F$200)</x:f>
        <x:v>0</x:v>
      </x:c>
      <x:c r="N18" s="662" t="n">
        <x:f>MAX(F18*(1-L18),0)</x:f>
        <x:v>0.29999999999999993</x:v>
      </x:c>
      <x:c r="O18" s="662" t="n">
        <x:f>M18-F18</x:f>
        <x:v>-3</x:v>
      </x:c>
      <x:c r="P18" s="431" t="str">
        <x:v>codex/p4.1-development-benchmark; implementation 59bccca; P4.1-DEV-1; D-109 proposed; EV-139-EV-141; IMP-020-IMP-021; 22 scenarios; 44 publications; 8/8 gate faults; 11/11 check faults; 22/22 repeatability; 22/22 exact oracles; focused 5; full 319/1; coverage 88.57%; validation 5/5; Ruff; baseline 9/9; demo 2/2</x:v>
      </x:c>
      <x:c r="Q18" s="431" t="str">
        <x:v>CEO reviews p4_1_development_benchmark_definition_and_review_v0.3.0.md and accepts or revises D-109.</x:v>
      </x:c>
      <x:c r="R18" s="431" t="str">
        <x:v>Do not freeze P4.1 or execute protected held-out semantics until D-109 is accepted and the exact evaluator/runner commit is integrated. Two result states remain contract-only, not full-package evidence.</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0.7978260869565218</x:v>
      </x:c>
      <x:c r="M24" s="683" t="n">
        <x:f>SUM(M6:M22)</x:f>
        <x:v>0</x:v>
      </x:c>
      <x:c r="N24" s="683" t="n">
        <x:f>SUM(N6:N22)</x:f>
        <x:v>9.3</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P4.1 Development Benchmark Review</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P4.1 - development benchmark implementation review</x:v>
      </x:c>
      <x:c r="H4" s="697"/>
    </x:row>
    <x:row r="5" ht="72" customHeight="1">
      <x:c r="A5" s="688" t="str">
        <x:v>Schedule Baseline</x:v>
      </x:c>
      <x:c r="B5" s="693" t="str">
        <x:v>Legacy only; not controlling</x:v>
      </x:c>
      <x:c r="C5" s="691"/>
      <x:c r="D5" s="691"/>
      <x:c r="F5" s="696" t="str">
        <x:v>Objective</x:v>
      </x:c>
      <x:c r="G5" s="697" t="str">
        <x:v>Freeze exact development fault coverage and repeatable four-output behavior before protected held-out execution.</x:v>
      </x:c>
      <x:c r="H5" s="697"/>
    </x:row>
    <x:row r="6" ht="63" customHeight="1">
      <x:c r="A6" s="688" t="str">
        <x:v>Time Tracking</x:v>
      </x:c>
      <x:c r="B6" s="693" t="str">
        <x:v>Waived prospectively</x:v>
      </x:c>
      <x:c r="C6" s="691"/>
      <x:c r="D6" s="691"/>
      <x:c r="F6" s="696" t="str">
        <x:v>Gate Status</x:v>
      </x:c>
      <x:c r="G6" s="697" t="str">
        <x:v>22/22 scenarios, 44/44 publications, 8/8 gate faults, 11/11 check faults, and 22/22 exact oracles pass.</x:v>
      </x:c>
      <x:c r="H6" s="697"/>
    </x:row>
    <x:row r="7" ht="81" customHeight="1">
      <x:c r="A7" s="688" t="str">
        <x:v>Current Gate</x:v>
      </x:c>
      <x:c r="B7" s="694" t="str">
        <x:v>P4.1 implemented and green; D-109 decision required</x:v>
      </x:c>
      <x:c r="C7" s="691"/>
      <x:c r="D7" s="691"/>
      <x:c r="F7" s="696" t="str">
        <x:v>Definition of Done</x:v>
      </x:c>
      <x:c r="G7" s="697" t="str">
        <x:v>CEO accepts or revises D-109.</x:v>
      </x:c>
      <x:c r="H7" s="697"/>
    </x:row>
    <x:row r="8" ht="63" customHeight="1">
      <x:c r="A8" s="688" t="str">
        <x:v>Released Kernel</x:v>
      </x:c>
      <x:c r="B8" s="691" t="str">
        <x:v>v0.2.0 / commit 45336a2</x:v>
      </x:c>
      <x:c r="C8" s="691"/>
      <x:c r="D8" s="691"/>
      <x:c r="F8" s="696" t="str">
        <x:v>Immediate Next Action</x:v>
      </x:c>
      <x:c r="G8" s="697" t="str">
        <x:v>Review p4_1_development_benchmark_definition_and_review_v0.3.0.md.</x:v>
      </x:c>
      <x:c r="H8" s="697"/>
    </x:row>
    <x:row r="9" ht="72" customHeight="1">
      <x:c r="A9" s="688" t="str">
        <x:v>Release Target</x:v>
      </x:c>
      <x:c r="B9" s="691" t="str">
        <x:v>v0.3.0</x:v>
      </x:c>
      <x:c r="C9" s="691"/>
      <x:c r="D9" s="691"/>
      <x:c r="F9" s="696" t="str">
        <x:v>Primary Risk</x:v>
      </x:c>
      <x:c r="G9" s="697" t="str">
        <x:v>Primary risk is overstating router-only state support as full-package semantic evidence.</x:v>
      </x:c>
      <x:c r="H9" s="697"/>
    </x:row>
    <x:row r="10" ht="81" customHeight="1">
      <x:c r="A10" s="688" t="str">
        <x:v>Baseline Test Count</x:v>
      </x:c>
      <x:c r="B10" s="691" t="n">
        <x:v>121</x:v>
      </x:c>
      <x:c r="C10" s="691"/>
      <x:c r="D10" s="691"/>
      <x:c r="F10" s="696" t="str">
        <x:v>Deferred</x:v>
      </x:c>
      <x:c r="G10" s="697" t="str">
        <x:v>P4.2 held-out execution and D-108 deferred capabilities remain blocked.</x:v>
      </x:c>
      <x:c r="H10" s="697"/>
    </x:row>
    <x:row r="11" ht="63" customHeight="1">
      <x:c r="A11" s="688" t="str">
        <x:v>Fixture Package Families</x:v>
      </x:c>
      <x:c r="B11" s="691" t="n">
        <x:v>2</x:v>
      </x:c>
      <x:c r="C11" s="691"/>
      <x:c r="D11" s="691"/>
      <x:c r="F11" s="696" t="str">
        <x:v>Data Boundary</x:v>
      </x:c>
      <x:c r="G11" s="697" t="str">
        <x:v>Accepted clean, held-out, public-package, schema, golden, historical, and v0.2 assets remain unchanged.</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Accepted</x:v>
      </x:c>
      <x:c r="C17" s="699" t="str">
        <x:v>P2.3 complete at D-108</x:v>
      </x:c>
      <x:c r="D17" s="700" t="n">
        <x:v>1</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Ready for Review</x:v>
      </x:c>
      <x:c r="C19" s="699" t="str">
        <x:v>D-109 decision required</x:v>
      </x:c>
      <x:c r="D19" s="700" t="n">
        <x:v>0.9</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Accepted</x:v>
      </x:c>
      <x:c r="F42" s="431" t="str">
        <x:v>codex/p2.3-identifier-result-stabilization</x:v>
      </x:c>
      <x:c r="G42" s="431" t="str">
        <x:v>D-099-D-100; EV-104-EV-107; IMP-017; PR #52 exact main 0611d916; focused 47; full 289/1; coverage 87.57%; validation 5/5; Ruff; baseline 9/9; demo 2/2; exit 3/four outputs; exit 1/four outputs; public trees/logs unchanged before observation</x:v>
      </x:c>
      <x:c r="H42" s="431" t="str">
        <x:v>Jason</x:v>
      </x:c>
    </x:row>
    <x:row r="43" ht="360" customHeight="1">
      <x:c r="A43" s="431" t="n">
        <x:v>20</x:v>
      </x:c>
      <x:c r="B43" s="431" t="str">
        <x:v>P2.3</x:v>
      </x:c>
      <x:c r="C43" s="431" t="str">
        <x:v>NASA/JPL public-audit confirmation review</x:v>
      </x:c>
      <x:c r="D43" s="431" t="str">
        <x:v>Execute exactly one unchanged NASA/JPL audit under D-100, inspect the state, hold, exit, all four outputs, schema and report consistency, reverify both public input sets, and stop before OpenFlexure.</x:v>
      </x:c>
      <x:c r="E43" s="431" t="str">
        <x:v>Accepted</x:v>
      </x:c>
      <x:c r="F43" s="431" t="str">
        <x:v>codex/p2.3-nasa-public-audit-confirmation</x:v>
      </x:c>
      <x:c r="G43" s="431" t="str">
        <x:v>D-100-D-101; EV-107-EV-111; I-004; IMP-016-IMP-017; PR #53 exact main 65c9699b; run RUN-20260721T001431760486Z-4f1b9817; state missing_authoritative_information; hold true; exit 3; four schema-valid outputs; one authority finding; source hashes exact; focused 53; full 289/1; coverage 87.57%; validation 5/5; Ruff; baseline 9/9; demo 2/2</x:v>
      </x:c>
      <x:c r="H43" s="431" t="str">
        <x:v>Jason</x:v>
      </x:c>
    </x:row>
    <x:row r="44" ht="387" customHeight="1">
      <x:c r="A44" s="431" t="n">
        <x:v>21</x:v>
      </x:c>
      <x:c r="B44" s="431" t="str">
        <x:v>P2.3</x:v>
      </x:c>
      <x:c r="C44" s="431" t="str">
        <x:v>OpenFlexure public-audit confirmation review</x:v>
      </x:c>
      <x:c r="D44" s="431" t="str">
        <x:v>Execute exactly one unchanged OpenFlexure audit under D-101, inspect every output, reconcile both public packages, close the original execution defect, capture cross-package learning, and stop before check 8.</x:v>
      </x:c>
      <x:c r="E44" s="431" t="str">
        <x:v>Accepted</x:v>
      </x:c>
      <x:c r="F44" s="431" t="str">
        <x:v>codex/p2.3-openflexure-public-audit-confirmation</x:v>
      </x:c>
      <x:c r="G44" s="431" t="str">
        <x:v>D-101-D-102; EV-111-EV-116; I-004 closed; IMP-016-IMP-018; PR #54 exact main b0b32bb; one authorized run per public package; both expected holds and all source hashes exact</x:v>
      </x:c>
      <x:c r="H44" s="431" t="str">
        <x:v>Jason</x:v>
      </x:c>
    </x:row>
    <x:row r="45" ht="387" customHeight="1">
      <x:c r="A45" s="431" t="n">
        <x:v>22</x:v>
      </x:c>
      <x:c r="B45" s="431" t="str">
        <x:v>P2.3</x:v>
      </x:c>
      <x:c r="C45" s="431" t="str">
        <x:v>Equipment datasheet authority presence - check 8</x:v>
      </x:c>
      <x:c r="D45" s="431" t="str">
        <x:v>Append check 8 under exact AUTH-SPEC-001; require one release-required datasheet record per release-required BOM equipment tag; prove clean, missing, ambiguous, authority, ordering, canonical result, reports, CLI exit, and four-output behavior.</x:v>
      </x:c>
      <x:c r="E45" s="431" t="str">
        <x:v>Accepted</x:v>
      </x:c>
      <x:c r="F45" s="431" t="str">
        <x:v>codex/p2.3-equipment-datasheet-authority-presence</x:v>
      </x:c>
      <x:c r="G45" s="431" t="str">
        <x:v>D-102-D-103; EV-116-EV-120; IMP-013-IMP-015; PR #55 exact main fb0113d; clean 8/8; missing-authority exit 3/four outputs; focused 111; full 295/1; coverage 87.71%; validation 5/5; Ruff; baseline 9/9; demo 2/2</x:v>
      </x:c>
      <x:c r="H45" s="431" t="str">
        <x:v>Jason</x:v>
      </x:c>
    </x:row>
    <x:row r="46" ht="423" customHeight="1">
      <x:c r="A46" s="431" t="n">
        <x:v>23</x:v>
      </x:c>
      <x:c r="B46" s="431" t="str">
        <x:v>P2.3</x:v>
      </x:c>
      <x:c r="C46" s="431" t="str">
        <x:v>Equipment/datasheet association - check 9</x:v>
      </x:c>
      <x:c r="D46" s="431" t="str">
        <x:v>Append check 9 under exact AUTH-SPEC-001; compare BOM and authoritative metadata datasheet IDs only after check 8 establishes one record; prove clean, wrong-valid, ownership, authority, ordering, result, reports, CLI exit, and four-output behavior.</x:v>
      </x:c>
      <x:c r="E46" s="431" t="str">
        <x:v>Accepted</x:v>
      </x:c>
      <x:c r="F46" s="431" t="str">
        <x:v>codex/p2.3-equipment-datasheet-association</x:v>
      </x:c>
      <x:c r="G46" s="431" t="str">
        <x:v>D-103-D-104; EV-120-EV-125; I-005; IMP-013-IMP-015; IMP-019; PR #56 exact main 7146b23; clean 9/9; wrong-ID automatic_fail/hold/exit-1/four outputs; full 299/1; coverage 87.86%</x:v>
      </x:c>
      <x:c r="H46" s="431" t="str">
        <x:v>Jason</x:v>
      </x:c>
    </x:row>
    <x:row r="47" ht="432" customHeight="1">
      <x:c r="A47" s="431" t="n">
        <x:v>24</x:v>
      </x:c>
      <x:c r="B47" s="431" t="str">
        <x:v>P2.3</x:v>
      </x:c>
      <x:c r="C47" s="431" t="str">
        <x:v>Publication resilience stabilization</x:v>
      </x:c>
      <x:c r="D47" s="431" t="str">
        <x:v>Retry only final same-parent rename PermissionError using five total attempts over 0.75 seconds; never retry collisions or other errors; preserve failure evidence and exit 70 after exhaustion; prove injected and repeated Windows behavior.</x:v>
      </x:c>
      <x:c r="E47" s="431" t="str">
        <x:v>Accepted</x:v>
      </x:c>
      <x:c r="F47" s="431" t="str">
        <x:v>codex/p2.3-publication-resilience</x:v>
      </x:c>
      <x:c r="G47" s="431" t="str">
        <x:v>D-104-D-105; EV-125-EV-129; I-005 closed; IMP-019 retained; PR #57 exact main dbcd242; focused 24; full 304/1; coverage 88.08%; validation 5/5; Ruff; Windows audit 20/20</x:v>
      </x:c>
      <x:c r="H47" s="431" t="str">
        <x:v>Jason</x:v>
      </x:c>
    </x:row>
    <x:row r="48" ht="495" customHeight="1">
      <x:c r="A48" s="431" t="n">
        <x:v>25</x:v>
      </x:c>
      <x:c r="B48" s="431" t="str">
        <x:v>P2.3</x:v>
      </x:c>
      <x:c r="C48" s="431" t="str">
        <x:v>Equipment/datasheet manifest reciprocity - check 10</x:v>
      </x:c>
      <x:c r="D48" s="431" t="str">
        <x:v>Append check 10 under exact AUTH-SPEC-001; compare authoritative metadata with required manifest equipment_to_datasheet declarations in both directions; preserve check-8 ownership; prove clean, wrong-valid, authority, ordering, result, reports, CLI exit, and four-output behavior.</x:v>
      </x:c>
      <x:c r="E48" s="431" t="str">
        <x:v>Accepted</x:v>
      </x:c>
      <x:c r="F48" s="431" t="str">
        <x:v>codex/p2.3-equipment-datasheet-manifest-reciprocity</x:v>
      </x:c>
      <x:c r="G48" s="431" t="str">
        <x:v>D-105-D-106; EV-129-EV-133; PR #58 exact main 761ac76; clean 10/10; wrong-manifest automatic_fail/hold/exit-1/four outputs; focused 93; full 308/1; coverage 88.27%</x:v>
      </x:c>
      <x:c r="H48" s="431" t="str">
        <x:v>Jason</x:v>
      </x:c>
    </x:row>
    <x:row r="49" ht="522" customHeight="1">
      <x:c r="A49" s="431" t="n">
        <x:v>26</x:v>
      </x:c>
      <x:c r="B49" s="431" t="str">
        <x:v>P2.3</x:v>
      </x:c>
      <x:c r="C49" s="431" t="str">
        <x:v>Specification revision history - check 11</x:v>
      </x:c>
      <x:c r="D49" s="431" t="str">
        <x:v>Append check 11 under exact AUTH-SPEC-003; require every release-required specification metadata revision to match exactly one current revision-history record by normalized specification_id; prove clean, wrong-valid, missing, multiple, authority, ordering, result, reports, CLI exit, and four-output behavior.</x:v>
      </x:c>
      <x:c r="E49" s="431" t="str">
        <x:v>Accepted</x:v>
      </x:c>
      <x:c r="F49" s="431" t="str">
        <x:v>codex/p2.3-specification-revision-history</x:v>
      </x:c>
      <x:c r="G49" s="431" t="str">
        <x:v>D-106-D-107; EV-133-EV-137; PR #59 exact main 69c0d1b; clean 11/11; wrong-spec automatic_fail/hold/exit-1/four outputs; focused 99; full 314/1; coverage 88.48%</x:v>
      </x:c>
      <x:c r="H49" s="431" t="str">
        <x:v>Jason</x:v>
      </x:c>
    </x:row>
    <x:row r="50" ht="450" customHeight="1">
      <x:c r="A50" s="431" t="n">
        <x:v>27</x:v>
      </x:c>
      <x:c r="B50" s="431" t="str">
        <x:v>P2.3 / P4.1</x:v>
      </x:c>
      <x:c r="C50" s="431" t="str">
        <x:v>P2.3 completion and benchmark entry</x:v>
      </x:c>
      <x:c r="D50" s="431" t="str">
        <x:v>Close P2.3 for the exact eight-gate and eleven-check scope; defer six unsupported claims; freeze bounded v0.3.0 language; authorize development benchmark regression without protected held-out semantic execution.</x:v>
      </x:c>
      <x:c r="E50" s="431" t="str">
        <x:v>Accepted / P4.1 Active</x:v>
      </x:c>
      <x:c r="F50" s="431" t="str">
        <x:v>codex/p2.3-completion-claim-boundary</x:v>
      </x:c>
      <x:c r="G50" s="431" t="str">
        <x:v>D-107-D-108; EV-137-EV-138; PR #59 exact main 69c0d1b; p2_3_completion_and_claim_boundary_v0.3.0.md; six gaps deferred; P4.1 authorized; P4.2 blocked</x:v>
      </x:c>
      <x:c r="H50" s="431" t="str">
        <x:v>Jason</x:v>
      </x:c>
    </x:row>
    <x:row r="51" ht="540" customHeight="1">
      <x:c r="A51" s="431" t="n">
        <x:v>28</x:v>
      </x:c>
      <x:c r="B51" s="431" t="str">
        <x:v>P4.1</x:v>
      </x:c>
      <x:c r="C51" s="431" t="str">
        <x:v>Development benchmark and fault injection</x:v>
      </x:c>
      <x:c r="D51" s="431" t="str">
        <x:v>Verify the accepted clean baseline; generate 21 controlled faults; execute all 22 development scenarios twice; compare exact normalized four-output oracles; preserve evidence; separate genuine full-audit state coverage from router-only capability.</x:v>
      </x:c>
      <x:c r="E51" s="431" t="str">
        <x:v>Ready for Review</x:v>
      </x:c>
      <x:c r="F51" s="431" t="str">
        <x:v>codex/p4.1-development-benchmark</x:v>
      </x:c>
      <x:c r="G51" s="431" t="str">
        <x:v>P4.1-DEV-1; D-109 proposed; EV-139-EV-141; IMP-020-IMP-021; 22/22 scenarios; 44/44 publications; 8/8 gate faults; 11/11 check faults; 22/22 repeatability; full 319/1; coverage 88.57%; validation 5/5; Ruff; baseline 9/9; demo 2/2; P4.2 blocked</x:v>
      </x:c>
      <x:c r="H51"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