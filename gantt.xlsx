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38b868a39b34901" /></Relationships>
</file>

<file path=xl/workbook.xml><?xml version="1.0" encoding="utf-8"?>
<x:workbook xmlns:x="http://schemas.openxmlformats.org/spreadsheetml/2006/main">
  <x:sheets>
    <x:sheet xmlns:r="http://schemas.openxmlformats.org/officeDocument/2006/relationships" name="Start Here" sheetId="1" r:id="R07180ad89b104c6c"/>
    <x:sheet xmlns:r="http://schemas.openxmlformats.org/officeDocument/2006/relationships" name="Executive Gantt" sheetId="2" r:id="Rb6172366585a4311"/>
    <x:sheet xmlns:r="http://schemas.openxmlformats.org/officeDocument/2006/relationships" name="Detailed Gantt" sheetId="3" r:id="R92b71bf6eeb04274"/>
    <x:sheet xmlns:r="http://schemas.openxmlformats.org/officeDocument/2006/relationships" name="Weekly Control" sheetId="4" r:id="Ra827d85df4624d16"/>
    <x:sheet xmlns:r="http://schemas.openxmlformats.org/officeDocument/2006/relationships" name="Phase Summary" sheetId="5" r:id="R49f50cb5d8a74d92"/>
    <x:sheet xmlns:r="http://schemas.openxmlformats.org/officeDocument/2006/relationships" name="Assumptions &amp; Gates" sheetId="6" r:id="Raffe3f60d6a64c19"/>
    <x:sheet xmlns:r="http://schemas.openxmlformats.org/officeDocument/2006/relationships" name="Sources" sheetId="7" r:id="R451e0085ba0f459e"/>
    <x:sheet xmlns:r="http://schemas.openxmlformats.org/officeDocument/2006/relationships" name="Legacy Baseline" sheetId="8" r:id="R8587c535714a4733"/>
    <x:sheet xmlns:r="http://schemas.openxmlformats.org/officeDocument/2006/relationships" name="Work Block Log" sheetId="9" r:id="R8b4732174fb94ac0"/>
    <x:sheet xmlns:r="http://schemas.openxmlformats.org/officeDocument/2006/relationships" name="Decision Register" sheetId="10" r:id="Re9a732e16ebe482d"/>
    <x:sheet xmlns:r="http://schemas.openxmlformats.org/officeDocument/2006/relationships" name="Risks &amp; Issues" sheetId="11" r:id="Rd9d025be73fe4838"/>
    <x:sheet xmlns:r="http://schemas.openxmlformats.org/officeDocument/2006/relationships" name="Evidence Register" sheetId="12" r:id="Ra0fddda682304a41"/>
    <x:sheet xmlns:r="http://schemas.openxmlformats.org/officeDocument/2006/relationships" name="Expansion Backlog" sheetId="13" r:id="Rf496ee1bd24d40c5"/>
    <x:sheet xmlns:r="http://schemas.openxmlformats.org/officeDocument/2006/relationships" name="AI Context" sheetId="14" r:id="R9b0e4c7501834716"/>
    <x:sheet xmlns:r="http://schemas.openxmlformats.org/officeDocument/2006/relationships" name="MVP Dashboard" sheetId="15" r:id="R607c220cfaae4647"/>
    <x:sheet xmlns:r="http://schemas.openxmlformats.org/officeDocument/2006/relationships" name="Product Vision" sheetId="16" r:id="Rc11e296ddb9f4c48"/>
    <x:sheet xmlns:r="http://schemas.openxmlformats.org/officeDocument/2006/relationships" name="Pilot Gantt" sheetId="17" r:id="R247b583db5e440ad"/>
    <x:sheet xmlns:r="http://schemas.openxmlformats.org/officeDocument/2006/relationships" name="Pilot Dashboard" sheetId="18" r:id="Rfca47d43ce2a49ca"/>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<x:sst xmlns:x="http://schemas.openxmlformats.org/spreadsheetml/2006/main">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</x:sst>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53">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f659330d3ee46fb" /><Relationship Type="http://schemas.openxmlformats.org/officeDocument/2006/relationships/theme" Target="/xl/theme/theme1.xml" Id="Rf2eac76004d04cc8" /><Relationship Type="http://schemas.openxmlformats.org/officeDocument/2006/relationships/sharedStrings" Target="/xl/sharedStrings.xml" Id="R306b9da931d647eb" /><Relationship Type="http://schemas.openxmlformats.org/officeDocument/2006/relationships/worksheet" Target="/xl/worksheets/sheet1.xml" Id="R07180ad89b104c6c" /><Relationship Type="http://schemas.openxmlformats.org/officeDocument/2006/relationships/worksheet" Target="/xl/worksheets/sheet2.xml" Id="Rb6172366585a4311" /><Relationship Type="http://schemas.openxmlformats.org/officeDocument/2006/relationships/worksheet" Target="/xl/worksheets/sheet3.xml" Id="R92b71bf6eeb04274" /><Relationship Type="http://schemas.openxmlformats.org/officeDocument/2006/relationships/worksheet" Target="/xl/worksheets/sheet4.xml" Id="Ra827d85df4624d16" /><Relationship Type="http://schemas.openxmlformats.org/officeDocument/2006/relationships/worksheet" Target="/xl/worksheets/sheet5.xml" Id="R49f50cb5d8a74d92" /><Relationship Type="http://schemas.openxmlformats.org/officeDocument/2006/relationships/worksheet" Target="/xl/worksheets/sheet6.xml" Id="Raffe3f60d6a64c19" /><Relationship Type="http://schemas.openxmlformats.org/officeDocument/2006/relationships/worksheet" Target="/xl/worksheets/sheet7.xml" Id="R451e0085ba0f459e" /><Relationship Type="http://schemas.openxmlformats.org/officeDocument/2006/relationships/worksheet" Target="/xl/worksheets/sheet8.xml" Id="R8587c535714a4733" /><Relationship Type="http://schemas.openxmlformats.org/officeDocument/2006/relationships/worksheet" Target="/xl/worksheets/sheet9.xml" Id="R8b4732174fb94ac0" /><Relationship Type="http://schemas.openxmlformats.org/officeDocument/2006/relationships/worksheet" Target="/xl/worksheets/sheet10.xml" Id="Re9a732e16ebe482d" /><Relationship Type="http://schemas.openxmlformats.org/officeDocument/2006/relationships/worksheet" Target="/xl/worksheets/sheet11.xml" Id="Rd9d025be73fe4838" /><Relationship Type="http://schemas.openxmlformats.org/officeDocument/2006/relationships/worksheet" Target="/xl/worksheets/sheet12.xml" Id="Ra0fddda682304a41" /><Relationship Type="http://schemas.openxmlformats.org/officeDocument/2006/relationships/worksheet" Target="/xl/worksheets/sheet13.xml" Id="Rf496ee1bd24d40c5" /><Relationship Type="http://schemas.openxmlformats.org/officeDocument/2006/relationships/worksheet" Target="/xl/worksheets/sheet14.xml" Id="R9b0e4c7501834716" /><Relationship Type="http://schemas.openxmlformats.org/officeDocument/2006/relationships/worksheet" Target="/xl/worksheets/sheet15.xml" Id="R607c220cfaae4647" /><Relationship Type="http://schemas.openxmlformats.org/officeDocument/2006/relationships/worksheet" Target="/xl/worksheets/sheet16.xml" Id="Rc11e296ddb9f4c48" /><Relationship Type="http://schemas.openxmlformats.org/officeDocument/2006/relationships/worksheet" Target="/xl/worksheets/sheet17.xml" Id="R247b583db5e440ad" /><Relationship Type="http://schemas.openxmlformats.org/officeDocument/2006/relationships/worksheet" Target="/xl/worksheets/sheet18.xml" Id="Rfca47d43ce2a49ca"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d7e33e73fe4a10" /></Relationships>
</file>

<file path=xl/drawings/_rels/drawing2.xml.rels>&#65279;<?xml version="1.0" encoding="utf-8"?><Relationships xmlns="http://schemas.openxmlformats.org/package/2006/relationships"><Relationship Type="http://schemas.openxmlformats.org/officeDocument/2006/relationships/chart" Target="/xl/drawings/charts/chart2.xml" Id="R1f583a1141bf4170" /></Relationships>
</file>

<file path=xl/drawings/_rels/drawing3.xml.rels>&#65279;<?xml version="1.0" encoding="utf-8"?><Relationships xmlns="http://schemas.openxmlformats.org/package/2006/relationships"><Relationship Type="http://schemas.openxmlformats.org/officeDocument/2006/relationships/chart" Target="/xl/drawings/charts/chart3.xml" Id="R367b0a011e5143a1"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d7e33e73fe4a10"/>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f583a1141bf4170"/>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67b0a011e5143a1"/>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5929babcf3fe4dc0" /></Relationships>
</file>

<file path=xl/worksheets/_rels/sheet5.xml.rels>&#65279;<?xml version="1.0" encoding="utf-8"?><Relationships xmlns="http://schemas.openxmlformats.org/package/2006/relationships"><Relationship Type="http://schemas.openxmlformats.org/officeDocument/2006/relationships/drawing" Target="/xl/drawings/drawing2.xml" Id="R21f2fca05afb4fe6" /></Relationships>
</file>

<file path=xl/worksheets/_rels/sheet15.xml.rels>&#65279;<?xml version="1.0" encoding="utf-8"?><Relationships xmlns="http://schemas.openxmlformats.org/package/2006/relationships"><Relationship Type="http://schemas.openxmlformats.org/officeDocument/2006/relationships/drawing" Target="/xl/drawings/drawing3.xml" Id="R1a283b8c2a434a2e"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8" customHeight="1">
      <x:c r="A4" s="739" t="str">
        <x:v>Control revision</x:v>
      </x:c>
      <x:c r="B4" s="747" t="str">
        <x:v>Program v3.0 - fourth P2.2 drawing check implemented; review pending 2026-07-17</x:v>
      </x:c>
      <x:c r="C4" s="1"/>
      <x:c r="D4" s="752" t="n">
        <x:v>1</x:v>
      </x:c>
      <x:c r="E4" s="72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8" customHeight="1">
      <x:c r="A5" s="739" t="str">
        <x:v>Released baseline</x:v>
      </x:c>
      <x:c r="B5" s="747" t="str">
        <x:v>v0.2.0 released; accepted commit 45336a2; tag verified</x:v>
      </x:c>
      <x:c r="C5" s="1"/>
      <x:c r="D5" s="752" t="n">
        <x:v>2</x:v>
      </x:c>
      <x:c r="E5" s="72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38" customHeight="1">
      <x:c r="A6" s="739" t="str">
        <x:v>Pilot start (legacy)</x:v>
      </x:c>
      <x:c r="B6" s="748" t="str">
        <x:v>2026-07-13</x:v>
      </x:c>
      <x:c r="C6" s="1"/>
      <x:c r="D6" s="752" t="n">
        <x:v>3</x:v>
      </x:c>
      <x:c r="E6" s="72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38" customHeight="1">
      <x:c r="A7" s="739" t="str">
        <x:v>Target finish (legacy)</x:v>
      </x:c>
      <x:c r="B7" s="748" t="str">
        <x:v>2026-08-23</x:v>
      </x:c>
      <x:c r="C7" s="1"/>
      <x:c r="D7" s="752" t="n">
        <x:v>4</x:v>
      </x:c>
      <x:c r="E7" s="72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8" customHeight="1">
      <x:c r="A8" s="739" t="str">
        <x:v>Planned labour (legacy)</x:v>
      </x:c>
      <x:c r="B8" s="749" t="str">
        <x:v>46 hours; not controlling</x:v>
      </x:c>
      <x:c r="C8" s="1"/>
      <x:c r="D8" s="752" t="n">
        <x:v>5</x:v>
      </x:c>
      <x:c r="E8" s="72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38" customHeight="1">
      <x:c r="A9" s="739" t="str">
        <x:v>Time tracking</x:v>
      </x:c>
      <x:c r="B9" s="749" t="str">
        <x:v>Waived prospectively</x:v>
      </x:c>
      <x:c r="C9" s="1"/>
      <x:c r="D9" s="752" t="n">
        <x:v>6</x:v>
      </x:c>
      <x:c r="E9" s="72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38" customHeight="1">
      <x:c r="A10" s="739" t="str">
        <x:v>Current gate</x:v>
      </x:c>
      <x:c r="B10" s="750" t="str">
        <x:v>P2.2 drawing file-reference implementation review</x:v>
      </x:c>
      <x:c r="C10" s="1"/>
      <x:c r="D10" s="752" t="n">
        <x:v>7</x:v>
      </x:c>
      <x:c r="E10" s="72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6" hidden="0" customHeight="1">
      <x:c r="A11" s="739" t="str">
        <x:v>Current product state</x:v>
      </x:c>
      <x:c r="B11" s="75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36" hidden="0" customHeight="1">
      <x:c r="A12" s="741" t="str">
        <x:v>Active WBS</x:v>
      </x:c>
      <x:c r="B12" s="751" t="str">
        <x:v>P2.2 - Review fourth drawing file-reference agreement check</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36" hidden="0" customHeight="1">
      <x:c r="A13" s="741" t="str">
        <x:v>Next build WBS</x:v>
      </x:c>
      <x:c r="B13" s="751" t="str">
        <x:v>Review implementation 74970c3 on draft PR #35; accept, revise, or reject</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4" customHeight="1">
      <x:c r="A16" s="165" t="n">
        <x:v>1</x:v>
      </x:c>
      <x:c r="B16" s="72" t="str">
        <x:v>Approved workflow contract and authority map for the structured package audit.</x:v>
      </x:c>
      <x:c r="C16" s="72"/>
      <x:c r="D16" s="165" t="str">
        <x:v>Pilot Gantt</x:v>
      </x:c>
      <x:c r="E16" s="72"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4" customHeight="1">
      <x:c r="A17" s="165" t="n">
        <x:v>2</x:v>
      </x:c>
      <x:c r="B17" s="72" t="str">
        <x:v>Versioned package manifest schema plus one development and one newly authored held-out package.</x:v>
      </x:c>
      <x:c r="C17" s="72"/>
      <x:c r="D17" s="165" t="str">
        <x:v>MVP Dashboard</x:v>
      </x:c>
      <x:c r="E17" s="72"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4" customHeight="1">
      <x:c r="A18" s="165" t="n">
        <x:v>3</x:v>
      </x:c>
      <x:c r="B18" s="72" t="str">
        <x:v>Mandatory inventory, parse, revision, file-reference, and authority gates before scoring.</x:v>
      </x:c>
      <x:c r="C18" s="74"/>
      <x:c r="D18" s="165" t="str">
        <x:v>Detailed Gantt</x:v>
      </x:c>
      <x:c r="E18" s="72"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4" customHeight="1">
      <x:c r="A19" s="153" t="n">
        <x:v>4</x:v>
      </x:c>
      <x:c r="B19" s="141" t="str">
        <x:v>Deterministic document, tag, BOM/equipment, datasheet/specification, quantity, and revision consistency checks.</x:v>
      </x:c>
      <x:c r="C19" s="1"/>
      <x:c r="D19" s="153" t="str">
        <x:v>Work Block Log</x:v>
      </x:c>
      <x:c r="E19" s="141"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4" customHeight="1">
      <x:c r="A20" s="153" t="n">
        <x:v>5</x:v>
      </x:c>
      <x:c r="B20" s="141" t="str">
        <x:v>Explicit result states: automatic pass, automatic fail, engineering review required, missing authoritative information, extraction/tool failure, and evaluator uncertainty.</x:v>
      </x:c>
      <x:c r="C20" s="1"/>
      <x:c r="D20" s="153" t="str">
        <x:v>Decision Register</x:v>
      </x:c>
      <x:c r="E20" s="141"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4" customHeight="1">
      <x:c r="A21" s="153" t="n">
        <x:v>6</x:v>
      </x:c>
      <x:c r="B21" s="141" t="str">
        <x:v>Immutable package result, evidence-linked issue register, release-readiness summary, and stable audit-package CLI exit codes.</x:v>
      </x:c>
      <x:c r="C21" s="1"/>
      <x:c r="D21" s="153" t="str">
        <x:v>Risks &amp; Issues</x:v>
      </x:c>
      <x:c r="E21" s="141"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4" customHeight="1">
      <x:c r="A22" s="153" t="n">
        <x:v>7</x:v>
      </x:c>
      <x:c r="B22" s="141" t="str">
        <x:v>Development and held-out benchmark with fault injection, failed-run preservation, false-positive/false-negative review, and bounded claims.</x:v>
      </x:c>
      <x:c r="C22" s="1"/>
      <x:c r="D22" s="153" t="str">
        <x:v>Evidence Register</x:v>
      </x:c>
      <x:c r="E22" s="141"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4" customHeight="1">
      <x:c r="A23" s="153" t="n">
        <x:v>8</x:v>
      </x:c>
      <x:c r="B23" s="141" t="str">
        <x:v>Regression tests, CI, clean-clone acceptance, documentation, terminal-first demo, bounded service specification, and annotated v0.3.0 tag.</x:v>
      </x:c>
      <x:c r="C23" s="1"/>
      <x:c r="D23" s="153" t="str">
        <x:v>AI Context</x:v>
      </x:c>
      <x:c r="E23" s="141"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225" hidden="0" customHeight="1">
      <x:c r="A28" s="704" t="str">
        <x:v>PR #34 integrated the accepted drawing_register_metadata_file_reference v0.3.0 definition at exact main 12c45dd after green CI and exact merged-tree verification. Implementation commit 74970c3 on green draft PR #35 appends only the fourth ordered check under exact AUTH-DWG-002 authority. The clean package passes; the reviewed wrong-but-valid metadata reference emits one automatic-fail high-severity release hold with both source fields and both resolved manifest references. Verification passes 19 relationship tests, 45 focused tests, 216 full-suite tests with one expected skip, validation 5/5, Ruff, 85.47% coverage, and both GitHub CI runs. User implementation review remains pending; undeclared source references and full manifest reciprocity remain separate gaps.</x:v>
      </x:c>
      <x:c r="B28" s="704"/>
      <x:c r="C28" s="704"/>
      <x:c r="D28" s="704"/>
      <x:c r="E28" s="704"/>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5929babcf3fe4dc0"/>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21f2fca05afb4fe6"/>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Active</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Active</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Ready for explicit user acceptance. Do not integrate or begin another relationship, declaration/reciprocity control, package-state router, report, CLI, semantic held-out evaluation, protected-asset change, or deferred capability before acceptance.</x:v>
      </x:c>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Ready for acceptance</x:v>
      </x:c>
      <x:c r="I69" s="78" t="str">
        <x:v>Relationship tests: 19 passed. Focused package models, gates, and relationships: 45 passed. Full frozen regression: 216 passed, 1 expected Windows symlink skip. Repository validation: 5/5. Ruff: passed. Coverage: 85.47%. Both GitHub CI runs passed. Accepted fixtures, goldens, held-out assets, schemas, authority maps, and historical evidence are unchanged. No undeclared-reference control, manifest reciprocity, package-state routing, report, CLI, semantic held-out execution, or deferred capability was added.</x:v>
      </x:c>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46220</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48" hidden="0" customHeight="1">
      <x:c r="A6" s="449" t="str">
        <x:v>Repository state</x:v>
      </x:c>
      <x:c r="B6" s="447" t="str">
        <x:v>v0.2.0 released and frozen at accepted commit 45336a2</x:v>
      </x:c>
      <x:c r="C6" s="449" t="str">
        <x:v>Verification</x:v>
      </x:c>
      <x:c r="D6" s="447" t="str">
        <x:v>121 tests; clean-clone acceptance; baseline 9/9; demo 2/2</x:v>
      </x:c>
      <x:c r="E6" s="449" t="str">
        <x:v>Active release</x:v>
      </x:c>
      <x:c r="F6" s="447" t="str">
        <x:v>v0.3.0 Package Assurance Pilot</x:v>
      </x:c>
      <x:c r="G6" s="449" t="str">
        <x:v>Active WBS</x:v>
      </x:c>
      <x:c r="H6" s="447" t="str">
        <x:v>P2.2 drawing file-reference implementation review</x:v>
      </x:c>
    </x:row>
    <x:row r="7" ht="108.75" hidden="0" customHeight="1">
      <x:c r="A7" s="449" t="str">
        <x:v>Released capability</x:v>
      </x:c>
      <x:c r="B7" s="447" t="str">
        <x:v>Model/runtime-agnostic deterministic evaluation kernel with candidate loading, mandatory gates, deterministic checks, weighted scoring, structured evidence, evaluate CLI, immutable results, five reviewed cases, frozen split, CI, docs, demo, and release proof.</x:v>
      </x:c>
      <x:c r="C7" s="449" t="str">
        <x:v>Current gap</x:v>
      </x:c>
      <x:c r="D7" s="447" t="str">
        <x:v>The accepted fourth AUTH-DWG-002 file-reference agreement definition is integrated through exact main 12c45dd. Implementation 74970c3 on green draft PR #35 appends the fourth ordered check and passes local and GitHub acceptance verification. User review is pending. Undeclared source references, manifest reciprocity, remaining relationships, routing, reports, and semantic held-out evaluation remain blocked.</x:v>
      </x:c>
      <x:c r="E7" s="449" t="str">
        <x:v>Product interpretation</x:v>
      </x:c>
      <x:c r="F7" s="447" t="str">
        <x:v>Successful kernel; not yet a complete economically useful workflow.</x:v>
      </x:c>
      <x:c r="G7" s="449" t="str">
        <x:v>Response</x:v>
      </x:c>
      <x:c r="H7" s="447" t="str">
        <x:v>Build one vertical end-to-end without restarting the repository.</x:v>
      </x:c>
    </x:row>
    <x:row r="8" ht="72" hidden="0" customHeight="1">
      <x:c r="A8" s="449" t="str">
        <x:v>Immediate next action</x:v>
      </x:c>
      <x:c r="B8" s="447" t="str">
        <x:v>Review implementation 74970c3 on draft PR #35; accept, revise, or reject.</x:v>
      </x:c>
      <x:c r="C8" s="449" t="str">
        <x:v>Selected vertical</x:v>
      </x:c>
      <x:c r="D8" s="447" t="str">
        <x:v>Drawing register ↔ drawing metadata ↔ BOM/equipment list ↔ datasheet/specification metadata ↔ revision history.</x:v>
      </x:c>
      <x:c r="E8" s="449" t="str">
        <x:v>Primary deliverable</x:v>
      </x:c>
      <x:c r="F8" s="447" t="str">
        <x:v>Evidence-linked issue register plus release-readiness summary.</x:v>
      </x:c>
      <x:c r="G8" s="449" t="str">
        <x:v>Scope rule</x:v>
      </x:c>
      <x:c r="H8" s="447"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2" customHeight="1">
      <x:c r="A18" s="449" t="str">
        <x:v>Task</x:v>
      </x:c>
      <x:c r="B18" s="447" t="str">
        <x:v>Instructions, controlled inputs, deliverable, constraints, authority model, and evaluation intent.</x:v>
      </x:c>
      <x:c r="C18" s="447"/>
      <x:c r="D18" s="449" t="n">
        <x:v>1</x:v>
      </x:c>
      <x:c r="E18" s="447" t="str">
        <x:v>Approved workflow contract and authority map.</x:v>
      </x:c>
      <x:c r="F18" s="447"/>
      <x:c r="G18" s="447"/>
      <x:c r="H18" s="447"/>
    </x:row>
    <x:row r="19" ht="42" customHeight="1">
      <x:c r="A19" s="449" t="str">
        <x:v>Agent</x:v>
      </x:c>
      <x:c r="B19" s="447" t="str">
        <x:v>Direct model, Codex/OpenClaw/another harness, deterministic software, or human producer remains replaceable.</x:v>
      </x:c>
      <x:c r="C19" s="447"/>
      <x:c r="D19" s="449" t="n">
        <x:v>2</x:v>
      </x:c>
      <x:c r="E19" s="447" t="str">
        <x:v>Versioned package manifest plus development and held-out packages.</x:v>
      </x:c>
      <x:c r="F19" s="447"/>
      <x:c r="G19" s="447"/>
      <x:c r="H19" s="447"/>
    </x:row>
    <x:row r="20" ht="42" customHeight="1">
      <x:c r="A20" s="449" t="str">
        <x:v>Environment</x:v>
      </x:c>
      <x:c r="B20" s="447" t="str">
        <x:v>Files, tools, permissions, shell/GUI state, network access, and destructive/external actions are explicitly bounded.</x:v>
      </x:c>
      <x:c r="C20" s="447"/>
      <x:c r="D20" s="449" t="n">
        <x:v>3</x:v>
      </x:c>
      <x:c r="E20" s="447" t="str">
        <x:v>Mandatory package gates before consistency scoring.</x:v>
      </x:c>
      <x:c r="F20" s="447"/>
      <x:c r="G20" s="447"/>
      <x:c r="H20" s="447"/>
    </x:row>
    <x:row r="21" ht="42" customHeight="1">
      <x:c r="A21" s="449" t="str">
        <x:v>Trace / Artifacts</x:v>
      </x:c>
      <x:c r="B21" s="447" t="str">
        <x:v>Actions, tool calls, file states, errors, corrections, candidate artifacts, and generated reports are preserved.</x:v>
      </x:c>
      <x:c r="C21" s="447"/>
      <x:c r="D21" s="449" t="n">
        <x:v>4</x:v>
      </x:c>
      <x:c r="E21" s="447" t="str">
        <x:v>Deterministic cross-document checks with evidence.</x:v>
      </x:c>
      <x:c r="F21" s="447"/>
      <x:c r="G21" s="447"/>
      <x:c r="H21" s="447"/>
    </x:row>
    <x:row r="22" ht="42" customHeight="1">
      <x:c r="A22" s="449" t="str">
        <x:v>Evaluator</x:v>
      </x:c>
      <x:c r="B22" s="447" t="str">
        <x:v>Independent gates, rules, tolerances, authority resolution, result-state routing, and failure evidence.</x:v>
      </x:c>
      <x:c r="C22" s="447"/>
      <x:c r="D22" s="449" t="n">
        <x:v>5</x:v>
      </x:c>
      <x:c r="E22" s="447" t="str">
        <x:v>Explicit pass/fail/review/missing-authority/tool-failure/uncertainty states.</x:v>
      </x:c>
      <x:c r="F22" s="447"/>
      <x:c r="G22" s="447"/>
      <x:c r="H22" s="447"/>
    </x:row>
    <x:row r="23" ht="42" customHeight="1">
      <x:c r="A23" s="449" t="str">
        <x:v>Results</x:v>
      </x:c>
      <x:c r="B23" s="447" t="str">
        <x:v>Immutable package result, issue register, release summary, artifact references, versions, and benchmark status.</x:v>
      </x:c>
      <x:c r="C23" s="447"/>
      <x:c r="D23" s="449" t="n">
        <x:v>6</x:v>
      </x:c>
      <x:c r="E23" s="447" t="str">
        <x:v>audit-package CLI plus immutable result and report views.</x:v>
      </x:c>
      <x:c r="F23" s="447"/>
      <x:c r="G23" s="447"/>
      <x:c r="H23" s="447"/>
    </x:row>
    <x:row r="24" ht="42" customHeight="1">
      <x:c r="A24" s="449" t="str">
        <x:v>Separation rule</x:v>
      </x:c>
      <x:c r="B24" s="447" t="str">
        <x:v>Benchmark case definitions and golden relationships are versioned inputs; runs and reports are generated evidence.</x:v>
      </x:c>
      <x:c r="C24" s="447"/>
      <x:c r="D24" s="449" t="n">
        <x:v>7</x:v>
      </x:c>
      <x:c r="E24" s="447" t="str">
        <x:v>Frozen development/held-out benchmark and false-negative review.</x:v>
      </x:c>
      <x:c r="F24" s="447"/>
      <x:c r="G24" s="447"/>
      <x:c r="H24" s="447"/>
    </x:row>
    <x:row r="25" ht="42" customHeight="1">
      <x:c r="A25" s="449" t="str">
        <x:v>Engineering boundary</x:v>
      </x:c>
      <x:c r="B25" s="447" t="str">
        <x:v>No engineering sign-off, stamped deliverables, autonomous release, code-compliance opinion, or final safety-critical decision.</x:v>
      </x:c>
      <x:c r="C25" s="447"/>
      <x:c r="D25" s="449" t="n">
        <x:v>8</x:v>
      </x:c>
      <x:c r="E25" s="447" t="str">
        <x:v>Tests, CI, clean-clone acceptance, docs, demo, service specification, and v0.3.0 tag.</x:v>
      </x:c>
      <x:c r="F25" s="447"/>
      <x:c r="G25" s="447"/>
      <x:c r="H25" s="447"/>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56" hidden="0" customHeight="1">
      <x:c r="A28" s="449" t="str">
        <x:v>Evidence</x:v>
      </x:c>
      <x:c r="B28" s="447" t="str">
        <x:v>v0.2.0 is released at accepted commit 45336a2 with five reviewed cases, 121 tests, clean-clone acceptance, baseline 9/9, demo 2/2, immutable results, CI, documentation, and an annotated tag.</x:v>
      </x:c>
      <x:c r="C28" s="449" t="str">
        <x:v>Gap</x:v>
      </x:c>
      <x:c r="D28" s="447" t="str">
        <x:v>The evidence proves the kernel, not a realistic package-assurance outcome.</x:v>
      </x:c>
      <x:c r="E28" s="449" t="str">
        <x:v>Response</x:v>
      </x:c>
      <x:c r="F28" s="447" t="str">
        <x:v>Preserve v0.2.0; build v0.3.0 as a separate vertical release.</x:v>
      </x:c>
      <x:c r="G28" s="449" t="str">
        <x:v>Owner</x:v>
      </x:c>
      <x:c r="H28" s="447" t="str">
        <x:v>Jason</x:v>
      </x:c>
    </x:row>
    <x:row r="29" ht="56" hidden="0" customHeight="1">
      <x:c r="A29" s="449" t="str">
        <x:v>Evidence</x:v>
      </x:c>
      <x:c r="B29" s="447" t="str">
        <x:v>Existing cases already exercise revision auditing, BOM reconciliation, unit errors, and structured failure evidence.</x:v>
      </x:c>
      <x:c r="C29" s="449" t="str">
        <x:v>Gap</x:v>
      </x:c>
      <x:c r="D29" s="447" t="str">
        <x:v>They are isolated case files rather than one coherent multi-document release package.</x:v>
      </x:c>
      <x:c r="E29" s="449" t="str">
        <x:v>Response</x:v>
      </x:c>
      <x:c r="F29" s="447" t="str">
        <x:v>Create a package manifest and relationship model that composes those concepts.</x:v>
      </x:c>
      <x:c r="G29" s="449" t="str">
        <x:v>Owner</x:v>
      </x:c>
      <x:c r="H29" s="447" t="str">
        <x:v>Jason</x:v>
      </x:c>
    </x:row>
    <x:row r="30" ht="56" hidden="0" customHeight="1">
      <x:c r="A30" s="449" t="str">
        <x:v>Evidence</x:v>
      </x:c>
      <x:c r="B30" s="447" t="str">
        <x:v>MECH-003 is frozen as held-out but was historically seen before the split.</x:v>
      </x:c>
      <x:c r="C30" s="449" t="str">
        <x:v>Gap</x:v>
      </x:c>
      <x:c r="D30" s="447" t="str">
        <x:v>It is not a pristine blind benchmark.</x:v>
      </x:c>
      <x:c r="E30" s="449" t="str">
        <x:v>Response</x:v>
      </x:c>
      <x:c r="F30" s="447" t="str">
        <x:v>Author and freeze a materially distinct held-out package before rule tuning.</x:v>
      </x:c>
      <x:c r="G30" s="449" t="str">
        <x:v>Owner</x:v>
      </x:c>
      <x:c r="H30" s="447" t="str">
        <x:v>Jason</x:v>
      </x:c>
    </x:row>
    <x:row r="31" ht="56" customHeight="1">
      <x:c r="A31" s="449" t="str">
        <x:v>Evidence</x:v>
      </x:c>
      <x:c r="B31" s="447" t="str">
        <x:v>Capable long-horizon coding agents improve repository work, tool use, and artifact production.</x:v>
      </x:c>
      <x:c r="C31" s="449" t="str">
        <x:v>Gap</x:v>
      </x:c>
      <x:c r="D31" s="447" t="str">
        <x:v>Stronger agents can also overreach, take unauthorized actions, or overclaim completion.</x:v>
      </x:c>
      <x:c r="E31" s="449" t="str">
        <x:v>Response</x:v>
      </x:c>
      <x:c r="F31" s="447" t="str">
        <x:v>Use supervised worktrees, explicit permissions, independent verification, and deterministic acceptance gates.</x:v>
      </x:c>
      <x:c r="G31" s="449" t="str">
        <x:v>Owner</x:v>
      </x:c>
      <x:c r="H31" s="447" t="str">
        <x:v>Jason</x:v>
      </x:c>
    </x:row>
    <x:row r="32" ht="81" customHeight="1">
      <x:c r="A32" s="449" t="str">
        <x:v>Control rule</x:v>
      </x:c>
      <x:c r="B32" s="447" t="str">
        <x:v>One branch per coherent capability; tests support the product; failed runs and uncertainty are evidence.</x:v>
      </x:c>
      <x:c r="C32" s="449" t="str">
        <x:v>Risk</x:v>
      </x:c>
      <x:c r="D32" s="447" t="str">
        <x:v>Planning, framework work, or extraction complexity can displace the actual package workflow.</x:v>
      </x:c>
      <x:c r="E32" s="449" t="str">
        <x:v>Response</x:v>
      </x:c>
      <x:c r="F32" s="447" t="str">
        <x:v>P1.3 remains frozen pre-tuning. Tracked path metadata was inadvertently enumerated and opaque integrity tests ran; protected source/oracle content was not opened or used for tuning. First semantic held-out evaluation remains gated.</x:v>
      </x:c>
      <x:c r="G32" s="449" t="str">
        <x:v>Owner</x:v>
      </x:c>
      <x:c r="H32" s="447"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98" hidden="0" customHeight="1">
      <x:c r="A41" s="604" t="str">
        <x:v>Immediate implication</x:v>
      </x:c>
      <x:c r="B41" s="605"/>
      <x:c r="C41" s="606" t="str">
        <x:v>Implementation 74970c3 enforces drawing_register_metadata_file_reference v0.3.0 for exact drawing pairs under the exact accepted AUTH-DWG-002 rule. Register file_ref_id is expected and metadata file_ref_id is actual. A mismatch routes to automatic_fail, high severity, release_hold true, document_control, with both field locators and both manifest file-resolution locators. The first three checks retain their accepted behavior. Shared undeclared references and full manifest reciprocity remain deferred.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1a283b8c2a434a2e"/>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207"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In Progress</x:v>
      </x:c>
      <x:c r="L12" s="664" t="n">
        <x:v>0.5</x:v>
      </x:c>
      <x:c r="M12" s="662" t="n">
        <x:f>SUMIF('Work Block Log'!$E$5:$E$200,A12,'Work Block Log'!$F$5:$F$200)</x:f>
        <x:v>0</x:v>
      </x:c>
      <x:c r="N12" s="662" t="n">
        <x:f>MAX(F12*(1-L12),0)</x:f>
        <x:v>2</x:v>
      </x:c>
      <x:c r="O12" s="662" t="n">
        <x:f>M12-F12</x:f>
        <x:v>-4</x:v>
      </x:c>
      <x:c r="P12" s="431" t="str">
        <x:v>fourth definition integrated through PR #34 at exact main 12c45dd; implementation 74970c3 on draft PR #35 with two green CI checks; codex/p2.2-drawing-file-reference-implementation; D-049-D-069; EV-046-EV-066; relationship 19; focused 45; full 216/1; validation 5/5; Ruff; coverage 85.47%; wrong-valid fault passes 8/8 gates and first 3 checks before exact fourth-check hold</x:v>
      </x:c>
      <x:c r="Q12" s="431" t="str">
        <x:v>Review draft PR #35 and accept, revise, or reject implementation 74970c3. Do not merge or begin another control before acceptance.</x:v>
      </x:c>
      <x:c r="R12" s="431" t="str">
        <x:v>Four drawing checks are implemented on the review branch. P2.2 remains 50% until the fourth check is accepted and integrated; undeclared references and manifest reciprocity remain open.</x:v>
      </x:c>
      <x:c r="S12" s="669"/>
      <x:c r="T12" s="669"/>
      <x:c r="U12" s="669" t="str">
        <x:v>■</x:v>
      </x:c>
      <x:c r="V12" s="669"/>
      <x:c r="W12" s="669"/>
      <x:c r="X12" s="669"/>
    </x:row>
    <x:row r="13" ht="64"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P2.1</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x:v>
      </x:c>
      <x:c r="Q13" s="431" t="str">
        <x:v>Add one rule family at a time with representative passing and failing fixtures.</x:v>
      </x:c>
      <x:c r="R13" s="431" t="str">
        <x:v>Keep checks deterministic and field-level for v0.3.0.</x:v>
      </x:c>
      <x:c r="S13" s="669"/>
      <x:c r="T13" s="669"/>
      <x:c r="U13" s="669" t="str">
        <x:v>■</x:v>
      </x:c>
      <x:c r="V13" s="669" t="str">
        <x:v>■</x:v>
      </x:c>
      <x:c r="W13" s="669"/>
      <x:c r="X13" s="669"/>
    </x:row>
    <x:row r="14" ht="64"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P2.2,P2.3</x:v>
      </x:c>
      <x:c r="F14" s="662" t="n">
        <x:v>3</x:v>
      </x:c>
      <x:c r="G14" s="431" t="n">
        <x:v>4</x:v>
      </x:c>
      <x:c r="H14" s="431" t="n">
        <x:v>4</x:v>
      </x:c>
      <x:c r="I14" s="429" t="n">
        <x:f>$B$1+(G14-1)*7</x:f>
        <x:v>46237</x:v>
      </x:c>
      <x:c r="J14" s="429" t="n">
        <x:f>$B$1+H14*7-1</x:f>
        <x:v>46243</x:v>
      </x:c>
      <x:c r="K14" s="431" t="str">
        <x:v>Not Started</x:v>
      </x:c>
      <x:c r="L14" s="664" t="n">
        <x:v>0</x:v>
      </x:c>
      <x:c r="M14" s="662" t="n">
        <x:f>SUMIF('Work Block Log'!$E$5:$E$200,A14,'Work Block Log'!$F$5:$F$200)</x:f>
        <x:v>0</x:v>
      </x:c>
      <x:c r="N14" s="662" t="n">
        <x:f>MAX(F14*(1-L14),0)</x:f>
        <x:v>3</x:v>
      </x:c>
      <x:c r="O14" s="662" t="n">
        <x:f>M14-F14</x:f>
        <x:v>-3</x:v>
      </x:c>
      <x:c r="P14" s="431" t="str">
        <x:v>feature/result-state-routing</x:v>
      </x:c>
      <x:c r="Q14" s="431" t="str">
        <x:v>Implement explicit state transitions and hold logic.</x:v>
      </x:c>
      <x:c r="R14" s="431" t="str">
        <x:v>A single score must never conceal a release-critical finding.</x:v>
      </x:c>
      <x:c r="S14" s="669"/>
      <x:c r="T14" s="669"/>
      <x:c r="U14" s="669"/>
      <x:c r="V14" s="669" t="str">
        <x:v>■</x:v>
      </x:c>
      <x:c r="W14" s="669"/>
      <x:c r="X14" s="669"/>
    </x:row>
    <x:row r="15" ht="64"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x:v>
      </x:c>
      <x:c r="Q15" s="431" t="str">
        <x:v>Define schema, renderer, and regression tests.</x:v>
      </x:c>
      <x:c r="R15" s="431" t="str">
        <x:v>Preserve machine-readable JSON; add CSV/Markdown only as views.</x:v>
      </x:c>
      <x:c r="S15" s="669"/>
      <x:c r="T15" s="669"/>
      <x:c r="U15" s="669"/>
      <x:c r="V15" s="669" t="str">
        <x:v>■</x:v>
      </x:c>
      <x:c r="W15" s="669"/>
      <x:c r="X15" s="669"/>
    </x:row>
    <x:row r="16" ht="64"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x:v>
      </x:c>
      <x:c r="Q16" s="431" t="str">
        <x:v>Create a concise management-facing report from the same result record.</x:v>
      </x:c>
      <x:c r="R16" s="431" t="str">
        <x:v>No engineering release or sign-off claim.</x:v>
      </x:c>
      <x:c r="S16" s="669"/>
      <x:c r="T16" s="669"/>
      <x:c r="U16" s="669"/>
      <x:c r="V16" s="669" t="str">
        <x:v>■</x:v>
      </x:c>
      <x:c r="W16" s="669"/>
      <x:c r="X16" s="669"/>
    </x:row>
    <x:row r="17" ht="64"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x:v>
      </x:c>
      <x:c r="Q17" s="431" t="str">
        <x:v>Reuse existing CLI and persistence infrastructure.</x:v>
      </x:c>
      <x:c r="R17" s="431" t="str">
        <x:v>Do not add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P3.3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0.3695652173913043</x:v>
      </x:c>
      <x:c r="M24" s="683" t="n">
        <x:f>SUM(M6:M22)</x:f>
        <x:v>0</x:v>
      </x:c>
      <x:c r="N24" s="683" t="n">
        <x:f>SUM(N6:N22)</x:f>
        <x:v>29</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Fourth Drawing Check Ready for Review</x:v>
      </x:c>
      <x:c r="B1" s="686"/>
      <x:c r="C1" s="686"/>
      <x:c r="D1" s="686"/>
      <x:c r="E1" s="686"/>
      <x:c r="F1" s="686"/>
      <x:c r="G1" s="686"/>
      <x:c r="H1" s="686"/>
    </x:row>
    <x:row r="3">
      <x:c r="A3" s="687" t="str">
        <x:v>Key Metrics</x:v>
      </x:c>
      <x:c r="B3" s="687"/>
      <x:c r="C3" s="687"/>
      <x:c r="D3" s="687"/>
      <x:c r="F3" s="687" t="str">
        <x:v>Current Focus</x:v>
      </x:c>
      <x:c r="G3" s="687"/>
      <x:c r="H3" s="687"/>
    </x:row>
    <x:row r="4" ht="45" customHeight="1">
      <x:c r="A4" s="688" t="str">
        <x:v>Control Basis</x:v>
      </x:c>
      <x:c r="B4" s="692" t="str">
        <x:v>Gate and evidence based</x:v>
      </x:c>
      <x:c r="C4" s="691"/>
      <x:c r="D4" s="691"/>
      <x:c r="F4" s="696" t="str">
        <x:v>Active WBS</x:v>
      </x:c>
      <x:c r="G4" s="697" t="str">
        <x:v>P2.2 - Drawing file-reference implementation review</x:v>
      </x:c>
      <x:c r="H4" s="697"/>
    </x:row>
    <x:row r="5" ht="54" customHeight="1">
      <x:c r="A5" s="688" t="str">
        <x:v>Schedule Baseline</x:v>
      </x:c>
      <x:c r="B5" s="693" t="str">
        <x:v>Legacy only; not controlling</x:v>
      </x:c>
      <x:c r="C5" s="691"/>
      <x:c r="D5" s="691"/>
      <x:c r="F5" s="696" t="str">
        <x:v>Objective</x:v>
      </x:c>
      <x:c r="G5" s="697" t="str">
        <x:v>Review the fourth exact-pair drawing file-reference agreement check under AUTH-DWG-002.</x:v>
      </x:c>
      <x:c r="H5" s="697"/>
    </x:row>
    <x:row r="6" ht="54" customHeight="1">
      <x:c r="A6" s="688" t="str">
        <x:v>Time Tracking</x:v>
      </x:c>
      <x:c r="B6" s="693" t="str">
        <x:v>Waived prospectively</x:v>
      </x:c>
      <x:c r="C6" s="691"/>
      <x:c r="D6" s="691"/>
      <x:c r="F6" s="696" t="str">
        <x:v>Gate Status</x:v>
      </x:c>
      <x:c r="G6" s="697" t="str">
        <x:v>Definition integrated at main 12c45dd; implementation 74970c3 is on green draft PR #35.</x:v>
      </x:c>
      <x:c r="H6" s="697"/>
    </x:row>
    <x:row r="7" ht="54" customHeight="1">
      <x:c r="A7" s="688" t="str">
        <x:v>Current Gate</x:v>
      </x:c>
      <x:c r="B7" s="694" t="str">
        <x:v>P2.2 drawing file-reference implementation review</x:v>
      </x:c>
      <x:c r="C7" s="691"/>
      <x:c r="D7" s="691"/>
      <x:c r="F7" s="696" t="str">
        <x:v>Definition of Done</x:v>
      </x:c>
      <x:c r="G7" s="697" t="str">
        <x:v>Clean and wrong-valid behavior, four-locator evidence, stable identity/order, exact authority, and all regressions pass.</x:v>
      </x:c>
      <x:c r="H7" s="697"/>
    </x:row>
    <x:row r="8" ht="63" customHeight="1">
      <x:c r="A8" s="688" t="str">
        <x:v>Released Kernel</x:v>
      </x:c>
      <x:c r="B8" s="691" t="str">
        <x:v>v0.2.0 / commit 45336a2</x:v>
      </x:c>
      <x:c r="C8" s="691"/>
      <x:c r="D8" s="691"/>
      <x:c r="F8" s="696" t="str">
        <x:v>Immediate Next Action</x:v>
      </x:c>
      <x:c r="G8" s="697" t="str">
        <x:v>Accept, revise, or reject implementation 74970c3.</x:v>
      </x:c>
      <x:c r="H8" s="697"/>
    </x:row>
    <x:row r="9" ht="63" customHeight="1">
      <x:c r="A9" s="688" t="str">
        <x:v>Release Target</x:v>
      </x:c>
      <x:c r="B9" s="691" t="str">
        <x:v>v0.3.0</x:v>
      </x:c>
      <x:c r="C9" s="691"/>
      <x:c r="D9" s="691"/>
      <x:c r="F9" s="696" t="str">
        <x:v>Primary Risk</x:v>
      </x:c>
      <x:c r="G9" s="697" t="str">
        <x:v>Primary risk is treating source agreement as complete file assurance while declaration and reciprocity gaps remain.</x:v>
      </x:c>
      <x:c r="H9" s="697"/>
    </x:row>
    <x:row r="10" ht="63" customHeight="1">
      <x:c r="A10" s="688" t="str">
        <x:v>Baseline Test Count</x:v>
      </x:c>
      <x:c r="B10" s="691" t="n">
        <x:v>121</x:v>
      </x:c>
      <x:c r="C10" s="691"/>
      <x:c r="D10" s="691"/>
      <x:c r="F10" s="696" t="str">
        <x:v>Deferred</x:v>
      </x:c>
      <x:c r="G10" s="697" t="str">
        <x:v>Undeclared source references, manifest reciprocity, other relationships, routing, reports, CLI, held-out semantics, and deferred capabilities.</x:v>
      </x:c>
      <x:c r="H10" s="697"/>
    </x:row>
    <x:row r="11" ht="63" customHeight="1">
      <x:c r="A11" s="688" t="str">
        <x:v>Fixture Package Families</x:v>
      </x:c>
      <x:c r="B11" s="691" t="n">
        <x:v>2</x:v>
      </x:c>
      <x:c r="C11" s="691"/>
      <x:c r="D11" s="691"/>
      <x:c r="F11" s="696" t="str">
        <x:v>Data Boundary</x:v>
      </x:c>
      <x:c r="G11" s="697" t="str">
        <x:v>Outputs remain decision support for qualified human review; no engineering sign-off or autonomous release.</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Four checks implemented; fourth check review and integration pending</x:v>
      </x:c>
      <x:c r="D17" s="700" t="n">
        <x:f>AVERAGE('Pilot Gantt'!L11:L14)</x:f>
        <x:v>0.375</x:v>
      </x:c>
      <x:c r="E17" s="698" t="str">
        <x:v>Gate P2 - deterministic audit core and result-state routing</x:v>
      </x:c>
    </x:row>
    <x:row r="18" ht="36" customHeight="1">
      <x:c r="A18" s="698" t="str">
        <x:v>P3 Issue Register &amp; CLI</x:v>
      </x:c>
      <x:c r="B18" s="699" t="str">
        <x:v>Not Started</x:v>
      </x:c>
      <x:c r="C18" s="699" t="str">
        <x:v>Blocked by P2</x:v>
      </x:c>
      <x:c r="D18" s="700" t="n">
        <x:v>0</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Drawing file-reference implementation review</x:v>
      </x:c>
      <x:c r="D27" s="431" t="str">
        <x:v>Review the fourth ordered AUTH-DWG-002 exact-pair agreement check and its portable evidence.</x:v>
      </x:c>
      <x:c r="E27" s="431" t="str">
        <x:v>Ready for acceptance</x:v>
      </x:c>
      <x:c r="F27" s="431" t="str">
        <x:v>codex/p2.2-drawing-file-reference-implementation</x:v>
      </x:c>
      <x:c r="G27" s="431" t="str">
        <x:v>PR #34 main 12c45dd; implementation 74970c3; green draft PR #35; D-065-D-069; EV-062-EV-066; relationship 19; focused 45; full 216/1; validation 5/5; Ruff; coverage 85.47%; protected assets unchanged; adjacent declaration and reciprocity gaps remain open</x:v>
      </x:c>
      <x:c r="H27"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