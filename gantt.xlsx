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dfaa2e3b69e4597" /></Relationships>
</file>

<file path=xl/workbook.xml><?xml version="1.0" encoding="utf-8"?>
<x:workbook xmlns:x="http://schemas.openxmlformats.org/spreadsheetml/2006/main">
  <x:sheets>
    <x:sheet xmlns:r="http://schemas.openxmlformats.org/officeDocument/2006/relationships" name="Start Here" sheetId="1" r:id="R5845b8cff2a54ced"/>
    <x:sheet xmlns:r="http://schemas.openxmlformats.org/officeDocument/2006/relationships" name="Executive Gantt" sheetId="2" r:id="Rd14199717c2b42e4"/>
    <x:sheet xmlns:r="http://schemas.openxmlformats.org/officeDocument/2006/relationships" name="Detailed Gantt" sheetId="3" r:id="R2db174855d164647"/>
    <x:sheet xmlns:r="http://schemas.openxmlformats.org/officeDocument/2006/relationships" name="Weekly Control" sheetId="4" r:id="Rb18065dcccbb435a"/>
    <x:sheet xmlns:r="http://schemas.openxmlformats.org/officeDocument/2006/relationships" name="Phase Summary" sheetId="5" r:id="R9e6e99d3bc5f410c"/>
    <x:sheet xmlns:r="http://schemas.openxmlformats.org/officeDocument/2006/relationships" name="Assumptions &amp; Gates" sheetId="6" r:id="Rbd70446cb6c54f05"/>
    <x:sheet xmlns:r="http://schemas.openxmlformats.org/officeDocument/2006/relationships" name="Sources" sheetId="7" r:id="R5fa813bb7ea64648"/>
    <x:sheet xmlns:r="http://schemas.openxmlformats.org/officeDocument/2006/relationships" name="Legacy Baseline" sheetId="8" r:id="Re73941916ad74956"/>
    <x:sheet xmlns:r="http://schemas.openxmlformats.org/officeDocument/2006/relationships" name="Work Block Log" sheetId="9" r:id="R8a6dfb1e57254d53"/>
    <x:sheet xmlns:r="http://schemas.openxmlformats.org/officeDocument/2006/relationships" name="Decision Register" sheetId="10" r:id="Rf748a50642ee4e81"/>
    <x:sheet xmlns:r="http://schemas.openxmlformats.org/officeDocument/2006/relationships" name="Risks &amp; Issues" sheetId="11" r:id="R980e155115aa4875"/>
    <x:sheet xmlns:r="http://schemas.openxmlformats.org/officeDocument/2006/relationships" name="Evidence Register" sheetId="12" r:id="R1df1bdf42eda4fae"/>
    <x:sheet xmlns:r="http://schemas.openxmlformats.org/officeDocument/2006/relationships" name="Expansion Backlog" sheetId="13" r:id="R24ae3603a5874bd1"/>
    <x:sheet xmlns:r="http://schemas.openxmlformats.org/officeDocument/2006/relationships" name="AI Context" sheetId="14" r:id="R30e37c4fe34e4972"/>
    <x:sheet xmlns:r="http://schemas.openxmlformats.org/officeDocument/2006/relationships" name="MVP Dashboard" sheetId="15" r:id="Rea6579e9252544ed"/>
    <x:sheet xmlns:r="http://schemas.openxmlformats.org/officeDocument/2006/relationships" name="Product Vision" sheetId="16" r:id="R129f5bf3bd124bea"/>
    <x:sheet xmlns:r="http://schemas.openxmlformats.org/officeDocument/2006/relationships" name="Pilot Gantt" sheetId="17" r:id="R33481b5086fa4a53"/>
    <x:sheet xmlns:r="http://schemas.openxmlformats.org/officeDocument/2006/relationships" name="Pilot Dashboard" sheetId="18" r:id="R8b146ca31a18456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<x:sst xmlns:x="http://schemas.openxmlformats.org/spreadsheetml/2006/main">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</x:sst>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d523cdc0d6499a" /><Relationship Type="http://schemas.openxmlformats.org/officeDocument/2006/relationships/theme" Target="/xl/theme/theme1.xml" Id="R0d160b203a2b4788" /><Relationship Type="http://schemas.openxmlformats.org/officeDocument/2006/relationships/sharedStrings" Target="/xl/sharedStrings.xml" Id="R6fd78de30daa44ef" /><Relationship Type="http://schemas.openxmlformats.org/officeDocument/2006/relationships/worksheet" Target="/xl/worksheets/sheet1.xml" Id="R5845b8cff2a54ced" /><Relationship Type="http://schemas.openxmlformats.org/officeDocument/2006/relationships/worksheet" Target="/xl/worksheets/sheet2.xml" Id="Rd14199717c2b42e4" /><Relationship Type="http://schemas.openxmlformats.org/officeDocument/2006/relationships/worksheet" Target="/xl/worksheets/sheet3.xml" Id="R2db174855d164647" /><Relationship Type="http://schemas.openxmlformats.org/officeDocument/2006/relationships/worksheet" Target="/xl/worksheets/sheet4.xml" Id="Rb18065dcccbb435a" /><Relationship Type="http://schemas.openxmlformats.org/officeDocument/2006/relationships/worksheet" Target="/xl/worksheets/sheet5.xml" Id="R9e6e99d3bc5f410c" /><Relationship Type="http://schemas.openxmlformats.org/officeDocument/2006/relationships/worksheet" Target="/xl/worksheets/sheet6.xml" Id="Rbd70446cb6c54f05" /><Relationship Type="http://schemas.openxmlformats.org/officeDocument/2006/relationships/worksheet" Target="/xl/worksheets/sheet7.xml" Id="R5fa813bb7ea64648" /><Relationship Type="http://schemas.openxmlformats.org/officeDocument/2006/relationships/worksheet" Target="/xl/worksheets/sheet8.xml" Id="Re73941916ad74956" /><Relationship Type="http://schemas.openxmlformats.org/officeDocument/2006/relationships/worksheet" Target="/xl/worksheets/sheet9.xml" Id="R8a6dfb1e57254d53" /><Relationship Type="http://schemas.openxmlformats.org/officeDocument/2006/relationships/worksheet" Target="/xl/worksheets/sheet10.xml" Id="Rf748a50642ee4e81" /><Relationship Type="http://schemas.openxmlformats.org/officeDocument/2006/relationships/worksheet" Target="/xl/worksheets/sheet11.xml" Id="R980e155115aa4875" /><Relationship Type="http://schemas.openxmlformats.org/officeDocument/2006/relationships/worksheet" Target="/xl/worksheets/sheet12.xml" Id="R1df1bdf42eda4fae" /><Relationship Type="http://schemas.openxmlformats.org/officeDocument/2006/relationships/worksheet" Target="/xl/worksheets/sheet13.xml" Id="R24ae3603a5874bd1" /><Relationship Type="http://schemas.openxmlformats.org/officeDocument/2006/relationships/worksheet" Target="/xl/worksheets/sheet14.xml" Id="R30e37c4fe34e4972" /><Relationship Type="http://schemas.openxmlformats.org/officeDocument/2006/relationships/worksheet" Target="/xl/worksheets/sheet15.xml" Id="Rea6579e9252544ed" /><Relationship Type="http://schemas.openxmlformats.org/officeDocument/2006/relationships/worksheet" Target="/xl/worksheets/sheet16.xml" Id="R129f5bf3bd124bea" /><Relationship Type="http://schemas.openxmlformats.org/officeDocument/2006/relationships/worksheet" Target="/xl/worksheets/sheet17.xml" Id="R33481b5086fa4a53" /><Relationship Type="http://schemas.openxmlformats.org/officeDocument/2006/relationships/worksheet" Target="/xl/worksheets/sheet18.xml" Id="R8b146ca31a184561" /></Relationships>
</file>

<file path=xl/drawings/_rels/drawing1.xml.rels>&#65279;<?xml version="1.0" encoding="utf-8"?><Relationships xmlns="http://schemas.openxmlformats.org/package/2006/relationships"><Relationship Type="http://schemas.openxmlformats.org/officeDocument/2006/relationships/chart" Target="/xl/drawings/charts/chart1.xml" Id="Rd7d9ebb84d8c47a3" /></Relationships>
</file>

<file path=xl/drawings/_rels/drawing2.xml.rels>&#65279;<?xml version="1.0" encoding="utf-8"?><Relationships xmlns="http://schemas.openxmlformats.org/package/2006/relationships"><Relationship Type="http://schemas.openxmlformats.org/officeDocument/2006/relationships/chart" Target="/xl/drawings/charts/chart2.xml" Id="Rfd5c7507f55c405b" /></Relationships>
</file>

<file path=xl/drawings/_rels/drawing3.xml.rels>&#65279;<?xml version="1.0" encoding="utf-8"?><Relationships xmlns="http://schemas.openxmlformats.org/package/2006/relationships"><Relationship Type="http://schemas.openxmlformats.org/officeDocument/2006/relationships/chart" Target="/xl/drawings/charts/chart3.xml" Id="R813aa6ddd7814bc4"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7d9ebb84d8c47a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5c7507f55c405b"/>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3aa6ddd7814bc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ad5f3eedb23d47bb" /></Relationships>
</file>

<file path=xl/worksheets/_rels/sheet5.xml.rels>&#65279;<?xml version="1.0" encoding="utf-8"?><Relationships xmlns="http://schemas.openxmlformats.org/package/2006/relationships"><Relationship Type="http://schemas.openxmlformats.org/officeDocument/2006/relationships/drawing" Target="/xl/drawings/drawing2.xml" Id="R52a422a3275442cc" /></Relationships>
</file>

<file path=xl/worksheets/_rels/sheet15.xml.rels>&#65279;<?xml version="1.0" encoding="utf-8"?><Relationships xmlns="http://schemas.openxmlformats.org/package/2006/relationships"><Relationship Type="http://schemas.openxmlformats.org/officeDocument/2006/relationships/drawing" Target="/xl/drawings/drawing3.xml" Id="Ra8c42a5dd0cc4fd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P3.2 release-readiness implementation ready for review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P3.2 release-readiness summary implementation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P3.2 - Review implementation 7536bea and inspected fault summary</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Accept and integrate P3.2 before any report publishing or P3.3 CLI work</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P3.2 implementation 7536bea is ready for review on codex/p3.2-release-readiness-summary from accepted predecessor main 3466398. It shares strict package-result loading with P3.1 and renders one in-memory Markdown view using only stored package/run identity, package state, release hold, blocking states, gate/check status counts, finding counts by state, output names, the exact engineering-review limitation, and the required qualified-human decision. Verification: 10 focused readiness tests; 36 focused package-result/report tests; full 258 passed / 1 expected Windows symlink skip; repository validation 5/5; Ruff passed; coverage 86.75%. An inspected drawing-revision conflict exactly matches the immutable result and contains no absolute path or approval claim. P3.2 acceptance and integration remain required. Publishing, P3.3 CLI, P2.3 expansion, semantic held-out execution, protected changes,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ad5f3eedb23d47bb"/>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52a422a3275442c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P3.2 implementation ready for explicit review</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P3.2 now provides the concise readiness view. Acceptance, integration, report publishing, audit-package CLI, broad P2.3 relationships, and semantic held-out execution remain outstanding.</x:v>
      </x:c>
      <x:c r="E7" s="765" t="str">
        <x:v>Product interpretation</x:v>
      </x:c>
      <x:c r="F7" s="431" t="str">
        <x:v>Successful kernel; not yet a complete economically useful workflow.</x:v>
      </x:c>
      <x:c r="G7" s="765" t="str">
        <x:v>Response</x:v>
      </x:c>
      <x:c r="H7" s="431" t="str">
        <x:v>Review the stored-result counts, human-decision boundary, strict failure behavior, and inspected revision-conflict summary.</x:v>
      </x:c>
    </x:row>
    <x:row r="8" ht="99" hidden="0" customHeight="1">
      <x:c r="A8" s="765" t="str">
        <x:v>Immediate next action</x:v>
      </x:c>
      <x:c r="B8" s="431" t="str">
        <x:v>Review implementation 7536bea and evidence EV-078. Accept and integrate P3.2 before authorizing P3.3.</x:v>
      </x:c>
      <x:c r="C8" s="765" t="str">
        <x:v>Selected vertical</x:v>
      </x:c>
      <x:c r="D8" s="431" t="str">
        <x:v>Eight gates -&gt; five checks -&gt; canonical result -&gt; accepted P3.1 issue views -&gt; verified P3.2 readiness view.</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P3.2 implementation 7536bea is ready for review from accepted predecessor main 3466398. It uses a shared strict result-input loader and one pure in-memory Markdown renderer. Proof: readiness tests 10; focused package-result/report 36; full 258/1; validation 5/5; Ruff; coverage 86.75%. The inspected revision-conflict result and summary agree on package/run identity, automatic_fail state, release hold true, automatic_fail blocking state, gates 8/0/0, relationships 4/1/0, finding counts, package_result.json output, exact engineering-review limitation, and required qualified-human decision. No absolute path or approval claim appears. P3.2 acceptance and integration remain required. P3.3, report publishing, P2.3, held-out semantics, protected changes,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8c42a5dd0cc4fd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In Progress</x:v>
      </x:c>
      <x:c r="L16" s="664" t="n">
        <x:v>0.9</x:v>
      </x:c>
      <x:c r="M16" s="662" t="n">
        <x:f>SUMIF('Work Block Log'!$E$5:$E$200,A16,'Work Block Log'!$F$5:$F$200)</x:f>
        <x:v>0</x:v>
      </x:c>
      <x:c r="N16" s="662" t="n">
        <x:f>MAX(F16*(1-L16),0)</x:f>
        <x:v>0.19999999999999996</x:v>
      </x:c>
      <x:c r="O16" s="662" t="n">
        <x:f>M16-F16</x:f>
        <x:v>-2</x:v>
      </x:c>
      <x:c r="P16" s="431" t="str">
        <x:v>implementation 7536bea; branch codex/p3.2-release-readiness-summary; accepted predecessor main 3466398; D-081; EV-078; readiness 10; focused result/report 36; full 258/1; validation 5/5; Ruff; coverage 86.75%; inspected fault summary; IMP-012</x:v>
      </x:c>
      <x:c r="Q16" s="431" t="str">
        <x:v>Review and accept the pure P3.2 Markdown view, then integrate it before authorizing P3.3 report publishing and audit-package CLI work.</x:v>
      </x:c>
      <x:c r="R16" s="431" t="str">
        <x:v>Ready for review, not accepted. No report publishing, CLI dispatch, P2.3 relationships, semantic held-out execution, protected changes, or deferred capabilities.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0.6043478260869566</x:v>
      </x:c>
      <x:c r="M24" s="683" t="n">
        <x:f>SUM(M6:M22)</x:f>
        <x:v>0</x:v>
      </x:c>
      <x:c r="N24" s="683" t="n">
        <x:f>SUM(N6:N22)</x:f>
        <x:v>18.2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P3.2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P3.2 - Review pure Markdown readiness view implementation 7536bea</x:v>
      </x:c>
      <x:c r="H4" s="697"/>
    </x:row>
    <x:row r="5" ht="72" customHeight="1">
      <x:c r="A5" s="688" t="str">
        <x:v>Schedule Baseline</x:v>
      </x:c>
      <x:c r="B5" s="693" t="str">
        <x:v>Legacy only; not controlling</x:v>
      </x:c>
      <x:c r="C5" s="691"/>
      <x:c r="D5" s="691"/>
      <x:c r="F5" s="696" t="str">
        <x:v>Objective</x:v>
      </x:c>
      <x:c r="G5" s="697" t="str">
        <x:v>Confirm the human summary is useful while preserving package_result.json as the sole source of audit meaning.</x:v>
      </x:c>
      <x:c r="H5" s="697"/>
    </x:row>
    <x:row r="6" ht="63" customHeight="1">
      <x:c r="A6" s="688" t="str">
        <x:v>Time Tracking</x:v>
      </x:c>
      <x:c r="B6" s="693" t="str">
        <x:v>Waived prospectively</x:v>
      </x:c>
      <x:c r="C6" s="691"/>
      <x:c r="D6" s="691"/>
      <x:c r="F6" s="696" t="str">
        <x:v>Gate Status</x:v>
      </x:c>
      <x:c r="G6" s="697" t="str">
        <x:v>P3.1 is accepted; P3.2 implementation and evidence are ready for explicit review.</x:v>
      </x:c>
      <x:c r="H6" s="697"/>
    </x:row>
    <x:row r="7" ht="81" customHeight="1">
      <x:c r="A7" s="688" t="str">
        <x:v>Current Gate</x:v>
      </x:c>
      <x:c r="B7" s="694" t="str">
        <x:v>P3.2 release-readiness implementation review</x:v>
      </x:c>
      <x:c r="C7" s="691"/>
      <x:c r="D7" s="691"/>
      <x:c r="F7" s="696" t="str">
        <x:v>Definition of Done</x:v>
      </x:c>
      <x:c r="G7" s="697" t="str">
        <x:v>Identity, stored state/hold, blocking states, outcome counts, finding counts, outputs, limitation, and human-decision requirement are visible.</x:v>
      </x:c>
      <x:c r="H7" s="697"/>
    </x:row>
    <x:row r="8" ht="63" customHeight="1">
      <x:c r="A8" s="688" t="str">
        <x:v>Released Kernel</x:v>
      </x:c>
      <x:c r="B8" s="691" t="str">
        <x:v>v0.2.0 / commit 45336a2</x:v>
      </x:c>
      <x:c r="C8" s="691"/>
      <x:c r="D8" s="691"/>
      <x:c r="F8" s="696" t="str">
        <x:v>Immediate Next Action</x:v>
      </x:c>
      <x:c r="G8" s="697" t="str">
        <x:v>Review the inspected automatic-fail summary and accept or reject P3.2.</x:v>
      </x:c>
      <x:c r="H8" s="697"/>
    </x:row>
    <x:row r="9" ht="72" customHeight="1">
      <x:c r="A9" s="688" t="str">
        <x:v>Release Target</x:v>
      </x:c>
      <x:c r="B9" s="691" t="str">
        <x:v>v0.3.0</x:v>
      </x:c>
      <x:c r="C9" s="691"/>
      <x:c r="D9" s="691"/>
      <x:c r="F9" s="696" t="str">
        <x:v>Primary Risk</x:v>
      </x:c>
      <x:c r="G9" s="697" t="str">
        <x:v>Primary risk remains wording that implies approval or a count/state silently recomputed outside the canonical result.</x:v>
      </x:c>
      <x:c r="H9" s="697"/>
    </x:row>
    <x:row r="10" ht="81" customHeight="1">
      <x:c r="A10" s="688" t="str">
        <x:v>Baseline Test Count</x:v>
      </x:c>
      <x:c r="B10" s="691" t="n">
        <x:v>121</x:v>
      </x:c>
      <x:c r="C10" s="691"/>
      <x:c r="D10" s="691"/>
      <x:c r="F10" s="696" t="str">
        <x:v>Deferred</x:v>
      </x:c>
      <x:c r="G10" s="697" t="str">
        <x:v>P3.2 is not yet integrated. Publishing, CLI, P2.3 expansion, held-out semantics, protected changes, and deferred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accepted; P2.3 intentionally sequenced later</x:v>
      </x:c>
      <x:c r="D17" s="700" t="n">
        <x:v>0.75</x:v>
      </x:c>
      <x:c r="E17" s="698" t="str">
        <x:v>Gate P2 - deterministic audit core and result-state routing</x:v>
      </x:c>
    </x:row>
    <x:row r="18" ht="36" customHeight="1">
      <x:c r="A18" s="698" t="str">
        <x:v>P3 Issue Register &amp; CLI</x:v>
      </x:c>
      <x:c r="B18" s="699" t="str">
        <x:v>In Progress</x:v>
      </x:c>
      <x:c r="C18" s="699" t="str">
        <x:v>P3.2 implementation ready for review</x:v>
      </x:c>
      <x:c r="D18" s="700" t="n">
        <x:v>0.6333333333</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Ready for Review</x:v>
      </x:c>
      <x:c r="F30" s="431" t="str">
        <x:v>codex/p3.2-release-readiness-summary</x:v>
      </x:c>
      <x:c r="G30" s="431" t="str">
        <x:v>implementation 7536bea; accepted predecessor main 3466398; D-081; EV-078; readiness 10; focused 36; full 258/1; validation 5/5; Ruff; coverage 86.75%; inspected fault summary</x:v>
      </x:c>
      <x:c r="H30"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