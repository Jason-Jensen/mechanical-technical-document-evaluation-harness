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1824923d5345b3" /></Relationships>
</file>

<file path=xl/workbook.xml><?xml version="1.0" encoding="utf-8"?>
<x:workbook xmlns:x="http://schemas.openxmlformats.org/spreadsheetml/2006/main">
  <x:sheets>
    <x:sheet xmlns:r="http://schemas.openxmlformats.org/officeDocument/2006/relationships" name="Start Here" sheetId="1" r:id="Ra6c7200dff634744"/>
    <x:sheet xmlns:r="http://schemas.openxmlformats.org/officeDocument/2006/relationships" name="Executive Gantt" sheetId="2" r:id="Rc91913e123544ceb"/>
    <x:sheet xmlns:r="http://schemas.openxmlformats.org/officeDocument/2006/relationships" name="Detailed Gantt" sheetId="3" r:id="Rdfd0b4a002684452"/>
    <x:sheet xmlns:r="http://schemas.openxmlformats.org/officeDocument/2006/relationships" name="Weekly Control" sheetId="4" r:id="Radb4563805934e1f"/>
    <x:sheet xmlns:r="http://schemas.openxmlformats.org/officeDocument/2006/relationships" name="Phase Summary" sheetId="5" r:id="R9123af92971140a0"/>
    <x:sheet xmlns:r="http://schemas.openxmlformats.org/officeDocument/2006/relationships" name="Assumptions &amp; Gates" sheetId="6" r:id="R96288c31d49a4e3e"/>
    <x:sheet xmlns:r="http://schemas.openxmlformats.org/officeDocument/2006/relationships" name="Sources" sheetId="7" r:id="R7ad512a4e08347a9"/>
    <x:sheet xmlns:r="http://schemas.openxmlformats.org/officeDocument/2006/relationships" name="Legacy Baseline" sheetId="8" r:id="R88123e04df3e4435"/>
    <x:sheet xmlns:r="http://schemas.openxmlformats.org/officeDocument/2006/relationships" name="Work Block Log" sheetId="9" r:id="R98e0782c4ed64bae"/>
    <x:sheet xmlns:r="http://schemas.openxmlformats.org/officeDocument/2006/relationships" name="Decision Register" sheetId="10" r:id="R439118563b6e4c82"/>
    <x:sheet xmlns:r="http://schemas.openxmlformats.org/officeDocument/2006/relationships" name="Risks &amp; Issues" sheetId="11" r:id="R07fd8713e0f04d19"/>
    <x:sheet xmlns:r="http://schemas.openxmlformats.org/officeDocument/2006/relationships" name="Evidence Register" sheetId="12" r:id="R03d963fd023746dd"/>
    <x:sheet xmlns:r="http://schemas.openxmlformats.org/officeDocument/2006/relationships" name="Expansion Backlog" sheetId="13" r:id="Ra9638f1c9cd0408b"/>
    <x:sheet xmlns:r="http://schemas.openxmlformats.org/officeDocument/2006/relationships" name="AI Context" sheetId="14" r:id="Re16be4dc11264322"/>
    <x:sheet xmlns:r="http://schemas.openxmlformats.org/officeDocument/2006/relationships" name="MVP Dashboard" sheetId="15" r:id="R7ea99bfafb4c4fe4"/>
    <x:sheet xmlns:r="http://schemas.openxmlformats.org/officeDocument/2006/relationships" name="Product Vision" sheetId="16" r:id="Rd63cad9d28144933"/>
    <x:sheet xmlns:r="http://schemas.openxmlformats.org/officeDocument/2006/relationships" name="Pilot Gantt" sheetId="17" r:id="Rd37c6605c1ec4ab0"/>
    <x:sheet xmlns:r="http://schemas.openxmlformats.org/officeDocument/2006/relationships" name="Pilot Dashboard" sheetId="18" r:id="R1cfc35a7e5b142c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<x:sst xmlns:x="http://schemas.openxmlformats.org/spreadsheetml/2006/main">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</x:sst>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b366901804b447d" /><Relationship Type="http://schemas.openxmlformats.org/officeDocument/2006/relationships/theme" Target="/xl/theme/theme1.xml" Id="R10c3ecdbe38649db" /><Relationship Type="http://schemas.openxmlformats.org/officeDocument/2006/relationships/sharedStrings" Target="/xl/sharedStrings.xml" Id="Rd429e41afb574677" /><Relationship Type="http://schemas.openxmlformats.org/officeDocument/2006/relationships/worksheet" Target="/xl/worksheets/sheet1.xml" Id="Ra6c7200dff634744" /><Relationship Type="http://schemas.openxmlformats.org/officeDocument/2006/relationships/worksheet" Target="/xl/worksheets/sheet2.xml" Id="Rc91913e123544ceb" /><Relationship Type="http://schemas.openxmlformats.org/officeDocument/2006/relationships/worksheet" Target="/xl/worksheets/sheet3.xml" Id="Rdfd0b4a002684452" /><Relationship Type="http://schemas.openxmlformats.org/officeDocument/2006/relationships/worksheet" Target="/xl/worksheets/sheet4.xml" Id="Radb4563805934e1f" /><Relationship Type="http://schemas.openxmlformats.org/officeDocument/2006/relationships/worksheet" Target="/xl/worksheets/sheet5.xml" Id="R9123af92971140a0" /><Relationship Type="http://schemas.openxmlformats.org/officeDocument/2006/relationships/worksheet" Target="/xl/worksheets/sheet6.xml" Id="R96288c31d49a4e3e" /><Relationship Type="http://schemas.openxmlformats.org/officeDocument/2006/relationships/worksheet" Target="/xl/worksheets/sheet7.xml" Id="R7ad512a4e08347a9" /><Relationship Type="http://schemas.openxmlformats.org/officeDocument/2006/relationships/worksheet" Target="/xl/worksheets/sheet8.xml" Id="R88123e04df3e4435" /><Relationship Type="http://schemas.openxmlformats.org/officeDocument/2006/relationships/worksheet" Target="/xl/worksheets/sheet9.xml" Id="R98e0782c4ed64bae" /><Relationship Type="http://schemas.openxmlformats.org/officeDocument/2006/relationships/worksheet" Target="/xl/worksheets/sheet10.xml" Id="R439118563b6e4c82" /><Relationship Type="http://schemas.openxmlformats.org/officeDocument/2006/relationships/worksheet" Target="/xl/worksheets/sheet11.xml" Id="R07fd8713e0f04d19" /><Relationship Type="http://schemas.openxmlformats.org/officeDocument/2006/relationships/worksheet" Target="/xl/worksheets/sheet12.xml" Id="R03d963fd023746dd" /><Relationship Type="http://schemas.openxmlformats.org/officeDocument/2006/relationships/worksheet" Target="/xl/worksheets/sheet13.xml" Id="Ra9638f1c9cd0408b" /><Relationship Type="http://schemas.openxmlformats.org/officeDocument/2006/relationships/worksheet" Target="/xl/worksheets/sheet14.xml" Id="Re16be4dc11264322" /><Relationship Type="http://schemas.openxmlformats.org/officeDocument/2006/relationships/worksheet" Target="/xl/worksheets/sheet15.xml" Id="R7ea99bfafb4c4fe4" /><Relationship Type="http://schemas.openxmlformats.org/officeDocument/2006/relationships/worksheet" Target="/xl/worksheets/sheet16.xml" Id="Rd63cad9d28144933" /><Relationship Type="http://schemas.openxmlformats.org/officeDocument/2006/relationships/worksheet" Target="/xl/worksheets/sheet17.xml" Id="Rd37c6605c1ec4ab0" /><Relationship Type="http://schemas.openxmlformats.org/officeDocument/2006/relationships/worksheet" Target="/xl/worksheets/sheet18.xml" Id="R1cfc35a7e5b142c6" /></Relationships>
</file>

<file path=xl/drawings/_rels/drawing1.xml.rels>&#65279;<?xml version="1.0" encoding="utf-8"?><Relationships xmlns="http://schemas.openxmlformats.org/package/2006/relationships"><Relationship Type="http://schemas.openxmlformats.org/officeDocument/2006/relationships/chart" Target="/xl/drawings/charts/chart1.xml" Id="R75e92a21a1444381" /></Relationships>
</file>

<file path=xl/drawings/_rels/drawing2.xml.rels>&#65279;<?xml version="1.0" encoding="utf-8"?><Relationships xmlns="http://schemas.openxmlformats.org/package/2006/relationships"><Relationship Type="http://schemas.openxmlformats.org/officeDocument/2006/relationships/chart" Target="/xl/drawings/charts/chart2.xml" Id="R7d47fab7d88548bc" /></Relationships>
</file>

<file path=xl/drawings/_rels/drawing3.xml.rels>&#65279;<?xml version="1.0" encoding="utf-8"?><Relationships xmlns="http://schemas.openxmlformats.org/package/2006/relationships"><Relationship Type="http://schemas.openxmlformats.org/officeDocument/2006/relationships/chart" Target="/xl/drawings/charts/chart3.xml" Id="R0b09fd278d3f4d65"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5e92a21a144438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d47fab7d88548b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b09fd278d3f4d65"/>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b1dc5711a7e40db" /></Relationships>
</file>

<file path=xl/worksheets/_rels/sheet5.xml.rels>&#65279;<?xml version="1.0" encoding="utf-8"?><Relationships xmlns="http://schemas.openxmlformats.org/package/2006/relationships"><Relationship Type="http://schemas.openxmlformats.org/officeDocument/2006/relationships/drawing" Target="/xl/drawings/drawing2.xml" Id="R764e84470985448f" /></Relationships>
</file>

<file path=xl/worksheets/_rels/sheet15.xml.rels>&#65279;<?xml version="1.0" encoding="utf-8"?><Relationships xmlns="http://schemas.openxmlformats.org/package/2006/relationships"><Relationship Type="http://schemas.openxmlformats.org/officeDocument/2006/relationships/drawing" Target="/xl/drawings/drawing3.xml" Id="R388e3dcdce26460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v2.7 - P1.3 complete and awaiting acceptance 2026-07-16</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P1.3 complete and verified; pre-tuning freeze activation pending user acceptance</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P1.3 - Review and accept held-out freeze candidate</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P2.1 - Package gates (blocked pending P1.3 acceptance)</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90" hidden="0" customHeight="1">
      <x:c r="A28" s="704" t="str">
        <x:v>P1.3 is complete and verified: one clean held-out package, seven controlled variants, exact protected oracles, reproducible hashes, and freeze controls. User acceptance is pending; P2 remains blocked.</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b1dc5711a7e40db"/>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764e84470985448f"/>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x:c r="A47" s="78"/>
      <x:c r="B47" s="78"/>
      <x:c r="C47" s="78"/>
      <x:c r="D47" s="78"/>
      <x:c r="E47" s="78"/>
      <x:c r="F47" s="78"/>
      <x:c r="G47" s="78"/>
      <x:c r="H47" s="78"/>
    </x:row>
    <x:row r="48">
      <x:c r="A48" s="78"/>
      <x:c r="B48" s="78"/>
      <x:c r="C48" s="78"/>
      <x:c r="D48" s="78"/>
      <x:c r="E48" s="78"/>
      <x:c r="F48" s="78"/>
      <x:c r="G48" s="78"/>
      <x:c r="H48" s="78"/>
    </x:row>
    <x:row r="49">
      <x:c r="A49" s="78"/>
      <x:c r="B49" s="78"/>
      <x:c r="C49" s="78"/>
      <x:c r="D49" s="78"/>
      <x:c r="E49" s="78"/>
      <x:c r="F49" s="78"/>
      <x:c r="G49" s="78"/>
      <x:c r="H49" s="78"/>
    </x:row>
    <x:row r="50">
      <x:c r="A50" s="78"/>
      <x:c r="B50" s="78"/>
      <x:c r="C50" s="78"/>
      <x:c r="D50" s="78"/>
      <x:c r="E50" s="78"/>
      <x:c r="F50" s="78"/>
      <x:c r="G50" s="78"/>
      <x:c r="H50" s="78"/>
    </x:row>
    <x:row r="51">
      <x:c r="A51" s="78"/>
      <x:c r="B51" s="78"/>
      <x:c r="C51" s="78"/>
      <x:c r="D51" s="78"/>
      <x:c r="E51" s="78"/>
      <x:c r="F51" s="78"/>
      <x:c r="G51" s="78"/>
      <x:c r="H51" s="78"/>
    </x:row>
    <x:row r="52">
      <x:c r="A52" s="78"/>
      <x:c r="B52" s="78"/>
      <x:c r="C52" s="78"/>
      <x:c r="D52" s="78"/>
      <x:c r="E52" s="78"/>
      <x:c r="F52" s="78"/>
      <x:c r="G52" s="78"/>
      <x:c r="H52" s="78"/>
    </x:row>
    <x:row r="53">
      <x:c r="A53" s="78"/>
      <x:c r="B53" s="78"/>
      <x:c r="C53" s="78"/>
      <x:c r="D53" s="78"/>
      <x:c r="E53" s="78"/>
      <x:c r="F53" s="78"/>
      <x:c r="G53" s="78"/>
      <x:c r="H53" s="78"/>
    </x:row>
    <x:row r="54">
      <x:c r="A54" s="78"/>
      <x:c r="B54" s="78"/>
      <x:c r="C54" s="78"/>
      <x:c r="D54" s="78"/>
      <x:c r="E54" s="78"/>
      <x:c r="F54" s="78"/>
      <x:c r="G54" s="78"/>
      <x:c r="H54" s="78"/>
    </x:row>
    <x:row r="55">
      <x:c r="A55" s="78"/>
      <x:c r="B55" s="78"/>
      <x:c r="C55" s="78"/>
      <x:c r="D55" s="78"/>
      <x:c r="E55" s="78"/>
      <x:c r="F55" s="78"/>
      <x:c r="G55" s="78"/>
      <x:c r="H55" s="78"/>
    </x:row>
    <x:row r="56">
      <x:c r="A56" s="78"/>
      <x:c r="B56" s="78"/>
      <x:c r="C56" s="78"/>
      <x:c r="D56" s="78"/>
      <x:c r="E56" s="78"/>
      <x:c r="F56" s="78"/>
      <x:c r="G56" s="78"/>
      <x:c r="H56" s="78"/>
    </x:row>
    <x:row r="57">
      <x:c r="A57" s="78"/>
      <x:c r="B57" s="78"/>
      <x:c r="C57" s="78"/>
      <x:c r="D57" s="78"/>
      <x:c r="E57" s="78"/>
      <x:c r="F57" s="78"/>
      <x:c r="G57" s="78"/>
      <x:c r="H57" s="78"/>
    </x:row>
    <x:row r="58">
      <x:c r="A58" s="78"/>
      <x:c r="B58" s="78"/>
      <x:c r="C58" s="78"/>
      <x:c r="D58" s="78"/>
      <x:c r="E58" s="78"/>
      <x:c r="F58" s="78"/>
      <x:c r="G58" s="78"/>
      <x:c r="H58" s="78"/>
    </x:row>
    <x:row r="59">
      <x:c r="A59" s="78"/>
      <x:c r="B59" s="78"/>
      <x:c r="C59" s="78"/>
      <x:c r="D59" s="78"/>
      <x:c r="E59" s="78"/>
      <x:c r="F59" s="78"/>
      <x:c r="G59" s="78"/>
      <x:c r="H59" s="78"/>
    </x:row>
    <x:row r="60">
      <x:c r="A60" s="78"/>
      <x:c r="B60" s="78"/>
      <x:c r="C60" s="78"/>
      <x:c r="D60" s="78"/>
      <x:c r="E60" s="78"/>
      <x:c r="F60" s="78"/>
      <x:c r="G60" s="78"/>
      <x:c r="H60" s="78"/>
    </x:row>
    <x:row r="61">
      <x:c r="A61" s="78"/>
      <x:c r="B61" s="78"/>
      <x:c r="C61" s="78"/>
      <x:c r="D61" s="78"/>
      <x:c r="E61" s="78"/>
      <x:c r="F61" s="78"/>
      <x:c r="G61" s="78"/>
      <x:c r="H61" s="78"/>
    </x:row>
    <x:row r="62">
      <x:c r="A62" s="78"/>
      <x:c r="B62" s="78"/>
      <x:c r="C62" s="78"/>
      <x:c r="D62" s="78"/>
      <x:c r="E62" s="78"/>
      <x:c r="F62" s="78"/>
      <x:c r="G62" s="78"/>
      <x:c r="H62" s="78"/>
    </x:row>
    <x:row r="63">
      <x:c r="A63" s="78"/>
      <x:c r="B63" s="78"/>
      <x:c r="C63" s="78"/>
      <x:c r="D63" s="78"/>
      <x:c r="E63" s="78"/>
      <x:c r="F63" s="78"/>
      <x:c r="G63" s="78"/>
      <x:c r="H63" s="78"/>
    </x:row>
    <x:row r="64">
      <x:c r="A64" s="78"/>
      <x:c r="B64" s="78"/>
      <x:c r="C64" s="78"/>
      <x:c r="D64" s="78"/>
      <x:c r="E64" s="78"/>
      <x:c r="F64" s="78"/>
      <x:c r="G64" s="78"/>
      <x:c r="H64" s="78"/>
    </x:row>
    <x:row r="65">
      <x:c r="A65" s="78"/>
      <x:c r="B65" s="78"/>
      <x:c r="C65" s="78"/>
      <x:c r="D65" s="78"/>
      <x:c r="E65" s="78"/>
      <x:c r="F65" s="78"/>
      <x:c r="G65" s="78"/>
      <x:c r="H65" s="78"/>
    </x:row>
    <x:row r="66">
      <x:c r="A66" s="78"/>
      <x:c r="B66" s="78"/>
      <x:c r="C66" s="78"/>
      <x:c r="D66" s="78"/>
      <x:c r="E66" s="78"/>
      <x:c r="F66" s="78"/>
      <x:c r="G66" s="78"/>
      <x:c r="H66" s="78"/>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x:c r="A21" s="78"/>
      <x:c r="B21" s="78"/>
      <x:c r="C21" s="78"/>
      <x:c r="D21" s="78"/>
      <x:c r="E21" s="78"/>
      <x:c r="F21" s="78"/>
      <x:c r="G21" s="78"/>
      <x:c r="H21" s="78"/>
      <x:c r="I21" s="78"/>
      <x:c r="J21" s="78"/>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7" t="str">
        <x:v>2026-07-16</x:v>
      </x:c>
      <x:c r="C5" s="449" t="str">
        <x:v>Control baseline</x:v>
      </x:c>
      <x:c r="D5" s="447" t="str">
        <x:v>Program v2.7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P1.3 - acceptance pending</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Manifest boundary, accepted clean development fixture, and verified held-out freeze candidate exist. Still missing P1.3 acceptance, source adapters, package gates, relationship evaluation, result routing, issue register, release summary, and unseen benchmark execution evidence.</x:v>
      </x:c>
      <x:c r="E7" s="449" t="str">
        <x:v>Product interpretation</x:v>
      </x:c>
      <x:c r="F7" s="447" t="str">
        <x:v>Successful kernel; not yet a complete economically useful workflow.</x:v>
      </x:c>
      <x:c r="G7" s="449" t="str">
        <x:v>Response</x:v>
      </x:c>
      <x:c r="H7" s="447" t="str">
        <x:v>Build one vertical end-to-end without restarting the repository.</x:v>
      </x:c>
    </x:row>
    <x:row r="8" ht="54" hidden="0" customHeight="1">
      <x:c r="A8" s="449" t="str">
        <x:v>Immediate next action</x:v>
      </x:c>
      <x:c r="B8" s="447" t="str">
        <x:v>Review and accept the verified P1.3 held-out freeze candidate. Acceptance activates the recorded pre-tuning freeze; keep all P2 evaluator behavior blocked until then.</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56"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is complete and verified. Stop for user acceptance; defer P2 and every out-of-scope capability.</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99" hidden="0" customHeight="1">
      <x:c r="A41" s="604" t="str">
        <x:v>Immediate implication</x:v>
      </x:c>
      <x:c r="B41" s="605"/>
      <x:c r="C41" s="606" t="str">
        <x:v>P1.3 produced FAM-HO-INSTRUMENT-AIR-001: one clean package and seven controlled variants, 11 documents, 31 relationship goldens, eight seeded fault records, seven release-blocking variants, evaluator-uncertainty coverage, and compound state precedence. Protected exact oracles, per-scenario inventories, material-distinction evidence, contamination controls, and freeze-set hash 428f8c31f35e5c4f20a345621b937628c686576617bb5348db60db4d90e25884 are verified. Focused tests: 50 passed, 1 expected Windows symlink skip. Full suite: 170 passed, 1 skip. The family is self-authored pre-tuning, not independently blind. P2 remains blocked pending user acceptance.</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388e3dcdce26460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35"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In Progress</x:v>
      </x:c>
      <x:c r="L10" s="664" t="n">
        <x:v>1</x:v>
      </x:c>
      <x:c r="M10" s="662" t="n">
        <x:f>SUMIF('Work Block Log'!$E$5:$E$200,A10,'Work Block Log'!$F$5:$F$200)</x:f>
        <x:v>0</x:v>
      </x:c>
      <x:c r="N10" s="662" t="n">
        <x:f>MAX(F10*(1-L10),0)</x:f>
        <x:v>0</x:v>
      </x:c>
      <x:c r="O10" s="662" t="n">
        <x:f>M10-F10</x:f>
        <x:v>-2</x:v>
      </x:c>
      <x:c r="P10" s="431" t="str">
        <x:v>feature/package-fixtures; benchmarks/package_assurance/held_out/instrument_air_module_v1; tests/test_held_out_package_fixtures.py; freeze-set hash 428f8c31f35e5c4f20a345621b937628c686576617bb5348db60db4d90e25884; focused 50 passed/1 skipped; full 170 passed/1 skipped; D-042; D-043; EV-039; EV-040</x:v>
      </x:c>
      <x:c r="Q10" s="431" t="str">
        <x:v>Review and accept P1.3 to activate the recorded pre-tuning freeze; then authorize P2.1 as a separate package-gate work block.</x:v>
      </x:c>
      <x:c r="R10" s="431" t="str">
        <x:v>P1.3 definition of done is met locally. The materially distinct instrument-air family has one clean package, seven variants, exact hidden oracles, seven release-blocking scenarios, evaluator-uncertainty coverage, compound precedence, reproducible hashes, and contamination controls. It is a self-authored pre-tuning candidate, not independently blind. No evaluator behavior was implemented.</x:v>
      </x:c>
      <x:c r="S10" s="669"/>
      <x:c r="T10" s="669" t="str">
        <x:v>■</x:v>
      </x:c>
      <x:c r="U10" s="669"/>
      <x:c r="V10" s="669"/>
      <x:c r="W10" s="669"/>
      <x:c r="X10" s="669"/>
    </x:row>
    <x:row r="11" ht="81"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Blocked</x:v>
      </x:c>
      <x:c r="L11" s="664" t="n">
        <x:v>0</x:v>
      </x:c>
      <x:c r="M11" s="662" t="n">
        <x:f>SUMIF('Work Block Log'!$E$5:$E$200,A11,'Work Block Log'!$F$5:$F$200)</x:f>
        <x:v>0</x:v>
      </x:c>
      <x:c r="N11" s="662" t="n">
        <x:f>MAX(F11*(1-L11),0)</x:f>
        <x:v>3</x:v>
      </x:c>
      <x:c r="O11" s="662" t="n">
        <x:f>M11-F11</x:f>
        <x:v>-3</x:v>
      </x:c>
      <x:c r="P11" s="431" t="str">
        <x:v>feature/package-inventory-gates</x:v>
      </x:c>
      <x:c r="Q11" s="431" t="str">
        <x:v>Await P1.3 user acceptance and pre-tuning freeze activation before implementing package gates.</x:v>
      </x:c>
      <x:c r="R11" s="431" t="str">
        <x:v>Do not inspect the accepted held-out family during P2 implementation. Begin P2.1 only after a recorded acceptance decision, on its named capability branch or worktree.</x:v>
      </x:c>
      <x:c r="S11" s="669"/>
      <x:c r="T11" s="669" t="str">
        <x:v>■</x:v>
      </x:c>
      <x:c r="U11" s="669" t="str">
        <x:v>■</x:v>
      </x:c>
      <x:c r="V11" s="669"/>
      <x:c r="W11" s="669"/>
      <x:c r="X11" s="669"/>
    </x:row>
    <x:row r="12" ht="64"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Not Started</x:v>
      </x:c>
      <x:c r="L12" s="664" t="n">
        <x:v>0</x:v>
      </x:c>
      <x:c r="M12" s="662" t="n">
        <x:f>SUMIF('Work Block Log'!$E$5:$E$200,A12,'Work Block Log'!$F$5:$F$200)</x:f>
        <x:v>0</x:v>
      </x:c>
      <x:c r="N12" s="662" t="n">
        <x:f>MAX(F12*(1-L12),0)</x:f>
        <x:v>4</x:v>
      </x:c>
      <x:c r="O12" s="662" t="n">
        <x:f>M12-F12</x:f>
        <x:v>-4</x:v>
      </x:c>
      <x:c r="P12" s="431" t="str">
        <x:v>feature/tag-relationship-checks</x:v>
      </x:c>
      <x:c r="Q12" s="431" t="str">
        <x:v>Use canonical IDs and explicit normalization rules.</x:v>
      </x:c>
      <x:c r="R12" s="431" t="str">
        <x:v>Do not infer authority from file order or filename alone.</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0.2608695652173913</x:v>
      </x:c>
      <x:c r="M24" s="683" t="n">
        <x:f>SUM(M6:M22)</x:f>
        <x:v>0</x:v>
      </x:c>
      <x:c r="N24" s="683" t="n">
        <x:f>SUM(N6:N22)</x:f>
        <x:v>34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P1.3 Ready for Acceptance 2026-07-16</x:v>
      </x:c>
      <x:c r="B1" s="686"/>
      <x:c r="C1" s="686"/>
      <x:c r="D1" s="686"/>
      <x:c r="E1" s="686"/>
      <x:c r="F1" s="686"/>
      <x:c r="G1" s="686"/>
      <x:c r="H1" s="686"/>
    </x:row>
    <x:row r="3">
      <x:c r="A3" s="687" t="str">
        <x:v>Key Metrics</x:v>
      </x:c>
      <x:c r="B3" s="687"/>
      <x:c r="C3" s="687"/>
      <x:c r="D3" s="687"/>
      <x:c r="F3" s="687" t="str">
        <x:v>Current Focus</x:v>
      </x:c>
      <x:c r="G3" s="687"/>
      <x:c r="H3" s="687"/>
    </x:row>
    <x:row r="4" ht="36" customHeight="1">
      <x:c r="A4" s="688" t="str">
        <x:v>Control Basis</x:v>
      </x:c>
      <x:c r="B4" s="692" t="str">
        <x:v>Gate and evidence based</x:v>
      </x:c>
      <x:c r="C4" s="691"/>
      <x:c r="D4" s="691"/>
      <x:c r="F4" s="696" t="str">
        <x:v>Active WBS</x:v>
      </x:c>
      <x:c r="G4" s="697" t="str">
        <x:v>P1.3 - Held-out fixture freeze acceptance</x:v>
      </x:c>
      <x:c r="H4" s="697"/>
    </x:row>
    <x:row r="5" ht="45" customHeight="1">
      <x:c r="A5" s="688" t="str">
        <x:v>Schedule Baseline</x:v>
      </x:c>
      <x:c r="B5" s="693" t="str">
        <x:v>Legacy only; not controlling</x:v>
      </x:c>
      <x:c r="C5" s="691"/>
      <x:c r="D5" s="691"/>
      <x:c r="F5" s="696" t="str">
        <x:v>Objective</x:v>
      </x:c>
      <x:c r="G5" s="697" t="str">
        <x:v>Accept the verified materially distinct held-out family without beginning P2 evaluator implementation.</x:v>
      </x:c>
      <x:c r="H5" s="697"/>
    </x:row>
    <x:row r="6" ht="45" customHeight="1">
      <x:c r="A6" s="688" t="str">
        <x:v>Time Tracking</x:v>
      </x:c>
      <x:c r="B6" s="693" t="str">
        <x:v>Waived prospectively</x:v>
      </x:c>
      <x:c r="C6" s="691"/>
      <x:c r="D6" s="691"/>
      <x:c r="F6" s="696" t="str">
        <x:v>Gate Status</x:v>
      </x:c>
      <x:c r="G6" s="697" t="str">
        <x:v>P1.3 definition of done is met locally on feature/package-fixtures; user acceptance and freeze activation are pending.</x:v>
      </x:c>
      <x:c r="H6" s="697"/>
    </x:row>
    <x:row r="7" ht="72" customHeight="1">
      <x:c r="A7" s="688" t="str">
        <x:v>Current Gate</x:v>
      </x:c>
      <x:c r="B7" s="694" t="str">
        <x:v>P1.3 acceptance and pre-tuning freeze</x:v>
      </x:c>
      <x:c r="C7" s="691"/>
      <x:c r="D7" s="691"/>
      <x:c r="F7" s="696" t="str">
        <x:v>Definition of Done</x:v>
      </x:c>
      <x:c r="G7" s="697" t="str">
        <x:v>One clean held-out package and seven controlled variants have exact protected oracles, 31 relationship goldens, reproducible hashes, material-distinction evidence, contamination controls, evaluator-uncertainty coverage, and compound precedence.</x:v>
      </x:c>
      <x:c r="H7" s="697"/>
    </x:row>
    <x:row r="8" ht="54" customHeight="1">
      <x:c r="A8" s="688" t="str">
        <x:v>Released Kernel</x:v>
      </x:c>
      <x:c r="B8" s="691" t="str">
        <x:v>v0.2.0 / commit 45336a2</x:v>
      </x:c>
      <x:c r="C8" s="691"/>
      <x:c r="D8" s="691"/>
      <x:c r="F8" s="696" t="str">
        <x:v>Immediate Next Action</x:v>
      </x:c>
      <x:c r="G8" s="697" t="str">
        <x:v>Review and accept P1.3; then open P2.1 as a separate package-gate work block without inspecting the held-out family.</x:v>
      </x:c>
      <x:c r="H8" s="697"/>
    </x:row>
    <x:row r="9" ht="54" customHeight="1">
      <x:c r="A9" s="688" t="str">
        <x:v>Release Target</x:v>
      </x:c>
      <x:c r="B9" s="691" t="str">
        <x:v>v0.3.0</x:v>
      </x:c>
      <x:c r="C9" s="691"/>
      <x:c r="D9" s="691"/>
      <x:c r="F9" s="696" t="str">
        <x:v>Primary Risk</x:v>
      </x:c>
      <x:c r="G9" s="697" t="str">
        <x:v>Post-acceptance access could contaminate the held-out claim. Preserve the split and replace the family if implementation is tuned against it.</x:v>
      </x:c>
      <x:c r="H9" s="697"/>
    </x:row>
    <x:row r="10" ht="54" customHeight="1">
      <x:c r="A10" s="688" t="str">
        <x:v>Baseline Test Count</x:v>
      </x:c>
      <x:c r="B10" s="691" t="n">
        <x:v>121</x:v>
      </x:c>
      <x:c r="C10" s="691"/>
      <x:c r="D10" s="691"/>
      <x:c r="F10" s="696" t="str">
        <x:v>Deferred</x:v>
      </x:c>
      <x:c r="G10" s="697" t="str">
        <x:v>P2 source adapters, gates, rules, result routing, CLI/reporting, PDF/CAD extraction, agents, APIs/databases, RAG, hosting, and RL.</x:v>
      </x:c>
      <x:c r="H10" s="697"/>
    </x:row>
    <x:row r="11" ht="45" customHeight="1">
      <x:c r="A11" s="688" t="str">
        <x:v>Fixture Package Families</x:v>
      </x:c>
      <x:c r="B11" s="691" t="n">
        <x:v>2</x:v>
      </x:c>
      <x:c r="C11" s="691"/>
      <x:c r="D11" s="691"/>
      <x:c r="F11" s="696" t="str">
        <x:v>Data Boundary</x:v>
      </x:c>
      <x:c r="G11" s="697" t="str">
        <x:v>Public, synthetic, self-authored, or authorized data only; held-out status is pre-tuning and not independently blind.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In Progress</x:v>
      </x:c>
      <x:c r="C16" s="699" t="str">
        <x:v>P1.3 ready for acceptance</x:v>
      </x:c>
      <x:c r="D16" s="700" t="n">
        <x:v>1</x:v>
      </x:c>
      <x:c r="E16" s="698" t="str">
        <x:v>Gate P1 - two validated packages and frozen held-out split</x:v>
      </x:c>
    </x:row>
    <x:row r="17" ht="36" customHeight="1">
      <x:c r="A17" s="698" t="str">
        <x:v>P2 Consistency Rules</x:v>
      </x:c>
      <x:c r="B17" s="699" t="str">
        <x:v>Blocked</x:v>
      </x:c>
      <x:c r="C17" s="699" t="str">
        <x:v>Blocked by P1.3 acceptance</x:v>
      </x:c>
      <x:c r="D17" s="700" t="n">
        <x:v>0</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P1.1</x:v>
      </x:c>
      <x:c r="C24" s="431" t="str">
        <x:v>Package manifest schema and loader</x:v>
      </x:c>
      <x:c r="D24" s="431" t="str">
        <x:v>Versioned manifest validates source inventory, relationships, revisions, authority declarations, file references, and controlled errors.</x:v>
      </x:c>
      <x:c r="E24" s="431" t="str">
        <x:v>Accepted</x:v>
      </x:c>
      <x:c r="F24" s="431" t="str">
        <x:v>feature/package-manifest</x:v>
      </x:c>
      <x:c r="G24" s="431" t="str">
        <x:v>commit 42ad037; D-040; EV-037</x:v>
      </x:c>
      <x:c r="H24" s="431" t="str">
        <x:v>Jason</x:v>
      </x:c>
    </x:row>
    <x:row r="25" ht="81" customHeight="1">
      <x:c r="A25" s="431" t="n">
        <x:v>2</x:v>
      </x:c>
      <x:c r="B25" s="431" t="str">
        <x:v>P1.2</x:v>
      </x:c>
      <x:c r="C25" s="431" t="str">
        <x:v>Clean development package</x:v>
      </x:c>
      <x:c r="D25" s="431" t="str">
        <x:v>Synthetic pump-skid package has all mandatory sources, 20 relationship goldens, exact evidence locators, and a reproducible package-tree hash.</x:v>
      </x:c>
      <x:c r="E25" s="431" t="str">
        <x:v>Accepted</x:v>
      </x:c>
      <x:c r="F25" s="431" t="str">
        <x:v>feature/package-fixtures</x:v>
      </x:c>
      <x:c r="G25" s="431" t="str">
        <x:v>commit f26ed27; D-041; D-042; EV-038; EV-039</x:v>
      </x:c>
      <x:c r="H25" s="431" t="str">
        <x:v>Jason</x:v>
      </x:c>
    </x:row>
    <x:row r="26" ht="81" customHeight="1">
      <x:c r="A26" s="431" t="n">
        <x:v>3</x:v>
      </x:c>
      <x:c r="B26" s="431" t="str">
        <x:v>P1.3</x:v>
      </x:c>
      <x:c r="C26" s="431" t="str">
        <x:v>Held-out package and fault variants</x:v>
      </x:c>
      <x:c r="D26" s="431" t="str">
        <x:v>Materially distinct instrument-air family has one clean package, seven controlled variants, protected exact oracles, hashes, and pre-tuning freeze controls.</x:v>
      </x:c>
      <x:c r="E26" s="431" t="str">
        <x:v>Ready for acceptance</x:v>
      </x:c>
      <x:c r="F26" s="431" t="str">
        <x:v>feature/package-fixtures</x:v>
      </x:c>
      <x:c r="G26" s="431" t="str">
        <x:v>freeze 428f8c31f35e...e25884; D-043; EV-040</x:v>
      </x:c>
      <x:c r="H26"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