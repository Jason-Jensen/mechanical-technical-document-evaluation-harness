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288df1d54db4df7" /></Relationships>
</file>

<file path=xl/workbook.xml><?xml version="1.0" encoding="utf-8"?>
<x:workbook xmlns:x="http://schemas.openxmlformats.org/spreadsheetml/2006/main">
  <x:sheets>
    <x:sheet xmlns:r="http://schemas.openxmlformats.org/officeDocument/2006/relationships" name="Start Here" sheetId="1" r:id="R8611a02c733848ea"/>
    <x:sheet xmlns:r="http://schemas.openxmlformats.org/officeDocument/2006/relationships" name="Executive Gantt" sheetId="2" r:id="R618efa45911b4af9"/>
    <x:sheet xmlns:r="http://schemas.openxmlformats.org/officeDocument/2006/relationships" name="Detailed Gantt" sheetId="3" r:id="R9d50cbcd1bea4bcf"/>
    <x:sheet xmlns:r="http://schemas.openxmlformats.org/officeDocument/2006/relationships" name="Weekly Control" sheetId="4" r:id="R15239e6551ec416d"/>
    <x:sheet xmlns:r="http://schemas.openxmlformats.org/officeDocument/2006/relationships" name="Phase Summary" sheetId="5" r:id="R036798a4bac2488a"/>
    <x:sheet xmlns:r="http://schemas.openxmlformats.org/officeDocument/2006/relationships" name="Assumptions &amp; Gates" sheetId="6" r:id="Ra54f8d1f5da04223"/>
    <x:sheet xmlns:r="http://schemas.openxmlformats.org/officeDocument/2006/relationships" name="Sources" sheetId="7" r:id="R856a9685ea2749a9"/>
    <x:sheet xmlns:r="http://schemas.openxmlformats.org/officeDocument/2006/relationships" name="Legacy Baseline" sheetId="8" r:id="Rf65e73ca25b84372"/>
    <x:sheet xmlns:r="http://schemas.openxmlformats.org/officeDocument/2006/relationships" name="Work Block Log" sheetId="9" r:id="R2ad8734721114631"/>
    <x:sheet xmlns:r="http://schemas.openxmlformats.org/officeDocument/2006/relationships" name="Decision Register" sheetId="10" r:id="R65a3424d1def4784"/>
    <x:sheet xmlns:r="http://schemas.openxmlformats.org/officeDocument/2006/relationships" name="Risks &amp; Issues" sheetId="11" r:id="R3af2384df5e34969"/>
    <x:sheet xmlns:r="http://schemas.openxmlformats.org/officeDocument/2006/relationships" name="Evidence Register" sheetId="12" r:id="Rcab72f002b4f4797"/>
    <x:sheet xmlns:r="http://schemas.openxmlformats.org/officeDocument/2006/relationships" name="Expansion Backlog" sheetId="13" r:id="R28f09e9307ed4814"/>
    <x:sheet xmlns:r="http://schemas.openxmlformats.org/officeDocument/2006/relationships" name="AI Context" sheetId="14" r:id="R64d7d5d867704ad5"/>
    <x:sheet xmlns:r="http://schemas.openxmlformats.org/officeDocument/2006/relationships" name="MVP Dashboard" sheetId="15" r:id="R99bc409bc93f486a"/>
    <x:sheet xmlns:r="http://schemas.openxmlformats.org/officeDocument/2006/relationships" name="Product Vision" sheetId="16" r:id="R2bd3bf6e93624e57"/>
    <x:sheet xmlns:r="http://schemas.openxmlformats.org/officeDocument/2006/relationships" name="Pilot Gantt" sheetId="17" r:id="R6a6f48b3c941491b"/>
    <x:sheet xmlns:r="http://schemas.openxmlformats.org/officeDocument/2006/relationships" name="Pilot Dashboard" sheetId="18" r:id="Rb370d71d27924cba"/>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<x:sst xmlns:x="http://schemas.openxmlformats.org/spreadsheetml/2006/main">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</x:sst>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6">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
      <x:patternFill patternType="solid">
        <x:fgColor rgb="FF2F75B5"/>
      </x:patternFill>
    </x:fill>
    <x:fill>
      <x:patternFill patternType="solid">
        <x:fgColor rgb="FF2F75B5"/>
      </x:patternFill>
    </x:fill>
    <x:fill>
      <x:patternFill patternType="solid">
        <x:fgColor rgb="FF2F75B5"/>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9">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0" fontId="3" fillId="4" borderId="0" xfId="0" applyNumberFormat="1" applyFont="1" applyFill="1" applyBorder="1" applyAlignment="1">
      <x:alignment vertical="top" wrapText="1"/>
    </x:xf>
    <x:xf numFmtId="0" fontId="3" fillId="53" borderId="0" xfId="0" applyNumberFormat="1" applyFont="1" applyFill="1" applyBorder="1" applyAlignment="1">
      <x:alignment vertical="top" wrapText="1"/>
    </x:xf>
    <x:xf numFmtId="0" fontId="2" fillId="53" borderId="0" xfId="0" applyNumberFormat="1" applyFont="1" applyFill="1" applyBorder="1" applyAlignment="1">
      <x:alignment vertical="top" wrapText="1"/>
    </x:xf>
    <x:xf numFmtId="0" fontId="2" fillId="54" borderId="0" xfId="0" applyNumberFormat="1" applyFont="1" applyFill="1" applyBorder="1" applyAlignment="1">
      <x:alignment vertical="top" wrapText="1"/>
    </x:xf>
    <x:xf numFmtId="0" fontId="2" fillId="55"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947016f249f4c05" /><Relationship Type="http://schemas.openxmlformats.org/officeDocument/2006/relationships/theme" Target="/xl/theme/theme1.xml" Id="Rcd95f68aea2347f7" /><Relationship Type="http://schemas.openxmlformats.org/officeDocument/2006/relationships/sharedStrings" Target="/xl/sharedStrings.xml" Id="Rb3abf39ac9c24b24" /><Relationship Type="http://schemas.openxmlformats.org/officeDocument/2006/relationships/worksheet" Target="/xl/worksheets/sheet1.xml" Id="R8611a02c733848ea" /><Relationship Type="http://schemas.openxmlformats.org/officeDocument/2006/relationships/worksheet" Target="/xl/worksheets/sheet2.xml" Id="R618efa45911b4af9" /><Relationship Type="http://schemas.openxmlformats.org/officeDocument/2006/relationships/worksheet" Target="/xl/worksheets/sheet3.xml" Id="R9d50cbcd1bea4bcf" /><Relationship Type="http://schemas.openxmlformats.org/officeDocument/2006/relationships/worksheet" Target="/xl/worksheets/sheet4.xml" Id="R15239e6551ec416d" /><Relationship Type="http://schemas.openxmlformats.org/officeDocument/2006/relationships/worksheet" Target="/xl/worksheets/sheet5.xml" Id="R036798a4bac2488a" /><Relationship Type="http://schemas.openxmlformats.org/officeDocument/2006/relationships/worksheet" Target="/xl/worksheets/sheet6.xml" Id="Ra54f8d1f5da04223" /><Relationship Type="http://schemas.openxmlformats.org/officeDocument/2006/relationships/worksheet" Target="/xl/worksheets/sheet7.xml" Id="R856a9685ea2749a9" /><Relationship Type="http://schemas.openxmlformats.org/officeDocument/2006/relationships/worksheet" Target="/xl/worksheets/sheet8.xml" Id="Rf65e73ca25b84372" /><Relationship Type="http://schemas.openxmlformats.org/officeDocument/2006/relationships/worksheet" Target="/xl/worksheets/sheet9.xml" Id="R2ad8734721114631" /><Relationship Type="http://schemas.openxmlformats.org/officeDocument/2006/relationships/worksheet" Target="/xl/worksheets/sheet10.xml" Id="R65a3424d1def4784" /><Relationship Type="http://schemas.openxmlformats.org/officeDocument/2006/relationships/worksheet" Target="/xl/worksheets/sheet11.xml" Id="R3af2384df5e34969" /><Relationship Type="http://schemas.openxmlformats.org/officeDocument/2006/relationships/worksheet" Target="/xl/worksheets/sheet12.xml" Id="Rcab72f002b4f4797" /><Relationship Type="http://schemas.openxmlformats.org/officeDocument/2006/relationships/worksheet" Target="/xl/worksheets/sheet13.xml" Id="R28f09e9307ed4814" /><Relationship Type="http://schemas.openxmlformats.org/officeDocument/2006/relationships/worksheet" Target="/xl/worksheets/sheet14.xml" Id="R64d7d5d867704ad5" /><Relationship Type="http://schemas.openxmlformats.org/officeDocument/2006/relationships/worksheet" Target="/xl/worksheets/sheet15.xml" Id="R99bc409bc93f486a" /><Relationship Type="http://schemas.openxmlformats.org/officeDocument/2006/relationships/worksheet" Target="/xl/worksheets/sheet16.xml" Id="R2bd3bf6e93624e57" /><Relationship Type="http://schemas.openxmlformats.org/officeDocument/2006/relationships/worksheet" Target="/xl/worksheets/sheet17.xml" Id="R6a6f48b3c941491b" /><Relationship Type="http://schemas.openxmlformats.org/officeDocument/2006/relationships/worksheet" Target="/xl/worksheets/sheet18.xml" Id="Rb370d71d27924cba" /></Relationships>
</file>

<file path=xl/drawings/_rels/drawing1.xml.rels>&#65279;<?xml version="1.0" encoding="utf-8"?><Relationships xmlns="http://schemas.openxmlformats.org/package/2006/relationships"><Relationship Type="http://schemas.openxmlformats.org/officeDocument/2006/relationships/chart" Target="/xl/drawings/charts/chart1.xml" Id="R8fe72c9a59dc4faf" /></Relationships>
</file>

<file path=xl/drawings/_rels/drawing2.xml.rels>&#65279;<?xml version="1.0" encoding="utf-8"?><Relationships xmlns="http://schemas.openxmlformats.org/package/2006/relationships"><Relationship Type="http://schemas.openxmlformats.org/officeDocument/2006/relationships/chart" Target="/xl/drawings/charts/chart2.xml" Id="R2fe83356f7b04743" /></Relationships>
</file>

<file path=xl/drawings/_rels/drawing3.xml.rels>&#65279;<?xml version="1.0" encoding="utf-8"?><Relationships xmlns="http://schemas.openxmlformats.org/package/2006/relationships"><Relationship Type="http://schemas.openxmlformats.org/officeDocument/2006/relationships/chart" Target="/xl/drawings/charts/chart3.xml" Id="R1af524a5b11b4c0d"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fe72c9a59dc4faf"/>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fe83356f7b04743"/>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af524a5b11b4c0d"/>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9a0960d1129c44f6" /></Relationships>
</file>

<file path=xl/worksheets/_rels/sheet5.xml.rels>&#65279;<?xml version="1.0" encoding="utf-8"?><Relationships xmlns="http://schemas.openxmlformats.org/package/2006/relationships"><Relationship Type="http://schemas.openxmlformats.org/officeDocument/2006/relationships/drawing" Target="/xl/drawings/drawing2.xml" Id="R82b6bf77653f4d6c" /></Relationships>
</file>

<file path=xl/worksheets/_rels/sheet15.xml.rels>&#65279;<?xml version="1.0" encoding="utf-8"?><Relationships xmlns="http://schemas.openxmlformats.org/package/2006/relationships"><Relationship Type="http://schemas.openxmlformats.org/officeDocument/2006/relationships/drawing" Target="/xl/drawings/drawing3.xml" Id="Rc3d1d36c68994b3c"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G0.1 AI management and quality-control system 2026-07-22</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D-115 adopted; AI management system operational; product release remains held</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G0.1 - AI management and quality-control system</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and integrate G0.1; D-114 remains a separate pending decision</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0" hidden="0" customHeight="1">
      <x:c r="A28" s="597" t="str">
        <x:v>PR #66 integrated the immutable D-113 result at exact main f49c864. Under owner directive D-115, the project now operates an internal AI management and quality-control system above schedule and feature work. The system covers active generative-AI project assistance, the deterministic evaluator as an AI-adjacent control, and blocked future model capabilities. It records 3 systems, 13 risks, 20 controls, 8 lifecycle gates, 6 quality objectives, one internal audit, one management review, and open nonconformity NC-001. Normal governance validation passes while correctly reporting release held by AIR-003, AIR-010, NC-001, and pending D-114; strict release-ready validation fails as designed. Focused governance tests pass 22/22 at 84% validator coverage; protected-safe full regression passes 335 with one expected Windows skip at 88.33% coverage; repository validation 5/5, Ruff, baseline 9/9, and demo 2/2 pass. The supplied ISO PDF was not committed or used as project evidence because its visible single-user license belongs to another purchaser. Official ISO and NIST public sources support high-level alignment only. No ISO conformity, certification, legal-compliance, guaranteed-safety, or independent-assurance claim is made. D-114 remains pending; this block authorizes no held-out rerun, new family, publication fix, semantic change, P4.3 work, public rerun, import, or release claim. EV-165-EV-170, R-017, IMP-029-IMP-030, and D-115 preserve the controls and evidence.</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0.42</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17.14</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x:v>
      </x:c>
      <x:c r="N27" s="627" t="n">
        <x:f t="shared" si="3">MAX(F27*(1-L27),0)</x:f>
        <x:v>0</x:v>
      </x:c>
      <x:c r="O27" s="627" t="n">
        <x:f t="shared" si="4">M27-F27</x:f>
        <x:v>-3</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17.14</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17.14</x:v>
      </x:c>
      <x:c r="F5" s="68" t="n">
        <x:f t="shared" ref="F5:F35" si="0">IF(E5="","",E5-D5)</x:f>
        <x:v>9.14</x:v>
      </x:c>
      <x:c r="G5" s="68" t="n">
        <x:f t="shared" ref="G5:G36" si="2">SUM($D$5:D5)</x:f>
        <x:v>8</x:v>
      </x:c>
      <x:c r="H5" s="68" t="n">
        <x:f t="shared" ref="H5:H36" si="3">SUM($E$5:E5)</x:f>
        <x:v>17.14</x:v>
      </x:c>
      <x:c r="I5" s="68" t="n">
        <x:f t="shared" ref="I5:I35" si="1">MAX($G$13-H5,0)</x:f>
        <x:v>58.86</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17.14</x:v>
      </x:c>
      <x:c r="I6" s="68" t="n">
        <x:f t="shared" si="1">MAX($G$13-H6,0)</x:f>
        <x:v>58.86</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17.14</x:v>
      </x:c>
      <x:c r="I7" s="68" t="n">
        <x:f t="shared" si="1">MAX($G$13-H7,0)</x:f>
        <x:v>58.86</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17.14</x:v>
      </x:c>
      <x:c r="I8" s="68" t="n">
        <x:f t="shared" si="1">MAX($G$13-H8,0)</x:f>
        <x:v>58.86</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17.14</x:v>
      </x:c>
      <x:c r="I9" s="68" t="n">
        <x:f t="shared" si="1">MAX($G$13-H9,0)</x:f>
        <x:v>58.86</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17.14</x:v>
      </x:c>
      <x:c r="I10" s="68" t="n">
        <x:f t="shared" si="1">MAX($G$13-H10,0)</x:f>
        <x:v>58.86</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17.14</x:v>
      </x:c>
      <x:c r="I11" s="68" t="n">
        <x:f t="shared" si="1">MAX($G$13-H11,0)</x:f>
        <x:v>58.86</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17.14</x:v>
      </x:c>
      <x:c r="I12" s="140" t="n">
        <x:f t="shared" si="1">MAX($G$13-H12,0)</x:f>
        <x:v>58.86</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9a0960d1129c44f6"/>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0.42</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17.14</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82b6bf77653f4d6c"/>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40.5" customHeight="1">
      <x:c r="A27" s="778" t="str">
        <x:v>AI Management Gate / Hold Point</x:v>
      </x:c>
      <x:c r="B27" s="778"/>
      <x:c r="C27" s="778"/>
      <x:c r="D27" s="778"/>
      <x:c r="E27" s="778"/>
      <x:c r="F27" s="778"/>
      <x:c r="G27" s="778"/>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80" customHeight="1">
      <x:c r="A28" s="771" t="str">
        <x:v>AIMS Gate</x:v>
      </x:c>
      <x:c r="B28" s="485" t="str">
        <x:v>Continuous</x:v>
      </x:c>
      <x:c r="C28" s="774" t="n">
        <x:v>46225</x:v>
      </x:c>
      <x:c r="D28" s="485" t="str">
        <x:v>Active / Release Held</x:v>
      </x:c>
      <x:c r="E28" s="485" t="str">
        <x:v>Binding policy, inventory, impact and risk assessment, minimum controls, evidence, audit, management review, and exact release-hold alignment are valid. Release-ready mode must pass before release.</x:v>
      </x:c>
      <x:c r="F28" s="485" t="str">
        <x:v>D-115; governance/ai_management_system.json; AIMS-POL-001; AIMS-AUD-001; 22 focused; validator coverage 84%; full 335/1; coverage 88.33%; CI gate</x:v>
      </x:c>
      <x:c r="G28" s="485" t="str">
        <x:v>Integrate G0.1. Preserve AIR-003, AIR-010, and NC-001 holds. D-114 remains a separate owner decision.</x:v>
      </x:c>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9:G30"/>
    <x:mergeCell ref="A27:G27"/>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194</x:v>
      </x:c>
      <x:c r="B3" s="494" t="s">
        <x:v>195</x:v>
      </x:c>
      <x:c r="C3" s="494" t="s">
        <x:v>196</x:v>
      </x:c>
      <x:c r="D3" s="494" t="s">
        <x:v>197</x:v>
      </x:c>
      <x:c r="E3" s="494" t="s">
        <x:v>198</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199</x:v>
      </x:c>
      <x:c r="B4" s="438" t="s">
        <x:v>200</x:v>
      </x:c>
      <x:c r="C4" s="438" t="s">
        <x:v>201</x:v>
      </x:c>
      <x:c r="D4" s="438" t="s">
        <x:v>202</x:v>
      </x:c>
      <x:c r="E4" s="448" t="s">
        <x:v>203</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204</x:v>
      </x:c>
      <x:c r="B5" s="438" t="s">
        <x:v>205</x:v>
      </x:c>
      <x:c r="C5" s="438" t="s">
        <x:v>201</x:v>
      </x:c>
      <x:c r="D5" s="438" t="str">
        <x:v>gantt_v0.3_package_assurance_pilot.xlsx</x:v>
      </x:c>
      <x:c r="E5" s="448" t="s">
        <x:v>206</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207</x:v>
      </x:c>
      <x:c r="B6" s="438" t="s">
        <x:v>208</x:v>
      </x:c>
      <x:c r="C6" s="438" t="s">
        <x:v>209</x:v>
      </x:c>
      <x:c r="D6" s="438" t="s">
        <x:v>210</x:v>
      </x:c>
      <x:c r="E6" s="448" t="s">
        <x:v>211</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212</x:v>
      </x:c>
      <x:c r="B7" s="438" t="s">
        <x:v>213</x:v>
      </x:c>
      <x:c r="C7" s="438" t="s">
        <x:v>214</x:v>
      </x:c>
      <x:c r="D7" s="438" t="s">
        <x:v>215</x:v>
      </x:c>
      <x:c r="E7" s="448" t="s">
        <x:v>216</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217</x:v>
      </x:c>
      <x:c r="B8" s="438" t="s">
        <x:v>218</x:v>
      </x:c>
      <x:c r="C8" s="438" t="s">
        <x:v>214</x:v>
      </x:c>
      <x:c r="D8" s="438" t="s">
        <x:v>215</x:v>
      </x:c>
      <x:c r="E8" s="448" t="s">
        <x:v>219</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220</x:v>
      </x:c>
      <x:c r="B9" s="438" t="s">
        <x:v>221</x:v>
      </x:c>
      <x:c r="C9" s="438" t="s">
        <x:v>222</x:v>
      </x:c>
      <x:c r="D9" s="438" t="s">
        <x:v>223</x:v>
      </x:c>
      <x:c r="E9" s="448" t="s">
        <x:v>224</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225</x:v>
      </x:c>
      <x:c r="B10" s="448" t="s">
        <x:v>226</x:v>
      </x:c>
      <x:c r="C10" s="448" t="s">
        <x:v>222</x:v>
      </x:c>
      <x:c r="D10" s="448" t="s">
        <x:v>227</x:v>
      </x:c>
      <x:c r="E10" s="448" t="s">
        <x:v>228</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229</x:v>
      </x:c>
      <x:c r="B11" s="448" t="s">
        <x:v>230</x:v>
      </x:c>
      <x:c r="C11" s="448" t="s">
        <x:v>222</x:v>
      </x:c>
      <x:c r="D11" s="448" t="s">
        <x:v>231</x:v>
      </x:c>
      <x:c r="E11" s="448" t="s">
        <x:v>228</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232</x:v>
      </x:c>
      <x:c r="B12" s="448" t="s">
        <x:v>233</x:v>
      </x:c>
      <x:c r="C12" s="448" t="s">
        <x:v>214</x:v>
      </x:c>
      <x:c r="D12" s="448" t="s">
        <x:v>215</x:v>
      </x:c>
      <x:c r="E12" s="448" t="s">
        <x:v>234</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26" customHeight="1">
      <x:c r="A17" s="438" t="str">
        <x:v>ISO/IEC 42001:2023 official public record</x:v>
      </x:c>
      <x:c r="B17" s="438" t="str">
        <x:v>Defines the public purpose and management-system basis for establishing, implementing, maintaining, and continually improving responsible AI governance.</x:v>
      </x:c>
      <x:c r="C17" s="438" t="str">
        <x:v>Official ISO source</x:v>
      </x:c>
      <x:c r="D17" s="438" t="str">
        <x:v>https://www.iso.org/standard/42001</x:v>
      </x:c>
      <x:c r="E17" s="438" t="str">
        <x:v>High-level alignment only. A licensed copy and independent assessment are required for formal conformity.</x:v>
      </x:c>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26" customHeight="1">
      <x:c r="A18" s="438" t="str">
        <x:v>ISO/IEC 23894:2023 official public record</x:v>
      </x:c>
      <x:c r="B18" s="438" t="str">
        <x:v>Confirms the role of AI-specific risk management across organizations that develop, provide, deploy, or use AI systems.</x:v>
      </x:c>
      <x:c r="C18" s="438" t="str">
        <x:v>Official ISO source</x:v>
      </x:c>
      <x:c r="D18" s="438" t="str">
        <x:v>https://www.iso.org/standard/77304.html</x:v>
      </x:c>
      <x:c r="E18" s="438" t="str">
        <x:v>Risk-reference summary only; do not reproduce the standard.</x:v>
      </x:c>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26" customHeight="1">
      <x:c r="A19" s="438" t="str">
        <x:v>NIST AI Risk Management Framework 1.0</x:v>
      </x:c>
      <x:c r="B19" s="438" t="str">
        <x:v>Provides voluntary operational practices for governing, mapping, measuring, and managing AI risk.</x:v>
      </x:c>
      <x:c r="C19" s="438" t="str">
        <x:v>Official NIST source</x:v>
      </x:c>
      <x:c r="D19" s="438" t="str">
        <x:v>https://www.nist.gov/itl/ai-risk-management-framework</x:v>
      </x:c>
      <x:c r="E19" s="438" t="str">
        <x:v>Operational supplement, not certification. NIST says 1.0 is being updated; a published revision triggers governance review.</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26" customHeight="1">
      <x:c r="A20" s="438" t="str">
        <x:v>NIST AI RMF Generative AI Profile</x:v>
      </x:c>
      <x:c r="B20" s="438" t="str">
        <x:v>Adds public generative-AI risk guidance for project-assistant use and future model capabilities.</x:v>
      </x:c>
      <x:c r="C20" s="438" t="str">
        <x:v>Official NIST source</x:v>
      </x:c>
      <x:c r="D20" s="438" t="str">
        <x:v>https://doi.org/10.6028/NIST.AI.600-1</x:v>
      </x:c>
      <x:c r="E20" s="438" t="str">
        <x:v>Used for project-specific risk treatment and monitoring controls.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235</x:v>
      </x:c>
      <x:c r="B1" s="232"/>
      <x:c r="C1" s="232"/>
      <x:c r="D1" s="232"/>
      <x:c r="E1" s="232"/>
      <x:c r="F1" s="232"/>
      <x:c r="G1" s="232"/>
      <x:c r="H1" s="232"/>
      <x:c r="I1" s="232"/>
      <x:c r="J1" s="232"/>
      <x:c r="K1" s="232"/>
      <x:c r="L1" s="232"/>
      <x:c r="M1" s="232"/>
      <x:c r="N1" s="232"/>
      <x:c r="O1" s="232"/>
      <x:c r="P1" s="232"/>
      <x:c r="Q1" s="232"/>
      <x:c r="R1" s="232"/>
      <x:c r="S1" s="232"/>
      <x:c r="T1" s="232"/>
    </x:row>
    <x:row r="2">
      <x:c r="A2" s="233" t="s">
        <x:v>236</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237</x:v>
      </x:c>
      <x:c r="L4" t="s">
        <x:v>238</x:v>
      </x:c>
    </x:row>
    <x:row r="6">
      <x:c r="A6" t="s">
        <x:v>239</x:v>
      </x:c>
      <x:c r="C6" t="s">
        <x:v>240</x:v>
      </x:c>
    </x:row>
    <x:row r="8">
      <x:c r="A8" t="s">
        <x:v>48</x:v>
      </x:c>
      <x:c r="B8" t="s">
        <x:v>1</x:v>
      </x:c>
      <x:c r="C8" t="s">
        <x:v>49</x:v>
      </x:c>
      <x:c r="D8" t="s">
        <x:v>50</x:v>
      </x:c>
      <x:c r="E8" t="s">
        <x:v>51</x:v>
      </x:c>
      <x:c r="F8" t="s">
        <x:v>2</x:v>
      </x:c>
      <x:c r="G8" t="s">
        <x:v>52</x:v>
      </x:c>
      <x:c r="H8" t="s">
        <x:v>53</x:v>
      </x:c>
      <x:c r="I8" t="s">
        <x:v>241</x:v>
      </x:c>
      <x:c r="J8" t="s">
        <x:v>54</x:v>
      </x:c>
      <x:c r="K8" t="s">
        <x:v>55</x:v>
      </x:c>
      <x:c r="L8" t="s">
        <x:v>56</x:v>
      </x:c>
      <x:c r="M8" t="s">
        <x:v>4</x:v>
      </x:c>
      <x:c r="N8" t="s">
        <x:v>3</x:v>
      </x:c>
      <x:c r="O8" t="s">
        <x:v>58</x:v>
      </x:c>
      <x:c r="P8" t="s">
        <x:v>57</x:v>
      </x:c>
      <x:c r="Q8" t="s">
        <x:v>61</x:v>
      </x:c>
    </x:row>
    <x:row r="9">
      <x:c r="A9" t="s">
        <x:v>62</x:v>
      </x:c>
      <x:c r="B9" t="s">
        <x:v>242</x:v>
      </x:c>
      <x:c r="C9" t="s">
        <x:v>243</x:v>
      </x:c>
      <x:c r="D9" t="s">
        <x:v>244</x:v>
      </x:c>
      <x:c r="E9" t="s">
        <x:v>65</x:v>
      </x:c>
      <x:c r="F9">
        <x:v>4</x:v>
      </x:c>
      <x:c r="G9">
        <x:v>1</x:v>
      </x:c>
      <x:c r="H9">
        <x:v>1</x:v>
      </x:c>
      <x:c r="I9">
        <x:v>1</x:v>
      </x:c>
      <x:c r="J9">
        <x:v>46202</x:v>
      </x:c>
      <x:c r="K9">
        <x:v>46208</x:v>
      </x:c>
      <x:c r="L9" t="s">
        <x:v>245</x:v>
      </x:c>
      <x:c r="M9">
        <x:v>1</x:v>
      </x:c>
      <x:c r="N9">
        <x:v>1.5</x:v>
      </x:c>
      <x:c r="O9">
        <x:v>-2.5</x:v>
      </x:c>
      <x:c r="P9">
        <x:v>0</x:v>
      </x:c>
      <x:c r="Q9" t="s">
        <x:v>246</x:v>
      </x:c>
    </x:row>
    <x:row r="10">
      <x:c r="A10" t="s">
        <x:v>68</x:v>
      </x:c>
      <x:c r="B10" t="s">
        <x:v>242</x:v>
      </x:c>
      <x:c r="C10" t="s">
        <x:v>247</x:v>
      </x:c>
      <x:c r="D10" t="s">
        <x:v>248</x:v>
      </x:c>
      <x:c r="E10" t="s">
        <x:v>62</x:v>
      </x:c>
      <x:c r="F10">
        <x:v>4</x:v>
      </x:c>
      <x:c r="G10">
        <x:v>1</x:v>
      </x:c>
      <x:c r="H10">
        <x:v>1</x:v>
      </x:c>
      <x:c r="I10">
        <x:v>1</x:v>
      </x:c>
      <x:c r="J10">
        <x:v>46202</x:v>
      </x:c>
      <x:c r="K10">
        <x:v>46208</x:v>
      </x:c>
      <x:c r="L10" t="s">
        <x:v>245</x:v>
      </x:c>
      <x:c r="M10">
        <x:v>1</x:v>
      </x:c>
      <x:c r="P10">
        <x:v>0</x:v>
      </x:c>
      <x:c r="Q10" t="s">
        <x:v>249</x:v>
      </x:c>
    </x:row>
    <x:row r="11">
      <x:c r="A11" t="s">
        <x:v>73</x:v>
      </x:c>
      <x:c r="B11" t="s">
        <x:v>242</x:v>
      </x:c>
      <x:c r="C11" t="s">
        <x:v>250</x:v>
      </x:c>
      <x:c r="D11" t="s">
        <x:v>251</x:v>
      </x:c>
      <x:c r="E11" t="s">
        <x:v>62</x:v>
      </x:c>
      <x:c r="F11">
        <x:v>4</x:v>
      </x:c>
      <x:c r="G11">
        <x:v>1</x:v>
      </x:c>
      <x:c r="H11">
        <x:v>2</x:v>
      </x:c>
      <x:c r="I11">
        <x:v>2</x:v>
      </x:c>
      <x:c r="J11">
        <x:v>46202</x:v>
      </x:c>
      <x:c r="K11">
        <x:v>46215</x:v>
      </x:c>
      <x:c r="L11" t="s">
        <x:v>252</x:v>
      </x:c>
      <x:c r="M11">
        <x:v>0.5</x:v>
      </x:c>
      <x:c r="P11">
        <x:v>2</x:v>
      </x:c>
      <x:c r="Q11" t="s">
        <x:v>253</x:v>
      </x:c>
    </x:row>
    <x:row r="12">
      <x:c r="A12" t="s">
        <x:v>254</x:v>
      </x:c>
      <x:c r="B12" t="s">
        <x:v>242</x:v>
      </x:c>
      <x:c r="C12" t="s">
        <x:v>255</x:v>
      </x:c>
      <x:c r="D12" t="s">
        <x:v>256</x:v>
      </x:c>
      <x:c r="E12" t="s">
        <x:v>68</x:v>
      </x:c>
      <x:c r="F12">
        <x:v>4</x:v>
      </x:c>
      <x:c r="G12">
        <x:v>2</x:v>
      </x:c>
      <x:c r="H12">
        <x:v>2</x:v>
      </x:c>
      <x:c r="I12">
        <x:v>1</x:v>
      </x:c>
      <x:c r="J12">
        <x:v>46209</x:v>
      </x:c>
      <x:c r="K12">
        <x:v>46215</x:v>
      </x:c>
      <x:c r="L12" t="s">
        <x:v>142</x:v>
      </x:c>
      <x:c r="M12">
        <x:v>0</x:v>
      </x:c>
      <x:c r="P12">
        <x:v>4</x:v>
      </x:c>
    </x:row>
    <x:row r="13">
      <x:c r="A13" t="s">
        <x:v>257</x:v>
      </x:c>
      <x:c r="B13" t="s">
        <x:v>242</x:v>
      </x:c>
      <x:c r="C13" t="s">
        <x:v>258</x:v>
      </x:c>
      <x:c r="D13" t="s">
        <x:v>259</x:v>
      </x:c>
      <x:c r="E13" t="s">
        <x:v>254</x:v>
      </x:c>
      <x:c r="F13">
        <x:v>12</x:v>
      </x:c>
      <x:c r="G13">
        <x:v>1</x:v>
      </x:c>
      <x:c r="H13">
        <x:v>52</x:v>
      </x:c>
      <x:c r="I13">
        <x:v>52</x:v>
      </x:c>
      <x:c r="J13">
        <x:v>46202</x:v>
      </x:c>
      <x:c r="K13">
        <x:v>46565</x:v>
      </x:c>
      <x:c r="L13" t="s">
        <x:v>252</x:v>
      </x:c>
      <x:c r="M13">
        <x:v>0.02</x:v>
      </x:c>
      <x:c r="P13">
        <x:v>11.76</x:v>
      </x:c>
      <x:c r="Q13" t="s">
        <x:v>260</x:v>
      </x:c>
    </x:row>
    <x:row r="14">
      <x:c r="A14" t="s">
        <x:v>261</x:v>
      </x:c>
      <x:c r="B14" t="s">
        <x:v>242</x:v>
      </x:c>
      <x:c r="C14" t="s">
        <x:v>262</x:v>
      </x:c>
      <x:c r="D14" t="s">
        <x:v>263</x:v>
      </x:c>
      <x:c r="E14" t="s">
        <x:v>254</x:v>
      </x:c>
      <x:c r="F14">
        <x:v>6</x:v>
      </x:c>
      <x:c r="G14">
        <x:v>4</x:v>
      </x:c>
      <x:c r="H14">
        <x:v>52</x:v>
      </x:c>
      <x:c r="I14">
        <x:v>49</x:v>
      </x:c>
      <x:c r="J14">
        <x:v>46223</x:v>
      </x:c>
      <x:c r="K14">
        <x:v>46565</x:v>
      </x:c>
      <x:c r="L14" t="s">
        <x:v>142</x:v>
      </x:c>
      <x:c r="M14">
        <x:v>0</x:v>
      </x:c>
      <x:c r="P14">
        <x:v>6</x:v>
      </x:c>
    </x:row>
    <x:row r="15">
      <x:c r="A15" t="s">
        <x:v>264</x:v>
      </x:c>
      <x:c r="B15" t="s">
        <x:v>242</x:v>
      </x:c>
      <x:c r="C15" t="s">
        <x:v>265</x:v>
      </x:c>
      <x:c r="D15" t="s">
        <x:v>266</x:v>
      </x:c>
      <x:c r="E15" t="s">
        <x:v>254</x:v>
      </x:c>
      <x:c r="F15">
        <x:v>6</x:v>
      </x:c>
      <x:c r="G15">
        <x:v>9</x:v>
      </x:c>
      <x:c r="H15">
        <x:v>52</x:v>
      </x:c>
      <x:c r="I15">
        <x:v>44</x:v>
      </x:c>
      <x:c r="J15">
        <x:v>46258</x:v>
      </x:c>
      <x:c r="K15">
        <x:v>46565</x:v>
      </x:c>
      <x:c r="L15" t="s">
        <x:v>142</x:v>
      </x:c>
      <x:c r="M15">
        <x:v>0</x:v>
      </x:c>
      <x:c r="P15">
        <x:v>6</x:v>
      </x:c>
    </x:row>
    <x:row r="16">
      <x:c r="A16" t="s">
        <x:v>78</x:v>
      </x:c>
      <x:c r="B16" t="s">
        <x:v>267</x:v>
      </x:c>
      <x:c r="C16" t="s">
        <x:v>268</x:v>
      </x:c>
      <x:c r="D16" t="s">
        <x:v>269</x:v>
      </x:c>
      <x:c r="E16" t="s">
        <x:v>73</x:v>
      </x:c>
      <x:c r="F16">
        <x:v>8</x:v>
      </x:c>
      <x:c r="G16">
        <x:v>3</x:v>
      </x:c>
      <x:c r="H16">
        <x:v>3</x:v>
      </x:c>
      <x:c r="I16">
        <x:v>1</x:v>
      </x:c>
      <x:c r="J16">
        <x:v>46216</x:v>
      </x:c>
      <x:c r="K16">
        <x:v>46222</x:v>
      </x:c>
      <x:c r="L16" t="s">
        <x:v>142</x:v>
      </x:c>
      <x:c r="M16">
        <x:v>0</x:v>
      </x:c>
      <x:c r="P16">
        <x:v>8</x:v>
      </x:c>
    </x:row>
    <x:row r="17">
      <x:c r="A17" t="s">
        <x:v>81</x:v>
      </x:c>
      <x:c r="B17" t="s">
        <x:v>267</x:v>
      </x:c>
      <x:c r="C17" t="s">
        <x:v>270</x:v>
      </x:c>
      <x:c r="D17" t="s">
        <x:v>271</x:v>
      </x:c>
      <x:c r="E17" t="s">
        <x:v>78</x:v>
      </x:c>
      <x:c r="F17">
        <x:v>6</x:v>
      </x:c>
      <x:c r="G17">
        <x:v>3</x:v>
      </x:c>
      <x:c r="H17">
        <x:v>4</x:v>
      </x:c>
      <x:c r="I17">
        <x:v>2</x:v>
      </x:c>
      <x:c r="J17">
        <x:v>46216</x:v>
      </x:c>
      <x:c r="K17">
        <x:v>46229</x:v>
      </x:c>
      <x:c r="L17" t="s">
        <x:v>142</x:v>
      </x:c>
      <x:c r="M17">
        <x:v>0</x:v>
      </x:c>
      <x:c r="P17">
        <x:v>6</x:v>
      </x:c>
    </x:row>
    <x:row r="18">
      <x:c r="A18" t="s">
        <x:v>84</x:v>
      </x:c>
      <x:c r="B18" t="s">
        <x:v>267</x:v>
      </x:c>
      <x:c r="C18" t="s">
        <x:v>272</x:v>
      </x:c>
      <x:c r="D18" t="s">
        <x:v>273</x:v>
      </x:c>
      <x:c r="E18" t="s">
        <x:v>81</x:v>
      </x:c>
      <x:c r="F18">
        <x:v>14</x:v>
      </x:c>
      <x:c r="G18">
        <x:v>4</x:v>
      </x:c>
      <x:c r="H18">
        <x:v>5</x:v>
      </x:c>
      <x:c r="I18">
        <x:v>2</x:v>
      </x:c>
      <x:c r="J18">
        <x:v>46223</x:v>
      </x:c>
      <x:c r="K18">
        <x:v>46236</x:v>
      </x:c>
      <x:c r="L18" t="s">
        <x:v>142</x:v>
      </x:c>
      <x:c r="M18">
        <x:v>0</x:v>
      </x:c>
      <x:c r="P18">
        <x:v>14</x:v>
      </x:c>
    </x:row>
    <x:row r="19">
      <x:c r="A19" t="s">
        <x:v>87</x:v>
      </x:c>
      <x:c r="B19" t="s">
        <x:v>267</x:v>
      </x:c>
      <x:c r="C19" t="s">
        <x:v>274</x:v>
      </x:c>
      <x:c r="D19" t="s">
        <x:v>275</x:v>
      </x:c>
      <x:c r="E19" t="s">
        <x:v>84</x:v>
      </x:c>
      <x:c r="F19">
        <x:v>18</x:v>
      </x:c>
      <x:c r="G19">
        <x:v>5</x:v>
      </x:c>
      <x:c r="H19">
        <x:v>7</x:v>
      </x:c>
      <x:c r="I19">
        <x:v>3</x:v>
      </x:c>
      <x:c r="J19">
        <x:v>46230</x:v>
      </x:c>
      <x:c r="K19">
        <x:v>46250</x:v>
      </x:c>
      <x:c r="L19" t="s">
        <x:v>142</x:v>
      </x:c>
      <x:c r="M19">
        <x:v>0</x:v>
      </x:c>
      <x:c r="P19">
        <x:v>18</x:v>
      </x:c>
    </x:row>
    <x:row r="20">
      <x:c r="A20" t="s">
        <x:v>90</x:v>
      </x:c>
      <x:c r="B20" t="s">
        <x:v>267</x:v>
      </x:c>
      <x:c r="C20" t="s">
        <x:v>276</x:v>
      </x:c>
      <x:c r="D20" t="s">
        <x:v>277</x:v>
      </x:c>
      <x:c r="E20" t="s">
        <x:v>87</x:v>
      </x:c>
      <x:c r="F20">
        <x:v>6</x:v>
      </x:c>
      <x:c r="G20">
        <x:v>7</x:v>
      </x:c>
      <x:c r="H20">
        <x:v>8</x:v>
      </x:c>
      <x:c r="I20">
        <x:v>2</x:v>
      </x:c>
      <x:c r="J20">
        <x:v>46244</x:v>
      </x:c>
      <x:c r="K20">
        <x:v>46257</x:v>
      </x:c>
      <x:c r="L20" t="s">
        <x:v>142</x:v>
      </x:c>
      <x:c r="M20">
        <x:v>0</x:v>
      </x:c>
      <x:c r="P20">
        <x:v>6</x:v>
      </x:c>
    </x:row>
    <x:row r="21">
      <x:c r="A21" t="s">
        <x:v>278</x:v>
      </x:c>
      <x:c r="B21" t="s">
        <x:v>267</x:v>
      </x:c>
      <x:c r="C21" t="s">
        <x:v>279</x:v>
      </x:c>
      <x:c r="D21" t="s">
        <x:v>280</x:v>
      </x:c>
      <x:c r="E21" t="s">
        <x:v>90</x:v>
      </x:c>
      <x:c r="F21">
        <x:v>6</x:v>
      </x:c>
      <x:c r="G21">
        <x:v>8</x:v>
      </x:c>
      <x:c r="H21">
        <x:v>8</x:v>
      </x:c>
      <x:c r="I21">
        <x:v>1</x:v>
      </x:c>
      <x:c r="J21">
        <x:v>46251</x:v>
      </x:c>
      <x:c r="K21">
        <x:v>46257</x:v>
      </x:c>
      <x:c r="L21" t="s">
        <x:v>142</x:v>
      </x:c>
      <x:c r="M21">
        <x:v>0</x:v>
      </x:c>
      <x:c r="P21">
        <x:v>6</x:v>
      </x:c>
    </x:row>
    <x:row r="22">
      <x:c r="A22" t="s">
        <x:v>281</x:v>
      </x:c>
      <x:c r="B22" t="s">
        <x:v>267</x:v>
      </x:c>
      <x:c r="C22" t="s">
        <x:v>282</x:v>
      </x:c>
      <x:c r="D22" t="s">
        <x:v>283</x:v>
      </x:c>
      <x:c r="E22" t="s">
        <x:v>278</x:v>
      </x:c>
      <x:c r="F22">
        <x:v>6</x:v>
      </x:c>
      <x:c r="G22">
        <x:v>9</x:v>
      </x:c>
      <x:c r="H22">
        <x:v>9</x:v>
      </x:c>
      <x:c r="I22">
        <x:v>1</x:v>
      </x:c>
      <x:c r="J22">
        <x:v>46258</x:v>
      </x:c>
      <x:c r="K22">
        <x:v>46264</x:v>
      </x:c>
      <x:c r="L22" t="s">
        <x:v>142</x:v>
      </x:c>
      <x:c r="M22">
        <x:v>0</x:v>
      </x:c>
      <x:c r="P22">
        <x:v>6</x:v>
      </x:c>
    </x:row>
    <x:row r="23">
      <x:c r="A23" t="s">
        <x:v>94</x:v>
      </x:c>
      <x:c r="B23" t="s">
        <x:v>284</x:v>
      </x:c>
      <x:c r="C23" t="s">
        <x:v>285</x:v>
      </x:c>
      <x:c r="D23" t="s">
        <x:v>286</x:v>
      </x:c>
      <x:c r="E23" t="s">
        <x:v>281</x:v>
      </x:c>
      <x:c r="F23">
        <x:v>10</x:v>
      </x:c>
      <x:c r="G23">
        <x:v>10</x:v>
      </x:c>
      <x:c r="H23">
        <x:v>10</x:v>
      </x:c>
      <x:c r="I23">
        <x:v>1</x:v>
      </x:c>
      <x:c r="J23">
        <x:v>46265</x:v>
      </x:c>
      <x:c r="K23">
        <x:v>46271</x:v>
      </x:c>
      <x:c r="L23" t="s">
        <x:v>252</x:v>
      </x:c>
      <x:c r="M23">
        <x:v>0.2</x:v>
      </x:c>
      <x:c r="P23">
        <x:v>8</x:v>
      </x:c>
      <x:c r="Q23" t="s">
        <x:v>287</x:v>
      </x:c>
    </x:row>
    <x:row r="24">
      <x:c r="A24" t="s">
        <x:v>97</x:v>
      </x:c>
      <x:c r="B24" t="s">
        <x:v>284</x:v>
      </x:c>
      <x:c r="C24" t="s">
        <x:v>288</x:v>
      </x:c>
      <x:c r="D24" t="s">
        <x:v>289</x:v>
      </x:c>
      <x:c r="E24" t="s">
        <x:v>94</x:v>
      </x:c>
      <x:c r="F24">
        <x:v>12</x:v>
      </x:c>
      <x:c r="G24">
        <x:v>10</x:v>
      </x:c>
      <x:c r="H24">
        <x:v>11</x:v>
      </x:c>
      <x:c r="I24">
        <x:v>2</x:v>
      </x:c>
      <x:c r="J24">
        <x:v>46265</x:v>
      </x:c>
      <x:c r="K24">
        <x:v>46278</x:v>
      </x:c>
      <x:c r="L24" t="s">
        <x:v>252</x:v>
      </x:c>
      <x:c r="M24">
        <x:v>0.15</x:v>
      </x:c>
      <x:c r="N24">
        <x:v>0.62</x:v>
      </x:c>
      <x:c r="O24">
        <x:v>-11.38</x:v>
      </x:c>
      <x:c r="P24">
        <x:v>10.199999999999999</x:v>
      </x:c>
      <x:c r="Q24" t="s">
        <x:v>290</x:v>
      </x:c>
    </x:row>
    <x:row r="25">
      <x:c r="A25" t="s">
        <x:v>100</x:v>
      </x:c>
      <x:c r="B25" t="s">
        <x:v>284</x:v>
      </x:c>
      <x:c r="C25" t="s">
        <x:v>291</x:v>
      </x:c>
      <x:c r="D25" t="s">
        <x:v>292</x:v>
      </x:c>
      <x:c r="E25" t="s">
        <x:v>97</x:v>
      </x:c>
      <x:c r="F25">
        <x:v>14</x:v>
      </x:c>
      <x:c r="G25">
        <x:v>11</x:v>
      </x:c>
      <x:c r="H25">
        <x:v>12</x:v>
      </x:c>
      <x:c r="I25">
        <x:v>2</x:v>
      </x:c>
      <x:c r="J25">
        <x:v>46272</x:v>
      </x:c>
      <x:c r="K25">
        <x:v>46285</x:v>
      </x:c>
      <x:c r="L25" t="s">
        <x:v>245</x:v>
      </x:c>
      <x:c r="M25">
        <x:v>1</x:v>
      </x:c>
      <x:c r="P25">
        <x:v>0</x:v>
      </x:c>
      <x:c r="Q25" t="s">
        <x:v>293</x:v>
      </x:c>
    </x:row>
    <x:row r="26">
      <x:c r="A26" t="s">
        <x:v>103</x:v>
      </x:c>
      <x:c r="B26" t="s">
        <x:v>284</x:v>
      </x:c>
      <x:c r="C26" t="s">
        <x:v>294</x:v>
      </x:c>
      <x:c r="D26" t="s">
        <x:v>295</x:v>
      </x:c>
      <x:c r="E26" t="s">
        <x:v>100</x:v>
      </x:c>
      <x:c r="F26">
        <x:v>10</x:v>
      </x:c>
      <x:c r="G26">
        <x:v>12</x:v>
      </x:c>
      <x:c r="H26">
        <x:v>13</x:v>
      </x:c>
      <x:c r="I26">
        <x:v>2</x:v>
      </x:c>
      <x:c r="J26">
        <x:v>46279</x:v>
      </x:c>
      <x:c r="K26">
        <x:v>46292</x:v>
      </x:c>
      <x:c r="L26" t="s">
        <x:v>142</x:v>
      </x:c>
      <x:c r="M26">
        <x:v>0</x:v>
      </x:c>
      <x:c r="P26">
        <x:v>10</x:v>
      </x:c>
    </x:row>
    <x:row r="27">
      <x:c r="A27" t="s">
        <x:v>296</x:v>
      </x:c>
      <x:c r="B27" t="s">
        <x:v>284</x:v>
      </x:c>
      <x:c r="C27" t="s">
        <x:v>297</x:v>
      </x:c>
      <x:c r="D27" t="s">
        <x:v>298</x:v>
      </x:c>
      <x:c r="E27" t="s">
        <x:v>100</x:v>
      </x:c>
      <x:c r="F27">
        <x:v>10</x:v>
      </x:c>
      <x:c r="G27">
        <x:v>13</x:v>
      </x:c>
      <x:c r="H27">
        <x:v>14</x:v>
      </x:c>
      <x:c r="I27">
        <x:v>2</x:v>
      </x:c>
      <x:c r="J27">
        <x:v>46286</x:v>
      </x:c>
      <x:c r="K27">
        <x:v>46299</x:v>
      </x:c>
      <x:c r="L27" t="s">
        <x:v>142</x:v>
      </x:c>
      <x:c r="M27">
        <x:v>0</x:v>
      </x:c>
      <x:c r="P27">
        <x:v>10</x:v>
      </x:c>
    </x:row>
    <x:row r="28">
      <x:c r="A28" t="s">
        <x:v>299</x:v>
      </x:c>
      <x:c r="B28" t="s">
        <x:v>284</x:v>
      </x:c>
      <x:c r="C28" t="s">
        <x:v>300</x:v>
      </x:c>
      <x:c r="D28" t="s">
        <x:v>301</x:v>
      </x:c>
      <x:c r="E28" t="s">
        <x:v>103</x:v>
      </x:c>
      <x:c r="F28">
        <x:v>8</x:v>
      </x:c>
      <x:c r="G28">
        <x:v>14</x:v>
      </x:c>
      <x:c r="H28">
        <x:v>15</x:v>
      </x:c>
      <x:c r="I28">
        <x:v>2</x:v>
      </x:c>
      <x:c r="J28">
        <x:v>46293</x:v>
      </x:c>
      <x:c r="K28">
        <x:v>46306</x:v>
      </x:c>
      <x:c r="L28" t="s">
        <x:v>142</x:v>
      </x:c>
      <x:c r="M28">
        <x:v>0</x:v>
      </x:c>
      <x:c r="P28">
        <x:v>8</x:v>
      </x:c>
    </x:row>
    <x:row r="29">
      <x:c r="A29" t="s">
        <x:v>302</x:v>
      </x:c>
      <x:c r="B29" t="s">
        <x:v>284</x:v>
      </x:c>
      <x:c r="C29" t="s">
        <x:v>303</x:v>
      </x:c>
      <x:c r="D29" t="s">
        <x:v>304</x:v>
      </x:c>
      <x:c r="E29" t="s">
        <x:v>296</x:v>
      </x:c>
      <x:c r="F29">
        <x:v>4</x:v>
      </x:c>
      <x:c r="G29">
        <x:v>15</x:v>
      </x:c>
      <x:c r="H29">
        <x:v>15</x:v>
      </x:c>
      <x:c r="I29">
        <x:v>1</x:v>
      </x:c>
      <x:c r="J29">
        <x:v>46300</x:v>
      </x:c>
      <x:c r="K29">
        <x:v>46306</x:v>
      </x:c>
      <x:c r="L29" t="s">
        <x:v>142</x:v>
      </x:c>
      <x:c r="M29">
        <x:v>0</x:v>
      </x:c>
      <x:c r="P29">
        <x:v>4</x:v>
      </x:c>
    </x:row>
    <x:row r="30">
      <x:c r="A30" t="s">
        <x:v>305</x:v>
      </x:c>
      <x:c r="B30" t="s">
        <x:v>284</x:v>
      </x:c>
      <x:c r="C30" t="s">
        <x:v>306</x:v>
      </x:c>
      <x:c r="D30" t="s">
        <x:v>307</x:v>
      </x:c>
      <x:c r="E30" t="s">
        <x:v>299</x:v>
      </x:c>
      <x:c r="F30">
        <x:v>4</x:v>
      </x:c>
      <x:c r="G30">
        <x:v>16</x:v>
      </x:c>
      <x:c r="H30">
        <x:v>16</x:v>
      </x:c>
      <x:c r="I30">
        <x:v>1</x:v>
      </x:c>
      <x:c r="J30">
        <x:v>46307</x:v>
      </x:c>
      <x:c r="K30">
        <x:v>46313</x:v>
      </x:c>
      <x:c r="L30" t="s">
        <x:v>142</x:v>
      </x:c>
      <x:c r="M30">
        <x:v>0</x:v>
      </x:c>
      <x:c r="P30">
        <x:v>4</x:v>
      </x:c>
    </x:row>
    <x:row r="31">
      <x:c r="A31" t="s">
        <x:v>107</x:v>
      </x:c>
      <x:c r="B31" t="s">
        <x:v>308</x:v>
      </x:c>
      <x:c r="C31" t="s">
        <x:v>309</x:v>
      </x:c>
      <x:c r="D31" t="s">
        <x:v>310</x:v>
      </x:c>
      <x:c r="E31" t="s">
        <x:v>305</x:v>
      </x:c>
      <x:c r="F31">
        <x:v>18</x:v>
      </x:c>
      <x:c r="G31">
        <x:v>17</x:v>
      </x:c>
      <x:c r="H31">
        <x:v>18</x:v>
      </x:c>
      <x:c r="I31">
        <x:v>2</x:v>
      </x:c>
      <x:c r="J31">
        <x:v>46314</x:v>
      </x:c>
      <x:c r="K31">
        <x:v>46327</x:v>
      </x:c>
      <x:c r="L31" t="s">
        <x:v>142</x:v>
      </x:c>
      <x:c r="M31">
        <x:v>0</x:v>
      </x:c>
      <x:c r="P31">
        <x:v>18</x:v>
      </x:c>
    </x:row>
    <x:row r="32">
      <x:c r="A32" t="s">
        <x:v>110</x:v>
      </x:c>
      <x:c r="B32" t="s">
        <x:v>308</x:v>
      </x:c>
      <x:c r="C32" t="s">
        <x:v>311</x:v>
      </x:c>
      <x:c r="D32" t="s">
        <x:v>312</x:v>
      </x:c>
      <x:c r="E32" t="s">
        <x:v>107</x:v>
      </x:c>
      <x:c r="F32">
        <x:v>12</x:v>
      </x:c>
      <x:c r="G32">
        <x:v>18</x:v>
      </x:c>
      <x:c r="H32">
        <x:v>19</x:v>
      </x:c>
      <x:c r="I32">
        <x:v>2</x:v>
      </x:c>
      <x:c r="J32">
        <x:v>46321</x:v>
      </x:c>
      <x:c r="K32">
        <x:v>46334</x:v>
      </x:c>
      <x:c r="L32" t="s">
        <x:v>142</x:v>
      </x:c>
      <x:c r="M32">
        <x:v>0</x:v>
      </x:c>
      <x:c r="P32">
        <x:v>12</x:v>
      </x:c>
    </x:row>
    <x:row r="33">
      <x:c r="A33" t="s">
        <x:v>114</x:v>
      </x:c>
      <x:c r="B33" t="s">
        <x:v>308</x:v>
      </x:c>
      <x:c r="C33" t="s">
        <x:v>313</x:v>
      </x:c>
      <x:c r="D33" t="s">
        <x:v>314</x:v>
      </x:c>
      <x:c r="E33" t="s">
        <x:v>110</x:v>
      </x:c>
      <x:c r="F33">
        <x:v>12</x:v>
      </x:c>
      <x:c r="G33">
        <x:v>19</x:v>
      </x:c>
      <x:c r="H33">
        <x:v>20</x:v>
      </x:c>
      <x:c r="I33">
        <x:v>2</x:v>
      </x:c>
      <x:c r="J33">
        <x:v>46328</x:v>
      </x:c>
      <x:c r="K33">
        <x:v>46341</x:v>
      </x:c>
      <x:c r="L33" t="s">
        <x:v>142</x:v>
      </x:c>
      <x:c r="M33">
        <x:v>0</x:v>
      </x:c>
      <x:c r="P33">
        <x:v>12</x:v>
      </x:c>
    </x:row>
    <x:row r="34">
      <x:c r="A34" t="s">
        <x:v>117</x:v>
      </x:c>
      <x:c r="B34" t="s">
        <x:v>308</x:v>
      </x:c>
      <x:c r="C34" t="s">
        <x:v>315</x:v>
      </x:c>
      <x:c r="D34" t="s">
        <x:v>316</x:v>
      </x:c>
      <x:c r="E34" t="s">
        <x:v>114</x:v>
      </x:c>
      <x:c r="F34">
        <x:v>8</x:v>
      </x:c>
      <x:c r="G34">
        <x:v>20</x:v>
      </x:c>
      <x:c r="H34">
        <x:v>20</x:v>
      </x:c>
      <x:c r="I34">
        <x:v>1</x:v>
      </x:c>
      <x:c r="J34">
        <x:v>46335</x:v>
      </x:c>
      <x:c r="K34">
        <x:v>46341</x:v>
      </x:c>
      <x:c r="L34" t="s">
        <x:v>142</x:v>
      </x:c>
      <x:c r="M34">
        <x:v>0</x:v>
      </x:c>
      <x:c r="P34">
        <x:v>8</x:v>
      </x:c>
    </x:row>
    <x:row r="35">
      <x:c r="A35" t="s">
        <x:v>317</x:v>
      </x:c>
      <x:c r="B35" t="s">
        <x:v>308</x:v>
      </x:c>
      <x:c r="C35" t="s">
        <x:v>318</x:v>
      </x:c>
      <x:c r="D35" t="s">
        <x:v>319</x:v>
      </x:c>
      <x:c r="E35" t="s">
        <x:v>117</x:v>
      </x:c>
      <x:c r="F35">
        <x:v>10</x:v>
      </x:c>
      <x:c r="G35">
        <x:v>21</x:v>
      </x:c>
      <x:c r="H35">
        <x:v>21</x:v>
      </x:c>
      <x:c r="I35">
        <x:v>1</x:v>
      </x:c>
      <x:c r="J35">
        <x:v>46342</x:v>
      </x:c>
      <x:c r="K35">
        <x:v>46348</x:v>
      </x:c>
      <x:c r="L35" t="s">
        <x:v>142</x:v>
      </x:c>
      <x:c r="M35">
        <x:v>0</x:v>
      </x:c>
      <x:c r="P35">
        <x:v>10</x:v>
      </x:c>
    </x:row>
    <x:row r="36">
      <x:c r="A36" t="s">
        <x:v>320</x:v>
      </x:c>
      <x:c r="B36" t="s">
        <x:v>308</x:v>
      </x:c>
      <x:c r="C36" t="s">
        <x:v>321</x:v>
      </x:c>
      <x:c r="D36" t="s">
        <x:v>322</x:v>
      </x:c>
      <x:c r="E36" t="s">
        <x:v>317</x:v>
      </x:c>
      <x:c r="F36">
        <x:v>10</x:v>
      </x:c>
      <x:c r="G36">
        <x:v>21</x:v>
      </x:c>
      <x:c r="H36">
        <x:v>22</x:v>
      </x:c>
      <x:c r="I36">
        <x:v>2</x:v>
      </x:c>
      <x:c r="J36">
        <x:v>46342</x:v>
      </x:c>
      <x:c r="K36">
        <x:v>46355</x:v>
      </x:c>
      <x:c r="L36" t="s">
        <x:v>142</x:v>
      </x:c>
      <x:c r="M36">
        <x:v>0</x:v>
      </x:c>
      <x:c r="P36">
        <x:v>10</x:v>
      </x:c>
    </x:row>
    <x:row r="37">
      <x:c r="A37" t="s">
        <x:v>323</x:v>
      </x:c>
      <x:c r="B37" t="s">
        <x:v>308</x:v>
      </x:c>
      <x:c r="C37" t="s">
        <x:v>324</x:v>
      </x:c>
      <x:c r="D37" t="s">
        <x:v>325</x:v>
      </x:c>
      <x:c r="E37" t="s">
        <x:v>320</x:v>
      </x:c>
      <x:c r="F37">
        <x:v>10</x:v>
      </x:c>
      <x:c r="G37">
        <x:v>22</x:v>
      </x:c>
      <x:c r="H37">
        <x:v>23</x:v>
      </x:c>
      <x:c r="I37">
        <x:v>2</x:v>
      </x:c>
      <x:c r="J37">
        <x:v>46349</x:v>
      </x:c>
      <x:c r="K37">
        <x:v>46362</x:v>
      </x:c>
      <x:c r="L37" t="s">
        <x:v>142</x:v>
      </x:c>
      <x:c r="M37">
        <x:v>0</x:v>
      </x:c>
      <x:c r="P37">
        <x:v>10</x:v>
      </x:c>
    </x:row>
    <x:row r="38">
      <x:c r="A38" t="s">
        <x:v>326</x:v>
      </x:c>
      <x:c r="B38" t="s">
        <x:v>308</x:v>
      </x:c>
      <x:c r="C38" t="s">
        <x:v>327</x:v>
      </x:c>
      <x:c r="D38" t="s">
        <x:v>328</x:v>
      </x:c>
      <x:c r="E38" t="s">
        <x:v>323</x:v>
      </x:c>
      <x:c r="F38">
        <x:v>8</x:v>
      </x:c>
      <x:c r="G38">
        <x:v>24</x:v>
      </x:c>
      <x:c r="H38">
        <x:v>24</x:v>
      </x:c>
      <x:c r="I38">
        <x:v>1</x:v>
      </x:c>
      <x:c r="J38">
        <x:v>46363</x:v>
      </x:c>
      <x:c r="K38">
        <x:v>46369</x:v>
      </x:c>
      <x:c r="L38" t="s">
        <x:v>142</x:v>
      </x:c>
      <x:c r="M38">
        <x:v>0</x:v>
      </x:c>
      <x:c r="P38">
        <x:v>8</x:v>
      </x:c>
    </x:row>
    <x:row r="39">
      <x:c r="A39" t="s">
        <x:v>121</x:v>
      </x:c>
      <x:c r="B39" t="s">
        <x:v>329</x:v>
      </x:c>
      <x:c r="C39" t="s">
        <x:v>330</x:v>
      </x:c>
      <x:c r="D39" t="s">
        <x:v>331</x:v>
      </x:c>
      <x:c r="E39" t="s">
        <x:v>326</x:v>
      </x:c>
      <x:c r="F39">
        <x:v>8</x:v>
      </x:c>
      <x:c r="G39">
        <x:v>25</x:v>
      </x:c>
      <x:c r="H39">
        <x:v>25</x:v>
      </x:c>
      <x:c r="I39">
        <x:v>1</x:v>
      </x:c>
      <x:c r="J39">
        <x:v>46370</x:v>
      </x:c>
      <x:c r="K39">
        <x:v>46376</x:v>
      </x:c>
      <x:c r="L39" t="s">
        <x:v>142</x:v>
      </x:c>
      <x:c r="M39">
        <x:v>0</x:v>
      </x:c>
      <x:c r="P39">
        <x:v>8</x:v>
      </x:c>
    </x:row>
    <x:row r="40">
      <x:c r="A40" t="s">
        <x:v>124</x:v>
      </x:c>
      <x:c r="B40" t="s">
        <x:v>329</x:v>
      </x:c>
      <x:c r="C40" t="s">
        <x:v>332</x:v>
      </x:c>
      <x:c r="D40" t="s">
        <x:v>333</x:v>
      </x:c>
      <x:c r="E40" t="s">
        <x:v>121</x:v>
      </x:c>
      <x:c r="F40">
        <x:v>10</x:v>
      </x:c>
      <x:c r="G40">
        <x:v>25</x:v>
      </x:c>
      <x:c r="H40">
        <x:v>26</x:v>
      </x:c>
      <x:c r="I40">
        <x:v>2</x:v>
      </x:c>
      <x:c r="J40">
        <x:v>46370</x:v>
      </x:c>
      <x:c r="K40">
        <x:v>46383</x:v>
      </x:c>
      <x:c r="L40" t="s">
        <x:v>142</x:v>
      </x:c>
      <x:c r="M40">
        <x:v>0</x:v>
      </x:c>
      <x:c r="P40">
        <x:v>10</x:v>
      </x:c>
    </x:row>
    <x:row r="41">
      <x:c r="A41" t="s">
        <x:v>127</x:v>
      </x:c>
      <x:c r="B41" t="s">
        <x:v>329</x:v>
      </x:c>
      <x:c r="C41" t="s">
        <x:v>334</x:v>
      </x:c>
      <x:c r="D41" t="s">
        <x:v>335</x:v>
      </x:c>
      <x:c r="E41" t="s">
        <x:v>124</x:v>
      </x:c>
      <x:c r="F41">
        <x:v>18</x:v>
      </x:c>
      <x:c r="G41">
        <x:v>26</x:v>
      </x:c>
      <x:c r="H41">
        <x:v>28</x:v>
      </x:c>
      <x:c r="I41">
        <x:v>3</x:v>
      </x:c>
      <x:c r="J41">
        <x:v>46377</x:v>
      </x:c>
      <x:c r="K41">
        <x:v>46397</x:v>
      </x:c>
      <x:c r="L41" t="s">
        <x:v>142</x:v>
      </x:c>
      <x:c r="M41">
        <x:v>0</x:v>
      </x:c>
      <x:c r="P41">
        <x:v>18</x:v>
      </x:c>
    </x:row>
    <x:row r="42">
      <x:c r="A42" t="s">
        <x:v>336</x:v>
      </x:c>
      <x:c r="B42" t="s">
        <x:v>329</x:v>
      </x:c>
      <x:c r="C42" t="s">
        <x:v>337</x:v>
      </x:c>
      <x:c r="D42" t="s">
        <x:v>338</x:v>
      </x:c>
      <x:c r="E42" t="s">
        <x:v>127</x:v>
      </x:c>
      <x:c r="F42">
        <x:v>14</x:v>
      </x:c>
      <x:c r="G42">
        <x:v>28</x:v>
      </x:c>
      <x:c r="H42">
        <x:v>29</x:v>
      </x:c>
      <x:c r="I42">
        <x:v>2</x:v>
      </x:c>
      <x:c r="J42">
        <x:v>46391</x:v>
      </x:c>
      <x:c r="K42">
        <x:v>46404</x:v>
      </x:c>
      <x:c r="L42" t="s">
        <x:v>142</x:v>
      </x:c>
      <x:c r="M42">
        <x:v>0</x:v>
      </x:c>
      <x:c r="P42">
        <x:v>14</x:v>
      </x:c>
    </x:row>
    <x:row r="43">
      <x:c r="A43" t="s">
        <x:v>339</x:v>
      </x:c>
      <x:c r="B43" t="s">
        <x:v>329</x:v>
      </x:c>
      <x:c r="C43" t="s">
        <x:v>340</x:v>
      </x:c>
      <x:c r="D43" t="s">
        <x:v>341</x:v>
      </x:c>
      <x:c r="E43" t="s">
        <x:v>127</x:v>
      </x:c>
      <x:c r="F43">
        <x:v>14</x:v>
      </x:c>
      <x:c r="G43">
        <x:v>29</x:v>
      </x:c>
      <x:c r="H43">
        <x:v>30</x:v>
      </x:c>
      <x:c r="I43">
        <x:v>2</x:v>
      </x:c>
      <x:c r="J43">
        <x:v>46398</x:v>
      </x:c>
      <x:c r="K43">
        <x:v>46411</x:v>
      </x:c>
      <x:c r="L43" t="s">
        <x:v>142</x:v>
      </x:c>
      <x:c r="M43">
        <x:v>0</x:v>
      </x:c>
      <x:c r="P43">
        <x:v>14</x:v>
      </x:c>
    </x:row>
    <x:row r="44">
      <x:c r="A44" t="s">
        <x:v>342</x:v>
      </x:c>
      <x:c r="B44" t="s">
        <x:v>329</x:v>
      </x:c>
      <x:c r="C44" t="s">
        <x:v>343</x:v>
      </x:c>
      <x:c r="D44" t="s">
        <x:v>344</x:v>
      </x:c>
      <x:c r="E44" t="s">
        <x:v>336</x:v>
      </x:c>
      <x:c r="F44">
        <x:v>20</x:v>
      </x:c>
      <x:c r="G44">
        <x:v>30</x:v>
      </x:c>
      <x:c r="H44">
        <x:v>31</x:v>
      </x:c>
      <x:c r="I44">
        <x:v>2</x:v>
      </x:c>
      <x:c r="J44">
        <x:v>46405</x:v>
      </x:c>
      <x:c r="K44">
        <x:v>46418</x:v>
      </x:c>
      <x:c r="L44" t="s">
        <x:v>142</x:v>
      </x:c>
      <x:c r="M44">
        <x:v>0</x:v>
      </x:c>
      <x:c r="P44">
        <x:v>20</x:v>
      </x:c>
    </x:row>
    <x:row r="45">
      <x:c r="A45" t="s">
        <x:v>345</x:v>
      </x:c>
      <x:c r="B45" t="s">
        <x:v>329</x:v>
      </x:c>
      <x:c r="C45" t="s">
        <x:v>346</x:v>
      </x:c>
      <x:c r="D45" t="s">
        <x:v>347</x:v>
      </x:c>
      <x:c r="E45" t="s">
        <x:v>342</x:v>
      </x:c>
      <x:c r="F45">
        <x:v>12</x:v>
      </x:c>
      <x:c r="G45">
        <x:v>32</x:v>
      </x:c>
      <x:c r="H45">
        <x:v>32</x:v>
      </x:c>
      <x:c r="I45">
        <x:v>1</x:v>
      </x:c>
      <x:c r="J45">
        <x:v>46419</x:v>
      </x:c>
      <x:c r="K45">
        <x:v>46425</x:v>
      </x:c>
      <x:c r="L45" t="s">
        <x:v>142</x:v>
      </x:c>
      <x:c r="M45">
        <x:v>0</x:v>
      </x:c>
      <x:c r="P45">
        <x:v>12</x:v>
      </x:c>
    </x:row>
    <x:row r="46">
      <x:c r="A46" t="s">
        <x:v>131</x:v>
      </x:c>
      <x:c r="B46" t="s">
        <x:v>348</x:v>
      </x:c>
      <x:c r="C46" t="s">
        <x:v>349</x:v>
      </x:c>
      <x:c r="D46" t="s">
        <x:v>350</x:v>
      </x:c>
      <x:c r="E46" t="s">
        <x:v>345</x:v>
      </x:c>
      <x:c r="F46">
        <x:v>10</x:v>
      </x:c>
      <x:c r="G46">
        <x:v>33</x:v>
      </x:c>
      <x:c r="H46">
        <x:v>33</x:v>
      </x:c>
      <x:c r="I46">
        <x:v>1</x:v>
      </x:c>
      <x:c r="J46">
        <x:v>46426</x:v>
      </x:c>
      <x:c r="K46">
        <x:v>46432</x:v>
      </x:c>
      <x:c r="L46" t="s">
        <x:v>142</x:v>
      </x:c>
      <x:c r="M46">
        <x:v>0</x:v>
      </x:c>
      <x:c r="P46">
        <x:v>10</x:v>
      </x:c>
    </x:row>
    <x:row r="47">
      <x:c r="A47" t="s">
        <x:v>135</x:v>
      </x:c>
      <x:c r="B47" t="s">
        <x:v>348</x:v>
      </x:c>
      <x:c r="C47" t="s">
        <x:v>351</x:v>
      </x:c>
      <x:c r="D47" t="s">
        <x:v>352</x:v>
      </x:c>
      <x:c r="E47" t="s">
        <x:v>131</x:v>
      </x:c>
      <x:c r="F47">
        <x:v>16</x:v>
      </x:c>
      <x:c r="G47">
        <x:v>34</x:v>
      </x:c>
      <x:c r="H47">
        <x:v>35</x:v>
      </x:c>
      <x:c r="I47">
        <x:v>2</x:v>
      </x:c>
      <x:c r="J47">
        <x:v>46433</x:v>
      </x:c>
      <x:c r="K47">
        <x:v>46446</x:v>
      </x:c>
      <x:c r="L47" t="s">
        <x:v>142</x:v>
      </x:c>
      <x:c r="M47">
        <x:v>0</x:v>
      </x:c>
      <x:c r="P47">
        <x:v>16</x:v>
      </x:c>
    </x:row>
    <x:row r="48">
      <x:c r="A48" t="s">
        <x:v>138</x:v>
      </x:c>
      <x:c r="B48" t="s">
        <x:v>348</x:v>
      </x:c>
      <x:c r="C48" t="s">
        <x:v>353</x:v>
      </x:c>
      <x:c r="D48" t="s">
        <x:v>354</x:v>
      </x:c>
      <x:c r="E48" t="s">
        <x:v>135</x:v>
      </x:c>
      <x:c r="F48">
        <x:v>12</x:v>
      </x:c>
      <x:c r="G48">
        <x:v>35</x:v>
      </x:c>
      <x:c r="H48">
        <x:v>36</x:v>
      </x:c>
      <x:c r="I48">
        <x:v>2</x:v>
      </x:c>
      <x:c r="J48">
        <x:v>46440</x:v>
      </x:c>
      <x:c r="K48">
        <x:v>46453</x:v>
      </x:c>
      <x:c r="L48" t="s">
        <x:v>142</x:v>
      </x:c>
      <x:c r="M48">
        <x:v>0</x:v>
      </x:c>
      <x:c r="P48">
        <x:v>12</x:v>
      </x:c>
    </x:row>
    <x:row r="49">
      <x:c r="A49" t="s">
        <x:v>355</x:v>
      </x:c>
      <x:c r="B49" t="s">
        <x:v>348</x:v>
      </x:c>
      <x:c r="C49" t="s">
        <x:v>356</x:v>
      </x:c>
      <x:c r="D49" t="s">
        <x:v>357</x:v>
      </x:c>
      <x:c r="E49" t="s">
        <x:v>138</x:v>
      </x:c>
      <x:c r="F49">
        <x:v>10</x:v>
      </x:c>
      <x:c r="G49">
        <x:v>36</x:v>
      </x:c>
      <x:c r="H49">
        <x:v>36</x:v>
      </x:c>
      <x:c r="I49">
        <x:v>1</x:v>
      </x:c>
      <x:c r="J49">
        <x:v>46447</x:v>
      </x:c>
      <x:c r="K49">
        <x:v>46453</x:v>
      </x:c>
      <x:c r="L49" t="s">
        <x:v>142</x:v>
      </x:c>
      <x:c r="M49">
        <x:v>0</x:v>
      </x:c>
      <x:c r="P49">
        <x:v>10</x:v>
      </x:c>
    </x:row>
    <x:row r="50">
      <x:c r="A50" t="s">
        <x:v>358</x:v>
      </x:c>
      <x:c r="B50" t="s">
        <x:v>348</x:v>
      </x:c>
      <x:c r="C50" t="s">
        <x:v>359</x:v>
      </x:c>
      <x:c r="D50" t="s">
        <x:v>360</x:v>
      </x:c>
      <x:c r="E50" t="s">
        <x:v>355</x:v>
      </x:c>
      <x:c r="F50">
        <x:v>16</x:v>
      </x:c>
      <x:c r="G50">
        <x:v>37</x:v>
      </x:c>
      <x:c r="H50">
        <x:v>38</x:v>
      </x:c>
      <x:c r="I50">
        <x:v>2</x:v>
      </x:c>
      <x:c r="J50">
        <x:v>46454</x:v>
      </x:c>
      <x:c r="K50">
        <x:v>46467</x:v>
      </x:c>
      <x:c r="L50" t="s">
        <x:v>142</x:v>
      </x:c>
      <x:c r="M50">
        <x:v>0</x:v>
      </x:c>
      <x:c r="P50">
        <x:v>16</x:v>
      </x:c>
    </x:row>
    <x:row r="51">
      <x:c r="A51" t="s">
        <x:v>361</x:v>
      </x:c>
      <x:c r="B51" t="s">
        <x:v>348</x:v>
      </x:c>
      <x:c r="C51" t="s">
        <x:v>362</x:v>
      </x:c>
      <x:c r="D51" t="s">
        <x:v>363</x:v>
      </x:c>
      <x:c r="E51" t="s">
        <x:v>358</x:v>
      </x:c>
      <x:c r="F51">
        <x:v>14</x:v>
      </x:c>
      <x:c r="G51">
        <x:v>38</x:v>
      </x:c>
      <x:c r="H51">
        <x:v>39</x:v>
      </x:c>
      <x:c r="I51">
        <x:v>2</x:v>
      </x:c>
      <x:c r="J51">
        <x:v>46461</x:v>
      </x:c>
      <x:c r="K51">
        <x:v>46474</x:v>
      </x:c>
      <x:c r="L51" t="s">
        <x:v>142</x:v>
      </x:c>
      <x:c r="M51">
        <x:v>0</x:v>
      </x:c>
      <x:c r="P51">
        <x:v>14</x:v>
      </x:c>
    </x:row>
    <x:row r="52">
      <x:c r="A52" t="s">
        <x:v>364</x:v>
      </x:c>
      <x:c r="B52" t="s">
        <x:v>348</x:v>
      </x:c>
      <x:c r="C52" t="s">
        <x:v>365</x:v>
      </x:c>
      <x:c r="D52" t="s">
        <x:v>366</x:v>
      </x:c>
      <x:c r="E52" t="s">
        <x:v>361</x:v>
      </x:c>
      <x:c r="F52">
        <x:v>16</x:v>
      </x:c>
      <x:c r="G52">
        <x:v>40</x:v>
      </x:c>
      <x:c r="H52">
        <x:v>41</x:v>
      </x:c>
      <x:c r="I52">
        <x:v>2</x:v>
      </x:c>
      <x:c r="J52">
        <x:v>46475</x:v>
      </x:c>
      <x:c r="K52">
        <x:v>46488</x:v>
      </x:c>
      <x:c r="L52" t="s">
        <x:v>142</x:v>
      </x:c>
      <x:c r="M52">
        <x:v>0</x:v>
      </x:c>
      <x:c r="P52">
        <x:v>16</x:v>
      </x:c>
    </x:row>
    <x:row r="53">
      <x:c r="A53" t="s">
        <x:v>367</x:v>
      </x:c>
      <x:c r="B53" t="s">
        <x:v>348</x:v>
      </x:c>
      <x:c r="C53" t="s">
        <x:v>368</x:v>
      </x:c>
      <x:c r="D53" t="s">
        <x:v>369</x:v>
      </x:c>
      <x:c r="E53" t="s">
        <x:v>364</x:v>
      </x:c>
      <x:c r="F53">
        <x:v>10</x:v>
      </x:c>
      <x:c r="G53">
        <x:v>42</x:v>
      </x:c>
      <x:c r="H53">
        <x:v>42</x:v>
      </x:c>
      <x:c r="I53">
        <x:v>1</x:v>
      </x:c>
      <x:c r="J53">
        <x:v>46489</x:v>
      </x:c>
      <x:c r="K53">
        <x:v>46495</x:v>
      </x:c>
      <x:c r="L53" t="s">
        <x:v>142</x:v>
      </x:c>
      <x:c r="M53">
        <x:v>0</x:v>
      </x:c>
      <x:c r="P53">
        <x:v>10</x:v>
      </x:c>
    </x:row>
    <x:row r="54">
      <x:c r="A54" t="s">
        <x:v>370</x:v>
      </x:c>
      <x:c r="B54" t="s">
        <x:v>371</x:v>
      </x:c>
      <x:c r="C54" t="s">
        <x:v>372</x:v>
      </x:c>
      <x:c r="D54" t="s">
        <x:v>373</x:v>
      </x:c>
      <x:c r="E54" t="s">
        <x:v>367</x:v>
      </x:c>
      <x:c r="F54">
        <x:v>6</x:v>
      </x:c>
      <x:c r="G54">
        <x:v>43</x:v>
      </x:c>
      <x:c r="H54">
        <x:v>43</x:v>
      </x:c>
      <x:c r="I54">
        <x:v>1</x:v>
      </x:c>
      <x:c r="J54">
        <x:v>46496</x:v>
      </x:c>
      <x:c r="K54">
        <x:v>46502</x:v>
      </x:c>
      <x:c r="L54" t="s">
        <x:v>142</x:v>
      </x:c>
      <x:c r="M54">
        <x:v>0</x:v>
      </x:c>
      <x:c r="P54">
        <x:v>6</x:v>
      </x:c>
    </x:row>
    <x:row r="55">
      <x:c r="A55" t="s">
        <x:v>374</x:v>
      </x:c>
      <x:c r="B55" t="s">
        <x:v>371</x:v>
      </x:c>
      <x:c r="C55" t="s">
        <x:v>375</x:v>
      </x:c>
      <x:c r="D55" t="s">
        <x:v>376</x:v>
      </x:c>
      <x:c r="E55" t="s">
        <x:v>370</x:v>
      </x:c>
      <x:c r="F55">
        <x:v>10</x:v>
      </x:c>
      <x:c r="G55">
        <x:v>43</x:v>
      </x:c>
      <x:c r="H55">
        <x:v>44</x:v>
      </x:c>
      <x:c r="I55">
        <x:v>2</x:v>
      </x:c>
      <x:c r="J55">
        <x:v>46496</x:v>
      </x:c>
      <x:c r="K55">
        <x:v>46509</x:v>
      </x:c>
      <x:c r="L55" t="s">
        <x:v>142</x:v>
      </x:c>
      <x:c r="M55">
        <x:v>0</x:v>
      </x:c>
      <x:c r="P55">
        <x:v>10</x:v>
      </x:c>
    </x:row>
    <x:row r="56">
      <x:c r="A56" t="s">
        <x:v>377</x:v>
      </x:c>
      <x:c r="B56" t="s">
        <x:v>371</x:v>
      </x:c>
      <x:c r="C56" t="s">
        <x:v>378</x:v>
      </x:c>
      <x:c r="D56" t="s">
        <x:v>379</x:v>
      </x:c>
      <x:c r="E56" t="s">
        <x:v>374</x:v>
      </x:c>
      <x:c r="F56">
        <x:v>14</x:v>
      </x:c>
      <x:c r="G56">
        <x:v>44</x:v>
      </x:c>
      <x:c r="H56">
        <x:v>45</x:v>
      </x:c>
      <x:c r="I56">
        <x:v>2</x:v>
      </x:c>
      <x:c r="J56">
        <x:v>46503</x:v>
      </x:c>
      <x:c r="K56">
        <x:v>46516</x:v>
      </x:c>
      <x:c r="L56" t="s">
        <x:v>142</x:v>
      </x:c>
      <x:c r="M56">
        <x:v>0</x:v>
      </x:c>
      <x:c r="P56">
        <x:v>14</x:v>
      </x:c>
    </x:row>
    <x:row r="57">
      <x:c r="A57" t="s">
        <x:v>380</x:v>
      </x:c>
      <x:c r="B57" t="s">
        <x:v>371</x:v>
      </x:c>
      <x:c r="C57" t="s">
        <x:v>381</x:v>
      </x:c>
      <x:c r="D57" t="s">
        <x:v>382</x:v>
      </x:c>
      <x:c r="E57" t="s">
        <x:v>377</x:v>
      </x:c>
      <x:c r="F57">
        <x:v>8</x:v>
      </x:c>
      <x:c r="G57">
        <x:v>45</x:v>
      </x:c>
      <x:c r="H57">
        <x:v>46</x:v>
      </x:c>
      <x:c r="I57">
        <x:v>2</x:v>
      </x:c>
      <x:c r="J57">
        <x:v>46510</x:v>
      </x:c>
      <x:c r="K57">
        <x:v>46523</x:v>
      </x:c>
      <x:c r="L57" t="s">
        <x:v>142</x:v>
      </x:c>
      <x:c r="M57">
        <x:v>0</x:v>
      </x:c>
      <x:c r="P57">
        <x:v>8</x:v>
      </x:c>
    </x:row>
    <x:row r="58">
      <x:c r="A58" t="s">
        <x:v>383</x:v>
      </x:c>
      <x:c r="B58" t="s">
        <x:v>371</x:v>
      </x:c>
      <x:c r="C58" t="s">
        <x:v>384</x:v>
      </x:c>
      <x:c r="D58" t="s">
        <x:v>385</x:v>
      </x:c>
      <x:c r="E58" t="s">
        <x:v>380</x:v>
      </x:c>
      <x:c r="F58">
        <x:v>10</x:v>
      </x:c>
      <x:c r="G58">
        <x:v>46</x:v>
      </x:c>
      <x:c r="H58">
        <x:v>47</x:v>
      </x:c>
      <x:c r="I58">
        <x:v>2</x:v>
      </x:c>
      <x:c r="J58">
        <x:v>46517</x:v>
      </x:c>
      <x:c r="K58">
        <x:v>46530</x:v>
      </x:c>
      <x:c r="L58" t="s">
        <x:v>142</x:v>
      </x:c>
      <x:c r="M58">
        <x:v>0</x:v>
      </x:c>
      <x:c r="P58">
        <x:v>10</x:v>
      </x:c>
    </x:row>
    <x:row r="59">
      <x:c r="A59" t="s">
        <x:v>386</x:v>
      </x:c>
      <x:c r="B59" t="s">
        <x:v>371</x:v>
      </x:c>
      <x:c r="C59" t="s">
        <x:v>387</x:v>
      </x:c>
      <x:c r="D59" t="s">
        <x:v>388</x:v>
      </x:c>
      <x:c r="E59" t="s">
        <x:v>383</x:v>
      </x:c>
      <x:c r="F59">
        <x:v>4</x:v>
      </x:c>
      <x:c r="G59">
        <x:v>47</x:v>
      </x:c>
      <x:c r="H59">
        <x:v>47</x:v>
      </x:c>
      <x:c r="I59">
        <x:v>1</x:v>
      </x:c>
      <x:c r="J59">
        <x:v>46524</x:v>
      </x:c>
      <x:c r="K59">
        <x:v>46530</x:v>
      </x:c>
      <x:c r="L59" t="s">
        <x:v>142</x:v>
      </x:c>
      <x:c r="M59">
        <x:v>0</x:v>
      </x:c>
      <x:c r="P59">
        <x:v>4</x:v>
      </x:c>
    </x:row>
    <x:row r="60">
      <x:c r="A60" t="s">
        <x:v>389</x:v>
      </x:c>
      <x:c r="B60" t="s">
        <x:v>390</x:v>
      </x:c>
      <x:c r="C60" t="s">
        <x:v>391</x:v>
      </x:c>
      <x:c r="D60" t="s">
        <x:v>392</x:v>
      </x:c>
      <x:c r="E60" t="s">
        <x:v>386</x:v>
      </x:c>
      <x:c r="F60">
        <x:v>12</x:v>
      </x:c>
      <x:c r="G60">
        <x:v>48</x:v>
      </x:c>
      <x:c r="H60">
        <x:v>48</x:v>
      </x:c>
      <x:c r="I60">
        <x:v>1</x:v>
      </x:c>
      <x:c r="J60">
        <x:v>46531</x:v>
      </x:c>
      <x:c r="K60">
        <x:v>46537</x:v>
      </x:c>
      <x:c r="L60" t="s">
        <x:v>142</x:v>
      </x:c>
      <x:c r="M60">
        <x:v>0</x:v>
      </x:c>
      <x:c r="P60">
        <x:v>12</x:v>
      </x:c>
    </x:row>
    <x:row r="61">
      <x:c r="A61" t="s">
        <x:v>393</x:v>
      </x:c>
      <x:c r="B61" t="s">
        <x:v>390</x:v>
      </x:c>
      <x:c r="C61" t="s">
        <x:v>394</x:v>
      </x:c>
      <x:c r="D61" t="s">
        <x:v>395</x:v>
      </x:c>
      <x:c r="E61" t="s">
        <x:v>389</x:v>
      </x:c>
      <x:c r="F61">
        <x:v>10</x:v>
      </x:c>
      <x:c r="G61">
        <x:v>48</x:v>
      </x:c>
      <x:c r="H61">
        <x:v>49</x:v>
      </x:c>
      <x:c r="I61">
        <x:v>2</x:v>
      </x:c>
      <x:c r="J61">
        <x:v>46531</x:v>
      </x:c>
      <x:c r="K61">
        <x:v>46544</x:v>
      </x:c>
      <x:c r="L61" t="s">
        <x:v>142</x:v>
      </x:c>
      <x:c r="M61">
        <x:v>0</x:v>
      </x:c>
      <x:c r="P61">
        <x:v>10</x:v>
      </x:c>
    </x:row>
    <x:row r="62">
      <x:c r="A62" t="s">
        <x:v>396</x:v>
      </x:c>
      <x:c r="B62" t="s">
        <x:v>390</x:v>
      </x:c>
      <x:c r="C62" t="s">
        <x:v>397</x:v>
      </x:c>
      <x:c r="D62" t="s">
        <x:v>398</x:v>
      </x:c>
      <x:c r="E62" t="s">
        <x:v>389</x:v>
      </x:c>
      <x:c r="F62">
        <x:v>10</x:v>
      </x:c>
      <x:c r="G62">
        <x:v>49</x:v>
      </x:c>
      <x:c r="H62">
        <x:v>50</x:v>
      </x:c>
      <x:c r="I62">
        <x:v>2</x:v>
      </x:c>
      <x:c r="J62">
        <x:v>46538</x:v>
      </x:c>
      <x:c r="K62">
        <x:v>46551</x:v>
      </x:c>
      <x:c r="L62" t="s">
        <x:v>142</x:v>
      </x:c>
      <x:c r="M62">
        <x:v>0</x:v>
      </x:c>
      <x:c r="P62">
        <x:v>10</x:v>
      </x:c>
    </x:row>
    <x:row r="63">
      <x:c r="A63" t="s">
        <x:v>399</x:v>
      </x:c>
      <x:c r="B63" t="s">
        <x:v>390</x:v>
      </x:c>
      <x:c r="C63" t="s">
        <x:v>400</x:v>
      </x:c>
      <x:c r="D63" t="s">
        <x:v>401</x:v>
      </x:c>
      <x:c r="E63" t="s">
        <x:v>393</x:v>
      </x:c>
      <x:c r="F63">
        <x:v>10</x:v>
      </x:c>
      <x:c r="G63">
        <x:v>50</x:v>
      </x:c>
      <x:c r="H63">
        <x:v>50</x:v>
      </x:c>
      <x:c r="I63">
        <x:v>1</x:v>
      </x:c>
      <x:c r="J63">
        <x:v>46545</x:v>
      </x:c>
      <x:c r="K63">
        <x:v>46551</x:v>
      </x:c>
      <x:c r="L63" t="s">
        <x:v>142</x:v>
      </x:c>
      <x:c r="M63">
        <x:v>0</x:v>
      </x:c>
      <x:c r="P63">
        <x:v>10</x:v>
      </x:c>
    </x:row>
    <x:row r="64">
      <x:c r="A64" t="s">
        <x:v>402</x:v>
      </x:c>
      <x:c r="B64" t="s">
        <x:v>390</x:v>
      </x:c>
      <x:c r="C64" t="s">
        <x:v>403</x:v>
      </x:c>
      <x:c r="D64" t="s">
        <x:v>404</x:v>
      </x:c>
      <x:c r="E64" t="s">
        <x:v>396</x:v>
      </x:c>
      <x:c r="F64">
        <x:v>8</x:v>
      </x:c>
      <x:c r="G64">
        <x:v>51</x:v>
      </x:c>
      <x:c r="H64">
        <x:v>51</x:v>
      </x:c>
      <x:c r="I64">
        <x:v>1</x:v>
      </x:c>
      <x:c r="J64">
        <x:v>46552</x:v>
      </x:c>
      <x:c r="K64">
        <x:v>46558</x:v>
      </x:c>
      <x:c r="L64" t="s">
        <x:v>142</x:v>
      </x:c>
      <x:c r="M64">
        <x:v>0</x:v>
      </x:c>
      <x:c r="P64">
        <x:v>8</x:v>
      </x:c>
    </x:row>
    <x:row r="65">
      <x:c r="A65" t="s">
        <x:v>405</x:v>
      </x:c>
      <x:c r="B65" t="s">
        <x:v>390</x:v>
      </x:c>
      <x:c r="C65" t="s">
        <x:v>406</x:v>
      </x:c>
      <x:c r="D65" t="s">
        <x:v>407</x:v>
      </x:c>
      <x:c r="E65" t="s">
        <x:v>399</x:v>
      </x:c>
      <x:c r="F65">
        <x:v>6</x:v>
      </x:c>
      <x:c r="G65">
        <x:v>51</x:v>
      </x:c>
      <x:c r="H65">
        <x:v>52</x:v>
      </x:c>
      <x:c r="I65">
        <x:v>2</x:v>
      </x:c>
      <x:c r="J65">
        <x:v>46552</x:v>
      </x:c>
      <x:c r="K65">
        <x:v>46565</x:v>
      </x:c>
      <x:c r="L65" t="s">
        <x:v>142</x:v>
      </x:c>
      <x:c r="M65">
        <x:v>0</x:v>
      </x:c>
      <x:c r="P65">
        <x:v>6</x:v>
      </x:c>
    </x:row>
    <x:row r="66">
      <x:c r="A66" t="s">
        <x:v>408</x:v>
      </x:c>
      <x:c r="B66" t="s">
        <x:v>390</x:v>
      </x:c>
      <x:c r="C66" t="s">
        <x:v>409</x:v>
      </x:c>
      <x:c r="D66" t="s">
        <x:v>410</x:v>
      </x:c>
      <x:c r="E66" t="s">
        <x:v>402</x:v>
      </x:c>
      <x:c r="F66">
        <x:v>4</x:v>
      </x:c>
      <x:c r="G66">
        <x:v>52</x:v>
      </x:c>
      <x:c r="H66">
        <x:v>52</x:v>
      </x:c>
      <x:c r="I66">
        <x:v>1</x:v>
      </x:c>
      <x:c r="J66">
        <x:v>46559</x:v>
      </x:c>
      <x:c r="K66">
        <x:v>46565</x:v>
      </x:c>
      <x:c r="L66" t="s">
        <x:v>142</x:v>
      </x:c>
      <x:c r="M66">
        <x:v>0</x:v>
      </x:c>
      <x:c r="P66">
        <x:v>4</x:v>
      </x:c>
    </x:row>
    <x:row r="69">
      <x:c r="A69" t="s">
        <x:v>411</x:v>
      </x:c>
    </x:row>
    <x:row r="70">
      <x:c r="A70" t="s">
        <x:v>48</x:v>
      </x:c>
      <x:c r="B70" t="s">
        <x:v>1</x:v>
      </x:c>
      <x:c r="C70" t="s">
        <x:v>412</x:v>
      </x:c>
      <x:c r="D70" t="s">
        <x:v>413</x:v>
      </x:c>
      <x:c r="E70" t="s">
        <x:v>5</x:v>
      </x:c>
      <x:c r="F70" t="s">
        <x:v>6</x:v>
      </x:c>
      <x:c r="G70" t="s">
        <x:v>7</x:v>
      </x:c>
      <x:c r="H70" t="s">
        <x:v>8</x:v>
      </x:c>
      <x:c r="I70" t="s">
        <x:v>414</x:v>
      </x:c>
      <x:c r="J70" t="s">
        <x:v>415</x:v>
      </x:c>
      <x:c r="K70" t="s">
        <x:v>416</x:v>
      </x:c>
      <x:c r="L70" t="s">
        <x:v>417</x:v>
      </x:c>
      <x:c r="M70" t="s">
        <x:v>418</x:v>
      </x:c>
      <x:c r="N70" t="s">
        <x:v>419</x:v>
      </x:c>
      <x:c r="O70" t="s">
        <x:v>420</x:v>
      </x:c>
      <x:c r="P70" t="s">
        <x:v>421</x:v>
      </x:c>
      <x:c r="Q70" t="s">
        <x:v>422</x:v>
      </x:c>
      <x:c r="R70" t="s">
        <x:v>423</x:v>
      </x:c>
      <x:c r="S70" t="s">
        <x:v>424</x:v>
      </x:c>
      <x:c r="T70" t="s">
        <x:v>425</x:v>
      </x:c>
    </x:row>
    <x:row r="71">
      <x:c r="A71" t="s">
        <x:v>17</x:v>
      </x:c>
      <x:c r="B71" t="s">
        <x:v>242</x:v>
      </x:c>
      <x:c r="C71">
        <x:v>40</x:v>
      </x:c>
      <x:c r="D71">
        <x:v>6.9444444444444448E-2</x:v>
      </x:c>
      <x:c r="E71">
        <x:v>46202</x:v>
      </x:c>
      <x:c r="F71">
        <x:v>46565</x:v>
      </x:c>
      <x:c r="G71" t="s">
        <x:v>426</x:v>
      </x:c>
      <x:c r="H71" t="s">
        <x:v>427</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267</x:v>
      </x:c>
      <x:c r="C72">
        <x:v>64</x:v>
      </x:c>
      <x:c r="D72">
        <x:v>0.1111111111111111</x:v>
      </x:c>
      <x:c r="E72">
        <x:v>46216</x:v>
      </x:c>
      <x:c r="F72">
        <x:v>46264</x:v>
      </x:c>
      <x:c r="G72" t="s">
        <x:v>428</x:v>
      </x:c>
      <x:c r="H72" t="s">
        <x:v>429</x:v>
      </x:c>
      <x:c r="I72" t="s">
        <x:v>21</x:v>
      </x:c>
      <x:c r="J72" t="s">
        <x:v>21</x:v>
      </x:c>
    </x:row>
    <x:row r="73">
      <x:c r="A73" t="s">
        <x:v>26</x:v>
      </x:c>
      <x:c r="B73" t="s">
        <x:v>284</x:v>
      </x:c>
      <x:c r="C73">
        <x:v>72</x:v>
      </x:c>
      <x:c r="D73">
        <x:v>0.125</x:v>
      </x:c>
      <x:c r="E73">
        <x:v>46265</x:v>
      </x:c>
      <x:c r="F73">
        <x:v>46313</x:v>
      </x:c>
      <x:c r="G73" t="s">
        <x:v>430</x:v>
      </x:c>
      <x:c r="H73" t="s">
        <x:v>431</x:v>
      </x:c>
      <x:c r="J73" t="s">
        <x:v>21</x:v>
      </x:c>
      <x:c r="K73" t="s">
        <x:v>21</x:v>
      </x:c>
      <x:c r="L73" t="s">
        <x:v>21</x:v>
      </x:c>
    </x:row>
    <x:row r="74">
      <x:c r="A74" t="s">
        <x:v>30</x:v>
      </x:c>
      <x:c r="B74" t="s">
        <x:v>308</x:v>
      </x:c>
      <x:c r="C74">
        <x:v>88</x:v>
      </x:c>
      <x:c r="D74">
        <x:v>0.15277777777777779</x:v>
      </x:c>
      <x:c r="E74">
        <x:v>46314</x:v>
      </x:c>
      <x:c r="F74">
        <x:v>46369</x:v>
      </x:c>
      <x:c r="G74" t="s">
        <x:v>432</x:v>
      </x:c>
      <x:c r="H74" t="s">
        <x:v>433</x:v>
      </x:c>
      <x:c r="L74" t="s">
        <x:v>21</x:v>
      </x:c>
      <x:c r="M74" t="s">
        <x:v>21</x:v>
      </x:c>
      <x:c r="N74" t="s">
        <x:v>21</x:v>
      </x:c>
    </x:row>
    <x:row r="75">
      <x:c r="A75" t="s">
        <x:v>34</x:v>
      </x:c>
      <x:c r="B75" t="s">
        <x:v>329</x:v>
      </x:c>
      <x:c r="C75">
        <x:v>96</x:v>
      </x:c>
      <x:c r="D75">
        <x:v>0.16666666666666666</x:v>
      </x:c>
      <x:c r="E75">
        <x:v>46370</x:v>
      </x:c>
      <x:c r="F75">
        <x:v>46425</x:v>
      </x:c>
      <x:c r="G75" t="s">
        <x:v>434</x:v>
      </x:c>
      <x:c r="H75" t="s">
        <x:v>435</x:v>
      </x:c>
      <x:c r="N75" t="s">
        <x:v>21</x:v>
      </x:c>
      <x:c r="O75" t="s">
        <x:v>21</x:v>
      </x:c>
      <x:c r="P75" t="s">
        <x:v>21</x:v>
      </x:c>
    </x:row>
    <x:row r="76">
      <x:c r="A76" t="s">
        <x:v>38</x:v>
      </x:c>
      <x:c r="B76" t="s">
        <x:v>348</x:v>
      </x:c>
      <x:c r="C76">
        <x:v>104</x:v>
      </x:c>
      <x:c r="D76">
        <x:v>0.18055555555555555</x:v>
      </x:c>
      <x:c r="E76">
        <x:v>46426</x:v>
      </x:c>
      <x:c r="F76">
        <x:v>46495</x:v>
      </x:c>
      <x:c r="G76" t="s">
        <x:v>436</x:v>
      </x:c>
      <x:c r="H76" t="s">
        <x:v>437</x:v>
      </x:c>
      <x:c r="P76" t="s">
        <x:v>21</x:v>
      </x:c>
      <x:c r="Q76" t="s">
        <x:v>21</x:v>
      </x:c>
      <x:c r="R76" t="s">
        <x:v>21</x:v>
      </x:c>
    </x:row>
    <x:row r="77">
      <x:c r="A77" t="s">
        <x:v>438</x:v>
      </x:c>
      <x:c r="B77" t="s">
        <x:v>371</x:v>
      </x:c>
      <x:c r="C77">
        <x:v>52</x:v>
      </x:c>
      <x:c r="D77">
        <x:v>9.0277777777777776E-2</x:v>
      </x:c>
      <x:c r="E77">
        <x:v>46496</x:v>
      </x:c>
      <x:c r="F77">
        <x:v>46530</x:v>
      </x:c>
      <x:c r="G77" t="s">
        <x:v>439</x:v>
      </x:c>
      <x:c r="H77" t="s">
        <x:v>440</x:v>
      </x:c>
      <x:c r="R77" t="s">
        <x:v>21</x:v>
      </x:c>
      <x:c r="S77" t="s">
        <x:v>21</x:v>
      </x:c>
    </x:row>
    <x:row r="78">
      <x:c r="A78" t="s">
        <x:v>441</x:v>
      </x:c>
      <x:c r="B78" t="s">
        <x:v>390</x:v>
      </x:c>
      <x:c r="C78">
        <x:v>60</x:v>
      </x:c>
      <x:c r="D78">
        <x:v>0.10416666666666667</x:v>
      </x:c>
      <x:c r="E78">
        <x:v>46531</x:v>
      </x:c>
      <x:c r="F78">
        <x:v>46565</x:v>
      </x:c>
      <x:c r="G78" t="s">
        <x:v>442</x:v>
      </x:c>
      <x:c r="H78" t="s">
        <x:v>443</x:v>
      </x:c>
      <x:c r="S78" t="s">
        <x:v>21</x:v>
      </x:c>
      <x:c r="T78" t="s">
        <x:v>21</x:v>
      </x:c>
    </x:row>
    <x:row r="79">
      <x:c r="A79" t="s">
        <x:v>444</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445</x:v>
      </x:c>
      <x:c r="B1" s="235"/>
      <x:c r="C1" s="235"/>
      <x:c r="D1" s="235"/>
      <x:c r="E1" s="235"/>
      <x:c r="F1" s="235"/>
      <x:c r="G1" s="235"/>
      <x:c r="H1" s="235"/>
      <x:c r="I1" s="235"/>
      <x:c r="J1" s="235"/>
      <x:c r="K1" s="235"/>
      <x:c r="L1" s="235"/>
      <x:c r="M1" s="235"/>
    </x:row>
    <x:row r="2">
      <x:c r="A2" s="236" t="s">
        <x:v>446</x:v>
      </x:c>
      <x:c r="B2" s="236"/>
      <x:c r="C2" s="236"/>
      <x:c r="D2" s="236"/>
      <x:c r="E2" s="236"/>
      <x:c r="F2" s="236"/>
      <x:c r="G2" s="236"/>
      <x:c r="H2" s="236"/>
      <x:c r="I2" s="236"/>
      <x:c r="J2" s="236"/>
      <x:c r="K2" s="236"/>
      <x:c r="L2" s="236"/>
      <x:c r="M2" s="236"/>
    </x:row>
    <x:row r="4" ht="30">
      <x:c r="A4" s="80" t="s">
        <x:v>447</x:v>
      </x:c>
      <x:c r="B4" s="80" t="s">
        <x:v>448</x:v>
      </x:c>
      <x:c r="C4" s="80" t="s">
        <x:v>5</x:v>
      </x:c>
      <x:c r="D4" s="80" t="s">
        <x:v>449</x:v>
      </x:c>
      <x:c r="E4" s="80" t="s">
        <x:v>450</x:v>
      </x:c>
      <x:c r="F4" s="80" t="s">
        <x:v>3</x:v>
      </x:c>
      <x:c r="G4" s="80" t="s">
        <x:v>451</x:v>
      </x:c>
      <x:c r="H4" s="80" t="s">
        <x:v>56</x:v>
      </x:c>
      <x:c r="I4" s="80" t="s">
        <x:v>452</x:v>
      </x:c>
      <x:c r="J4" s="80" t="s">
        <x:v>453</x:v>
      </x:c>
      <x:c r="K4" s="80" t="s">
        <x:v>454</x:v>
      </x:c>
      <x:c r="L4" s="80" t="s">
        <x:v>60</x:v>
      </x:c>
      <x:c r="M4" s="80" t="s">
        <x:v>455</x:v>
      </x:c>
    </x:row>
    <x:row r="5" ht="42.75">
      <x:c r="A5" s="83" t="s">
        <x:v>456</x:v>
      </x:c>
      <x:c r="B5" s="84">
        <x:v>46201</x:v>
      </x:c>
      <x:c r="C5" s="83"/>
      <x:c r="D5" s="83"/>
      <x:c r="E5" s="83" t="s">
        <x:v>62</x:v>
      </x:c>
      <x:c r="F5" s="85">
        <x:v>2.5</x:v>
      </x:c>
      <x:c r="G5" s="178" t="n">
        <x:f t="shared" ref="G5:G10" si="0">IF(B5="","",MAX(1,INT((B5-DATE(2026,6,29))/7)+1))</x:f>
        <x:v>1</x:v>
      </x:c>
      <x:c r="H5" s="83" t="s">
        <x:v>245</x:v>
      </x:c>
      <x:c r="I5" s="83" t="s">
        <x:v>457</x:v>
      </x:c>
      <x:c r="J5" s="83" t="s">
        <x:v>458</x:v>
      </x:c>
      <x:c r="K5" s="83" t="s">
        <x:v>459</x:v>
      </x:c>
      <x:c r="L5" s="83" t="s">
        <x:v>460</x:v>
      </x:c>
      <x:c r="M5" s="83" t="s">
        <x:v>461</x:v>
      </x:c>
    </x:row>
    <x:row r="6" ht="42.75">
      <x:c r="A6" s="83" t="s">
        <x:v>462</x:v>
      </x:c>
      <x:c r="B6" s="84">
        <x:v>46203</x:v>
      </x:c>
      <x:c r="C6" s="83"/>
      <x:c r="D6" s="83"/>
      <x:c r="E6" s="83" t="s">
        <x:v>68</x:v>
      </x:c>
      <x:c r="F6" s="85">
        <x:v>1.5</x:v>
      </x:c>
      <x:c r="G6" s="178">
        <x:f t="shared" si="0"/>
        <x:v>1</x:v>
      </x:c>
      <x:c r="H6" s="83" t="s">
        <x:v>245</x:v>
      </x:c>
      <x:c r="I6" s="83" t="s">
        <x:v>463</x:v>
      </x:c>
      <x:c r="J6" s="83" t="s">
        <x:v>464</x:v>
      </x:c>
      <x:c r="K6" s="83" t="s">
        <x:v>465</x:v>
      </x:c>
      <x:c r="L6" s="83" t="s">
        <x:v>466</x:v>
      </x:c>
      <x:c r="M6" s="83" t="s">
        <x:v>467</x:v>
      </x:c>
    </x:row>
    <x:row r="7" ht="42.75">
      <x:c r="A7" s="83" t="s">
        <x:v>468</x:v>
      </x:c>
      <x:c r="B7" s="84">
        <x:v>46207</x:v>
      </x:c>
      <x:c r="C7" s="83" t="s">
        <x:v>469</x:v>
      </x:c>
      <x:c r="D7" s="83" t="s">
        <x:v>470</x:v>
      </x:c>
      <x:c r="E7" s="83" t="s">
        <x:v>73</x:v>
      </x:c>
      <x:c r="F7" s="85">
        <x:v>0.62</x:v>
      </x:c>
      <x:c r="G7" s="178">
        <x:f t="shared" si="0"/>
        <x:v>1</x:v>
      </x:c>
      <x:c r="H7" s="83" t="s">
        <x:v>245</x:v>
      </x:c>
      <x:c r="I7" s="83" t="s">
        <x:v>471</x:v>
      </x:c>
      <x:c r="J7" s="83" t="s">
        <x:v>472</x:v>
      </x:c>
      <x:c r="K7" s="83" t="s">
        <x:v>473</x:v>
      </x:c>
      <x:c r="L7" s="83" t="s">
        <x:v>474</x:v>
      </x:c>
      <x:c r="M7" s="83" t="s">
        <x:v>475</x:v>
      </x:c>
    </x:row>
    <x:row r="8" ht="57">
      <x:c r="A8" s="83" t="s">
        <x:v>476</x:v>
      </x:c>
      <x:c r="B8" s="84">
        <x:v>46207</x:v>
      </x:c>
      <x:c r="C8" s="83" t="s">
        <x:v>470</x:v>
      </x:c>
      <x:c r="D8" s="83" t="s">
        <x:v>477</x:v>
      </x:c>
      <x:c r="E8" s="83" t="s">
        <x:v>73</x:v>
      </x:c>
      <x:c r="F8" s="85">
        <x:v>1.53</x:v>
      </x:c>
      <x:c r="G8" s="178">
        <x:f t="shared" si="0"/>
        <x:v>1</x:v>
      </x:c>
      <x:c r="H8" s="83" t="s">
        <x:v>245</x:v>
      </x:c>
      <x:c r="I8" s="83" t="s">
        <x:v>478</x:v>
      </x:c>
      <x:c r="J8" s="83" t="s">
        <x:v>479</x:v>
      </x:c>
      <x:c r="K8" s="83" t="s">
        <x:v>480</x:v>
      </x:c>
      <x:c r="L8" s="83" t="s">
        <x:v>481</x:v>
      </x:c>
      <x:c r="M8" s="83" t="s">
        <x:v>482</x:v>
      </x:c>
    </x:row>
    <x:row r="9" ht="42.75">
      <x:c r="A9" s="83" t="s">
        <x:v>483</x:v>
      </x:c>
      <x:c r="B9" s="84">
        <x:v>46207</x:v>
      </x:c>
      <x:c r="C9" s="83" t="s">
        <x:v>477</x:v>
      </x:c>
      <x:c r="D9" s="83" t="s">
        <x:v>484</x:v>
      </x:c>
      <x:c r="E9" s="83" t="s">
        <x:v>68</x:v>
      </x:c>
      <x:c r="F9" s="85">
        <x:v>1.33</x:v>
      </x:c>
      <x:c r="G9" s="178">
        <x:f t="shared" si="0"/>
        <x:v>1</x:v>
      </x:c>
      <x:c r="H9" s="83" t="s">
        <x:v>245</x:v>
      </x:c>
      <x:c r="I9" s="83" t="s">
        <x:v>485</x:v>
      </x:c>
      <x:c r="J9" s="83" t="s">
        <x:v>486</x:v>
      </x:c>
      <x:c r="K9" s="83" t="s">
        <x:v>487</x:v>
      </x:c>
      <x:c r="L9" s="83" t="s">
        <x:v>488</x:v>
      </x:c>
      <x:c r="M9" s="83" t="s">
        <x:v>489</x:v>
      </x:c>
    </x:row>
    <x:row r="10" ht="42.75">
      <x:c r="A10" s="83" t="s">
        <x:v>490</x:v>
      </x:c>
      <x:c r="B10" s="84">
        <x:v>46207</x:v>
      </x:c>
      <x:c r="C10" s="83" t="s">
        <x:v>484</x:v>
      </x:c>
      <x:c r="D10" s="83" t="s">
        <x:v>491</x:v>
      </x:c>
      <x:c r="E10" s="83" t="s">
        <x:v>68</x:v>
      </x:c>
      <x:c r="F10" s="85">
        <x:v>7.0000000000000007E-2</x:v>
      </x:c>
      <x:c r="G10" s="178">
        <x:f t="shared" si="0"/>
        <x:v>1</x:v>
      </x:c>
      <x:c r="H10" s="83" t="s">
        <x:v>245</x:v>
      </x:c>
      <x:c r="I10" s="83" t="s">
        <x:v>492</x:v>
      </x:c>
      <x:c r="J10" s="83" t="s">
        <x:v>493</x:v>
      </x:c>
      <x:c r="K10" s="83" t="s">
        <x:v>494</x:v>
      </x:c>
      <x:c r="L10" s="83" t="s">
        <x:v>495</x:v>
      </x:c>
      <x:c r="M10" s="83" t="s">
        <x:v>496</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ht="675" customHeight="1">
      <x:c r="A29" s="431" t="str">
        <x:v>WB-026</x:v>
      </x:c>
      <x:c r="B29" s="491" t="n">
        <x:v>46225</x:v>
      </x:c>
      <x:c r="C29" s="431"/>
      <x:c r="D29" s="431"/>
      <x:c r="E29" s="431" t="str">
        <x:v>G0.1</x:v>
      </x:c>
      <x:c r="F29" s="432"/>
      <x:c r="G29" s="433" t="n">
        <x:v>6</x:v>
      </x:c>
      <x:c r="H29" s="431" t="str">
        <x:v>Complete / Review</x:v>
      </x:c>
      <x:c r="I29" s="431" t="str">
        <x:v>Implement a highest-level internal AI management and quality-control system aligned at a public-guidance level with ISO/IEC 42001 and operationalized with NIST AI risk practices.</x:v>
      </x:c>
      <x:c r="J29" s="431" t="str">
        <x:v>Added binding policy, manual, impact and alignment assessments, 3-system inventory, 13-risk register, 20 controls, 8 gates, 6 objectives, audit, management review, JSON Schema, validator, 22 focused tests, and CI enforcement. Validator coverage is 84%; full protected-safe regression passed 335/1 at 88.33%; validation 5/5, Ruff, baseline 9/9, and demo 2/2 passed.</x:v>
      </x:c>
      <x:c r="K29" s="431" t="str">
        <x:v>D-115 adopted. The visibly third-party-licensed ISO PDF stayed outside Git and was not used as project evidence. Internal alignment is not conformity or certification. Normal governance validation passes while strict release-ready mode correctly fails on AIR-003, AIR-010, and NC-001. D-114 remains pending.</x:v>
      </x:c>
      <x:c r="L29" s="431" t="str">
        <x:v>Review and integrate G0.1; then accept or revise D-114 separately. Preserve the D-113 no-rerun boundary and release hold.</x:v>
      </x:c>
      <x:c r="M29" s="431" t="str">
        <x:v>codex/iso-42001-ai-quality-system; D-115; EV-165-EV-170; R-017; IMP-029-IMP-030</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497</x:v>
      </x:c>
      <x:c r="B1" s="235"/>
      <x:c r="C1" s="235"/>
      <x:c r="D1" s="235"/>
      <x:c r="E1" s="235"/>
      <x:c r="F1" s="235"/>
      <x:c r="G1" s="235"/>
      <x:c r="H1" s="235"/>
    </x:row>
    <x:row r="3" ht="15">
      <x:c r="A3" s="80" t="s">
        <x:v>498</x:v>
      </x:c>
      <x:c r="B3" s="80" t="s">
        <x:v>448</x:v>
      </x:c>
      <x:c r="C3" s="80" t="s">
        <x:v>499</x:v>
      </x:c>
      <x:c r="D3" s="80" t="s">
        <x:v>500</x:v>
      </x:c>
      <x:c r="E3" s="80" t="s">
        <x:v>56</x:v>
      </x:c>
      <x:c r="F3" s="80" t="s">
        <x:v>501</x:v>
      </x:c>
      <x:c r="G3" s="80" t="s">
        <x:v>502</x:v>
      </x:c>
      <x:c r="H3" s="80" t="s">
        <x:v>503</x:v>
      </x:c>
    </x:row>
    <x:row r="4" ht="28.5">
      <x:c r="A4" s="78" t="s">
        <x:v>504</x:v>
      </x:c>
      <x:c r="B4" s="81">
        <x:v>46200</x:v>
      </x:c>
      <x:c r="C4" s="78" t="s">
        <x:v>505</x:v>
      </x:c>
      <x:c r="D4" s="78" t="s">
        <x:v>506</x:v>
      </x:c>
      <x:c r="E4" s="78" t="s">
        <x:v>507</x:v>
      </x:c>
      <x:c r="F4" s="78" t="s">
        <x:v>508</x:v>
      </x:c>
      <x:c r="G4" s="78" t="s">
        <x:v>509</x:v>
      </x:c>
      <x:c r="H4" s="78" t="s">
        <x:v>510</x:v>
      </x:c>
    </x:row>
    <x:row r="5" ht="28.5">
      <x:c r="A5" s="78" t="s">
        <x:v>511</x:v>
      </x:c>
      <x:c r="B5" s="81">
        <x:v>46200</x:v>
      </x:c>
      <x:c r="C5" s="78" t="s">
        <x:v>512</x:v>
      </x:c>
      <x:c r="D5" s="78" t="s">
        <x:v>513</x:v>
      </x:c>
      <x:c r="E5" s="78" t="s">
        <x:v>507</x:v>
      </x:c>
      <x:c r="F5" s="78" t="s">
        <x:v>508</x:v>
      </x:c>
      <x:c r="G5" s="78" t="s">
        <x:v>207</x:v>
      </x:c>
      <x:c r="H5" s="78" t="s">
        <x:v>514</x:v>
      </x:c>
    </x:row>
    <x:row r="6" ht="28.5">
      <x:c r="A6" s="78" t="s">
        <x:v>515</x:v>
      </x:c>
      <x:c r="B6" s="81">
        <x:v>46207</x:v>
      </x:c>
      <x:c r="C6" s="78" t="s">
        <x:v>516</x:v>
      </x:c>
      <x:c r="D6" s="78" t="s">
        <x:v>517</x:v>
      </x:c>
      <x:c r="E6" s="78" t="s">
        <x:v>507</x:v>
      </x:c>
      <x:c r="F6" s="78" t="s">
        <x:v>68</x:v>
      </x:c>
      <x:c r="G6" s="78" t="s">
        <x:v>518</x:v>
      </x:c>
      <x:c r="H6" s="78" t="s">
        <x:v>519</x:v>
      </x:c>
    </x:row>
    <x:row r="7" ht="28.5">
      <x:c r="A7" s="78" t="s">
        <x:v>520</x:v>
      </x:c>
      <x:c r="B7" s="81">
        <x:v>46207</x:v>
      </x:c>
      <x:c r="C7" s="78" t="s">
        <x:v>521</x:v>
      </x:c>
      <x:c r="D7" s="78" t="s">
        <x:v>522</x:v>
      </x:c>
      <x:c r="E7" s="78" t="s">
        <x:v>507</x:v>
      </x:c>
      <x:c r="F7" s="78" t="s">
        <x:v>523</x:v>
      </x:c>
      <x:c r="G7" s="78" t="s">
        <x:v>524</x:v>
      </x:c>
      <x:c r="H7" s="78" t="s">
        <x:v>525</x:v>
      </x:c>
    </x:row>
    <x:row r="8" ht="28.5">
      <x:c r="A8" s="78" t="s">
        <x:v>526</x:v>
      </x:c>
      <x:c r="B8" s="81">
        <x:v>46207</x:v>
      </x:c>
      <x:c r="C8" s="78" t="s">
        <x:v>161</x:v>
      </x:c>
      <x:c r="D8" s="78" t="s">
        <x:v>527</x:v>
      </x:c>
      <x:c r="E8" s="78" t="s">
        <x:v>507</x:v>
      </x:c>
      <x:c r="F8" s="78" t="s">
        <x:v>528</x:v>
      </x:c>
      <x:c r="G8" s="78" t="s">
        <x:v>529</x:v>
      </x:c>
      <x:c r="H8" s="78" t="s">
        <x:v>530</x:v>
      </x:c>
    </x:row>
    <x:row r="9" ht="28.5">
      <x:c r="A9" s="78" t="s">
        <x:v>531</x:v>
      </x:c>
      <x:c r="B9" s="81">
        <x:v>46207</x:v>
      </x:c>
      <x:c r="C9" s="78" t="s">
        <x:v>532</x:v>
      </x:c>
      <x:c r="D9" s="78" t="s">
        <x:v>533</x:v>
      </x:c>
      <x:c r="E9" s="78" t="s">
        <x:v>507</x:v>
      </x:c>
      <x:c r="F9" s="78" t="s">
        <x:v>534</x:v>
      </x:c>
      <x:c r="G9" s="78" t="s">
        <x:v>535</x:v>
      </x:c>
      <x:c r="H9" s="78" t="s">
        <x:v>536</x:v>
      </x:c>
    </x:row>
    <x:row r="10" ht="28.5">
      <x:c r="A10" s="78" t="s">
        <x:v>537</x:v>
      </x:c>
      <x:c r="B10" s="81">
        <x:v>46207</x:v>
      </x:c>
      <x:c r="C10" s="78" t="s">
        <x:v>538</x:v>
      </x:c>
      <x:c r="D10" s="78" t="s">
        <x:v>539</x:v>
      </x:c>
      <x:c r="E10" s="78" t="s">
        <x:v>507</x:v>
      </x:c>
      <x:c r="F10" s="78" t="s">
        <x:v>540</x:v>
      </x:c>
      <x:c r="G10" s="78" t="s">
        <x:v>541</x:v>
      </x:c>
      <x:c r="H10" s="78" t="s">
        <x:v>542</x:v>
      </x:c>
    </x:row>
    <x:row r="11" ht="28.5">
      <x:c r="A11" s="78" t="s">
        <x:v>543</x:v>
      </x:c>
      <x:c r="B11" s="81">
        <x:v>46207</x:v>
      </x:c>
      <x:c r="C11" s="78" t="s">
        <x:v>544</x:v>
      </x:c>
      <x:c r="D11" s="78" t="s">
        <x:v>545</x:v>
      </x:c>
      <x:c r="E11" s="78" t="s">
        <x:v>507</x:v>
      </x:c>
      <x:c r="F11" s="78" t="s">
        <x:v>546</x:v>
      </x:c>
      <x:c r="G11" s="78" t="s">
        <x:v>202</x:v>
      </x:c>
      <x:c r="H11" s="78" t="s">
        <x:v>547</x:v>
      </x:c>
    </x:row>
    <x:row r="12" ht="62.099998474121094" customHeight="1">
      <x:c r="A12" s="182" t="s">
        <x:v>548</x:v>
      </x:c>
      <x:c r="B12" s="196">
        <x:v>46208</x:v>
      </x:c>
      <x:c r="C12" s="183" t="s">
        <x:v>549</x:v>
      </x:c>
      <x:c r="D12" s="183" t="s">
        <x:v>550</x:v>
      </x:c>
      <x:c r="E12" s="183" t="s">
        <x:v>507</x:v>
      </x:c>
      <x:c r="F12" s="183" t="s">
        <x:v>551</x:v>
      </x:c>
      <x:c r="G12" s="183" t="s">
        <x:v>552</x:v>
      </x:c>
      <x:c r="H12" s="184" t="s">
        <x:v>553</x:v>
      </x:c>
    </x:row>
    <x:row r="13" ht="62.099998474121094" customHeight="1">
      <x:c r="A13" s="187" t="s">
        <x:v>554</x:v>
      </x:c>
      <x:c r="B13" s="197">
        <x:v>46208</x:v>
      </x:c>
      <x:c r="C13" s="188" t="s">
        <x:v>555</x:v>
      </x:c>
      <x:c r="D13" s="188" t="s">
        <x:v>556</x:v>
      </x:c>
      <x:c r="E13" s="188" t="s">
        <x:v>507</x:v>
      </x:c>
      <x:c r="F13" s="188" t="s">
        <x:v>557</x:v>
      </x:c>
      <x:c r="G13" s="188" t="s">
        <x:v>558</x:v>
      </x:c>
      <x:c r="H13" s="189" t="s">
        <x:v>559</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Accepted</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Accepted by the project owner on 2026-07-21 and integrated through PR #63 at exact main 4d2c0f5. Git metadata exposure occurred during integration before any scenario invocation. D-111 execution authority stopped unused; proposed D-112 controls recovery.</x:v>
      </x:c>
    </x:row>
    <x:row r="115" ht="765" customHeight="1">
      <x:c r="A115" s="431" t="str">
        <x:v>D-112</x:v>
      </x:c>
      <x:c r="B115" s="431" t="n">
        <x:v>46224</x:v>
      </x:c>
      <x:c r="C115" s="431" t="str">
        <x:v>Classify FAM-HO-CONVEYOR-DRIVE-042 as contaminated for release held-out claims after pre-run Git metadata exposure; preserve it unchanged and unexecuted; and authorize one materially distinct replacement that remains outside the ordinary repository until raw first-run evidence is frozen.</x:v>
      </x:c>
      <x:c r="D115" s="431" t="str">
        <x:v>Repository import created path, diff, checkout, tooling, and CI metadata channels before execution. External custody through authoring, oracle-blind execution, evidence freeze, and separate comparison removes the repository itself from the pre-run boundary and protects a credible unseen benchmark claim.</x:v>
      </x:c>
      <x:c r="E115" s="431" t="str">
        <x:v>Accepted</x:v>
      </x:c>
      <x:c r="F115" s="431" t="str">
        <x:v>P4.2 second contamination and external-custody gate</x:v>
      </x:c>
      <x:c r="G115" s="431" t="str">
        <x:v>User D-112 acceptance 2026-07-22; PR #64; PR #63 exact main 4d2c0f5; docs/package_assurance/p4_2_second_contamination_and_external_custody_gate_v0.3.0.md; D-110-D-111; EV-149-EV-152; I-006-I-007; IMP-023-IMP-025</x:v>
      </x:c>
      <x:c r="H115" s="431" t="str">
        <x:v>Accepted by the project owner on 2026-07-22. PR #64 integration and exact-main verification are prerequisites. Acceptance authorizes external authoring, independent structural/hash verification, oracle-blind staging, and a new freeze review only; it does not authorize semantic execution or repository family import.</x:v>
      </x:c>
    </x:row>
    <x:row r="116" ht="945" customHeight="1">
      <x:c r="A116" s="431" t="str">
        <x:v>D-113</x:v>
      </x:c>
      <x:c r="B116" s="431" t="n">
        <x:v>46225</x:v>
      </x:c>
      <x:c r="C116" s="431" t="str">
        <x:v>Accept external family revision FR-D112-HOIST-002 and runner revision D-112-runner-revision-6; authorize exactly one semantic invocation for each of the eight opaque packages against frozen evaluator behavior 4cf9fe8; then freeze all raw evidence and perform one separate protected comparison.</x:v>
      </x:c>
      <x:c r="D116" s="431" t="str">
        <x:v>Family revision 2 passed 68/68 independent controls and runner revision 6 passed 53/53 independent static controls with zero semantic runs. The decision converts a verified pre-execution freeze into one controlled first run without weakening the no-retry, no-tuning, external-custody, or separate-comparison boundaries.</x:v>
      </x:c>
      <x:c r="E116" s="431" t="str">
        <x:v>Accepted / Integration Pending</x:v>
      </x:c>
      <x:c r="F116" s="431" t="str">
        <x:v>P4.2 external-custody first-run freeze</x:v>
      </x:c>
      <x:c r="G116" s="431" t="str">
        <x:v>docs/package_assurance/p4_2_external_custody_freeze_review_v0.3.0.md; docs/package_assurance/p4_2_external_custody_freeze_evidence_v0.3.0.json; PR #64 exact main 0264db7; D-112; EV-153-EV-159; I-007-I-008; IMP-023-IMP-027</x:v>
      </x:c>
      <x:c r="H116" s="431" t="str">
        <x:v>Accepted by the project owner on 2026-07-22 and integrated through PR #65 at exact main 6a74c74. Preflight passed, then one runner invocation consumed all eight scenarios with exit 70 and zero complete output sets. Raw evidence and protected comparison are frozen; D-113 is fully consumed and authorizes no retry. D-114 controls the response.</x:v>
      </x:c>
    </x:row>
    <x:row r="117" ht="945" customHeight="1">
      <x:c r="A117" s="431" t="str">
        <x:v>D-114</x:v>
      </x:c>
      <x:c r="B117" s="431" t="n">
        <x:v>46225</x:v>
      </x:c>
      <x:c r="C117" s="431" t="str">
        <x:v>Accept the D-113 evidence as a valid immutable failed-run record; classify the benchmark as not evaluable and release-held; prohibit rerun or reuse of the consumed family; and authorize a bounded development-only stabilization block for the atomic publication failure.</x:v>
      </x:c>
      <x:c r="D117" s="431" t="str">
        <x:v>All eight one-shot attempts were correctly consumed but produced no semantic output, so benchmark performance is undefined. Diagnosis must use non-held-out development evidence. A production-equivalent publication sentinel and better stage/error evidence are required before another external benchmark can be proposed.</x:v>
      </x:c>
      <x:c r="E117" s="431" t="str">
        <x:v>Proposed / Owner Review</x:v>
      </x:c>
      <x:c r="F117" s="431" t="str">
        <x:v>P4.2 failed-run acceptance and publication stabilization gate</x:v>
      </x:c>
      <x:c r="G117" s="431" t="str">
        <x:v>docs/package_assurance/p4_2_external_first_run_result_review_v0.3.0.md; docs/package_assurance/p4_2_external_first_run_result_evidence_v0.3.0.json; PR #65 exact main 6a74c74; D-113; EV-161-EV-164; I-009; IMP-028</x:v>
      </x:c>
      <x:c r="H117" s="431" t="str">
        <x:v>Acceptance authorizes development/public synthetic reproduction, exact root-cause identification, a non-held-out four-output sentinel, sanitized stage/error diagnostics, and the smallest publication-layer correction only. It does not authorize a held-out rerun, new held-out family, protected change, semantic change, P4.3, public rerun, import, or release claim.</x:v>
      </x:c>
    </x:row>
    <x:row r="118" ht="945" customHeight="1">
      <x:c r="A118" s="431" t="str">
        <x:v>D-115</x:v>
      </x:c>
      <x:c r="B118" s="431" t="n">
        <x:v>46225</x:v>
      </x:c>
      <x:c r="C118" s="431" t="str">
        <x:v>Adopt an internal ISO/IEC 42001-aligned and NIST-informed AI management system as the project's highest-level quality and safety governance below applicable obligations. Implement binding policy, system inventory, impact and risk assessment, controls, lifecycle gates, objectives, audit, management review, machine validation, and CI enforcement.</x:v>
      </x:c>
      <x:c r="D118" s="431" t="str">
        <x:v>AI-assisted work already affects planning, code, tests, evidence, and project decisions, while technical tests alone cannot prove safe governance. A single machine-checked control plane makes ownership, risk treatment, evidence, nonconformity, and release status explicit and preserves qualified human authority. The supplied standard copy is not authorized project evidence, so formal conformity is excluded.</x:v>
      </x:c>
      <x:c r="E118" s="431" t="str">
        <x:v>Accepted / Implemented</x:v>
      </x:c>
      <x:c r="F118" s="431" t="str">
        <x:v>G0.1 AI management and quality-control gate</x:v>
      </x:c>
      <x:c r="G118" s="431" t="str">
        <x:v>docs/governance/ai_management_system_policy_v0.3.0.md; governance/ai_management_system.json; docs/governance/ai_quality_control_manual_v0.3.0.md; docs/governance/ai_impact_assessment_v0.3.0.md; docs/governance/iso_iec_42001_alignment_and_gap_assessment_v0.3.0.md; AIMS-AUD-001; AIMS-MR-001; EV-165-EV-170; R-017; IMP-029-IMP-030</x:v>
      </x:c>
      <x:c r="H118" s="431" t="str">
        <x:v>Accepted through the project owner's 2026-07-22 directive. This decision establishes internal governance only. It makes no ISO conformity, certification, legal-compliance, guaranteed-safety, or independent-assurance claim and does not accept D-114 or authorize held-out rerun, new family, publication fix, semantic change, P4.3, public rerun, import, or release.</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560</x:v>
      </x:c>
      <x:c r="B1" s="235"/>
      <x:c r="C1" s="235"/>
      <x:c r="D1" s="235"/>
      <x:c r="E1" s="235"/>
      <x:c r="F1" s="235"/>
      <x:c r="G1" s="235"/>
      <x:c r="H1" s="235"/>
      <x:c r="I1" s="235"/>
      <x:c r="J1" s="235"/>
    </x:row>
    <x:row r="3" ht="30">
      <x:c r="A3" s="80" t="s">
        <x:v>0</x:v>
      </x:c>
      <x:c r="B3" s="80" t="s">
        <x:v>196</x:v>
      </x:c>
      <x:c r="C3" s="80" t="s">
        <x:v>561</x:v>
      </x:c>
      <x:c r="D3" s="80" t="s">
        <x:v>562</x:v>
      </x:c>
      <x:c r="E3" s="80" t="s">
        <x:v>563</x:v>
      </x:c>
      <x:c r="F3" s="80" t="s">
        <x:v>564</x:v>
      </x:c>
      <x:c r="G3" s="80" t="s">
        <x:v>565</x:v>
      </x:c>
      <x:c r="H3" s="80" t="s">
        <x:v>56</x:v>
      </x:c>
      <x:c r="I3" s="80" t="s">
        <x:v>566</x:v>
      </x:c>
      <x:c r="J3" s="80" t="s">
        <x:v>61</x:v>
      </x:c>
    </x:row>
    <x:row r="4" ht="28.5">
      <x:c r="A4" s="78" t="s">
        <x:v>567</x:v>
      </x:c>
      <x:c r="B4" s="78" t="s">
        <x:v>568</x:v>
      </x:c>
      <x:c r="C4" s="78" t="s">
        <x:v>569</x:v>
      </x:c>
      <x:c r="D4" s="78" t="s">
        <x:v>570</x:v>
      </x:c>
      <x:c r="E4" s="78" t="s">
        <x:v>570</x:v>
      </x:c>
      <x:c r="F4" s="78" t="s">
        <x:v>571</x:v>
      </x:c>
      <x:c r="G4" s="78" t="s">
        <x:v>572</x:v>
      </x:c>
      <x:c r="H4" s="78" t="s">
        <x:v>573</x:v>
      </x:c>
      <x:c r="I4" s="81">
        <x:v>46215</x:v>
      </x:c>
      <x:c r="J4" s="78" t="s">
        <x:v>574</x:v>
      </x:c>
    </x:row>
    <x:row r="5" ht="28.5">
      <x:c r="A5" s="78" t="s">
        <x:v>575</x:v>
      </x:c>
      <x:c r="B5" s="78" t="s">
        <x:v>568</x:v>
      </x:c>
      <x:c r="C5" s="78" t="s">
        <x:v>576</x:v>
      </x:c>
      <x:c r="D5" s="78" t="s">
        <x:v>570</x:v>
      </x:c>
      <x:c r="E5" s="78" t="s">
        <x:v>570</x:v>
      </x:c>
      <x:c r="F5" s="78" t="s">
        <x:v>571</x:v>
      </x:c>
      <x:c r="G5" s="78" t="s">
        <x:v>577</x:v>
      </x:c>
      <x:c r="H5" s="78" t="s">
        <x:v>578</x:v>
      </x:c>
      <x:c r="I5" s="81">
        <x:v>46215</x:v>
      </x:c>
      <x:c r="J5" s="78" t="s">
        <x:v>579</x:v>
      </x:c>
    </x:row>
    <x:row r="6" ht="28.5">
      <x:c r="A6" s="78" t="s">
        <x:v>580</x:v>
      </x:c>
      <x:c r="B6" s="78" t="s">
        <x:v>568</x:v>
      </x:c>
      <x:c r="C6" s="78" t="s">
        <x:v>581</x:v>
      </x:c>
      <x:c r="D6" s="78" t="s">
        <x:v>582</x:v>
      </x:c>
      <x:c r="E6" s="78" t="s">
        <x:v>570</x:v>
      </x:c>
      <x:c r="F6" s="78" t="s">
        <x:v>571</x:v>
      </x:c>
      <x:c r="G6" s="78" t="s">
        <x:v>583</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584</x:v>
      </x:c>
      <x:c r="B7" s="78" t="s">
        <x:v>568</x:v>
      </x:c>
      <x:c r="C7" s="78" t="s">
        <x:v>585</x:v>
      </x:c>
      <x:c r="D7" s="78" t="s">
        <x:v>582</x:v>
      </x:c>
      <x:c r="E7" s="78" t="s">
        <x:v>570</x:v>
      </x:c>
      <x:c r="F7" s="78" t="s">
        <x:v>571</x:v>
      </x:c>
      <x:c r="G7" s="78" t="s">
        <x:v>586</x:v>
      </x:c>
      <x:c r="H7" s="78" t="s">
        <x:v>578</x:v>
      </x:c>
      <x:c r="I7" s="81">
        <x:v>46257</x:v>
      </x:c>
      <x:c r="J7" s="78" t="s">
        <x:v>587</x:v>
      </x:c>
    </x:row>
    <x:row r="8" ht="28.5">
      <x:c r="A8" s="78" t="s">
        <x:v>588</x:v>
      </x:c>
      <x:c r="B8" s="78" t="s">
        <x:v>568</x:v>
      </x:c>
      <x:c r="C8" s="78" t="s">
        <x:v>589</x:v>
      </x:c>
      <x:c r="D8" s="78" t="s">
        <x:v>582</x:v>
      </x:c>
      <x:c r="E8" s="78" t="s">
        <x:v>582</x:v>
      </x:c>
      <x:c r="F8" s="78" t="s">
        <x:v>571</x:v>
      </x:c>
      <x:c r="G8" s="78" t="s">
        <x:v>590</x:v>
      </x:c>
      <x:c r="H8" s="78" t="s">
        <x:v>573</x:v>
      </x:c>
      <x:c r="I8" s="81">
        <x:v>46222</x:v>
      </x:c>
      <x:c r="J8" s="78" t="s">
        <x:v>591</x:v>
      </x:c>
    </x:row>
    <x:row r="9" ht="28.5">
      <x:c r="A9" s="78" t="s">
        <x:v>592</x:v>
      </x:c>
      <x:c r="B9" s="78" t="s">
        <x:v>568</x:v>
      </x:c>
      <x:c r="C9" s="78" t="s">
        <x:v>593</x:v>
      </x:c>
      <x:c r="D9" s="78" t="s">
        <x:v>594</x:v>
      </x:c>
      <x:c r="E9" s="78" t="s">
        <x:v>570</x:v>
      </x:c>
      <x:c r="F9" s="78" t="s">
        <x:v>571</x:v>
      </x:c>
      <x:c r="G9" s="78" t="s">
        <x:v>595</x:v>
      </x:c>
      <x:c r="H9" s="78" t="s">
        <x:v>573</x:v>
      </x:c>
      <x:c r="I9" s="81">
        <x:v>46257</x:v>
      </x:c>
      <x:c r="J9" s="78" t="s">
        <x:v>596</x:v>
      </x:c>
    </x:row>
    <x:row r="10" ht="28.5">
      <x:c r="A10" s="78" t="s">
        <x:v>597</x:v>
      </x:c>
      <x:c r="B10" s="78" t="s">
        <x:v>598</x:v>
      </x:c>
      <x:c r="C10" s="78" t="s">
        <x:v>599</x:v>
      </x:c>
      <x:c r="D10" s="78" t="s">
        <x:v>600</x:v>
      </x:c>
      <x:c r="E10" s="78" t="s">
        <x:v>594</x:v>
      </x:c>
      <x:c r="F10" s="78" t="s">
        <x:v>571</x:v>
      </x:c>
      <x:c r="G10" s="78" t="s">
        <x:v>601</x:v>
      </x:c>
      <x:c r="H10" s="78" t="s">
        <x:v>602</x:v>
      </x:c>
      <x:c r="I10" s="81">
        <x:v>46208</x:v>
      </x:c>
      <x:c r="J10" s="78" t="s">
        <x:v>603</x:v>
      </x:c>
    </x:row>
    <x:row r="11" ht="28.5">
      <x:c r="A11" s="78" t="s">
        <x:v>604</x:v>
      </x:c>
      <x:c r="B11" s="78" t="s">
        <x:v>598</x:v>
      </x:c>
      <x:c r="C11" s="78" t="s">
        <x:v>605</x:v>
      </x:c>
      <x:c r="D11" s="78" t="s">
        <x:v>600</x:v>
      </x:c>
      <x:c r="E11" s="78" t="s">
        <x:v>582</x:v>
      </x:c>
      <x:c r="F11" s="78" t="s">
        <x:v>571</x:v>
      </x:c>
      <x:c r="G11" s="78" t="s">
        <x:v>606</x:v>
      </x:c>
      <x:c r="H11" s="78" t="s">
        <x:v>602</x:v>
      </x:c>
      <x:c r="I11" s="81">
        <x:v>46209</x:v>
      </x:c>
      <x:c r="J11" s="78" t="s">
        <x:v>607</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Accepted</x:v>
      </x:c>
      <x:c r="I25" s="431" t="n">
        <x:v>46224</x:v>
      </x:c>
      <x:c r="J25" s="431" t="str">
        <x:v>Replacement proof passes 326 custodian checks, 14/14 independent controls, and 210/210 byte-identical import. D-111 authorizes the first run only after PR #63 integration and exact-main staging; semantic execution count remains zero at acceptance.</x:v>
      </x:c>
    </x:row>
    <x:row r="26" ht="504" customHeight="1">
      <x:c r="A26" s="431" t="str">
        <x:v>I-007</x:v>
      </x:c>
      <x:c r="B26" s="431" t="str">
        <x:v>Issue</x:v>
      </x:c>
      <x:c r="C26" s="431" t="str">
        <x:v>PR #63 integration exposed recursive release-family paths and comparative per-file statistics before first semantic execution, creating a scenario-level metadata side channel.</x:v>
      </x:c>
      <x:c r="D26" s="431" t="str">
        <x:v>N/A</x:v>
      </x:c>
      <x:c r="E26" s="431" t="str">
        <x:v>High</x:v>
      </x:c>
      <x:c r="F26" s="431" t="str">
        <x:v>Jason</x:v>
      </x:c>
      <x:c r="G26" s="431" t="str">
        <x:v>Preserve the family unchanged and unexecuted; classify it as release-ineligible; require D-112; keep the next family outside the repository through first-run evidence freeze and protected comparison.</x:v>
      </x:c>
      <x:c r="H26" s="431" t="str">
        <x:v>Controlled / D-112 Accepted</x:v>
      </x:c>
      <x:c r="I26" s="431" t="n">
        <x:v>46225</x:v>
      </x:c>
      <x:c r="J26" s="431" t="str">
        <x:v>D-112 accepted the external-custody prevention on 2026-07-22. Both exposed families remain unchanged and unexecuted. PR #64 integration and a fresh independently verified external freeze remain open.</x:v>
      </x:c>
    </x:row>
    <x:row r="27" ht="675" customHeight="1">
      <x:c r="A27" s="431" t="str">
        <x:v>I-008</x:v>
      </x:c>
      <x:c r="B27" s="431" t="str">
        <x:v>Issue</x:v>
      </x:c>
      <x:c r="C27" s="431" t="str">
        <x:v>Instruction-only staging and runner self-checks allowed custody-control defects to survive until independent review: excluded-parent enumeration, noncanonical inventory order, external path text, writable controls, and full inherited-environment forwarding.</x:v>
      </x:c>
      <x:c r="D27" s="431" t="str">
        <x:v>N/A</x:v>
      </x:c>
      <x:c r="E27" s="431" t="str">
        <x:v>High</x:v>
      </x:c>
      <x:c r="F27" s="431" t="str">
        <x:v>Jason</x:v>
      </x:c>
      <x:c r="G27" s="431" t="str">
        <x:v>Use a physically separate producer capsule; preserve every failed runner revision; require independent static checks for hashes, path order, external-text absence, read-only coverage, one-shot behavior, bounded environment, zero artifacts, and pre/post integrity.</x:v>
      </x:c>
      <x:c r="H27" s="431" t="str">
        <x:v>Controlled / D-113 Accepted</x:v>
      </x:c>
      <x:c r="I27" s="431" t="n">
        <x:v>46225</x:v>
      </x:c>
      <x:c r="J27" s="431" t="str">
        <x:v>No protected contents or semantic results were accessed. All failed revisions remain unchanged and unexecuted. Capsule passed 16/16; final runner revision 6 passed 53/53 with 186/186 read-only files and zero artifacts.</x:v>
      </x:c>
    </x:row>
    <x:row r="28" ht="720" customHeight="1">
      <x:c r="A28" s="431" t="str">
        <x:v>I-009</x:v>
      </x:c>
      <x:c r="B28" s="431" t="str">
        <x:v>Issue</x:v>
      </x:c>
      <x:c r="C28" s="431" t="str">
        <x:v>The D-113 first held-out run consumed all eight scenarios with exit 70 before any complete atomic publication. Static and preflight controls passed, but no semantic result exists and captured evidence lacks a lower-level root cause.</x:v>
      </x:c>
      <x:c r="D28" s="431" t="str">
        <x:v>N/A</x:v>
      </x:c>
      <x:c r="E28" s="431" t="str">
        <x:v>High</x:v>
      </x:c>
      <x:c r="F28" s="431" t="str">
        <x:v>Jason</x:v>
      </x:c>
      <x:c r="G28" s="431" t="str">
        <x:v>Preserve the family, runner, raw evidence, and comparison unchanged; prohibit rerun. Require D-114 before development-only reproduction. Add a production-equivalent non-held-out four-output publication sentinel and sanitized publication-stage plus exception/OS diagnostics before any new runner freeze.</x:v>
      </x:c>
      <x:c r="H28" s="431" t="str">
        <x:v>Open / D-114 Pending</x:v>
      </x:c>
      <x:c r="I28" s="431" t="n">
        <x:v>46225</x:v>
      </x:c>
      <x:c r="J28" s="431" t="str">
        <x:v>Preflight 27/27; one invocation; 8/8 consumed; exit 70 x8; output sets 0; raw evidence 40 at 5d45bfa3...3b21; independent verification passed; comparison 0 comparable and 8 not evaluable; release hold active.</x:v>
      </x:c>
    </x:row>
    <x:row r="29" ht="540" customHeight="1">
      <x:c r="A29" s="431" t="str">
        <x:v>R-017</x:v>
      </x:c>
      <x:c r="B29" s="431" t="str">
        <x:v>Risk</x:v>
      </x:c>
      <x:c r="C29" s="431" t="str">
        <x:v>An internal AI management system could be mistaken for ISO/IEC 42001 conformity, certification, legal compliance, independent assurance, or a guarantee that AI is safe.</x:v>
      </x:c>
      <x:c r="D29" s="431" t="str">
        <x:v>Low</x:v>
      </x:c>
      <x:c r="E29" s="431" t="str">
        <x:v>High</x:v>
      </x:c>
      <x:c r="F29" s="431" t="str">
        <x:v>Jason</x:v>
      </x:c>
      <x:c r="G29" s="431" t="str">
        <x:v>Use only official public sources for high-level alignment; keep the supplied restricted copy outside Git; state the claims boundary in policy, README, reports, and machine records; require a properly licensed standard and competent independent assessment before any formal conformity claim.</x:v>
      </x:c>
      <x:c r="H29" s="431" t="str">
        <x:v>Controlled / Future Gate</x:v>
      </x:c>
      <x:c r="I29" s="431" t="n">
        <x:v>46225</x:v>
      </x:c>
      <x:c r="J29" s="431" t="str">
        <x:v>D-115, AIC-008, AIMS-GAP-001, and IMP-029 preserve the boundary. certification_status is schema-fixed to not_claimed and every external reference forbids repository copying.</x:v>
      </x:c>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608</x:v>
      </x:c>
      <x:c r="B1" s="235"/>
      <x:c r="C1" s="235"/>
      <x:c r="D1" s="235"/>
      <x:c r="E1" s="235"/>
      <x:c r="F1" s="235"/>
      <x:c r="G1" s="235"/>
      <x:c r="H1" s="235"/>
      <x:c r="I1" s="235"/>
    </x:row>
    <x:row r="3" ht="15">
      <x:c r="A3" s="80" t="s">
        <x:v>609</x:v>
      </x:c>
      <x:c r="B3" s="80" t="s">
        <x:v>448</x:v>
      </x:c>
      <x:c r="C3" s="80" t="s">
        <x:v>48</x:v>
      </x:c>
      <x:c r="D3" s="80" t="s">
        <x:v>181</x:v>
      </x:c>
      <x:c r="E3" s="80" t="s">
        <x:v>196</x:v>
      </x:c>
      <x:c r="F3" s="80" t="s">
        <x:v>610</x:v>
      </x:c>
      <x:c r="G3" s="80" t="s">
        <x:v>611</x:v>
      </x:c>
      <x:c r="H3" s="80" t="s">
        <x:v>56</x:v>
      </x:c>
      <x:c r="I3" s="80" t="s">
        <x:v>61</x:v>
      </x:c>
    </x:row>
    <x:row r="4" ht="28.5">
      <x:c r="A4" s="78" t="s">
        <x:v>612</x:v>
      </x:c>
      <x:c r="B4" s="81">
        <x:v>46201</x:v>
      </x:c>
      <x:c r="C4" s="78" t="s">
        <x:v>62</x:v>
      </x:c>
      <x:c r="D4" s="78" t="s">
        <x:v>613</x:v>
      </x:c>
      <x:c r="E4" s="78" t="s">
        <x:v>614</x:v>
      </x:c>
      <x:c r="F4" s="78" t="s">
        <x:v>615</x:v>
      </x:c>
      <x:c r="G4" s="78" t="s">
        <x:v>616</x:v>
      </x:c>
      <x:c r="H4" s="78" t="s">
        <x:v>617</x:v>
      </x:c>
      <x:c r="I4" s="78" t="s">
        <x:v>618</x:v>
      </x:c>
    </x:row>
    <x:row r="5" ht="28.5">
      <x:c r="A5" s="78" t="s">
        <x:v>619</x:v>
      </x:c>
      <x:c r="B5" s="81">
        <x:v>46203</x:v>
      </x:c>
      <x:c r="C5" s="78" t="s">
        <x:v>68</x:v>
      </x:c>
      <x:c r="D5" s="78" t="s">
        <x:v>620</x:v>
      </x:c>
      <x:c r="E5" s="78" t="s">
        <x:v>621</x:v>
      </x:c>
      <x:c r="F5" s="78" t="s">
        <x:v>622</x:v>
      </x:c>
      <x:c r="G5" s="78" t="s">
        <x:v>623</x:v>
      </x:c>
      <x:c r="H5" s="78" t="s">
        <x:v>617</x:v>
      </x:c>
      <x:c r="I5" s="78" t="s">
        <x:v>624</x:v>
      </x:c>
    </x:row>
    <x:row r="6" ht="28.5">
      <x:c r="A6" s="78" t="s">
        <x:v>625</x:v>
      </x:c>
      <x:c r="B6" s="81">
        <x:v>46207</x:v>
      </x:c>
      <x:c r="C6" s="78" t="s">
        <x:v>73</x:v>
      </x:c>
      <x:c r="D6" s="78" t="s">
        <x:v>626</x:v>
      </x:c>
      <x:c r="E6" s="78" t="s">
        <x:v>627</x:v>
      </x:c>
      <x:c r="F6" s="78" t="s">
        <x:v>628</x:v>
      </x:c>
      <x:c r="G6" s="78" t="s">
        <x:v>629</x:v>
      </x:c>
      <x:c r="H6" s="78" t="s">
        <x:v>617</x:v>
      </x:c>
      <x:c r="I6" s="78" t="s">
        <x:v>630</x:v>
      </x:c>
    </x:row>
    <x:row r="7" ht="28.5">
      <x:c r="A7" s="78" t="s">
        <x:v>631</x:v>
      </x:c>
      <x:c r="B7" s="81">
        <x:v>46207</x:v>
      </x:c>
      <x:c r="C7" s="78" t="s">
        <x:v>73</x:v>
      </x:c>
      <x:c r="D7" s="78" t="s">
        <x:v>632</x:v>
      </x:c>
      <x:c r="E7" s="78" t="s">
        <x:v>633</x:v>
      </x:c>
      <x:c r="F7" s="78" t="s">
        <x:v>634</x:v>
      </x:c>
      <x:c r="G7" s="78" t="s">
        <x:v>635</x:v>
      </x:c>
      <x:c r="H7" s="78" t="s">
        <x:v>617</x:v>
      </x:c>
      <x:c r="I7" s="78" t="s">
        <x:v>636</x:v>
      </x:c>
    </x:row>
    <x:row r="8">
      <x:c r="A8" s="78" t="s">
        <x:v>637</x:v>
      </x:c>
      <x:c r="B8" s="81">
        <x:v>46207</x:v>
      </x:c>
      <x:c r="C8" s="78" t="s">
        <x:v>73</x:v>
      </x:c>
      <x:c r="D8" s="78" t="s">
        <x:v>638</x:v>
      </x:c>
      <x:c r="E8" s="78" t="s">
        <x:v>633</x:v>
      </x:c>
      <x:c r="F8" s="78" t="s">
        <x:v>639</x:v>
      </x:c>
      <x:c r="G8" s="78" t="s">
        <x:v>640</x:v>
      </x:c>
      <x:c r="H8" s="78" t="s">
        <x:v>617</x:v>
      </x:c>
      <x:c r="I8" s="78" t="s">
        <x:v>641</x:v>
      </x:c>
    </x:row>
    <x:row r="9">
      <x:c r="A9" s="78" t="s">
        <x:v>642</x:v>
      </x:c>
      <x:c r="B9" s="81">
        <x:v>46207</x:v>
      </x:c>
      <x:c r="C9" s="78" t="s">
        <x:v>73</x:v>
      </x:c>
      <x:c r="D9" s="78" t="s">
        <x:v>643</x:v>
      </x:c>
      <x:c r="E9" s="78" t="s">
        <x:v>633</x:v>
      </x:c>
      <x:c r="F9" s="78" t="s">
        <x:v>644</x:v>
      </x:c>
      <x:c r="G9" s="78" t="s">
        <x:v>645</x:v>
      </x:c>
      <x:c r="H9" s="78" t="s">
        <x:v>617</x:v>
      </x:c>
      <x:c r="I9" s="78" t="s">
        <x:v>646</x:v>
      </x:c>
    </x:row>
    <x:row r="10" ht="28.5">
      <x:c r="A10" s="78" t="s">
        <x:v>647</x:v>
      </x:c>
      <x:c r="B10" s="81">
        <x:v>46207</x:v>
      </x:c>
      <x:c r="C10" s="78" t="s">
        <x:v>68</x:v>
      </x:c>
      <x:c r="D10" s="78" t="s">
        <x:v>648</x:v>
      </x:c>
      <x:c r="E10" s="78" t="s">
        <x:v>649</x:v>
      </x:c>
      <x:c r="F10" s="78" t="s">
        <x:v>207</x:v>
      </x:c>
      <x:c r="G10" s="78" t="s">
        <x:v>650</x:v>
      </x:c>
      <x:c r="H10" s="78" t="s">
        <x:v>617</x:v>
      </x:c>
      <x:c r="I10" s="78" t="s">
        <x:v>651</x:v>
      </x:c>
    </x:row>
    <x:row r="11" ht="28.5">
      <x:c r="A11" s="78" t="s">
        <x:v>652</x:v>
      </x:c>
      <x:c r="B11" s="81">
        <x:v>46207</x:v>
      </x:c>
      <x:c r="C11" s="78" t="s">
        <x:v>68</x:v>
      </x:c>
      <x:c r="D11" s="78" t="s">
        <x:v>653</x:v>
      </x:c>
      <x:c r="E11" s="78" t="s">
        <x:v>201</x:v>
      </x:c>
      <x:c r="F11" s="78" t="s">
        <x:v>654</x:v>
      </x:c>
      <x:c r="G11" s="78" t="s">
        <x:v>655</x:v>
      </x:c>
      <x:c r="H11" s="78" t="s">
        <x:v>617</x:v>
      </x:c>
      <x:c r="I11" s="78" t="s">
        <x:v>656</x:v>
      </x:c>
    </x:row>
    <x:row r="12" ht="28.5">
      <x:c r="A12" s="78" t="s">
        <x:v>657</x:v>
      </x:c>
      <x:c r="B12" s="81">
        <x:v>46207</x:v>
      </x:c>
      <x:c r="C12" s="78" t="s">
        <x:v>68</x:v>
      </x:c>
      <x:c r="D12" s="78" t="s">
        <x:v>658</x:v>
      </x:c>
      <x:c r="E12" s="78" t="s">
        <x:v>659</x:v>
      </x:c>
      <x:c r="F12" s="78" t="s">
        <x:v>660</x:v>
      </x:c>
      <x:c r="G12" s="78" t="s">
        <x:v>19</x:v>
      </x:c>
      <x:c r="H12" s="78" t="s">
        <x:v>617</x:v>
      </x:c>
      <x:c r="I12" s="78" t="s">
        <x:v>661</x:v>
      </x:c>
    </x:row>
    <x:row r="13" ht="60" customHeight="1">
      <x:c r="A13" s="198" t="s">
        <x:v>662</x:v>
      </x:c>
      <x:c r="B13" s="199">
        <x:v>46208</x:v>
      </x:c>
      <x:c r="C13" s="200" t="s">
        <x:v>663</x:v>
      </x:c>
      <x:c r="D13" s="200" t="s">
        <x:v>664</x:v>
      </x:c>
      <x:c r="E13" s="200" t="s">
        <x:v>665</x:v>
      </x:c>
      <x:c r="F13" s="200" t="s">
        <x:v>666</x:v>
      </x:c>
      <x:c r="G13" s="200" t="s">
        <x:v>667</x:v>
      </x:c>
      <x:c r="H13" s="200" t="s">
        <x:v>617</x:v>
      </x:c>
      <x:c r="I13" s="201" t="s">
        <x:v>668</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row r="152" ht="585" customHeight="1">
      <x:c r="A152" s="431" t="str">
        <x:v>EV-149</x:v>
      </x:c>
      <x:c r="B152" s="431" t="n">
        <x:v>46224</x:v>
      </x:c>
      <x:c r="C152" s="431" t="str">
        <x:v>D-111 owner acceptance and first-run authorization</x:v>
      </x:c>
      <x:c r="D152" s="431" t="str">
        <x:v>The project owner accepted D-111 on 2026-07-21. Authority advances only after PR #63 merge and exact-main verification to independently verified oracle-blind staging and exactly one invocation per opaque scenario. Semantic execution count remains zero at acceptance.</x:v>
      </x:c>
      <x:c r="E152" s="431" t="str">
        <x:v>User decision / Gate acceptance / One-way execution authorization</x:v>
      </x:c>
      <x:c r="F152" s="431" t="str">
        <x:v>User instruction 2026-07-21; docs/package_assurance/p4_2_replacement_freeze_review_v0.3.0.md; PR #63; D-111; EV-146-EV-148; IMP-023-IMP-024</x:v>
      </x:c>
      <x:c r="G152" s="431" t="str">
        <x:v>P4.2 first-run authority</x:v>
      </x:c>
      <x:c r="H152" s="431" t="str">
        <x:v>Accepted / Integration Pending</x:v>
      </x:c>
      <x:c r="I152" s="431" t="str">
        <x:v>No semantic run, retry, tuning, input or evaluator change, protected comparison, P4.3 work, or release claim occurred at acceptance. Raw evidence must be frozen before a separate protected comparison.</x:v>
      </x:c>
    </x:row>
    <x:row r="153" ht="585" customHeight="1">
      <x:c r="A153" s="431" t="str">
        <x:v>EV-150</x:v>
      </x:c>
      <x:c r="B153" s="431" t="n">
        <x:v>46224</x:v>
      </x:c>
      <x:c r="C153" s="431" t="str">
        <x:v>PR #63 integration, exact-main freeze, and zero-run confirmation</x:v>
      </x:c>
      <x:c r="D153" s="431" t="str">
        <x:v>PR #63 merged D-111 and the reviewed replacement freeze at exact main 4d2c0f5. The evaluator source tree d0c3f128ee13898cdcd6fc12c6d6ad5877649551 matches behavior commit 4cf9fe8. No semantic invocation or protected comparison occurred; run count remains zero.</x:v>
      </x:c>
      <x:c r="E153" s="431" t="str">
        <x:v>GitHub merge verification / Exact-main freeze / Source-tree identity / Run-count confirmation</x:v>
      </x:c>
      <x:c r="F153" s="431" t="str">
        <x:v>PR #63; main 4d2c0f5f09950929ef057ef4f0efa3d75efdf0ed; implementation 4cf9fe8; source tree d0c3f128ee13898cdcd6fc12c6d6ad5877649551; D-111</x:v>
      </x:c>
      <x:c r="G153" s="431" t="str">
        <x:v>P4.2 integration evidence</x:v>
      </x:c>
      <x:c r="H153" s="431" t="str">
        <x:v>Accepted</x:v>
      </x:c>
      <x:c r="I153" s="431" t="str">
        <x:v>Both hosted PR checks passed with protected-fixture integrity tests excluded. Integration completed before any authorized first-run staging.</x:v>
      </x:c>
    </x:row>
    <x:row r="154" ht="675" customHeight="1">
      <x:c r="A154" s="431" t="str">
        <x:v>EV-151</x:v>
      </x:c>
      <x:c r="B154" s="431" t="n">
        <x:v>46224</x:v>
      </x:c>
      <x:c r="C154" s="431" t="str">
        <x:v>Pre-run Git metadata exposure and independent governance disposition</x:v>
      </x:c>
      <x:c r="D154" s="431" t="str">
        <x:v>The local PR #63 fast-forward printed release-family paths and comparative per-file insertion counts. No file content was deliberately opened, but the output exposed scenario-level structural differences. A fresh independent governance review classified the side channel as contamination under D-110 and IMP-023 and recommended external custody through first-run evidence freeze.</x:v>
      </x:c>
      <x:c r="E154" s="431" t="str">
        <x:v>Control-boundary incident review / Fresh independent governance review / Recovery architecture</x:v>
      </x:c>
      <x:c r="F154" s="431" t="str">
        <x:v>docs/package_assurance/p4_2_second_contamination_and_external_custody_gate_v0.3.0.md; D-110-D-112; I-007; IMP-023; IMP-025; PR #63 exact main 4d2c0f5</x:v>
      </x:c>
      <x:c r="G154" s="431" t="str">
        <x:v>P4.2 second recovery gate</x:v>
      </x:c>
      <x:c r="H154" s="431" t="str">
        <x:v>Ready for Owner Review</x:v>
      </x:c>
      <x:c r="I154" s="431" t="str">
        <x:v>FAM-HO-CONVEYOR-DRIVE-042 remains unchanged, unexecuted, and release-ineligible. D-111 authority stopped unused. No replacement authoring or semantic execution is authorized before D-112 acceptance.</x:v>
      </x:c>
    </x:row>
    <x:row r="155" ht="630" customHeight="1">
      <x:c r="A155" s="431" t="str">
        <x:v>EV-152</x:v>
      </x:c>
      <x:c r="B155" s="431" t="n">
        <x:v>46225</x:v>
      </x:c>
      <x:c r="C155" s="431" t="str">
        <x:v>D-112 owner acceptance and external-custody authorization</x:v>
      </x:c>
      <x:c r="D155" s="431" t="str">
        <x:v>The project owner accepted D-112 on 2026-07-22. Authority advances only after PR #64 integration and exact-main verification to fresh external replacement authoring, independent structural/hash verification, oracle-blind staging, and preparation of a new freeze review. Semantic execution count remains zero.</x:v>
      </x:c>
      <x:c r="E155" s="431" t="str">
        <x:v>User decision / Gate acceptance / External-custody scope authorization</x:v>
      </x:c>
      <x:c r="F155" s="431" t="str">
        <x:v>User instruction 2026-07-22; PR #64; docs/package_assurance/p4_2_second_contamination_and_external_custody_gate_v0.3.0.md; D-112; EV-150-EV-151; I-007; IMP-025</x:v>
      </x:c>
      <x:c r="G155" s="431" t="str">
        <x:v>P4.2 external-custody authority</x:v>
      </x:c>
      <x:c r="H155" s="431" t="str">
        <x:v>Accepted / Integration Pending</x:v>
      </x:c>
      <x:c r="I155" s="431" t="str">
        <x:v>No replacement authoring, semantic execution, oracle comparison, repository family import, evaluator change, protected-fixture CI restoration, P4.3 work, or release claim occurred at acceptance.</x:v>
      </x:c>
    </x:row>
    <x:row r="156" ht="675" customHeight="1">
      <x:c r="A156" s="431" t="str">
        <x:v>EV-153</x:v>
      </x:c>
      <x:c r="B156" s="431" t="n">
        <x:v>46225</x:v>
      </x:c>
      <x:c r="C156" s="431" t="str">
        <x:v>PR #64 integration and exact-main external-custody baseline</x:v>
      </x:c>
      <x:c r="D156" s="431" t="str">
        <x:v>PR #64 integrated accepted D-112 at exact main 0264db7d0c904452ffdec83c51f74103185a8e8d. Frozen evaluator behavior remains 4cf9fe8 and source tree d0c3f128ee13898cdcd6fc12c6d6ad5877649551. Semantic execution count remained zero.</x:v>
      </x:c>
      <x:c r="E156" s="431" t="str">
        <x:v>Git integration / Exact-main freeze / Source identity / Zero-run confirmation</x:v>
      </x:c>
      <x:c r="F156" s="431" t="str">
        <x:v>PR #64; main 0264db7d0c904452ffdec83c51f74103185a8e8d; implementation 4cf9fe8; source tree d0c3f128ee13898cdcd6fc12c6d6ad5877649551; D-112</x:v>
      </x:c>
      <x:c r="G156" s="431" t="str">
        <x:v>P4.2 external custody baseline</x:v>
      </x:c>
      <x:c r="H156" s="431" t="str">
        <x:v>Accepted</x:v>
      </x:c>
      <x:c r="I156" s="431" t="str">
        <x:v>No family or runner asset was imported into the review branch.</x:v>
      </x:c>
    </x:row>
    <x:row r="157" ht="675" customHeight="1">
      <x:c r="A157" s="431" t="str">
        <x:v>EV-154</x:v>
      </x:c>
      <x:c r="B157" s="431" t="n">
        <x:v>46225</x:v>
      </x:c>
      <x:c r="C157" s="431" t="str">
        <x:v>External family revision-1 failure and revision-2 remediation</x:v>
      </x:c>
      <x:c r="D157" s="431" t="str">
        <x:v>The first external family freeze passed author self-checks but failed three independent protected-oracle contract categories. It remains unchanged and unexecuted at complete hash 04d13a3f...c7be. Revision 2 corrected only those protected records and preserved producer hash b77f35e...e10ab.</x:v>
      </x:c>
      <x:c r="E157" s="431" t="str">
        <x:v>Failed freeze preservation / Sibling remediation / Producer-byte identity</x:v>
      </x:c>
      <x:c r="F157" s="431" t="str">
        <x:v>External aggregate authoring, verification, and remediation summaries; FR-D112-HOIST-001-FR-D112-HOIST-002; IMP-026</x:v>
      </x:c>
      <x:c r="G157" s="431" t="str">
        <x:v>P4.2 family remediation evidence</x:v>
      </x:c>
      <x:c r="H157" s="431" t="str">
        <x:v>Accepted</x:v>
      </x:c>
      <x:c r="I157" s="431" t="str">
        <x:v>A self-check is not acceptance. Failed family evidence was not erased or repaired in place.</x:v>
      </x:c>
    </x:row>
    <x:row r="158" ht="675" customHeight="1">
      <x:c r="A158" s="431" t="str">
        <x:v>EV-155</x:v>
      </x:c>
      <x:c r="B158" s="431" t="n">
        <x:v>46225</x:v>
      </x:c>
      <x:c r="C158" s="431" t="str">
        <x:v>Independent external family revision-2 freeze verification</x:v>
      </x:c>
      <x:c r="D158" s="431" t="str">
        <x:v>Fresh independent verification passed 68/68 controls across assurance, relationships, structure, hash/freeze, input integrity, package contract, protected oracle, and leakage. Complete-family pre/post hash is 141f3d1b...9190; semantic executions are zero.</x:v>
      </x:c>
      <x:c r="E158" s="431" t="str">
        <x:v>Independent structural and oracle-contract verification / Hash freeze / Matrix coverage</x:v>
      </x:c>
      <x:c r="F158" s="431" t="str">
        <x:v>docs/package_assurance/p4_2_external_custody_freeze_evidence_v0.3.0.json; family FR-D112-HOIST-002; producer b77f35e...e10ab; protected 1876455a...80d; complete 141f3d1b...9190</x:v>
      </x:c>
      <x:c r="G158" s="431" t="str">
        <x:v>P4.2 family freeze evidence</x:v>
      </x:c>
      <x:c r="H158" s="431" t="str">
        <x:v>Accepted / Integration Pending</x:v>
      </x:c>
      <x:c r="I158" s="431" t="str">
        <x:v>Aggregate matrix: one automatic pass, five automatic fails, one missing-authority state, one tool-failure state, and eight held findings; scenario mappings remain protected.</x:v>
      </x:c>
    </x:row>
    <x:row r="159" ht="675" customHeight="1">
      <x:c r="A159" s="431" t="str">
        <x:v>EV-156</x:v>
      </x:c>
      <x:c r="B159" s="431" t="n">
        <x:v>46225</x:v>
      </x:c>
      <x:c r="C159" s="431" t="str">
        <x:v>Producer-only physical capsule and staging-boundary recovery</x:v>
      </x:c>
      <x:c r="D159" s="431" t="str">
        <x:v>Instruction-only staging failed closed before copying after excluded-parent enumeration. A custody context then created physical capsule PC-D112-HOIST-002 with exactly eight package roots and 152 package files. It passed 16/16 controls, reproduced producer hash b77f35e...e10ab, and contained no restricted material.</x:v>
      </x:c>
      <x:c r="E159" s="431" t="str">
        <x:v>Physical access separation / Producer hash / Failed-attempt preservation</x:v>
      </x:c>
      <x:c r="F159" s="431" t="str">
        <x:v>Producer capsule aggregate summary; capsule content 92c4c20a...15b6; I-008; IMP-027</x:v>
      </x:c>
      <x:c r="G159" s="431" t="str">
        <x:v>P4.2 oracle-blind handoff evidence</x:v>
      </x:c>
      <x:c r="H159" s="431" t="str">
        <x:v>Accepted</x:v>
      </x:c>
      <x:c r="I159" s="431" t="str">
        <x:v>No package was executed and no protected contents were opened during the failed staging attempt.</x:v>
      </x:c>
    </x:row>
    <x:row r="160" ht="675" customHeight="1">
      <x:c r="A160" s="431" t="str">
        <x:v>EV-157</x:v>
      </x:c>
      <x:c r="B160" s="431" t="n">
        <x:v>46225</x:v>
      </x:c>
      <x:c r="C160" s="431" t="str">
        <x:v>Runner freeze rejection chain and revision-6 correction</x:v>
      </x:c>
      <x:c r="D160" s="431" t="str">
        <x:v>Independent static controls rejected predecessor runners for noncanonical inventory order, external path text, writable controls, an unavailable copy operation, and full inherited-environment forwarding. Every failed revision remains preserved and unexecuted. Revision 6 changed only custody controls while preserving 181/181 input identities.</x:v>
      </x:c>
      <x:c r="E160" s="431" t="str">
        <x:v>Fail-closed runner revisions / Static-control remediation / Input identity</x:v>
      </x:c>
      <x:c r="F160" s="431" t="str">
        <x:v>Runner aggregate failure and staging summaries; revisions 2-6; I-008; IMP-027</x:v>
      </x:c>
      <x:c r="G160" s="431" t="str">
        <x:v>P4.2 runner recovery evidence</x:v>
      </x:c>
      <x:c r="H160" s="431" t="str">
        <x:v>Accepted</x:v>
      </x:c>
      <x:c r="I160" s="431" t="str">
        <x:v>The evaluator and producer bytes did not change. Semantic execution count remained zero throughout.</x:v>
      </x:c>
    </x:row>
    <x:row r="161" ht="675" customHeight="1">
      <x:c r="A161" s="431" t="str">
        <x:v>EV-158</x:v>
      </x:c>
      <x:c r="B161" s="431" t="n">
        <x:v>46225</x:v>
      </x:c>
      <x:c r="C161" s="431" t="str">
        <x:v>Independent oracle-blind runner revision-6 verification</x:v>
      </x:c>
      <x:c r="D161" s="431" t="str">
        <x:v>Fresh independent verification passed 53/53 controls across seven categories. The bundle has 186/186 read-only files, zero runtime/evidence/marker/result/report/output artifacts, one-shot no-retry controls, a bounded child environment, and identical pre/post hash 54d01f7b...98fb.</x:v>
      </x:c>
      <x:c r="E161" s="431" t="str">
        <x:v>Independent static AST and filesystem verification / Hash freeze / Zero-artifact proof</x:v>
      </x:c>
      <x:c r="F161" s="431" t="str">
        <x:v>docs/package_assurance/p4_2_external_custody_freeze_evidence_v0.3.0.json; runner D-112-runner-revision-6; runner script c2ab9b56...beae; complete 54d01f7b...98fb</x:v>
      </x:c>
      <x:c r="G161" s="431" t="str">
        <x:v>P4.2 runner freeze evidence</x:v>
      </x:c>
      <x:c r="H161" s="431" t="str">
        <x:v>Accepted / Integration Pending</x:v>
      </x:c>
      <x:c r="I161" s="431" t="str">
        <x:v>No runner or evaluator import or execution occurred. Full environment forwarding, PATH, credentials, proxies, user-profile values, and unrelated variables are absent.</x:v>
      </x:c>
    </x:row>
    <x:row r="162" ht="630" customHeight="1">
      <x:c r="A162" s="431" t="str">
        <x:v>EV-159</x:v>
      </x:c>
      <x:c r="B162" s="431" t="n">
        <x:v>46225</x:v>
      </x:c>
      <x:c r="C162" s="431" t="str">
        <x:v>D-113 review-branch safe regression and frozen verification</x:v>
      </x:c>
      <x:c r="D162" s="431" t="str">
        <x:v>Focused package tests passed 40/40. Protected-safe full regression passed 313 with one expected Windows skip at 88.57% coverage. Repository validation passed 5/5, Ruff passed, frozen v0.2.0 baseline replay passed 9/9, and portfolio demo passed 2/2.</x:v>
      </x:c>
      <x:c r="E162" s="431" t="str">
        <x:v>Focused regression / Coverage gate / Repository validation / Frozen baseline / Demo</x:v>
      </x:c>
      <x:c r="F162" s="431" t="str">
        <x:v>Review branch codex/p4.2-external-held-out-freeze; generated runs/d113-freeze-review-20260722 evidence; protected fixture module excluded</x:v>
      </x:c>
      <x:c r="G162" s="431" t="str">
        <x:v>P4.2 review verification</x:v>
      </x:c>
      <x:c r="H162" s="431" t="str">
        <x:v>Accepted</x:v>
      </x:c>
      <x:c r="I162" s="431" t="str">
        <x:v>No release-eligible held-out family directory or protected fixture module was enumerated or loaded by these checks.</x:v>
      </x:c>
    </x:row>
    <x:row r="163" ht="675" customHeight="1">
      <x:c r="A163" s="431" t="str">
        <x:v>EV-160</x:v>
      </x:c>
      <x:c r="B163" s="431" t="n">
        <x:v>46225</x:v>
      </x:c>
      <x:c r="C163" s="431" t="str">
        <x:v>D-113 owner acceptance and conditional first-run authority</x:v>
      </x:c>
      <x:c r="D163" s="431" t="str">
        <x:v>The project owner accepted D-113 on 2026-07-22. The decision authorizes exactly one invocation for each of eight opaque packages only after PR #65 integration, exact-main recording, and complete frozen-identity reverification. Semantic execution count remains zero at acceptance.</x:v>
      </x:c>
      <x:c r="E163" s="431" t="str">
        <x:v>Owner decision / Conditional execution authority / Zero-run handoff</x:v>
      </x:c>
      <x:c r="F163" s="431" t="str">
        <x:v>Owner acceptance 2026-07-22; D-113; PR #65; docs/package_assurance/p4_2_external_custody_freeze_review_v0.3.0.md; EV-153-EV-159</x:v>
      </x:c>
      <x:c r="G163" s="431" t="str">
        <x:v>P4.2 first-run authority</x:v>
      </x:c>
      <x:c r="H163" s="431" t="str">
        <x:v>Accepted / Consumed</x:v>
      </x:c>
      <x:c r="I163" s="431" t="str">
        <x:v>Any invocation or infrastructure failure consumes the scenario. Raw evidence must freeze before protected comparison. Retry, tuning, import, evaluator or fixture change, P4.3 work, public rerun, and release claims remain prohibited.</x:v>
      </x:c>
    </x:row>
    <x:row r="164" ht="675" customHeight="1">
      <x:c r="A164" s="431" t="str">
        <x:v>EV-161</x:v>
      </x:c>
      <x:c r="B164" s="431" t="n">
        <x:v>46225</x:v>
      </x:c>
      <x:c r="C164" s="431" t="str">
        <x:v>D-113 integration and exact-main activation</x:v>
      </x:c>
      <x:c r="D164" s="431" t="str">
        <x:v>PR #65 integrated accepted D-113 at exact main 6a74c74a8331f92342008bff8dd376124148eb36. Frozen evaluator behavior remained 4cf9fe8. The accepted family, runner, schemas, and producer inputs remained external and unchanged through activation.</x:v>
      </x:c>
      <x:c r="E164" s="431" t="str">
        <x:v>Git integration / Exact-main activation / Frozen identity</x:v>
      </x:c>
      <x:c r="F164" s="431" t="str">
        <x:v>PR #65; main 6a74c74a8331f92342008bff8dd376124148eb36; D-113; runner static 54d01f7b...98fb</x:v>
      </x:c>
      <x:c r="G164" s="431" t="str">
        <x:v>P4.2 execution activation</x:v>
      </x:c>
      <x:c r="H164" s="431" t="str">
        <x:v>Accepted / Consumed</x:v>
      </x:c>
      <x:c r="I164" s="431" t="str">
        <x:v>Integration satisfied the final pre-run condition. No repository custody-asset import occurred.</x:v>
      </x:c>
    </x:row>
    <x:row r="165" ht="675" customHeight="1">
      <x:c r="A165" s="431" t="str">
        <x:v>EV-162</x:v>
      </x:c>
      <x:c r="B165" s="431" t="n">
        <x:v>46225</x:v>
      </x:c>
      <x:c r="C165" s="431" t="str">
        <x:v>D-113 one-shot execution and raw-evidence freeze</x:v>
      </x:c>
      <x:c r="D165" s="431" t="str">
        <x:v>Oracle-blind preflight passed 27/27 with 186/186 static files read-only and 181/181 inputs exact. One runner invocation attempted and consumed all eight scenarios. Every evaluator process returned exit 70; zero complete output sets and zero result states were available. Forty raw-evidence files froze at hash 5d45bfa3...3b21.</x:v>
      </x:c>
      <x:c r="E165" s="431" t="str">
        <x:v>One-shot execution / Failure preservation / Raw freeze / No retry</x:v>
      </x:c>
      <x:c r="F165" s="431" t="str">
        <x:v>docs/package_assurance/p4_2_external_first_run_result_evidence_v0.3.0.json; execution summary 502de2d8...b9574; raw 5d45bfa3...3b21</x:v>
      </x:c>
      <x:c r="G165" s="431" t="str">
        <x:v>P4.2 first-run execution evidence</x:v>
      </x:c>
      <x:c r="H165" s="431" t="str">
        <x:v>Failed / Preserved</x:v>
      </x:c>
      <x:c r="I165" s="431" t="str">
        <x:v>No retry, reset, resume, rerun, delete, overwrite, tuning, network access, protected access, or repository modification occurred. All eight scenarios are consumed.</x:v>
      </x:c>
    </x:row>
    <x:row r="166" ht="675" customHeight="1">
      <x:c r="A166" s="431" t="str">
        <x:v>EV-163</x:v>
      </x:c>
      <x:c r="B166" s="431" t="n">
        <x:v>46225</x:v>
      </x:c>
      <x:c r="C166" s="431" t="str">
        <x:v>Independent raw-evidence and failure verification</x:v>
      </x:c>
      <x:c r="D166" s="431" t="str">
        <x:v>A fresh oracle-blind verifier reproduced static identities, exactly one global runner invocation, eight marker-before-invocation attempts, complete failure evidence, exit 70 x8, zero outputs, and the 40-file raw hash with zero public-summary mismatches. Shared class: internal atomic-publication tooling failure; lower-level cause unavailable.</x:v>
      </x:c>
      <x:c r="E166" s="431" t="str">
        <x:v>Independent execution verification / Integrity / Aggregate failure classification</x:v>
      </x:c>
      <x:c r="F166" s="431" t="str">
        <x:v>independent verification ec2005f8...a50f0f; raw 5d45bfa3...3b21; runner 54d01f7b...98fb; IMP-028</x:v>
      </x:c>
      <x:c r="G166" s="431" t="str">
        <x:v>P4.2 independent failed-run verification</x:v>
      </x:c>
      <x:c r="H166" s="431" t="str">
        <x:v>Accepted Evidence</x:v>
      </x:c>
      <x:c r="I166" s="431" t="str">
        <x:v>This proves immutable operational failure evidence, not semantic evaluator performance.</x:v>
      </x:c>
    </x:row>
    <x:row r="167" ht="675" customHeight="1">
      <x:c r="A167" s="431" t="str">
        <x:v>EV-164</x:v>
      </x:c>
      <x:c r="B167" s="431" t="n">
        <x:v>46225</x:v>
      </x:c>
      <x:c r="C167" s="431" t="str">
        <x:v>Post-freeze protected comparison and not-evaluable verdict</x:v>
      </x:c>
      <x:c r="D167" s="431" t="str">
        <x:v>Protected access began only after raw freeze and independent verification. All eight expectations mapped to consumed attempts, but zero semantic outputs were comparable. Accuracy, exact-state/finding performance, false positives, and false negatives are undefined. Raw, protected, and complete-family hashes remained unchanged. Release hold required.</x:v>
      </x:c>
      <x:c r="E167" s="431" t="str">
        <x:v>Separate protected comparison / Claim boundary / Release hold</x:v>
      </x:c>
      <x:c r="F167" s="431" t="str">
        <x:v>comparison 20bdbf9d...ab70b7; docs/package_assurance/p4_2_external_first_run_result_review_v0.3.0.md; D-114 proposed; I-009</x:v>
      </x:c>
      <x:c r="G167" s="431" t="str">
        <x:v>P4.2 benchmark verdict</x:v>
      </x:c>
      <x:c r="H167" s="431" t="str">
        <x:v>Ready for Owner Review</x:v>
      </x:c>
      <x:c r="I167" s="431" t="str">
        <x:v>Aggregate verdict: not_evaluable_due_to_output_publication_failure. No held-out rerun, reuse, or performance claim is authorized.</x:v>
      </x:c>
    </x:row>
    <x:row r="168" ht="720" customHeight="1">
      <x:c r="A168" s="431" t="str">
        <x:v>EV-165</x:v>
      </x:c>
      <x:c r="B168" s="431" t="n">
        <x:v>46225</x:v>
      </x:c>
      <x:c r="C168" s="431" t="str">
        <x:v>D-115 owner directive and governance authority</x:v>
      </x:c>
      <x:c r="D168" s="431" t="str">
        <x:v>The project owner directed ISO/IEC 42001 to become the highest-level AI quality-control basis and authorized full implementation of a quality-control system as the next work block. D-115 records the bounded interpretation: internal governance and CI enforcement without conformity, certification, legal-compliance, guaranteed-safety, or independent-assurance claims.</x:v>
      </x:c>
      <x:c r="E168" s="431" t="str">
        <x:v>Owner instruction / Governance decision / Scope authority</x:v>
      </x:c>
      <x:c r="F168" s="431" t="str">
        <x:v>Owner instruction 2026-07-22; D-115; codex/iso-42001-ai-quality-system</x:v>
      </x:c>
      <x:c r="G168" s="431" t="str">
        <x:v>G0.1 governance authority</x:v>
      </x:c>
      <x:c r="H168" s="431" t="str">
        <x:v>Accepted</x:v>
      </x:c>
      <x:c r="I168" s="431" t="str">
        <x:v>D-114 remains pending and no held-out or semantic work was authorized by this decision.</x:v>
      </x:c>
    </x:row>
    <x:row r="169" ht="720" customHeight="1">
      <x:c r="A169" s="431" t="str">
        <x:v>EV-166</x:v>
      </x:c>
      <x:c r="B169" s="431" t="n">
        <x:v>46225</x:v>
      </x:c>
      <x:c r="C169" s="431" t="str">
        <x:v>AI management policy, manual, impact, and alignment records</x:v>
      </x:c>
      <x:c r="D169" s="431" t="str">
        <x:v>AIMS-POL-001 establishes precedence, human accountability, authorized-data use, evidence-first claims, ten mandatory stop conditions, role separation, and enforcement. The manual defines Plan-Do-Check-Act, eight lifecycle gates, risk scoring, operational controls, incidents, monitoring, audit, management review, and release mode. Impact and gap assessments cover current and future systems and formal limitations.</x:v>
      </x:c>
      <x:c r="E169" s="431" t="str">
        <x:v>Controlled policy / Operating manual / Impact and gap assessment</x:v>
      </x:c>
      <x:c r="F169" s="431" t="str">
        <x:v>docs/governance/ai_management_system_policy_v0.3.0.md; docs/governance/ai_quality_control_manual_v0.3.0.md; docs/governance/ai_impact_assessment_v0.3.0.md; docs/governance/iso_iec_42001_alignment_and_gap_assessment_v0.3.0.md</x:v>
      </x:c>
      <x:c r="G169" s="431" t="str">
        <x:v>AIMS documented controls</x:v>
      </x:c>
      <x:c r="H169" s="431" t="str">
        <x:v>Accepted Evidence</x:v>
      </x:c>
      <x:c r="I169" s="431" t="str">
        <x:v>The supplied PDF is excluded; official ISO and NIST public sources are listed with high-level-use boundaries.</x:v>
      </x:c>
    </x:row>
    <x:row r="170" ht="720" customHeight="1">
      <x:c r="A170" s="431" t="str">
        <x:v>EV-167</x:v>
      </x:c>
      <x:c r="B170" s="431" t="n">
        <x:v>46225</x:v>
      </x:c>
      <x:c r="C170" s="431" t="str">
        <x:v>Machine-readable AI management control plane</x:v>
      </x:c>
      <x:c r="D170" s="431" t="str">
        <x:v>governance/ai_management_system.json inventories 3 systems, 13 risks, 20 controls, 8 mandatory gates, 6 quality objectives, NC-001, AIMS-AUD-001, AIMS-MR-001, and exact release status. The JSON Schema fixes structure, types, allowed states, dates, paths, and certification_status not_claimed.</x:v>
      </x:c>
      <x:c r="E170" s="431" t="str">
        <x:v>Machine-readable inventory / Risk and control register / JSON Schema</x:v>
      </x:c>
      <x:c r="F170" s="431" t="str">
        <x:v>governance/ai_management_system.json; schemas/ai_management_system.schema.json; AIR-001-AIR-013; AIC-001-AIC-020; AIG-01-AIG-08; AIO-001-AIO-006; NC-001</x:v>
      </x:c>
      <x:c r="G170" s="431" t="str">
        <x:v>AIMS control-plane evidence</x:v>
      </x:c>
      <x:c r="H170" s="431" t="str">
        <x:v>Accepted Evidence</x:v>
      </x:c>
      <x:c r="I170" s="431" t="str">
        <x:v>Release is held by AIR-003, AIR-010, and NC-001; pending decision D-114 is explicit.</x:v>
      </x:c>
    </x:row>
    <x:row r="171" ht="720" customHeight="1">
      <x:c r="A171" s="431" t="str">
        <x:v>EV-168</x:v>
      </x:c>
      <x:c r="B171" s="431" t="n">
        <x:v>46225</x:v>
      </x:c>
      <x:c r="C171" s="431" t="str">
        <x:v>Automated governance validation and negative-control proof</x:v>
      </x:c>
      <x:c r="D171" s="431" t="str">
        <x:v>mech_eval_harness.ai_governance validates schema, global IDs, ownership, references, risk arithmetic, high-risk holds, minimum controls, evidence paths, authoritative source hosts, blocked future AI, partial-control gaps, pending decisions, and exact release alignment. Twenty-two focused control tests pass at 84% validator coverage, including positive CLI/state proof and deliberate failures across source, authority, risk, control, gate, data, future-AI, evidence, review-date, pending-decision, and release-state boundaries.</x:v>
      </x:c>
      <x:c r="E171" s="431" t="str">
        <x:v>Executable governance validator / Focused negative tests / CI gate</x:v>
      </x:c>
      <x:c r="F171" s="431" t="str">
        <x:v>src/mech_eval_harness/ai_governance.py; tests/test_ai_governance.py; .github/workflows/ci.yml; 22/22 focused; validator coverage 84%; Ruff passed</x:v>
      </x:c>
      <x:c r="G171" s="431" t="str">
        <x:v>AIMS automated enforcement</x:v>
      </x:c>
      <x:c r="H171" s="431" t="str">
        <x:v>Accepted Evidence</x:v>
      </x:c>
      <x:c r="I171" s="431" t="str">
        <x:v>Normal validation passes and reports HELD. --require-release-ready exits 2 on AIR-003, AIR-010, NC-001, and pending D-114 as designed.</x:v>
      </x:c>
    </x:row>
    <x:row r="172" ht="720" customHeight="1">
      <x:c r="A172" s="431" t="str">
        <x:v>EV-169</x:v>
      </x:c>
      <x:c r="B172" s="431" t="n">
        <x:v>46225</x:v>
      </x:c>
      <x:c r="C172" s="431" t="str">
        <x:v>Governance full regression and frozen baseline verification</x:v>
      </x:c>
      <x:c r="D172" s="431" t="str">
        <x:v>Protected-safe full regression passed 335 with one expected Windows skip at 88.33% coverage. Repository validation passed 5/5, Ruff passed, frozen v0.2.0 baseline replay passed 9/9 using an explicit generated evidence directory, and the portfolio demo passed 2/2.</x:v>
      </x:c>
      <x:c r="E172" s="431" t="str">
        <x:v>Full regression / Coverage / Validation / Frozen baseline / Demo</x:v>
      </x:c>
      <x:c r="F172" s="431" t="str">
        <x:v>runs/g01-ai-governance-final-20260722; full 335/1; coverage 88.33%; validation 5/5; Ruff; baseline 9/9; demo 2/2</x:v>
      </x:c>
      <x:c r="G172" s="431" t="str">
        <x:v>G0.1 regression evidence</x:v>
      </x:c>
      <x:c r="H172" s="431" t="str">
        <x:v>Accepted Evidence</x:v>
      </x:c>
      <x:c r="I172" s="431" t="str">
        <x:v>Protected held-out fixture tests remained excluded and no release-eligible family was accessed.</x:v>
      </x:c>
    </x:row>
    <x:row r="173" ht="720" customHeight="1">
      <x:c r="A173" s="431" t="str">
        <x:v>EV-170</x:v>
      </x:c>
      <x:c r="B173" s="431" t="n">
        <x:v>46225</x:v>
      </x:c>
      <x:c r="C173" s="431" t="str">
        <x:v>Initial AIMS internal audit and management review</x:v>
      </x:c>
      <x:c r="D173" s="431" t="str">
        <x:v>AIMS-AUD-001 found the internal system suitable for the current repository workflow while retaining NC-001 and external assurance gaps. AIMS-MR-001 adopted the policy, machine gate, human authority, rights boundary, and review cycle, and kept D-114 separate and pending.</x:v>
      </x:c>
      <x:c r="E173" s="431" t="str">
        <x:v>Internal audit / Management review / Continual improvement</x:v>
      </x:c>
      <x:c r="F173" s="431" t="str">
        <x:v>docs/governance/internal_audit_2026-07-22.md; docs/governance/management_review_2026-07-22.md; IMP-029-IMP-030; R-017</x:v>
      </x:c>
      <x:c r="G173" s="431" t="str">
        <x:v>AIMS performance evaluation</x:v>
      </x:c>
      <x:c r="H173" s="431" t="str">
        <x:v>Accepted with Holds</x:v>
      </x:c>
      <x:c r="I173" s="431" t="str">
        <x:v>This is an internal review with disclosed independence limitations, not external assurance or certification.</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669</x:v>
      </x:c>
      <x:c r="C4" s="80" t="s">
        <x:v>670</x:v>
      </x:c>
      <x:c r="D4" s="80" t="s">
        <x:v>671</x:v>
      </x:c>
      <x:c r="E4" s="80" t="s">
        <x:v>672</x:v>
      </x:c>
      <x:c r="F4" s="80" t="s">
        <x:v>673</x:v>
      </x:c>
      <x:c r="G4" s="80" t="s">
        <x:v>674</x:v>
      </x:c>
      <x:c r="H4" s="80" t="s">
        <x:v>675</x:v>
      </x:c>
      <x:c r="I4" s="80" t="s">
        <x:v>56</x:v>
      </x:c>
    </x:row>
    <x:row r="5" ht="28.5">
      <x:c r="A5" s="78" t="s">
        <x:v>676</x:v>
      </x:c>
      <x:c r="B5" s="78" t="s">
        <x:v>677</x:v>
      </x:c>
      <x:c r="C5" s="78" t="s">
        <x:v>678</x:v>
      </x:c>
      <x:c r="D5" s="78" t="s">
        <x:v>679</x:v>
      </x:c>
      <x:c r="E5" s="78" t="s">
        <x:v>680</x:v>
      </x:c>
      <x:c r="F5" s="78" t="s">
        <x:v>681</x:v>
      </x:c>
      <x:c r="G5" s="78" t="s">
        <x:v>682</x:v>
      </x:c>
      <x:c r="H5" s="78" t="s">
        <x:v>683</x:v>
      </x:c>
      <x:c r="I5" s="78" t="str">
        <x:v>Deferred — expand selectively through package benchmark</x:v>
      </x:c>
    </x:row>
    <x:row r="6" ht="57">
      <x:c r="A6" s="78" t="s">
        <x:v>684</x:v>
      </x:c>
      <x:c r="B6" s="78" t="s">
        <x:v>685</x:v>
      </x:c>
      <x:c r="C6" s="78" t="s">
        <x:v>686</x:v>
      </x:c>
      <x:c r="D6" s="78" t="s">
        <x:v>687</x:v>
      </x:c>
      <x:c r="E6" s="78" t="s">
        <x:v>688</x:v>
      </x:c>
      <x:c r="F6" s="78" t="s">
        <x:v>570</x:v>
      </x:c>
      <x:c r="G6" s="78" t="s">
        <x:v>689</x:v>
      </x:c>
      <x:c r="H6" s="78" t="s">
        <x:v>685</x:v>
      </x:c>
      <x:c r="I6" s="78" t="str">
        <x:v>Deferred — v0.4+; structured manifests first</x:v>
      </x:c>
    </x:row>
    <x:row r="7" ht="57">
      <x:c r="A7" s="78" t="s">
        <x:v>690</x:v>
      </x:c>
      <x:c r="B7" s="78" t="s">
        <x:v>691</x:v>
      </x:c>
      <x:c r="C7" s="78" t="s">
        <x:v>692</x:v>
      </x:c>
      <x:c r="D7" s="78" t="s">
        <x:v>693</x:v>
      </x:c>
      <x:c r="E7" s="78" t="s">
        <x:v>694</x:v>
      </x:c>
      <x:c r="F7" s="78" t="s">
        <x:v>570</x:v>
      </x:c>
      <x:c r="G7" s="78" t="s">
        <x:v>695</x:v>
      </x:c>
      <x:c r="H7" s="78" t="s">
        <x:v>696</x:v>
      </x:c>
      <x:c r="I7" s="78" t="str">
        <x:v>Deferred — after package evaluator and sandbox/trace plan</x:v>
      </x:c>
    </x:row>
    <x:row r="8" ht="57">
      <x:c r="A8" s="78" t="s">
        <x:v>697</x:v>
      </x:c>
      <x:c r="B8" s="78" t="s">
        <x:v>698</x:v>
      </x:c>
      <x:c r="C8" s="78" t="s">
        <x:v>699</x:v>
      </x:c>
      <x:c r="D8" s="78" t="s">
        <x:v>700</x:v>
      </x:c>
      <x:c r="E8" s="78" t="s">
        <x:v>701</x:v>
      </x:c>
      <x:c r="F8" s="78" t="s">
        <x:v>570</x:v>
      </x:c>
      <x:c r="G8" s="78" t="s">
        <x:v>682</x:v>
      </x:c>
      <x:c r="H8" s="78" t="s">
        <x:v>702</x:v>
      </x:c>
      <x:c r="I8" s="78" t="s">
        <x:v>703</x:v>
      </x:c>
    </x:row>
    <x:row r="9" ht="28.5">
      <x:c r="A9" s="78" t="s">
        <x:v>704</x:v>
      </x:c>
      <x:c r="B9" s="78" t="s">
        <x:v>705</x:v>
      </x:c>
      <x:c r="C9" s="78" t="s">
        <x:v>706</x:v>
      </x:c>
      <x:c r="D9" s="78" t="s">
        <x:v>707</x:v>
      </x:c>
      <x:c r="E9" s="78" t="s">
        <x:v>708</x:v>
      </x:c>
      <x:c r="F9" s="78" t="s">
        <x:v>582</x:v>
      </x:c>
      <x:c r="G9" s="78" t="s">
        <x:v>682</x:v>
      </x:c>
      <x:c r="H9" s="78" t="s">
        <x:v>709</x:v>
      </x:c>
      <x:c r="I9" s="78" t="s">
        <x:v>703</x:v>
      </x:c>
    </x:row>
    <x:row r="10" ht="28.5">
      <x:c r="A10" s="78" t="s">
        <x:v>710</x:v>
      </x:c>
      <x:c r="B10" s="78" t="s">
        <x:v>711</x:v>
      </x:c>
      <x:c r="C10" s="78" t="s">
        <x:v>712</x:v>
      </x:c>
      <x:c r="D10" s="78" t="s">
        <x:v>713</x:v>
      </x:c>
      <x:c r="E10" s="78" t="s">
        <x:v>714</x:v>
      </x:c>
      <x:c r="F10" s="78" t="s">
        <x:v>582</x:v>
      </x:c>
      <x:c r="G10" s="78" t="s">
        <x:v>715</x:v>
      </x:c>
      <x:c r="H10" s="78" t="s">
        <x:v>711</x:v>
      </x:c>
      <x:c r="I10" s="78" t="s">
        <x:v>703</x:v>
      </x:c>
    </x:row>
    <x:row r="11" ht="28.5">
      <x:c r="A11" s="78" t="s">
        <x:v>716</x:v>
      </x:c>
      <x:c r="B11" s="78" t="s">
        <x:v>717</x:v>
      </x:c>
      <x:c r="C11" s="78" t="s">
        <x:v>718</x:v>
      </x:c>
      <x:c r="D11" s="78" t="s">
        <x:v>719</x:v>
      </x:c>
      <x:c r="E11" s="78" t="s">
        <x:v>720</x:v>
      </x:c>
      <x:c r="F11" s="78" t="s">
        <x:v>582</x:v>
      </x:c>
      <x:c r="G11" s="78" t="s">
        <x:v>721</x:v>
      </x:c>
      <x:c r="H11" s="78" t="s">
        <x:v>722</x:v>
      </x:c>
      <x:c r="I11" s="78" t="s">
        <x:v>703</x:v>
      </x:c>
    </x:row>
    <x:row r="12" ht="28.5">
      <x:c r="A12" s="78" t="s">
        <x:v>723</x:v>
      </x:c>
      <x:c r="B12" s="78" t="s">
        <x:v>724</x:v>
      </x:c>
      <x:c r="C12" s="78" t="s">
        <x:v>725</x:v>
      </x:c>
      <x:c r="D12" s="78" t="s">
        <x:v>726</x:v>
      </x:c>
      <x:c r="E12" s="78" t="s">
        <x:v>727</x:v>
      </x:c>
      <x:c r="F12" s="78" t="s">
        <x:v>594</x:v>
      </x:c>
      <x:c r="G12" s="78" t="s">
        <x:v>695</x:v>
      </x:c>
      <x:c r="H12" s="78" t="s">
        <x:v>724</x:v>
      </x:c>
      <x:c r="I12" s="78" t="s">
        <x:v>703</x:v>
      </x:c>
    </x:row>
    <x:row r="13" ht="28.5">
      <x:c r="A13" s="78" t="s">
        <x:v>728</x:v>
      </x:c>
      <x:c r="B13" s="78" t="s">
        <x:v>722</x:v>
      </x:c>
      <x:c r="C13" s="78" t="s">
        <x:v>729</x:v>
      </x:c>
      <x:c r="D13" s="78" t="s">
        <x:v>730</x:v>
      </x:c>
      <x:c r="E13" s="78" t="s">
        <x:v>731</x:v>
      </x:c>
      <x:c r="F13" s="78" t="s">
        <x:v>582</x:v>
      </x:c>
      <x:c r="G13" s="78" t="s">
        <x:v>715</x:v>
      </x:c>
      <x:c r="H13" s="78" t="s">
        <x:v>722</x:v>
      </x:c>
      <x:c r="I13" s="78" t="s">
        <x:v>703</x:v>
      </x:c>
    </x:row>
    <x:row r="14" ht="28.5">
      <x:c r="A14" s="78" t="s">
        <x:v>732</x:v>
      </x:c>
      <x:c r="B14" s="78" t="s">
        <x:v>733</x:v>
      </x:c>
      <x:c r="C14" s="78" t="s">
        <x:v>734</x:v>
      </x:c>
      <x:c r="D14" s="78" t="s">
        <x:v>735</x:v>
      </x:c>
      <x:c r="E14" s="78" t="s">
        <x:v>736</x:v>
      </x:c>
      <x:c r="F14" s="78" t="s">
        <x:v>582</x:v>
      </x:c>
      <x:c r="G14" s="78" t="s">
        <x:v>737</x:v>
      </x:c>
      <x:c r="H14" s="78" t="s">
        <x:v>733</x:v>
      </x:c>
      <x:c r="I14" s="78" t="s">
        <x:v>703</x:v>
      </x:c>
    </x:row>
    <x:row r="15" ht="28.5">
      <x:c r="A15" s="78" t="s">
        <x:v>738</x:v>
      </x:c>
      <x:c r="B15" s="78" t="s">
        <x:v>739</x:v>
      </x:c>
      <x:c r="C15" s="78" t="s">
        <x:v>740</x:v>
      </x:c>
      <x:c r="D15" s="78" t="s">
        <x:v>741</x:v>
      </x:c>
      <x:c r="E15" s="78" t="s">
        <x:v>742</x:v>
      </x:c>
      <x:c r="F15" s="78" t="s">
        <x:v>594</x:v>
      </x:c>
      <x:c r="G15" s="78" t="s">
        <x:v>743</x:v>
      </x:c>
      <x:c r="H15" s="78" t="s">
        <x:v>744</x:v>
      </x:c>
      <x:c r="I15" s="78" t="s">
        <x:v>703</x:v>
      </x:c>
    </x:row>
    <x:row r="16" ht="28.5">
      <x:c r="A16" s="78" t="s">
        <x:v>745</x:v>
      </x:c>
      <x:c r="B16" s="78" t="s">
        <x:v>746</x:v>
      </x:c>
      <x:c r="C16" s="78" t="s">
        <x:v>747</x:v>
      </x:c>
      <x:c r="D16" s="78" t="s">
        <x:v>748</x:v>
      </x:c>
      <x:c r="E16" s="78" t="s">
        <x:v>749</x:v>
      </x:c>
      <x:c r="F16" s="78" t="s">
        <x:v>594</x:v>
      </x:c>
      <x:c r="G16" s="78" t="s">
        <x:v>750</x:v>
      </x:c>
      <x:c r="H16" s="78" t="s">
        <x:v>746</x:v>
      </x:c>
      <x:c r="I16" s="78" t="s">
        <x:v>703</x:v>
      </x:c>
    </x:row>
    <x:row r="17" ht="72" customHeight="1">
      <x:c r="A17" s="182" t="s">
        <x:v>751</x:v>
      </x:c>
      <x:c r="B17" s="183" t="s">
        <x:v>752</x:v>
      </x:c>
      <x:c r="C17" s="183" t="s">
        <x:v>753</x:v>
      </x:c>
      <x:c r="D17" s="183" t="s">
        <x:v>754</x:v>
      </x:c>
      <x:c r="E17" s="183" t="str">
        <x:v>MVP v0.2.0 released; P0 contract and authority map approved; structured package manifests and reviewed ground truth available.</x:v>
      </x:c>
      <x:c r="F17" s="183" t="str">
        <x:v>Now</x:v>
      </x:c>
      <x:c r="G17" s="183" t="str">
        <x:v>46</x:v>
      </x:c>
      <x:c r="H17" s="183" t="s">
        <x:v>755</x:v>
      </x:c>
      <x:c r="I17" s="184" t="str">
        <x:v>Selected — v0.3.0</x:v>
      </x:c>
    </x:row>
    <x:row r="18" ht="72" customHeight="1">
      <x:c r="A18" s="185" t="s">
        <x:v>756</x:v>
      </x:c>
      <x:c r="B18" s="83" t="s">
        <x:v>757</x:v>
      </x:c>
      <x:c r="C18" s="83" t="s">
        <x:v>758</x:v>
      </x:c>
      <x:c r="D18" s="83" t="s">
        <x:v>759</x:v>
      </x:c>
      <x:c r="E18" s="83" t="s">
        <x:v>760</x:v>
      </x:c>
      <x:c r="F18" s="83" t="s">
        <x:v>570</x:v>
      </x:c>
      <x:c r="G18" s="83" t="s">
        <x:v>761</x:v>
      </x:c>
      <x:c r="H18" s="83" t="s">
        <x:v>762</x:v>
      </x:c>
      <x:c r="I18" s="186" t="s">
        <x:v>703</x:v>
      </x:c>
    </x:row>
    <x:row r="19" ht="72" customHeight="1">
      <x:c r="A19" s="187" t="s">
        <x:v>763</x:v>
      </x:c>
      <x:c r="B19" s="188" t="s">
        <x:v>764</x:v>
      </x:c>
      <x:c r="C19" s="188" t="s">
        <x:v>765</x:v>
      </x:c>
      <x:c r="D19" s="188" t="s">
        <x:v>766</x:v>
      </x:c>
      <x:c r="E19" s="188" t="s">
        <x:v>767</x:v>
      </x:c>
      <x:c r="F19" s="188" t="s">
        <x:v>570</x:v>
      </x:c>
      <x:c r="G19" s="188" t="s">
        <x:v>750</x:v>
      </x:c>
      <x:c r="H19" s="188" t="s">
        <x:v>768</x:v>
      </x:c>
      <x:c r="I19" s="189" t="s">
        <x:v>703</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46225</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G0.1 D-115 AI management system operational; product release held</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Binding policy, machine-readable inventory/risk/control records, eight lifecycle gates, impact assessment, audit, management review, and CI validation now govern AI-assisted work. D-113 remains not evaluable and D-114 remains pending.</x:v>
      </x:c>
      <x:c r="E7" s="765" t="str">
        <x:v>Product interpretation</x:v>
      </x:c>
      <x:c r="F7" s="431" t="str">
        <x:v>Successful kernel; not yet a complete economically useful workflow.</x:v>
      </x:c>
      <x:c r="G7" s="765" t="str">
        <x:v>Response</x:v>
      </x:c>
      <x:c r="H7" s="431" t="str">
        <x:v>Review and integrate G0.1. Then accept or revise D-114 as a separate corrective-action decision.</x:v>
      </x:c>
    </x:row>
    <x:row r="8" ht="153" hidden="0" customHeight="1">
      <x:c r="A8" s="765" t="str">
        <x:v>Immediate next action</x:v>
      </x:c>
      <x:c r="B8" s="431" t="str">
        <x:v>Preserve the AI governance controls and exact release hold. Do not claim ISO conformity, certification, legal compliance, guaranteed safety, or independent assurance.</x:v>
      </x:c>
      <x:c r="C8" s="765" t="str">
        <x:v>Selected vertical</x:v>
      </x:c>
      <x:c r="D8" s="431" t="str">
        <x:v>D-115 governance integration -&gt; owner review -&gt; D-114 decision -&gt; development-only publication stabilization if accepted -&gt; separate benchmark recovery gate.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855" hidden="0" customHeight="1">
      <x:c r="A41" s="604" t="str">
        <x:v>Immediate implication</x:v>
      </x:c>
      <x:c r="B41" s="605"/>
      <x:c r="C41" s="606" t="str">
        <x:v>D-115 establishes the internal AI management system as the highest-level repository quality control below applicable obligations. AIMS-POL-001 and governance/ai_management_system.json cover active generative-AI project assistance, the deterministic evaluator as a non-AI control component, and future model capabilities that remain blocked. The record defines 3 systems, 13 risks, 20 controls, 8 lifecycle gates, 6 quality objectives, 1 open nonconformity, an internal audit, a management review, and explicit release status. The validator checks schema, global IDs, ownership, references, risk arithmetic, minimum controls, evidence paths, blocked future AI, pending decisions, and exact release alignment. Normal validation passes and reports release held by AIR-003, AIR-010, NC-001, and pending D-114; --require-release-ready fails by design. Local proof: governance tests 22/22 at 84% validator coverage, protected-safe full regression 335/1 at 88.33% coverage, validation 5/5, Ruff, baseline 9/9, and demo 2/2. The supplied ISO PDF was not ingested or committed because it is visibly licensed to another purchaser. Official ISO/IEC 42001, ISO/IEC 23894, NIST AI RMF, and NIST Generative AI Profile public sources support only high-level alignment. Formal conformity requires a properly licensed standard and competent independent assessment. PR #66 exact main f49c864 preserves D-113. D-114 remains pending and the held-out family remains consumed with no rerun authority.</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769</x:v>
      </x:c>
      <x:c r="B3" s="235"/>
      <x:c r="C3" s="235"/>
      <x:c r="D3" s="235"/>
      <x:c r="F3" s="237" t="s">
        <x:v>770</x:v>
      </x:c>
      <x:c r="G3" s="235"/>
      <x:c r="H3" s="235"/>
      <x:c r="I3" s="235"/>
      <x:c r="J3" s="235"/>
      <x:c r="K3" s="235"/>
      <x:c r="L3" s="235"/>
      <x:c r="M3" s="235"/>
      <x:c r="N3" s="235"/>
    </x:row>
    <x:row r="4" ht="26.399999618530273" hidden="0" customHeight="1">
      <x:c r="A4" s="79" t="s">
        <x:v>44</x:v>
      </x:c>
      <x:c r="B4" s="166">
        <x:v>46257</x:v>
      </x:c>
      <x:c r="F4" s="449" t="s">
        <x:v>771</x:v>
      </x:c>
      <x:c r="G4" s="610" t="str">
        <x:v>Post-MVP — Select next expansion</x:v>
      </x:c>
      <x:c r="H4" s="610"/>
      <x:c r="I4" s="246"/>
      <x:c r="J4" s="245"/>
      <x:c r="K4" s="245"/>
      <x:c r="L4" s="246"/>
      <x:c r="M4" s="245"/>
      <x:c r="N4" s="245"/>
    </x:row>
    <x:row r="5" ht="14.25" hidden="0" customHeight="1">
      <x:c r="A5" s="79" t="s">
        <x:v>2</x:v>
      </x:c>
      <x:c r="B5" s="167">
        <x:v>76</x:v>
      </x:c>
      <x:c r="F5" s="449" t="s">
        <x:v>772</x:v>
      </x:c>
      <x:c r="G5" s="610" t="str">
        <x:v>Define acceptance criteria for the selected expansion</x:v>
      </x:c>
      <x:c r="H5" s="610"/>
      <x:c r="I5" s="246"/>
      <x:c r="J5" s="245"/>
      <x:c r="K5" s="245"/>
      <x:c r="L5" s="246"/>
      <x:c r="M5" s="245"/>
      <x:c r="N5" s="245"/>
    </x:row>
    <x:row r="6" ht="92.4000015258789" hidden="0" customHeight="1">
      <x:c r="A6" s="79" t="s">
        <x:v>773</x:v>
      </x:c>
      <x:c r="B6" s="168" t="n">
        <x:f>'Phase Summary'!D10</x:f>
        <x:v>17.14</x:v>
      </x:c>
      <x:c r="F6" s="449" t="s">
        <x:v>774</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775</x:v>
      </x:c>
      <x:c r="B7" s="169" t="n">
        <x:f>'Phase Summary'!E10</x:f>
        <x:v>1</x:v>
      </x:c>
      <x:c r="F7" s="449" t="s">
        <x:v>776</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777</x:v>
      </x:c>
      <x:c r="B8" s="167" t="n">
        <x:v>121</x:v>
      </x:c>
      <x:c r="F8" s="449" t="s">
        <x:v>778</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703</x:v>
      </x:c>
      <x:c r="G9" s="610" t="str">
        <x:v>All expansion work until one backlog item is selected.</x:v>
      </x:c>
      <x:c r="H9" s="610"/>
      <x:c r="I9" s="246"/>
      <x:c r="J9" s="245"/>
      <x:c r="K9" s="245"/>
      <x:c r="L9" s="246"/>
      <x:c r="M9" s="245"/>
      <x:c r="N9" s="245"/>
    </x:row>
    <x:row r="10" ht="14.25" hidden="0" customHeight="1">
      <x:c r="A10" s="79" t="s">
        <x:v>779</x:v>
      </x:c>
      <x:c r="B10" s="167" t="n">
        <x:v>22</x:v>
      </x:c>
      <x:c r="F10" s="156" t="s">
        <x:v>780</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781</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0.42</x:v>
      </x:c>
      <x:c r="D20" s="170" t="n">
        <x:f>IF(B20=0,0,SUMPRODUCT(('Detailed Gantt'!$B$6:$B$27=A20)*'Detailed Gantt'!$F$6:$F$27*'Detailed Gantt'!$L$6:$L$27)/B20)</x:f>
        <x:v>1</x:v>
      </x:c>
      <x:c r="E20" s="78" t="str">
        <x:v>Gate 6 — MVP v0.2.0 release</x:v>
      </x:c>
    </x:row>
    <x:row r="23" ht="15.75">
      <x:c r="A23" s="237" t="s">
        <x:v>782</x:v>
      </x:c>
      <x:c r="B23" s="235"/>
      <x:c r="C23" s="235"/>
      <x:c r="D23" s="235"/>
      <x:c r="E23" s="235"/>
      <x:c r="F23" s="235"/>
      <x:c r="G23" s="235"/>
      <x:c r="H23" s="235"/>
      <x:c r="I23" s="235"/>
      <x:c r="J23" s="235"/>
      <x:c r="K23" s="235"/>
      <x:c r="L23" s="235"/>
      <x:c r="M23" s="235"/>
      <x:c r="N23" s="235"/>
    </x:row>
    <x:row r="24" ht="30" customHeight="1">
      <x:c r="A24" s="175" t="s">
        <x:v>673</x:v>
      </x:c>
      <x:c r="B24" s="175" t="s">
        <x:v>48</x:v>
      </x:c>
      <x:c r="C24" s="175" t="s">
        <x:v>783</x:v>
      </x:c>
      <x:c r="D24" s="175" t="s">
        <x:v>784</x:v>
      </x:c>
      <x:c r="E24" s="175" t="s">
        <x:v>178</x:v>
      </x:c>
      <x:c r="F24" s="175" t="s">
        <x:v>785</x:v>
      </x:c>
      <x:c r="G24" s="175" t="s">
        <x:v>181</x:v>
      </x:c>
      <x:c r="H24" s="175" t="s">
        <x:v>564</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c3d1d36c68994b3c"/>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786</x:v>
      </x:c>
      <x:c r="B4" s="238"/>
      <x:c r="C4" s="238"/>
      <x:c r="D4" s="238"/>
      <x:c r="E4" s="238"/>
      <x:c r="F4" s="238"/>
      <x:c r="G4" s="238"/>
      <x:c r="H4" s="238"/>
    </x:row>
    <x:row r="5" ht="33.95000076293945" customHeight="1">
      <x:c r="A5" s="239" t="s">
        <x:v>787</x:v>
      </x:c>
      <x:c r="B5" s="240"/>
      <x:c r="C5" s="241" t="s">
        <x:v>788</x:v>
      </x:c>
      <x:c r="D5" s="242"/>
      <x:c r="E5" s="242"/>
      <x:c r="F5" s="242"/>
      <x:c r="G5" s="242"/>
      <x:c r="H5" s="243"/>
    </x:row>
    <x:row r="6" ht="33.95000076293945" customHeight="1">
      <x:c r="A6" s="239" t="s">
        <x:v>789</x:v>
      </x:c>
      <x:c r="B6" s="240"/>
      <x:c r="C6" s="241" t="str">
        <x:v>Mechanical Technical Document Evaluation Harness v0.2.0 — released evaluation kernel</x:v>
      </x:c>
      <x:c r="D6" s="242"/>
      <x:c r="E6" s="242"/>
      <x:c r="F6" s="242"/>
      <x:c r="G6" s="242"/>
      <x:c r="H6" s="243"/>
    </x:row>
    <x:row r="7" ht="33.95000076293945" customHeight="1">
      <x:c r="A7" s="239" t="s">
        <x:v>790</x:v>
      </x:c>
      <x:c r="B7" s="240"/>
      <x:c r="C7" s="241" t="s">
        <x:v>791</x:v>
      </x:c>
      <x:c r="D7" s="242"/>
      <x:c r="E7" s="242"/>
      <x:c r="F7" s="242"/>
      <x:c r="G7" s="242"/>
      <x:c r="H7" s="243"/>
    </x:row>
    <x:row r="8" ht="33.95000076293945" customHeight="1">
      <x:c r="A8" s="239" t="s">
        <x:v>792</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793</x:v>
      </x:c>
      <x:c r="B9" s="240"/>
      <x:c r="C9" s="241" t="s">
        <x:v>794</x:v>
      </x:c>
      <x:c r="D9" s="242"/>
      <x:c r="E9" s="242"/>
      <x:c r="F9" s="242"/>
      <x:c r="G9" s="242"/>
      <x:c r="H9" s="243"/>
    </x:row>
    <x:row r="11" ht="15">
      <x:c r="A11" s="238" t="s">
        <x:v>795</x:v>
      </x:c>
      <x:c r="B11" s="238"/>
      <x:c r="C11" s="238"/>
      <x:c r="D11" s="238"/>
      <x:c r="E11" s="238"/>
      <x:c r="F11" s="238"/>
      <x:c r="G11" s="238"/>
      <x:c r="H11" s="238"/>
    </x:row>
    <x:row r="12" ht="33.95000076293945" customHeight="1">
      <x:c r="A12" s="179" t="s">
        <x:v>796</x:v>
      </x:c>
      <x:c r="B12" s="180" t="s">
        <x:v>797</x:v>
      </x:c>
      <x:c r="C12" s="180" t="s">
        <x:v>798</x:v>
      </x:c>
      <x:c r="D12" s="180" t="s">
        <x:v>799</x:v>
      </x:c>
      <x:c r="E12" s="180" t="s">
        <x:v>800</x:v>
      </x:c>
      <x:c r="F12" s="180" t="s">
        <x:v>672</x:v>
      </x:c>
      <x:c r="G12" s="180" t="s">
        <x:v>56</x:v>
      </x:c>
      <x:c r="H12" s="181" t="s">
        <x:v>801</x:v>
      </x:c>
    </x:row>
    <x:row r="13" ht="78" customHeight="1">
      <x:c r="A13" s="182" t="s">
        <x:v>17</x:v>
      </x:c>
      <x:c r="B13" s="183" t="s">
        <x:v>802</x:v>
      </x:c>
      <x:c r="C13" s="183" t="s">
        <x:v>803</x:v>
      </x:c>
      <x:c r="D13" s="183" t="s">
        <x:v>804</x:v>
      </x:c>
      <x:c r="E13" s="183" t="s">
        <x:v>805</x:v>
      </x:c>
      <x:c r="F13" s="183" t="s">
        <x:v>806</x:v>
      </x:c>
      <x:c r="G13" s="183" t="str">
        <x:v>Released</x:v>
      </x:c>
      <x:c r="H13" s="184" t="str">
        <x:v>Frozen at v0.2.0; corrective releases only unless explicitly approved.</x:v>
      </x:c>
    </x:row>
    <x:row r="14" ht="78" customHeight="1">
      <x:c r="A14" s="185" t="s">
        <x:v>22</x:v>
      </x:c>
      <x:c r="B14" s="83" t="s">
        <x:v>807</x:v>
      </x:c>
      <x:c r="C14" s="83" t="s">
        <x:v>808</x:v>
      </x:c>
      <x:c r="D14" s="83" t="s">
        <x:v>809</x:v>
      </x:c>
      <x:c r="E14" s="83" t="s">
        <x:v>810</x:v>
      </x:c>
      <x:c r="F14" s="83" t="s">
        <x:v>811</x:v>
      </x:c>
      <x:c r="G14" s="83" t="str">
        <x:v>Active — v0.3.0</x:v>
      </x:c>
      <x:c r="H14" s="186" t="str">
        <x:v>Structured manifests and file references first; issue register and release summary required.</x:v>
      </x:c>
    </x:row>
    <x:row r="15" ht="78" customHeight="1">
      <x:c r="A15" s="185" t="s">
        <x:v>26</x:v>
      </x:c>
      <x:c r="B15" s="83" t="s">
        <x:v>807</x:v>
      </x:c>
      <x:c r="C15" s="83" t="s">
        <x:v>812</x:v>
      </x:c>
      <x:c r="D15" s="83" t="s">
        <x:v>813</x:v>
      </x:c>
      <x:c r="E15" s="83" t="s">
        <x:v>814</x:v>
      </x:c>
      <x:c r="F15" s="83" t="s">
        <x:v>815</x:v>
      </x:c>
      <x:c r="G15" s="83" t="str">
        <x:v>Deferred — v0.4+</x:v>
      </x:c>
      <x:c r="H15" s="186" t="str">
        <x:v>Add extraction adapters only after the structured workflow benchmark is stable.</x:v>
      </x:c>
    </x:row>
    <x:row r="16" ht="78" customHeight="1">
      <x:c r="A16" s="185" t="s">
        <x:v>30</x:v>
      </x:c>
      <x:c r="B16" s="83" t="s">
        <x:v>807</x:v>
      </x:c>
      <x:c r="C16" s="83" t="s">
        <x:v>816</x:v>
      </x:c>
      <x:c r="D16" s="83" t="s">
        <x:v>817</x:v>
      </x:c>
      <x:c r="E16" s="83" t="s">
        <x:v>818</x:v>
      </x:c>
      <x:c r="F16" s="83" t="s">
        <x:v>819</x:v>
      </x:c>
      <x:c r="G16" s="83" t="str">
        <x:v>Active in structured form</x:v>
      </x:c>
      <x:c r="H16" s="186" t="str">
        <x:v>v0.3.0 implements register/metadata/BOM/datasheet/revision consistency; native document adapters remain deferred.</x:v>
      </x:c>
    </x:row>
    <x:row r="17" ht="78" customHeight="1">
      <x:c r="A17" s="185" t="s">
        <x:v>34</x:v>
      </x:c>
      <x:c r="B17" s="83" t="s">
        <x:v>807</x:v>
      </x:c>
      <x:c r="C17" s="83" t="s">
        <x:v>820</x:v>
      </x:c>
      <x:c r="D17" s="83" t="s">
        <x:v>821</x:v>
      </x:c>
      <x:c r="E17" s="83" t="s">
        <x:v>822</x:v>
      </x:c>
      <x:c r="F17" s="83" t="s">
        <x:v>823</x:v>
      </x:c>
      <x:c r="G17" s="83" t="str">
        <x:v>Deferred</x:v>
      </x:c>
      <x:c r="H17" s="186" t="str">
        <x:v>Require sandbox, least privilege, trace schema, and independent artifact evaluator.</x:v>
      </x:c>
    </x:row>
    <x:row r="18" ht="78" customHeight="1">
      <x:c r="A18" s="185" t="s">
        <x:v>38</x:v>
      </x:c>
      <x:c r="B18" s="83" t="s">
        <x:v>807</x:v>
      </x:c>
      <x:c r="C18" s="83" t="s">
        <x:v>824</x:v>
      </x:c>
      <x:c r="D18" s="83" t="s">
        <x:v>825</x:v>
      </x:c>
      <x:c r="E18" s="83" t="s">
        <x:v>826</x:v>
      </x:c>
      <x:c r="F18" s="83" t="s">
        <x:v>827</x:v>
      </x:c>
      <x:c r="G18" s="83" t="str">
        <x:v>Deferred</x:v>
      </x:c>
      <x:c r="H18" s="186" t="str">
        <x:v>Requires controlled standards access, calibrated cases, and qualified human review.</x:v>
      </x:c>
    </x:row>
    <x:row r="19" ht="78" customHeight="1">
      <x:c r="A19" s="187" t="s">
        <x:v>438</x:v>
      </x:c>
      <x:c r="B19" s="188" t="s">
        <x:v>828</x:v>
      </x:c>
      <x:c r="C19" s="188" t="s">
        <x:v>829</x:v>
      </x:c>
      <x:c r="D19" s="188" t="s">
        <x:v>830</x:v>
      </x:c>
      <x:c r="E19" s="188" t="s">
        <x:v>831</x:v>
      </x:c>
      <x:c r="F19" s="188" t="s">
        <x:v>832</x:v>
      </x:c>
      <x:c r="G19" s="188" t="str">
        <x:v>Future</x:v>
      </x:c>
      <x:c r="H19" s="189" t="str">
        <x:v>Productize only after repeatable pilot evidence and controlled false-negative risk.</x:v>
      </x:c>
    </x:row>
    <x:row r="21" ht="15">
      <x:c r="A21" s="238" t="s">
        <x:v>833</x:v>
      </x:c>
      <x:c r="B21" s="238"/>
      <x:c r="C21" s="238"/>
      <x:c r="D21" s="238"/>
      <x:c r="E21" s="238"/>
      <x:c r="F21" s="238"/>
      <x:c r="G21" s="238"/>
      <x:c r="H21" s="238"/>
    </x:row>
    <x:row r="22" ht="38.099998474121094" customHeight="1">
      <x:c r="A22" s="239" t="s">
        <x:v>834</x:v>
      </x:c>
      <x:c r="B22" s="240"/>
      <x:c r="C22" s="241" t="s">
        <x:v>835</x:v>
      </x:c>
      <x:c r="D22" s="242"/>
      <x:c r="E22" s="242"/>
      <x:c r="F22" s="242"/>
      <x:c r="G22" s="242"/>
      <x:c r="H22" s="243"/>
    </x:row>
    <x:row r="23" ht="38.099998474121094" customHeight="1">
      <x:c r="A23" s="239" t="s">
        <x:v>836</x:v>
      </x:c>
      <x:c r="B23" s="240"/>
      <x:c r="C23" s="241" t="s">
        <x:v>837</x:v>
      </x:c>
      <x:c r="D23" s="242"/>
      <x:c r="E23" s="242"/>
      <x:c r="F23" s="242"/>
      <x:c r="G23" s="242"/>
      <x:c r="H23" s="243"/>
    </x:row>
    <x:row r="24" ht="38.099998474121094" customHeight="1">
      <x:c r="A24" s="239" t="s">
        <x:v>838</x:v>
      </x:c>
      <x:c r="B24" s="240"/>
      <x:c r="C24" s="241" t="s">
        <x:v>839</x:v>
      </x:c>
      <x:c r="D24" s="242"/>
      <x:c r="E24" s="242"/>
      <x:c r="F24" s="242"/>
      <x:c r="G24" s="242"/>
      <x:c r="H24" s="243"/>
    </x:row>
    <x:row r="25" ht="38.099998474121094" customHeight="1">
      <x:c r="A25" s="239" t="s">
        <x:v>840</x:v>
      </x:c>
      <x:c r="B25" s="240"/>
      <x:c r="C25" s="241" t="s">
        <x:v>841</x:v>
      </x:c>
      <x:c r="D25" s="242"/>
      <x:c r="E25" s="242"/>
      <x:c r="F25" s="242"/>
      <x:c r="G25" s="242"/>
      <x:c r="H25" s="243"/>
    </x:row>
    <x:row r="26" ht="38.099998474121094" customHeight="1">
      <x:c r="A26" s="239" t="s">
        <x:v>842</x:v>
      </x:c>
      <x:c r="B26" s="240"/>
      <x:c r="C26" s="241" t="s">
        <x:v>843</x:v>
      </x:c>
      <x:c r="D26" s="242"/>
      <x:c r="E26" s="242"/>
      <x:c r="F26" s="242"/>
      <x:c r="G26" s="242"/>
      <x:c r="H26" s="243"/>
    </x:row>
    <x:row r="27" ht="38.099998474121094" customHeight="1">
      <x:c r="A27" s="239" t="s">
        <x:v>844</x:v>
      </x:c>
      <x:c r="B27" s="240"/>
      <x:c r="C27" s="241" t="s">
        <x:v>845</x:v>
      </x:c>
      <x:c r="D27" s="242"/>
      <x:c r="E27" s="242"/>
      <x:c r="F27" s="242"/>
      <x:c r="G27" s="242"/>
      <x:c r="H27" s="243"/>
    </x:row>
    <x:row r="28" ht="38.099998474121094" customHeight="1">
      <x:c r="A28" s="239" t="s">
        <x:v>846</x:v>
      </x:c>
      <x:c r="B28" s="240"/>
      <x:c r="C28" s="241" t="s">
        <x:v>847</x:v>
      </x:c>
      <x:c r="D28" s="242"/>
      <x:c r="E28" s="242"/>
      <x:c r="F28" s="242"/>
      <x:c r="G28" s="242"/>
      <x:c r="H28" s="243"/>
    </x:row>
    <x:row r="29" ht="38.099998474121094" customHeight="1">
      <x:c r="A29" s="239" t="s">
        <x:v>848</x:v>
      </x:c>
      <x:c r="B29" s="240"/>
      <x:c r="C29" s="241" t="s">
        <x:v>849</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850</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851</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852</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853</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854</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855</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856</x:v>
      </x:c>
      <x:c r="B38" s="240"/>
      <x:c r="C38" s="241" t="s">
        <x:v>857</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900"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Stopped / D-114 Owner Review</x:v>
      </x:c>
      <x:c r="L19" s="664" t="n">
        <x:v>0.89</x:v>
      </x:c>
      <x:c r="M19" s="662" t="n">
        <x:f>SUMIF('Work Block Log'!$E$5:$E$200,A19,'Work Block Log'!$F$5:$F$200)</x:f>
        <x:v>0</x:v>
      </x:c>
      <x:c r="N19" s="662" t="n">
        <x:f>MAX(F19*(1-L19),0)</x:f>
        <x:v>0.32999999999999996</x:v>
      </x:c>
      <x:c r="O19" s="662" t="n">
        <x:f>M19-F19</x:f>
        <x:v>-3</x:v>
      </x:c>
      <x:c r="P19" s="431" t="str">
        <x:v>PR #65 exact main 6a74c74; D-113 consumed; preflight 27/27; static 186/186 read-only; inputs 181/181; runner invocations 1; scenarios 8/8 consumed; exit 70 x8; output sets 0; raw evidence 40 at 5d45bfa3...3b21; independent verification passed with 0 mismatches; protected comparison 0 comparable/8 not evaluable; release hold; EV-161-EV-164; I-009; IMP-028; D-114 proposed</x:v>
      </x:c>
      <x:c r="Q19" s="431" t="str">
        <x:v>Owner accepts or revises D-114. If accepted, begin development-only reproduction and atomic-publication stabilization with a non-held-out end-to-end sentinel and improved failure diagnostics.</x:v>
      </x:c>
      <x:c r="R19" s="431" t="str">
        <x:v>No held-out rerun or reuse, new held-out family, stabilization implementation, protected change, semantic evaluator change, repository import, protected-fixture CI restoration, P4.3 work, public rerun, or release claim is authorized before D-114 acceptance.</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ht="810" customHeight="1">
      <x:c r="A23" s="431" t="str">
        <x:v>G0.1</x:v>
      </x:c>
      <x:c r="B23" s="431" t="str">
        <x:v>Governance &amp; Quality</x:v>
      </x:c>
      <x:c r="C23" s="431" t="str">
        <x:v>Implement AI management and quality-control system</x:v>
      </x:c>
      <x:c r="D23" s="431" t="str">
        <x:v>Binding policy, machine-readable system inventory, impact and risk assessment, minimum controls, lifecycle gates, objectives, evidence, audit, management review, automated validation, and CI enforcement govern AI-assisted work and exact release holds.</x:v>
      </x:c>
      <x:c r="E23" s="431" t="str">
        <x:v>D-115</x:v>
      </x:c>
      <x:c r="F23" s="662" t="n">
        <x:v>0</x:v>
      </x:c>
      <x:c r="G23" s="431" t="n">
        <x:v>6</x:v>
      </x:c>
      <x:c r="H23" s="431" t="n">
        <x:v>6</x:v>
      </x:c>
      <x:c r="I23" s="429" t="n">
        <x:v>46225</x:v>
      </x:c>
      <x:c r="J23" s="429" t="n">
        <x:v>46225</x:v>
      </x:c>
      <x:c r="K23" s="431" t="str">
        <x:v>Complete / Review</x:v>
      </x:c>
      <x:c r="L23" s="664" t="n">
        <x:v>1</x:v>
      </x:c>
      <x:c r="M23" s="662" t="n">
        <x:v>0</x:v>
      </x:c>
      <x:c r="N23" s="662" t="n">
        <x:v>0</x:v>
      </x:c>
      <x:c r="O23" s="662" t="n">
        <x:v>0</x:v>
      </x:c>
      <x:c r="P23" s="431" t="str">
        <x:v>D-115; EV-165-EV-170; AIMS-POL-001; AIMS-MEWA-001; AIR-001-AIR-013; AIC-001-AIC-020; AIG-01-AIG-08; AIO-001-AIO-006; NC-001; R-017; IMP-029-IMP-030; focused 22; validator coverage 84%; full 335/1; coverage 88.33%; validation 5/5; Ruff; baseline 9/9; demo 2/2</x:v>
      </x:c>
      <x:c r="Q23" s="431" t="str">
        <x:v>Review and integrate the G0.1 governance branch. Then accept or revise D-114 separately before any publication-layer corrective action.</x:v>
      </x:c>
      <x:c r="R23" s="431" t="str">
        <x:v>Internal high-level ISO/IEC 42001 alignment and NIST-informed controls only. No certification, conformity, legal-compliance, guaranteed-safety, or independent-assurance claim. Product release remains held.</x:v>
      </x:c>
    </x:row>
    <x:row r="24" ht="24" customHeight="1">
      <x:c r="A24" s="682" t="str">
        <x:v>TOTAL PILOT</x:v>
      </x:c>
      <x:c r="B24" s="682"/>
      <x:c r="C24" s="682"/>
      <x:c r="D24" s="682"/>
      <x:c r="E24" s="682"/>
      <x:c r="F24" s="683" t="n">
        <x:f>SUM(F6:F22)</x:f>
        <x:v>46</x:v>
      </x:c>
      <x:c r="G24" s="682"/>
      <x:c r="H24" s="682"/>
      <x:c r="I24" s="682"/>
      <x:c r="J24" s="682"/>
      <x:c r="K24" s="682"/>
      <x:c r="L24" s="684" t="n">
        <x:f>SUMPRODUCT(F6:F22,L6:L22)/F24</x:f>
        <x:v>0.8623913043478261</x:v>
      </x:c>
      <x:c r="M24" s="683" t="n">
        <x:f>SUM(M6:M22)</x:f>
        <x:v>0</x:v>
      </x:c>
      <x:c r="N24" s="683" t="n">
        <x:f>SUM(N6:N22)</x:f>
        <x:v>6.33</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G0.1 AI Governance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G0.1 - AI management and quality-control system</x:v>
      </x:c>
      <x:c r="H4" s="697"/>
    </x:row>
    <x:row r="5" ht="72" customHeight="1">
      <x:c r="A5" s="688" t="str">
        <x:v>Schedule Baseline</x:v>
      </x:c>
      <x:c r="B5" s="693" t="str">
        <x:v>Legacy only; not controlling</x:v>
      </x:c>
      <x:c r="C5" s="691"/>
      <x:c r="D5" s="691"/>
      <x:c r="F5" s="696" t="str">
        <x:v>Objective</x:v>
      </x:c>
      <x:c r="G5" s="697" t="str">
        <x:v>Make responsible AI governance operational through policy, inventory, impact and risk assessment, controls, evidence, audit, management review, automated validation, and CI.</x:v>
      </x:c>
      <x:c r="H5" s="697"/>
    </x:row>
    <x:row r="6" ht="63" customHeight="1">
      <x:c r="A6" s="688" t="str">
        <x:v>Time Tracking</x:v>
      </x:c>
      <x:c r="B6" s="693" t="str">
        <x:v>Waived prospectively</x:v>
      </x:c>
      <x:c r="C6" s="691"/>
      <x:c r="D6" s="691"/>
      <x:c r="F6" s="696" t="str">
        <x:v>Gate Status</x:v>
      </x:c>
      <x:c r="G6" s="697" t="str">
        <x:v>Governance validation passes; 22 focused tests at 84% validator coverage; full 335/1 at 88.33%; validation 5/5; Ruff; baseline 9/9; demo 2/2. Strict release-ready mode fails as required.</x:v>
      </x:c>
      <x:c r="H6" s="697"/>
    </x:row>
    <x:row r="7" ht="81" customHeight="1">
      <x:c r="A7" s="688" t="str">
        <x:v>Current Gate</x:v>
      </x:c>
      <x:c r="B7" s="694" t="str">
        <x:v>D-115 AIMS operational; AIR-003/AIR-010/NC-001 hold release; D-114 pending</x:v>
      </x:c>
      <x:c r="C7" s="691"/>
      <x:c r="D7" s="691"/>
      <x:c r="F7" s="696" t="str">
        <x:v>Definition of Done</x:v>
      </x:c>
      <x:c r="G7" s="697" t="str">
        <x:v>D-115 accepted and implemented; policy and machine record govern work; release holds exactly match AIR-003, AIR-010, and NC-001; D-114 remains pending.</x:v>
      </x:c>
      <x:c r="H7" s="697"/>
    </x:row>
    <x:row r="8" ht="63" customHeight="1">
      <x:c r="A8" s="688" t="str">
        <x:v>Released Kernel</x:v>
      </x:c>
      <x:c r="B8" s="691" t="str">
        <x:v>v0.2.0 / commit 45336a2</x:v>
      </x:c>
      <x:c r="C8" s="691"/>
      <x:c r="D8" s="691"/>
      <x:c r="F8" s="696" t="str">
        <x:v>Immediate Next Action</x:v>
      </x:c>
      <x:c r="G8" s="697" t="str">
        <x:v>Review and integrate G0.1. Then accept or revise D-114 separately.</x:v>
      </x:c>
      <x:c r="H8" s="697"/>
    </x:row>
    <x:row r="9" ht="72" customHeight="1">
      <x:c r="A9" s="688" t="str">
        <x:v>Release Target</x:v>
      </x:c>
      <x:c r="B9" s="691" t="str">
        <x:v>v0.3.0</x:v>
      </x:c>
      <x:c r="C9" s="691"/>
      <x:c r="D9" s="691"/>
      <x:c r="F9" s="696" t="str">
        <x:v>Primary Risk</x:v>
      </x:c>
      <x:c r="G9" s="697" t="str">
        <x:v>Primary risk: mistaking internal alignment or a valid control system for certification, guaranteed safety, or product release readiness.</x:v>
      </x:c>
      <x:c r="H9" s="697"/>
    </x:row>
    <x:row r="10" ht="81" customHeight="1">
      <x:c r="A10" s="688" t="str">
        <x:v>Baseline Test Count</x:v>
      </x:c>
      <x:c r="B10" s="691" t="n">
        <x:v>121</x:v>
      </x:c>
      <x:c r="C10" s="691"/>
      <x:c r="D10" s="691"/>
      <x:c r="F10" s="696" t="str">
        <x:v>Deferred</x:v>
      </x:c>
      <x:c r="G10" s="697" t="str">
        <x:v>Held-out rerun/reuse, new family, publication fix, semantic changes, P4.3, public reruns, imports, external/production AI, and release claims.</x:v>
      </x:c>
      <x:c r="H10" s="697"/>
    </x:row>
    <x:row r="11" ht="63" customHeight="1">
      <x:c r="A11" s="688" t="str">
        <x:v>Fixture Package Families</x:v>
      </x:c>
      <x:c r="B11" s="691" t="n">
        <x:v>2</x:v>
      </x:c>
      <x:c r="C11" s="691"/>
      <x:c r="D11" s="691"/>
      <x:c r="F11" s="696" t="str">
        <x:v>Data Boundary</x:v>
      </x:c>
      <x:c r="G11" s="697" t="str">
        <x:v>Supplied ISO PDF excluded due third-party single-user license; official public ISO/NIST sources used only for high-level alignment.</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Stopped / D-114 Owner Review</x:v>
      </x:c>
      <x:c r="C19" s="699" t="str">
        <x:v>Benchmark not evaluable; release hold active</x:v>
      </x:c>
      <x:c r="D19" s="700" t="n">
        <x:v>0.89</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1" ht="130.5" customHeight="1">
      <x:c r="A21" s="431" t="str">
        <x:v>G0 AI Management &amp; Quality</x:v>
      </x:c>
      <x:c r="B21" s="431" t="str">
        <x:v>Implemented / Review</x:v>
      </x:c>
      <x:c r="C21" s="431" t="str">
        <x:v>D-115 accepted; AIMS valid; product release held</x:v>
      </x:c>
      <x:c r="D21" s="664" t="n">
        <x:v>1</x:v>
      </x:c>
      <x:c r="E21" s="431" t="str">
        <x:v>Gate G0 - governance valid; release-ready blocked by AIR-003, AIR-010, and NC-001</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522" customHeight="1">
      <x:c r="A52" s="431" t="n">
        <x:v>29</x:v>
      </x:c>
      <x:c r="B52" s="431" t="str">
        <x:v>P4.2</x:v>
      </x:c>
      <x:c r="C52" s="431" t="str">
        <x:v>Accepted external-custody recovery integration</x:v>
      </x:c>
      <x:c r="D52" s="431" t="str">
        <x:v>Integrate D-112, then use fresh isolated custodians to author, verify, hash-freeze, and oracle-blind-stage a materially distinct replacement outside the repository without semantic execution.</x:v>
      </x:c>
      <x:c r="E52" s="431" t="str">
        <x:v>D-112 Accepted / Integration Pending</x:v>
      </x:c>
      <x:c r="F52" s="431" t="str">
        <x:v>codex/p4.2-held-out-second-recovery</x:v>
      </x:c>
      <x:c r="G52" s="431" t="str">
        <x:v>PR #63 exact main 4d2c0f5; D-112 accepted 2026-07-22; PR #64 pending; semantic runs 0; EV-150-EV-152; I-007; IMP-025</x:v>
      </x:c>
      <x:c r="H52" s="431" t="str">
        <x:v>Jason</x:v>
      </x:c>
    </x:row>
    <x:row r="53" ht="630" customHeight="1">
      <x:c r="A53" s="431" t="n">
        <x:v>30</x:v>
      </x:c>
      <x:c r="B53" s="431" t="str">
        <x:v>P4.2</x:v>
      </x:c>
      <x:c r="C53" s="431" t="str">
        <x:v>External family and one-shot runner freeze review</x:v>
      </x:c>
      <x:c r="D53" s="431" t="str">
        <x:v>Record the independently verified external family and runner identities, preserve all failed freezes, and obtain D-113 before one irreversible semantic run per opaque package.</x:v>
      </x:c>
      <x:c r="E53" s="431" t="str">
        <x:v>D-113 Owner Review / Zero Runs</x:v>
      </x:c>
      <x:c r="F53" s="431" t="str">
        <x:v>codex/p4.2-external-held-out-freeze</x:v>
      </x:c>
      <x:c r="G53" s="431" t="str">
        <x:v>PR #64 exact main 0264db7; family revision 2 68/68; capsule 16/16; runner revision 6 53/53; 186/186 read-only; semantic runs 0; focused 40; full 313/1; coverage 88.57%; EV-153-EV-159; I-008; IMP-026-IMP-027</x:v>
      </x:c>
      <x:c r="H53" s="431" t="str">
        <x:v>Jason</x:v>
      </x:c>
    </x:row>
    <x:row r="54" ht="540" customHeight="1">
      <x:c r="A54" s="431" t="n">
        <x:v>31</x:v>
      </x:c>
      <x:c r="B54" s="431" t="str">
        <x:v>P4.2</x:v>
      </x:c>
      <x:c r="C54" s="431" t="str">
        <x:v>Accepted first-run authority integration</x:v>
      </x:c>
      <x:c r="D54" s="431" t="str">
        <x:v>Record the owner's D-113 acceptance, merge PR #65, record exact main, and reverify every frozen family, producer, runner, evaluator, and schema identity before execution.</x:v>
      </x:c>
      <x:c r="E54" s="431" t="str">
        <x:v>D-113 Accepted / Integration Pending</x:v>
      </x:c>
      <x:c r="F54" s="431" t="str">
        <x:v>codex/p4.2-external-held-out-freeze</x:v>
      </x:c>
      <x:c r="G54" s="431" t="str">
        <x:v>D-113 accepted 2026-07-22; PR #65 pending; family revision 2 68/68; capsule 16/16; runner revision 6 53/53; semantic runs 0; EV-153-EV-160; I-008; IMP-026-IMP-027</x:v>
      </x:c>
      <x:c r="H54" s="431" t="str">
        <x:v>Jason</x:v>
      </x:c>
    </x:row>
    <x:row r="55" ht="585" customHeight="1">
      <x:c r="A55" s="431" t="n">
        <x:v>32</x:v>
      </x:c>
      <x:c r="B55" s="431" t="str">
        <x:v>P4.2</x:v>
      </x:c>
      <x:c r="C55" s="431" t="str">
        <x:v>External first-run result review</x:v>
      </x:c>
      <x:c r="D55" s="431" t="str">
        <x:v>Preserve the consumed D-113 failed run, verify raw evidence and protected comparison, freeze the not-evaluable claim boundary, and obtain D-114 before stabilization.</x:v>
      </x:c>
      <x:c r="E55" s="431" t="str">
        <x:v>Stopped / D-114 Owner Review</x:v>
      </x:c>
      <x:c r="F55" s="431" t="str">
        <x:v>codex/p4.2-external-held-out-first-run</x:v>
      </x:c>
      <x:c r="G55" s="431" t="str">
        <x:v>PR #65 exact main 6a74c74; preflight 27/27; runner 1; scenarios 8/8 consumed; exit 70 x8; output sets 0; raw 40 at 5d45bfa3...3b21; comparison 0/8 comparable; release hold; EV-161-EV-164; I-009; IMP-028</x:v>
      </x:c>
      <x:c r="H55" s="431" t="str">
        <x:v>Jason</x:v>
      </x:c>
    </x:row>
    <x:row r="56" ht="630" customHeight="1">
      <x:c r="A56" s="431" t="n">
        <x:v>33</x:v>
      </x:c>
      <x:c r="B56" s="431" t="str">
        <x:v>G0.1</x:v>
      </x:c>
      <x:c r="C56" s="431" t="str">
        <x:v>AI management and quality-control system</x:v>
      </x:c>
      <x:c r="D56" s="431" t="str">
        <x:v>Adopt and implement binding policy, machine-readable inventory/risk/control records, eight lifecycle gates, objectives, audit, management review, automated validation, CI enforcement, exact holds, and honest standards boundaries.</x:v>
      </x:c>
      <x:c r="E56" s="431" t="str">
        <x:v>Complete / Review</x:v>
      </x:c>
      <x:c r="F56" s="431" t="str">
        <x:v>codex/iso-42001-ai-quality-system</x:v>
      </x:c>
      <x:c r="G56" s="431" t="str">
        <x:v>D-115; EV-165-EV-170; 3 systems; 13 risks; 20 controls; 8 gates; 6 objectives; NC-001; R-017; IMP-029-IMP-030; focused 22; validator coverage 84%; full 335/1; coverage 88.33%; validation 5/5; Ruff; baseline 9/9; demo 2/2</x:v>
      </x:c>
      <x:c r="H56"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