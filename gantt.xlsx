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56ce989dcf46a3" /></Relationships>
</file>

<file path=xl/workbook.xml><?xml version="1.0" encoding="utf-8"?>
<x:workbook xmlns:x="http://schemas.openxmlformats.org/spreadsheetml/2006/main">
  <x:sheets>
    <x:sheet xmlns:r="http://schemas.openxmlformats.org/officeDocument/2006/relationships" name="Start Here" sheetId="1" r:id="R4c29ef2eb1024af0"/>
    <x:sheet xmlns:r="http://schemas.openxmlformats.org/officeDocument/2006/relationships" name="Executive Gantt" sheetId="2" r:id="Rb986c461470f494d"/>
    <x:sheet xmlns:r="http://schemas.openxmlformats.org/officeDocument/2006/relationships" name="Detailed Gantt" sheetId="3" r:id="R86839d659f8f4921"/>
    <x:sheet xmlns:r="http://schemas.openxmlformats.org/officeDocument/2006/relationships" name="Weekly Control" sheetId="4" r:id="Rfe43455311df49f4"/>
    <x:sheet xmlns:r="http://schemas.openxmlformats.org/officeDocument/2006/relationships" name="Phase Summary" sheetId="5" r:id="R33d7a605c44b45ce"/>
    <x:sheet xmlns:r="http://schemas.openxmlformats.org/officeDocument/2006/relationships" name="Assumptions &amp; Gates" sheetId="6" r:id="Re8e27a22588040c9"/>
    <x:sheet xmlns:r="http://schemas.openxmlformats.org/officeDocument/2006/relationships" name="Sources" sheetId="7" r:id="R6f2f845ac04246c7"/>
    <x:sheet xmlns:r="http://schemas.openxmlformats.org/officeDocument/2006/relationships" name="Legacy Baseline" sheetId="8" r:id="R4d117f9b0e5a40a5"/>
    <x:sheet xmlns:r="http://schemas.openxmlformats.org/officeDocument/2006/relationships" name="Work Block Log" sheetId="9" r:id="R5b7794a1034942ce"/>
    <x:sheet xmlns:r="http://schemas.openxmlformats.org/officeDocument/2006/relationships" name="Decision Register" sheetId="10" r:id="R05823d4554ff40e0"/>
    <x:sheet xmlns:r="http://schemas.openxmlformats.org/officeDocument/2006/relationships" name="Risks &amp; Issues" sheetId="11" r:id="Ra34a15adc75343a3"/>
    <x:sheet xmlns:r="http://schemas.openxmlformats.org/officeDocument/2006/relationships" name="Evidence Register" sheetId="12" r:id="R8c91f36bf4cf455a"/>
    <x:sheet xmlns:r="http://schemas.openxmlformats.org/officeDocument/2006/relationships" name="Expansion Backlog" sheetId="13" r:id="R2c3962c878f24683"/>
    <x:sheet xmlns:r="http://schemas.openxmlformats.org/officeDocument/2006/relationships" name="AI Context" sheetId="14" r:id="R6b0a07b49648412d"/>
    <x:sheet xmlns:r="http://schemas.openxmlformats.org/officeDocument/2006/relationships" name="MVP Dashboard" sheetId="15" r:id="Rb05f64648fe745fa"/>
    <x:sheet xmlns:r="http://schemas.openxmlformats.org/officeDocument/2006/relationships" name="Product Vision" sheetId="16" r:id="R406b1c30691649a2"/>
    <x:sheet xmlns:r="http://schemas.openxmlformats.org/officeDocument/2006/relationships" name="Pilot Gantt" sheetId="17" r:id="R32bf655d27494f3e"/>
    <x:sheet xmlns:r="http://schemas.openxmlformats.org/officeDocument/2006/relationships" name="Pilot Dashboard" sheetId="18" r:id="R942a8365cbb8469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<x:sst xmlns:x="http://schemas.openxmlformats.org/spreadsheetml/2006/main">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</x:sst>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a004c4ab0346eb" /><Relationship Type="http://schemas.openxmlformats.org/officeDocument/2006/relationships/theme" Target="/xl/theme/theme1.xml" Id="Rf24157e2f84945a8" /><Relationship Type="http://schemas.openxmlformats.org/officeDocument/2006/relationships/sharedStrings" Target="/xl/sharedStrings.xml" Id="R4110adf66d354e90" /><Relationship Type="http://schemas.openxmlformats.org/officeDocument/2006/relationships/worksheet" Target="/xl/worksheets/sheet1.xml" Id="R4c29ef2eb1024af0" /><Relationship Type="http://schemas.openxmlformats.org/officeDocument/2006/relationships/worksheet" Target="/xl/worksheets/sheet2.xml" Id="Rb986c461470f494d" /><Relationship Type="http://schemas.openxmlformats.org/officeDocument/2006/relationships/worksheet" Target="/xl/worksheets/sheet3.xml" Id="R86839d659f8f4921" /><Relationship Type="http://schemas.openxmlformats.org/officeDocument/2006/relationships/worksheet" Target="/xl/worksheets/sheet4.xml" Id="Rfe43455311df49f4" /><Relationship Type="http://schemas.openxmlformats.org/officeDocument/2006/relationships/worksheet" Target="/xl/worksheets/sheet5.xml" Id="R33d7a605c44b45ce" /><Relationship Type="http://schemas.openxmlformats.org/officeDocument/2006/relationships/worksheet" Target="/xl/worksheets/sheet6.xml" Id="Re8e27a22588040c9" /><Relationship Type="http://schemas.openxmlformats.org/officeDocument/2006/relationships/worksheet" Target="/xl/worksheets/sheet7.xml" Id="R6f2f845ac04246c7" /><Relationship Type="http://schemas.openxmlformats.org/officeDocument/2006/relationships/worksheet" Target="/xl/worksheets/sheet8.xml" Id="R4d117f9b0e5a40a5" /><Relationship Type="http://schemas.openxmlformats.org/officeDocument/2006/relationships/worksheet" Target="/xl/worksheets/sheet9.xml" Id="R5b7794a1034942ce" /><Relationship Type="http://schemas.openxmlformats.org/officeDocument/2006/relationships/worksheet" Target="/xl/worksheets/sheet10.xml" Id="R05823d4554ff40e0" /><Relationship Type="http://schemas.openxmlformats.org/officeDocument/2006/relationships/worksheet" Target="/xl/worksheets/sheet11.xml" Id="Ra34a15adc75343a3" /><Relationship Type="http://schemas.openxmlformats.org/officeDocument/2006/relationships/worksheet" Target="/xl/worksheets/sheet12.xml" Id="R8c91f36bf4cf455a" /><Relationship Type="http://schemas.openxmlformats.org/officeDocument/2006/relationships/worksheet" Target="/xl/worksheets/sheet13.xml" Id="R2c3962c878f24683" /><Relationship Type="http://schemas.openxmlformats.org/officeDocument/2006/relationships/worksheet" Target="/xl/worksheets/sheet14.xml" Id="R6b0a07b49648412d" /><Relationship Type="http://schemas.openxmlformats.org/officeDocument/2006/relationships/worksheet" Target="/xl/worksheets/sheet15.xml" Id="Rb05f64648fe745fa" /><Relationship Type="http://schemas.openxmlformats.org/officeDocument/2006/relationships/worksheet" Target="/xl/worksheets/sheet16.xml" Id="R406b1c30691649a2" /><Relationship Type="http://schemas.openxmlformats.org/officeDocument/2006/relationships/worksheet" Target="/xl/worksheets/sheet17.xml" Id="R32bf655d27494f3e" /><Relationship Type="http://schemas.openxmlformats.org/officeDocument/2006/relationships/worksheet" Target="/xl/worksheets/sheet18.xml" Id="R942a8365cbb84692" /></Relationships>
</file>

<file path=xl/drawings/_rels/drawing1.xml.rels>&#65279;<?xml version="1.0" encoding="utf-8"?><Relationships xmlns="http://schemas.openxmlformats.org/package/2006/relationships"><Relationship Type="http://schemas.openxmlformats.org/officeDocument/2006/relationships/chart" Target="/xl/drawings/charts/chart1.xml" Id="Rae44ca8318ab475c" /></Relationships>
</file>

<file path=xl/drawings/_rels/drawing2.xml.rels>&#65279;<?xml version="1.0" encoding="utf-8"?><Relationships xmlns="http://schemas.openxmlformats.org/package/2006/relationships"><Relationship Type="http://schemas.openxmlformats.org/officeDocument/2006/relationships/chart" Target="/xl/drawings/charts/chart2.xml" Id="Rfab1ea7672e6415b" /></Relationships>
</file>

<file path=xl/drawings/_rels/drawing3.xml.rels>&#65279;<?xml version="1.0" encoding="utf-8"?><Relationships xmlns="http://schemas.openxmlformats.org/package/2006/relationships"><Relationship Type="http://schemas.openxmlformats.org/officeDocument/2006/relationships/chart" Target="/xl/drawings/charts/chart3.xml" Id="R65a49ae56912436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44ca8318ab475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b1ea7672e6415b"/>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5a49ae56912436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0c05d389d334f40" /></Relationships>
</file>

<file path=xl/worksheets/_rels/sheet5.xml.rels>&#65279;<?xml version="1.0" encoding="utf-8"?><Relationships xmlns="http://schemas.openxmlformats.org/package/2006/relationships"><Relationship Type="http://schemas.openxmlformats.org/officeDocument/2006/relationships/drawing" Target="/xl/drawings/drawing2.xml" Id="R10c79fca0c0643f5" /></Relationships>
</file>

<file path=xl/worksheets/_rels/sheet15.xml.rels>&#65279;<?xml version="1.0" encoding="utf-8"?><Relationships xmlns="http://schemas.openxmlformats.org/package/2006/relationships"><Relationship Type="http://schemas.openxmlformats.org/officeDocument/2006/relationships/drawing" Target="/xl/drawings/drawing3.xml" Id="R5c7147af5ae743d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accepted; P2.2 relationship-slice definition active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P2.1 accepted; P2.2 definition in progress</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Define drawing-register-to-metadata relationship slice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relationship implementation (blocked pending definition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The user accepted stabilization and P2.1 on 2026-07-17. Commit 13c2527 is pushed on codex/stabilization-improvement-loop; focused tests passed 26/26, the full suite passed 197 with one expected Windows symlink skip, repository validation passed 5/5, Ruff passed, and coverage was 84.33% against an 80% floor. P2.2 is authorized for definition only: freeze one drawing-register-to-metadata relationship slice before implementation. Integration PR creation and remote checks remain pending because GitHub CLI authentication is invalid and the connected GitHub app lacks PR-write permission.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0c05d389d334f4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0c79fca0c0643f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 13c2527; D-047; EV-044; EV-045; codex/stabilization-improvement-loop</x:v>
      </x:c>
      <x:c r="H51" s="78" t="str">
        <x:v>P2.2 implementation remains blocked until the slice definition is accepted. Integration PR and remote checks remain required before merge to main.</x:v>
      </x:c>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is pushed but remains ahead of origin/main. GitHub CLI reports an invalid saved token, and the connected GitHub app lacks pull-request write permission. The integration pull request and remote checks are still pending.</x:v>
      </x:c>
      <x:c r="D21" s="78" t="str">
        <x:v>N/A</x:v>
      </x:c>
      <x:c r="E21" s="78" t="str">
        <x:v>Medium</x:v>
      </x:c>
      <x:c r="F21" s="78" t="str">
        <x:v>Jason</x:v>
      </x:c>
      <x:c r="G21" s="78" t="str">
        <x:v>Re-authenticate gh or create the draft pull request through an authorized GitHub session. Target main from codex/stabilization-improvement-loop, run all checks, and review before merge.</x:v>
      </x:c>
      <x:c r="H21" s="78" t="str">
        <x:v>Open</x:v>
      </x:c>
      <x:c r="I21" s="78" t="n">
        <x:v>46220</x:v>
      </x:c>
      <x:c r="J21" s="78" t="str">
        <x:v>Acceptance is complete and the branch is safely pushed. This remains an integration-control issue, not a local code or test blocker. IMP-006 tracks the permanent closeout rule.</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Verified - acceptance pending</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 13c2527; D-048</x:v>
      </x:c>
      <x:c r="G48" s="78" t="str">
        <x:v>P2.1 acceptance and P2.2 definition authorization</x:v>
      </x:c>
      <x:c r="H48" s="78" t="str">
        <x:v>Accepted</x:v>
      </x:c>
      <x:c r="I48" s="78" t="str">
        <x:v>Focused tests 26 passed; full frozen regression 197 passed/1 expected skip; repository validation 5/5; Ruff passed; coverage 84.33%. Integration PR creation remains operationally pending because gh authentication is invalid and the connected GitHub app returned 403 for PR creation.</x:v>
      </x:c>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relationship-slice definition active</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accepted. P2.2 relationship behavior remains unimplemented while one drawing-register-to-metadata slice is defined.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Define and review one drawing-register-to-metadata relationship slice, including its downstream state and CLI handoff. Re-authenticate GitHub CLI and integrate the accepted feature chain. Do not implement P2.2 until the definition is accepted.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Stabilization and P2.1 were accepted on 2026-07-17. The accepted branch adds cross-platform package-relative evidence validation, explicit JSON fixture-profile compatibility, ten regression cases, Ruff CI, an 80% coverage floor, Excel-lock-file hygiene, and a durable improvement register. Verification: 26 focused tests passed; full frozen regression 197 passed/1 expected Windows symlink skip; repository validation 5/5; Ruff passed; 84.33% coverage. P2.2 definition is authorized, but relationship comparison, package-state routing, reports, CLI, protected held-out semantic execution, and deferred capabilities remain unimplemented.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c7147af5ae743d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codex/stabilization-improvement-loop; commits e1ada72 and 13c2527; 26 focused tests passed; full 197 passed/1 skipped; validation 5/5; Ruff passed; coverage 84.33%; D-047; D-048; EV-044; EV-045</x:v>
      </x:c>
      <x:c r="Q11" s="431" t="str">
        <x:v>Integrate the accepted feature chain through one reviewed pull request and green remote checks. Preserve P2.1 as the accepted predecessor for P2.2.</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99"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x:v>
      </x:c>
      <x:c r="M12" s="662" t="n">
        <x:f>SUMIF('Work Block Log'!$E$5:$E$200,A12,'Work Block Log'!$F$5:$F$200)</x:f>
        <x:v>0</x:v>
      </x:c>
      <x:c r="N12" s="662" t="n">
        <x:f>MAX(F12*(1-L12),0)</x:f>
        <x:v>4</x:v>
      </x:c>
      <x:c r="O12" s="662" t="n">
        <x:f>M12-F12</x:f>
        <x:v>-4</x:v>
      </x:c>
      <x:c r="P12" s="431" t="str">
        <x:v>codex/p2.2-relationship-slice-definition; definition authorized by D-048 and EV-045; no P2.2 implementation present</x:v>
      </x:c>
      <x:c r="Q12" s="431" t="str">
        <x:v>Freeze one drawing-register-to-metadata revision conflict through evidence, future issue output, package state, and CLI exit before writing code.</x:v>
      </x:c>
      <x:c r="R12" s="431" t="str">
        <x:v>Definition only. Do not add P2.2 rules to existing gate functions or alter accepted schemas, fixtures, goldens, or held-out assets. BOM/datasheet consistency remains P2.3.</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Accepted / P2.2 Definition Active</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Relationship-slice definition</x:v>
      </x:c>
      <x:c r="H4" s="697"/>
    </x:row>
    <x:row r="5" ht="63" customHeight="1">
      <x:c r="A5" s="688" t="str">
        <x:v>Schedule Baseline</x:v>
      </x:c>
      <x:c r="B5" s="693" t="str">
        <x:v>Legacy only; not controlling</x:v>
      </x:c>
      <x:c r="C5" s="691"/>
      <x:c r="D5" s="691"/>
      <x:c r="F5" s="696" t="str">
        <x:v>Objective</x:v>
      </x:c>
      <x:c r="G5" s="697" t="str">
        <x:v>Freeze one drawing-register-to-metadata revision check and its downstream handoff without adding executable P2.2 behavior.</x:v>
      </x:c>
      <x:c r="H5" s="697"/>
    </x:row>
    <x:row r="6" ht="54" customHeight="1">
      <x:c r="A6" s="688" t="str">
        <x:v>Time Tracking</x:v>
      </x:c>
      <x:c r="B6" s="693" t="str">
        <x:v>Waived prospectively</x:v>
      </x:c>
      <x:c r="C6" s="691"/>
      <x:c r="D6" s="691"/>
      <x:c r="F6" s="696" t="str">
        <x:v>Gate Status</x:v>
      </x:c>
      <x:c r="G6" s="697" t="str">
        <x:v>P2.1 accepted; 26 focused tests passed; full regression 197 passed/1 skipped; validation 5/5; Ruff passed; coverage 84.33%.</x:v>
      </x:c>
      <x:c r="H6" s="697"/>
    </x:row>
    <x:row r="7" ht="54" customHeight="1">
      <x:c r="A7" s="688" t="str">
        <x:v>Current Gate</x:v>
      </x:c>
      <x:c r="B7" s="694" t="str">
        <x:v>P2.2 relationship-slice definition</x:v>
      </x:c>
      <x:c r="C7" s="691"/>
      <x:c r="D7" s="691"/>
      <x:c r="F7" s="696" t="str">
        <x:v>Definition of Done</x:v>
      </x:c>
      <x:c r="G7" s="697" t="str">
        <x:v>Reviewed definition plus integrated accepted feature chain and green remote checks.</x:v>
      </x:c>
      <x:c r="H7" s="697"/>
    </x:row>
    <x:row r="8" ht="54" customHeight="1">
      <x:c r="A8" s="688" t="str">
        <x:v>Released Kernel</x:v>
      </x:c>
      <x:c r="B8" s="691" t="str">
        <x:v>v0.2.0 / commit 45336a2</x:v>
      </x:c>
      <x:c r="C8" s="691"/>
      <x:c r="D8" s="691"/>
      <x:c r="F8" s="696" t="str">
        <x:v>Immediate Next Action</x:v>
      </x:c>
      <x:c r="G8" s="697" t="str">
        <x:v>Define authority, join, deterministic outcome, evidence, tests, module boundary, downstream state/CLI handoff, and exclusions.</x:v>
      </x:c>
      <x:c r="H8" s="697"/>
    </x:row>
    <x:row r="9" ht="63" customHeight="1">
      <x:c r="A9" s="688" t="str">
        <x:v>Release Target</x:v>
      </x:c>
      <x:c r="B9" s="691" t="str">
        <x:v>v0.3.0</x:v>
      </x:c>
      <x:c r="C9" s="691"/>
      <x:c r="D9" s="691"/>
      <x:c r="F9" s="696" t="str">
        <x:v>Primary Risk</x:v>
      </x:c>
      <x:c r="G9" s="697" t="str">
        <x:v>Integration PR is pending because GitHub CLI authentication is invalid and the connected app lacks PR-write permission.</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accepted; P2.2 definition in progress; P2.2 implementation not started</x:v>
      </x:c>
      <x:c r="D17" s="700" t="n">
        <x:f>AVERAGE('Pilot Gantt'!L11:L14)</x:f>
        <x:v>0.25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D-045; D-046; D-047; D-048; EV-042; EV-043; EV-044; EV-045; focused 26; full 197/1; coverage 84.33%</x:v>
      </x:c>
      <x:c r="H26" s="431" t="str">
        <x:v>Jason</x:v>
      </x:c>
    </x:row>
    <x:row r="27" ht="108" customHeight="1">
      <x:c r="A27" t="n">
        <x:v>4</x:v>
      </x:c>
      <x:c r="B27" t="str">
        <x:v>P2.2</x:v>
      </x:c>
      <x:c r="C27" t="str">
        <x:v>First relationship-slice definition</x:v>
      </x:c>
      <x:c r="D27" t="str">
        <x:v>Freeze one drawing-register-to-metadata revision check, exact evidence and outcome, downstream handoff, module boundary, tests, and exclusions before implementation.</x:v>
      </x:c>
      <x:c r="E27" t="str">
        <x:v>Definition In Progress</x:v>
      </x:c>
      <x:c r="F27" t="str">
        <x:v>codex/p2.2-relationship-slice-definition</x:v>
      </x:c>
      <x:c r="G27" t="str">
        <x:v>D-048; EV-045; definition document pending</x:v>
      </x:c>
      <x:c r="H27"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