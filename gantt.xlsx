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5.xml" ContentType="application/vnd.openxmlformats-officedocument.spreadsheetml.worksheet+xml"/>
  <Override PartName="/xl/drawings/drawing2.xml" ContentType="application/vnd.openxmlformats-officedocument.drawing+xml"/>
  <Override PartName="/xl/drawings/charts/chart2.xml" ContentType="application/vnd.openxmlformats-officedocument.drawingml.char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drawings/drawing3.xml" ContentType="application/vnd.openxmlformats-officedocument.drawing+xml"/>
  <Override PartName="/xl/drawings/charts/chart3.xml" ContentType="application/vnd.openxmlformats-officedocument.drawingml.char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fe36c7b80fce445e" /></Relationships>
</file>

<file path=xl/workbook.xml><?xml version="1.0" encoding="utf-8"?>
<x:workbook xmlns:x="http://schemas.openxmlformats.org/spreadsheetml/2006/main">
  <x:sheets>
    <x:sheet xmlns:r="http://schemas.openxmlformats.org/officeDocument/2006/relationships" name="Start Here" sheetId="1" r:id="R9995332a541b49be"/>
    <x:sheet xmlns:r="http://schemas.openxmlformats.org/officeDocument/2006/relationships" name="Executive Gantt" sheetId="2" r:id="Ra91b09db3956496f"/>
    <x:sheet xmlns:r="http://schemas.openxmlformats.org/officeDocument/2006/relationships" name="Detailed Gantt" sheetId="3" r:id="R13139b9553fd400b"/>
    <x:sheet xmlns:r="http://schemas.openxmlformats.org/officeDocument/2006/relationships" name="Weekly Control" sheetId="4" r:id="R0966fc8370884d93"/>
    <x:sheet xmlns:r="http://schemas.openxmlformats.org/officeDocument/2006/relationships" name="Phase Summary" sheetId="5" r:id="R5d07b899a55e496d"/>
    <x:sheet xmlns:r="http://schemas.openxmlformats.org/officeDocument/2006/relationships" name="Assumptions &amp; Gates" sheetId="6" r:id="R7cf1c050f08f47e9"/>
    <x:sheet xmlns:r="http://schemas.openxmlformats.org/officeDocument/2006/relationships" name="Sources" sheetId="7" r:id="R2fccd5cee99c469f"/>
    <x:sheet xmlns:r="http://schemas.openxmlformats.org/officeDocument/2006/relationships" name="Legacy Baseline" sheetId="8" r:id="R4a649ea64e1b4c13"/>
    <x:sheet xmlns:r="http://schemas.openxmlformats.org/officeDocument/2006/relationships" name="Work Block Log" sheetId="9" r:id="Rac6af8c1e3554d97"/>
    <x:sheet xmlns:r="http://schemas.openxmlformats.org/officeDocument/2006/relationships" name="Decision Register" sheetId="10" r:id="R746b571644584911"/>
    <x:sheet xmlns:r="http://schemas.openxmlformats.org/officeDocument/2006/relationships" name="Risks &amp; Issues" sheetId="11" r:id="R28deda6617424f2e"/>
    <x:sheet xmlns:r="http://schemas.openxmlformats.org/officeDocument/2006/relationships" name="Evidence Register" sheetId="12" r:id="R143b9c08631e493c"/>
    <x:sheet xmlns:r="http://schemas.openxmlformats.org/officeDocument/2006/relationships" name="Expansion Backlog" sheetId="13" r:id="Rea96d7b3e80c449d"/>
    <x:sheet xmlns:r="http://schemas.openxmlformats.org/officeDocument/2006/relationships" name="AI Context" sheetId="14" r:id="R277c9e3152c7422c"/>
    <x:sheet xmlns:r="http://schemas.openxmlformats.org/officeDocument/2006/relationships" name="MVP Dashboard" sheetId="15" r:id="R155ae9aa069f4b37"/>
    <x:sheet xmlns:r="http://schemas.openxmlformats.org/officeDocument/2006/relationships" name="Product Vision" sheetId="16" r:id="Re08c33ed104c443f"/>
    <x:sheet xmlns:r="http://schemas.openxmlformats.org/officeDocument/2006/relationships" name="Pilot Gantt" sheetId="17" r:id="Rdfc4d6ca350341c3"/>
    <x:sheet xmlns:r="http://schemas.openxmlformats.org/officeDocument/2006/relationships" name="Pilot Dashboard" sheetId="18" r:id="R7e118e1bd1c940f1"/>
  </x:sheets>
</x:workbook>
</file>

<file path=xl/sharedStrings.xml><?xml version="1.0" encoding="utf-8"?>
<x:sst xmlns:x="http://schemas.openxmlformats.org/spreadsheetml/2006/main">
  <x:si>
    <x:t xml:space="preserve">ID</x:t>
  </x:si>
  <x:si>
    <x:t xml:space="preserve">Phase</x:t>
  </x:si>
  <x:si>
    <x:t xml:space="preserve">Planned Hours</x:t>
  </x:si>
  <x:si>
    <x:t xml:space="preserve">Actual Hours</x:t>
  </x:si>
  <x:si>
    <x:t xml:space="preserve">% Complete</x:t>
  </x:si>
  <x:si>
    <x:t xml:space="preserve">Start</x:t>
  </x:si>
  <x:si>
    <x:t xml:space="preserve">Finish</x:t>
  </x:si>
  <x:si>
    <x:t xml:space="preserve">Gate / Hold Point</x:t>
  </x:si>
  <x:si>
    <x:t xml:space="preserve">Primary Deliverable</x:t>
  </x:si>
  <x:si>
    <x:t xml:space="preserve">W1</x:t>
  </x:si>
  <x:si>
    <x:t xml:space="preserve">W2</x:t>
  </x:si>
  <x:si>
    <x:t xml:space="preserve">W3</x:t>
  </x:si>
  <x:si>
    <x:t xml:space="preserve">W4</x:t>
  </x:si>
  <x:si>
    <x:t xml:space="preserve">W5</x:t>
  </x:si>
  <x:si>
    <x:t xml:space="preserve">W6</x:t>
  </x:si>
  <x:si>
    <x:t xml:space="preserve">W7</x:t>
  </x:si>
  <x:si>
    <x:t xml:space="preserve">W8</x:t>
  </x:si>
  <x:si>
    <x:t xml:space="preserve">0</x:t>
  </x:si>
  <x:si>
    <x:t xml:space="preserve">0 Control &amp; Foundation</x:t>
  </x:si>
  <x:si>
    <x:t xml:space="preserve">Gate 0 — control baseline accepted</x:t>
  </x:si>
  <x:si>
    <x:t xml:space="preserve">Repository, architecture, Gantt, validator/loader baseline</x:t>
  </x:si>
  <x:si>
    <x:t xml:space="preserve">■</x:t>
  </x:si>
  <x:si>
    <x:t xml:space="preserve">1</x:t>
  </x:si>
  <x:si>
    <x:t xml:space="preserve">1 Evaluation Core</x:t>
  </x:si>
  <x:si>
    <x:t xml:space="preserve">Gate 2 — deterministic evaluation core</x:t>
  </x:si>
  <x:si>
    <x:t xml:space="preserve">Candidate loading, gates, checks, scoring, failure evidence</x:t>
  </x:si>
  <x:si>
    <x:t xml:space="preserve">2</x:t>
  </x:si>
  <x:si>
    <x:t xml:space="preserve">2 CLI &amp; Results</x:t>
  </x:si>
  <x:si>
    <x:t xml:space="preserve">Gate 3 — end-to-end local evaluation</x:t>
  </x:si>
  <x:si>
    <x:t xml:space="preserve">evaluate CLI and immutable result records</x:t>
  </x:si>
  <x:si>
    <x:t xml:space="preserve">3</x:t>
  </x:si>
  <x:si>
    <x:t xml:space="preserve">3 Cases &amp; Benchmark</x:t>
  </x:si>
  <x:si>
    <x:t xml:space="preserve">Gate 4 — benchmark ready</x:t>
  </x:si>
  <x:si>
    <x:t xml:space="preserve">Five reviewed cases, held-out split, baseline report</x:t>
  </x:si>
  <x:si>
    <x:t xml:space="preserve">4</x:t>
  </x:si>
  <x:si>
    <x:t xml:space="preserve">4 Quality &amp; Reproducibility</x:t>
  </x:si>
  <x:si>
    <x:t xml:space="preserve">Gate 5 — reproducible quality baseline</x:t>
  </x:si>
  <x:si>
    <x:t xml:space="preserve">Targeted tests, CI, README, architecture</x:t>
  </x:si>
  <x:si>
    <x:t xml:space="preserve">5</x:t>
  </x:si>
  <x:si>
    <x:t xml:space="preserve">5 Demo &amp; Release</x:t>
  </x:si>
  <x:si>
    <x:t xml:space="preserve">Portfolio demo, limitations, final acceptance, tag</x:t>
  </x:si>
  <x:si>
    <x:t xml:space="preserve">TOTAL MVP</x:t>
  </x:si>
  <x:si>
    <x:t xml:space="preserve">Baseline Start</x:t>
  </x:si>
  <x:si>
    <x:t xml:space="preserve">Total Planned Hours</x:t>
  </x:si>
  <x:si>
    <x:t xml:space="preserve">Target Finish</x:t>
  </x:si>
  <x:si>
    <x:t xml:space="preserve">Control Baseline</x:t>
  </x:si>
  <x:si>
    <x:t xml:space="preserve">MVP v1.0 — 8 weeks</x:t>
  </x:si>
  <x:si>
    <x:t xml:space="preserve">Editable control fields: Status, % Complete, Branch/Evidence, Next Action, and Notes. Actual Hours are calculated from Work Block Log. Do not silently change baseline hours or dates.</x:t>
  </x:si>
  <x:si>
    <x:t xml:space="preserve">WBS</x:t>
  </x:si>
  <x:si>
    <x:t xml:space="preserve">Work Package</x:t>
  </x:si>
  <x:si>
    <x:t xml:space="preserve">Deliverable / Acceptance Evidence</x:t>
  </x:si>
  <x:si>
    <x:t xml:space="preserve">Predecessor</x:t>
  </x:si>
  <x:si>
    <x:t xml:space="preserve">Start Week</x:t>
  </x:si>
  <x:si>
    <x:t xml:space="preserve">Finish Week</x:t>
  </x:si>
  <x:si>
    <x:t xml:space="preserve">Start Date</x:t>
  </x:si>
  <x:si>
    <x:t xml:space="preserve">Finish Date</x:t>
  </x:si>
  <x:si>
    <x:t xml:space="preserve">Status</x:t>
  </x:si>
  <x:si>
    <x:t xml:space="preserve">Remaining Planned</x:t>
  </x:si>
  <x:si>
    <x:t xml:space="preserve">Hour Variance</x:t>
  </x:si>
  <x:si>
    <x:t xml:space="preserve">Branch / Evidence</x:t>
  </x:si>
  <x:si>
    <x:t xml:space="preserve">Next Action</x:t>
  </x:si>
  <x:si>
    <x:t xml:space="preserve">Notes</x:t>
  </x:si>
  <x:si>
    <x:t xml:space="preserve">0.1</x:t>
  </x:si>
  <x:si>
    <x:t xml:space="preserve">Environment and repository baseline</x:t>
  </x:si>
  <x:si>
    <x:t xml:space="preserve">Working venv, repository, GitHub main, and seed cases validate.</x:t>
  </x:si>
  <x:si>
    <x:t xml:space="preserve">-</x:t>
  </x:si>
  <x:si>
    <x:t xml:space="preserve">None; preserve as baseline evidence.</x:t>
  </x:si>
  <x:si>
    <x:t xml:space="preserve">Completed across June 28–30.</x:t>
  </x:si>
  <x:si>
    <x:t xml:space="preserve">0.2</x:t>
  </x:si>
  <x:si>
    <x:t xml:space="preserve">Architecture and control baseline</x:t>
  </x:si>
  <x:si>
    <x:t xml:space="preserve">Architecture document and Gantt explain current system, scope, MVP, and next action.</x:t>
  </x:si>
  <x:si>
    <x:t xml:space="preserve">Next work block: begin WBS 1.1 and create feature/candidate-artifact-contract.</x:t>
  </x:si>
  <x:si>
    <x:t xml:space="preserve">Completed 2026-07-04. Architecture and the aggressive eight-week MVP control baseline were committed and pushed to main.</x:t>
  </x:si>
  <x:si>
    <x:t xml:space="preserve">0.3</x:t>
  </x:si>
  <x:si>
    <x:t xml:space="preserve">Validator and loader baseline</x:t>
  </x:si>
  <x:si>
    <x:t xml:space="preserve">Targeted loader, stable errors, key seeded defects, and 25 passing tests.</x:t>
  </x:si>
  <x:si>
    <x:t xml:space="preserve">Do not add validator-only branches unless evaluator work exposes a real gap.</x:t>
  </x:si>
  <x:si>
    <x:t xml:space="preserve">Completed 2026-07-04. July 4 duration reconstructed and logged: WB-003 = 0.62 h and WB-004 = 1.53 h.</x:t>
  </x:si>
  <x:si>
    <x:t xml:space="preserve">1.1</x:t>
  </x:si>
  <x:si>
    <x:t xml:space="preserve">Define candidate artifact contract and loader</x:t>
  </x:si>
  <x:si>
    <x:t xml:space="preserve">Extensible candidate envelope documented with schema_version, case_id, candidate_id, artifact_type, artifacts, payload, and optional provenance; valid MECH-002 artifact loads; missing, malformed, and structurally invalid artifacts fail clearly.</x:t>
  </x:si>
  <x:si>
    <x:t xml:space="preserve">1.2</x:t>
  </x:si>
  <x:si>
    <x:t xml:space="preserve">Implement mandatory gate engine</x:t>
  </x:si>
  <x:si>
    <x:t xml:space="preserve">Required file, parse, field, and type gates execute before scoring and return evidence.</x:t>
  </x:si>
  <x:si>
    <x:t xml:space="preserve">1.3</x:t>
  </x:si>
  <x:si>
    <x:t xml:space="preserve">Implement exact, Boolean, set, and contains checks</x:t>
  </x:si>
  <x:si>
    <x:t xml:space="preserve">Supported deterministic checks return pass/fail, evidence, and failure mode.</x:t>
  </x:si>
  <x:si>
    <x:t xml:space="preserve">1.4</x:t>
  </x:si>
  <x:si>
    <x:t xml:space="preserve">Implement numeric tolerance checks</x:t>
  </x:si>
  <x:si>
    <x:t xml:space="preserve">Numeric comparisons support absolute tolerance and clear evidence.</x:t>
  </x:si>
  <x:si>
    <x:t xml:space="preserve">1.5</x:t>
  </x:si>
  <x:si>
    <x:t xml:space="preserve">Implement weighted scoring and failure evidence</x:t>
  </x:si>
  <x:si>
    <x:t xml:space="preserve">Gates plus weighted checks produce score, pass/fail, failure modes, and evidence.</x:t>
  </x:si>
  <x:si>
    <x:t xml:space="preserve">1.3,1.4</x:t>
  </x:si>
  <x:si>
    <x:t xml:space="preserve">2.1</x:t>
  </x:si>
  <x:si>
    <x:t xml:space="preserve">Add evaluate CLI command</x:t>
  </x:si>
  <x:si>
    <x:t xml:space="preserve">One command evaluates a candidate artifact against a case and returns stable exit codes.</x:t>
  </x:si>
  <x:si>
    <x:t xml:space="preserve">2.2</x:t>
  </x:si>
  <x:si>
    <x:t xml:space="preserve">Define structured result schema and model</x:t>
  </x:si>
  <x:si>
    <x:t xml:space="preserve">Result contains versions, artifact references, gate/check evidence, expected/actual values, severity/failure mode, score, pass/fail, and extension points for artifact location and source references.</x:t>
  </x:si>
  <x:si>
    <x:t xml:space="preserve">2.3</x:t>
  </x:si>
  <x:si>
    <x:t xml:space="preserve">Write immutable local result records</x:t>
  </x:si>
  <x:si>
    <x:t xml:space="preserve">Each evaluation writes a timestamped result without overwriting prior evidence.</x:t>
  </x:si>
  <x:si>
    <x:t xml:space="preserve">2.4</x:t>
  </x:si>
  <x:si>
    <x:t xml:space="preserve">Create example pass/fail candidate artifacts</x:t>
  </x:si>
  <x:si>
    <x:t xml:space="preserve">At least one passing and two representative failing artifacts run end-to-end.</x:t>
  </x:si>
  <x:si>
    <x:t xml:space="preserve">2.1,2.3</x:t>
  </x:si>
  <x:si>
    <x:t xml:space="preserve">3.1</x:t>
  </x:si>
  <x:si>
    <x:t xml:space="preserve">Independently verify three seed cases</x:t>
  </x:si>
  <x:si>
    <x:t xml:space="preserve">Calculations, references, tolerances, and failure intent are checked and recorded.</x:t>
  </x:si>
  <x:si>
    <x:t xml:space="preserve">3.2</x:t>
  </x:si>
  <x:si>
    <x:t xml:space="preserve">Add two useful synthetic cases</x:t>
  </x:si>
  <x:si>
    <x:t xml:space="preserve">Five total reviewed cases cover distinct mechanical workflow/failure families.</x:t>
  </x:si>
  <x:si>
    <x:t xml:space="preserve">1.5,3.1</x:t>
  </x:si>
  <x:si>
    <x:t xml:space="preserve">3.3</x:t>
  </x:si>
  <x:si>
    <x:t xml:space="preserve">Assign held-out split and review checklist</x:t>
  </x:si>
  <x:si>
    <x:t xml:space="preserve">At least one held-out case; provenance, correctness, and evaluability review recorded.</x:t>
  </x:si>
  <x:si>
    <x:t xml:space="preserve">3.4</x:t>
  </x:si>
  <x:si>
    <x:t xml:space="preserve">Run baseline benchmark and failure summary</x:t>
  </x:si>
  <x:si>
    <x:t xml:space="preserve">All MVP cases evaluated; results summarized with representative failures and limitations.</x:t>
  </x:si>
  <x:si>
    <x:t xml:space="preserve">2.4,3.3</x:t>
  </x:si>
  <x:si>
    <x:t xml:space="preserve">4.1</x:t>
  </x:si>
  <x:si>
    <x:t xml:space="preserve">Targeted regression tests and fixture refactor</x:t>
  </x:si>
  <x:si>
    <x:t xml:space="preserve">Important engine behaviours and failure handling are protected without repetitive setup.</x:t>
  </x:si>
  <x:si>
    <x:t xml:space="preserve">4.2</x:t>
  </x:si>
  <x:si>
    <x:t xml:space="preserve">Add GitHub Actions CI</x:t>
  </x:si>
  <x:si>
    <x:t xml:space="preserve">Tests run on push and pull request; seeded failure demonstrates red/green behaviour.</x:t>
  </x:si>
  <x:si>
    <x:t xml:space="preserve">4.3</x:t>
  </x:si>
  <x:si>
    <x:t xml:space="preserve">Complete README and architecture documentation</x:t>
  </x:si>
  <x:si>
    <x:t xml:space="preserve">New reviewer can install, understand, run, and audit the MVP.</x:t>
  </x:si>
  <x:si>
    <x:t xml:space="preserve">2.4,3.4</x:t>
  </x:si>
  <x:si>
    <x:t xml:space="preserve">5.1</x:t>
  </x:si>
  <x:si>
    <x:t xml:space="preserve">Create portfolio demo</x:t>
  </x:si>
  <x:si>
    <x:t xml:space="preserve">One scripted end-to-end case shows pass, failure evidence, and result record.</x:t>
  </x:si>
  <x:si>
    <x:t xml:space="preserve">3.4,4.3</x:t>
  </x:si>
  <x:si>
    <x:t xml:space="preserve">5.2</x:t>
  </x:si>
  <x:si>
    <x:t xml:space="preserve">Write release notes and limitations</x:t>
  </x:si>
  <x:si>
    <x:t xml:space="preserve">Scope, supported checks, safety boundary, known limitations, and deferred work are explicit.</x:t>
  </x:si>
  <x:si>
    <x:t xml:space="preserve">5.3</x:t>
  </x:si>
  <x:si>
    <x:t xml:space="preserve">5.2,4.2</x:t>
  </x:si>
  <x:si>
    <x:t xml:space="preserve">Control baseline; loader/validator</x:t>
  </x:si>
  <x:si>
    <x:t xml:space="preserve">Candidate contract; seed-case verification</x:t>
  </x:si>
  <x:si>
    <x:t xml:space="preserve">Not Started</x:t>
  </x:si>
  <x:si>
    <x:t xml:space="preserve">Gates and deterministic checks</x:t>
  </x:si>
  <x:si>
    <x:t xml:space="preserve">Numeric checks; scoring; engine tests</x:t>
  </x:si>
  <x:si>
    <x:t xml:space="preserve">Evaluate CLI; result records; examples</x:t>
  </x:si>
  <x:si>
    <x:t xml:space="preserve">Add cases; held-out split; benchmark</x:t>
  </x:si>
  <x:si>
    <x:t xml:space="preserve">CI; documentation; portfolio demo</x:t>
  </x:si>
  <x:si>
    <x:t xml:space="preserve">Gate</x:t>
  </x:si>
  <x:si>
    <x:t xml:space="preserve">TOTAL</x:t>
  </x:si>
  <x:si>
    <x:t xml:space="preserve">Planning Basis, MVP Gates, and Change-Control Rules</x:t>
  </x:si>
  <x:si>
    <x:t xml:space="preserve">Planning Assumptions</x:t>
  </x:si>
  <x:si>
    <x:t xml:space="preserve">A1</x:t>
  </x:si>
  <x:si>
    <x:t xml:space="preserve">The Gantt workbook is the controlling source of truth for scope, schedule, progress, decisions, evidence, and next action.</x:t>
  </x:si>
  <x:si>
    <x:t xml:space="preserve">A2</x:t>
  </x:si>
  <x:si>
    <x:t xml:space="preserve">The controlling baseline is an 8-week, 76-hour MVP from 2026-06-29 through 2026-08-23.</x:t>
  </x:si>
  <x:si>
    <x:t xml:space="preserve">A3</x:t>
  </x:si>
  <x:si>
    <x:t xml:space="preserve">Normal capacity is 8–12 hours per week. Paid Outlier work and major life obligations retain priority.</x:t>
  </x:si>
  <x:si>
    <x:t xml:space="preserve">A4</x:t>
  </x:si>
  <x:si>
    <x:t xml:space="preserve">Learning is just-in-time. Shipped functionality and validated engineering workflows take priority over repetitive exercises.</x:t>
  </x:si>
  <x:si>
    <x:t xml:space="preserve">A5</x:t>
  </x:si>
  <x:si>
    <x:t xml:space="preserve">Use one branch per coherent capability, not per individual test.</x:t>
  </x:si>
  <x:si>
    <x:t xml:space="preserve">A6</x:t>
  </x:si>
  <x:si>
    <x:t xml:space="preserve">Tests support the product. Add them for important behaviour, scoring correctness, failure handling, and regression safety.</x:t>
  </x:si>
  <x:si>
    <x:t xml:space="preserve">A7</x:t>
  </x:si>
  <x:si>
    <x:t xml:space="preserve">A8</x:t>
  </x:si>
  <x:si>
    <x:t xml:space="preserve">MVP scope is JSON artifacts, deterministic gates/checks, weighted scoring, CLI execution, result records, five cases, a small benchmark, CI, docs, and one demo.</x:t>
  </x:si>
  <x:si>
    <x:t xml:space="preserve">A9</x:t>
  </x:si>
  <x:si>
    <x:t xml:space="preserve">APIs, databases, multimodal, OpenClaw, observability, deployment, governance packs, reward models, LoRA, and RL are deferred unless the MVP requires them.</x:t>
  </x:si>
  <x:si>
    <x:t xml:space="preserve">A10</x:t>
  </x:si>
  <x:si>
    <x:t xml:space="preserve">Use only public, synthetic, self-authored, or authorized data. Never place confidential Outlier or employer material in the repository or workbook.</x:t>
  </x:si>
  <x:si>
    <x:t xml:space="preserve">A11</x:t>
  </x:si>
  <x:si>
    <x:t xml:space="preserve">The harness supports evaluation and workflow assurance, not engineering sign-off, autonomous release, or final safety-critical decisions.</x:t>
  </x:si>
  <x:si>
    <x:t xml:space="preserve">A12</x:t>
  </x:si>
  <x:si>
    <x:t xml:space="preserve">The strategic product direction is the Mechanical Engineering Workflow Assurance Platform; the current harness is its evaluation kernel. Preserve this direction without expanding the controlling MVP.</x:t>
  </x:si>
  <x:si>
    <x:t xml:space="preserve">A13</x:t>
  </x:si>
  <x:si>
    <x:t xml:space="preserve">Candidate and result interfaces remain agent- and artifact-runtime agnostic, with explicit extension points for artifact references, provenance, source references, evidence locations, severity, cost/latency, and regression status.</x:t>
  </x:si>
  <x:si>
    <x:t xml:space="preserve">MVP Gates / Hold Points</x:t>
  </x:si>
  <x:si>
    <x:t xml:space="preserve">Target Week</x:t>
  </x:si>
  <x:si>
    <x:t xml:space="preserve">Target Date</x:t>
  </x:si>
  <x:si>
    <x:t xml:space="preserve">Acceptance Criteria</x:t>
  </x:si>
  <x:si>
    <x:t xml:space="preserve">Evidence</x:t>
  </x:si>
  <x:si>
    <x:t xml:space="preserve">Decision / Next Action</x:t>
  </x:si>
  <x:si>
    <x:t xml:space="preserve">Gate 0</x:t>
  </x:si>
  <x:si>
    <x:t xml:space="preserve">Passed</x:t>
  </x:si>
  <x:si>
    <x:t xml:space="preserve">Architecture and control baseline explain current system; workbook rebaseline accepted.</x:t>
  </x:si>
  <x:si>
    <x:t xml:space="preserve">docs/architecture.md; gantt.xlsx; commit c71676d</x:t>
  </x:si>
  <x:si>
    <x:t xml:space="preserve">Gate accepted. Begin WBS 1.1 in the next work block.</x:t>
  </x:si>
  <x:si>
    <x:t xml:space="preserve">Gate 1</x:t>
  </x:si>
  <x:si>
    <x:t xml:space="preserve">Gate 2</x:t>
  </x:si>
  <x:si>
    <x:t xml:space="preserve">Gate 3</x:t>
  </x:si>
  <x:si>
    <x:t xml:space="preserve">Gate 4</x:t>
  </x:si>
  <x:si>
    <x:t xml:space="preserve">Gate 5</x:t>
  </x:si>
  <x:si>
    <x:t xml:space="preserve">Gate 6</x:t>
  </x:si>
  <x:si>
    <x:t xml:space="preserve">Change-Control Rule</x:t>
  </x:si>
  <x:si>
    <x:t xml:space="preserve">Source</x:t>
  </x:si>
  <x:si>
    <x:t xml:space="preserve">Use in Current Baseline</x:t>
  </x:si>
  <x:si>
    <x:t xml:space="preserve">Type</x:t>
  </x:si>
  <x:si>
    <x:t xml:space="preserve">URL / Reference</x:t>
  </x:si>
  <x:si>
    <x:t xml:space="preserve">Control Note</x:t>
  </x:si>
  <x:si>
    <x:t xml:space="preserve">Project instructions — AI Career &amp; Agent Evaluation Systems</x:t>
  </x:si>
  <x:si>
    <x:t xml:space="preserve">Establishes 4–8 week MVP, Gantt control, architecture separation, testing discipline, and deferrals.</x:t>
  </x:si>
  <x:si>
    <x:t xml:space="preserve">Project control</x:t>
  </x:si>
  <x:si>
    <x:t xml:space="preserve">Project instructions</x:t>
  </x:si>
  <x:si>
    <x:t xml:space="preserve">Highest-priority operating source.</x:t>
  </x:si>
  <x:si>
    <x:t xml:space="preserve">Current Gantt workbook</x:t>
  </x:si>
  <x:si>
    <x:t xml:space="preserve">Controls WBS, schedule, actuals, decisions, evidence, risks, and next action.</x:t>
  </x:si>
  <x:si>
    <x:t xml:space="preserve">Replace project source after each completed workflow.</x:t>
  </x:si>
  <x:si>
    <x:t xml:space="preserve">docs/architecture.md</x:t>
  </x:si>
  <x:si>
    <x:t xml:space="preserve">Defines task/agent/environment/trace/evaluator/results boundaries and current implementation state.</x:t>
  </x:si>
  <x:si>
    <x:t xml:space="preserve">Architecture</x:t>
  </x:si>
  <x:si>
    <x:t xml:space="preserve">Repository document</x:t>
  </x:si>
  <x:si>
    <x:t xml:space="preserve">Must match actual code.</x:t>
  </x:si>
  <x:si>
    <x:t xml:space="preserve">Twelve-Month Roadmap from Engineering-Domain AI QA Auditor to AI Evaluation and Deployment Specialist</x:t>
  </x:si>
  <x:si>
    <x:t xml:space="preserve">Preserved as expansion strategy; supports backend-first tooling and portfolio artifacts.</x:t>
  </x:si>
  <x:si>
    <x:t xml:space="preserve">Uploaded project PDF</x:t>
  </x:si>
  <x:si>
    <x:t xml:space="preserve">Project source file</x:t>
  </x:si>
  <x:si>
    <x:t xml:space="preserve">No longer the controlling delivery timeline.</x:t>
  </x:si>
  <x:si>
    <x:t xml:space="preserve">Current-Market Analysis of AI Evaluation, AI Quality, LLM Evaluation, Model Behaviour Testing, Technical AI Auditing, AI Deployment, and Responsible-AI Roles</x:t>
  </x:si>
  <x:si>
    <x:t xml:space="preserve">Supports positioning around evaluation systems, regression design, audit evidence, and tooling ownership.</x:t>
  </x:si>
  <x:si>
    <x:t xml:space="preserve">Career strategy input.</x:t>
  </x:si>
  <x:si>
    <x:t xml:space="preserve">Agents' Last Exam</x:t>
  </x:si>
  <x:si>
    <x:t xml:space="preserve">Supports authentic professional workflows, task/agent/environment separation, artifact verification, and gate-before-score evaluation.</x:t>
  </x:si>
  <x:si>
    <x:t xml:space="preserve">Research paper</x:t>
  </x:si>
  <x:si>
    <x:t xml:space="preserve">https://arxiv.org/abs/2606.05405</x:t>
  </x:si>
  <x:si>
    <x:t xml:space="preserve">Direct architecture influence.</x:t>
  </x:si>
  <x:si>
    <x:t xml:space="preserve">OpenClaw-RL: Train Any Agent Simply by Talking</x:t>
  </x:si>
  <x:si>
    <x:t xml:space="preserve">Supports later trace, next-state, process-signal, and agent-evaluation work.</x:t>
  </x:si>
  <x:si>
    <x:t xml:space="preserve">https://arxiv.org/abs/2603.10165</x:t>
  </x:si>
  <x:si>
    <x:t xml:space="preserve">Deferred until after MVP.</x:t>
  </x:si>
  <x:si>
    <x:t xml:space="preserve">RLAnything</x:t>
  </x:si>
  <x:si>
    <x:t xml:space="preserve">Supports later separation/integration of outcome and step-wise signals and adaptive environment research.</x:t>
  </x:si>
  <x:si>
    <x:t xml:space="preserve">https://arxiv.org/abs/2602.02488</x:t>
  </x:si>
  <x:si>
    <x:t xml:space="preserve">Practical Market for a Solo AI Implementation and Evaluation Consultant in Edmonton and Alberta</x:t>
  </x:si>
  <x:si>
    <x:t xml:space="preserve">Informs useful mechanical document, QA/QC, revision, maintenance, and technical-record workflows.</x:t>
  </x:si>
  <x:si>
    <x:t xml:space="preserve">Case-selection input.</x:t>
  </x:si>
  <x:si>
    <x:t xml:space="preserve">Superseded 52-Week Baseline Snapshot — Preserved 2026-07-04</x:t>
  </x:si>
  <x:si>
    <x:t xml:space="preserve">Historical planning baseline retained for traceability. It is no longer the controlling schedule. Use Start Here, Executive Gantt, Detailed Gantt, Weekly Control, and the control registers for current project management.</x:t>
  </x:si>
  <x:si>
    <x:t xml:space="preserve">Normal Control Rule</x:t>
  </x:si>
  <x:si>
    <x:t xml:space="preserve">Update weekly; rebaseline only through a gate decision</x:t>
  </x:si>
  <x:si>
    <x:t xml:space="preserve">Editable fields</x:t>
  </x:si>
  <x:si>
    <x:t xml:space="preserve">Status, % Complete, Actual Hours, and Notes. Baseline dates and planned hours should not be changed casually.</x:t>
  </x:si>
  <x:si>
    <x:t xml:space="preserve">Duration (wk)</x:t>
  </x:si>
  <x:si>
    <x:t xml:space="preserve">0 Project Controls &amp; Mobilization</x:t>
  </x:si>
  <x:si>
    <x:t xml:space="preserve">Create local Python environment</x:t>
  </x:si>
  <x:si>
    <x:t xml:space="preserve">Working virtual environment; dependencies installed</x:t>
  </x:si>
  <x:si>
    <x:t xml:space="preserve">Complete</x:t>
  </x:si>
  <x:si>
    <x:t xml:space="preserve">Completed before baseline start on 2026-06-28. Python 3.14.2 virtual environment active; baseline tests passed.</x:t>
  </x:si>
  <x:si>
    <x:t xml:space="preserve">Initialize Git and GitHub baseline</x:t>
  </x:si>
  <x:si>
    <x:t xml:space="preserve">Repository pushed; main branch protected by working practice</x:t>
  </x:si>
  <x:si>
    <x:t xml:space="preserve">Completed 2026-06-30. Local Git initialized, baseline commit created, GitHub origin configured, and main pushed successfully. Actual time was not separately logged.</x:t>
  </x:si>
  <x:si>
    <x:t xml:space="preserve">Review architecture and four schemas</x:t>
  </x:si>
  <x:si>
    <x:t xml:space="preserve">One-page architecture walkthrough in own words</x:t>
  </x:si>
  <x:si>
    <x:t xml:space="preserve">In Progress</x:t>
  </x:si>
  <x:si>
    <x:t xml:space="preserve">Repository layout, README, CLI commands, and MECH-001 summary reviewed. Full four-schema walkthrough and concise architecture explanation remain.</x:t>
  </x:si>
  <x:si>
    <x:t xml:space="preserve">0.4</x:t>
  </x:si>
  <x:si>
    <x:t xml:space="preserve">Set definition of done and control routine</x:t>
  </x:si>
  <x:si>
    <x:t xml:space="preserve">Weekly review checklist and change-control rule</x:t>
  </x:si>
  <x:si>
    <x:t xml:space="preserve">0.5</x:t>
  </x:si>
  <x:si>
    <x:t xml:space="preserve">Weekly time, issue, and decision logging</x:t>
  </x:si>
  <x:si>
    <x:t xml:space="preserve">Updated weekly control sheet and issue notes</x:t>
  </x:si>
  <x:si>
    <x:t xml:space="preserve">Week 1 control update completed. Actual time is recorded only where explicitly tracked.</x:t>
  </x:si>
  <x:si>
    <x:t xml:space="preserve">0.6</x:t>
  </x:si>
  <x:si>
    <x:t xml:space="preserve">Monthly schedule and forecast update</x:t>
  </x:si>
  <x:si>
    <x:t xml:space="preserve">Monthly reforecast without silent scope changes</x:t>
  </x:si>
  <x:si>
    <x:t xml:space="preserve">0.7</x:t>
  </x:si>
  <x:si>
    <x:t xml:space="preserve">Formal gate reviews and baseline changes</x:t>
  </x:si>
  <x:si>
    <x:t xml:space="preserve">Recorded gate decision and accepted corrective actions</x:t>
  </x:si>
  <x:si>
    <x:t xml:space="preserve">1 Case Foundation</x:t>
  </x:si>
  <x:si>
    <x:t xml:space="preserve">Learn only the required JSON, schema, and CLI concepts</x:t>
  </x:si>
  <x:si>
    <x:t xml:space="preserve">Can explain and edit one case safely</x:t>
  </x:si>
  <x:si>
    <x:t xml:space="preserve">Independently verify the three seed cases</x:t>
  </x:si>
  <x:si>
    <x:t xml:space="preserve">Calculations and references checked without relying on generated code</x:t>
  </x:si>
  <x:si>
    <x:t xml:space="preserve">Author synthetic cases 4 and 5</x:t>
  </x:si>
  <x:si>
    <x:t xml:space="preserve">Two complete, valid, reviewed case instances</x:t>
  </x:si>
  <x:si>
    <x:t xml:space="preserve">Author synthetic cases 6 through 8</x:t>
  </x:si>
  <x:si>
    <x:t xml:space="preserve">Three additional cases covering distinct failure modes</x:t>
  </x:si>
  <x:si>
    <x:t xml:space="preserve">Expand taxonomy and assign dataset splits</x:t>
  </x:si>
  <x:si>
    <x:t xml:space="preserve">Failure codes stable; at least two held-out cases</x:t>
  </x:si>
  <x:si>
    <x:t xml:space="preserve">1.6</x:t>
  </x:si>
  <x:si>
    <x:t xml:space="preserve">Complete human review checklists</x:t>
  </x:si>
  <x:si>
    <x:t xml:space="preserve">Every case passes provenance, authenticity, correctness, and evaluability review</x:t>
  </x:si>
  <x:si>
    <x:t xml:space="preserve">1.7</x:t>
  </x:si>
  <x:si>
    <x:t xml:space="preserve">Release specification baseline v0.1.0</x:t>
  </x:si>
  <x:si>
    <x:t xml:space="preserve">Validation passes; tagged release and concise release notes</x:t>
  </x:si>
  <x:si>
    <x:t xml:space="preserve">2 Software Hygiene &amp; Test Infrastructure</x:t>
  </x:si>
  <x:si>
    <x:t xml:space="preserve">Practise branch, merge, and recovery workflows</x:t>
  </x:si>
  <x:si>
    <x:t xml:space="preserve">Three clean feature branches and one intentional recovery exercise</x:t>
  </x:si>
  <x:si>
    <x:t xml:space="preserve">Started early. Created feature/test-unknown-case and added the first controlled test change. Push/PR/merge evidence and two more branches plus recovery exercise remain.</x:t>
  </x:si>
  <x:si>
    <x:t xml:space="preserve">Refactor repository validator and loader</x:t>
  </x:si>
  <x:si>
    <x:t xml:space="preserve">Readable modules with stable error messages</x:t>
  </x:si>
  <x:si>
    <x:t xml:space="preserve">Started early on 2026-07-04. Added targeted load_case_by_id, updated CLI inspect to load one case directly, added positive and negative regression tests, fixed inspect output formatting, merged PR #2, and confirmed 22 tests pass.</x:t>
  </x:si>
  <x:si>
    <x:t xml:space="preserve">Expand pytest suite to at least 20 tests</x:t>
  </x:si>
  <x:si>
    <x:t xml:space="preserve">Positive and negative cases run locally</x:t>
  </x:si>
  <x:si>
    <x:t xml:space="preserve">Completed early on 2026-06-30. Added a negative CLI integration test; 20 tests pass locally. Actual time was not separately logged.</x:t>
  </x:si>
  <x:si>
    <x:t xml:space="preserve">Add schema, path, asset, and weight failure tests</x:t>
  </x:si>
  <x:si>
    <x:t xml:space="preserve">Seeded defects are caught deterministically</x:t>
  </x:si>
  <x:si>
    <x:t xml:space="preserve">2.5</x:t>
  </x:si>
  <x:si>
    <x:t xml:space="preserve">Add GitHub Actions test workflow</x:t>
  </x:si>
  <x:si>
    <x:t xml:space="preserve">CI passes on push and fails on seeded defect branch</x:t>
  </x:si>
  <x:si>
    <x:t xml:space="preserve">2.6</x:t>
  </x:si>
  <x:si>
    <x:t xml:space="preserve">Define result and trace schema stubs</x:t>
  </x:si>
  <x:si>
    <x:t xml:space="preserve">Future run data separated from task definitions</x:t>
  </x:si>
  <x:si>
    <x:t xml:space="preserve">2.7</x:t>
  </x:si>
  <x:si>
    <x:t xml:space="preserve">Clean README, changelog, and issue templates</x:t>
  </x:si>
  <x:si>
    <x:t xml:space="preserve">New contributor can understand current scope</x:t>
  </x:si>
  <x:si>
    <x:t xml:space="preserve">2.8</x:t>
  </x:si>
  <x:si>
    <x:t xml:space="preserve">Release repository baseline v0.2</x:t>
  </x:si>
  <x:si>
    <x:t xml:space="preserve">CI green; clean history; gate record complete</x:t>
  </x:si>
  <x:si>
    <x:t xml:space="preserve">3 Evaluation Engine &amp; Measurement</x:t>
  </x:si>
  <x:si>
    <x:t xml:space="preserve">Implement deterministic evaluator engine</x:t>
  </x:si>
  <x:si>
    <x:t xml:space="preserve">One command evaluates a candidate artifact against a case</x:t>
  </x:si>
  <x:si>
    <x:t xml:space="preserve">Implement mandatory gates and artifact validation</x:t>
  </x:si>
  <x:si>
    <x:t xml:space="preserve">Missing, malformed, and incomplete outputs fail before scoring</x:t>
  </x:si>
  <x:si>
    <x:t xml:space="preserve">Implement numeric, exact, set, and contains checks</x:t>
  </x:si>
  <x:si>
    <x:t xml:space="preserve">Supported checks produce evidence and failure codes</x:t>
  </x:si>
  <x:si>
    <x:t xml:space="preserve">Write immutable local run-result records</x:t>
  </x:si>
  <x:si>
    <x:t xml:space="preserve">Run result stores versions, score, pass/fail, and evidence</x:t>
  </x:si>
  <x:si>
    <x:t xml:space="preserve">3.5</x:t>
  </x:si>
  <x:si>
    <x:t xml:space="preserve">Add manual or direct-model baseline adapter</x:t>
  </x:si>
  <x:si>
    <x:t xml:space="preserve">Response/artifact can enter harness without an agent framework</x:t>
  </x:si>
  <x:si>
    <x:t xml:space="preserve">3.6</x:t>
  </x:si>
  <x:si>
    <x:t xml:space="preserve">Define calibration and human-review protocol</x:t>
  </x:si>
  <x:si>
    <x:t xml:space="preserve">Clear rule for deterministic checks, narrow rubrics, and escalation</x:t>
  </x:si>
  <x:si>
    <x:t xml:space="preserve">3.7</x:t>
  </x:si>
  <x:si>
    <x:t xml:space="preserve">Expand benchmark to 20 cases</x:t>
  </x:si>
  <x:si>
    <x:t xml:space="preserve">Balanced development and held-out set with versioned cases</x:t>
  </x:si>
  <x:si>
    <x:t xml:space="preserve">3.8</x:t>
  </x:si>
  <x:si>
    <x:t xml:space="preserve">Run baseline benchmark and write report</x:t>
  </x:si>
  <x:si>
    <x:t xml:space="preserve">Reproducible report with representative failures and limitations</x:t>
  </x:si>
  <x:si>
    <x:t xml:space="preserve">4 Multimodal Technical Document Evaluation</x:t>
  </x:si>
  <x:si>
    <x:t xml:space="preserve">Define supported document and artifact formats</x:t>
  </x:si>
  <x:si>
    <x:t xml:space="preserve">Format matrix, evaluator strategy, and explicit exclusions</x:t>
  </x:si>
  <x:si>
    <x:t xml:space="preserve">Build public and synthetic technical-document corpus</x:t>
  </x:si>
  <x:si>
    <x:t xml:space="preserve">Authorized PDFs, images, tables, and self-authored drawings</x:t>
  </x:si>
  <x:si>
    <x:t xml:space="preserve">Implement PDF, image, and table input adapters</x:t>
  </x:si>
  <x:si>
    <x:t xml:space="preserve">Local ingestion produces stable case inputs and metadata</x:t>
  </x:si>
  <x:si>
    <x:t xml:space="preserve">4.4</x:t>
  </x:si>
  <x:si>
    <x:t xml:space="preserve">Implement deterministic table and spreadsheet checks</x:t>
  </x:si>
  <x:si>
    <x:t xml:space="preserve">Cell, field, formula, and tolerance checks are reproducible</x:t>
  </x:si>
  <x:si>
    <x:t xml:space="preserve">4.5</x:t>
  </x:si>
  <x:si>
    <x:t xml:space="preserve">Implement file and artifact validation</x:t>
  </x:si>
  <x:si>
    <x:t xml:space="preserve">Expected files parse, contain required structure, and meet gates</x:t>
  </x:si>
  <x:si>
    <x:t xml:space="preserve">4.6</x:t>
  </x:si>
  <x:si>
    <x:t xml:space="preserve">Author 12 multimodal cases</x:t>
  </x:si>
  <x:si>
    <x:t xml:space="preserve">Cases cover hallucinated dimensions, units, revisions, tables, and missing constraints</x:t>
  </x:si>
  <x:si>
    <x:t xml:space="preserve">4.7</x:t>
  </x:si>
  <x:si>
    <x:t xml:space="preserve">Run multimodal regression suite and report</x:t>
  </x:si>
  <x:si>
    <x:t xml:space="preserve">Benchmark results are reproducible and failure evidence is preserved</x:t>
  </x:si>
  <x:si>
    <x:t xml:space="preserve">5 OpenClaw Bounded Agent Evaluation</x:t>
  </x:si>
  <x:si>
    <x:t xml:space="preserve">Study OpenClaw agent loop and runtime concepts</x:t>
  </x:si>
  <x:si>
    <x:t xml:space="preserve">Can explain tools, context, state, permissions, and traces</x:t>
  </x:si>
  <x:si>
    <x:t xml:space="preserve">Install and configure OpenClaw in an isolated sandbox</x:t>
  </x:si>
  <x:si>
    <x:t xml:space="preserve">No personal accounts, production credentials, or broad file access</x:t>
  </x:si>
  <x:si>
    <x:t xml:space="preserve">Define bounded synthetic agent workflows</x:t>
  </x:si>
  <x:si>
    <x:t xml:space="preserve">Five tasks with tools, deliverables, acceptance criteria, and approval boundaries</x:t>
  </x:si>
  <x:si>
    <x:t xml:space="preserve">5.4</x:t>
  </x:si>
  <x:si>
    <x:t xml:space="preserve">Implement least-privilege tools and environment controls</x:t>
  </x:si>
  <x:si>
    <x:t xml:space="preserve">Read/write boundaries and destructive-action restrictions tested</x:t>
  </x:si>
  <x:si>
    <x:t xml:space="preserve">5.5</x:t>
  </x:si>
  <x:si>
    <x:t xml:space="preserve">Implement trace collector</x:t>
  </x:si>
  <x:si>
    <x:t xml:space="preserve">Actions, tool calls, outputs, errors, corrections, and artifacts are captured</x:t>
  </x:si>
  <x:si>
    <x:t xml:space="preserve">5.6</x:t>
  </x:si>
  <x:si>
    <x:t xml:space="preserve">Separate outcome and process evaluators</x:t>
  </x:si>
  <x:si>
    <x:t xml:space="preserve">Final deliverable and trajectory quality receive distinct scores</x:t>
  </x:si>
  <x:si>
    <x:t xml:space="preserve">5.7</x:t>
  </x:si>
  <x:si>
    <x:t xml:space="preserve">Execute repeated bounded runs</x:t>
  </x:si>
  <x:si>
    <x:t xml:space="preserve">At least five workflows run repeatedly with failed runs retained</x:t>
  </x:si>
  <x:si>
    <x:t xml:space="preserve">5.8</x:t>
  </x:si>
  <x:si>
    <x:t xml:space="preserve">Analyze failures and corrections</x:t>
  </x:si>
  <x:si>
    <x:t xml:space="preserve">Trace-linked taxonomy and small correction dataset</x:t>
  </x:si>
  <x:si>
    <x:t xml:space="preserve">6.1</x:t>
  </x:si>
  <x:si>
    <x:t xml:space="preserve">6 Comparative Harness &amp; Observability</x:t>
  </x:si>
  <x:si>
    <x:t xml:space="preserve">Select comparator harness or direct baseline</x:t>
  </x:si>
  <x:si>
    <x:t xml:space="preserve">Selection memo based on portability, cost, and measurement value</x:t>
  </x:si>
  <x:si>
    <x:t xml:space="preserve">6.2</x:t>
  </x:si>
  <x:si>
    <x:t xml:space="preserve">Implement common task adapter</x:t>
  </x:si>
  <x:si>
    <x:t xml:space="preserve">Identical cases execute without changing task or evaluator definitions</x:t>
  </x:si>
  <x:si>
    <x:t xml:space="preserve">6.3</x:t>
  </x:si>
  <x:si>
    <x:t xml:space="preserve">Run controlled comparative experiments</x:t>
  </x:si>
  <x:si>
    <x:t xml:space="preserve">Repeated results from OpenClaw and comparator on identical tasks</x:t>
  </x:si>
  <x:si>
    <x:t xml:space="preserve">6.4</x:t>
  </x:si>
  <x:si>
    <x:t xml:space="preserve">Add cost, latency, and tool-use metrics</x:t>
  </x:si>
  <x:si>
    <x:t xml:space="preserve">Metrics linked to each run and trace</x:t>
  </x:si>
  <x:si>
    <x:t xml:space="preserve">6.5</x:t>
  </x:si>
  <x:si>
    <x:t xml:space="preserve">Write comparative benchmark report</x:t>
  </x:si>
  <x:si>
    <x:t xml:space="preserve">Outcome/process tradeoffs and limitations stated conservatively</x:t>
  </x:si>
  <x:si>
    <x:t xml:space="preserve">6.6</x:t>
  </x:si>
  <x:si>
    <x:t xml:space="preserve">Complete comparative-study gate review</x:t>
  </x:si>
  <x:si>
    <x:t xml:space="preserve">Evidence supports or rejects claimed differences</x:t>
  </x:si>
  <x:si>
    <x:t xml:space="preserve">7.1</x:t>
  </x:si>
  <x:si>
    <x:t xml:space="preserve">7 Hardening, Governance &amp; Portfolio Release</x:t>
  </x:si>
  <x:si>
    <x:t xml:space="preserve">Run held-out regression and seeded-bug tests</x:t>
  </x:si>
  <x:si>
    <x:t xml:space="preserve">No tuning on held-out cases; known defects are caught</x:t>
  </x:si>
  <x:si>
    <x:t xml:space="preserve">7.2</x:t>
  </x:si>
  <x:si>
    <x:t xml:space="preserve">Write security, data-handling, and governance pack</x:t>
  </x:si>
  <x:si>
    <x:t xml:space="preserve">Risk register, data policy, human-review points, and incident procedure</x:t>
  </x:si>
  <x:si>
    <x:t xml:space="preserve">7.3</x:t>
  </x:si>
  <x:si>
    <x:t xml:space="preserve">Create reproducible packaged setup</x:t>
  </x:si>
  <x:si>
    <x:t xml:space="preserve">Clean-machine setup succeeds from README; Docker optional but documented</x:t>
  </x:si>
  <x:si>
    <x:t xml:space="preserve">7.4</x:t>
  </x:si>
  <x:si>
    <x:t xml:space="preserve">Create architecture diagram and three case studies</x:t>
  </x:si>
  <x:si>
    <x:t xml:space="preserve">Portfolio explains task, agent, environment, trace, evaluator, and results</x:t>
  </x:si>
  <x:si>
    <x:t xml:space="preserve">7.5</x:t>
  </x:si>
  <x:si>
    <x:t xml:space="preserve">Run final cold-start demonstration</x:t>
  </x:si>
  <x:si>
    <x:t xml:space="preserve">New clone, tests, benchmark, and demo complete without hidden steps</x:t>
  </x:si>
  <x:si>
    <x:t xml:space="preserve">7.6</x:t>
  </x:si>
  <x:si>
    <x:t xml:space="preserve">Prepare job-facing README and walkthrough</x:t>
  </x:si>
  <x:si>
    <x:t xml:space="preserve">Ten-minute portfolio walkthrough tied to eval-engineering roles</x:t>
  </x:si>
  <x:si>
    <x:t xml:space="preserve">7.7</x:t>
  </x:si>
  <x:si>
    <x:t xml:space="preserve">Release v1.0 and record lessons learned</x:t>
  </x:si>
  <x:si>
    <x:t xml:space="preserve">Tagged release, final report, backlog, and post-project review</x:t>
  </x:si>
  <x:si>
    <x:t xml:space="preserve">Executive Gantt — 576 Planned Labour Hours</x:t>
  </x:si>
  <x:si>
    <x:t xml:space="preserve">Hours</x:t>
  </x:si>
  <x:si>
    <x:t xml:space="preserve">% Total</x:t>
  </x:si>
  <x:si>
    <x:t xml:space="preserve">Jul-26</x:t>
  </x:si>
  <x:si>
    <x:t xml:space="preserve">Aug-26</x:t>
  </x:si>
  <x:si>
    <x:t xml:space="preserve">Sep-26</x:t>
  </x:si>
  <x:si>
    <x:t xml:space="preserve">Oct-26</x:t>
  </x:si>
  <x:si>
    <x:t xml:space="preserve">Nov-26</x:t>
  </x:si>
  <x:si>
    <x:t xml:space="preserve">Dec-26</x:t>
  </x:si>
  <x:si>
    <x:t xml:space="preserve">Jan-27</x:t>
  </x:si>
  <x:si>
    <x:t xml:space="preserve">Feb-27</x:t>
  </x:si>
  <x:si>
    <x:t xml:space="preserve">Mar-27</x:t>
  </x:si>
  <x:si>
    <x:t xml:space="preserve">Apr-27</x:t>
  </x:si>
  <x:si>
    <x:t xml:space="preserve">May-27</x:t>
  </x:si>
  <x:si>
    <x:t xml:space="preserve">Jun-27</x:t>
  </x:si>
  <x:si>
    <x:t xml:space="preserve">Ongoing controls; baseline accepted at Gate 0</x:t>
  </x:si>
  <x:si>
    <x:t xml:space="preserve">Controlled scope, updated schedule, issue log, gate records</x:t>
  </x:si>
  <x:si>
    <x:t xml:space="preserve">Gate 1 — v0.1.0 case specification baseline</x:t>
  </x:si>
  <x:si>
    <x:t xml:space="preserve">8 reviewed synthetic cases, 3 workflow families, held-out split</x:t>
  </x:si>
  <x:si>
    <x:t xml:space="preserve">Gate 2 — v0.2 test and repository baseline</x:t>
  </x:si>
  <x:si>
    <x:t xml:space="preserve">20+ tests, CI, clean Git workflow, result/trace schema stubs</x:t>
  </x:si>
  <x:si>
    <x:t xml:space="preserve">Gate 3 — deterministic evaluation baseline</x:t>
  </x:si>
  <x:si>
    <x:t xml:space="preserve">Evaluator engine, local result records, 20-case benchmark report</x:t>
  </x:si>
  <x:si>
    <x:t xml:space="preserve">Gate 4 — multimodal benchmark ready</x:t>
  </x:si>
  <x:si>
    <x:t xml:space="preserve">PDF/image/table handling, artifact checks, 12 multimodal cases</x:t>
  </x:si>
  <x:si>
    <x:t xml:space="preserve">Gate 5 — bounded agent evaluation demonstrated</x:t>
  </x:si>
  <x:si>
    <x:t xml:space="preserve">Sandboxed OpenClaw runs, traces, process/outcome evaluators</x:t>
  </x:si>
  <x:si>
    <x:t xml:space="preserve">6</x:t>
  </x:si>
  <x:si>
    <x:t xml:space="preserve">Gate 6 — comparative study complete</x:t>
  </x:si>
  <x:si>
    <x:t xml:space="preserve">Identical-task comparison, cost/latency/tool-use metrics, report</x:t>
  </x:si>
  <x:si>
    <x:t xml:space="preserve">7</x:t>
  </x:si>
  <x:si>
    <x:t xml:space="preserve">Gate 7 — v1.0 portfolio release</x:t>
  </x:si>
  <x:si>
    <x:t xml:space="preserve">Held-out regression, reproducible setup, governance pack, case studies</x:t>
  </x:si>
  <x:si>
    <x:t xml:space="preserve">TOTAL BASELINE</x:t>
  </x:si>
  <x:si>
    <x:t xml:space="preserve">Work Block Log — Actual Work, Evidence, Decisions, and Next Action</x:t>
  </x:si>
  <x:si>
    <x:t xml:space="preserve">Enter one row per coherent work block. Actual hours are recorded only when explicitly known. Detailed Gantt and Weekly Control calculate actuals from this sheet.</x:t>
  </x:si>
  <x:si>
    <x:t xml:space="preserve">Block ID</x:t>
  </x:si>
  <x:si>
    <x:t xml:space="preserve">Date</x:t>
  </x:si>
  <x:si>
    <x:t xml:space="preserve">End</x:t>
  </x:si>
  <x:si>
    <x:t xml:space="preserve">Primary WBS</x:t>
  </x:si>
  <x:si>
    <x:t xml:space="preserve">MVP Week</x:t>
  </x:si>
  <x:si>
    <x:t xml:space="preserve">Objective</x:t>
  </x:si>
  <x:si>
    <x:t xml:space="preserve">Deliverable / Evidence</x:t>
  </x:si>
  <x:si>
    <x:t xml:space="preserve">Decisions / Blockers</x:t>
  </x:si>
  <x:si>
    <x:t xml:space="preserve">Git / Artifact</x:t>
  </x:si>
  <x:si>
    <x:t xml:space="preserve">WB-001</x:t>
  </x:si>
  <x:si>
    <x:t xml:space="preserve">Repository setup, toolchain verification, and initial commissioning.</x:t>
  </x:si>
  <x:si>
    <x:t xml:space="preserve">Python 3.14.2 virtual environment active; repository structure commissioned; baseline tests passed.</x:t>
  </x:si>
  <x:si>
    <x:t xml:space="preserve">Use a backend-first local CLI and synthetic/public data only.</x:t>
  </x:si>
  <x:si>
    <x:t xml:space="preserve">Establish Git/GitHub baseline and controlled workflow.</x:t>
  </x:si>
  <x:si>
    <x:t xml:space="preserve">Local repository baseline</x:t>
  </x:si>
  <x:si>
    <x:t xml:space="preserve">WB-002</x:t>
  </x:si>
  <x:si>
    <x:t xml:space="preserve">Git/GitHub baseline, first controlled regression change, and repository commissioning.</x:t>
  </x:si>
  <x:si>
    <x:t xml:space="preserve">PR #1 merged; unknown-case CLI regression added; 20 tests passed.</x:t>
  </x:si>
  <x:si>
    <x:t xml:space="preserve">Use branch/PR workflow, but avoid one branch per trivial test after practice objective is met.</x:t>
  </x:si>
  <x:si>
    <x:t xml:space="preserve">Implement targeted case loading.</x:t>
  </x:si>
  <x:si>
    <x:t xml:space="preserve">PR #1 / merge 29f4879</x:t>
  </x:si>
  <x:si>
    <x:t xml:space="preserve">WB-003</x:t>
  </x:si>
  <x:si>
    <x:t xml:space="preserve">1:51 PM</x:t>
  </x:si>
  <x:si>
    <x:t xml:space="preserve">2:28 PM</x:t>
  </x:si>
  <x:si>
    <x:t xml:space="preserve">Add targeted case loading by ID and decouple inspect from full-repository validation.</x:t>
  </x:si>
  <x:si>
    <x:t xml:space="preserve">PR #2 merged; load_case_by_id added; CLI inspect updated; 22 tests passed.</x:t>
  </x:si>
  <x:si>
    <x:t xml:space="preserve">Targeted inspect should ignore invalid unrelated cases.</x:t>
  </x:si>
  <x:si>
    <x:t xml:space="preserve">Prove case isolation with a regression test.</x:t>
  </x:si>
  <x:si>
    <x:t xml:space="preserve">PR #2 / merge 84ae42e</x:t>
  </x:si>
  <x:si>
    <x:t xml:space="preserve">WB-004</x:t>
  </x:si>
  <x:si>
    <x:t xml:space="preserve">4:00 PM</x:t>
  </x:si>
  <x:si>
    <x:t xml:space="preserve">Case-isolation and seeded-defect validator coverage.</x:t>
  </x:si>
  <x:si>
    <x:t xml:space="preserve">PR #3 case isolation, PR #4 evaluator weight sum, PR #5 missing input asset; 25 tests passed.</x:t>
  </x:si>
  <x:si>
    <x:t xml:space="preserve">Stop the one-test-per-branch pattern. Tests support the product; the next major capability is the evaluation engine. Duration reconstructed from the confirmed timeline.</x:t>
  </x:si>
  <x:si>
    <x:t xml:space="preserve">Complete architecture/control checkpoint, then start candidate artifact contract.</x:t>
  </x:si>
  <x:si>
    <x:t xml:space="preserve">PR #3 90ead34; PR #4 8399f1f; PR #5 0205c60</x:t>
  </x:si>
  <x:si>
    <x:t xml:space="preserve">WB-005</x:t>
  </x:si>
  <x:si>
    <x:t xml:space="preserve">5:20 PM</x:t>
  </x:si>
  <x:si>
    <x:t xml:space="preserve">Architecture checkpoint and aggressive MVP rebaseline.</x:t>
  </x:si>
  <x:si>
    <x:t xml:space="preserve">Updated architecture draft and 8-week MVP control workbook with logs, decisions, risks, evidence, and AI context.</x:t>
  </x:si>
  <x:si>
    <x:t xml:space="preserve">Gantt workbook becomes the controlling source of truth. Preserve long-term work as expansion backlog.</x:t>
  </x:si>
  <x:si>
    <x:t xml:space="preserve">Commit docs/architecture.md and this workbook; begin WBS 1.1.</x:t>
  </x:si>
  <x:si>
    <x:t xml:space="preserve">docs/architecture.md; gantt.xlsx</x:t>
  </x:si>
  <x:si>
    <x:t xml:space="preserve">WB-006</x:t>
  </x:si>
  <x:si>
    <x:t xml:space="preserve">5:24 PM</x:t>
  </x:si>
  <x:si>
    <x:t xml:space="preserve">Commit the architecture document and rebaselined Gantt workbook to main.</x:t>
  </x:si>
  <x:si>
    <x:t xml:space="preserve">Commit c71676d pushed to origin/main; working tree confirmed clean.</x:t>
  </x:si>
  <x:si>
    <x:t xml:space="preserve">Gate 0 is complete. Stop work for the day; begin WBS 1.1 in the next work block.</x:t>
  </x:si>
  <x:si>
    <x:t xml:space="preserve">Next work block: create feature/candidate-artifact-contract and define the MECH-002 candidate contract.</x:t>
  </x:si>
  <x:si>
    <x:t xml:space="preserve">c71676d — Rebaseline project for eight-week MVP</x:t>
  </x:si>
  <x:si>
    <x:t xml:space="preserve">Decision Register</x:t>
  </x:si>
  <x:si>
    <x:t xml:space="preserve">Decision ID</x:t>
  </x:si>
  <x:si>
    <x:t xml:space="preserve">Decision</x:t>
  </x:si>
  <x:si>
    <x:t xml:space="preserve">Rationale</x:t>
  </x:si>
  <x:si>
    <x:t xml:space="preserve">Affected WBS</x:t>
  </x:si>
  <x:si>
    <x:t xml:space="preserve">Evidence / Source</x:t>
  </x:si>
  <x:si>
    <x:t xml:space="preserve">Revisit Trigger</x:t>
  </x:si>
  <x:si>
    <x:t xml:space="preserve">D-001</x:t>
  </x:si>
  <x:si>
    <x:t xml:space="preserve">Build a backend-first, schema-first local CLI harness.</x:t>
  </x:si>
  <x:si>
    <x:t xml:space="preserve">Demonstrates evaluation-system ownership without frontend distraction.</x:t>
  </x:si>
  <x:si>
    <x:t xml:space="preserve">Active</x:t>
  </x:si>
  <x:si>
    <x:t xml:space="preserve">All</x:t>
  </x:si>
  <x:si>
    <x:t xml:space="preserve">Project scope and architecture</x:t>
  </x:si>
  <x:si>
    <x:t xml:space="preserve">Revisit only after MVP release.</x:t>
  </x:si>
  <x:si>
    <x:t xml:space="preserve">D-002</x:t>
  </x:si>
  <x:si>
    <x:t xml:space="preserve">Keep task, agent, environment, trace/artifacts, evaluator, and results separate.</x:t>
  </x:si>
  <x:si>
    <x:t xml:space="preserve">Enables reproducible comparisons and prevents benchmark/run-data entanglement.</x:t>
  </x:si>
  <x:si>
    <x:t xml:space="preserve">Revisit only for a concrete interface conflict.</x:t>
  </x:si>
  <x:si>
    <x:t xml:space="preserve">D-003</x:t>
  </x:si>
  <x:si>
    <x:t xml:space="preserve">Use the Gantt workbook as the controlling project-management artifact.</x:t>
  </x:si>
  <x:si>
    <x:t xml:space="preserve">Provides shared context across sessions and auditable progress control.</x:t>
  </x:si>
  <x:si>
    <x:t xml:space="preserve">Project instructions; gantt.xlsx</x:t>
  </x:si>
  <x:si>
    <x:t xml:space="preserve">Revisit if workbook maintenance exceeds its planning value.</x:t>
  </x:si>
  <x:si>
    <x:t xml:space="preserve">D-004</x:t>
  </x:si>
  <x:si>
    <x:t xml:space="preserve">Replace the 52-week controlling schedule with an 8-week, 76-hour MVP baseline.</x:t>
  </x:si>
  <x:si>
    <x:t xml:space="preserve">The prior learning-first sequence delayed useful product functionality.</x:t>
  </x:si>
  <x:si>
    <x:t xml:space="preserve">All MVP</x:t>
  </x:si>
  <x:si>
    <x:t xml:space="preserve">This workbook revision</x:t>
  </x:si>
  <x:si>
    <x:t xml:space="preserve">Rebaseline only through a recorded gate decision.</x:t>
  </x:si>
  <x:si>
    <x:t xml:space="preserve">D-005</x:t>
  </x:si>
  <x:si>
    <x:t xml:space="preserve">The one-test pattern created transcription work and weak product momentum.</x:t>
  </x:si>
  <x:si>
    <x:t xml:space="preserve">All development</x:t>
  </x:si>
  <x:si>
    <x:t xml:space="preserve">PR #3–#5 retrospective</x:t>
  </x:si>
  <x:si>
    <x:t xml:space="preserve">Revisit if a capability becomes too large to review safely.</x:t>
  </x:si>
  <x:si>
    <x:t xml:space="preserve">D-006</x:t>
  </x:si>
  <x:si>
    <x:t xml:space="preserve">Stop validator-only expansion after material coverage; build the evaluation engine next.</x:t>
  </x:si>
  <x:si>
    <x:t xml:space="preserve">Tests are evidence, not the product. The harness still cannot score candidates.</x:t>
  </x:si>
  <x:si>
    <x:t xml:space="preserve">0.3 → 1.1</x:t>
  </x:si>
  <x:si>
    <x:t xml:space="preserve">25 tests; architecture checkpoint</x:t>
  </x:si>
  <x:si>
    <x:t xml:space="preserve">Reopen validator work only when engine work exposes a real defect.</x:t>
  </x:si>
  <x:si>
    <x:t xml:space="preserve">D-007</x:t>
  </x:si>
  <x:si>
    <x:t xml:space="preserve">MVP uses JSON candidate artifacts and deterministic checks only.</x:t>
  </x:si>
  <x:si>
    <x:t xml:space="preserve">Constrains scope while proving the complete evaluation loop.</x:t>
  </x:si>
  <x:si>
    <x:t xml:space="preserve">1–5</x:t>
  </x:si>
  <x:si>
    <x:t xml:space="preserve">MVP definition</x:t>
  </x:si>
  <x:si>
    <x:t xml:space="preserve">Revisit after v0.1.0.</x:t>
  </x:si>
  <x:si>
    <x:t xml:space="preserve">D-008</x:t>
  </x:si>
  <x:si>
    <x:t xml:space="preserve">Defer OpenClaw, multimodal, APIs, databases, observability, and RL.</x:t>
  </x:si>
  <x:si>
    <x:t xml:space="preserve">These are expansion capabilities and should not block the first useful harness.</x:t>
  </x:si>
  <x:si>
    <x:t xml:space="preserve">Expansion</x:t>
  </x:si>
  <x:si>
    <x:t xml:space="preserve">Select next expansion only after Gate 6.</x:t>
  </x:si>
  <x:si>
    <x:t xml:space="preserve">D-009</x:t>
  </x:si>
  <x:si>
    <x:t xml:space="preserve">Adopt the Mechanical Engineering Workflow Assurance Platform as the strategic product direction; the current harness is its evaluation kernel.</x:t>
  </x:si>
  <x:si>
    <x:t xml:space="preserve">Drawing, document-package, calculation, QA/QC, cross-document, standards, redline, and agent workflows all depend on the same independent evaluation and evidence layer.</x:t>
  </x:si>
  <x:si>
    <x:t xml:space="preserve">All / Expansion</x:t>
  </x:si>
  <x:si>
    <x:t xml:space="preserve">Product Vision sheet; AI Context; project discussion</x:t>
  </x:si>
  <x:si>
    <x:t xml:space="preserve">Revisit after Gate 6 or if a concrete MVP interface conflict appears.</x:t>
  </x:si>
  <x:si>
    <x:t xml:space="preserve">D-010</x:t>
  </x:si>
  <x:si>
    <x:t xml:space="preserve">Keep candidate and result contracts runtime-agnostic and extensible without implementing deferred capabilities.</x:t>
  </x:si>
  <x:si>
    <x:t xml:space="preserve">A stable envelope lets human, direct-model, scripted, multimodal, and agent outputs use the same evaluator while preventing current scope creep.</x:t>
  </x:si>
  <x:si>
    <x:t xml:space="preserve">1.1; 2.2; Expansion</x:t>
  </x:si>
  <x:si>
    <x:t xml:space="preserve">Product Vision; updated WBS acceptance criteria</x:t>
  </x:si>
  <x:si>
    <x:t xml:space="preserve">Revisit only when implementation evidence shows the envelope is too broad or too narrow.</x:t>
  </x:si>
  <x:si>
    <x:t xml:space="preserve">Risk and Issue Register</x:t>
  </x:si>
  <x:si>
    <x:t xml:space="preserve">Description</x:t>
  </x:si>
  <x:si>
    <x:t xml:space="preserve">Probability</x:t>
  </x:si>
  <x:si>
    <x:t xml:space="preserve">Impact</x:t>
  </x:si>
  <x:si>
    <x:t xml:space="preserve">Owner</x:t>
  </x:si>
  <x:si>
    <x:t xml:space="preserve">Mitigation / Action</x:t>
  </x:si>
  <x:si>
    <x:t xml:space="preserve">Review Date</x:t>
  </x:si>
  <x:si>
    <x:t xml:space="preserve">R-001</x:t>
  </x:si>
  <x:si>
    <x:t xml:space="preserve">Risk</x:t>
  </x:si>
  <x:si>
    <x:t xml:space="preserve">Planning and documentation replace implementation.</x:t>
  </x:si>
  <x:si>
    <x:t xml:space="preserve">High</x:t>
  </x:si>
  <x:si>
    <x:t xml:space="preserve">Jason</x:t>
  </x:si>
  <x:si>
    <x:t xml:space="preserve">Require every work block to advance a WBS deliverable; no new planning artifact without a direct control need.</x:t>
  </x:si>
  <x:si>
    <x:t xml:space="preserve">Open</x:t>
  </x:si>
  <x:si>
    <x:t xml:space="preserve">Primary process risk identified during July 4 checkpoint.</x:t>
  </x:si>
  <x:si>
    <x:t xml:space="preserve">R-002</x:t>
  </x:si>
  <x:si>
    <x:t xml:space="preserve">Overbuilding tests and software-learning exercises delays MVP.</x:t>
  </x:si>
  <x:si>
    <x:t xml:space="preserve">Stop one-test branches; add only capability-level tests and reuse fixtures when it reduces real duplication.</x:t>
  </x:si>
  <x:si>
    <x:t xml:space="preserve">Mitigating</x:t>
  </x:si>
  <x:si>
    <x:t xml:space="preserve">25 tests already provide a useful validator baseline.</x:t>
  </x:si>
  <x:si>
    <x:t xml:space="preserve">R-003</x:t>
  </x:si>
  <x:si>
    <x:t xml:space="preserve">Engineering references or tolerances are wrong despite valid schemas.</x:t>
  </x:si>
  <x:si>
    <x:t xml:space="preserve">Medium</x:t>
  </x:si>
  <x:si>
    <x:t xml:space="preserve">Independently verify seed cases and use a human-review checklist before benchmark admission.</x:t>
  </x:si>
  <x:si>
    <x:t xml:space="preserve">R-004</x:t>
  </x:si>
  <x:si>
    <x:t xml:space="preserve">Scope expands into drawings, standards/GD&amp;T, agent runtimes, multimodal parsing, APIs, observability, or RL before the core evaluator exists.</x:t>
  </x:si>
  <x:si>
    <x:t xml:space="preserve">Record the platform vision in Product Vision and Expansion Backlog, preserve only necessary interface extension points, and pull implementation forward only through a recorded gate decision.</x:t>
  </x:si>
  <x:si>
    <x:t xml:space="preserve">The strategic direction is retained, but all non-MVP capabilities remain deferred.</x:t>
  </x:si>
  <x:si>
    <x:t xml:space="preserve">R-005</x:t>
  </x:si>
  <x:si>
    <x:t xml:space="preserve">AI-generated code is accepted without understanding interfaces or failure modes.</x:t>
  </x:si>
  <x:si>
    <x:t xml:space="preserve">Use short architecture briefings, review inputs/outputs, inspect evidence, and require acceptance tests.</x:t>
  </x:si>
  <x:si>
    <x:t xml:space="preserve">Delegate syntax, retain architectural ownership.</x:t>
  </x:si>
  <x:si>
    <x:t xml:space="preserve">R-006</x:t>
  </x:si>
  <x:si>
    <x:t xml:space="preserve">Confidential Outlier or employer information enters the public portfolio.</x:t>
  </x:si>
  <x:si>
    <x:t xml:space="preserve">Low</x:t>
  </x:si>
  <x:si>
    <x:t xml:space="preserve">Use only synthetic, public, self-authored, or authorized content; review artifacts before commit.</x:t>
  </x:si>
  <x:si>
    <x:t xml:space="preserve">Non-negotiable data boundary.</x:t>
  </x:si>
  <x:si>
    <x:t xml:space="preserve">I-001</x:t>
  </x:si>
  <x:si>
    <x:t xml:space="preserve">Issue</x:t>
  </x:si>
  <x:si>
    <x:t xml:space="preserve">Actual duration for July 4 PR #3–#5 work was not recorded.</x:t>
  </x:si>
  <x:si>
    <x:t xml:space="preserve">N/A</x:t>
  </x:si>
  <x:si>
    <x:t xml:space="preserve">Actuals entered in Work Block Log; formula-driven summaries recalculated.</x:t>
  </x:si>
  <x:si>
    <x:t xml:space="preserve">Closed</x:t>
  </x:si>
  <x:si>
    <x:t xml:space="preserve">Resolved from the confirmed July 4 timeline: WB-004 = 1.53 h and WB-005 = 1.33 h.</x:t>
  </x:si>
  <x:si>
    <x:t xml:space="preserve">I-002</x:t>
  </x:si>
  <x:si>
    <x:t xml:space="preserve">Architecture document update is prepared but not yet confirmed committed.</x:t>
  </x:si>
  <x:si>
    <x:t xml:space="preserve">Commit docs/architecture.md with the rebaselined workbook.</x:t>
  </x:si>
  <x:si>
    <x:t xml:space="preserve">Resolved by commit c71676d on 2026-07-04.</x:t>
  </x:si>
  <x:si>
    <x:t xml:space="preserve">Artifact and Evidence Register</x:t>
  </x:si>
  <x:si>
    <x:t xml:space="preserve">Evidence ID</x:t>
  </x:si>
  <x:si>
    <x:t xml:space="preserve">Location / Commit</x:t>
  </x:si>
  <x:si>
    <x:t xml:space="preserve">Acceptance Supported</x:t>
  </x:si>
  <x:si>
    <x:t xml:space="preserve">EV-001</x:t>
  </x:si>
  <x:si>
    <x:t xml:space="preserve">Python 3.14.2 virtual environment and repository commissioning verified.</x:t>
  </x:si>
  <x:si>
    <x:t xml:space="preserve">Environment</x:t>
  </x:si>
  <x:si>
    <x:t xml:space="preserve">Local repository</x:t>
  </x:si>
  <x:si>
    <x:t xml:space="preserve">Environment baseline</x:t>
  </x:si>
  <x:si>
    <x:t xml:space="preserve">Accepted</x:t>
  </x:si>
  <x:si>
    <x:t xml:space="preserve">Starter repository operational.</x:t>
  </x:si>
  <x:si>
    <x:t xml:space="preserve">EV-002</x:t>
  </x:si>
  <x:si>
    <x:t xml:space="preserve">First controlled feature/PR cycle and unknown-case regression.</x:t>
  </x:si>
  <x:si>
    <x:t xml:space="preserve">Git / Test</x:t>
  </x:si>
  <x:si>
    <x:t xml:space="preserve">PR #1; merge 29f4879</x:t>
  </x:si>
  <x:si>
    <x:t xml:space="preserve">Git baseline; controlled errors</x:t>
  </x:si>
  <x:si>
    <x:t xml:space="preserve">20 tests passed.</x:t>
  </x:si>
  <x:si>
    <x:t xml:space="preserve">EV-003</x:t>
  </x:si>
  <x:si>
    <x:t xml:space="preserve">Targeted load_case_by_id and CLI inspect decoupling.</x:t>
  </x:si>
  <x:si>
    <x:t xml:space="preserve">Code / Test</x:t>
  </x:si>
  <x:si>
    <x:t xml:space="preserve">PR #2; merge 84ae42e</x:t>
  </x:si>
  <x:si>
    <x:t xml:space="preserve">Targeted case loading</x:t>
  </x:si>
  <x:si>
    <x:t xml:space="preserve">22 tests passed.</x:t>
  </x:si>
  <x:si>
    <x:t xml:space="preserve">EV-004</x:t>
  </x:si>
  <x:si>
    <x:t xml:space="preserve">Inspect case isolation regression.</x:t>
  </x:si>
  <x:si>
    <x:t xml:space="preserve">Test</x:t>
  </x:si>
  <x:si>
    <x:t xml:space="preserve">PR #3; merge 90ead34</x:t>
  </x:si>
  <x:si>
    <x:t xml:space="preserve">Unrelated invalid case does not block inspect</x:t>
  </x:si>
  <x:si>
    <x:t xml:space="preserve">23 tests passed.</x:t>
  </x:si>
  <x:si>
    <x:t xml:space="preserve">EV-005</x:t>
  </x:si>
  <x:si>
    <x:t xml:space="preserve">Evaluator weight-sum seeded-defect test.</x:t>
  </x:si>
  <x:si>
    <x:t xml:space="preserve">PR #4; merge 8399f1f</x:t>
  </x:si>
  <x:si>
    <x:t xml:space="preserve">Invalid scoring configuration rejected</x:t>
  </x:si>
  <x:si>
    <x:t xml:space="preserve">24 tests passed.</x:t>
  </x:si>
  <x:si>
    <x:t xml:space="preserve">EV-006</x:t>
  </x:si>
  <x:si>
    <x:t xml:space="preserve">Missing input-asset seeded-defect test.</x:t>
  </x:si>
  <x:si>
    <x:t xml:space="preserve">PR #5; merge 0205c60</x:t>
  </x:si>
  <x:si>
    <x:t xml:space="preserve">Missing declared assets rejected</x:t>
  </x:si>
  <x:si>
    <x:t xml:space="preserve">25 tests passed.</x:t>
  </x:si>
  <x:si>
    <x:t xml:space="preserve">EV-007</x:t>
  </x:si>
  <x:si>
    <x:t xml:space="preserve">Architecture checkpoint draft defines current layers, implemented state, and next milestone.</x:t>
  </x:si>
  <x:si>
    <x:t xml:space="preserve">Documentation</x:t>
  </x:si>
  <x:si>
    <x:t xml:space="preserve">Architecture understanding</x:t>
  </x:si>
  <x:si>
    <x:t xml:space="preserve">Committed in c71676d.</x:t>
  </x:si>
  <x:si>
    <x:t xml:space="preserve">EV-008</x:t>
  </x:si>
  <x:si>
    <x:t xml:space="preserve">Aggressive 8-week MVP rebaseline and control registers.</x:t>
  </x:si>
  <x:si>
    <x:t xml:space="preserve">gantt.xlsx</x:t>
  </x:si>
  <x:si>
    <x:t xml:space="preserve">Control baseline</x:t>
  </x:si>
  <x:si>
    <x:t xml:space="preserve">Committed in c71676d and adopted as the controlling project workbook.</x:t>
  </x:si>
  <x:si>
    <x:t xml:space="preserve">EV-009</x:t>
  </x:si>
  <x:si>
    <x:t xml:space="preserve">Architecture and MVP control baseline committed and pushed with a clean main branch.</x:t>
  </x:si>
  <x:si>
    <x:t xml:space="preserve">Git / Project control</x:t>
  </x:si>
  <x:si>
    <x:t xml:space="preserve">c71676d</x:t>
  </x:si>
  <x:si>
    <x:t xml:space="preserve">Repository main and origin/main synchronized.</x:t>
  </x:si>
  <x:si>
    <x:t xml:space="preserve">EV-010</x:t>
  </x:si>
  <x:si>
    <x:t xml:space="preserve">0.2 / All</x:t>
  </x:si>
  <x:si>
    <x:t xml:space="preserve">Strategic product vision, architecture invariants, future capability ladder, commercial workflow hypothesis, and MVP guardrails recorded in the controlling workbook.</x:t>
  </x:si>
  <x:si>
    <x:t xml:space="preserve">Project control / Architecture</x:t>
  </x:si>
  <x:si>
    <x:t xml:space="preserve">gantt_updated_2026-07-05.xlsx — Product Vision, AI Context, Decision Register</x:t>
  </x:si>
  <x:si>
    <x:t xml:space="preserve">Long-term direction retained without changing MVP baseline</x:t>
  </x:si>
  <x:si>
    <x:t xml:space="preserve">No actual work hours added because duration was not explicitly provided.</x:t>
  </x:si>
  <x:si>
    <x:t xml:space="preserve">Theme</x:t>
  </x:si>
  <x:si>
    <x:t xml:space="preserve">Deferred Capability</x:t>
  </x:si>
  <x:si>
    <x:t xml:space="preserve">Why Deferred</x:t>
  </x:si>
  <x:si>
    <x:t xml:space="preserve">Entry Criteria</x:t>
  </x:si>
  <x:si>
    <x:t xml:space="preserve">Priority</x:t>
  </x:si>
  <x:si>
    <x:t xml:space="preserve">Rough Hours</x:t>
  </x:si>
  <x:si>
    <x:t xml:space="preserve">Source Phase</x:t>
  </x:si>
  <x:si>
    <x:t xml:space="preserve">X-01</x:t>
  </x:si>
  <x:si>
    <x:t xml:space="preserve">Benchmark scale</x:t>
  </x:si>
  <x:si>
    <x:t xml:space="preserve">Expand from 5 to 20+ cases</x:t>
  </x:si>
  <x:si>
    <x:t xml:space="preserve">MVP needs proof of flow before breadth.</x:t>
  </x:si>
  <x:si>
    <x:t xml:space="preserve">MVP benchmark stable and case authoring template proven.</x:t>
  </x:si>
  <x:si>
    <x:t xml:space="preserve">Next</x:t>
  </x:si>
  <x:si>
    <x:t xml:space="preserve">30</x:t>
  </x:si>
  <x:si>
    <x:t xml:space="preserve">Case Foundation / Evaluation Engine</x:t>
  </x:si>
  <x:si>
    <x:t xml:space="preserve">X-02</x:t>
  </x:si>
  <x:si>
    <x:t xml:space="preserve">Multimodal</x:t>
  </x:si>
  <x:si>
    <x:t xml:space="preserve">Drawing/document assurance: PDFs, vector drawings, tables, images, and later native CAD metadata; structured findings and redline verification</x:t>
  </x:si>
  <x:si>
    <x:t xml:space="preserve">Adds parsing, vision, symbol/entity extraction, heterogeneous artifacts, and location-aware evidence.</x:t>
  </x:si>
  <x:si>
    <x:t xml:space="preserve">JSON evaluator stable; one high-value drawing/document workflow selected; deterministic ground truth available.</x:t>
  </x:si>
  <x:si>
    <x:t xml:space="preserve">50</x:t>
  </x:si>
  <x:si>
    <x:t xml:space="preserve">X-03</x:t>
  </x:si>
  <x:si>
    <x:t xml:space="preserve">Agent runtime</x:t>
  </x:si>
  <x:si>
    <x:t xml:space="preserve">Bounded engineering-review agent runtime, trace capture, proposed redlines/corrections, re-evaluation, and human approval routing</x:t>
  </x:si>
  <x:si>
    <x:t xml:space="preserve">Agent execution is not required to prove evaluator correctness and adds permissions, tools, state, and safety controls.</x:t>
  </x:si>
  <x:si>
    <x:t xml:space="preserve">MVP released; sandbox, least-privilege plan, trace schema, and artifact evaluator approved.</x:t>
  </x:si>
  <x:si>
    <x:t xml:space="preserve">45</x:t>
  </x:si>
  <x:si>
    <x:t xml:space="preserve">OpenClaw</x:t>
  </x:si>
  <x:si>
    <x:t xml:space="preserve">X-04</x:t>
  </x:si>
  <x:si>
    <x:t xml:space="preserve">Process evaluation</x:t>
  </x:si>
  <x:si>
    <x:t xml:space="preserve">Trajectory schema and process-quality scoring for retrieval, file/tool use, revision selection, verification, correction, and efficiency</x:t>
  </x:si>
  <x:si>
    <x:t xml:space="preserve">Requires real agent traces and calibrated process criteria separate from final artifact quality.</x:t>
  </x:si>
  <x:si>
    <x:t xml:space="preserve">At least 10 preserved agent runs exist across representative success and failure modes.</x:t>
  </x:si>
  <x:si>
    <x:t xml:space="preserve">OpenClaw / RL</x:t>
  </x:si>
  <x:si>
    <x:t xml:space="preserve">Deferred</x:t>
  </x:si>
  <x:si>
    <x:t xml:space="preserve">X-05</x:t>
  </x:si>
  <x:si>
    <x:t xml:space="preserve">Comparative study</x:t>
  </x:si>
  <x:si>
    <x:t xml:space="preserve">Compare OpenClaw, direct model, and another harness</x:t>
  </x:si>
  <x:si>
    <x:t xml:space="preserve">Meaningful only after identical-task evaluator is stable.</x:t>
  </x:si>
  <x:si>
    <x:t xml:space="preserve">Two runtimes integrated on same cases.</x:t>
  </x:si>
  <x:si>
    <x:t xml:space="preserve">Comparative Harness</x:t>
  </x:si>
  <x:si>
    <x:t xml:space="preserve">X-06</x:t>
  </x:si>
  <x:si>
    <x:t xml:space="preserve">Observability</x:t>
  </x:si>
  <x:si>
    <x:t xml:space="preserve">Latency, cost, token, trace, and session dashboards</x:t>
  </x:si>
  <x:si>
    <x:t xml:space="preserve">Useful after repeatable runs exist.</x:t>
  </x:si>
  <x:si>
    <x:t xml:space="preserve">Result and trace schemas stable; multiple runs available.</x:t>
  </x:si>
  <x:si>
    <x:t xml:space="preserve">25</x:t>
  </x:si>
  <x:si>
    <x:t xml:space="preserve">X-07</x:t>
  </x:si>
  <x:si>
    <x:t xml:space="preserve">API and storage</x:t>
  </x:si>
  <x:si>
    <x:t xml:space="preserve">FastAPI plus SQLite/PostgreSQL result service</x:t>
  </x:si>
  <x:si>
    <x:t xml:space="preserve">CLI and files are sufficient for MVP.</x:t>
  </x:si>
  <x:si>
    <x:t xml:space="preserve">Local result contract stable and external consumer identified.</x:t>
  </x:si>
  <x:si>
    <x:t xml:space="preserve">35</x:t>
  </x:si>
  <x:si>
    <x:t xml:space="preserve">Deployment</x:t>
  </x:si>
  <x:si>
    <x:t xml:space="preserve">X-08</x:t>
  </x:si>
  <x:si>
    <x:t xml:space="preserve">RAG</x:t>
  </x:si>
  <x:si>
    <x:t xml:space="preserve">Public engineering corpus and grounding evaluation</x:t>
  </x:si>
  <x:si>
    <x:t xml:space="preserve">Separate workflow and data problem.</x:t>
  </x:si>
  <x:si>
    <x:t xml:space="preserve">Core evaluator stable; corpus and retrieval success criteria defined.</x:t>
  </x:si>
  <x:si>
    <x:t xml:space="preserve">X-09</x:t>
  </x:si>
  <x:si>
    <x:t xml:space="preserve">Docker and hosted demo</x:t>
  </x:si>
  <x:si>
    <x:t xml:space="preserve">Local reproducibility is enough for first portfolio release.</x:t>
  </x:si>
  <x:si>
    <x:t xml:space="preserve">MVP stable; hosted access has clear job-market value.</x:t>
  </x:si>
  <x:si>
    <x:t xml:space="preserve">X-10</x:t>
  </x:si>
  <x:si>
    <x:t xml:space="preserve">Governance</x:t>
  </x:si>
  <x:si>
    <x:t xml:space="preserve">System card, risk register, data policy, incident playbook</x:t>
  </x:si>
  <x:si>
    <x:t xml:space="preserve">Full governance pack is excessive before a working system.</x:t>
  </x:si>
  <x:si>
    <x:t xml:space="preserve">MVP behaviour and risks are evidenced.</x:t>
  </x:si>
  <x:si>
    <x:t xml:space="preserve">20</x:t>
  </x:si>
  <x:si>
    <x:t xml:space="preserve">X-11</x:t>
  </x:si>
  <x:si>
    <x:t xml:space="preserve">Adaptation</x:t>
  </x:si>
  <x:si>
    <x:t xml:space="preserve">Offline process-reward dataset and calibration</x:t>
  </x:si>
  <x:si>
    <x:t xml:space="preserve">Requires traces, labels, and evaluator stability.</x:t>
  </x:si>
  <x:si>
    <x:t xml:space="preserve">Process evaluation dataset exists.</x:t>
  </x:si>
  <x:si>
    <x:t xml:space="preserve">40</x:t>
  </x:si>
  <x:si>
    <x:t xml:space="preserve">OpenClaw-RL / RLAnything</x:t>
  </x:si>
  <x:si>
    <x:t xml:space="preserve">X-12</x:t>
  </x:si>
  <x:si>
    <x:t xml:space="preserve">RL research</x:t>
  </x:si>
  <x:si>
    <x:t xml:space="preserve">LoRA or selected agentic-RL experiments</x:t>
  </x:si>
  <x:si>
    <x:t xml:space="preserve">High compute and dependency burden; weak early portfolio ROI.</x:t>
  </x:si>
  <x:si>
    <x:t xml:space="preserve">Python/PyTorch/statistics competence and calibrated reward system exist.</x:t>
  </x:si>
  <x:si>
    <x:t xml:space="preserve">80+</x:t>
  </x:si>
  <x:si>
    <x:t xml:space="preserve">X-13</x:t>
  </x:si>
  <x:si>
    <x:t xml:space="preserve">Cross-document assurance</x:t>
  </x:si>
  <x:si>
    <x:t xml:space="preserve">Drawing↔BOM↔data sheet↔specification↔revision-register consistency checks</x:t>
  </x:si>
  <x:si>
    <x:t xml:space="preserve">Requires controlled identifiers, source mappings, and multiple artifact adapters.</x:t>
  </x:si>
  <x:si>
    <x:t xml:space="preserve">Workflow Assurance</x:t>
  </x:si>
  <x:si>
    <x:t xml:space="preserve">X-14</x:t>
  </x:si>
  <x:si>
    <x:t xml:space="preserve">Standards / GD&amp;T</x:t>
  </x:si>
  <x:si>
    <x:t xml:space="preserve">ISO/company drafting-rule checks and bounded GD&amp;T proposal, syntax, consistency, manufacturability, and inspection assurance</x:t>
  </x:si>
  <x:si>
    <x:t xml:space="preserve">Functional design intent, licensed standards access, and human engineering review are required.</x:t>
  </x:si>
  <x:si>
    <x:t xml:space="preserve">Multimodal drawing extraction is reliable; controlled standards corpus and calibrated cases exist.</x:t>
  </x:si>
  <x:si>
    <x:t xml:space="preserve">60</x:t>
  </x:si>
  <x:si>
    <x:t xml:space="preserve">Drawing Assurance</x:t>
  </x:si>
  <x:si>
    <x:t xml:space="preserve">X-15</x:t>
  </x:si>
  <x:si>
    <x:t xml:space="preserve">Commercial workflow</x:t>
  </x:si>
  <x:si>
    <x:t xml:space="preserve">Pre-release engineered-to-order package assurance across drawings, BOMs, calculations, specifications, vendor data, and revision history</x:t>
  </x:si>
  <x:si>
    <x:t xml:space="preserve">High integration and liability burden; should follow narrower validated pilots.</x:t>
  </x:si>
  <x:si>
    <x:t xml:space="preserve">At least two narrower workflows show repeatable customer value, controlled false-negative risk, and human release gates.</x:t>
  </x:si>
  <x:si>
    <x:t xml:space="preserve">Platform Integration</x:t>
  </x:si>
  <x:si>
    <x:t xml:space="preserve">Key Metrics</x:t>
  </x:si>
  <x:si>
    <x:t xml:space="preserve">Current Focus</x:t>
  </x:si>
  <x:si>
    <x:t xml:space="preserve">Active WBS</x:t>
  </x:si>
  <x:si>
    <x:t xml:space="preserve">Next Build WBS</x:t>
  </x:si>
  <x:si>
    <x:t xml:space="preserve">Known Logged Hours</x:t>
  </x:si>
  <x:si>
    <x:t xml:space="preserve">Current product state</x:t>
  </x:si>
  <x:si>
    <x:t xml:space="preserve">Weighted Progress</x:t>
  </x:si>
  <x:si>
    <x:t xml:space="preserve">Immediate next action</x:t>
  </x:si>
  <x:si>
    <x:t xml:space="preserve">Tests Passing</x:t>
  </x:si>
  <x:si>
    <x:t xml:space="preserve">Primary risk</x:t>
  </x:si>
  <x:si>
    <x:t xml:space="preserve">Merged PRs</x:t>
  </x:si>
  <x:si>
    <x:t xml:space="preserve">Data boundary</x:t>
  </x:si>
  <x:si>
    <x:t xml:space="preserve">Phase Progress</x:t>
  </x:si>
  <x:si>
    <x:t xml:space="preserve">Next Three Deliverables</x:t>
  </x:si>
  <x:si>
    <x:t xml:space="preserve">Deliverable</x:t>
  </x:si>
  <x:si>
    <x:t xml:space="preserve">Definition of Done</x:t>
  </x:si>
  <x:si>
    <x:t xml:space="preserve">Branch</x:t>
  </x:si>
  <x:si>
    <x:t xml:space="preserve">North Star</x:t>
  </x:si>
  <x:si>
    <x:t xml:space="preserve">Strategic product</x:t>
  </x:si>
  <x:si>
    <x:t xml:space="preserve">Mechanical Engineering Workflow Assurance Platform</x:t>
  </x:si>
  <x:si>
    <x:t xml:space="preserve">Current product</x:t>
  </x:si>
  <x:si>
    <x:t xml:space="preserve">Purpose</x:t>
  </x:si>
  <x:si>
    <x:t xml:space="preserve">Evaluate and assist mechanical engineering document, drawing, calculation, QA/QC, turnover, and agent workflows with traceable evidence.</x:t>
  </x:si>
  <x:si>
    <x:t xml:space="preserve">Primary value</x:t>
  </x:si>
  <x:si>
    <x:t xml:space="preserve">Human boundary</x:t>
  </x:si>
  <x:si>
    <x:t xml:space="preserve">Outputs are flags, evidence, drafts, proposals, and review packages. Qualified humans retain approval, authentication, engineering sign-off, and final safety-critical decisions.</x:t>
  </x:si>
  <x:si>
    <x:t xml:space="preserve">Capability Ladder</x:t>
  </x:si>
  <x:si>
    <x:t xml:space="preserve">Level</x:t>
  </x:si>
  <x:si>
    <x:t xml:space="preserve">Stage</x:t>
  </x:si>
  <x:si>
    <x:t xml:space="preserve">Capability</x:t>
  </x:si>
  <x:si>
    <x:t xml:space="preserve">Example Deliverable</x:t>
  </x:si>
  <x:si>
    <x:t xml:space="preserve">Economic Value</x:t>
  </x:si>
  <x:si>
    <x:t xml:space="preserve">Scope Rule</x:t>
  </x:si>
  <x:si>
    <x:t xml:space="preserve">MVP</x:t>
  </x:si>
  <x:si>
    <x:t xml:space="preserve">Structured deterministic evaluation kernel</x:t>
  </x:si>
  <x:si>
    <x:t xml:space="preserve">CLI score, pass/fail, gates, checks, evidence, immutable result JSON</x:t>
  </x:si>
  <x:si>
    <x:t xml:space="preserve">Proves repeatable assurance logic and creates the foundation for every later workflow</x:t>
  </x:si>
  <x:si>
    <x:t xml:space="preserve">Current WBS 1.1–5.3</x:t>
  </x:si>
  <x:si>
    <x:t xml:space="preserve">Post-MVP</x:t>
  </x:si>
  <x:si>
    <x:t xml:space="preserve">Structured multi-document and package assurance</x:t>
  </x:si>
  <x:si>
    <x:t xml:space="preserve">Turnover/package completeness report; revision and field consistency checks</x:t>
  </x:si>
  <x:si>
    <x:t xml:space="preserve">Cuts coordinator review time and rejection loops</x:t>
  </x:si>
  <x:si>
    <x:t xml:space="preserve">MVP released; one high-value workflow selected</x:t>
  </x:si>
  <x:si>
    <x:t xml:space="preserve">Multimodal drawing/document assurance</x:t>
  </x:si>
  <x:si>
    <x:t xml:space="preserve">PDF/drawing/table/image findings with page, region, entity, expected, and actual evidence</x:t>
  </x:si>
  <x:si>
    <x:t xml:space="preserve">Finds missing dimensions, revision conflicts, annotation defects, and unsupported claims</x:t>
  </x:si>
  <x:si>
    <x:t xml:space="preserve">Stable evaluator; controlled parser/vision benchmark</x:t>
  </x:si>
  <x:si>
    <x:t xml:space="preserve">Cross-document consistency</x:t>
  </x:si>
  <x:si>
    <x:t xml:space="preserve">Drawing↔BOM↔data sheet↔specification↔revision-register discrepancy report</x:t>
  </x:si>
  <x:si>
    <x:t xml:space="preserve">Prevents procurement, fabrication, and field rework caused by inconsistent release packages</x:t>
  </x:si>
  <x:si>
    <x:t xml:space="preserve">Common identifiers and source mappings defined</x:t>
  </x:si>
  <x:si>
    <x:t xml:space="preserve">Bounded agent-assisted review and redlining</x:t>
  </x:si>
  <x:si>
    <x:t xml:space="preserve">Agent trace, issue register, proposed redline, corrected candidate, and re-evaluation record</x:t>
  </x:si>
  <x:si>
    <x:t xml:space="preserve">Automates repetitive review actions while preserving independent assurance</x:t>
  </x:si>
  <x:si>
    <x:t xml:space="preserve">Sandbox, least privilege, trace schema, stable artifact evaluator</x:t>
  </x:si>
  <x:si>
    <x:t xml:space="preserve">Standards and GD&amp;T assistance</x:t>
  </x:si>
  <x:si>
    <x:t xml:space="preserve">ISO/company-rule findings; candidate datum scheme and feature-control proposals for review</x:t>
  </x:si>
  <x:si>
    <x:t xml:space="preserve">Reduces drafting/checking effort and detects ambiguous, conflicting, or costly tolerancing</x:t>
  </x:si>
  <x:si>
    <x:t xml:space="preserve">Controlled standards corpus, functional inputs, calibrated review cases</x:t>
  </x:si>
  <x:si>
    <x:t xml:space="preserve">Commercial target</x:t>
  </x:si>
  <x:si>
    <x:t xml:space="preserve">Pre-release engineered-to-order package assurance</x:t>
  </x:si>
  <x:si>
    <x:t xml:space="preserve">Integrated hold/release review package across drawings, BOMs, calculations, vendor data, and specifications</x:t>
  </x:si>
  <x:si>
    <x:t xml:space="preserve">Avoiding one major wrong-material, revision, dimensional, or interface release can exceed months of development cost</x:t>
  </x:si>
  <x:si>
    <x:t xml:space="preserve">Repeated customer evidence and validated false-negative controls</x:t>
  </x:si>
  <x:si>
    <x:t xml:space="preserve">Architecture Invariants</x:t>
  </x:si>
  <x:si>
    <x:t xml:space="preserve">Task separation</x:t>
  </x:si>
  <x:si>
    <x:t xml:space="preserve">Instructions, inputs, deliverable, constraints, and evaluation intent remain independent of the producing system.</x:t>
  </x:si>
  <x:si>
    <x:t xml:space="preserve">Replaceable agent</x:t>
  </x:si>
  <x:si>
    <x:t xml:space="preserve">OpenClaw, another harness, a direct model, a scripted workflow, or a human may produce the same candidate contract.</x:t>
  </x:si>
  <x:si>
    <x:t xml:space="preserve">Controlled environment</x:t>
  </x:si>
  <x:si>
    <x:t xml:space="preserve">Files, tools, permissions, shell/GUI state, and destructive/external actions are explicitly bounded and logged.</x:t>
  </x:si>
  <x:si>
    <x:t xml:space="preserve">Versioned artifacts</x:t>
  </x:si>
  <x:si>
    <x:t xml:space="preserve">Case definitions are benchmark inputs; candidate files, traces, redlines, and result records are generated evidence.</x:t>
  </x:si>
  <x:si>
    <x:t xml:space="preserve">Independent evaluator</x:t>
  </x:si>
  <x:si>
    <x:t xml:space="preserve">The evaluator does not trust the producing agent and remains executable without that runtime.</x:t>
  </x:si>
  <x:si>
    <x:t xml:space="preserve">Evidence-first results</x:t>
  </x:si>
  <x:si>
    <x:t xml:space="preserve">Failures support expected/actual values, severity, source references, artifact locations, and reproducible check logic.</x:t>
  </x:si>
  <x:si>
    <x:t xml:space="preserve">Deterministic-first</x:t>
  </x:si>
  <x:si>
    <x:t xml:space="preserve">Use artifact-based checks wherever practical; use narrow evidence-anchored model judges only when no practical deterministic alternative exists.</x:t>
  </x:si>
  <x:si>
    <x:t xml:space="preserve">Human approval</x:t>
  </x:si>
  <x:si>
    <x:t xml:space="preserve">No engineering sign-off, autonomous release, stamped deliverables, code-compliance opinion, or unreviewed safety-critical control.</x:t>
  </x:si>
  <x:si>
    <x:t xml:space="preserve">Workflow</x:t>
  </x:si>
  <x:si>
    <x:t xml:space="preserve">Inputs</x:t>
  </x:si>
  <x:si>
    <x:t xml:space="preserve">Agent work</x:t>
  </x:si>
  <x:si>
    <x:t xml:space="preserve">Evaluator work</x:t>
  </x:si>
  <x:si>
    <x:t xml:space="preserve">Output</x:t>
  </x:si>
  <x:si>
    <x:t xml:space="preserve">Money mechanism</x:t>
  </x:si>
  <x:si>
    <x:t xml:space="preserve">Commercial path</x:t>
  </x:si>
  <x:si>
    <x:t xml:space="preserve">Start with a fixed-scope pilot and independent acceptance benchmark; productize only after the same workflow succeeds across multiple customers.</x:t>
  </x:si>
</x:sst>
</file>

<file path=xl/styles.xml><?xml version="1.0" encoding="utf-8"?>
<x:styleSheet xmlns:x="http://schemas.openxmlformats.org/spreadsheetml/2006/main">
  <x:numFmts count="7">
    <x:numFmt numFmtId="164" formatCode="yyyy\-mm\-dd"/>
    <x:numFmt numFmtId="165" formatCode="0.0%"/>
    <x:numFmt numFmtId="166" formatCode="mmm\ d"/>
    <x:numFmt numFmtId="167" formatCode="0.0"/>
    <x:numFmt numFmtId="200" formatCode="yyyy-mm-dd"/>
    <x:numFmt numFmtId="201" formatCode="0.00"/>
    <x:numFmt numFmtId="202" formatCode="0%"/>
  </x:numFmts>
  <x:fonts count="30">
    <x:font>
      <x:sz val="11"/>
      <x:name val="Carlito"/>
    </x:font>
    <x:font>
      <x:b/>
      <x:sz val="16"/>
      <x:color rgb="FFFFFFFF"/>
      <x:name val="Aptos"/>
    </x:font>
    <x:font>
      <x:b/>
      <x:sz val="10"/>
      <x:color rgb="FFFFFFFF"/>
      <x:name val="Aptos"/>
    </x:font>
    <x:font>
      <x:sz val="10"/>
      <x:name val="Aptos"/>
    </x:font>
    <x:font>
      <x:b/>
      <x:sz val="10"/>
      <x:name val="Aptos"/>
    </x:font>
    <x:font>
      <x:b/>
      <x:sz val="10"/>
      <x:color rgb="FF0F172A"/>
      <x:name val="Aptos"/>
    </x:font>
    <x:font>
      <x:b/>
      <x:sz val="16"/>
      <x:name val="Aptos"/>
    </x:font>
    <x:font>
      <x:b/>
      <x:sz val="16"/>
      <x:color rgb="FFFFFFFF"/>
      <x:name val="Carlito"/>
    </x:font>
    <x:font>
      <x:i/>
      <x:sz val="11"/>
      <x:name val="Carlito"/>
    </x:font>
    <x:font>
      <x:b/>
      <x:sz val="11"/>
      <x:color rgb="FFFFFFFF"/>
      <x:name val="Carlito"/>
    </x:font>
    <x:font>
      <x:b/>
      <x:i/>
      <x:sz val="10"/>
      <x:color rgb="FF0F172A"/>
      <x:name val="Aptos"/>
    </x:font>
    <x:font>
      <x:i/>
      <x:sz val="10"/>
      <x:name val="Aptos"/>
    </x:font>
    <x:font>
      <x:b/>
      <x:sz val="12"/>
      <x:color rgb="FFFFFFFF"/>
      <x:name val="Aptos"/>
    </x:font>
    <x:font>
      <x:b/>
      <x:sz val="12"/>
      <x:color rgb="FFFFFFFF"/>
      <x:name val="Carlito"/>
    </x:font>
    <x:font>
      <x:b/>
      <x:sz val="11"/>
      <x:name val="Carlito"/>
    </x:font>
    <x:font>
      <x:sz val="10"/>
      <x:color rgb="FF000000"/>
      <x:name val="Aptos"/>
    </x:font>
    <x:font>
      <x:i/>
      <x:sz val="10"/>
      <x:color rgb="FF000000"/>
      <x:name val="Aptos"/>
    </x:font>
    <x:font>
      <x:i/>
      <x:sz val="10"/>
      <x:color rgb="FF595959"/>
      <x:name val="Carlito"/>
    </x:font>
    <x:font>
      <x:b/>
      <x:sz val="11"/>
      <x:color rgb="FF1F1F1F"/>
      <x:name val="Carlito"/>
    </x:font>
    <x:font>
      <x:sz val="11"/>
      <x:color rgb="FF1F1F1F"/>
      <x:name val="Carlito"/>
    </x:font>
    <x:font>
      <x:i/>
      <x:sz val="10"/>
      <x:color rgb="FF595959"/>
      <x:name val="Aptos"/>
    </x:font>
    <x:font>
      <x:b/>
      <x:sz val="10"/>
      <x:color rgb="FF1F1F1F"/>
      <x:name val="Aptos"/>
    </x:font>
    <x:font>
      <x:sz val="10"/>
      <x:color rgb="FF1F1F1F"/>
      <x:name val="Aptos"/>
    </x:font>
    <x:font>
      <x:sz val="10"/>
      <x:color rgb="FF1F2937"/>
      <x:name val="Aptos"/>
    </x:font>
    <x:font>
      <x:b/>
      <x:sz val="10"/>
      <x:color rgb="FF1F2937"/>
      <x:name val="Aptos"/>
    </x:font>
    <x:font>
      <x:b/>
      <x:sz val="11"/>
      <x:color rgb="FF203864"/>
      <x:name val="Carlito"/>
    </x:font>
    <x:font>
      <x:sz val="10"/>
      <x:color rgb="FF0563C1"/>
      <x:name val="Aptos"/>
    </x:font>
    <x:font>
      <x:b/>
      <x:sz val="12"/>
      <x:color rgb="FF000000"/>
      <x:name val="Aptos"/>
    </x:font>
    <x:font>
      <x:b/>
      <x:sz val="10"/>
      <x:color rgb="FF000000"/>
      <x:name val="Aptos"/>
    </x:font>
    <x:font>
      <x:sz val="10"/>
      <x:color rgb="FFFFFFFF"/>
      <x:name val="Aptos"/>
    </x:font>
  </x:fonts>
  <x:fills count="53">
    <x:fill>
      <x:patternFill patternType="none"/>
    </x:fill>
    <x:fill>
      <x:patternFill patternType="gray125"/>
    </x:fill>
    <x:fill>
      <x:patternFill patternType="solid">
        <x:fgColor rgb="FF0F172A"/>
      </x:patternFill>
    </x:fill>
    <x:fill>
      <x:patternFill patternType="solid">
        <x:fgColor rgb="FF334155"/>
      </x:patternFill>
    </x:fill>
    <x:fill>
      <x:patternFill patternType="solid">
        <x:fgColor rgb="FFF8FAFC"/>
      </x:patternFill>
    </x:fill>
    <x:fill>
      <x:patternFill patternType="solid">
        <x:fgColor rgb="FFE2E8F0"/>
      </x:patternFill>
    </x:fill>
    <x:fill>
      <x:patternFill patternType="solid">
        <x:fgColor rgb="FF1E3A5F"/>
      </x:patternFill>
    </x:fill>
    <x:fill>
      <x:patternFill patternType="solid">
        <x:fgColor rgb="FF64748B"/>
      </x:patternFill>
    </x:fill>
    <x:fill>
      <x:patternFill patternType="solid">
        <x:fgColor rgb="FF2563EB"/>
      </x:patternFill>
    </x:fill>
    <x:fill>
      <x:patternFill patternType="solid">
        <x:fgColor rgb="FF0F766E"/>
      </x:patternFill>
    </x:fill>
    <x:fill>
      <x:patternFill patternType="solid">
        <x:fgColor rgb="FF7C3AED"/>
      </x:patternFill>
    </x:fill>
    <x:fill>
      <x:patternFill patternType="solid">
        <x:fgColor rgb="FFD97706"/>
      </x:patternFill>
    </x:fill>
    <x:fill>
      <x:patternFill patternType="solid">
        <x:fgColor rgb="FFB91C1C"/>
      </x:patternFill>
    </x:fill>
    <x:fill>
      <x:patternFill patternType="solid">
        <x:fgColor rgb="FF0891B2"/>
      </x:patternFill>
    </x:fill>
    <x:fill>
      <x:patternFill patternType="solid">
        <x:fgColor rgb="FF15803D"/>
      </x:patternFill>
    </x:fill>
    <x:fill>
      <x:patternFill patternType="solid">
        <x:fgColor rgb="FFF59E0B"/>
      </x:patternFill>
    </x:fill>
    <x:fill>
      <x:patternFill patternType="solid">
        <x:fgColor rgb="FFFFF7ED"/>
      </x:patternFill>
    </x:fill>
    <x:fill>
      <x:patternFill patternType="solid">
        <x:fgColor rgb="FF203864"/>
      </x:patternFill>
    </x:fill>
    <x:fill>
      <x:patternFill patternType="solid">
        <x:fgColor rgb="FFFFF2CC"/>
      </x:patternFill>
    </x:fill>
    <x:fill>
      <x:patternFill patternType="solid">
        <x:fgColor rgb="FFD9EAF7"/>
      </x:patternFill>
    </x:fill>
    <x:fill>
      <x:patternFill patternType="solid">
        <x:fgColor rgb="FFD9E1F2"/>
      </x:patternFill>
    </x:fill>
    <x:fill>
      <x:patternFill patternType="solid">
        <x:fgColor rgb="FF7F8C8D"/>
      </x:patternFill>
    </x:fill>
    <x:fill>
      <x:patternFill patternType="solid">
        <x:fgColor rgb="FFEAF3F8"/>
      </x:patternFill>
    </x:fill>
    <x:fill>
      <x:patternFill patternType="solid">
        <x:fgColor rgb="FF2F75B5"/>
      </x:patternFill>
    </x:fill>
    <x:fill>
      <x:patternFill patternType="solid">
        <x:fgColor rgb="FF0F766E"/>
      </x:patternFill>
    </x:fill>
    <x:fill>
      <x:patternFill patternType="solid">
        <x:fgColor rgb="FF8064A2"/>
      </x:patternFill>
    </x:fill>
    <x:fill>
      <x:patternFill patternType="solid">
        <x:fgColor rgb="FFC55A11"/>
      </x:patternFill>
    </x:fill>
    <x:fill>
      <x:patternFill patternType="solid">
        <x:fgColor rgb="FF548235"/>
      </x:patternFill>
    </x:fill>
    <x:fill>
      <x:patternFill patternType="solid">
        <x:fgColor rgb="FFF3F6F9"/>
      </x:patternFill>
    </x:fill>
    <x:fill>
      <x:patternFill patternType="solid">
        <x:fgColor rgb="FFFFFFFF"/>
      </x:patternFill>
    </x:fill>
    <x:fill>
      <x:patternFill patternType="solid">
        <x:fgColor rgb="FF1F4E78"/>
      </x:patternFill>
    </x:fill>
    <x:fill>
      <x:patternFill patternType="solid">
        <x:fgColor rgb="FFEAF2F8"/>
      </x:patternFill>
    </x:fill>
    <x:fill>
      <x:patternFill patternType="solid">
        <x:fgColor rgb="FF2E75B6"/>
      </x:patternFill>
    </x:fill>
    <x:fill>
      <x:patternFill patternType="solid">
        <x:fgColor rgb="FFD9E2F3"/>
      </x:patternFill>
    </x:fill>
    <x:fill>
      <x:patternFill patternType="solid">
        <x:fgColor rgb="FFEAF2F8"/>
      </x:patternFill>
    </x:fill>
    <x:fill>
      <x:patternFill patternType="solid">
        <x:fgColor rgb="FFE5E7EB"/>
      </x:patternFill>
    </x:fill>
    <x:fill>
      <x:patternFill patternType="solid">
        <x:fgColor rgb="FFDBEAFE"/>
      </x:patternFill>
    </x:fill>
    <x:fill>
      <x:patternFill patternType="solid">
        <x:fgColor rgb="FFCCFBF1"/>
      </x:patternFill>
    </x:fill>
    <x:fill>
      <x:patternFill patternType="solid">
        <x:fgColor rgb="FFFEF3C7"/>
      </x:patternFill>
    </x:fill>
    <x:fill>
      <x:patternFill patternType="solid">
        <x:fgColor rgb="FFFEE2E2"/>
      </x:patternFill>
    </x:fill>
    <x:fill>
      <x:patternFill patternType="solid">
        <x:fgColor rgb="FFE0E7FF"/>
      </x:patternFill>
    </x:fill>
    <x:fill>
      <x:patternFill patternType="solid">
        <x:fgColor rgb="FFF8FAFC"/>
      </x:patternFill>
    </x:fill>
    <x:fill>
      <x:patternFill patternType="solid">
        <x:fgColor rgb="FFEEF4FA"/>
      </x:patternFill>
    </x:fill>
    <x:fill>
      <x:patternFill patternType="solid">
        <x:fgColor rgb="FFDDEBF7"/>
      </x:patternFill>
    </x:fill>
    <x:fill>
      <x:patternFill patternType="solid">
        <x:fgColor rgb="FF203864"/>
      </x:patternFill>
    </x:fill>
    <x:fill>
      <x:patternFill patternType="solid">
        <x:fgColor rgb="FFD9E2F3"/>
      </x:patternFill>
    </x:fill>
    <x:fill>
      <x:patternFill patternType="solid">
        <x:fgColor rgb="FFEAF2F8"/>
      </x:patternFill>
    </x:fill>
    <x:fill>
      <x:patternFill patternType="solid">
        <x:fgColor rgb="FF2F75B5"/>
      </x:patternFill>
    </x:fill>
    <x:fill>
      <x:patternFill patternType="solid">
        <x:fgColor rgb="FFF3F6F9"/>
      </x:patternFill>
    </x:fill>
    <x:fill>
      <x:patternFill patternType="solid">
        <x:fgColor rgb="FFFFF2CC"/>
      </x:patternFill>
    </x:fill>
    <x:fill>
      <x:patternFill patternType="solid">
        <x:fgColor rgb="FFFFFFFF"/>
      </x:patternFill>
    </x:fill>
    <x:fill>
      <x:patternFill patternType="solid">
        <x:fgColor rgb="FFDCE6F1"/>
      </x:patternFill>
    </x:fill>
    <x:fill>
      <x:patternFill patternType="solid">
        <x:fgColor rgb="FFF3F6FA"/>
      </x:patternFill>
    </x:fill>
  </x:fills>
  <x:borders count="43">
    <x:border/>
    <x:border/>
    <x:border/>
    <x:border/>
    <x:border/>
    <x:border/>
    <x:border/>
    <x:border/>
    <x:border/>
    <x:border/>
    <x:border/>
    <x:border/>
    <x:border/>
    <x:border/>
    <x:border>
      <x:left style="thin">
        <x:color rgb="FFA6A6A6"/>
      </x:left>
      <x:top style="thin">
        <x:color rgb="FFA6A6A6"/>
      </x:top>
      <x:bottom style="thin">
        <x:color rgb="FFA6A6A6"/>
      </x:bottom>
    </x:border>
    <x:border>
      <x:right style="thin">
        <x:color rgb="FFA6A6A6"/>
      </x:right>
      <x:top style="thin">
        <x:color rgb="FFA6A6A6"/>
      </x:top>
      <x:bottom style="thin">
        <x:color rgb="FFA6A6A6"/>
      </x:bottom>
    </x:border>
    <x:border>
      <x:top style="thin">
        <x:color rgb="FFA6A6A6"/>
      </x:top>
      <x:bottom style="thin">
        <x:color rgb="FFA6A6A6"/>
      </x:bottom>
    </x:border>
    <x:border>
      <x:left style="thin">
        <x:color rgb="FFA6A6A6"/>
      </x:left>
      <x:top style="thin">
        <x:color rgb="FFA6A6A6"/>
      </x:top>
    </x:border>
    <x:border>
      <x:top style="thin">
        <x:color rgb="FFA6A6A6"/>
      </x:top>
    </x:border>
    <x:border>
      <x:right style="thin">
        <x:color rgb="FFA6A6A6"/>
      </x:right>
      <x:top style="thin">
        <x:color rgb="FFA6A6A6"/>
      </x:top>
    </x:border>
    <x:border>
      <x:left style="thin">
        <x:color rgb="FFA6A6A6"/>
      </x:left>
    </x:border>
    <x:border>
      <x:right style="thin">
        <x:color rgb="FFA6A6A6"/>
      </x:right>
    </x:border>
    <x:border>
      <x:left style="thin">
        <x:color rgb="FFA6A6A6"/>
      </x:left>
      <x:bottom style="thin">
        <x:color rgb="FFA6A6A6"/>
      </x:bottom>
    </x:border>
    <x:border>
      <x:bottom style="thin">
        <x:color rgb="FFA6A6A6"/>
      </x:bottom>
    </x:border>
    <x:border>
      <x:right style="thin">
        <x:color rgb="FFA6A6A6"/>
      </x:right>
      <x:bottom style="thin">
        <x:color rgb="FFA6A6A6"/>
      </x:bottom>
    </x:border>
    <x:border>
      <x:left style="thin">
        <x:color rgb="FFA6A6A6"/>
      </x:left>
      <x:right style="thin">
        <x:color rgb="FFA6A6A6"/>
      </x:right>
      <x:top style="thin">
        <x:color rgb="FFA6A6A6"/>
      </x:top>
      <x:bottom style="thin">
        <x:color rgb="FFA6A6A6"/>
      </x:bottom>
    </x:border>
    <x:border>
      <x:left style="thin">
        <x:color rgb="FFA6A6A6"/>
      </x:left>
      <x:right style="thin">
        <x:color rgb="FFA6A6A6"/>
      </x:right>
      <x:top style="thin">
        <x:color rgb="FFA6A6A6"/>
      </x:top>
    </x:border>
    <x:border>
      <x:left style="thin">
        <x:color rgb="FFA6A6A6"/>
      </x:left>
      <x:right style="thin">
        <x:color rgb="FFA6A6A6"/>
      </x:right>
      <x:bottom style="thin">
        <x:color rgb="FFA6A6A6"/>
      </x:bottom>
    </x:border>
    <x:border/>
    <x:border>
      <x:left style="thin">
        <x:color rgb="FFA6A6A6"/>
      </x:left>
      <x:top style="thin">
        <x:color rgb="FFA6A6A6"/>
      </x:top>
      <x:bottom style="thin">
        <x:color rgb="FFA6A6A6"/>
      </x:bottom>
    </x:border>
    <x:border>
      <x:top style="thin">
        <x:color rgb="FFA6A6A6"/>
      </x:top>
      <x:bottom style="thin">
        <x:color rgb="FFA6A6A6"/>
      </x:bottom>
    </x:border>
    <x:border>
      <x:right style="thin">
        <x:color rgb="FFA6A6A6"/>
      </x:right>
      <x:top style="thin">
        <x:color rgb="FFA6A6A6"/>
      </x:top>
      <x:bottom style="thin">
        <x:color rgb="FFA6A6A6"/>
      </x:bottom>
    </x:border>
    <x:border>
      <x:left style="thin">
        <x:color rgb="FFA6A6A6"/>
      </x:left>
      <x:top style="thin">
        <x:color rgb="FFA6A6A6"/>
      </x:top>
    </x:border>
    <x:border>
      <x:top style="thin">
        <x:color rgb="FFA6A6A6"/>
      </x:top>
    </x:border>
    <x:border>
      <x:right style="thin">
        <x:color rgb="FFA6A6A6"/>
      </x:right>
      <x:top style="thin">
        <x:color rgb="FFA6A6A6"/>
      </x:top>
    </x:border>
    <x:border>
      <x:left style="thin">
        <x:color rgb="FFA6A6A6"/>
      </x:left>
    </x:border>
    <x:border>
      <x:right style="thin">
        <x:color rgb="FFA6A6A6"/>
      </x:right>
    </x:border>
    <x:border>
      <x:left style="thin">
        <x:color rgb="FFA6A6A6"/>
      </x:left>
      <x:bottom style="thin">
        <x:color rgb="FFA6A6A6"/>
      </x:bottom>
    </x:border>
    <x:border>
      <x:bottom style="thin">
        <x:color rgb="FFA6A6A6"/>
      </x:bottom>
    </x:border>
    <x:border>
      <x:right style="thin">
        <x:color rgb="FFA6A6A6"/>
      </x:right>
      <x:bottom style="thin">
        <x:color rgb="FFA6A6A6"/>
      </x:bottom>
    </x:border>
    <x:border>
      <x:left style="thin">
        <x:color rgb="FFA6A6A6"/>
      </x:left>
      <x:right style="thin">
        <x:color rgb="FFA6A6A6"/>
      </x:right>
      <x:top style="thin">
        <x:color rgb="FFA6A6A6"/>
      </x:top>
      <x:bottom style="thin">
        <x:color rgb="FFA6A6A6"/>
      </x:bottom>
    </x:border>
    <x:border>
      <x:left style="thin">
        <x:color rgb="FFA6A6A6"/>
      </x:left>
      <x:right style="thin">
        <x:color rgb="FFA6A6A6"/>
      </x:right>
      <x:top style="thin">
        <x:color rgb="FFA6A6A6"/>
      </x:top>
    </x:border>
    <x:border>
      <x:left style="thin">
        <x:color rgb="FFA6A6A6"/>
      </x:left>
      <x:right style="thin">
        <x:color rgb="FFA6A6A6"/>
      </x:right>
      <x:bottom style="thin">
        <x:color rgb="FFA6A6A6"/>
      </x:bottom>
    </x:border>
  </x:borders>
  <x:cellStyleXfs count="1">
    <x:xf numFmtId="0" fontId="0" fillId="0" borderId="0"/>
  </x:cellStyleXfs>
  <x:cellXfs count="771">
    <x:xf numFmtId="0" fontId="0" fillId="0" borderId="0" xfId="0"/>
    <x:xf numFmtId="0" fontId="3" fillId="0" borderId="0" xfId="0" applyFont="1"/>
    <x:xf numFmtId="0" fontId="2" fillId="3" borderId="0" xfId="0" applyFont="1" applyFill="1" applyAlignment="1">
      <x:alignment vertical="center"/>
    </x:xf>
    <x:xf numFmtId="0" fontId="3" fillId="0" borderId="0" xfId="0" applyFont="1" applyAlignment="1">
      <x:alignment vertical="top" wrapText="1"/>
    </x:xf>
    <x:xf numFmtId="0" fontId="2" fillId="6" borderId="0" xfId="0" applyFont="1" applyFill="1" applyAlignment="1">
      <x:alignment horizontal="center" vertical="center" wrapText="1"/>
    </x:xf>
    <x:xf numFmtId="0" fontId="3" fillId="0" borderId="10" xfId="0" applyFont="1" applyBorder="1" applyAlignment="1">
      <x:alignment vertical="top" wrapText="1"/>
    </x:xf>
    <x:xf numFmtId="0" fontId="3" fillId="0" borderId="11" xfId="0" applyFont="1" applyBorder="1" applyAlignment="1">
      <x:alignment vertical="top" wrapText="1"/>
    </x:xf>
    <x:xf numFmtId="164" fontId="3" fillId="0" borderId="11" xfId="0" applyNumberFormat="1" applyFont="1" applyBorder="1" applyAlignment="1">
      <x:alignment vertical="top" wrapText="1"/>
    </x:xf>
    <x:xf numFmtId="0" fontId="3" fillId="0" borderId="12" xfId="0" applyFont="1" applyBorder="1" applyAlignment="1">
      <x:alignment vertical="top" wrapText="1"/>
    </x:xf>
    <x:xf numFmtId="0" fontId="2" fillId="7" borderId="13" xfId="0" applyFont="1" applyFill="1" applyBorder="1" applyAlignment="1">
      <x:alignment horizontal="center"/>
    </x:xf>
    <x:xf numFmtId="0" fontId="3" fillId="4" borderId="13" xfId="0" applyFont="1" applyFill="1" applyBorder="1"/>
    <x:xf numFmtId="0" fontId="2" fillId="10" borderId="11" xfId="0" applyFont="1" applyFill="1" applyBorder="1" applyAlignment="1">
      <x:alignment vertical="top" wrapText="1"/>
    </x:xf>
    <x:xf numFmtId="0" fontId="2" fillId="11" borderId="11" xfId="0" applyFont="1" applyFill="1" applyBorder="1" applyAlignment="1">
      <x:alignment vertical="top" wrapText="1"/>
    </x:xf>
    <x:xf numFmtId="0" fontId="2" fillId="12" borderId="11" xfId="0" applyFont="1" applyFill="1" applyBorder="1" applyAlignment="1">
      <x:alignment vertical="top" wrapText="1"/>
    </x:xf>
    <x:xf numFmtId="0" fontId="2" fillId="12" borderId="13" xfId="0" applyFont="1" applyFill="1" applyBorder="1" applyAlignment="1">
      <x:alignment horizontal="center"/>
    </x:xf>
    <x:xf numFmtId="0" fontId="2" fillId="13" borderId="11" xfId="0" applyFont="1" applyFill="1" applyBorder="1" applyAlignment="1">
      <x:alignment vertical="top" wrapText="1"/>
    </x:xf>
    <x:xf numFmtId="0" fontId="2" fillId="13" borderId="13" xfId="0" applyFont="1" applyFill="1" applyBorder="1" applyAlignment="1">
      <x:alignment horizontal="center"/>
    </x:xf>
    <x:xf numFmtId="0" fontId="2" fillId="14" borderId="11" xfId="0" applyFont="1" applyFill="1" applyBorder="1" applyAlignment="1">
      <x:alignment vertical="top" wrapText="1"/>
    </x:xf>
    <x:xf numFmtId="0" fontId="2" fillId="14" borderId="13" xfId="0" applyFont="1" applyFill="1" applyBorder="1" applyAlignment="1">
      <x:alignment horizontal="center"/>
    </x:xf>
    <x:xf numFmtId="0" fontId="2" fillId="2" borderId="11" xfId="0" applyFont="1" applyFill="1" applyBorder="1"/>
    <x:xf numFmtId="9" fontId="2" fillId="2" borderId="11" xfId="0" applyNumberFormat="1" applyFont="1" applyFill="1" applyBorder="1"/>
    <x:xf numFmtId="0" fontId="2" fillId="2" borderId="12" xfId="0" applyFont="1" applyFill="1" applyBorder="1"/>
    <x:xf numFmtId="166" fontId="5" fillId="5" borderId="0" xfId="0" applyNumberFormat="1" applyFont="1" applyFill="1" applyAlignment="1">
      <x:alignment horizontal="center" vertical="center" wrapText="1"/>
    </x:xf>
    <x:xf numFmtId="0" fontId="3" fillId="0" borderId="11" xfId="0" applyFont="1" applyBorder="1" applyAlignment="1">
      <x:alignment horizontal="center" vertical="top" wrapText="1"/>
    </x:xf>
    <x:xf numFmtId="164" fontId="3" fillId="0" borderId="11" xfId="0" applyNumberFormat="1" applyFont="1" applyBorder="1" applyAlignment="1">
      <x:alignment horizontal="center" vertical="top" wrapText="1"/>
    </x:xf>
    <x:xf numFmtId="9" fontId="3" fillId="0" borderId="11" xfId="0" applyNumberFormat="1" applyFont="1" applyBorder="1" applyAlignment="1">
      <x:alignment horizontal="center" vertical="top" wrapText="1"/>
    </x:xf>
    <x:xf numFmtId="0" fontId="3" fillId="0" borderId="3" xfId="0" applyFont="1" applyBorder="1" applyAlignment="1">
      <x:alignment horizontal="center"/>
    </x:xf>
    <x:xf numFmtId="0" fontId="3" fillId="0" borderId="4" xfId="0" applyFont="1" applyBorder="1" applyAlignment="1">
      <x:alignment horizontal="center"/>
    </x:xf>
    <x:xf numFmtId="0" fontId="3" fillId="0" borderId="0" xfId="0" applyFont="1" applyAlignment="1">
      <x:alignment horizontal="center"/>
    </x:xf>
    <x:xf numFmtId="0" fontId="3" fillId="0" borderId="6" xfId="0" applyFont="1" applyBorder="1" applyAlignment="1">
      <x:alignment horizontal="center"/>
    </x:xf>
    <x:xf numFmtId="0" fontId="2" fillId="7" borderId="12" xfId="0" applyFont="1" applyFill="1" applyBorder="1" applyAlignment="1">
      <x:alignment horizontal="center" vertical="center"/>
    </x:xf>
    <x:xf numFmtId="0" fontId="3" fillId="0" borderId="5" xfId="0" applyFont="1" applyBorder="1" applyAlignment="1">
      <x:alignment horizontal="center"/>
    </x:xf>
    <x:xf numFmtId="0" fontId="2" fillId="7" borderId="11" xfId="0" applyFont="1" applyFill="1" applyBorder="1" applyAlignment="1">
      <x:alignment horizontal="center" vertical="center"/>
    </x:xf>
    <x:xf numFmtId="0" fontId="2" fillId="9" borderId="13" xfId="0" applyFont="1" applyFill="1" applyBorder="1" applyAlignment="1">
      <x:alignment horizontal="center" vertical="center"/>
    </x:xf>
    <x:xf numFmtId="0" fontId="2" fillId="9" borderId="10" xfId="0" applyFont="1" applyFill="1" applyBorder="1" applyAlignment="1">
      <x:alignment horizontal="center" vertical="center"/>
    </x:xf>
    <x:xf numFmtId="0" fontId="2" fillId="9" borderId="12" xfId="0" applyFont="1" applyFill="1" applyBorder="1" applyAlignment="1">
      <x:alignment horizontal="center" vertical="center"/>
    </x:xf>
    <x:xf numFmtId="0" fontId="2" fillId="10" borderId="10" xfId="0" applyFont="1" applyFill="1" applyBorder="1" applyAlignment="1">
      <x:alignment horizontal="center" vertical="center"/>
    </x:xf>
    <x:xf numFmtId="0" fontId="2" fillId="10" borderId="12" xfId="0" applyFont="1" applyFill="1" applyBorder="1" applyAlignment="1">
      <x:alignment horizontal="center" vertical="center"/>
    </x:xf>
    <x:xf numFmtId="0" fontId="2" fillId="10" borderId="13" xfId="0" applyFont="1" applyFill="1" applyBorder="1" applyAlignment="1">
      <x:alignment horizontal="center" vertical="center"/>
    </x:xf>
    <x:xf numFmtId="0" fontId="2" fillId="11" borderId="13" xfId="0" applyFont="1" applyFill="1" applyBorder="1" applyAlignment="1">
      <x:alignment horizontal="center" vertical="center"/>
    </x:xf>
    <x:xf numFmtId="0" fontId="2" fillId="11" borderId="10" xfId="0" applyFont="1" applyFill="1" applyBorder="1" applyAlignment="1">
      <x:alignment horizontal="center" vertical="center"/>
    </x:xf>
    <x:xf numFmtId="0" fontId="2" fillId="11" borderId="12" xfId="0" applyFont="1" applyFill="1" applyBorder="1" applyAlignment="1">
      <x:alignment horizontal="center" vertical="center"/>
    </x:xf>
    <x:xf numFmtId="0" fontId="2" fillId="11" borderId="11" xfId="0" applyFont="1" applyFill="1" applyBorder="1" applyAlignment="1">
      <x:alignment horizontal="center" vertical="center"/>
    </x:xf>
    <x:xf numFmtId="0" fontId="2" fillId="12" borderId="13" xfId="0" applyFont="1" applyFill="1" applyBorder="1" applyAlignment="1">
      <x:alignment horizontal="center" vertical="center"/>
    </x:xf>
    <x:xf numFmtId="0" fontId="2" fillId="12" borderId="10" xfId="0" applyFont="1" applyFill="1" applyBorder="1" applyAlignment="1">
      <x:alignment horizontal="center" vertical="center"/>
    </x:xf>
    <x:xf numFmtId="0" fontId="2" fillId="12" borderId="12" xfId="0" applyFont="1" applyFill="1" applyBorder="1" applyAlignment="1">
      <x:alignment horizontal="center" vertical="center"/>
    </x:xf>
    <x:xf numFmtId="0" fontId="2" fillId="13" borderId="13" xfId="0" applyFont="1" applyFill="1" applyBorder="1" applyAlignment="1">
      <x:alignment horizontal="center" vertical="center"/>
    </x:xf>
    <x:xf numFmtId="0" fontId="2" fillId="13" borderId="10" xfId="0" applyFont="1" applyFill="1" applyBorder="1" applyAlignment="1">
      <x:alignment horizontal="center" vertical="center"/>
    </x:xf>
    <x:xf numFmtId="0" fontId="2" fillId="13" borderId="12" xfId="0" applyFont="1" applyFill="1" applyBorder="1" applyAlignment="1">
      <x:alignment horizontal="center" vertical="center"/>
    </x:xf>
    <x:xf numFmtId="0" fontId="2" fillId="14" borderId="13" xfId="0" applyFont="1" applyFill="1" applyBorder="1" applyAlignment="1">
      <x:alignment horizontal="center" vertical="center"/>
    </x:xf>
    <x:xf numFmtId="0" fontId="2" fillId="14" borderId="10" xfId="0" applyFont="1" applyFill="1" applyBorder="1" applyAlignment="1">
      <x:alignment horizontal="center" vertical="center"/>
    </x:xf>
    <x:xf numFmtId="0" fontId="2" fillId="14" borderId="12" xfId="0" applyFont="1" applyFill="1" applyBorder="1" applyAlignment="1">
      <x:alignment horizontal="center" vertical="center"/>
    </x:xf>
    <x:xf numFmtId="0" fontId="3" fillId="0" borderId="7" xfId="0" applyFont="1" applyBorder="1" applyAlignment="1">
      <x:alignment horizontal="center"/>
    </x:xf>
    <x:xf numFmtId="0" fontId="3" fillId="0" borderId="8" xfId="0" applyFont="1" applyBorder="1" applyAlignment="1">
      <x:alignment horizontal="center"/>
    </x:xf>
    <x:xf numFmtId="0" fontId="3" fillId="0" borderId="10" xfId="0" applyFont="1" applyBorder="1" applyAlignment="1">
      <x:alignment wrapText="1"/>
    </x:xf>
    <x:xf numFmtId="164" fontId="3" fillId="0" borderId="11" xfId="0" applyNumberFormat="1" applyFont="1" applyBorder="1" applyAlignment="1">
      <x:alignment wrapText="1"/>
    </x:xf>
    <x:xf numFmtId="0" fontId="3" fillId="0" borderId="11" xfId="0" applyFont="1" applyBorder="1" applyAlignment="1">
      <x:alignment wrapText="1"/>
    </x:xf>
    <x:xf numFmtId="0" fontId="3" fillId="0" borderId="12" xfId="0" applyFont="1" applyBorder="1" applyAlignment="1">
      <x:alignment wrapText="1"/>
    </x:xf>
    <x:xf numFmtId="0" fontId="3" fillId="16" borderId="10" xfId="0" applyFont="1" applyFill="1" applyBorder="1" applyAlignment="1">
      <x:alignment wrapText="1"/>
    </x:xf>
    <x:xf numFmtId="164" fontId="3" fillId="16" borderId="11" xfId="0" applyNumberFormat="1" applyFont="1" applyFill="1" applyBorder="1" applyAlignment="1">
      <x:alignment wrapText="1"/>
    </x:xf>
    <x:xf numFmtId="0" fontId="3" fillId="16" borderId="11" xfId="0" applyFont="1" applyFill="1" applyBorder="1" applyAlignment="1">
      <x:alignment wrapText="1"/>
    </x:xf>
    <x:xf numFmtId="0" fontId="3" fillId="16" borderId="12" xfId="0" applyFont="1" applyFill="1" applyBorder="1" applyAlignment="1">
      <x:alignment wrapText="1"/>
    </x:xf>
    <x:xf numFmtId="165" fontId="3" fillId="0" borderId="11" xfId="0" applyNumberFormat="1" applyFont="1" applyBorder="1" applyAlignment="1">
      <x:alignment wrapText="1"/>
    </x:xf>
    <x:xf numFmtId="164" fontId="3" fillId="0" borderId="12" xfId="0" applyNumberFormat="1" applyFont="1" applyBorder="1" applyAlignment="1">
      <x:alignment wrapText="1"/>
    </x:xf>
    <x:xf numFmtId="0" fontId="2" fillId="14" borderId="11" xfId="0" applyFont="1" applyFill="1" applyBorder="1" applyAlignment="1">
      <x:alignment wrapText="1"/>
    </x:xf>
    <x:xf numFmtId="0" fontId="6" fillId="0" borderId="0" xfId="0" applyFont="1"/>
    <x:xf numFmtId="9" fontId="3" fillId="0" borderId="0" xfId="0" applyNumberFormat="1" applyFont="1" applyAlignment="1">
      <x:alignment horizontal="center" vertical="top" wrapText="1"/>
    </x:xf>
    <x:xf numFmtId="2" fontId="3" fillId="0" borderId="0" xfId="0" applyNumberFormat="1" applyFont="1" applyAlignment="1">
      <x:alignment horizontal="center" vertical="top" wrapText="1"/>
    </x:xf>
    <x:xf numFmtId="2" fontId="3" fillId="0" borderId="0" xfId="0" applyNumberFormat="1" applyFont="1" applyAlignment="1">
      <x:alignment wrapText="1"/>
    </x:xf>
    <x:xf numFmtId="0" fontId="3" fillId="4" borderId="2" xfId="0" applyFont="1" applyFill="1" applyBorder="1" applyAlignment="1">
      <x:alignment vertical="top" wrapText="1"/>
    </x:xf>
    <x:xf numFmtId="0" fontId="3" fillId="4" borderId="3" xfId="0" applyFont="1" applyFill="1" applyBorder="1" applyAlignment="1">
      <x:alignment vertical="top" wrapText="1"/>
    </x:xf>
    <x:xf numFmtId="0" fontId="3" fillId="4" borderId="4" xfId="0" applyFont="1" applyFill="1" applyBorder="1" applyAlignment="1">
      <x:alignment vertical="top" wrapText="1"/>
    </x:xf>
    <x:xf numFmtId="0" fontId="3" fillId="4" borderId="0" xfId="0" applyFont="1" applyFill="1" applyAlignment="1">
      <x:alignment vertical="top" wrapText="1"/>
    </x:xf>
    <x:xf numFmtId="0" fontId="3" fillId="4" borderId="6" xfId="0" applyFont="1" applyFill="1" applyBorder="1" applyAlignment="1">
      <x:alignment vertical="top" wrapText="1"/>
    </x:xf>
    <x:xf numFmtId="0" fontId="3" fillId="4" borderId="8" xfId="0" applyFont="1" applyFill="1" applyBorder="1" applyAlignment="1">
      <x:alignment vertical="top" wrapText="1"/>
    </x:xf>
    <x:xf numFmtId="0" fontId="3" fillId="4" borderId="9" xfId="0" applyFont="1" applyFill="1" applyBorder="1" applyAlignment="1">
      <x:alignment vertical="top" wrapText="1"/>
    </x:xf>
    <x:xf numFmtId="0" fontId="1" fillId="2" borderId="0" xfId="0" applyFont="1" applyFill="1" applyAlignment="1">
      <x:alignment vertical="center"/>
    </x:xf>
    <x:xf numFmtId="0" fontId="2" fillId="2" borderId="10" xfId="0" applyFont="1" applyFill="1" applyBorder="1"/>
    <x:xf numFmtId="0" fontId="0" fillId="0" borderId="0" xfId="0" applyAlignment="1">
      <x:alignment wrapText="1"/>
    </x:xf>
    <x:xf numFmtId="0" fontId="9" fillId="17" borderId="0" xfId="0" applyFont="1" applyFill="1"/>
    <x:xf numFmtId="0" fontId="9" fillId="17" borderId="0" xfId="0" applyFont="1" applyFill="1" applyAlignment="1">
      <x:alignment horizontal="center" vertical="center" wrapText="1"/>
    </x:xf>
    <x:xf numFmtId="164" fontId="0" fillId="0" borderId="0" xfId="0" applyNumberFormat="1" applyAlignment="1">
      <x:alignment wrapText="1"/>
    </x:xf>
    <x:xf numFmtId="2" fontId="0" fillId="0" borderId="0" xfId="0" applyNumberFormat="1" applyAlignment="1">
      <x:alignment wrapText="1"/>
    </x:xf>
    <x:xf numFmtId="0" fontId="0" fillId="0" borderId="0" xfId="0" applyAlignment="1">
      <x:alignment vertical="top" wrapText="1"/>
    </x:xf>
    <x:xf numFmtId="164" fontId="0" fillId="0" borderId="0" xfId="0" applyNumberFormat="1" applyAlignment="1">
      <x:alignment vertical="top" wrapText="1"/>
    </x:xf>
    <x:xf numFmtId="2" fontId="0" fillId="0" borderId="0" xfId="0" applyNumberFormat="1" applyAlignment="1">
      <x:alignment vertical="top" wrapText="1"/>
    </x:xf>
    <x:xf numFmtId="0" fontId="2" fillId="17" borderId="0" xfId="0" applyFont="1" applyFill="1" applyAlignment="1">
      <x:alignment vertical="center"/>
    </x:xf>
    <x:xf numFmtId="164" fontId="2" fillId="17" borderId="0" xfId="0" applyNumberFormat="1" applyFont="1" applyFill="1" applyAlignment="1">
      <x:alignment vertical="center"/>
    </x:xf>
    <x:xf numFmtId="0" fontId="2" fillId="17" borderId="0" xfId="0" applyFont="1" applyFill="1" applyAlignment="1">
      <x:alignment horizontal="center" vertical="center" wrapText="1"/>
    </x:xf>
    <x:xf numFmtId="0" fontId="2" fillId="17" borderId="0" xfId="0" applyFont="1" applyFill="1" applyAlignment="1">
      <x:alignment vertical="top" wrapText="1"/>
    </x:xf>
    <x:xf numFmtId="0" fontId="2" fillId="17" borderId="0" xfId="0" applyFont="1" applyFill="1" applyAlignment="1">
      <x:alignment horizontal="center" vertical="top" wrapText="1"/>
    </x:xf>
    <x:xf numFmtId="164" fontId="2" fillId="17" borderId="0" xfId="0" applyNumberFormat="1" applyFont="1" applyFill="1" applyAlignment="1">
      <x:alignment horizontal="center" vertical="top" wrapText="1"/>
    </x:xf>
    <x:xf numFmtId="9" fontId="2" fillId="17" borderId="0" xfId="0" applyNumberFormat="1" applyFont="1" applyFill="1" applyAlignment="1">
      <x:alignment horizontal="center" vertical="top" wrapText="1"/>
    </x:xf>
    <x:xf numFmtId="164" fontId="3" fillId="0" borderId="0" xfId="0" applyNumberFormat="1" applyFont="1" applyAlignment="1">
      <x:alignment horizontal="center" vertical="top" wrapText="1"/>
    </x:xf>
    <x:xf numFmtId="167" fontId="3" fillId="0" borderId="0" xfId="0" applyNumberFormat="1" applyFont="1" applyAlignment="1">
      <x:alignment horizontal="center" vertical="top" wrapText="1"/>
    </x:xf>
    <x:xf numFmtId="167" fontId="2" fillId="17" borderId="0" xfId="0" applyNumberFormat="1" applyFont="1" applyFill="1" applyAlignment="1">
      <x:alignment horizontal="center" vertical="top" wrapText="1"/>
    </x:xf>
    <x:xf numFmtId="2" fontId="2" fillId="17" borderId="0" xfId="0" applyNumberFormat="1" applyFont="1" applyFill="1" applyAlignment="1">
      <x:alignment horizontal="center" vertical="top" wrapText="1"/>
    </x:xf>
    <x:xf numFmtId="0" fontId="3" fillId="0" borderId="0" xfId="0" applyFont="1" applyAlignment="1">
      <x:alignment horizontal="center" vertical="top" wrapText="1"/>
    </x:xf>
    <x:xf numFmtId="0" fontId="2" fillId="8" borderId="0" xfId="0" applyFont="1" applyFill="1" applyAlignment="1">
      <x:alignment vertical="top" wrapText="1"/>
    </x:xf>
    <x:xf numFmtId="0" fontId="2" fillId="9" borderId="0" xfId="0" applyFont="1" applyFill="1" applyAlignment="1">
      <x:alignment vertical="top" wrapText="1"/>
    </x:xf>
    <x:xf numFmtId="0" fontId="2" fillId="10" borderId="0" xfId="0" applyFont="1" applyFill="1" applyAlignment="1">
      <x:alignment vertical="top" wrapText="1"/>
    </x:xf>
    <x:xf numFmtId="0" fontId="2" fillId="7" borderId="0" xfId="0" applyFont="1" applyFill="1" applyAlignment="1">
      <x:alignment horizontal="center" vertical="top" wrapText="1"/>
    </x:xf>
    <x:xf numFmtId="0" fontId="2" fillId="21" borderId="0" xfId="0" applyFont="1" applyFill="1" applyAlignment="1">
      <x:alignment vertical="top" wrapText="1"/>
    </x:xf>
    <x:xf numFmtId="0" fontId="3" fillId="22" borderId="0" xfId="0" applyFont="1" applyFill="1" applyAlignment="1">
      <x:alignment vertical="top" wrapText="1"/>
    </x:xf>
    <x:xf numFmtId="0" fontId="2" fillId="22" borderId="0" xfId="0" applyFont="1" applyFill="1" applyAlignment="1">
      <x:alignment vertical="top" wrapText="1"/>
    </x:xf>
    <x:xf numFmtId="167" fontId="3" fillId="22" borderId="0" xfId="0" applyNumberFormat="1" applyFont="1" applyFill="1" applyAlignment="1">
      <x:alignment horizontal="center" vertical="top" wrapText="1"/>
    </x:xf>
    <x:xf numFmtId="0" fontId="3" fillId="22" borderId="0" xfId="0" applyFont="1" applyFill="1" applyAlignment="1">
      <x:alignment horizontal="center" vertical="top" wrapText="1"/>
    </x:xf>
    <x:xf numFmtId="164" fontId="3" fillId="22" borderId="0" xfId="0" applyNumberFormat="1" applyFont="1" applyFill="1" applyAlignment="1">
      <x:alignment horizontal="center" vertical="top" wrapText="1"/>
    </x:xf>
    <x:xf numFmtId="9" fontId="3" fillId="22" borderId="0" xfId="0" applyNumberFormat="1" applyFont="1" applyFill="1" applyAlignment="1">
      <x:alignment horizontal="center" vertical="top" wrapText="1"/>
    </x:xf>
    <x:xf numFmtId="2" fontId="3" fillId="22" borderId="0" xfId="0" applyNumberFormat="1" applyFont="1" applyFill="1" applyAlignment="1">
      <x:alignment horizontal="center" vertical="top" wrapText="1"/>
    </x:xf>
    <x:xf numFmtId="0" fontId="2" fillId="22" borderId="0" xfId="0" applyFont="1" applyFill="1" applyAlignment="1">
      <x:alignment horizontal="center" vertical="top" wrapText="1"/>
    </x:xf>
    <x:xf numFmtId="0" fontId="2" fillId="23" borderId="0" xfId="0" applyFont="1" applyFill="1" applyAlignment="1">
      <x:alignment vertical="top" wrapText="1"/>
    </x:xf>
    <x:xf numFmtId="0" fontId="2" fillId="24" borderId="0" xfId="0" applyFont="1" applyFill="1" applyAlignment="1">
      <x:alignment vertical="top" wrapText="1"/>
    </x:xf>
    <x:xf numFmtId="0" fontId="2" fillId="25" borderId="0" xfId="0" applyFont="1" applyFill="1" applyAlignment="1">
      <x:alignment vertical="top" wrapText="1"/>
    </x:xf>
    <x:xf numFmtId="0" fontId="2" fillId="26" borderId="0" xfId="0" applyFont="1" applyFill="1" applyAlignment="1">
      <x:alignment vertical="top" wrapText="1"/>
    </x:xf>
    <x:xf numFmtId="0" fontId="2" fillId="27" borderId="0" xfId="0" applyFont="1" applyFill="1" applyAlignment="1">
      <x:alignment vertical="top" wrapText="1"/>
    </x:xf>
    <x:xf numFmtId="164" fontId="2" fillId="17" borderId="0" xfId="0" applyNumberFormat="1" applyFont="1" applyFill="1" applyAlignment="1">
      <x:alignment vertical="top" wrapText="1"/>
    </x:xf>
    <x:xf numFmtId="165" fontId="2" fillId="17" borderId="0" xfId="0" applyNumberFormat="1" applyFont="1" applyFill="1" applyAlignment="1">
      <x:alignment horizontal="center" vertical="center" wrapText="1"/>
    </x:xf>
    <x:xf numFmtId="164" fontId="2" fillId="17" borderId="0" xfId="0" applyNumberFormat="1" applyFont="1" applyFill="1" applyAlignment="1">
      <x:alignment horizontal="center" vertical="center" wrapText="1"/>
    </x:xf>
    <x:xf numFmtId="0" fontId="2" fillId="17" borderId="0" xfId="0" applyFont="1" applyFill="1"/>
    <x:xf numFmtId="2" fontId="3" fillId="0" borderId="0" xfId="0" applyNumberFormat="1" applyFont="1" applyAlignment="1">
      <x:alignment vertical="top" wrapText="1"/>
    </x:xf>
    <x:xf numFmtId="2" fontId="2" fillId="17" borderId="0" xfId="0" applyNumberFormat="1" applyFont="1" applyFill="1" applyAlignment="1">
      <x:alignment vertical="top" wrapText="1"/>
    </x:xf>
    <x:xf numFmtId="9" fontId="3" fillId="0" borderId="0" xfId="0" applyNumberFormat="1" applyFont="1" applyAlignment="1">
      <x:alignment vertical="top" wrapText="1"/>
    </x:xf>
    <x:xf numFmtId="9" fontId="2" fillId="17" borderId="0" xfId="0" applyNumberFormat="1" applyFont="1" applyFill="1" applyAlignment="1">
      <x:alignment vertical="top" wrapText="1"/>
    </x:xf>
    <x:xf numFmtId="164" fontId="3" fillId="0" borderId="0" xfId="0" applyNumberFormat="1" applyFont="1" applyAlignment="1">
      <x:alignment vertical="top" wrapText="1"/>
    </x:xf>
    <x:xf numFmtId="0" fontId="2" fillId="8" borderId="0" xfId="0" applyFont="1" applyFill="1" applyAlignment="1">
      <x:alignment horizontal="center" wrapText="1"/>
    </x:xf>
    <x:xf numFmtId="0" fontId="3" fillId="4" borderId="0" xfId="0" applyFont="1" applyFill="1" applyAlignment="1">
      <x:alignment wrapText="1"/>
    </x:xf>
    <x:xf numFmtId="0" fontId="2" fillId="9" borderId="0" xfId="0" applyFont="1" applyFill="1" applyAlignment="1">
      <x:alignment horizontal="center" wrapText="1"/>
    </x:xf>
    <x:xf numFmtId="0" fontId="2" fillId="10" borderId="0" xfId="0" applyFont="1" applyFill="1" applyAlignment="1">
      <x:alignment horizontal="center" wrapText="1"/>
    </x:xf>
    <x:xf numFmtId="0" fontId="2" fillId="11" borderId="0" xfId="0" applyFont="1" applyFill="1" applyAlignment="1">
      <x:alignment vertical="top" wrapText="1"/>
    </x:xf>
    <x:xf numFmtId="0" fontId="2" fillId="11" borderId="0" xfId="0" applyFont="1" applyFill="1" applyAlignment="1">
      <x:alignment horizontal="center" wrapText="1"/>
    </x:xf>
    <x:xf numFmtId="0" fontId="2" fillId="12" borderId="0" xfId="0" applyFont="1" applyFill="1" applyAlignment="1">
      <x:alignment vertical="top" wrapText="1"/>
    </x:xf>
    <x:xf numFmtId="0" fontId="2" fillId="12" borderId="0" xfId="0" applyFont="1" applyFill="1" applyAlignment="1">
      <x:alignment horizontal="center" wrapText="1"/>
    </x:xf>
    <x:xf numFmtId="0" fontId="2" fillId="13" borderId="0" xfId="0" applyFont="1" applyFill="1" applyAlignment="1">
      <x:alignment vertical="top" wrapText="1"/>
    </x:xf>
    <x:xf numFmtId="0" fontId="2" fillId="17" borderId="0" xfId="0" applyFont="1" applyFill="1" applyAlignment="1">
      <x:alignment wrapText="1"/>
    </x:xf>
    <x:xf numFmtId="164" fontId="2" fillId="17" borderId="0" xfId="0" applyNumberFormat="1" applyFont="1" applyFill="1" applyAlignment="1">
      <x:alignment wrapText="1"/>
    </x:xf>
    <x:xf numFmtId="2" fontId="2" fillId="17" borderId="0" xfId="0" applyNumberFormat="1" applyFont="1" applyFill="1" applyAlignment="1">
      <x:alignment wrapText="1"/>
    </x:xf>
    <x:xf numFmtId="2" fontId="2" fillId="17" borderId="0" xfId="0" applyNumberFormat="1" applyFont="1" applyFill="1" applyAlignment="1">
      <x:alignment horizontal="center" vertical="center" wrapText="1"/>
    </x:xf>
    <x:xf numFmtId="164" fontId="3" fillId="0" borderId="0" xfId="0" applyNumberFormat="1" applyFont="1" applyAlignment="1">
      <x:alignment wrapText="1"/>
    </x:xf>
    <x:xf numFmtId="164" fontId="3" fillId="16" borderId="0" xfId="0" applyNumberFormat="1" applyFont="1" applyFill="1" applyAlignment="1">
      <x:alignment wrapText="1"/>
    </x:xf>
    <x:xf numFmtId="2" fontId="3" fillId="16" borderId="0" xfId="0" applyNumberFormat="1" applyFont="1" applyFill="1" applyAlignment="1">
      <x:alignment wrapText="1"/>
    </x:xf>
    <x:xf numFmtId="0" fontId="3" fillId="0" borderId="0" xfId="0" applyFont="1" applyAlignment="1">
      <x:alignment wrapText="1"/>
    </x:xf>
    <x:xf numFmtId="0" fontId="3" fillId="16" borderId="0" xfId="0" applyFont="1" applyFill="1" applyAlignment="1">
      <x:alignment wrapText="1"/>
    </x:xf>
    <x:xf numFmtId="9" fontId="3" fillId="0" borderId="0" xfId="0" applyNumberFormat="1" applyFont="1" applyAlignment="1">
      <x:alignment wrapText="1"/>
    </x:xf>
    <x:xf numFmtId="9" fontId="2" fillId="17" borderId="0" xfId="0" applyNumberFormat="1" applyFont="1" applyFill="1" applyAlignment="1">
      <x:alignment wrapText="1"/>
    </x:xf>
    <x:xf numFmtId="0" fontId="2" fillId="7" borderId="0" xfId="0" applyFont="1" applyFill="1" applyAlignment="1">
      <x:alignment wrapText="1"/>
    </x:xf>
    <x:xf numFmtId="0" fontId="2" fillId="8" borderId="0" xfId="0" applyFont="1" applyFill="1" applyAlignment="1">
      <x:alignment wrapText="1"/>
    </x:xf>
    <x:xf numFmtId="0" fontId="2" fillId="9" borderId="0" xfId="0" applyFont="1" applyFill="1" applyAlignment="1">
      <x:alignment wrapText="1"/>
    </x:xf>
    <x:xf numFmtId="0" fontId="2" fillId="10" borderId="0" xfId="0" applyFont="1" applyFill="1" applyAlignment="1">
      <x:alignment wrapText="1"/>
    </x:xf>
    <x:xf numFmtId="0" fontId="2" fillId="11" borderId="0" xfId="0" applyFont="1" applyFill="1" applyAlignment="1">
      <x:alignment wrapText="1"/>
    </x:xf>
    <x:xf numFmtId="0" fontId="2" fillId="12" borderId="0" xfId="0" applyFont="1" applyFill="1" applyAlignment="1">
      <x:alignment wrapText="1"/>
    </x:xf>
    <x:xf numFmtId="0" fontId="5" fillId="20" borderId="0" xfId="0" applyFont="1" applyFill="1" applyAlignment="1">
      <x:alignment horizontal="center" vertical="center" wrapText="1"/>
    </x:xf>
    <x:xf numFmtId="0" fontId="2" fillId="20" borderId="0" xfId="0" applyFont="1" applyFill="1" applyAlignment="1">
      <x:alignment horizontal="center" vertical="center" wrapText="1"/>
    </x:xf>
    <x:xf numFmtId="0" fontId="4" fillId="20" borderId="0" xfId="0" applyFont="1" applyFill="1"/>
    <x:xf numFmtId="0" fontId="12" fillId="23" borderId="0" xfId="0" applyFont="1" applyFill="1" applyAlignment="1">
      <x:alignment vertical="center" wrapText="1"/>
    </x:xf>
    <x:xf numFmtId="0" fontId="5" fillId="15" borderId="0" xfId="0" applyFont="1" applyFill="1" applyAlignment="1">
      <x:alignment vertical="top" wrapText="1"/>
    </x:xf>
    <x:xf numFmtId="0" fontId="14" fillId="20" borderId="0" xfId="0" applyFont="1" applyFill="1" applyAlignment="1">
      <x:alignment wrapText="1"/>
    </x:xf>
    <x:xf numFmtId="0" fontId="14" fillId="20" borderId="0" xfId="0" applyFont="1" applyFill="1"/>
    <x:xf numFmtId="0" fontId="2" fillId="17" borderId="0" xfId="0" applyFont="1" applyFill="1" applyAlignment="1">
      <x:alignment vertical="center" wrapText="1"/>
    </x:xf>
    <x:xf numFmtId="164" fontId="3" fillId="28" borderId="0" xfId="0" applyNumberFormat="1" applyFont="1" applyFill="1" applyAlignment="1">
      <x:alignment wrapText="1"/>
    </x:xf>
    <x:xf numFmtId="1" fontId="3" fillId="28" borderId="0" xfId="0" applyNumberFormat="1" applyFont="1" applyFill="1" applyAlignment="1">
      <x:alignment wrapText="1"/>
    </x:xf>
    <x:xf numFmtId="2" fontId="3" fillId="28" borderId="0" xfId="0" applyNumberFormat="1" applyFont="1" applyFill="1" applyAlignment="1">
      <x:alignment wrapText="1"/>
    </x:xf>
    <x:xf numFmtId="9" fontId="3" fillId="28" borderId="0" xfId="0" applyNumberFormat="1" applyFont="1" applyFill="1" applyAlignment="1">
      <x:alignment wrapText="1"/>
    </x:xf>
    <x:xf numFmtId="0" fontId="3" fillId="28" borderId="0" xfId="0" applyFont="1" applyFill="1" applyAlignment="1">
      <x:alignment wrapText="1"/>
    </x:xf>
    <x:xf numFmtId="0" fontId="4" fillId="20" borderId="0" xfId="0" applyFont="1" applyFill="1" applyAlignment="1">
      <x:alignment horizontal="center"/>
    </x:xf>
    <x:xf numFmtId="0" fontId="4" fillId="20" borderId="0" xfId="0" applyFont="1" applyFill="1" applyAlignment="1">
      <x:alignment vertical="top" wrapText="1"/>
    </x:xf>
    <x:xf numFmtId="164" fontId="0" fillId="28" borderId="0" xfId="0" applyNumberFormat="1" applyFill="1"/>
    <x:xf numFmtId="0" fontId="0" fillId="28" borderId="0" xfId="0" applyFill="1"/>
    <x:xf numFmtId="2" fontId="0" fillId="28" borderId="0" xfId="0" applyNumberFormat="1" applyFill="1"/>
    <x:xf numFmtId="9" fontId="0" fillId="28" borderId="0" xfId="0" applyNumberFormat="1" applyFill="1"/>
    <x:xf numFmtId="9" fontId="0" fillId="0" borderId="0" xfId="0" applyNumberFormat="1" applyAlignment="1">
      <x:alignment wrapText="1"/>
    </x:xf>
    <x:xf numFmtId="166" fontId="5" fillId="29" borderId="0" xfId="0" applyNumberFormat="1" applyFont="1" applyFill="1" applyAlignment="1">
      <x:alignment horizontal="center" vertical="center" wrapText="1"/>
    </x:xf>
    <x:xf numFmtId="0" fontId="2" fillId="29" borderId="0" xfId="0" applyFont="1" applyFill="1" applyAlignment="1">
      <x:alignment horizontal="center" vertical="center" wrapText="1"/>
    </x:xf>
    <x:xf numFmtId="0" fontId="3" fillId="29" borderId="0" xfId="0" applyFont="1" applyFill="1" applyAlignment="1">
      <x:alignment horizontal="center" vertical="top" wrapText="1"/>
    </x:xf>
    <x:xf numFmtId="0" fontId="2" fillId="29" borderId="0" xfId="0" applyFont="1" applyFill="1" applyAlignment="1">
      <x:alignment horizontal="center" vertical="top" wrapText="1"/>
    </x:xf>
    <x:xf numFmtId="0" fontId="9" fillId="17" borderId="0" xfId="0" applyFont="1" applyFill="1" applyAlignment="1">
      <x:alignment horizontal="center" vertical="top" wrapText="1"/>
    </x:xf>
    <x:xf numFmtId="0" fontId="15" fillId="29" borderId="0" xfId="0" applyFont="1" applyFill="1"/>
    <x:xf numFmtId="0" fontId="0" fillId="0" borderId="0" xfId="0" applyAlignment="1">
      <x:alignment horizontal="center" vertical="top" wrapText="1"/>
    </x:xf>
    <x:xf numFmtId="1" fontId="0" fillId="0" borderId="0" xfId="0" applyNumberFormat="1" applyAlignment="1">
      <x:alignment vertical="top" wrapText="1"/>
    </x:xf>
    <x:xf numFmtId="0" fontId="9" fillId="30" borderId="14" xfId="0" applyFont="1" applyFill="1" applyBorder="1" applyAlignment="1">
      <x:alignment horizontal="center" vertical="center" wrapText="1"/>
    </x:xf>
    <x:xf numFmtId="0" fontId="9" fillId="30" borderId="16" xfId="0" applyFont="1" applyFill="1" applyBorder="1" applyAlignment="1">
      <x:alignment horizontal="center" vertical="center" wrapText="1"/>
    </x:xf>
    <x:xf numFmtId="0" fontId="9" fillId="30" borderId="15" xfId="0" applyFont="1" applyFill="1" applyBorder="1" applyAlignment="1">
      <x:alignment horizontal="center" vertical="center" wrapText="1"/>
    </x:xf>
    <x:xf numFmtId="0" fontId="0" fillId="0" borderId="17" xfId="0" applyBorder="1" applyAlignment="1">
      <x:alignment vertical="top" wrapText="1"/>
    </x:xf>
    <x:xf numFmtId="0" fontId="0" fillId="0" borderId="18" xfId="0" applyBorder="1" applyAlignment="1">
      <x:alignment vertical="top" wrapText="1"/>
    </x:xf>
    <x:xf numFmtId="0" fontId="0" fillId="0" borderId="19" xfId="0" applyBorder="1" applyAlignment="1">
      <x:alignment vertical="top" wrapText="1"/>
    </x:xf>
    <x:xf numFmtId="0" fontId="0" fillId="0" borderId="20" xfId="0" applyBorder="1" applyAlignment="1">
      <x:alignment vertical="top" wrapText="1"/>
    </x:xf>
    <x:xf numFmtId="0" fontId="0" fillId="0" borderId="21" xfId="0" applyBorder="1" applyAlignment="1">
      <x:alignment vertical="top" wrapText="1"/>
    </x:xf>
    <x:xf numFmtId="0" fontId="0" fillId="0" borderId="22" xfId="0" applyBorder="1" applyAlignment="1">
      <x:alignment vertical="top" wrapText="1"/>
    </x:xf>
    <x:xf numFmtId="0" fontId="0" fillId="0" borderId="23" xfId="0" applyBorder="1" applyAlignment="1">
      <x:alignment vertical="top" wrapText="1"/>
    </x:xf>
    <x:xf numFmtId="0" fontId="0" fillId="0" borderId="24" xfId="0" applyBorder="1" applyAlignment="1">
      <x:alignment vertical="top" wrapText="1"/>
    </x:xf>
    <x:xf numFmtId="0" fontId="21" fillId="33" borderId="25" xfId="0" applyFont="1" applyFill="1" applyBorder="1" applyAlignment="1">
      <x:alignment vertical="top" wrapText="1"/>
    </x:xf>
    <x:xf numFmtId="0" fontId="22" fillId="0" borderId="25" xfId="0" applyFont="1" applyBorder="1" applyAlignment="1">
      <x:alignment vertical="top" wrapText="1"/>
    </x:xf>
    <x:xf numFmtId="0" fontId="21" fillId="33" borderId="26" xfId="0" applyFont="1" applyFill="1" applyBorder="1" applyAlignment="1">
      <x:alignment vertical="top" wrapText="1"/>
    </x:xf>
    <x:xf numFmtId="0" fontId="21" fillId="33" borderId="27" xfId="0" applyFont="1" applyFill="1" applyBorder="1" applyAlignment="1">
      <x:alignment vertical="top" wrapText="1"/>
    </x:xf>
    <x:xf numFmtId="0" fontId="22" fillId="0" borderId="26" xfId="0" applyFont="1" applyBorder="1" applyAlignment="1">
      <x:alignment vertical="top" wrapText="1"/>
    </x:xf>
    <x:xf numFmtId="0" fontId="22" fillId="0" borderId="27" xfId="0" applyFont="1" applyBorder="1" applyAlignment="1">
      <x:alignment vertical="top" wrapText="1"/>
    </x:xf>
    <x:xf numFmtId="164" fontId="0" fillId="0" borderId="18" xfId="0" applyNumberFormat="1" applyBorder="1" applyAlignment="1">
      <x:alignment vertical="top" wrapText="1"/>
    </x:xf>
    <x:xf numFmtId="164" fontId="0" fillId="0" borderId="23" xfId="0" applyNumberFormat="1" applyBorder="1" applyAlignment="1">
      <x:alignment vertical="top" wrapText="1"/>
    </x:xf>
    <x:xf numFmtId="0" fontId="0" fillId="0" borderId="14" xfId="0" applyBorder="1" applyAlignment="1">
      <x:alignment vertical="top" wrapText="1"/>
    </x:xf>
    <x:xf numFmtId="164" fontId="0" fillId="0" borderId="16" xfId="0" applyNumberFormat="1" applyBorder="1" applyAlignment="1">
      <x:alignment vertical="top" wrapText="1"/>
    </x:xf>
    <x:xf numFmtId="0" fontId="0" fillId="0" borderId="16" xfId="0" applyBorder="1" applyAlignment="1">
      <x:alignment vertical="top" wrapText="1"/>
    </x:xf>
    <x:xf numFmtId="0" fontId="0" fillId="0" borderId="15" xfId="0" applyBorder="1" applyAlignment="1">
      <x:alignment vertical="top" wrapText="1"/>
    </x:xf>
    <x:xf numFmtId="0" fontId="18" fillId="33" borderId="25" xfId="0" applyFont="1" applyFill="1" applyBorder="1" applyAlignment="1">
      <x:alignment vertical="top" wrapText="1"/>
    </x:xf>
    <x:xf numFmtId="0" fontId="19" fillId="0" borderId="25" xfId="0" applyFont="1" applyBorder="1" applyAlignment="1">
      <x:alignment vertical="top" wrapText="1"/>
    </x:xf>
    <x:xf numFmtId="0" fontId="1" fillId="17" borderId="0" xfId="0" applyFont="1" applyFill="1" applyAlignment="1">
      <x:alignment horizontal="left" vertical="center"/>
    </x:xf>
    <x:xf numFmtId="0" fontId="1" fillId="2" borderId="0" xfId="0" applyFont="1" applyFill="1" applyAlignment="1">
      <x:alignment vertical="center"/>
    </x:xf>
    <x:xf numFmtId="0" fontId="12" fillId="23" borderId="0" xfId="0" applyFont="1" applyFill="1" applyAlignment="1">
      <x:alignment vertical="center"/>
    </x:xf>
    <x:xf numFmtId="0" fontId="2" fillId="3" borderId="0" xfId="0" applyFont="1" applyFill="1" applyAlignment="1">
      <x:alignment vertical="center"/>
    </x:xf>
    <x:xf numFmtId="0" fontId="3" fillId="0" borderId="0" xfId="0" applyFont="1" applyAlignment="1">
      <x:alignment vertical="top" wrapText="1"/>
    </x:xf>
    <x:xf numFmtId="0" fontId="3" fillId="0" borderId="3" xfId="0" applyFont="1" applyBorder="1" applyAlignment="1">
      <x:alignment vertical="top" wrapText="1"/>
    </x:xf>
    <x:xf numFmtId="0" fontId="3" fillId="0" borderId="4" xfId="0" applyFont="1" applyBorder="1" applyAlignment="1">
      <x:alignment vertical="top" wrapText="1"/>
    </x:xf>
    <x:xf numFmtId="0" fontId="3" fillId="0" borderId="6" xfId="0" applyFont="1" applyBorder="1" applyAlignment="1">
      <x:alignment vertical="top" wrapText="1"/>
    </x:xf>
    <x:xf numFmtId="0" fontId="3" fillId="0" borderId="8" xfId="0" applyFont="1" applyBorder="1" applyAlignment="1">
      <x:alignment vertical="top" wrapText="1"/>
    </x:xf>
    <x:xf numFmtId="0" fontId="3" fillId="0" borderId="9" xfId="0" applyFont="1" applyBorder="1" applyAlignment="1">
      <x:alignment vertical="top" wrapText="1"/>
    </x:xf>
    <x:xf numFmtId="0" fontId="12" fillId="23" borderId="0" xfId="0" applyFont="1" applyFill="1" applyAlignment="1">
      <x:alignment vertical="center" wrapText="1"/>
    </x:xf>
    <x:xf numFmtId="164" fontId="3" fillId="4" borderId="1" xfId="0" applyNumberFormat="1" applyFont="1" applyFill="1" applyBorder="1" applyAlignment="1">
      <x:alignment wrapText="1"/>
    </x:xf>
    <x:xf numFmtId="0" fontId="3" fillId="0" borderId="0" xfId="0" applyFont="1"/>
    <x:xf numFmtId="0" fontId="4" fillId="18" borderId="0" xfId="0" applyFont="1" applyFill="1" applyAlignment="1">
      <x:alignment vertical="center" wrapText="1"/>
    </x:xf>
    <x:xf numFmtId="0" fontId="20" fillId="31" borderId="0" xfId="0" applyFont="1" applyFill="1" applyAlignment="1">
      <x:alignment horizontal="left" vertical="center" wrapText="1"/>
    </x:xf>
    <x:xf numFmtId="0" fontId="10" fillId="18" borderId="0" xfId="0" applyFont="1" applyFill="1" applyAlignment="1">
      <x:alignment wrapText="1"/>
    </x:xf>
    <x:xf numFmtId="0" fontId="11" fillId="18" borderId="0" xfId="0" applyFont="1" applyFill="1" applyAlignment="1">
      <x:alignment wrapText="1"/>
    </x:xf>
    <x:xf numFmtId="0" fontId="16" fillId="29" borderId="0" xfId="0" applyFont="1" applyFill="1" applyAlignment="1">
      <x:alignment wrapText="1"/>
    </x:xf>
    <x:xf numFmtId="0" fontId="11" fillId="19" borderId="0" xfId="0" applyFont="1" applyFill="1" applyAlignment="1">
      <x:alignment wrapText="1"/>
    </x:xf>
    <x:xf numFmtId="0" fontId="2" fillId="2" borderId="10" xfId="0" applyFont="1" applyFill="1" applyBorder="1"/>
    <x:xf numFmtId="0" fontId="2" fillId="2" borderId="11" xfId="0" applyFont="1" applyFill="1" applyBorder="1"/>
    <x:xf numFmtId="0" fontId="3" fillId="0" borderId="11" xfId="0" applyFont="1" applyBorder="1" applyAlignment="1">
      <x:alignment vertical="top" wrapText="1"/>
    </x:xf>
    <x:xf numFmtId="164" fontId="3" fillId="0" borderId="11" xfId="0" applyNumberFormat="1" applyFont="1" applyBorder="1" applyAlignment="1">
      <x:alignment vertical="top" wrapText="1"/>
    </x:xf>
    <x:xf numFmtId="0" fontId="3" fillId="0" borderId="12" xfId="0" applyFont="1" applyBorder="1" applyAlignment="1">
      <x:alignment vertical="top" wrapText="1"/>
    </x:xf>
    <x:xf numFmtId="0" fontId="3" fillId="4" borderId="0" xfId="0" applyFont="1" applyFill="1" applyAlignment="1">
      <x:alignment vertical="top" wrapText="1"/>
    </x:xf>
    <x:xf numFmtId="0" fontId="4" fillId="18" borderId="0" xfId="0" applyFont="1" applyFill="1" applyAlignment="1">
      <x:alignment vertical="top" wrapText="1"/>
    </x:xf>
    <x:xf numFmtId="0" fontId="6" fillId="0" borderId="0" xfId="0" applyFont="1"/>
    <x:xf numFmtId="0" fontId="7" fillId="17" borderId="0" xfId="0" applyFont="1" applyFill="1" applyAlignment="1">
      <x:alignment horizontal="left" vertical="center" wrapText="1"/>
    </x:xf>
    <x:xf numFmtId="0" fontId="0" fillId="0" borderId="0" xfId="0" applyAlignment="1">
      <x:alignment wrapText="1"/>
    </x:xf>
    <x:xf numFmtId="0" fontId="8" fillId="18" borderId="0" xfId="0" applyFont="1" applyFill="1" applyAlignment="1">
      <x:alignment wrapText="1"/>
    </x:xf>
    <x:xf numFmtId="0" fontId="7" fillId="17" borderId="0" xfId="0" applyFont="1" applyFill="1" applyAlignment="1">
      <x:alignment horizontal="left" vertical="center"/>
    </x:xf>
    <x:xf numFmtId="0" fontId="0" fillId="0" borderId="0" xfId="0"/>
    <x:xf numFmtId="0" fontId="8" fillId="19" borderId="0" xfId="0" applyFont="1" applyFill="1" applyAlignment="1">
      <x:alignment wrapText="1"/>
    </x:xf>
    <x:xf numFmtId="0" fontId="13" fillId="23" borderId="0" xfId="0" applyFont="1" applyFill="1" applyAlignment="1">
      <x:alignment vertical="center"/>
    </x:xf>
    <x:xf numFmtId="0" fontId="9" fillId="32" borderId="0" xfId="0" applyFont="1" applyFill="1" applyAlignment="1">
      <x:alignment horizontal="left" vertical="center"/>
    </x:xf>
    <x:xf numFmtId="0" fontId="18" fillId="33" borderId="14" xfId="0" applyFont="1" applyFill="1" applyBorder="1" applyAlignment="1">
      <x:alignment vertical="top" wrapText="1"/>
    </x:xf>
    <x:xf numFmtId="0" fontId="18" fillId="33" borderId="15" xfId="0" applyFont="1" applyFill="1" applyBorder="1" applyAlignment="1">
      <x:alignment vertical="top" wrapText="1"/>
    </x:xf>
    <x:xf numFmtId="0" fontId="19" fillId="0" borderId="14" xfId="0" applyFont="1" applyBorder="1" applyAlignment="1">
      <x:alignment vertical="top" wrapText="1"/>
    </x:xf>
    <x:xf numFmtId="0" fontId="19" fillId="0" borderId="16" xfId="0" applyFont="1" applyBorder="1" applyAlignment="1">
      <x:alignment vertical="top" wrapText="1"/>
    </x:xf>
    <x:xf numFmtId="0" fontId="19" fillId="0" borderId="15" xfId="0" applyFont="1" applyBorder="1" applyAlignment="1">
      <x:alignment vertical="top" wrapText="1"/>
    </x:xf>
    <x:xf numFmtId="0" fontId="17" fillId="34" borderId="0" xfId="0" applyFont="1" applyFill="1" applyAlignment="1">
      <x:alignment horizontal="left" vertical="center" wrapText="1"/>
    </x:xf>
    <x:xf numFmtId="0" fontId="0" fillId="28" borderId="0" xfId="0" applyFill="1" applyAlignment="1">
      <x:alignment vertical="center" wrapText="1"/>
    </x:xf>
    <x:xf numFmtId="0" fontId="14" fillId="28" borderId="0" xfId="0" applyFont="1" applyFill="1" applyAlignment="1">
      <x:alignment vertical="center" wrapText="1"/>
    </x:xf>
    <x:xf numFmtId="0" fontId="7" fillId="30" borderId="0" xfId="0" applyFont="1" applyFill="1" applyAlignment="1">
      <x:alignment horizontal="left" vertical="center" wrapText="1"/>
    </x:xf>
    <x:xf numFmtId="0" fontId="17" fillId="31" borderId="0" xfId="0" applyFont="1" applyFill="1" applyAlignment="1">
      <x:alignment horizontal="left" vertical="center" wrapText="1"/>
    </x:xf>
    <x:xf numFmtId="0" fontId="0" fillId="0" borderId="28" xfId="0" applyNumberFormat="1" applyFont="1" applyFill="1" applyBorder="1"/>
    <x:xf numFmtId="0" fontId="3" fillId="0" borderId="28" xfId="0" applyNumberFormat="1" applyFont="1" applyFill="1" applyBorder="1"/>
    <x:xf numFmtId="0" fontId="2" fillId="3" borderId="28" xfId="0" applyNumberFormat="1" applyFont="1" applyFill="1" applyBorder="1" applyAlignment="1">
      <x:alignment vertical="center"/>
    </x:xf>
    <x:xf numFmtId="0" fontId="3" fillId="0" borderId="28" xfId="0" applyNumberFormat="1" applyFont="1" applyFill="1" applyBorder="1" applyAlignment="1">
      <x:alignment vertical="top" wrapText="1"/>
    </x:xf>
    <x:xf numFmtId="0" fontId="2" fillId="6" borderId="28" xfId="0" applyNumberFormat="1" applyFont="1" applyFill="1" applyBorder="1" applyAlignment="1">
      <x:alignment horizontal="center" vertical="center" wrapText="1"/>
    </x:xf>
    <x:xf numFmtId="164" fontId="3" fillId="0" borderId="28" xfId="0" applyNumberFormat="1" applyFont="1" applyFill="1" applyBorder="1" applyAlignment="1">
      <x:alignment vertical="top" wrapText="1"/>
    </x:xf>
    <x:xf numFmtId="0" fontId="2" fillId="7" borderId="28" xfId="0" applyNumberFormat="1" applyFont="1" applyFill="1" applyBorder="1" applyAlignment="1">
      <x:alignment horizontal="center"/>
    </x:xf>
    <x:xf numFmtId="0" fontId="3" fillId="4" borderId="28" xfId="0" applyNumberFormat="1" applyFont="1" applyFill="1" applyBorder="1"/>
    <x:xf numFmtId="0" fontId="2" fillId="10" borderId="28" xfId="0" applyNumberFormat="1" applyFont="1" applyFill="1" applyBorder="1" applyAlignment="1">
      <x:alignment vertical="top" wrapText="1"/>
    </x:xf>
    <x:xf numFmtId="0" fontId="2" fillId="11" borderId="28" xfId="0" applyNumberFormat="1" applyFont="1" applyFill="1" applyBorder="1" applyAlignment="1">
      <x:alignment vertical="top" wrapText="1"/>
    </x:xf>
    <x:xf numFmtId="0" fontId="2" fillId="12" borderId="28" xfId="0" applyNumberFormat="1" applyFont="1" applyFill="1" applyBorder="1" applyAlignment="1">
      <x:alignment vertical="top" wrapText="1"/>
    </x:xf>
    <x:xf numFmtId="0" fontId="2" fillId="12" borderId="28" xfId="0" applyNumberFormat="1" applyFont="1" applyFill="1" applyBorder="1" applyAlignment="1">
      <x:alignment horizontal="center"/>
    </x:xf>
    <x:xf numFmtId="0" fontId="2" fillId="13" borderId="28" xfId="0" applyNumberFormat="1" applyFont="1" applyFill="1" applyBorder="1" applyAlignment="1">
      <x:alignment vertical="top" wrapText="1"/>
    </x:xf>
    <x:xf numFmtId="0" fontId="2" fillId="13" borderId="28" xfId="0" applyNumberFormat="1" applyFont="1" applyFill="1" applyBorder="1" applyAlignment="1">
      <x:alignment horizontal="center"/>
    </x:xf>
    <x:xf numFmtId="0" fontId="2" fillId="14" borderId="28" xfId="0" applyNumberFormat="1" applyFont="1" applyFill="1" applyBorder="1" applyAlignment="1">
      <x:alignment vertical="top" wrapText="1"/>
    </x:xf>
    <x:xf numFmtId="0" fontId="2" fillId="14" borderId="28" xfId="0" applyNumberFormat="1" applyFont="1" applyFill="1" applyBorder="1" applyAlignment="1">
      <x:alignment horizontal="center"/>
    </x:xf>
    <x:xf numFmtId="0" fontId="2" fillId="2" borderId="28" xfId="0" applyNumberFormat="1" applyFont="1" applyFill="1" applyBorder="1"/>
    <x:xf numFmtId="9" fontId="2" fillId="2" borderId="28" xfId="0" applyNumberFormat="1" applyFont="1" applyFill="1" applyBorder="1"/>
    <x:xf numFmtId="166" fontId="5" fillId="5" borderId="28" xfId="0" applyNumberFormat="1" applyFont="1" applyFill="1" applyBorder="1" applyAlignment="1">
      <x:alignment horizontal="center" vertical="center" wrapText="1"/>
    </x:xf>
    <x:xf numFmtId="0" fontId="3" fillId="0" borderId="28" xfId="0" applyNumberFormat="1" applyFont="1" applyFill="1" applyBorder="1" applyAlignment="1">
      <x:alignment horizontal="center" vertical="top" wrapText="1"/>
    </x:xf>
    <x:xf numFmtId="164" fontId="3" fillId="0" borderId="28" xfId="0" applyNumberFormat="1" applyFont="1" applyFill="1" applyBorder="1" applyAlignment="1">
      <x:alignment horizontal="center" vertical="top" wrapText="1"/>
    </x:xf>
    <x:xf numFmtId="9" fontId="3" fillId="0" borderId="28" xfId="0" applyNumberFormat="1" applyFont="1" applyFill="1" applyBorder="1" applyAlignment="1">
      <x:alignment horizontal="center" vertical="top" wrapText="1"/>
    </x:xf>
    <x:xf numFmtId="0" fontId="3" fillId="0" borderId="28" xfId="0" applyNumberFormat="1" applyFont="1" applyFill="1" applyBorder="1" applyAlignment="1">
      <x:alignment horizontal="center"/>
    </x:xf>
    <x:xf numFmtId="0" fontId="2" fillId="7" borderId="28" xfId="0" applyNumberFormat="1" applyFont="1" applyFill="1" applyBorder="1" applyAlignment="1">
      <x:alignment horizontal="center" vertical="center"/>
    </x:xf>
    <x:xf numFmtId="0" fontId="2" fillId="9" borderId="28" xfId="0" applyNumberFormat="1" applyFont="1" applyFill="1" applyBorder="1" applyAlignment="1">
      <x:alignment horizontal="center" vertical="center"/>
    </x:xf>
    <x:xf numFmtId="0" fontId="2" fillId="10" borderId="28" xfId="0" applyNumberFormat="1" applyFont="1" applyFill="1" applyBorder="1" applyAlignment="1">
      <x:alignment horizontal="center" vertical="center"/>
    </x:xf>
    <x:xf numFmtId="0" fontId="2" fillId="11" borderId="28" xfId="0" applyNumberFormat="1" applyFont="1" applyFill="1" applyBorder="1" applyAlignment="1">
      <x:alignment horizontal="center" vertical="center"/>
    </x:xf>
    <x:xf numFmtId="0" fontId="2" fillId="12" borderId="28" xfId="0" applyNumberFormat="1" applyFont="1" applyFill="1" applyBorder="1" applyAlignment="1">
      <x:alignment horizontal="center" vertical="center"/>
    </x:xf>
    <x:xf numFmtId="0" fontId="2" fillId="13" borderId="28" xfId="0" applyNumberFormat="1" applyFont="1" applyFill="1" applyBorder="1" applyAlignment="1">
      <x:alignment horizontal="center" vertical="center"/>
    </x:xf>
    <x:xf numFmtId="0" fontId="2" fillId="14" borderId="28" xfId="0" applyNumberFormat="1" applyFont="1" applyFill="1" applyBorder="1" applyAlignment="1">
      <x:alignment horizontal="center" vertical="center"/>
    </x:xf>
    <x:xf numFmtId="0" fontId="3" fillId="0" borderId="28" xfId="0" applyNumberFormat="1" applyFont="1" applyFill="1" applyBorder="1" applyAlignment="1">
      <x:alignment wrapText="1"/>
    </x:xf>
    <x:xf numFmtId="164" fontId="3" fillId="0" borderId="28" xfId="0" applyNumberFormat="1" applyFont="1" applyFill="1" applyBorder="1" applyAlignment="1">
      <x:alignment wrapText="1"/>
    </x:xf>
    <x:xf numFmtId="0" fontId="3" fillId="16" borderId="28" xfId="0" applyNumberFormat="1" applyFont="1" applyFill="1" applyBorder="1" applyAlignment="1">
      <x:alignment wrapText="1"/>
    </x:xf>
    <x:xf numFmtId="164" fontId="3" fillId="16" borderId="28" xfId="0" applyNumberFormat="1" applyFont="1" applyFill="1" applyBorder="1" applyAlignment="1">
      <x:alignment wrapText="1"/>
    </x:xf>
    <x:xf numFmtId="165" fontId="3" fillId="0" borderId="28" xfId="0" applyNumberFormat="1" applyFont="1" applyFill="1" applyBorder="1" applyAlignment="1">
      <x:alignment wrapText="1"/>
    </x:xf>
    <x:xf numFmtId="0" fontId="2" fillId="14" borderId="28" xfId="0" applyNumberFormat="1" applyFont="1" applyFill="1" applyBorder="1" applyAlignment="1">
      <x:alignment wrapText="1"/>
    </x:xf>
    <x:xf numFmtId="0" fontId="6" fillId="0" borderId="28" xfId="0" applyNumberFormat="1" applyFont="1" applyFill="1" applyBorder="1"/>
    <x:xf numFmtId="2" fontId="3" fillId="0" borderId="28" xfId="0" applyNumberFormat="1" applyFont="1" applyFill="1" applyBorder="1" applyAlignment="1">
      <x:alignment horizontal="center" vertical="top" wrapText="1"/>
    </x:xf>
    <x:xf numFmtId="2" fontId="3" fillId="0" borderId="28" xfId="0" applyNumberFormat="1" applyFont="1" applyFill="1" applyBorder="1" applyAlignment="1">
      <x:alignment wrapText="1"/>
    </x:xf>
    <x:xf numFmtId="0" fontId="3" fillId="4" borderId="28" xfId="0" applyNumberFormat="1" applyFont="1" applyFill="1" applyBorder="1" applyAlignment="1">
      <x:alignment vertical="top" wrapText="1"/>
    </x:xf>
    <x:xf numFmtId="0" fontId="1" fillId="2" borderId="28" xfId="0" applyNumberFormat="1" applyFont="1" applyFill="1" applyBorder="1" applyAlignment="1">
      <x:alignment vertical="center"/>
    </x:xf>
    <x:xf numFmtId="0" fontId="0" fillId="0" borderId="28" xfId="0" applyNumberFormat="1" applyFont="1" applyFill="1" applyBorder="1" applyAlignment="1">
      <x:alignment wrapText="1"/>
    </x:xf>
    <x:xf numFmtId="0" fontId="9" fillId="17" borderId="28" xfId="0" applyNumberFormat="1" applyFont="1" applyFill="1" applyBorder="1"/>
    <x:xf numFmtId="0" fontId="9" fillId="17" borderId="28" xfId="0" applyNumberFormat="1" applyFont="1" applyFill="1" applyBorder="1" applyAlignment="1">
      <x:alignment horizontal="center" vertical="center" wrapText="1"/>
    </x:xf>
    <x:xf numFmtId="164" fontId="0" fillId="0" borderId="28" xfId="0" applyNumberFormat="1" applyFont="1" applyFill="1" applyBorder="1" applyAlignment="1">
      <x:alignment wrapText="1"/>
    </x:xf>
    <x:xf numFmtId="2" fontId="0" fillId="0" borderId="28" xfId="0" applyNumberFormat="1" applyFont="1" applyFill="1" applyBorder="1" applyAlignment="1">
      <x:alignment wrapText="1"/>
    </x:xf>
    <x:xf numFmtId="0" fontId="0" fillId="0" borderId="28" xfId="0" applyNumberFormat="1" applyFont="1" applyFill="1" applyBorder="1" applyAlignment="1">
      <x:alignment vertical="top" wrapText="1"/>
    </x:xf>
    <x:xf numFmtId="164" fontId="0" fillId="0" borderId="28" xfId="0" applyNumberFormat="1" applyFont="1" applyFill="1" applyBorder="1" applyAlignment="1">
      <x:alignment vertical="top" wrapText="1"/>
    </x:xf>
    <x:xf numFmtId="2" fontId="0" fillId="0" borderId="28" xfId="0" applyNumberFormat="1" applyFont="1" applyFill="1" applyBorder="1" applyAlignment="1">
      <x:alignment vertical="top" wrapText="1"/>
    </x:xf>
    <x:xf numFmtId="0" fontId="2" fillId="17" borderId="28" xfId="0" applyNumberFormat="1" applyFont="1" applyFill="1" applyBorder="1" applyAlignment="1">
      <x:alignment vertical="center"/>
    </x:xf>
    <x:xf numFmtId="164" fontId="2" fillId="17" borderId="28" xfId="0" applyNumberFormat="1" applyFont="1" applyFill="1" applyBorder="1" applyAlignment="1">
      <x:alignment vertical="center"/>
    </x:xf>
    <x:xf numFmtId="0" fontId="2" fillId="17" borderId="28" xfId="0" applyNumberFormat="1" applyFont="1" applyFill="1" applyBorder="1" applyAlignment="1">
      <x:alignment horizontal="center" vertical="center" wrapText="1"/>
    </x:xf>
    <x:xf numFmtId="0" fontId="2" fillId="17" borderId="28" xfId="0" applyNumberFormat="1" applyFont="1" applyFill="1" applyBorder="1" applyAlignment="1">
      <x:alignment vertical="top" wrapText="1"/>
    </x:xf>
    <x:xf numFmtId="0" fontId="2" fillId="17" borderId="28" xfId="0" applyNumberFormat="1" applyFont="1" applyFill="1" applyBorder="1" applyAlignment="1">
      <x:alignment horizontal="center" vertical="top" wrapText="1"/>
    </x:xf>
    <x:xf numFmtId="164" fontId="2" fillId="17" borderId="28" xfId="0" applyNumberFormat="1" applyFont="1" applyFill="1" applyBorder="1" applyAlignment="1">
      <x:alignment horizontal="center" vertical="top" wrapText="1"/>
    </x:xf>
    <x:xf numFmtId="9" fontId="2" fillId="17" borderId="28" xfId="0" applyNumberFormat="1" applyFont="1" applyFill="1" applyBorder="1" applyAlignment="1">
      <x:alignment horizontal="center" vertical="top" wrapText="1"/>
    </x:xf>
    <x:xf numFmtId="167" fontId="3" fillId="0" borderId="28" xfId="0" applyNumberFormat="1" applyFont="1" applyFill="1" applyBorder="1" applyAlignment="1">
      <x:alignment horizontal="center" vertical="top" wrapText="1"/>
    </x:xf>
    <x:xf numFmtId="167" fontId="2" fillId="17" borderId="28" xfId="0" applyNumberFormat="1" applyFont="1" applyFill="1" applyBorder="1" applyAlignment="1">
      <x:alignment horizontal="center" vertical="top" wrapText="1"/>
    </x:xf>
    <x:xf numFmtId="2" fontId="2" fillId="17" borderId="28" xfId="0" applyNumberFormat="1" applyFont="1" applyFill="1" applyBorder="1" applyAlignment="1">
      <x:alignment horizontal="center" vertical="top" wrapText="1"/>
    </x:xf>
    <x:xf numFmtId="0" fontId="2" fillId="8" borderId="28" xfId="0" applyNumberFormat="1" applyFont="1" applyFill="1" applyBorder="1" applyAlignment="1">
      <x:alignment vertical="top" wrapText="1"/>
    </x:xf>
    <x:xf numFmtId="0" fontId="2" fillId="9" borderId="28" xfId="0" applyNumberFormat="1" applyFont="1" applyFill="1" applyBorder="1" applyAlignment="1">
      <x:alignment vertical="top" wrapText="1"/>
    </x:xf>
    <x:xf numFmtId="0" fontId="2" fillId="7" borderId="28" xfId="0" applyNumberFormat="1" applyFont="1" applyFill="1" applyBorder="1" applyAlignment="1">
      <x:alignment horizontal="center" vertical="top" wrapText="1"/>
    </x:xf>
    <x:xf numFmtId="0" fontId="2" fillId="21" borderId="28" xfId="0" applyNumberFormat="1" applyFont="1" applyFill="1" applyBorder="1" applyAlignment="1">
      <x:alignment vertical="top" wrapText="1"/>
    </x:xf>
    <x:xf numFmtId="0" fontId="3" fillId="22" borderId="28" xfId="0" applyNumberFormat="1" applyFont="1" applyFill="1" applyBorder="1" applyAlignment="1">
      <x:alignment vertical="top" wrapText="1"/>
    </x:xf>
    <x:xf numFmtId="0" fontId="2" fillId="22" borderId="28" xfId="0" applyNumberFormat="1" applyFont="1" applyFill="1" applyBorder="1" applyAlignment="1">
      <x:alignment vertical="top" wrapText="1"/>
    </x:xf>
    <x:xf numFmtId="167" fontId="3" fillId="22" borderId="28" xfId="0" applyNumberFormat="1" applyFont="1" applyFill="1" applyBorder="1" applyAlignment="1">
      <x:alignment horizontal="center" vertical="top" wrapText="1"/>
    </x:xf>
    <x:xf numFmtId="0" fontId="3" fillId="22" borderId="28" xfId="0" applyNumberFormat="1" applyFont="1" applyFill="1" applyBorder="1" applyAlignment="1">
      <x:alignment horizontal="center" vertical="top" wrapText="1"/>
    </x:xf>
    <x:xf numFmtId="164" fontId="3" fillId="22" borderId="28" xfId="0" applyNumberFormat="1" applyFont="1" applyFill="1" applyBorder="1" applyAlignment="1">
      <x:alignment horizontal="center" vertical="top" wrapText="1"/>
    </x:xf>
    <x:xf numFmtId="9" fontId="3" fillId="22" borderId="28" xfId="0" applyNumberFormat="1" applyFont="1" applyFill="1" applyBorder="1" applyAlignment="1">
      <x:alignment horizontal="center" vertical="top" wrapText="1"/>
    </x:xf>
    <x:xf numFmtId="2" fontId="3" fillId="22" borderId="28" xfId="0" applyNumberFormat="1" applyFont="1" applyFill="1" applyBorder="1" applyAlignment="1">
      <x:alignment horizontal="center" vertical="top" wrapText="1"/>
    </x:xf>
    <x:xf numFmtId="0" fontId="2" fillId="22" borderId="28" xfId="0" applyNumberFormat="1" applyFont="1" applyFill="1" applyBorder="1" applyAlignment="1">
      <x:alignment horizontal="center" vertical="top" wrapText="1"/>
    </x:xf>
    <x:xf numFmtId="0" fontId="2" fillId="23" borderId="28" xfId="0" applyNumberFormat="1" applyFont="1" applyFill="1" applyBorder="1" applyAlignment="1">
      <x:alignment vertical="top" wrapText="1"/>
    </x:xf>
    <x:xf numFmtId="0" fontId="2" fillId="25" borderId="28" xfId="0" applyNumberFormat="1" applyFont="1" applyFill="1" applyBorder="1" applyAlignment="1">
      <x:alignment vertical="top" wrapText="1"/>
    </x:xf>
    <x:xf numFmtId="0" fontId="2" fillId="26" borderId="28" xfId="0" applyNumberFormat="1" applyFont="1" applyFill="1" applyBorder="1" applyAlignment="1">
      <x:alignment vertical="top" wrapText="1"/>
    </x:xf>
    <x:xf numFmtId="0" fontId="2" fillId="27" borderId="28" xfId="0" applyNumberFormat="1" applyFont="1" applyFill="1" applyBorder="1" applyAlignment="1">
      <x:alignment vertical="top" wrapText="1"/>
    </x:xf>
    <x:xf numFmtId="164" fontId="2" fillId="17" borderId="28" xfId="0" applyNumberFormat="1" applyFont="1" applyFill="1" applyBorder="1" applyAlignment="1">
      <x:alignment vertical="top" wrapText="1"/>
    </x:xf>
    <x:xf numFmtId="165" fontId="2" fillId="17" borderId="28" xfId="0" applyNumberFormat="1" applyFont="1" applyFill="1" applyBorder="1" applyAlignment="1">
      <x:alignment horizontal="center" vertical="center" wrapText="1"/>
    </x:xf>
    <x:xf numFmtId="164" fontId="2" fillId="17" borderId="28" xfId="0" applyNumberFormat="1" applyFont="1" applyFill="1" applyBorder="1" applyAlignment="1">
      <x:alignment horizontal="center" vertical="center" wrapText="1"/>
    </x:xf>
    <x:xf numFmtId="0" fontId="2" fillId="17" borderId="28" xfId="0" applyNumberFormat="1" applyFont="1" applyFill="1" applyBorder="1"/>
    <x:xf numFmtId="2" fontId="3" fillId="0" borderId="28" xfId="0" applyNumberFormat="1" applyFont="1" applyFill="1" applyBorder="1" applyAlignment="1">
      <x:alignment vertical="top" wrapText="1"/>
    </x:xf>
    <x:xf numFmtId="2" fontId="2" fillId="17" borderId="28" xfId="0" applyNumberFormat="1" applyFont="1" applyFill="1" applyBorder="1" applyAlignment="1">
      <x:alignment vertical="top" wrapText="1"/>
    </x:xf>
    <x:xf numFmtId="9" fontId="3" fillId="0" borderId="28" xfId="0" applyNumberFormat="1" applyFont="1" applyFill="1" applyBorder="1" applyAlignment="1">
      <x:alignment vertical="top" wrapText="1"/>
    </x:xf>
    <x:xf numFmtId="9" fontId="2" fillId="17" borderId="28" xfId="0" applyNumberFormat="1" applyFont="1" applyFill="1" applyBorder="1" applyAlignment="1">
      <x:alignment vertical="top" wrapText="1"/>
    </x:xf>
    <x:xf numFmtId="0" fontId="2" fillId="8" borderId="28" xfId="0" applyNumberFormat="1" applyFont="1" applyFill="1" applyBorder="1" applyAlignment="1">
      <x:alignment horizontal="center" wrapText="1"/>
    </x:xf>
    <x:xf numFmtId="0" fontId="3" fillId="4" borderId="28" xfId="0" applyNumberFormat="1" applyFont="1" applyFill="1" applyBorder="1" applyAlignment="1">
      <x:alignment wrapText="1"/>
    </x:xf>
    <x:xf numFmtId="0" fontId="2" fillId="9" borderId="28" xfId="0" applyNumberFormat="1" applyFont="1" applyFill="1" applyBorder="1" applyAlignment="1">
      <x:alignment horizontal="center" wrapText="1"/>
    </x:xf>
    <x:xf numFmtId="0" fontId="2" fillId="10" borderId="28" xfId="0" applyNumberFormat="1" applyFont="1" applyFill="1" applyBorder="1" applyAlignment="1">
      <x:alignment horizontal="center" wrapText="1"/>
    </x:xf>
    <x:xf numFmtId="0" fontId="2" fillId="11" borderId="28" xfId="0" applyNumberFormat="1" applyFont="1" applyFill="1" applyBorder="1" applyAlignment="1">
      <x:alignment horizontal="center" wrapText="1"/>
    </x:xf>
    <x:xf numFmtId="0" fontId="2" fillId="12" borderId="28" xfId="0" applyNumberFormat="1" applyFont="1" applyFill="1" applyBorder="1" applyAlignment="1">
      <x:alignment horizontal="center" wrapText="1"/>
    </x:xf>
    <x:xf numFmtId="0" fontId="2" fillId="17" borderId="28" xfId="0" applyNumberFormat="1" applyFont="1" applyFill="1" applyBorder="1" applyAlignment="1">
      <x:alignment wrapText="1"/>
    </x:xf>
    <x:xf numFmtId="164" fontId="2" fillId="17" borderId="28" xfId="0" applyNumberFormat="1" applyFont="1" applyFill="1" applyBorder="1" applyAlignment="1">
      <x:alignment wrapText="1"/>
    </x:xf>
    <x:xf numFmtId="2" fontId="2" fillId="17" borderId="28" xfId="0" applyNumberFormat="1" applyFont="1" applyFill="1" applyBorder="1" applyAlignment="1">
      <x:alignment wrapText="1"/>
    </x:xf>
    <x:xf numFmtId="2" fontId="2" fillId="17" borderId="28" xfId="0" applyNumberFormat="1" applyFont="1" applyFill="1" applyBorder="1" applyAlignment="1">
      <x:alignment horizontal="center" vertical="center" wrapText="1"/>
    </x:xf>
    <x:xf numFmtId="2" fontId="3" fillId="16" borderId="28" xfId="0" applyNumberFormat="1" applyFont="1" applyFill="1" applyBorder="1" applyAlignment="1">
      <x:alignment wrapText="1"/>
    </x:xf>
    <x:xf numFmtId="9" fontId="3" fillId="0" borderId="28" xfId="0" applyNumberFormat="1" applyFont="1" applyFill="1" applyBorder="1" applyAlignment="1">
      <x:alignment wrapText="1"/>
    </x:xf>
    <x:xf numFmtId="9" fontId="2" fillId="17" borderId="28" xfId="0" applyNumberFormat="1" applyFont="1" applyFill="1" applyBorder="1" applyAlignment="1">
      <x:alignment wrapText="1"/>
    </x:xf>
    <x:xf numFmtId="0" fontId="2" fillId="7" borderId="28" xfId="0" applyNumberFormat="1" applyFont="1" applyFill="1" applyBorder="1" applyAlignment="1">
      <x:alignment wrapText="1"/>
    </x:xf>
    <x:xf numFmtId="0" fontId="2" fillId="8" borderId="28" xfId="0" applyNumberFormat="1" applyFont="1" applyFill="1" applyBorder="1" applyAlignment="1">
      <x:alignment wrapText="1"/>
    </x:xf>
    <x:xf numFmtId="0" fontId="2" fillId="9" borderId="28" xfId="0" applyNumberFormat="1" applyFont="1" applyFill="1" applyBorder="1" applyAlignment="1">
      <x:alignment wrapText="1"/>
    </x:xf>
    <x:xf numFmtId="0" fontId="2" fillId="10" borderId="28" xfId="0" applyNumberFormat="1" applyFont="1" applyFill="1" applyBorder="1" applyAlignment="1">
      <x:alignment wrapText="1"/>
    </x:xf>
    <x:xf numFmtId="0" fontId="2" fillId="11" borderId="28" xfId="0" applyNumberFormat="1" applyFont="1" applyFill="1" applyBorder="1" applyAlignment="1">
      <x:alignment wrapText="1"/>
    </x:xf>
    <x:xf numFmtId="0" fontId="2" fillId="12" borderId="28" xfId="0" applyNumberFormat="1" applyFont="1" applyFill="1" applyBorder="1" applyAlignment="1">
      <x:alignment wrapText="1"/>
    </x:xf>
    <x:xf numFmtId="0" fontId="5" fillId="20" borderId="28" xfId="0" applyNumberFormat="1" applyFont="1" applyFill="1" applyBorder="1" applyAlignment="1">
      <x:alignment horizontal="center" vertical="center" wrapText="1"/>
    </x:xf>
    <x:xf numFmtId="0" fontId="2" fillId="20" borderId="28" xfId="0" applyNumberFormat="1" applyFont="1" applyFill="1" applyBorder="1" applyAlignment="1">
      <x:alignment horizontal="center" vertical="center" wrapText="1"/>
    </x:xf>
    <x:xf numFmtId="0" fontId="4" fillId="20" borderId="28" xfId="0" applyNumberFormat="1" applyFont="1" applyFill="1" applyBorder="1"/>
    <x:xf numFmtId="0" fontId="12" fillId="23" borderId="28" xfId="0" applyNumberFormat="1" applyFont="1" applyFill="1" applyBorder="1" applyAlignment="1">
      <x:alignment vertical="center" wrapText="1"/>
    </x:xf>
    <x:xf numFmtId="0" fontId="5" fillId="15" borderId="28" xfId="0" applyNumberFormat="1" applyFont="1" applyFill="1" applyBorder="1" applyAlignment="1">
      <x:alignment vertical="top" wrapText="1"/>
    </x:xf>
    <x:xf numFmtId="0" fontId="14" fillId="20" borderId="28" xfId="0" applyNumberFormat="1" applyFont="1" applyFill="1" applyBorder="1" applyAlignment="1">
      <x:alignment wrapText="1"/>
    </x:xf>
    <x:xf numFmtId="0" fontId="14" fillId="20" borderId="28" xfId="0" applyNumberFormat="1" applyFont="1" applyFill="1" applyBorder="1"/>
    <x:xf numFmtId="0" fontId="2" fillId="17" borderId="28" xfId="0" applyNumberFormat="1" applyFont="1" applyFill="1" applyBorder="1" applyAlignment="1">
      <x:alignment vertical="center" wrapText="1"/>
    </x:xf>
    <x:xf numFmtId="164" fontId="3" fillId="28" borderId="28" xfId="0" applyNumberFormat="1" applyFont="1" applyFill="1" applyBorder="1" applyAlignment="1">
      <x:alignment wrapText="1"/>
    </x:xf>
    <x:xf numFmtId="1" fontId="3" fillId="28" borderId="28" xfId="0" applyNumberFormat="1" applyFont="1" applyFill="1" applyBorder="1" applyAlignment="1">
      <x:alignment wrapText="1"/>
    </x:xf>
    <x:xf numFmtId="2" fontId="3" fillId="28" borderId="28" xfId="0" applyNumberFormat="1" applyFont="1" applyFill="1" applyBorder="1" applyAlignment="1">
      <x:alignment wrapText="1"/>
    </x:xf>
    <x:xf numFmtId="9" fontId="3" fillId="28" borderId="28" xfId="0" applyNumberFormat="1" applyFont="1" applyFill="1" applyBorder="1" applyAlignment="1">
      <x:alignment wrapText="1"/>
    </x:xf>
    <x:xf numFmtId="0" fontId="3" fillId="28" borderId="28" xfId="0" applyNumberFormat="1" applyFont="1" applyFill="1" applyBorder="1" applyAlignment="1">
      <x:alignment wrapText="1"/>
    </x:xf>
    <x:xf numFmtId="0" fontId="4" fillId="20" borderId="28" xfId="0" applyNumberFormat="1" applyFont="1" applyFill="1" applyBorder="1" applyAlignment="1">
      <x:alignment horizontal="center"/>
    </x:xf>
    <x:xf numFmtId="0" fontId="4" fillId="20" borderId="28" xfId="0" applyNumberFormat="1" applyFont="1" applyFill="1" applyBorder="1" applyAlignment="1">
      <x:alignment vertical="top" wrapText="1"/>
    </x:xf>
    <x:xf numFmtId="164" fontId="0" fillId="28" borderId="28" xfId="0" applyNumberFormat="1" applyFont="1" applyFill="1" applyBorder="1"/>
    <x:xf numFmtId="0" fontId="0" fillId="28" borderId="28" xfId="0" applyNumberFormat="1" applyFont="1" applyFill="1" applyBorder="1"/>
    <x:xf numFmtId="2" fontId="0" fillId="28" borderId="28" xfId="0" applyNumberFormat="1" applyFont="1" applyFill="1" applyBorder="1"/>
    <x:xf numFmtId="9" fontId="0" fillId="28" borderId="28" xfId="0" applyNumberFormat="1" applyFont="1" applyFill="1" applyBorder="1"/>
    <x:xf numFmtId="9" fontId="0" fillId="0" borderId="28" xfId="0" applyNumberFormat="1" applyFont="1" applyFill="1" applyBorder="1" applyAlignment="1">
      <x:alignment wrapText="1"/>
    </x:xf>
    <x:xf numFmtId="166" fontId="5" fillId="29" borderId="28" xfId="0" applyNumberFormat="1" applyFont="1" applyFill="1" applyBorder="1" applyAlignment="1">
      <x:alignment horizontal="center" vertical="center" wrapText="1"/>
    </x:xf>
    <x:xf numFmtId="0" fontId="2" fillId="29" borderId="28" xfId="0" applyNumberFormat="1" applyFont="1" applyFill="1" applyBorder="1" applyAlignment="1">
      <x:alignment horizontal="center" vertical="center" wrapText="1"/>
    </x:xf>
    <x:xf numFmtId="0" fontId="3" fillId="29" borderId="28" xfId="0" applyNumberFormat="1" applyFont="1" applyFill="1" applyBorder="1" applyAlignment="1">
      <x:alignment horizontal="center" vertical="top" wrapText="1"/>
    </x:xf>
    <x:xf numFmtId="0" fontId="2" fillId="29" borderId="28" xfId="0" applyNumberFormat="1" applyFont="1" applyFill="1" applyBorder="1" applyAlignment="1">
      <x:alignment horizontal="center" vertical="top" wrapText="1"/>
    </x:xf>
    <x:xf numFmtId="0" fontId="9" fillId="17" borderId="28" xfId="0" applyNumberFormat="1" applyFont="1" applyFill="1" applyBorder="1" applyAlignment="1">
      <x:alignment horizontal="center" vertical="top" wrapText="1"/>
    </x:xf>
    <x:xf numFmtId="0" fontId="15" fillId="29" borderId="28" xfId="0" applyNumberFormat="1" applyFont="1" applyFill="1" applyBorder="1"/>
    <x:xf numFmtId="0" fontId="0" fillId="0" borderId="28" xfId="0" applyNumberFormat="1" applyFont="1" applyFill="1" applyBorder="1" applyAlignment="1">
      <x:alignment horizontal="center" vertical="top" wrapText="1"/>
    </x:xf>
    <x:xf numFmtId="1" fontId="0" fillId="0" borderId="28" xfId="0" applyNumberFormat="1" applyFont="1" applyFill="1" applyBorder="1" applyAlignment="1">
      <x:alignment vertical="top" wrapText="1"/>
    </x:xf>
    <x:xf numFmtId="0" fontId="9" fillId="30" borderId="29" xfId="0" applyNumberFormat="1" applyFont="1" applyFill="1" applyBorder="1" applyAlignment="1">
      <x:alignment horizontal="center" vertical="center" wrapText="1"/>
    </x:xf>
    <x:xf numFmtId="0" fontId="9" fillId="30" borderId="30" xfId="0" applyNumberFormat="1" applyFont="1" applyFill="1" applyBorder="1" applyAlignment="1">
      <x:alignment horizontal="center" vertical="center" wrapText="1"/>
    </x:xf>
    <x:xf numFmtId="0" fontId="9" fillId="30" borderId="31" xfId="0" applyNumberFormat="1" applyFont="1" applyFill="1" applyBorder="1" applyAlignment="1">
      <x:alignment horizontal="center" vertical="center" wrapText="1"/>
    </x:xf>
    <x:xf numFmtId="0" fontId="0" fillId="0" borderId="32" xfId="0" applyNumberFormat="1" applyFont="1" applyFill="1" applyBorder="1" applyAlignment="1">
      <x:alignment vertical="top" wrapText="1"/>
    </x:xf>
    <x:xf numFmtId="0" fontId="0" fillId="0" borderId="33" xfId="0" applyNumberFormat="1" applyFont="1" applyFill="1" applyBorder="1" applyAlignment="1">
      <x:alignment vertical="top" wrapText="1"/>
    </x:xf>
    <x:xf numFmtId="0" fontId="0" fillId="0" borderId="34" xfId="0" applyNumberFormat="1" applyFont="1" applyFill="1" applyBorder="1" applyAlignment="1">
      <x:alignment vertical="top" wrapText="1"/>
    </x:xf>
    <x:xf numFmtId="0" fontId="0" fillId="0" borderId="35" xfId="0" applyNumberFormat="1" applyFont="1" applyFill="1" applyBorder="1" applyAlignment="1">
      <x:alignment vertical="top" wrapText="1"/>
    </x:xf>
    <x:xf numFmtId="0" fontId="0" fillId="0" borderId="36" xfId="0" applyNumberFormat="1" applyFont="1" applyFill="1" applyBorder="1" applyAlignment="1">
      <x:alignment vertical="top" wrapText="1"/>
    </x:xf>
    <x:xf numFmtId="0" fontId="0" fillId="0" borderId="37" xfId="0" applyNumberFormat="1" applyFont="1" applyFill="1" applyBorder="1" applyAlignment="1">
      <x:alignment vertical="top" wrapText="1"/>
    </x:xf>
    <x:xf numFmtId="0" fontId="0" fillId="0" borderId="38" xfId="0" applyNumberFormat="1" applyFont="1" applyFill="1" applyBorder="1" applyAlignment="1">
      <x:alignment vertical="top" wrapText="1"/>
    </x:xf>
    <x:xf numFmtId="0" fontId="0" fillId="0" borderId="39" xfId="0" applyNumberFormat="1" applyFont="1" applyFill="1" applyBorder="1" applyAlignment="1">
      <x:alignment vertical="top" wrapText="1"/>
    </x:xf>
    <x:xf numFmtId="0" fontId="21" fillId="33" borderId="40" xfId="0" applyNumberFormat="1" applyFont="1" applyFill="1" applyBorder="1" applyAlignment="1">
      <x:alignment vertical="top" wrapText="1"/>
    </x:xf>
    <x:xf numFmtId="0" fontId="22" fillId="0" borderId="40" xfId="0" applyNumberFormat="1" applyFont="1" applyFill="1" applyBorder="1" applyAlignment="1">
      <x:alignment vertical="top" wrapText="1"/>
    </x:xf>
    <x:xf numFmtId="0" fontId="21" fillId="33" borderId="41" xfId="0" applyNumberFormat="1" applyFont="1" applyFill="1" applyBorder="1" applyAlignment="1">
      <x:alignment vertical="top" wrapText="1"/>
    </x:xf>
    <x:xf numFmtId="0" fontId="21" fillId="33" borderId="42" xfId="0" applyNumberFormat="1" applyFont="1" applyFill="1" applyBorder="1" applyAlignment="1">
      <x:alignment vertical="top" wrapText="1"/>
    </x:xf>
    <x:xf numFmtId="0" fontId="22" fillId="0" borderId="41" xfId="0" applyNumberFormat="1" applyFont="1" applyFill="1" applyBorder="1" applyAlignment="1">
      <x:alignment vertical="top" wrapText="1"/>
    </x:xf>
    <x:xf numFmtId="0" fontId="22" fillId="0" borderId="42" xfId="0" applyNumberFormat="1" applyFont="1" applyFill="1" applyBorder="1" applyAlignment="1">
      <x:alignment vertical="top" wrapText="1"/>
    </x:xf>
    <x:xf numFmtId="164" fontId="0" fillId="0" borderId="33" xfId="0" applyNumberFormat="1" applyFont="1" applyFill="1" applyBorder="1" applyAlignment="1">
      <x:alignment vertical="top" wrapText="1"/>
    </x:xf>
    <x:xf numFmtId="164" fontId="0" fillId="0" borderId="38" xfId="0" applyNumberFormat="1" applyFont="1" applyFill="1" applyBorder="1" applyAlignment="1">
      <x:alignment vertical="top" wrapText="1"/>
    </x:xf>
    <x:xf numFmtId="0" fontId="0" fillId="0" borderId="29" xfId="0" applyNumberFormat="1" applyFont="1" applyFill="1" applyBorder="1" applyAlignment="1">
      <x:alignment vertical="top" wrapText="1"/>
    </x:xf>
    <x:xf numFmtId="164" fontId="0" fillId="0" borderId="30" xfId="0" applyNumberFormat="1" applyFont="1" applyFill="1" applyBorder="1" applyAlignment="1">
      <x:alignment vertical="top" wrapText="1"/>
    </x:xf>
    <x:xf numFmtId="0" fontId="0" fillId="0" borderId="30" xfId="0" applyNumberFormat="1" applyFont="1" applyFill="1" applyBorder="1" applyAlignment="1">
      <x:alignment vertical="top" wrapText="1"/>
    </x:xf>
    <x:xf numFmtId="0" fontId="0" fillId="0" borderId="31" xfId="0" applyNumberFormat="1" applyFont="1" applyFill="1" applyBorder="1" applyAlignment="1">
      <x:alignment vertical="top" wrapText="1"/>
    </x:xf>
    <x:xf numFmtId="0" fontId="18" fillId="33" borderId="40" xfId="0" applyNumberFormat="1" applyFont="1" applyFill="1" applyBorder="1" applyAlignment="1">
      <x:alignment vertical="top" wrapText="1"/>
    </x:xf>
    <x:xf numFmtId="0" fontId="19" fillId="0" borderId="40" xfId="0" applyNumberFormat="1" applyFont="1" applyFill="1" applyBorder="1" applyAlignment="1">
      <x:alignment vertical="top" wrapText="1"/>
    </x:xf>
    <x:xf numFmtId="0" fontId="1" fillId="17" borderId="28" xfId="0" applyNumberFormat="1" applyFont="1" applyFill="1" applyBorder="1" applyAlignment="1">
      <x:alignment horizontal="left" vertical="center"/>
    </x:xf>
    <x:xf numFmtId="0" fontId="12" fillId="23" borderId="28" xfId="0" applyNumberFormat="1" applyFont="1" applyFill="1" applyBorder="1" applyAlignment="1">
      <x:alignment vertical="center"/>
    </x:xf>
    <x:xf numFmtId="164" fontId="3" fillId="4" borderId="28" xfId="0" applyNumberFormat="1" applyFont="1" applyFill="1" applyBorder="1" applyAlignment="1">
      <x:alignment wrapText="1"/>
    </x:xf>
    <x:xf numFmtId="0" fontId="4" fillId="18" borderId="28" xfId="0" applyNumberFormat="1" applyFont="1" applyFill="1" applyBorder="1" applyAlignment="1">
      <x:alignment vertical="center" wrapText="1"/>
    </x:xf>
    <x:xf numFmtId="0" fontId="20" fillId="31" borderId="28" xfId="0" applyNumberFormat="1" applyFont="1" applyFill="1" applyBorder="1" applyAlignment="1">
      <x:alignment horizontal="left" vertical="center" wrapText="1"/>
    </x:xf>
    <x:xf numFmtId="0" fontId="10" fillId="18" borderId="28" xfId="0" applyNumberFormat="1" applyFont="1" applyFill="1" applyBorder="1" applyAlignment="1">
      <x:alignment wrapText="1"/>
    </x:xf>
    <x:xf numFmtId="0" fontId="11" fillId="18" borderId="28" xfId="0" applyNumberFormat="1" applyFont="1" applyFill="1" applyBorder="1" applyAlignment="1">
      <x:alignment wrapText="1"/>
    </x:xf>
    <x:xf numFmtId="0" fontId="16" fillId="29" borderId="28" xfId="0" applyNumberFormat="1" applyFont="1" applyFill="1" applyBorder="1" applyAlignment="1">
      <x:alignment wrapText="1"/>
    </x:xf>
    <x:xf numFmtId="0" fontId="11" fillId="19" borderId="28" xfId="0" applyNumberFormat="1" applyFont="1" applyFill="1" applyBorder="1" applyAlignment="1">
      <x:alignment wrapText="1"/>
    </x:xf>
    <x:xf numFmtId="0" fontId="4" fillId="18" borderId="28" xfId="0" applyNumberFormat="1" applyFont="1" applyFill="1" applyBorder="1" applyAlignment="1">
      <x:alignment vertical="top" wrapText="1"/>
    </x:xf>
    <x:xf numFmtId="0" fontId="7" fillId="17" borderId="28" xfId="0" applyNumberFormat="1" applyFont="1" applyFill="1" applyBorder="1" applyAlignment="1">
      <x:alignment horizontal="left" vertical="center" wrapText="1"/>
    </x:xf>
    <x:xf numFmtId="0" fontId="8" fillId="18" borderId="28" xfId="0" applyNumberFormat="1" applyFont="1" applyFill="1" applyBorder="1" applyAlignment="1">
      <x:alignment wrapText="1"/>
    </x:xf>
    <x:xf numFmtId="0" fontId="7" fillId="17" borderId="28" xfId="0" applyNumberFormat="1" applyFont="1" applyFill="1" applyBorder="1" applyAlignment="1">
      <x:alignment horizontal="left" vertical="center"/>
    </x:xf>
    <x:xf numFmtId="0" fontId="8" fillId="19" borderId="28" xfId="0" applyNumberFormat="1" applyFont="1" applyFill="1" applyBorder="1" applyAlignment="1">
      <x:alignment wrapText="1"/>
    </x:xf>
    <x:xf numFmtId="0" fontId="13" fillId="23" borderId="28" xfId="0" applyNumberFormat="1" applyFont="1" applyFill="1" applyBorder="1" applyAlignment="1">
      <x:alignment vertical="center"/>
    </x:xf>
    <x:xf numFmtId="0" fontId="9" fillId="32" borderId="28" xfId="0" applyNumberFormat="1" applyFont="1" applyFill="1" applyBorder="1" applyAlignment="1">
      <x:alignment horizontal="left" vertical="center"/>
    </x:xf>
    <x:xf numFmtId="0" fontId="18" fillId="33" borderId="29" xfId="0" applyNumberFormat="1" applyFont="1" applyFill="1" applyBorder="1" applyAlignment="1">
      <x:alignment vertical="top" wrapText="1"/>
    </x:xf>
    <x:xf numFmtId="0" fontId="18" fillId="33" borderId="31" xfId="0" applyNumberFormat="1" applyFont="1" applyFill="1" applyBorder="1" applyAlignment="1">
      <x:alignment vertical="top" wrapText="1"/>
    </x:xf>
    <x:xf numFmtId="0" fontId="19" fillId="0" borderId="29" xfId="0" applyNumberFormat="1" applyFont="1" applyFill="1" applyBorder="1" applyAlignment="1">
      <x:alignment vertical="top" wrapText="1"/>
    </x:xf>
    <x:xf numFmtId="0" fontId="19" fillId="0" borderId="30" xfId="0" applyNumberFormat="1" applyFont="1" applyFill="1" applyBorder="1" applyAlignment="1">
      <x:alignment vertical="top" wrapText="1"/>
    </x:xf>
    <x:xf numFmtId="0" fontId="19" fillId="0" borderId="31" xfId="0" applyNumberFormat="1" applyFont="1" applyFill="1" applyBorder="1" applyAlignment="1">
      <x:alignment vertical="top" wrapText="1"/>
    </x:xf>
    <x:xf numFmtId="0" fontId="17" fillId="31" borderId="28" xfId="0" applyNumberFormat="1" applyFont="1" applyFill="1" applyBorder="1" applyAlignment="1">
      <x:alignment horizontal="left" vertical="center" wrapText="1"/>
    </x:xf>
    <x:xf numFmtId="0" fontId="0" fillId="28" borderId="28" xfId="0" applyNumberFormat="1" applyFont="1" applyFill="1" applyBorder="1" applyAlignment="1">
      <x:alignment vertical="center" wrapText="1"/>
    </x:xf>
    <x:xf numFmtId="0" fontId="14" fillId="28" borderId="28" xfId="0" applyNumberFormat="1" applyFont="1" applyFill="1" applyBorder="1" applyAlignment="1">
      <x:alignment vertical="center" wrapText="1"/>
    </x:xf>
    <x:xf numFmtId="0" fontId="7" fillId="30" borderId="28" xfId="0" applyNumberFormat="1" applyFont="1" applyFill="1" applyBorder="1" applyAlignment="1">
      <x:alignment horizontal="left" vertical="center" wrapText="1"/>
    </x:xf>
    <x:xf numFmtId="200" fontId="0" fillId="0" borderId="0" xfId="0" applyNumberFormat="1" applyFont="1" applyFill="1" applyBorder="1" applyAlignment="1">
      <x:alignment vertical="top" wrapText="1"/>
    </x:xf>
    <x:xf numFmtId="200" fontId="0" fillId="0" borderId="28" xfId="0" applyNumberFormat="1" applyFont="1" applyFill="1" applyBorder="1" applyAlignment="1">
      <x:alignment vertical="top" wrapText="1"/>
    </x:xf>
    <x:xf numFmtId="0" fontId="0" fillId="0" borderId="0" xfId="0" applyNumberFormat="1" applyFont="1" applyFill="1" applyBorder="1" applyAlignment="1">
      <x:alignment vertical="top" wrapText="1"/>
    </x:xf>
    <x:xf numFmtId="2" fontId="0" fillId="0" borderId="0" xfId="0" applyNumberFormat="1" applyFont="1" applyFill="1" applyBorder="1" applyAlignment="1">
      <x:alignment vertical="top" wrapText="1"/>
    </x:xf>
    <x:xf numFmtId="1" fontId="0" fillId="0" borderId="0" xfId="0" applyNumberFormat="1" applyFont="1" applyFill="1" applyBorder="1" applyAlignment="1">
      <x:alignment vertical="top" wrapText="1"/>
    </x:xf>
    <x:xf numFmtId="164" fontId="3" fillId="0" borderId="0" xfId="0" applyNumberFormat="1" applyFont="1" applyFill="1" applyBorder="1" applyAlignment="1">
      <x:alignment horizontal="center" vertical="top" wrapText="1"/>
    </x:xf>
    <x:xf numFmtId="9" fontId="3" fillId="0" borderId="0" xfId="0" applyNumberFormat="1" applyFont="1" applyFill="1" applyBorder="1" applyAlignment="1">
      <x:alignment horizontal="center" vertical="top" wrapText="1"/>
    </x:xf>
    <x:xf numFmtId="2" fontId="3" fillId="0" borderId="0" xfId="0" applyNumberFormat="1" applyFont="1" applyFill="1" applyBorder="1" applyAlignment="1">
      <x:alignment horizontal="center" vertical="top" wrapText="1"/>
    </x:xf>
    <x:xf numFmtId="0" fontId="3" fillId="0" borderId="0" xfId="0" applyNumberFormat="1" applyFont="1" applyFill="1" applyBorder="1" applyAlignment="1">
      <x:alignment horizontal="center" vertical="top" wrapText="1"/>
    </x:xf>
    <x:xf numFmtId="0" fontId="3" fillId="0" borderId="0" xfId="0" applyNumberFormat="1" applyFont="1" applyFill="1" applyBorder="1" applyAlignment="1">
      <x:alignment vertical="top" wrapText="1"/>
    </x:xf>
    <x:xf numFmtId="164" fontId="3" fillId="22" borderId="0" xfId="0" applyNumberFormat="1" applyFont="1" applyFill="1" applyBorder="1" applyAlignment="1">
      <x:alignment horizontal="center" vertical="top" wrapText="1"/>
    </x:xf>
    <x:xf numFmtId="9" fontId="3" fillId="22" borderId="0" xfId="0" applyNumberFormat="1" applyFont="1" applyFill="1" applyBorder="1" applyAlignment="1">
      <x:alignment horizontal="center" vertical="top" wrapText="1"/>
    </x:xf>
    <x:xf numFmtId="2" fontId="3" fillId="22" borderId="0" xfId="0" applyNumberFormat="1" applyFont="1" applyFill="1" applyBorder="1" applyAlignment="1">
      <x:alignment horizontal="center" vertical="top" wrapText="1"/>
    </x:xf>
    <x:xf numFmtId="0" fontId="3" fillId="22" borderId="0" xfId="0" applyNumberFormat="1" applyFont="1" applyFill="1" applyBorder="1" applyAlignment="1">
      <x:alignment horizontal="center" vertical="top" wrapText="1"/>
    </x:xf>
    <x:xf numFmtId="0" fontId="3" fillId="22" borderId="0" xfId="0" applyNumberFormat="1" applyFont="1" applyFill="1" applyBorder="1" applyAlignment="1">
      <x:alignment vertical="top" wrapText="1"/>
    </x:xf>
    <x:xf numFmtId="0" fontId="2" fillId="22" borderId="0" xfId="0" applyNumberFormat="1" applyFont="1" applyFill="1" applyBorder="1" applyAlignment="1">
      <x:alignment horizontal="center" vertical="top" wrapText="1"/>
    </x:xf>
    <x:xf numFmtId="200" fontId="0" fillId="0" borderId="0" xfId="0" applyNumberFormat="1" applyFont="1" applyFill="1" applyBorder="1" applyAlignment="1">
      <x:alignment wrapText="1"/>
    </x:xf>
    <x:xf numFmtId="200" fontId="0" fillId="0" borderId="28" xfId="0" applyNumberFormat="1" applyFont="1" applyFill="1" applyBorder="1" applyAlignment="1">
      <x:alignment wrapText="1"/>
    </x:xf>
    <x:xf numFmtId="0" fontId="0" fillId="0" borderId="0" xfId="0" applyNumberFormat="1" applyFont="1" applyFill="1" applyBorder="1" applyAlignment="1">
      <x:alignment wrapText="1"/>
    </x:xf>
    <x:xf numFmtId="0" fontId="3" fillId="0" borderId="0" xfId="0" applyNumberFormat="1" applyFont="1" applyFill="1" applyBorder="1" applyAlignment="1">
      <x:alignment wrapText="1"/>
    </x:xf>
    <x:xf numFmtId="0" fontId="14" fillId="20" borderId="0" xfId="0" applyNumberFormat="1" applyFont="1" applyFill="1" applyBorder="1" applyAlignment="1">
      <x:alignment wrapText="1"/>
    </x:xf>
    <x:xf numFmtId="0" fontId="18" fillId="33" borderId="25" xfId="0" applyNumberFormat="1" applyFont="1" applyFill="1" applyBorder="1" applyAlignment="1">
      <x:alignment vertical="top" wrapText="1"/>
    </x:xf>
    <x:xf numFmtId="0" fontId="19" fillId="0" borderId="25" xfId="0" applyNumberFormat="1" applyFont="1" applyFill="1" applyBorder="1" applyAlignment="1">
      <x:alignment vertical="top" wrapText="1"/>
    </x:xf>
    <x:xf numFmtId="0" fontId="0" fillId="0" borderId="0" xfId="0" applyNumberFormat="1" applyFont="1" applyFill="1" applyBorder="1"/>
    <x:xf numFmtId="0" fontId="3" fillId="0" borderId="0" xfId="0" applyNumberFormat="1" applyFont="1" applyFill="1" applyBorder="1"/>
    <x:xf numFmtId="0" fontId="2" fillId="3" borderId="0" xfId="0" applyNumberFormat="1" applyFont="1" applyFill="1" applyBorder="1" applyAlignment="1">
      <x:alignment vertical="center"/>
    </x:xf>
    <x:xf numFmtId="0" fontId="2" fillId="6" borderId="0" xfId="0" applyNumberFormat="1" applyFont="1" applyFill="1" applyBorder="1" applyAlignment="1">
      <x:alignment horizontal="center" vertical="center" wrapText="1"/>
    </x:xf>
    <x:xf numFmtId="164" fontId="3" fillId="0" borderId="0" xfId="0" applyNumberFormat="1" applyFont="1" applyFill="1" applyBorder="1" applyAlignment="1">
      <x:alignment vertical="top" wrapText="1"/>
    </x:xf>
    <x:xf numFmtId="0" fontId="2" fillId="7" borderId="0" xfId="0" applyNumberFormat="1" applyFont="1" applyFill="1" applyBorder="1" applyAlignment="1">
      <x:alignment horizontal="center"/>
    </x:xf>
    <x:xf numFmtId="0" fontId="3" fillId="4" borderId="0" xfId="0" applyNumberFormat="1" applyFont="1" applyFill="1" applyBorder="1"/>
    <x:xf numFmtId="0" fontId="2" fillId="10" borderId="0" xfId="0" applyNumberFormat="1" applyFont="1" applyFill="1" applyBorder="1" applyAlignment="1">
      <x:alignment vertical="top" wrapText="1"/>
    </x:xf>
    <x:xf numFmtId="0" fontId="2" fillId="11" borderId="0" xfId="0" applyNumberFormat="1" applyFont="1" applyFill="1" applyBorder="1" applyAlignment="1">
      <x:alignment vertical="top" wrapText="1"/>
    </x:xf>
    <x:xf numFmtId="0" fontId="2" fillId="12" borderId="0" xfId="0" applyNumberFormat="1" applyFont="1" applyFill="1" applyBorder="1" applyAlignment="1">
      <x:alignment vertical="top" wrapText="1"/>
    </x:xf>
    <x:xf numFmtId="0" fontId="2" fillId="12" borderId="0" xfId="0" applyNumberFormat="1" applyFont="1" applyFill="1" applyBorder="1" applyAlignment="1">
      <x:alignment horizontal="center"/>
    </x:xf>
    <x:xf numFmtId="0" fontId="2" fillId="13" borderId="0" xfId="0" applyNumberFormat="1" applyFont="1" applyFill="1" applyBorder="1" applyAlignment="1">
      <x:alignment vertical="top" wrapText="1"/>
    </x:xf>
    <x:xf numFmtId="0" fontId="2" fillId="13" borderId="0" xfId="0" applyNumberFormat="1" applyFont="1" applyFill="1" applyBorder="1" applyAlignment="1">
      <x:alignment horizontal="center"/>
    </x:xf>
    <x:xf numFmtId="0" fontId="2" fillId="14" borderId="0" xfId="0" applyNumberFormat="1" applyFont="1" applyFill="1" applyBorder="1" applyAlignment="1">
      <x:alignment vertical="top" wrapText="1"/>
    </x:xf>
    <x:xf numFmtId="0" fontId="2" fillId="14" borderId="0" xfId="0" applyNumberFormat="1" applyFont="1" applyFill="1" applyBorder="1" applyAlignment="1">
      <x:alignment horizontal="center"/>
    </x:xf>
    <x:xf numFmtId="0" fontId="2" fillId="2" borderId="0" xfId="0" applyNumberFormat="1" applyFont="1" applyFill="1" applyBorder="1"/>
    <x:xf numFmtId="9" fontId="2" fillId="2" borderId="0" xfId="0" applyNumberFormat="1" applyFont="1" applyFill="1" applyBorder="1"/>
    <x:xf numFmtId="166" fontId="5" fillId="5" borderId="0" xfId="0" applyNumberFormat="1" applyFont="1" applyFill="1" applyBorder="1" applyAlignment="1">
      <x:alignment horizontal="center" vertical="center" wrapText="1"/>
    </x:xf>
    <x:xf numFmtId="0" fontId="3" fillId="0" borderId="0" xfId="0" applyNumberFormat="1" applyFont="1" applyFill="1" applyBorder="1" applyAlignment="1">
      <x:alignment horizontal="center"/>
    </x:xf>
    <x:xf numFmtId="0" fontId="2" fillId="7" borderId="0" xfId="0" applyNumberFormat="1" applyFont="1" applyFill="1" applyBorder="1" applyAlignment="1">
      <x:alignment horizontal="center" vertical="center"/>
    </x:xf>
    <x:xf numFmtId="0" fontId="2" fillId="9" borderId="0" xfId="0" applyNumberFormat="1" applyFont="1" applyFill="1" applyBorder="1" applyAlignment="1">
      <x:alignment horizontal="center" vertical="center"/>
    </x:xf>
    <x:xf numFmtId="0" fontId="2" fillId="10" borderId="0" xfId="0" applyNumberFormat="1" applyFont="1" applyFill="1" applyBorder="1" applyAlignment="1">
      <x:alignment horizontal="center" vertical="center"/>
    </x:xf>
    <x:xf numFmtId="0" fontId="2" fillId="11" borderId="0" xfId="0" applyNumberFormat="1" applyFont="1" applyFill="1" applyBorder="1" applyAlignment="1">
      <x:alignment horizontal="center" vertical="center"/>
    </x:xf>
    <x:xf numFmtId="0" fontId="2" fillId="12" borderId="0" xfId="0" applyNumberFormat="1" applyFont="1" applyFill="1" applyBorder="1" applyAlignment="1">
      <x:alignment horizontal="center" vertical="center"/>
    </x:xf>
    <x:xf numFmtId="0" fontId="2" fillId="13" borderId="0" xfId="0" applyNumberFormat="1" applyFont="1" applyFill="1" applyBorder="1" applyAlignment="1">
      <x:alignment horizontal="center" vertical="center"/>
    </x:xf>
    <x:xf numFmtId="0" fontId="2" fillId="14" borderId="0" xfId="0" applyNumberFormat="1" applyFont="1" applyFill="1" applyBorder="1" applyAlignment="1">
      <x:alignment horizontal="center" vertical="center"/>
    </x:xf>
    <x:xf numFmtId="164" fontId="3" fillId="0" borderId="0" xfId="0" applyNumberFormat="1" applyFont="1" applyFill="1" applyBorder="1" applyAlignment="1">
      <x:alignment wrapText="1"/>
    </x:xf>
    <x:xf numFmtId="0" fontId="3" fillId="16" borderId="0" xfId="0" applyNumberFormat="1" applyFont="1" applyFill="1" applyBorder="1" applyAlignment="1">
      <x:alignment wrapText="1"/>
    </x:xf>
    <x:xf numFmtId="164" fontId="3" fillId="16" borderId="0" xfId="0" applyNumberFormat="1" applyFont="1" applyFill="1" applyBorder="1" applyAlignment="1">
      <x:alignment wrapText="1"/>
    </x:xf>
    <x:xf numFmtId="165" fontId="3" fillId="0" borderId="0" xfId="0" applyNumberFormat="1" applyFont="1" applyFill="1" applyBorder="1" applyAlignment="1">
      <x:alignment wrapText="1"/>
    </x:xf>
    <x:xf numFmtId="0" fontId="2" fillId="14" borderId="0" xfId="0" applyNumberFormat="1" applyFont="1" applyFill="1" applyBorder="1" applyAlignment="1">
      <x:alignment wrapText="1"/>
    </x:xf>
    <x:xf numFmtId="0" fontId="6" fillId="0" borderId="0" xfId="0" applyNumberFormat="1" applyFont="1" applyFill="1" applyBorder="1"/>
    <x:xf numFmtId="2" fontId="3" fillId="0" borderId="0" xfId="0" applyNumberFormat="1" applyFont="1" applyFill="1" applyBorder="1" applyAlignment="1">
      <x:alignment wrapText="1"/>
    </x:xf>
    <x:xf numFmtId="0" fontId="3" fillId="4" borderId="0" xfId="0" applyNumberFormat="1" applyFont="1" applyFill="1" applyBorder="1" applyAlignment="1">
      <x:alignment vertical="top" wrapText="1"/>
    </x:xf>
    <x:xf numFmtId="0" fontId="1" fillId="2" borderId="0" xfId="0" applyNumberFormat="1" applyFont="1" applyFill="1" applyBorder="1" applyAlignment="1">
      <x:alignment vertical="center"/>
    </x:xf>
    <x:xf numFmtId="0" fontId="9" fillId="17" borderId="0" xfId="0" applyNumberFormat="1" applyFont="1" applyFill="1" applyBorder="1"/>
    <x:xf numFmtId="0" fontId="9" fillId="17" borderId="0" xfId="0" applyNumberFormat="1" applyFont="1" applyFill="1" applyBorder="1" applyAlignment="1">
      <x:alignment horizontal="center" vertical="center" wrapText="1"/>
    </x:xf>
    <x:xf numFmtId="164" fontId="0" fillId="0" borderId="0" xfId="0" applyNumberFormat="1" applyFont="1" applyFill="1" applyBorder="1" applyAlignment="1">
      <x:alignment wrapText="1"/>
    </x:xf>
    <x:xf numFmtId="2" fontId="0" fillId="0" borderId="0" xfId="0" applyNumberFormat="1" applyFont="1" applyFill="1" applyBorder="1" applyAlignment="1">
      <x:alignment wrapText="1"/>
    </x:xf>
    <x:xf numFmtId="164" fontId="0" fillId="0" borderId="0" xfId="0" applyNumberFormat="1" applyFont="1" applyFill="1" applyBorder="1" applyAlignment="1">
      <x:alignment vertical="top" wrapText="1"/>
    </x:xf>
    <x:xf numFmtId="0" fontId="2" fillId="17" borderId="0" xfId="0" applyNumberFormat="1" applyFont="1" applyFill="1" applyBorder="1" applyAlignment="1">
      <x:alignment vertical="center"/>
    </x:xf>
    <x:xf numFmtId="164" fontId="2" fillId="17" borderId="0" xfId="0" applyNumberFormat="1" applyFont="1" applyFill="1" applyBorder="1" applyAlignment="1">
      <x:alignment vertical="center"/>
    </x:xf>
    <x:xf numFmtId="0" fontId="2" fillId="17" borderId="0" xfId="0" applyNumberFormat="1" applyFont="1" applyFill="1" applyBorder="1" applyAlignment="1">
      <x:alignment horizontal="center" vertical="center" wrapText="1"/>
    </x:xf>
    <x:xf numFmtId="0" fontId="2" fillId="17" borderId="0" xfId="0" applyNumberFormat="1" applyFont="1" applyFill="1" applyBorder="1" applyAlignment="1">
      <x:alignment vertical="top" wrapText="1"/>
    </x:xf>
    <x:xf numFmtId="0" fontId="2" fillId="17" borderId="0" xfId="0" applyNumberFormat="1" applyFont="1" applyFill="1" applyBorder="1" applyAlignment="1">
      <x:alignment horizontal="center" vertical="top" wrapText="1"/>
    </x:xf>
    <x:xf numFmtId="164" fontId="2" fillId="17" borderId="0" xfId="0" applyNumberFormat="1" applyFont="1" applyFill="1" applyBorder="1" applyAlignment="1">
      <x:alignment horizontal="center" vertical="top" wrapText="1"/>
    </x:xf>
    <x:xf numFmtId="9" fontId="2" fillId="17" borderId="0" xfId="0" applyNumberFormat="1" applyFont="1" applyFill="1" applyBorder="1" applyAlignment="1">
      <x:alignment horizontal="center" vertical="top" wrapText="1"/>
    </x:xf>
    <x:xf numFmtId="167" fontId="3" fillId="0" borderId="0" xfId="0" applyNumberFormat="1" applyFont="1" applyFill="1" applyBorder="1" applyAlignment="1">
      <x:alignment horizontal="center" vertical="top" wrapText="1"/>
    </x:xf>
    <x:xf numFmtId="167" fontId="2" fillId="17" borderId="0" xfId="0" applyNumberFormat="1" applyFont="1" applyFill="1" applyBorder="1" applyAlignment="1">
      <x:alignment horizontal="center" vertical="top" wrapText="1"/>
    </x:xf>
    <x:xf numFmtId="2" fontId="2" fillId="17" borderId="0" xfId="0" applyNumberFormat="1" applyFont="1" applyFill="1" applyBorder="1" applyAlignment="1">
      <x:alignment horizontal="center" vertical="top" wrapText="1"/>
    </x:xf>
    <x:xf numFmtId="0" fontId="2" fillId="8" borderId="0" xfId="0" applyNumberFormat="1" applyFont="1" applyFill="1" applyBorder="1" applyAlignment="1">
      <x:alignment vertical="top" wrapText="1"/>
    </x:xf>
    <x:xf numFmtId="0" fontId="2" fillId="9" borderId="0" xfId="0" applyNumberFormat="1" applyFont="1" applyFill="1" applyBorder="1" applyAlignment="1">
      <x:alignment vertical="top" wrapText="1"/>
    </x:xf>
    <x:xf numFmtId="0" fontId="2" fillId="7" borderId="0" xfId="0" applyNumberFormat="1" applyFont="1" applyFill="1" applyBorder="1" applyAlignment="1">
      <x:alignment horizontal="center" vertical="top" wrapText="1"/>
    </x:xf>
    <x:xf numFmtId="0" fontId="2" fillId="21" borderId="0" xfId="0" applyNumberFormat="1" applyFont="1" applyFill="1" applyBorder="1" applyAlignment="1">
      <x:alignment vertical="top" wrapText="1"/>
    </x:xf>
    <x:xf numFmtId="0" fontId="2" fillId="22" borderId="0" xfId="0" applyNumberFormat="1" applyFont="1" applyFill="1" applyBorder="1" applyAlignment="1">
      <x:alignment vertical="top" wrapText="1"/>
    </x:xf>
    <x:xf numFmtId="167" fontId="3" fillId="22" borderId="0" xfId="0" applyNumberFormat="1" applyFont="1" applyFill="1" applyBorder="1" applyAlignment="1">
      <x:alignment horizontal="center" vertical="top" wrapText="1"/>
    </x:xf>
    <x:xf numFmtId="0" fontId="2" fillId="23" borderId="0" xfId="0" applyNumberFormat="1" applyFont="1" applyFill="1" applyBorder="1" applyAlignment="1">
      <x:alignment vertical="top" wrapText="1"/>
    </x:xf>
    <x:xf numFmtId="0" fontId="2" fillId="25" borderId="0" xfId="0" applyNumberFormat="1" applyFont="1" applyFill="1" applyBorder="1" applyAlignment="1">
      <x:alignment vertical="top" wrapText="1"/>
    </x:xf>
    <x:xf numFmtId="0" fontId="2" fillId="26" borderId="0" xfId="0" applyNumberFormat="1" applyFont="1" applyFill="1" applyBorder="1" applyAlignment="1">
      <x:alignment vertical="top" wrapText="1"/>
    </x:xf>
    <x:xf numFmtId="0" fontId="2" fillId="27" borderId="0" xfId="0" applyNumberFormat="1" applyFont="1" applyFill="1" applyBorder="1" applyAlignment="1">
      <x:alignment vertical="top" wrapText="1"/>
    </x:xf>
    <x:xf numFmtId="164" fontId="2" fillId="17" borderId="0" xfId="0" applyNumberFormat="1" applyFont="1" applyFill="1" applyBorder="1" applyAlignment="1">
      <x:alignment vertical="top" wrapText="1"/>
    </x:xf>
    <x:xf numFmtId="165" fontId="2" fillId="17" borderId="0" xfId="0" applyNumberFormat="1" applyFont="1" applyFill="1" applyBorder="1" applyAlignment="1">
      <x:alignment horizontal="center" vertical="center" wrapText="1"/>
    </x:xf>
    <x:xf numFmtId="164" fontId="2" fillId="17" borderId="0" xfId="0" applyNumberFormat="1" applyFont="1" applyFill="1" applyBorder="1" applyAlignment="1">
      <x:alignment horizontal="center" vertical="center" wrapText="1"/>
    </x:xf>
    <x:xf numFmtId="0" fontId="2" fillId="17" borderId="0" xfId="0" applyNumberFormat="1" applyFont="1" applyFill="1" applyBorder="1"/>
    <x:xf numFmtId="2" fontId="3" fillId="0" borderId="0" xfId="0" applyNumberFormat="1" applyFont="1" applyFill="1" applyBorder="1" applyAlignment="1">
      <x:alignment vertical="top" wrapText="1"/>
    </x:xf>
    <x:xf numFmtId="2" fontId="2" fillId="17" borderId="0" xfId="0" applyNumberFormat="1" applyFont="1" applyFill="1" applyBorder="1" applyAlignment="1">
      <x:alignment vertical="top" wrapText="1"/>
    </x:xf>
    <x:xf numFmtId="9" fontId="3" fillId="0" borderId="0" xfId="0" applyNumberFormat="1" applyFont="1" applyFill="1" applyBorder="1" applyAlignment="1">
      <x:alignment vertical="top" wrapText="1"/>
    </x:xf>
    <x:xf numFmtId="9" fontId="2" fillId="17" borderId="0" xfId="0" applyNumberFormat="1" applyFont="1" applyFill="1" applyBorder="1" applyAlignment="1">
      <x:alignment vertical="top" wrapText="1"/>
    </x:xf>
    <x:xf numFmtId="0" fontId="2" fillId="8" borderId="0" xfId="0" applyNumberFormat="1" applyFont="1" applyFill="1" applyBorder="1" applyAlignment="1">
      <x:alignment horizontal="center" wrapText="1"/>
    </x:xf>
    <x:xf numFmtId="0" fontId="3" fillId="4" borderId="0" xfId="0" applyNumberFormat="1" applyFont="1" applyFill="1" applyBorder="1" applyAlignment="1">
      <x:alignment wrapText="1"/>
    </x:xf>
    <x:xf numFmtId="0" fontId="2" fillId="9" borderId="0" xfId="0" applyNumberFormat="1" applyFont="1" applyFill="1" applyBorder="1" applyAlignment="1">
      <x:alignment horizontal="center" wrapText="1"/>
    </x:xf>
    <x:xf numFmtId="0" fontId="2" fillId="10" borderId="0" xfId="0" applyNumberFormat="1" applyFont="1" applyFill="1" applyBorder="1" applyAlignment="1">
      <x:alignment horizontal="center" wrapText="1"/>
    </x:xf>
    <x:xf numFmtId="0" fontId="2" fillId="11" borderId="0" xfId="0" applyNumberFormat="1" applyFont="1" applyFill="1" applyBorder="1" applyAlignment="1">
      <x:alignment horizontal="center" wrapText="1"/>
    </x:xf>
    <x:xf numFmtId="0" fontId="2" fillId="12" borderId="0" xfId="0" applyNumberFormat="1" applyFont="1" applyFill="1" applyBorder="1" applyAlignment="1">
      <x:alignment horizontal="center" wrapText="1"/>
    </x:xf>
    <x:xf numFmtId="0" fontId="2" fillId="17" borderId="0" xfId="0" applyNumberFormat="1" applyFont="1" applyFill="1" applyBorder="1" applyAlignment="1">
      <x:alignment wrapText="1"/>
    </x:xf>
    <x:xf numFmtId="164" fontId="2" fillId="17" borderId="0" xfId="0" applyNumberFormat="1" applyFont="1" applyFill="1" applyBorder="1" applyAlignment="1">
      <x:alignment wrapText="1"/>
    </x:xf>
    <x:xf numFmtId="2" fontId="2" fillId="17" borderId="0" xfId="0" applyNumberFormat="1" applyFont="1" applyFill="1" applyBorder="1" applyAlignment="1">
      <x:alignment wrapText="1"/>
    </x:xf>
    <x:xf numFmtId="2" fontId="2" fillId="17" borderId="0" xfId="0" applyNumberFormat="1" applyFont="1" applyFill="1" applyBorder="1" applyAlignment="1">
      <x:alignment horizontal="center" vertical="center" wrapText="1"/>
    </x:xf>
    <x:xf numFmtId="2" fontId="3" fillId="16" borderId="0" xfId="0" applyNumberFormat="1" applyFont="1" applyFill="1" applyBorder="1" applyAlignment="1">
      <x:alignment wrapText="1"/>
    </x:xf>
    <x:xf numFmtId="9" fontId="3" fillId="0" borderId="0" xfId="0" applyNumberFormat="1" applyFont="1" applyFill="1" applyBorder="1" applyAlignment="1">
      <x:alignment wrapText="1"/>
    </x:xf>
    <x:xf numFmtId="9" fontId="2" fillId="17" borderId="0" xfId="0" applyNumberFormat="1" applyFont="1" applyFill="1" applyBorder="1" applyAlignment="1">
      <x:alignment wrapText="1"/>
    </x:xf>
    <x:xf numFmtId="0" fontId="2" fillId="7" borderId="0" xfId="0" applyNumberFormat="1" applyFont="1" applyFill="1" applyBorder="1" applyAlignment="1">
      <x:alignment wrapText="1"/>
    </x:xf>
    <x:xf numFmtId="0" fontId="2" fillId="8" borderId="0" xfId="0" applyNumberFormat="1" applyFont="1" applyFill="1" applyBorder="1" applyAlignment="1">
      <x:alignment wrapText="1"/>
    </x:xf>
    <x:xf numFmtId="0" fontId="2" fillId="9" borderId="0" xfId="0" applyNumberFormat="1" applyFont="1" applyFill="1" applyBorder="1" applyAlignment="1">
      <x:alignment wrapText="1"/>
    </x:xf>
    <x:xf numFmtId="0" fontId="2" fillId="10" borderId="0" xfId="0" applyNumberFormat="1" applyFont="1" applyFill="1" applyBorder="1" applyAlignment="1">
      <x:alignment wrapText="1"/>
    </x:xf>
    <x:xf numFmtId="0" fontId="2" fillId="11" borderId="0" xfId="0" applyNumberFormat="1" applyFont="1" applyFill="1" applyBorder="1" applyAlignment="1">
      <x:alignment wrapText="1"/>
    </x:xf>
    <x:xf numFmtId="0" fontId="2" fillId="12" borderId="0" xfId="0" applyNumberFormat="1" applyFont="1" applyFill="1" applyBorder="1" applyAlignment="1">
      <x:alignment wrapText="1"/>
    </x:xf>
    <x:xf numFmtId="0" fontId="5" fillId="20" borderId="0" xfId="0" applyNumberFormat="1" applyFont="1" applyFill="1" applyBorder="1" applyAlignment="1">
      <x:alignment horizontal="center" vertical="center" wrapText="1"/>
    </x:xf>
    <x:xf numFmtId="0" fontId="2" fillId="20" borderId="0" xfId="0" applyNumberFormat="1" applyFont="1" applyFill="1" applyBorder="1" applyAlignment="1">
      <x:alignment horizontal="center" vertical="center" wrapText="1"/>
    </x:xf>
    <x:xf numFmtId="0" fontId="4" fillId="20" borderId="0" xfId="0" applyNumberFormat="1" applyFont="1" applyFill="1" applyBorder="1"/>
    <x:xf numFmtId="0" fontId="12" fillId="23" borderId="0" xfId="0" applyNumberFormat="1" applyFont="1" applyFill="1" applyBorder="1" applyAlignment="1">
      <x:alignment vertical="center" wrapText="1"/>
    </x:xf>
    <x:xf numFmtId="0" fontId="5" fillId="15" borderId="0" xfId="0" applyNumberFormat="1" applyFont="1" applyFill="1" applyBorder="1" applyAlignment="1">
      <x:alignment vertical="top" wrapText="1"/>
    </x:xf>
    <x:xf numFmtId="0" fontId="14" fillId="20" borderId="0" xfId="0" applyNumberFormat="1" applyFont="1" applyFill="1" applyBorder="1"/>
    <x:xf numFmtId="0" fontId="2" fillId="17" borderId="0" xfId="0" applyNumberFormat="1" applyFont="1" applyFill="1" applyBorder="1" applyAlignment="1">
      <x:alignment vertical="center" wrapText="1"/>
    </x:xf>
    <x:xf numFmtId="164" fontId="3" fillId="28" borderId="0" xfId="0" applyNumberFormat="1" applyFont="1" applyFill="1" applyBorder="1" applyAlignment="1">
      <x:alignment wrapText="1"/>
    </x:xf>
    <x:xf numFmtId="1" fontId="3" fillId="28" borderId="0" xfId="0" applyNumberFormat="1" applyFont="1" applyFill="1" applyBorder="1" applyAlignment="1">
      <x:alignment wrapText="1"/>
    </x:xf>
    <x:xf numFmtId="2" fontId="3" fillId="28" borderId="0" xfId="0" applyNumberFormat="1" applyFont="1" applyFill="1" applyBorder="1" applyAlignment="1">
      <x:alignment wrapText="1"/>
    </x:xf>
    <x:xf numFmtId="9" fontId="3" fillId="28" borderId="0" xfId="0" applyNumberFormat="1" applyFont="1" applyFill="1" applyBorder="1" applyAlignment="1">
      <x:alignment wrapText="1"/>
    </x:xf>
    <x:xf numFmtId="0" fontId="3" fillId="28" borderId="0" xfId="0" applyNumberFormat="1" applyFont="1" applyFill="1" applyBorder="1" applyAlignment="1">
      <x:alignment wrapText="1"/>
    </x:xf>
    <x:xf numFmtId="0" fontId="4" fillId="20" borderId="0" xfId="0" applyNumberFormat="1" applyFont="1" applyFill="1" applyBorder="1" applyAlignment="1">
      <x:alignment horizontal="center"/>
    </x:xf>
    <x:xf numFmtId="0" fontId="4" fillId="20" borderId="0" xfId="0" applyNumberFormat="1" applyFont="1" applyFill="1" applyBorder="1" applyAlignment="1">
      <x:alignment vertical="top" wrapText="1"/>
    </x:xf>
    <x:xf numFmtId="164" fontId="0" fillId="28" borderId="0" xfId="0" applyNumberFormat="1" applyFont="1" applyFill="1" applyBorder="1"/>
    <x:xf numFmtId="0" fontId="0" fillId="28" borderId="0" xfId="0" applyNumberFormat="1" applyFont="1" applyFill="1" applyBorder="1"/>
    <x:xf numFmtId="2" fontId="0" fillId="28" borderId="0" xfId="0" applyNumberFormat="1" applyFont="1" applyFill="1" applyBorder="1"/>
    <x:xf numFmtId="9" fontId="0" fillId="28" borderId="0" xfId="0" applyNumberFormat="1" applyFont="1" applyFill="1" applyBorder="1"/>
    <x:xf numFmtId="9" fontId="0" fillId="0" borderId="0" xfId="0" applyNumberFormat="1" applyFont="1" applyFill="1" applyBorder="1" applyAlignment="1">
      <x:alignment wrapText="1"/>
    </x:xf>
    <x:xf numFmtId="166" fontId="5" fillId="29" borderId="0" xfId="0" applyNumberFormat="1" applyFont="1" applyFill="1" applyBorder="1" applyAlignment="1">
      <x:alignment horizontal="center" vertical="center" wrapText="1"/>
    </x:xf>
    <x:xf numFmtId="0" fontId="2" fillId="29" borderId="0" xfId="0" applyNumberFormat="1" applyFont="1" applyFill="1" applyBorder="1" applyAlignment="1">
      <x:alignment horizontal="center" vertical="center" wrapText="1"/>
    </x:xf>
    <x:xf numFmtId="0" fontId="3" fillId="29" borderId="0" xfId="0" applyNumberFormat="1" applyFont="1" applyFill="1" applyBorder="1" applyAlignment="1">
      <x:alignment horizontal="center" vertical="top" wrapText="1"/>
    </x:xf>
    <x:xf numFmtId="0" fontId="2" fillId="29" borderId="0" xfId="0" applyNumberFormat="1" applyFont="1" applyFill="1" applyBorder="1" applyAlignment="1">
      <x:alignment horizontal="center" vertical="top" wrapText="1"/>
    </x:xf>
    <x:xf numFmtId="0" fontId="9" fillId="17" borderId="0" xfId="0" applyNumberFormat="1" applyFont="1" applyFill="1" applyBorder="1" applyAlignment="1">
      <x:alignment horizontal="center" vertical="top" wrapText="1"/>
    </x:xf>
    <x:xf numFmtId="0" fontId="15" fillId="29" borderId="0" xfId="0" applyNumberFormat="1" applyFont="1" applyFill="1" applyBorder="1"/>
    <x:xf numFmtId="0" fontId="0" fillId="0" borderId="0" xfId="0" applyNumberFormat="1" applyFont="1" applyFill="1" applyBorder="1" applyAlignment="1">
      <x:alignment horizontal="center" vertical="top" wrapText="1"/>
    </x:xf>
    <x:xf numFmtId="0" fontId="9" fillId="30" borderId="14" xfId="0" applyNumberFormat="1" applyFont="1" applyFill="1" applyBorder="1" applyAlignment="1">
      <x:alignment horizontal="center" vertical="center" wrapText="1"/>
    </x:xf>
    <x:xf numFmtId="0" fontId="9" fillId="30" borderId="16" xfId="0" applyNumberFormat="1" applyFont="1" applyFill="1" applyBorder="1" applyAlignment="1">
      <x:alignment horizontal="center" vertical="center" wrapText="1"/>
    </x:xf>
    <x:xf numFmtId="0" fontId="9" fillId="30" borderId="15" xfId="0" applyNumberFormat="1" applyFont="1" applyFill="1" applyBorder="1" applyAlignment="1">
      <x:alignment horizontal="center" vertical="center" wrapText="1"/>
    </x:xf>
    <x:xf numFmtId="0" fontId="0" fillId="0" borderId="17" xfId="0" applyNumberFormat="1" applyFont="1" applyFill="1" applyBorder="1" applyAlignment="1">
      <x:alignment vertical="top" wrapText="1"/>
    </x:xf>
    <x:xf numFmtId="0" fontId="0" fillId="0" borderId="18" xfId="0" applyNumberFormat="1" applyFont="1" applyFill="1" applyBorder="1" applyAlignment="1">
      <x:alignment vertical="top" wrapText="1"/>
    </x:xf>
    <x:xf numFmtId="0" fontId="0" fillId="0" borderId="19" xfId="0" applyNumberFormat="1" applyFont="1" applyFill="1" applyBorder="1" applyAlignment="1">
      <x:alignment vertical="top" wrapText="1"/>
    </x:xf>
    <x:xf numFmtId="0" fontId="0" fillId="0" borderId="20" xfId="0" applyNumberFormat="1" applyFont="1" applyFill="1" applyBorder="1" applyAlignment="1">
      <x:alignment vertical="top" wrapText="1"/>
    </x:xf>
    <x:xf numFmtId="0" fontId="0" fillId="0" borderId="21" xfId="0" applyNumberFormat="1" applyFont="1" applyFill="1" applyBorder="1" applyAlignment="1">
      <x:alignment vertical="top" wrapText="1"/>
    </x:xf>
    <x:xf numFmtId="0" fontId="0" fillId="0" borderId="22" xfId="0" applyNumberFormat="1" applyFont="1" applyFill="1" applyBorder="1" applyAlignment="1">
      <x:alignment vertical="top" wrapText="1"/>
    </x:xf>
    <x:xf numFmtId="0" fontId="0" fillId="0" borderId="23" xfId="0" applyNumberFormat="1" applyFont="1" applyFill="1" applyBorder="1" applyAlignment="1">
      <x:alignment vertical="top" wrapText="1"/>
    </x:xf>
    <x:xf numFmtId="0" fontId="0" fillId="0" borderId="24" xfId="0" applyNumberFormat="1" applyFont="1" applyFill="1" applyBorder="1" applyAlignment="1">
      <x:alignment vertical="top" wrapText="1"/>
    </x:xf>
    <x:xf numFmtId="0" fontId="21" fillId="33" borderId="25" xfId="0" applyNumberFormat="1" applyFont="1" applyFill="1" applyBorder="1" applyAlignment="1">
      <x:alignment vertical="top" wrapText="1"/>
    </x:xf>
    <x:xf numFmtId="0" fontId="22" fillId="0" borderId="25" xfId="0" applyNumberFormat="1" applyFont="1" applyFill="1" applyBorder="1" applyAlignment="1">
      <x:alignment vertical="top" wrapText="1"/>
    </x:xf>
    <x:xf numFmtId="0" fontId="21" fillId="33" borderId="26" xfId="0" applyNumberFormat="1" applyFont="1" applyFill="1" applyBorder="1" applyAlignment="1">
      <x:alignment vertical="top" wrapText="1"/>
    </x:xf>
    <x:xf numFmtId="0" fontId="21" fillId="33" borderId="27" xfId="0" applyNumberFormat="1" applyFont="1" applyFill="1" applyBorder="1" applyAlignment="1">
      <x:alignment vertical="top" wrapText="1"/>
    </x:xf>
    <x:xf numFmtId="0" fontId="22" fillId="0" borderId="26" xfId="0" applyNumberFormat="1" applyFont="1" applyFill="1" applyBorder="1" applyAlignment="1">
      <x:alignment vertical="top" wrapText="1"/>
    </x:xf>
    <x:xf numFmtId="0" fontId="22" fillId="0" borderId="27" xfId="0" applyNumberFormat="1" applyFont="1" applyFill="1" applyBorder="1" applyAlignment="1">
      <x:alignment vertical="top" wrapText="1"/>
    </x:xf>
    <x:xf numFmtId="164" fontId="0" fillId="0" borderId="18" xfId="0" applyNumberFormat="1" applyFont="1" applyFill="1" applyBorder="1" applyAlignment="1">
      <x:alignment vertical="top" wrapText="1"/>
    </x:xf>
    <x:xf numFmtId="164" fontId="0" fillId="0" borderId="23" xfId="0" applyNumberFormat="1" applyFont="1" applyFill="1" applyBorder="1" applyAlignment="1">
      <x:alignment vertical="top" wrapText="1"/>
    </x:xf>
    <x:xf numFmtId="0" fontId="0" fillId="0" borderId="14" xfId="0" applyNumberFormat="1" applyFont="1" applyFill="1" applyBorder="1" applyAlignment="1">
      <x:alignment vertical="top" wrapText="1"/>
    </x:xf>
    <x:xf numFmtId="164" fontId="0" fillId="0" borderId="16" xfId="0" applyNumberFormat="1" applyFont="1" applyFill="1" applyBorder="1" applyAlignment="1">
      <x:alignment vertical="top" wrapText="1"/>
    </x:xf>
    <x:xf numFmtId="0" fontId="0" fillId="0" borderId="16" xfId="0" applyNumberFormat="1" applyFont="1" applyFill="1" applyBorder="1" applyAlignment="1">
      <x:alignment vertical="top" wrapText="1"/>
    </x:xf>
    <x:xf numFmtId="0" fontId="0" fillId="0" borderId="15" xfId="0" applyNumberFormat="1" applyFont="1" applyFill="1" applyBorder="1" applyAlignment="1">
      <x:alignment vertical="top" wrapText="1"/>
    </x:xf>
    <x:xf numFmtId="0" fontId="1" fillId="17" borderId="0" xfId="0" applyNumberFormat="1" applyFont="1" applyFill="1" applyBorder="1" applyAlignment="1">
      <x:alignment horizontal="left" vertical="center"/>
    </x:xf>
    <x:xf numFmtId="0" fontId="12" fillId="23" borderId="0" xfId="0" applyNumberFormat="1" applyFont="1" applyFill="1" applyBorder="1" applyAlignment="1">
      <x:alignment vertical="center"/>
    </x:xf>
    <x:xf numFmtId="164" fontId="3" fillId="4" borderId="0" xfId="0" applyNumberFormat="1" applyFont="1" applyFill="1" applyBorder="1" applyAlignment="1">
      <x:alignment wrapText="1"/>
    </x:xf>
    <x:xf numFmtId="0" fontId="4" fillId="18" borderId="0" xfId="0" applyNumberFormat="1" applyFont="1" applyFill="1" applyBorder="1" applyAlignment="1">
      <x:alignment vertical="center" wrapText="1"/>
    </x:xf>
    <x:xf numFmtId="0" fontId="20" fillId="31" borderId="0" xfId="0" applyNumberFormat="1" applyFont="1" applyFill="1" applyBorder="1" applyAlignment="1">
      <x:alignment horizontal="left" vertical="center" wrapText="1"/>
    </x:xf>
    <x:xf numFmtId="0" fontId="10" fillId="18" borderId="0" xfId="0" applyNumberFormat="1" applyFont="1" applyFill="1" applyBorder="1" applyAlignment="1">
      <x:alignment wrapText="1"/>
    </x:xf>
    <x:xf numFmtId="0" fontId="11" fillId="18" borderId="0" xfId="0" applyNumberFormat="1" applyFont="1" applyFill="1" applyBorder="1" applyAlignment="1">
      <x:alignment wrapText="1"/>
    </x:xf>
    <x:xf numFmtId="0" fontId="16" fillId="29" borderId="0" xfId="0" applyNumberFormat="1" applyFont="1" applyFill="1" applyBorder="1" applyAlignment="1">
      <x:alignment wrapText="1"/>
    </x:xf>
    <x:xf numFmtId="0" fontId="11" fillId="19" borderId="0" xfId="0" applyNumberFormat="1" applyFont="1" applyFill="1" applyBorder="1" applyAlignment="1">
      <x:alignment wrapText="1"/>
    </x:xf>
    <x:xf numFmtId="0" fontId="4" fillId="18" borderId="0" xfId="0" applyNumberFormat="1" applyFont="1" applyFill="1" applyBorder="1" applyAlignment="1">
      <x:alignment vertical="top" wrapText="1"/>
    </x:xf>
    <x:xf numFmtId="0" fontId="7" fillId="17" borderId="0" xfId="0" applyNumberFormat="1" applyFont="1" applyFill="1" applyBorder="1" applyAlignment="1">
      <x:alignment horizontal="left" vertical="center" wrapText="1"/>
    </x:xf>
    <x:xf numFmtId="0" fontId="8" fillId="18" borderId="0" xfId="0" applyNumberFormat="1" applyFont="1" applyFill="1" applyBorder="1" applyAlignment="1">
      <x:alignment wrapText="1"/>
    </x:xf>
    <x:xf numFmtId="0" fontId="7" fillId="17" borderId="0" xfId="0" applyNumberFormat="1" applyFont="1" applyFill="1" applyBorder="1" applyAlignment="1">
      <x:alignment horizontal="left" vertical="center"/>
    </x:xf>
    <x:xf numFmtId="0" fontId="8" fillId="19" borderId="0" xfId="0" applyNumberFormat="1" applyFont="1" applyFill="1" applyBorder="1" applyAlignment="1">
      <x:alignment wrapText="1"/>
    </x:xf>
    <x:xf numFmtId="0" fontId="13" fillId="23" borderId="0" xfId="0" applyNumberFormat="1" applyFont="1" applyFill="1" applyBorder="1" applyAlignment="1">
      <x:alignment vertical="center"/>
    </x:xf>
    <x:xf numFmtId="0" fontId="9" fillId="32" borderId="0" xfId="0" applyNumberFormat="1" applyFont="1" applyFill="1" applyBorder="1" applyAlignment="1">
      <x:alignment horizontal="left" vertical="center"/>
    </x:xf>
    <x:xf numFmtId="0" fontId="18" fillId="33" borderId="14" xfId="0" applyNumberFormat="1" applyFont="1" applyFill="1" applyBorder="1" applyAlignment="1">
      <x:alignment vertical="top" wrapText="1"/>
    </x:xf>
    <x:xf numFmtId="0" fontId="18" fillId="33" borderId="15" xfId="0" applyNumberFormat="1" applyFont="1" applyFill="1" applyBorder="1" applyAlignment="1">
      <x:alignment vertical="top" wrapText="1"/>
    </x:xf>
    <x:xf numFmtId="0" fontId="19" fillId="0" borderId="14" xfId="0" applyNumberFormat="1" applyFont="1" applyFill="1" applyBorder="1" applyAlignment="1">
      <x:alignment vertical="top" wrapText="1"/>
    </x:xf>
    <x:xf numFmtId="0" fontId="19" fillId="0" borderId="16" xfId="0" applyNumberFormat="1" applyFont="1" applyFill="1" applyBorder="1" applyAlignment="1">
      <x:alignment vertical="top" wrapText="1"/>
    </x:xf>
    <x:xf numFmtId="0" fontId="19" fillId="0" borderId="15" xfId="0" applyNumberFormat="1" applyFont="1" applyFill="1" applyBorder="1" applyAlignment="1">
      <x:alignment vertical="top" wrapText="1"/>
    </x:xf>
    <x:xf numFmtId="0" fontId="17" fillId="31" borderId="0" xfId="0" applyNumberFormat="1" applyFont="1" applyFill="1" applyBorder="1" applyAlignment="1">
      <x:alignment horizontal="left" vertical="center" wrapText="1"/>
    </x:xf>
    <x:xf numFmtId="0" fontId="0" fillId="28" borderId="0" xfId="0" applyNumberFormat="1" applyFont="1" applyFill="1" applyBorder="1" applyAlignment="1">
      <x:alignment vertical="center" wrapText="1"/>
    </x:xf>
    <x:xf numFmtId="0" fontId="14" fillId="28" borderId="0" xfId="0" applyNumberFormat="1" applyFont="1" applyFill="1" applyBorder="1" applyAlignment="1">
      <x:alignment vertical="center" wrapText="1"/>
    </x:xf>
    <x:xf numFmtId="0" fontId="7" fillId="30" borderId="0" xfId="0" applyNumberFormat="1" applyFont="1" applyFill="1" applyBorder="1" applyAlignment="1">
      <x:alignment horizontal="left" vertical="center" wrapText="1"/>
    </x:xf>
    <x:xf numFmtId="0" fontId="23" fillId="22" borderId="0" xfId="0" applyNumberFormat="1" applyFont="1" applyFill="1" applyBorder="1" applyAlignment="1">
      <x:alignment vertical="top" wrapText="1"/>
    </x:xf>
    <x:xf numFmtId="0" fontId="24" fillId="22" borderId="0" xfId="0" applyNumberFormat="1" applyFont="1" applyFill="1" applyBorder="1" applyAlignment="1">
      <x:alignment vertical="top" wrapText="1"/>
    </x:xf>
    <x:xf numFmtId="167" fontId="23" fillId="22" borderId="0" xfId="0" applyNumberFormat="1" applyFont="1" applyFill="1" applyBorder="1" applyAlignment="1">
      <x:alignment horizontal="center" vertical="top" wrapText="1"/>
    </x:xf>
    <x:xf numFmtId="0" fontId="23" fillId="22" borderId="0" xfId="0" applyNumberFormat="1" applyFont="1" applyFill="1" applyBorder="1" applyAlignment="1">
      <x:alignment horizontal="center" vertical="top" wrapText="1"/>
    </x:xf>
    <x:xf numFmtId="164" fontId="23" fillId="22" borderId="0" xfId="0" applyNumberFormat="1" applyFont="1" applyFill="1" applyBorder="1" applyAlignment="1">
      <x:alignment horizontal="center" vertical="top" wrapText="1"/>
    </x:xf>
    <x:xf numFmtId="9" fontId="23" fillId="22" borderId="0" xfId="0" applyNumberFormat="1" applyFont="1" applyFill="1" applyBorder="1" applyAlignment="1">
      <x:alignment horizontal="center" vertical="top" wrapText="1"/>
    </x:xf>
    <x:xf numFmtId="2" fontId="23" fillId="22" borderId="0" xfId="0" applyNumberFormat="1" applyFont="1" applyFill="1" applyBorder="1" applyAlignment="1">
      <x:alignment horizontal="center" vertical="top" wrapText="1"/>
    </x:xf>
    <x:xf numFmtId="0" fontId="24" fillId="22" borderId="0" xfId="0" applyNumberFormat="1" applyFont="1" applyFill="1" applyBorder="1" applyAlignment="1">
      <x:alignment horizontal="center" vertical="top" wrapText="1"/>
    </x:xf>
    <x:xf numFmtId="0" fontId="23" fillId="0" borderId="0" xfId="0" applyNumberFormat="1" applyFont="1" applyFill="1" applyBorder="1" applyAlignment="1">
      <x:alignment vertical="top" wrapText="1"/>
    </x:xf>
    <x:xf numFmtId="0" fontId="24" fillId="21" borderId="0" xfId="0" applyNumberFormat="1" applyFont="1" applyFill="1" applyBorder="1" applyAlignment="1">
      <x:alignment vertical="top" wrapText="1"/>
    </x:xf>
    <x:xf numFmtId="167" fontId="23" fillId="0" borderId="0" xfId="0" applyNumberFormat="1" applyFont="1" applyFill="1" applyBorder="1" applyAlignment="1">
      <x:alignment horizontal="center" vertical="top" wrapText="1"/>
    </x:xf>
    <x:xf numFmtId="0" fontId="23" fillId="0" borderId="0" xfId="0" applyNumberFormat="1" applyFont="1" applyFill="1" applyBorder="1" applyAlignment="1">
      <x:alignment horizontal="center" vertical="top" wrapText="1"/>
    </x:xf>
    <x:xf numFmtId="164" fontId="23" fillId="0" borderId="0" xfId="0" applyNumberFormat="1" applyFont="1" applyFill="1" applyBorder="1" applyAlignment="1">
      <x:alignment horizontal="center" vertical="top" wrapText="1"/>
    </x:xf>
    <x:xf numFmtId="9" fontId="23" fillId="0" borderId="0" xfId="0" applyNumberFormat="1" applyFont="1" applyFill="1" applyBorder="1" applyAlignment="1">
      <x:alignment horizontal="center" vertical="top" wrapText="1"/>
    </x:xf>
    <x:xf numFmtId="2" fontId="23" fillId="0" borderId="0" xfId="0" applyNumberFormat="1" applyFont="1" applyFill="1" applyBorder="1" applyAlignment="1">
      <x:alignment horizontal="center" vertical="top" wrapText="1"/>
    </x:xf>
    <x:xf numFmtId="0" fontId="24" fillId="7" borderId="0" xfId="0" applyNumberFormat="1" applyFont="1" applyFill="1" applyBorder="1" applyAlignment="1">
      <x:alignment horizontal="center" vertical="top" wrapText="1"/>
    </x:xf>
    <x:xf numFmtId="0" fontId="24" fillId="23" borderId="0" xfId="0" applyNumberFormat="1" applyFont="1" applyFill="1" applyBorder="1" applyAlignment="1">
      <x:alignment vertical="top" wrapText="1"/>
    </x:xf>
    <x:xf numFmtId="0" fontId="24" fillId="9" borderId="0" xfId="0" applyNumberFormat="1" applyFont="1" applyFill="1" applyBorder="1" applyAlignment="1">
      <x:alignment vertical="top" wrapText="1"/>
    </x:xf>
    <x:xf numFmtId="0" fontId="24" fillId="25" borderId="0" xfId="0" applyNumberFormat="1" applyFont="1" applyFill="1" applyBorder="1" applyAlignment="1">
      <x:alignment vertical="top" wrapText="1"/>
    </x:xf>
    <x:xf numFmtId="0" fontId="24" fillId="26" borderId="0" xfId="0" applyNumberFormat="1" applyFont="1" applyFill="1" applyBorder="1" applyAlignment="1">
      <x:alignment vertical="top" wrapText="1"/>
    </x:xf>
    <x:xf numFmtId="0" fontId="24" fillId="27" borderId="0" xfId="0" applyNumberFormat="1" applyFont="1" applyFill="1" applyBorder="1" applyAlignment="1">
      <x:alignment vertical="top" wrapText="1"/>
    </x:xf>
    <x:xf numFmtId="0" fontId="24" fillId="35" borderId="0" xfId="0" applyNumberFormat="1" applyFont="1" applyFill="1" applyBorder="1" applyAlignment="1">
      <x:alignment vertical="top" wrapText="1"/>
    </x:xf>
    <x:xf numFmtId="0" fontId="24" fillId="36" borderId="0" xfId="0" applyNumberFormat="1" applyFont="1" applyFill="1" applyBorder="1" applyAlignment="1">
      <x:alignment vertical="top" wrapText="1"/>
    </x:xf>
    <x:xf numFmtId="0" fontId="24" fillId="37" borderId="0" xfId="0" applyNumberFormat="1" applyFont="1" applyFill="1" applyBorder="1" applyAlignment="1">
      <x:alignment vertical="top" wrapText="1"/>
    </x:xf>
    <x:xf numFmtId="0" fontId="24" fillId="38" borderId="0" xfId="0" applyNumberFormat="1" applyFont="1" applyFill="1" applyBorder="1" applyAlignment="1">
      <x:alignment vertical="top" wrapText="1"/>
    </x:xf>
    <x:xf numFmtId="0" fontId="24" fillId="39" borderId="0" xfId="0" applyNumberFormat="1" applyFont="1" applyFill="1" applyBorder="1" applyAlignment="1">
      <x:alignment vertical="top" wrapText="1"/>
    </x:xf>
    <x:xf numFmtId="0" fontId="24" fillId="40" borderId="0" xfId="0" applyNumberFormat="1" applyFont="1" applyFill="1" applyBorder="1" applyAlignment="1">
      <x:alignment vertical="top" wrapText="1"/>
    </x:xf>
    <x:xf numFmtId="0" fontId="24" fillId="41" borderId="0" xfId="0" applyNumberFormat="1" applyFont="1" applyFill="1" applyBorder="1" applyAlignment="1">
      <x:alignment horizontal="center" vertical="top" wrapText="1"/>
    </x:xf>
    <x:xf numFmtId="0" fontId="23" fillId="41" borderId="0" xfId="0" applyNumberFormat="1" applyFont="1" applyFill="1" applyBorder="1" applyAlignment="1">
      <x:alignment horizontal="center" vertical="top" wrapText="1"/>
    </x:xf>
    <x:xf numFmtId="0" fontId="24" fillId="4" borderId="0" xfId="0" applyNumberFormat="1" applyFont="1" applyFill="1" applyBorder="1" applyAlignment="1">
      <x:alignment horizontal="center" vertical="top" wrapText="1"/>
    </x:xf>
    <x:xf numFmtId="0" fontId="23" fillId="4" borderId="0" xfId="0" applyNumberFormat="1" applyFont="1" applyFill="1" applyBorder="1" applyAlignment="1">
      <x:alignment horizontal="center" vertical="top" wrapText="1"/>
    </x:xf>
    <x:xf numFmtId="0" fontId="0" fillId="42" borderId="0" xfId="0" applyNumberFormat="1" applyFont="1" applyFill="1" applyBorder="1"/>
    <x:xf numFmtId="0" fontId="14" fillId="42" borderId="0" xfId="0" applyNumberFormat="1" applyFont="1" applyFill="1" applyBorder="1"/>
    <x:xf numFmtId="0" fontId="14" fillId="42" borderId="0" xfId="0" applyNumberFormat="1" applyFont="1" applyFill="1" applyBorder="1" applyAlignment="1">
      <x:alignment wrapText="1"/>
    </x:xf>
    <x:xf numFmtId="0" fontId="14" fillId="42" borderId="0" xfId="0" applyNumberFormat="1" applyFont="1" applyFill="1" applyBorder="1" applyAlignment="1">
      <x:alignment vertical="center" wrapText="1"/>
    </x:xf>
    <x:xf numFmtId="200" fontId="14" fillId="42" borderId="0" xfId="0" applyNumberFormat="1" applyFont="1" applyFill="1" applyBorder="1" applyAlignment="1">
      <x:alignment vertical="center" wrapText="1"/>
    </x:xf>
    <x:xf numFmtId="0" fontId="0" fillId="43" borderId="0" xfId="0" applyNumberFormat="1" applyFont="1" applyFill="1" applyBorder="1"/>
    <x:xf numFmtId="0" fontId="8" fillId="43" borderId="0" xfId="0" applyNumberFormat="1" applyFont="1" applyFill="1" applyBorder="1"/>
    <x:xf numFmtId="0" fontId="8" fillId="43" borderId="0" xfId="0" applyNumberFormat="1" applyFont="1" applyFill="1" applyBorder="1" applyAlignment="1">
      <x:alignment wrapText="1"/>
    </x:xf>
    <x:xf numFmtId="0" fontId="8" fillId="43" borderId="0" xfId="0" applyNumberFormat="1" applyFont="1" applyFill="1" applyBorder="1" applyAlignment="1">
      <x:alignment vertical="center" wrapText="1"/>
    </x:xf>
    <x:xf numFmtId="0" fontId="0" fillId="44" borderId="0" xfId="0" applyNumberFormat="1" applyFont="1" applyFill="1" applyBorder="1"/>
    <x:xf numFmtId="0" fontId="9" fillId="44" borderId="0" xfId="0" applyNumberFormat="1" applyFont="1" applyFill="1" applyBorder="1"/>
    <x:xf numFmtId="0" fontId="9" fillId="44" borderId="0" xfId="0" applyNumberFormat="1" applyFont="1" applyFill="1" applyBorder="1" applyAlignment="1">
      <x:alignment wrapText="1"/>
    </x:xf>
    <x:xf numFmtId="0" fontId="9" fillId="44" borderId="0" xfId="0" applyNumberFormat="1" applyFont="1" applyFill="1" applyBorder="1" applyAlignment="1">
      <x:alignment horizontal="center" wrapText="1"/>
    </x:xf>
    <x:xf numFmtId="0" fontId="9" fillId="44" borderId="0" xfId="0" applyNumberFormat="1" applyFont="1" applyFill="1" applyBorder="1" applyAlignment="1">
      <x:alignment horizontal="center" vertical="center" wrapText="1"/>
    </x:xf>
    <x:xf numFmtId="0" fontId="0" fillId="45" borderId="0" xfId="0" applyNumberFormat="1" applyFont="1" applyFill="1" applyBorder="1"/>
    <x:xf numFmtId="0" fontId="14" fillId="45" borderId="0" xfId="0" applyNumberFormat="1" applyFont="1" applyFill="1" applyBorder="1"/>
    <x:xf numFmtId="200" fontId="14" fillId="45" borderId="0" xfId="0" applyNumberFormat="1" applyFont="1" applyFill="1" applyBorder="1"/>
    <x:xf numFmtId="200" fontId="14" fillId="45" borderId="0" xfId="0" applyNumberFormat="1" applyFont="1" applyFill="1" applyBorder="1" applyAlignment="1">
      <x:alignment horizontal="center"/>
    </x:xf>
    <x:xf numFmtId="201" fontId="0" fillId="0" borderId="0" xfId="0" applyNumberFormat="1" applyFont="1" applyFill="1" applyBorder="1" applyAlignment="1">
      <x:alignment vertical="top" wrapText="1"/>
    </x:xf>
    <x:xf numFmtId="201" fontId="0" fillId="0" borderId="0" xfId="0" applyNumberFormat="1" applyFont="1" applyFill="1" applyBorder="1"/>
    <x:xf numFmtId="202" fontId="0" fillId="0" borderId="0" xfId="0" applyNumberFormat="1" applyFont="1" applyFill="1" applyBorder="1" applyAlignment="1">
      <x:alignment vertical="top" wrapText="1"/>
    </x:xf>
    <x:xf numFmtId="202" fontId="0" fillId="0" borderId="0" xfId="0" applyNumberFormat="1" applyFont="1" applyFill="1" applyBorder="1"/>
    <x:xf numFmtId="0" fontId="0" fillId="46" borderId="0" xfId="0" applyNumberFormat="1" applyFont="1" applyFill="1" applyBorder="1"/>
    <x:xf numFmtId="0" fontId="25" fillId="46" borderId="0" xfId="0" applyNumberFormat="1" applyFont="1" applyFill="1" applyBorder="1"/>
    <x:xf numFmtId="0" fontId="25" fillId="46" borderId="0" xfId="0" applyNumberFormat="1" applyFont="1" applyFill="1" applyBorder="1" applyAlignment="1">
      <x:alignment horizontal="center"/>
    </x:xf>
    <x:xf numFmtId="0" fontId="25" fillId="46" borderId="0" xfId="0" applyNumberFormat="1" applyFont="1" applyFill="1" applyBorder="1" applyAlignment="1">
      <x:alignment horizontal="center" vertical="center"/>
    </x:xf>
    <x:xf numFmtId="0" fontId="0" fillId="47" borderId="0" xfId="0" applyNumberFormat="1" applyFont="1" applyFill="1" applyBorder="1"/>
    <x:xf numFmtId="201" fontId="0" fillId="47" borderId="0" xfId="0" applyNumberFormat="1" applyFont="1" applyFill="1" applyBorder="1"/>
    <x:xf numFmtId="202" fontId="0" fillId="47" borderId="0" xfId="0" applyNumberFormat="1" applyFont="1" applyFill="1" applyBorder="1"/>
    <x:xf numFmtId="0" fontId="9" fillId="47" borderId="0" xfId="0" applyNumberFormat="1" applyFont="1" applyFill="1" applyBorder="1"/>
    <x:xf numFmtId="201" fontId="9" fillId="47" borderId="0" xfId="0" applyNumberFormat="1" applyFont="1" applyFill="1" applyBorder="1"/>
    <x:xf numFmtId="202" fontId="9" fillId="47" borderId="0" xfId="0" applyNumberFormat="1" applyFont="1" applyFill="1" applyBorder="1"/>
    <x:xf numFmtId="0" fontId="9" fillId="47" borderId="0" xfId="0" applyNumberFormat="1" applyFont="1" applyFill="1" applyBorder="1" applyAlignment="1">
      <x:alignment wrapText="1"/>
    </x:xf>
    <x:xf numFmtId="201" fontId="9" fillId="47" borderId="0" xfId="0" applyNumberFormat="1" applyFont="1" applyFill="1" applyBorder="1" applyAlignment="1">
      <x:alignment wrapText="1"/>
    </x:xf>
    <x:xf numFmtId="202" fontId="9" fillId="47" borderId="0" xfId="0" applyNumberFormat="1" applyFont="1" applyFill="1" applyBorder="1" applyAlignment="1">
      <x:alignment wrapText="1"/>
    </x:xf>
    <x:xf numFmtId="0" fontId="9" fillId="47" borderId="0" xfId="0" applyNumberFormat="1" applyFont="1" applyFill="1" applyBorder="1" applyAlignment="1">
      <x:alignment horizontal="left" wrapText="1"/>
    </x:xf>
    <x:xf numFmtId="201" fontId="9" fillId="47" borderId="0" xfId="0" applyNumberFormat="1" applyFont="1" applyFill="1" applyBorder="1" applyAlignment="1">
      <x:alignment horizontal="left" wrapText="1"/>
    </x:xf>
    <x:xf numFmtId="202" fontId="9" fillId="47" borderId="0" xfId="0" applyNumberFormat="1" applyFont="1" applyFill="1" applyBorder="1" applyAlignment="1">
      <x:alignment horizontal="left" wrapText="1"/>
    </x:xf>
    <x:xf numFmtId="0" fontId="9" fillId="47" borderId="0" xfId="0" applyNumberFormat="1" applyFont="1" applyFill="1" applyBorder="1" applyAlignment="1">
      <x:alignment horizontal="left" vertical="center" wrapText="1"/>
    </x:xf>
    <x:xf numFmtId="201" fontId="9" fillId="47" borderId="0" xfId="0" applyNumberFormat="1" applyFont="1" applyFill="1" applyBorder="1" applyAlignment="1">
      <x:alignment horizontal="left" vertical="center" wrapText="1"/>
    </x:xf>
    <x:xf numFmtId="202" fontId="9" fillId="47" borderId="0" xfId="0" applyNumberFormat="1" applyFont="1" applyFill="1" applyBorder="1" applyAlignment="1">
      <x:alignment horizontal="left" vertical="center" wrapText="1"/>
    </x:xf>
    <x:xf numFmtId="0" fontId="9" fillId="44" borderId="0" xfId="0" applyNumberFormat="1" applyFont="1" applyFill="1" applyBorder="1" applyAlignment="1">
      <x:alignment horizontal="center"/>
    </x:xf>
    <x:xf numFmtId="0" fontId="9" fillId="44" borderId="0" xfId="0" applyNumberFormat="1" applyFont="1" applyFill="1" applyBorder="1" applyAlignment="1">
      <x:alignment horizontal="center" vertical="center"/>
    </x:xf>
    <x:xf numFmtId="0" fontId="9" fillId="47" borderId="0" xfId="0" applyNumberFormat="1" applyFont="1" applyFill="1" applyBorder="1" applyAlignment="1">
      <x:alignment vertical="center" wrapText="1"/>
    </x:xf>
    <x:xf numFmtId="0" fontId="9" fillId="44" borderId="0" xfId="0" applyNumberFormat="1" applyFont="1" applyFill="1" applyBorder="1" applyAlignment="1">
      <x:alignment vertical="center" wrapText="1"/>
    </x:xf>
    <x:xf numFmtId="0" fontId="0" fillId="48" borderId="0" xfId="0" applyNumberFormat="1" applyFont="1" applyFill="1" applyBorder="1"/>
    <x:xf numFmtId="0" fontId="0" fillId="48" borderId="0" xfId="0" applyNumberFormat="1" applyFont="1" applyFill="1" applyBorder="1" applyAlignment="1">
      <x:alignment wrapText="1"/>
    </x:xf>
    <x:xf numFmtId="0" fontId="0" fillId="48" borderId="0" xfId="0" applyNumberFormat="1" applyFont="1" applyFill="1" applyBorder="1" applyAlignment="1">
      <x:alignment vertical="center" wrapText="1"/>
    </x:xf>
    <x:xf numFmtId="200" fontId="0" fillId="48" borderId="0" xfId="0" applyNumberFormat="1" applyFont="1" applyFill="1" applyBorder="1" applyAlignment="1">
      <x:alignment vertical="center" wrapText="1"/>
    </x:xf>
    <x:xf numFmtId="201" fontId="0" fillId="48" borderId="0" xfId="0" applyNumberFormat="1" applyFont="1" applyFill="1" applyBorder="1" applyAlignment="1">
      <x:alignment vertical="center" wrapText="1"/>
    </x:xf>
    <x:xf numFmtId="202" fontId="0" fillId="48" borderId="0" xfId="0" applyNumberFormat="1" applyFont="1" applyFill="1" applyBorder="1" applyAlignment="1">
      <x:alignment vertical="center" wrapText="1"/>
    </x:xf>
    <x:xf numFmtId="0" fontId="14" fillId="45" borderId="0" xfId="0" applyNumberFormat="1" applyFont="1" applyFill="1" applyBorder="1" applyAlignment="1">
      <x:alignment wrapText="1"/>
    </x:xf>
    <x:xf numFmtId="0" fontId="14" fillId="45" borderId="0" xfId="0" applyNumberFormat="1" applyFont="1" applyFill="1" applyBorder="1" applyAlignment="1">
      <x:alignment vertical="center" wrapText="1"/>
    </x:xf>
    <x:xf numFmtId="0" fontId="0" fillId="48" borderId="0" xfId="0" applyNumberFormat="1" applyFont="1" applyFill="1" applyBorder="1" applyAlignment="1">
      <x:alignment vertical="top" wrapText="1"/>
    </x:xf>
    <x:xf numFmtId="0" fontId="0" fillId="0" borderId="0" xfId="0" applyNumberFormat="1" applyFont="1" applyFill="1" applyBorder="1" applyAlignment="1">
      <x:alignment vertical="center" wrapText="1"/>
    </x:xf>
    <x:xf numFmtId="201" fontId="0" fillId="0" borderId="0" xfId="0" applyNumberFormat="1" applyFont="1" applyFill="1" applyBorder="1" applyAlignment="1">
      <x:alignment vertical="center" wrapText="1"/>
    </x:xf>
    <x:xf numFmtId="202" fontId="0" fillId="0" borderId="0" xfId="0" applyNumberFormat="1" applyFont="1" applyFill="1" applyBorder="1" applyAlignment="1">
      <x:alignment vertical="center" wrapText="1"/>
    </x:xf>
    <x:xf numFmtId="200" fontId="3" fillId="28" borderId="0" xfId="0" applyNumberFormat="1" applyFont="1" applyFill="1" applyBorder="1" applyAlignment="1">
      <x:alignment wrapText="1"/>
    </x:xf>
    <x:xf numFmtId="201" fontId="3" fillId="28" borderId="0" xfId="0" applyNumberFormat="1" applyFont="1" applyFill="1" applyBorder="1" applyAlignment="1">
      <x:alignment wrapText="1"/>
    </x:xf>
    <x:xf numFmtId="202" fontId="3" fillId="28" borderId="0" xfId="0" applyNumberFormat="1" applyFont="1" applyFill="1" applyBorder="1" applyAlignment="1">
      <x:alignment wrapText="1"/>
    </x:xf>
    <x:xf numFmtId="0" fontId="4" fillId="49" borderId="0" xfId="0" applyNumberFormat="1" applyFont="1" applyFill="1" applyBorder="1" applyAlignment="1">
      <x:alignment vertical="center" wrapText="1"/>
    </x:xf>
    <x:xf numFmtId="0" fontId="26" fillId="0" borderId="0" xfId="0" applyNumberFormat="1" applyFont="1" applyFill="1" applyBorder="1" applyAlignment="1">
      <x:alignment wrapText="1"/>
    </x:xf>
    <x:xf numFmtId="0" fontId="3" fillId="43" borderId="0" xfId="0" applyNumberFormat="1" applyFont="1" applyFill="1" applyBorder="1"/>
    <x:xf numFmtId="0" fontId="15" fillId="43" borderId="0" xfId="0" applyNumberFormat="1" applyFont="1" applyFill="1" applyBorder="1"/>
    <x:xf numFmtId="0" fontId="11" fillId="43" borderId="0" xfId="0" applyNumberFormat="1" applyFont="1" applyFill="1" applyBorder="1"/>
    <x:xf numFmtId="0" fontId="16" fillId="43" borderId="0" xfId="0" applyNumberFormat="1" applyFont="1" applyFill="1" applyBorder="1"/>
    <x:xf numFmtId="0" fontId="11" fillId="43" borderId="0" xfId="0" applyNumberFormat="1" applyFont="1" applyFill="1" applyBorder="1" applyAlignment="1">
      <x:alignment wrapText="1"/>
    </x:xf>
    <x:xf numFmtId="0" fontId="16" fillId="43" borderId="0" xfId="0" applyNumberFormat="1" applyFont="1" applyFill="1" applyBorder="1" applyAlignment="1">
      <x:alignment wrapText="1"/>
    </x:xf>
    <x:xf numFmtId="0" fontId="27" fillId="23" borderId="0" xfId="0" applyNumberFormat="1" applyFont="1" applyFill="1" applyBorder="1" applyAlignment="1">
      <x:alignment vertical="center"/>
    </x:xf>
    <x:xf numFmtId="0" fontId="28" fillId="3" borderId="0" xfId="0" applyNumberFormat="1" applyFont="1" applyFill="1" applyBorder="1" applyAlignment="1">
      <x:alignment vertical="center"/>
    </x:xf>
    <x:xf numFmtId="0" fontId="28" fillId="20" borderId="0" xfId="0" applyNumberFormat="1" applyFont="1" applyFill="1" applyBorder="1" applyAlignment="1">
      <x:alignment horizontal="center"/>
    </x:xf>
    <x:xf numFmtId="0" fontId="15" fillId="0" borderId="0" xfId="0" applyNumberFormat="1" applyFont="1" applyFill="1" applyBorder="1" applyAlignment="1">
      <x:alignment vertical="top" wrapText="1"/>
    </x:xf>
    <x:xf numFmtId="0" fontId="27" fillId="23" borderId="0" xfId="0" applyNumberFormat="1" applyFont="1" applyFill="1" applyBorder="1" applyAlignment="1">
      <x:alignment vertical="center" wrapText="1"/>
    </x:xf>
    <x:xf numFmtId="0" fontId="28" fillId="3" borderId="0" xfId="0" applyNumberFormat="1" applyFont="1" applyFill="1" applyBorder="1" applyAlignment="1">
      <x:alignment vertical="center" wrapText="1"/>
    </x:xf>
    <x:xf numFmtId="0" fontId="28" fillId="20" borderId="0" xfId="0" applyNumberFormat="1" applyFont="1" applyFill="1" applyBorder="1" applyAlignment="1">
      <x:alignment horizontal="center" wrapText="1"/>
    </x:xf>
    <x:xf numFmtId="0" fontId="27" fillId="23" borderId="0" xfId="0" applyNumberFormat="1" applyFont="1" applyFill="1" applyBorder="1" applyAlignment="1">
      <x:alignment horizontal="center" vertical="center" wrapText="1"/>
    </x:xf>
    <x:xf numFmtId="0" fontId="27" fillId="23" borderId="0" xfId="0" applyNumberFormat="1" applyFont="1" applyFill="1" applyBorder="1" applyAlignment="1">
      <x:alignment horizontal="center" vertical="top" wrapText="1"/>
    </x:xf>
    <x:xf numFmtId="0" fontId="28" fillId="3" borderId="0" xfId="0" applyNumberFormat="1" applyFont="1" applyFill="1" applyBorder="1" applyAlignment="1">
      <x:alignment vertical="top" wrapText="1"/>
    </x:xf>
    <x:xf numFmtId="0" fontId="28" fillId="20" borderId="0" xfId="0" applyNumberFormat="1" applyFont="1" applyFill="1" applyBorder="1" applyAlignment="1">
      <x:alignment horizontal="center" vertical="top" wrapText="1"/>
    </x:xf>
    <x:xf numFmtId="0" fontId="13" fillId="23" borderId="0" xfId="0" applyNumberFormat="1" applyFont="1" applyFill="1" applyBorder="1" applyAlignment="1">
      <x:alignment vertical="center" wrapText="1"/>
    </x:xf>
    <x:xf numFmtId="0" fontId="9" fillId="32" borderId="0" xfId="0" applyNumberFormat="1" applyFont="1" applyFill="1" applyBorder="1" applyAlignment="1">
      <x:alignment horizontal="left" vertical="center" wrapText="1"/>
    </x:xf>
    <x:xf numFmtId="0" fontId="15" fillId="50" borderId="0" xfId="0" applyNumberFormat="1" applyFont="1" applyFill="1" applyBorder="1" applyAlignment="1">
      <x:alignment vertical="top" wrapText="1"/>
    </x:xf>
    <x:xf numFmtId="0" fontId="23" fillId="50" borderId="0" xfId="0" applyNumberFormat="1" applyFont="1" applyFill="1" applyBorder="1" applyAlignment="1">
      <x:alignment vertical="top" wrapText="1"/>
    </x:xf>
    <x:xf numFmtId="0" fontId="23" fillId="50" borderId="0" xfId="0" applyNumberFormat="1" applyFont="1" applyFill="1" applyBorder="1" applyAlignment="1">
      <x:alignment horizontal="left" vertical="top" wrapText="1"/>
    </x:xf>
    <x:xf numFmtId="0" fontId="28" fillId="51" borderId="0" xfId="0" applyNumberFormat="1" applyFont="1" applyFill="1" applyBorder="1" applyAlignment="1">
      <x:alignment horizontal="center" vertical="top" wrapText="1"/>
    </x:xf>
    <x:xf numFmtId="0" fontId="24" fillId="51" borderId="0" xfId="0" applyNumberFormat="1" applyFont="1" applyFill="1" applyBorder="1" applyAlignment="1">
      <x:alignment horizontal="center" vertical="top" wrapText="1"/>
    </x:xf>
    <x:xf numFmtId="0" fontId="24" fillId="51" borderId="0" xfId="0" applyNumberFormat="1" applyFont="1" applyFill="1" applyBorder="1" applyAlignment="1">
      <x:alignment horizontal="center" vertical="center" wrapText="1"/>
    </x:xf>
    <x:xf numFmtId="0" fontId="12" fillId="47" borderId="0" xfId="0" applyNumberFormat="1" applyFont="1" applyFill="1" applyBorder="1" applyAlignment="1">
      <x:alignment vertical="center" wrapText="1"/>
    </x:xf>
    <x:xf numFmtId="164" fontId="3" fillId="47" borderId="0" xfId="0" applyNumberFormat="1" applyFont="1" applyFill="1" applyBorder="1" applyAlignment="1">
      <x:alignment wrapText="1"/>
    </x:xf>
    <x:xf numFmtId="164" fontId="29" fillId="47" borderId="0" xfId="0" applyNumberFormat="1" applyFont="1" applyFill="1" applyBorder="1" applyAlignment="1">
      <x:alignment wrapText="1"/>
    </x:xf>
    <x:xf numFmtId="164" fontId="2" fillId="47" borderId="0" xfId="0" applyNumberFormat="1" applyFont="1" applyFill="1" applyBorder="1" applyAlignment="1">
      <x:alignment wrapText="1"/>
    </x:xf>
    <x:xf numFmtId="0" fontId="27" fillId="47" borderId="0" xfId="0" applyNumberFormat="1" applyFont="1" applyFill="1" applyBorder="1" applyAlignment="1">
      <x:alignment horizontal="center" vertical="top" wrapText="1"/>
    </x:xf>
    <x:xf numFmtId="0" fontId="28" fillId="47" borderId="0" xfId="0" applyNumberFormat="1" applyFont="1" applyFill="1" applyBorder="1" applyAlignment="1">
      <x:alignment vertical="top" wrapText="1"/>
    </x:xf>
    <x:xf numFmtId="0" fontId="12" fillId="47" borderId="0" xfId="0" applyNumberFormat="1" applyFont="1" applyFill="1" applyBorder="1" applyAlignment="1">
      <x:alignment horizontal="center" vertical="top" wrapText="1"/>
    </x:xf>
    <x:xf numFmtId="0" fontId="2" fillId="47" borderId="0" xfId="0" applyNumberFormat="1" applyFont="1" applyFill="1" applyBorder="1" applyAlignment="1">
      <x:alignment vertical="top" wrapText="1"/>
    </x:xf>
    <x:xf numFmtId="0" fontId="2" fillId="44" borderId="0" xfId="0" applyNumberFormat="1" applyFont="1" applyFill="1" applyBorder="1" applyAlignment="1">
      <x:alignment vertical="center" wrapText="1"/>
    </x:xf>
    <x:xf numFmtId="0" fontId="2" fillId="44" borderId="0" xfId="0" applyNumberFormat="1" applyFont="1" applyFill="1" applyBorder="1"/>
    <x:xf numFmtId="0" fontId="2" fillId="44" borderId="0" xfId="0" applyNumberFormat="1" applyFont="1" applyFill="1" applyBorder="1" applyAlignment="1">
      <x:alignment wrapText="1"/>
    </x:xf>
    <x:xf numFmtId="164" fontId="3" fillId="52" borderId="0" xfId="0" applyNumberFormat="1" applyFont="1" applyFill="1" applyBorder="1" applyAlignment="1">
      <x:alignment wrapText="1"/>
    </x:xf>
    <x:xf numFmtId="200" fontId="3" fillId="52" borderId="0" xfId="0" applyNumberFormat="1" applyFont="1" applyFill="1" applyBorder="1" applyAlignment="1">
      <x:alignment wrapText="1"/>
    </x:xf>
    <x:xf numFmtId="201" fontId="3" fillId="52" borderId="0" xfId="0" applyNumberFormat="1" applyFont="1" applyFill="1" applyBorder="1" applyAlignment="1">
      <x:alignment wrapText="1"/>
    </x:xf>
    <x:xf numFmtId="202" fontId="3" fillId="52" borderId="0" xfId="0" applyNumberFormat="1" applyFont="1" applyFill="1" applyBorder="1" applyAlignment="1">
      <x:alignment wrapText="1"/>
    </x:xf>
    <x:xf numFmtId="0" fontId="3" fillId="52" borderId="0" xfId="0" applyNumberFormat="1" applyFont="1" applyFill="1" applyBorder="1" applyAlignment="1">
      <x:alignment wrapText="1"/>
    </x:xf>
    <x:xf numFmtId="164" fontId="23" fillId="52" borderId="0" xfId="0" applyNumberFormat="1" applyFont="1" applyFill="1" applyBorder="1" applyAlignment="1">
      <x:alignment wrapText="1"/>
    </x:xf>
    <x:xf numFmtId="200" fontId="23" fillId="52" borderId="0" xfId="0" applyNumberFormat="1" applyFont="1" applyFill="1" applyBorder="1" applyAlignment="1">
      <x:alignment wrapText="1"/>
    </x:xf>
    <x:xf numFmtId="201" fontId="23" fillId="52" borderId="0" xfId="0" applyNumberFormat="1" applyFont="1" applyFill="1" applyBorder="1" applyAlignment="1">
      <x:alignment wrapText="1"/>
    </x:xf>
    <x:xf numFmtId="202" fontId="23" fillId="52" borderId="0" xfId="0" applyNumberFormat="1" applyFont="1" applyFill="1" applyBorder="1" applyAlignment="1">
      <x:alignment wrapText="1"/>
    </x:xf>
    <x:xf numFmtId="0" fontId="23" fillId="52" borderId="0" xfId="0" applyNumberFormat="1" applyFont="1" applyFill="1" applyBorder="1" applyAlignment="1">
      <x:alignment wrapText="1"/>
    </x:xf>
    <x:xf numFmtId="0" fontId="24" fillId="45" borderId="0" xfId="0" applyNumberFormat="1" applyFont="1" applyFill="1" applyBorder="1" applyAlignment="1">
      <x:alignment horizontal="center" vertical="center" wrapText="1"/>
    </x:xf>
    <x:xf numFmtId="0" fontId="24" fillId="33" borderId="0" xfId="0" applyNumberFormat="1" applyFont="1" applyFill="1" applyBorder="1" applyAlignment="1">
      <x:alignment horizontal="center" vertical="center" wrapText="1"/>
    </x:xf>
    <x:xf numFmtId="0" fontId="23" fillId="29" borderId="0" xfId="0" applyNumberFormat="1" applyFont="1" applyFill="1" applyBorder="1" applyAlignment="1">
      <x:alignment horizontal="left" vertical="top" wrapText="1"/>
    </x:xf>
    <x:xf numFmtId="164" fontId="23" fillId="52" borderId="0" xfId="0" applyNumberFormat="1" applyFont="1" applyFill="1" applyBorder="1" applyAlignment="1">
      <x:alignment vertical="center" wrapText="1"/>
    </x:xf>
    <x:xf numFmtId="0" fontId="3" fillId="0" borderId="0" xfId="0" applyNumberFormat="1" applyFont="1" applyFill="1" applyBorder="1" applyAlignment="1">
      <x:alignment vertical="center" wrapText="1"/>
    </x:xf>
    <x:xf numFmtId="0" fontId="23" fillId="29" borderId="0" xfId="0" applyNumberFormat="1" applyFont="1" applyFill="1" applyBorder="1" applyAlignment="1">
      <x:alignment horizontal="left" vertical="center" wrapText="1"/>
    </x:xf>
    <x:xf numFmtId="200" fontId="23" fillId="52" borderId="0" xfId="0" applyNumberFormat="1" applyFont="1" applyFill="1" applyBorder="1" applyAlignment="1">
      <x:alignment vertical="center" wrapText="1"/>
    </x:xf>
    <x:xf numFmtId="201" fontId="23" fillId="52" borderId="0" xfId="0" applyNumberFormat="1" applyFont="1" applyFill="1" applyBorder="1" applyAlignment="1">
      <x:alignment vertical="center" wrapText="1"/>
    </x:xf>
    <x:xf numFmtId="202" fontId="23" fillId="52" borderId="0" xfId="0" applyNumberFormat="1" applyFont="1" applyFill="1" applyBorder="1" applyAlignment="1">
      <x:alignment vertical="center" wrapText="1"/>
    </x:xf>
    <x:xf numFmtId="0" fontId="23" fillId="52" borderId="0" xfId="0" applyNumberFormat="1" applyFont="1" applyFill="1" applyBorder="1" applyAlignment="1">
      <x:alignment vertical="center" wrapText="1"/>
    </x:xf>
    <x:xf numFmtId="0" fontId="4" fillId="20" borderId="0" xfId="0" applyNumberFormat="1" applyFont="1" applyFill="1" applyBorder="1" applyAlignment="1">
      <x:alignment vertical="center" wrapText="1"/>
    </x:xf>
    <x:xf numFmtId="0" fontId="3" fillId="4" borderId="0" xfId="0" applyNumberFormat="1" applyFont="1" applyFill="1" applyBorder="1" applyAlignment="1">
      <x:alignment vertical="center" wrapText="1"/>
    </x:xf>
    <x:xf numFmtId="0" fontId="4" fillId="20" borderId="0" xfId="0" applyNumberFormat="1" applyFont="1" applyFill="1" applyBorder="1" applyAlignment="1">
      <x:alignment wrapText="1"/>
    </x:xf>
    <x:xf numFmtId="0" fontId="14" fillId="20" borderId="0" xfId="0" applyNumberFormat="1" applyFont="1" applyFill="1" applyBorder="1" applyAlignment="1">
      <x:alignment vertical="top" wrapText="1"/>
    </x:xf>
    <x:xf numFmtId="0" fontId="14" fillId="20" borderId="0" xfId="0" applyNumberFormat="1" applyFont="1" applyFill="1" applyBorder="1" applyAlignment="1">
      <x:alignment vertical="center" wrapText="1"/>
    </x:xf>
    <x:xf numFmtId="164" fontId="23" fillId="52" borderId="0" xfId="0" applyNumberFormat="1" applyFont="1" applyFill="1" applyBorder="1" applyAlignment="1">
      <x:alignment vertical="top" wrapText="1"/>
    </x:xf>
    <x:xf numFmtId="0" fontId="24" fillId="33" borderId="0" xfId="0" applyNumberFormat="1" applyFont="1" applyFill="1" applyBorder="1" applyAlignment="1">
      <x:alignment horizontal="center" vertical="top" wrapText="1"/>
    </x:xf>
    <x:xf numFmtId="202" fontId="23" fillId="52" borderId="0" xfId="0" applyNumberFormat="1" applyFont="1" applyFill="1" applyBorder="1" applyAlignment="1">
      <x:alignment vertical="top" wrapText="1"/>
    </x:xf>
    <x:xf numFmtId="0" fontId="23" fillId="52" borderId="0" xfId="0" applyNumberFormat="1" applyFont="1" applyFill="1" applyBorder="1" applyAlignment="1">
      <x:alignment vertical="top" wrapText="1"/>
    </x:xf>
  </x:cellXfs>
  <x:cellStyles count="1">
    <x:cellStyle name="Normal" xfId="0"/>
  </x:cellStyles>
  <x:dxfs count="19">
    <x:dxf>
      <x:font>
        <x:color rgb="FF166534"/>
      </x:font>
      <x:fill>
        <x:patternFill>
          <x:bgColor rgb="FFDCFCE7"/>
        </x:patternFill>
      </x:fill>
    </x:dxf>
    <x:dxf>
      <x:font>
        <x:color rgb="FF991B1B"/>
      </x:font>
      <x:fill>
        <x:patternFill>
          <x:bgColor rgb="FFFEE2E2"/>
        </x:patternFill>
      </x:fill>
    </x:dxf>
    <x:dxf>
      <x:font>
        <x:color rgb="FF2F75B5"/>
      </x:font>
      <x:fill>
        <x:patternFill>
          <x:bgColor rgb="FF2F75B5"/>
        </x:patternFill>
      </x:fill>
    </x:dxf>
    <x:dxf>
      <x:font>
        <x:color rgb="FF166534"/>
      </x:font>
      <x:fill>
        <x:patternFill>
          <x:bgColor rgb="FFDCFCE7"/>
        </x:patternFill>
      </x:fill>
    </x:dxf>
    <x:dxf>
      <x:font>
        <x:color rgb="FF991B1B"/>
      </x:font>
      <x:fill>
        <x:patternFill>
          <x:bgColor rgb="FFFEE2E2"/>
        </x:patternFill>
      </x:fill>
    </x:dxf>
    <x:dxf>
      <x:font>
        <x:b/>
        <x:color rgb="FF991B1B"/>
      </x:font>
      <x:fill>
        <x:patternFill>
          <x:bgColor rgb="FFFEE2E2"/>
        </x:patternFill>
      </x:fill>
    </x:dxf>
    <x:dxf>
      <x:font>
        <x:b/>
        <x:color rgb="FF1D4ED8"/>
      </x:font>
      <x:fill>
        <x:patternFill>
          <x:bgColor rgb="FFDBEAFE"/>
        </x:patternFill>
      </x:fill>
    </x:dxf>
    <x:dxf>
      <x:font>
        <x:b/>
        <x:color rgb="FF166534"/>
      </x:font>
      <x:fill>
        <x:patternFill>
          <x:bgColor rgb="FFDCFCE7"/>
        </x:patternFill>
      </x:fill>
    </x:dxf>
    <x:dxf>
      <x:fill>
        <x:patternFill>
          <x:bgColor rgb="FFFCE8E6"/>
        </x:patternFill>
      </x:fill>
    </x:dxf>
    <x:dxf>
      <x:fill>
        <x:patternFill>
          <x:bgColor rgb="FFD9EAF7"/>
        </x:patternFill>
      </x:fill>
    </x:dxf>
    <x:dxf>
      <x:fill>
        <x:patternFill>
          <x:bgColor rgb="FFE2F0D9"/>
        </x:patternFill>
      </x:fill>
    </x:dxf>
    <x:dxf>
      <x:fill>
        <x:patternFill>
          <x:bgColor rgb="FFFCE8E6"/>
        </x:patternFill>
      </x:fill>
    </x:dxf>
    <x:dxf>
      <x:fill>
        <x:patternFill>
          <x:bgColor rgb="FFD9EAF7"/>
        </x:patternFill>
      </x:fill>
    </x:dxf>
    <x:dxf>
      <x:fill>
        <x:patternFill>
          <x:bgColor rgb="FFE2F0D9"/>
        </x:patternFill>
      </x:fill>
    </x:dxf>
    <x:dxf>
      <x:font>
        <x:color rgb="FF2F75B5"/>
      </x:font>
      <x:fill>
        <x:patternFill>
          <x:bgColor rgb="FF2F75B5"/>
        </x:patternFill>
      </x:fill>
    </x:dxf>
    <x:dxf>
      <x:fill>
        <x:patternFill>
          <x:bgColor rgb="FFE2F0D9"/>
        </x:patternFill>
      </x:fill>
    </x:dxf>
    <x:dxf>
      <x:fill>
        <x:patternFill>
          <x:bgColor rgb="FFF4CCCC"/>
        </x:patternFill>
      </x:fill>
    </x:dxf>
    <x:dxf>
      <x:fill>
        <x:patternFill>
          <x:bgColor rgb="FFFFF2CC"/>
        </x:patternFill>
      </x:fill>
    </x:dxf>
    <x:dxf>
      <x:fill>
        <x:patternFill>
          <x:bgColor rgb="FFC6E0B4"/>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39910f1f52ac4673" /><Relationship Type="http://schemas.openxmlformats.org/officeDocument/2006/relationships/theme" Target="/xl/theme/theme1.xml" Id="R623d9b8a257e4fde" /><Relationship Type="http://schemas.openxmlformats.org/officeDocument/2006/relationships/sharedStrings" Target="/xl/sharedStrings.xml" Id="R7f789fa14fe94ba3" /><Relationship Type="http://schemas.openxmlformats.org/officeDocument/2006/relationships/worksheet" Target="/xl/worksheets/sheet1.xml" Id="R9995332a541b49be" /><Relationship Type="http://schemas.openxmlformats.org/officeDocument/2006/relationships/worksheet" Target="/xl/worksheets/sheet2.xml" Id="Ra91b09db3956496f" /><Relationship Type="http://schemas.openxmlformats.org/officeDocument/2006/relationships/worksheet" Target="/xl/worksheets/sheet3.xml" Id="R13139b9553fd400b" /><Relationship Type="http://schemas.openxmlformats.org/officeDocument/2006/relationships/worksheet" Target="/xl/worksheets/sheet4.xml" Id="R0966fc8370884d93" /><Relationship Type="http://schemas.openxmlformats.org/officeDocument/2006/relationships/worksheet" Target="/xl/worksheets/sheet5.xml" Id="R5d07b899a55e496d" /><Relationship Type="http://schemas.openxmlformats.org/officeDocument/2006/relationships/worksheet" Target="/xl/worksheets/sheet6.xml" Id="R7cf1c050f08f47e9" /><Relationship Type="http://schemas.openxmlformats.org/officeDocument/2006/relationships/worksheet" Target="/xl/worksheets/sheet7.xml" Id="R2fccd5cee99c469f" /><Relationship Type="http://schemas.openxmlformats.org/officeDocument/2006/relationships/worksheet" Target="/xl/worksheets/sheet8.xml" Id="R4a649ea64e1b4c13" /><Relationship Type="http://schemas.openxmlformats.org/officeDocument/2006/relationships/worksheet" Target="/xl/worksheets/sheet9.xml" Id="Rac6af8c1e3554d97" /><Relationship Type="http://schemas.openxmlformats.org/officeDocument/2006/relationships/worksheet" Target="/xl/worksheets/sheet10.xml" Id="R746b571644584911" /><Relationship Type="http://schemas.openxmlformats.org/officeDocument/2006/relationships/worksheet" Target="/xl/worksheets/sheet11.xml" Id="R28deda6617424f2e" /><Relationship Type="http://schemas.openxmlformats.org/officeDocument/2006/relationships/worksheet" Target="/xl/worksheets/sheet12.xml" Id="R143b9c08631e493c" /><Relationship Type="http://schemas.openxmlformats.org/officeDocument/2006/relationships/worksheet" Target="/xl/worksheets/sheet13.xml" Id="Rea96d7b3e80c449d" /><Relationship Type="http://schemas.openxmlformats.org/officeDocument/2006/relationships/worksheet" Target="/xl/worksheets/sheet14.xml" Id="R277c9e3152c7422c" /><Relationship Type="http://schemas.openxmlformats.org/officeDocument/2006/relationships/worksheet" Target="/xl/worksheets/sheet15.xml" Id="R155ae9aa069f4b37" /><Relationship Type="http://schemas.openxmlformats.org/officeDocument/2006/relationships/worksheet" Target="/xl/worksheets/sheet16.xml" Id="Re08c33ed104c443f" /><Relationship Type="http://schemas.openxmlformats.org/officeDocument/2006/relationships/worksheet" Target="/xl/worksheets/sheet17.xml" Id="Rdfc4d6ca350341c3" /><Relationship Type="http://schemas.openxmlformats.org/officeDocument/2006/relationships/worksheet" Target="/xl/worksheets/sheet18.xml" Id="R7e118e1bd1c940f1" /></Relationships>
</file>

<file path=xl/drawings/_rels/drawing1.xml.rels>&#65279;<?xml version="1.0" encoding="utf-8"?><Relationships xmlns="http://schemas.openxmlformats.org/package/2006/relationships"><Relationship Type="http://schemas.openxmlformats.org/officeDocument/2006/relationships/chart" Target="/xl/drawings/charts/chart1.xml" Id="R17280de32a5c4aeb" /></Relationships>
</file>

<file path=xl/drawings/_rels/drawing2.xml.rels>&#65279;<?xml version="1.0" encoding="utf-8"?><Relationships xmlns="http://schemas.openxmlformats.org/package/2006/relationships"><Relationship Type="http://schemas.openxmlformats.org/officeDocument/2006/relationships/chart" Target="/xl/drawings/charts/chart2.xml" Id="R07470b3b92674dba" /></Relationships>
</file>

<file path=xl/drawings/_rels/drawing3.xml.rels>&#65279;<?xml version="1.0" encoding="utf-8"?><Relationships xmlns="http://schemas.openxmlformats.org/package/2006/relationships"><Relationship Type="http://schemas.openxmlformats.org/officeDocument/2006/relationships/chart" Target="/xl/drawings/charts/chart3.xml" Id="R0d39ee0bff13413c" /></Relationships>
</file>

<file path=xl/drawings/charts/chart1.xml><?xml version="1.0" encoding="utf-8"?>
<c:chartSpace xmlns:c="http://schemas.openxmlformats.org/drawingml/2006/chart">
  <c:lang val="en-US"/>
  <c:roundedCorners val="0"/>
  <c:style val="2"/>
  <c:chart>
    <c:plotArea>
      <c:lineChart>
        <c:grouping val="standard"/>
        <c:varyColors val="1"/>
        <c:ser>
          <c:idx val="0"/>
          <c:order val="0"/>
          <c:tx>
            <c:v>Planned Hours</c:v>
          </c:tx>
          <c:marker>
            <c:symbol val="none"/>
          </c:marker>
          <c:dLbls/>
          <c:cat>
            <c:strRef>
              <c:f>'Weekly Control'!$A$4:$A$55</c:f>
              <c:strCache>
                <c:ptCount val="9"/>
                <c:pt idx="0">
                  <c:v>Week</c:v>
                </c:pt>
                <c:pt idx="1">
                  <c:v>1</c:v>
                </c:pt>
                <c:pt idx="2">
                  <c:v>2</c:v>
                </c:pt>
                <c:pt idx="3">
                  <c:v>3</c:v>
                </c:pt>
                <c:pt idx="4">
                  <c:v>4</c:v>
                </c:pt>
                <c:pt idx="5">
                  <c:v>5</c:v>
                </c:pt>
                <c:pt idx="6">
                  <c:v>6</c:v>
                </c:pt>
                <c:pt idx="7">
                  <c:v>7</c:v>
                </c:pt>
                <c:pt idx="8">
                  <c:v>8</c:v>
                </c:pt>
              </c:strCache>
            </c:strRef>
          </c:cat>
          <c:val>
            <c:numRef>
              <c:f>'Weekly Control'!$D$4:$D$55</c:f>
              <c:numCache>
                <c:formatCode>0.00</c:formatCode>
                <c:ptCount val="9"/>
                <c:pt idx="0">
                  <c:v>0</c:v>
                </c:pt>
                <c:pt idx="1">
                  <c:v>8</c:v>
                </c:pt>
                <c:pt idx="2">
                  <c:v>10</c:v>
                </c:pt>
                <c:pt idx="3">
                  <c:v>10</c:v>
                </c:pt>
                <c:pt idx="4">
                  <c:v>10</c:v>
                </c:pt>
                <c:pt idx="5">
                  <c:v>10</c:v>
                </c:pt>
                <c:pt idx="6">
                  <c:v>10</c:v>
                </c:pt>
                <c:pt idx="7">
                  <c:v>10</c:v>
                </c:pt>
                <c:pt idx="8">
                  <c:v>8</c:v>
                </c:pt>
              </c:numCache>
            </c:numRef>
          </c:val>
        </c:ser>
        <c:ser>
          <c:idx val="1"/>
          <c:order val="1"/>
          <c:tx>
            <c:v>Actual Hours</c:v>
          </c:tx>
          <c:marker>
            <c:symbol val="none"/>
          </c:marker>
          <c:dLbls/>
          <c:cat>
            <c:strRef>
              <c:f>'Weekly Control'!$A$4:$A$55</c:f>
              <c:strCache>
                <c:ptCount val="9"/>
                <c:pt idx="0">
                  <c:v>Week</c:v>
                </c:pt>
                <c:pt idx="1">
                  <c:v>1</c:v>
                </c:pt>
                <c:pt idx="2">
                  <c:v>2</c:v>
                </c:pt>
                <c:pt idx="3">
                  <c:v>3</c:v>
                </c:pt>
                <c:pt idx="4">
                  <c:v>4</c:v>
                </c:pt>
                <c:pt idx="5">
                  <c:v>5</c:v>
                </c:pt>
                <c:pt idx="6">
                  <c:v>6</c:v>
                </c:pt>
                <c:pt idx="7">
                  <c:v>7</c:v>
                </c:pt>
                <c:pt idx="8">
                  <c:v>8</c:v>
                </c:pt>
              </c:strCache>
            </c:strRef>
          </c:cat>
          <c:val>
            <c:numRef>
              <c:f>'Weekly Control'!$E$4:$E$55</c:f>
              <c:numCache>
                <c:formatCode>0.00</c:formatCode>
                <c:ptCount val="9"/>
                <c:pt idx="0">
                  <c:v>0</c:v>
                </c:pt>
                <c:pt idx="1">
                  <c:v>7.550000000000001</c:v>
                </c:pt>
                <c:pt idx="2">
                  <c:v>0</c:v>
                </c:pt>
                <c:pt idx="3">
                  <c:v>0</c:v>
                </c:pt>
                <c:pt idx="4">
                  <c:v>0</c:v>
                </c:pt>
                <c:pt idx="5">
                  <c:v>0</c:v>
                </c:pt>
                <c:pt idx="6">
                  <c:v>0</c:v>
                </c:pt>
                <c:pt idx="7">
                  <c:v>0</c:v>
                </c:pt>
                <c:pt idx="8">
                  <c:v>0</c:v>
                </c:pt>
              </c:numCache>
            </c:numRef>
          </c:val>
        </c:ser>
        <c:dLbls>
          <c:showLegendKey val="0"/>
          <c:showVal val="0"/>
          <c:showCatName val="0"/>
          <c:showSerName val="0"/>
          <c:showPercent val="0"/>
          <c:showBubbleSize val="0"/>
          <c:showLeaderLines val="0"/>
        </c:dLbls>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style val="2"/>
  <c:chart>
    <c:title>
      <c:tx>
        <c:rich>
          <a:bodyPr xmlns:a="http://schemas.openxmlformats.org/drawingml/2006/main"/>
          <a:lstStyle xmlns:a="http://schemas.openxmlformats.org/drawingml/2006/main"/>
          <a:p xmlns:a="http://schemas.openxmlformats.org/drawingml/2006/main">
            <a:r>
              <a:t>Planned Hours by Phase</a:t>
            </a:r>
          </a:p>
        </c:rich>
      </c:tx>
    </c:title>
    <c:autoTitleDeleted val="0"/>
    <c:plotArea>
      <c:barChart>
        <c:barDir val="col"/>
        <c:grouping val="clustered"/>
        <c:varyColors val="0"/>
        <c:ser>
          <c:idx val="0"/>
          <c:order val="0"/>
          <c:tx>
            <c:v>Planned Hours</c:v>
          </c:tx>
          <c:dLbls/>
          <c:cat>
            <c:strRef>
              <c:f>'Phase Summary'!$B$4:$B$11</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'Phase Summary'!$C$4:$C$11</c:f>
              <c:numCache>
                <c:formatCode>0.00</c:formatCode>
                <c:ptCount val="7"/>
                <c:pt idx="0">
                  <c:v>8</c:v>
                </c:pt>
                <c:pt idx="1">
                  <c:v>24</c:v>
                </c:pt>
                <c:pt idx="2">
                  <c:v>14</c:v>
                </c:pt>
                <c:pt idx="3">
                  <c:v>14</c:v>
                </c:pt>
                <c:pt idx="4">
                  <c:v>8</c:v>
                </c:pt>
                <c:pt idx="5">
                  <c:v>8</c:v>
                </c:pt>
                <c:pt idx="6">
                  <c:v>76</c:v>
                </c:pt>
              </c:numCache>
            </c:numRef>
          </c:val>
        </c:ser>
        <c:dLbls>
          <c:showLegendKey val="0"/>
          <c:showVal val="0"/>
          <c:showCatName val="0"/>
          <c:showSerName val="0"/>
          <c:showPercent val="0"/>
          <c:showBubbleSize val="0"/>
          <c:showLeaderLines val="0"/>
        </c:dLbls>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0" sourceLinked="1"/>
        <c:majorTickMark val="none"/>
        <c:minorTickMark val="none"/>
        <c:tickLblPos val="nextTo"/>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charts/chart3.xml><?xml version="1.0" encoding="utf-8"?>
<c:chartSpace xmlns:c="http://schemas.openxmlformats.org/drawingml/2006/chart">
  <c:lang val="en-US"/>
  <c:roundedCorners val="0"/>
  <c:style val="2"/>
  <c:chart>
    <c:title>
      <c:tx>
        <c:rich>
          <a:bodyPr xmlns:a="http://schemas.openxmlformats.org/drawingml/2006/main"/>
          <a:lstStyle xmlns:a="http://schemas.openxmlformats.org/drawingml/2006/main"/>
          <a:p xmlns:a="http://schemas.openxmlformats.org/drawingml/2006/main">
            <a:r>
              <a:t>Planned vs Actual Hours by Phase</a:t>
            </a:r>
          </a:p>
        </c:rich>
      </c:tx>
    </c:title>
    <c:autoTitleDeleted val="0"/>
    <c:plotArea>
      <c:barChart>
        <c:barDir val="col"/>
        <c:grouping val="clustered"/>
        <c:varyColors val="0"/>
        <c:ser>
          <c:idx val="0"/>
          <c:order val="0"/>
          <c:tx>
            <c:v>Planned Hours</c:v>
          </c:tx>
          <c:dLbls/>
          <c:cat>
            <c:strRef>
              <c:f>'MVP Dashboard'!$A$15:$A$20</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'MVP Dashboard'!$B$15:$B$20</c:f>
              <c:numCache>
                <c:formatCode>0.00</c:formatCode>
                <c:ptCount val="6"/>
                <c:pt idx="0">
                  <c:v>8</c:v>
                </c:pt>
                <c:pt idx="1">
                  <c:v>24</c:v>
                </c:pt>
                <c:pt idx="2">
                  <c:v>14</c:v>
                </c:pt>
                <c:pt idx="3">
                  <c:v>14</c:v>
                </c:pt>
                <c:pt idx="4">
                  <c:v>8</c:v>
                </c:pt>
                <c:pt idx="5">
                  <c:v>8</c:v>
                </c:pt>
              </c:numCache>
            </c:numRef>
          </c:val>
        </c:ser>
        <c:ser>
          <c:idx val="1"/>
          <c:order val="1"/>
          <c:tx>
            <c:v>Actual Hours</c:v>
          </c:tx>
          <c:dLbls/>
          <c:cat>
            <c:strRef>
              <c:f>'MVP Dashboard'!$A$15:$A$20</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'MVP Dashboard'!$C$15:$C$20</c:f>
              <c:numCache>
                <c:formatCode>0.00</c:formatCode>
                <c:ptCount val="6"/>
                <c:pt idx="0">
                  <c:v>7.550000000000001</c:v>
                </c:pt>
                <c:pt idx="1">
                  <c:v>0</c:v>
                </c:pt>
                <c:pt idx="2">
                  <c:v>0</c:v>
                </c:pt>
                <c:pt idx="3">
                  <c:v>0</c:v>
                </c:pt>
                <c:pt idx="4">
                  <c:v>0</c:v>
                </c:pt>
                <c:pt idx="5">
                  <c:v>0</c:v>
                </c:pt>
              </c:numCache>
            </c:numRef>
          </c:val>
        </c:ser>
        <c:dLbls>
          <c:showLegendKey val="0"/>
          <c:showVal val="0"/>
          <c:showCatName val="0"/>
          <c:showSerName val="0"/>
          <c:showPercent val="0"/>
          <c:showBubbleSize val="0"/>
          <c:showLeaderLines val="0"/>
        </c:dLbls>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0" sourceLinked="1"/>
        <c:majorTickMark val="none"/>
        <c:minorTickMark val="none"/>
        <c:tickLblPos val="nextTo"/>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13</xdr:col>
      <xdr:colOff>0</xdr:colOff>
      <xdr:row>2</xdr:row>
      <xdr:rowOff>0</xdr:rowOff>
    </xdr:from>
    <xdr:to>
      <xdr:col>22</xdr:col>
      <xdr:colOff>0</xdr:colOff>
      <xdr:row>18</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17280de32a5c4aeb"/>
        </a:graphicData>
      </a:graphic>
    </xdr:graphicFrame>
    <xdr:clientData/>
  </xdr:twoCellAnchor>
</xdr:wsDr>
</file>

<file path=xl/drawings/drawing2.xml><?xml version="1.0" encoding="utf-8"?>
<xdr:wsDr xmlns:xdr="http://schemas.openxmlformats.org/drawingml/2006/spreadsheetDrawing">
  <xdr:twoCellAnchor>
    <xdr:from>
      <xdr:col>7</xdr:col>
      <xdr:colOff>0</xdr:colOff>
      <xdr:row>2</xdr:row>
      <xdr:rowOff>0</xdr:rowOff>
    </xdr:from>
    <xdr:to>
      <xdr:col>16</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07470b3b92674dba"/>
        </a:graphicData>
      </a:graphic>
    </xdr:graphicFrame>
    <xdr:clientData/>
  </xdr:twoCellAnchor>
</xdr:wsDr>
</file>

<file path=xl/drawings/drawing3.xml><?xml version="1.0" encoding="utf-8"?>
<xdr:wsDr xmlns:xdr="http://schemas.openxmlformats.org/drawingml/2006/spreadsheetDrawing">
  <xdr:twoCellAnchor>
    <xdr:from>
      <xdr:col>6</xdr:col>
      <xdr:colOff>0</xdr:colOff>
      <xdr:row>11</xdr:row>
      <xdr:rowOff>0</xdr:rowOff>
    </xdr:from>
    <xdr:to>
      <xdr:col>14</xdr:col>
      <xdr:colOff>0</xdr:colOff>
      <xdr:row>22</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0d39ee0bff13413c"/>
        </a:graphicData>
      </a:graphic>
    </xdr:graphicFrame>
    <xdr:clientData/>
  </xdr:twoCellAnchor>
</xdr: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4.xml.rels>&#65279;<?xml version="1.0" encoding="utf-8"?><Relationships xmlns="http://schemas.openxmlformats.org/package/2006/relationships"><Relationship Type="http://schemas.openxmlformats.org/officeDocument/2006/relationships/drawing" Target="/xl/drawings/drawing1.xml" Id="R114d916657e24663" /></Relationships>
</file>

<file path=xl/worksheets/_rels/sheet5.xml.rels>&#65279;<?xml version="1.0" encoding="utf-8"?><Relationships xmlns="http://schemas.openxmlformats.org/package/2006/relationships"><Relationship Type="http://schemas.openxmlformats.org/officeDocument/2006/relationships/drawing" Target="/xl/drawings/drawing2.xml" Id="R2a45dd6583f6434d" /></Relationships>
</file>

<file path=xl/worksheets/_rels/sheet15.xml.rels>&#65279;<?xml version="1.0" encoding="utf-8"?><Relationships xmlns="http://schemas.openxmlformats.org/package/2006/relationships"><Relationship Type="http://schemas.openxmlformats.org/officeDocument/2006/relationships/drawing" Target="/xl/drawings/drawing3.xml" Id="Rf0c87cae303a45fc" /></Relationships>
</file>

<file path=xl/worksheets/sheet1.xml><?xml version="1.0" encoding="utf-8"?>
<x:worksheet xmlns:x="http://schemas.openxmlformats.org/spreadsheetml/2006/main">
  <x:sheetFormatPr defaultRowHeight="14.25"/>
  <x:cols>
    <x:col min="1" max="1" width="22" customWidth="1"/>
    <x:col min="2" max="2" width="34" customWidth="1"/>
    <x:col min="3" max="3" width="4" customWidth="1"/>
    <x:col min="4" max="4" width="22" customWidth="1"/>
    <x:col min="5" max="5" width="58" customWidth="1"/>
    <x:col min="6" max="6" width="4" customWidth="1"/>
    <x:col min="7" max="8" width="18" customWidth="1"/>
  </x:cols>
  <x:sheetData>
    <x:row r="1" ht="30" customHeight="1">
      <x:c r="A1" s="204" t="str">
        <x:v>Mechanical Engineering Workflow Assurance Platform — Project Control Workbook</x:v>
      </x:c>
      <x:c r="B1" s="205"/>
      <x:c r="C1" s="205"/>
      <x:c r="D1" s="205"/>
      <x:c r="E1" s="205"/>
      <x:c r="F1" s="205"/>
      <x:c r="G1" s="205"/>
      <x:c r="H1" s="20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36" customHeight="1">
      <x:c r="A2" s="218" t="str">
        <x:v>Strategic direction: v0.2.0 is the frozen evaluation kernel. The active release is v0.3.0, a structured Mechanical Package Consistency Audit that produces evidence-linked findings and release-readiness states.</x:v>
      </x:c>
      <x:c r="B2" s="218"/>
      <x:c r="C2" s="218"/>
      <x:c r="D2" s="218"/>
      <x:c r="E2" s="218"/>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24" customHeight="1">
      <x:c r="A3" s="731" t="str">
        <x:v>Active Baseline</x:v>
      </x:c>
      <x:c r="B3" s="734"/>
      <x:c r="C3" s="1"/>
      <x:c r="D3" s="737" t="str">
        <x:v>How to Use This Workbook Every Work Block</x:v>
      </x:c>
      <x:c r="E3" s="738"/>
      <x:c r="F3" s="207"/>
      <x:c r="G3" s="207"/>
      <x:c r="H3" s="207"/>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49.5" customHeight="1">
      <x:c r="A4" s="495" t="str">
        <x:v>Control revision</x:v>
      </x:c>
      <x:c r="B4" s="767" t="str">
        <x:v>Program v3.0 - P2.3 publication resilience stabilization review 2026-07-21</x:v>
      </x:c>
      <x:c r="C4" s="438"/>
      <x:c r="D4" s="768" t="n">
        <x:v>1</x:v>
      </x:c>
      <x:c r="E4" s="754" t="str">
        <x:v>Open AI Context, then read the active/next rows in Pilot Gantt.</x:v>
      </x:c>
      <x:c r="F4" s="209"/>
      <x:c r="G4" s="209"/>
      <x:c r="H4" s="210"/>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31.5" customHeight="1">
      <x:c r="A5" s="545" t="str">
        <x:v>Released baseline</x:v>
      </x:c>
      <x:c r="B5" s="755" t="str">
        <x:v>v0.2.0 released; accepted commit 45336a2; tag verified</x:v>
      </x:c>
      <x:c r="C5" s="756"/>
      <x:c r="D5" s="753" t="n">
        <x:v>2</x:v>
      </x:c>
      <x:c r="E5" s="757" t="str">
        <x:v>State active WBS, objective, and definition of done before implementation; prospective time tracking is waived.</x:v>
      </x:c>
      <x:c r="F5" s="208"/>
      <x:c r="G5" s="208"/>
      <x:c r="H5" s="21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27" customHeight="1">
      <x:c r="A6" s="545" t="str">
        <x:v>Pilot start (legacy)</x:v>
      </x:c>
      <x:c r="B6" s="758" t="str">
        <x:v>2026-07-13</x:v>
      </x:c>
      <x:c r="C6" s="756"/>
      <x:c r="D6" s="753" t="n">
        <x:v>3</x:v>
      </x:c>
      <x:c r="E6" s="757" t="str">
        <x:v>Work one coherent capability in an isolated branch/worktree; do not parallelize overlapping changes.</x:v>
      </x:c>
      <x:c r="F6" s="208"/>
      <x:c r="G6" s="208"/>
      <x:c r="H6" s="21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27" customHeight="1">
      <x:c r="A7" s="545" t="str">
        <x:v>Target finish (legacy)</x:v>
      </x:c>
      <x:c r="B7" s="758" t="str">
        <x:v>2026-08-23</x:v>
      </x:c>
      <x:c r="C7" s="756"/>
      <x:c r="D7" s="753" t="n">
        <x:v>4</x:v>
      </x:c>
      <x:c r="E7" s="757" t="str">
        <x:v>Supervise agent actions; review diffs, commands, tests, and generated evidence before merge.</x:v>
      </x:c>
      <x:c r="F7" s="208"/>
      <x:c r="G7" s="208"/>
      <x:c r="H7" s="21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31.5" customHeight="1">
      <x:c r="A8" s="545" t="str">
        <x:v>Planned labour (legacy)</x:v>
      </x:c>
      <x:c r="B8" s="759" t="str">
        <x:v>46 hours; not controlling</x:v>
      </x:c>
      <x:c r="C8" s="756"/>
      <x:c r="D8" s="753" t="n">
        <x:v>5</x:v>
      </x:c>
      <x:c r="E8" s="757" t="str">
        <x:v>At closeout, update Pilot Gantt, evidence, decisions, risks, and next action; do not add or backfill work-block durations.</x:v>
      </x:c>
      <x:c r="F8" s="208"/>
      <x:c r="G8" s="208"/>
      <x:c r="H8" s="21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27" customHeight="1">
      <x:c r="A9" s="545" t="str">
        <x:v>Time tracking</x:v>
      </x:c>
      <x:c r="B9" s="759" t="str">
        <x:v>Waived prospectively</x:v>
      </x:c>
      <x:c r="C9" s="756"/>
      <x:c r="D9" s="753" t="n">
        <x:v>6</x:v>
      </x:c>
      <x:c r="E9" s="757" t="str">
        <x:v>Never modify frozen references, held-out assets, or acceptance criteria merely to make a run pass.</x:v>
      </x:c>
      <x:c r="F9" s="208"/>
      <x:c r="G9" s="208"/>
      <x:c r="H9" s="21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63" customHeight="1">
      <x:c r="A10" s="495" t="str">
        <x:v>Current gate</x:v>
      </x:c>
      <x:c r="B10" s="769" t="str">
        <x:v>P2.3 D-104 publication stabilization and D-105 review gate</x:v>
      </x:c>
      <x:c r="C10" s="438"/>
      <x:c r="D10" s="768" t="n">
        <x:v>7</x:v>
      </x:c>
      <x:c r="E10" s="754" t="str">
        <x:v>Use gate decisions to change scope or acceptance policy; preserve prior history.</x:v>
      </x:c>
      <x:c r="F10" s="212"/>
      <x:c r="G10" s="212"/>
      <x:c r="H10" s="213"/>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99" hidden="0" customHeight="1">
      <x:c r="A11" s="545" t="str">
        <x:v>Current product state</x:v>
      </x:c>
      <x:c r="B11" s="761" t="str">
        <x:v>Frozen v0.2.0 kernel: 5 reviewed cases, 121 tests, deterministic gates/checks, weighted scoring, immutable result evidence, CI, baseline 9/9, demo 2/2. Active build: v0.3.0 structured package assurance over drawing register, drawing metadata, BOM/equipment list, datasheet/spec metadata, and revision history.</x:v>
      </x:c>
      <x:c r="C11" s="756"/>
      <x:c r="D11" s="756"/>
      <x:c r="E11" s="756"/>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49.5" hidden="0" customHeight="1">
      <x:c r="A12" s="495" t="str">
        <x:v>Active WBS</x:v>
      </x:c>
      <x:c r="B12" s="770" t="str">
        <x:v>P2.3 - publication-resilience stabilization review</x:v>
      </x:c>
      <x:c r="C12" s="438"/>
      <x:c r="D12" s="438"/>
      <x:c r="E12" s="438"/>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67.5" hidden="0" customHeight="1">
      <x:c r="A13" s="495" t="str">
        <x:v>Next build WBS</x:v>
      </x:c>
      <x:c r="B13" s="770" t="str">
        <x:v>Review D-105; check 10 remains blocked</x:v>
      </x:c>
      <x:c r="C13" s="438"/>
      <x:c r="D13" s="438"/>
      <x:c r="E13" s="438"/>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207"/>
      <x:c r="B14" s="207"/>
      <x:c r="C14" s="207"/>
      <x:c r="D14" s="207"/>
      <x:c r="E14" s="207"/>
      <x:c r="F14" s="207"/>
      <x:c r="G14" s="207"/>
      <x:c r="H14" s="207"/>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21.950000762939453" customHeight="1">
      <x:c r="A15" s="214" t="str">
        <x:v>v0.3.0 Pilot Definition of Done</x:v>
      </x:c>
      <x:c r="B15" s="214"/>
      <x:c r="C15" s="154"/>
      <x:c r="D15" s="214" t="str">
        <x:v>Pilot Dashboard</x:v>
      </x:c>
      <x:c r="E15" s="214" t="str">
        <x:v>Active v0.3.0 KPIs, phase progress, focus, and next deliverables.</x:v>
      </x:c>
      <x:c r="F15" s="214"/>
      <x:c r="G15" s="214"/>
      <x:c r="H15" s="214"/>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63" customHeight="1">
      <x:c r="A16" s="762" t="n">
        <x:v>1</x:v>
      </x:c>
      <x:c r="B16" s="763" t="str">
        <x:v>Approved workflow contract and authority map for the structured package audit.</x:v>
      </x:c>
      <x:c r="C16" s="763"/>
      <x:c r="D16" s="762" t="str">
        <x:v>Pilot Gantt</x:v>
      </x:c>
      <x:c r="E16" s="763" t="str">
        <x:v>Controlling v0.3.0 WBS, deliverables, status, evidence, next action, and phase sequence.</x:v>
      </x:c>
      <x:c r="F16" s="72"/>
      <x:c r="G16" s="72"/>
      <x:c r="H16" s="73"/>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63" customHeight="1">
      <x:c r="A17" s="762" t="n">
        <x:v>2</x:v>
      </x:c>
      <x:c r="B17" s="763" t="str">
        <x:v>Versioned package manifest schema plus one development and one newly authored held-out package.</x:v>
      </x:c>
      <x:c r="C17" s="763"/>
      <x:c r="D17" s="762" t="str">
        <x:v>MVP Dashboard</x:v>
      </x:c>
      <x:c r="E17" s="763" t="str">
        <x:v>Historical v0.2.0 release proof and metrics.</x:v>
      </x:c>
      <x:c r="F17" s="72"/>
      <x:c r="G17" s="72"/>
      <x:c r="H17" s="73"/>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63" customHeight="1">
      <x:c r="A18" s="762" t="n">
        <x:v>3</x:v>
      </x:c>
      <x:c r="B18" s="763" t="str">
        <x:v>Mandatory inventory, parse, revision, file-reference, and authority gates before scoring.</x:v>
      </x:c>
      <x:c r="C18" s="763"/>
      <x:c r="D18" s="762" t="str">
        <x:v>Detailed Gantt</x:v>
      </x:c>
      <x:c r="E18" s="763" t="str">
        <x:v>Frozen v0.2.0 MVP WBS and actual history.</x:v>
      </x:c>
      <x:c r="F18" s="74"/>
      <x:c r="G18" s="74"/>
      <x:c r="H18" s="75"/>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63" customHeight="1">
      <x:c r="A19" s="762" t="n">
        <x:v>4</x:v>
      </x:c>
      <x:c r="B19" s="756" t="str">
        <x:v>Deterministic document, tag, BOM/equipment, datasheet/specification, quantity, and revision consistency checks.</x:v>
      </x:c>
      <x:c r="C19" s="756"/>
      <x:c r="D19" s="762" t="str">
        <x:v>Work Block Log</x:v>
      </x:c>
      <x:c r="E19" s="756" t="str">
        <x:v>Historical work history; time fields are not controlling for v0.3.0.</x:v>
      </x:c>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63" customHeight="1">
      <x:c r="A20" s="762" t="n">
        <x:v>5</x:v>
      </x:c>
      <x:c r="B20" s="756" t="str">
        <x:v>Explicit result states: automatic pass, automatic fail, engineering review required, missing authoritative information, extraction/tool failure, and evaluator uncertainty.</x:v>
      </x:c>
      <x:c r="C20" s="756"/>
      <x:c r="D20" s="762" t="str">
        <x:v>Decision Register</x:v>
      </x:c>
      <x:c r="E20" s="756" t="str">
        <x:v>Material design, scope, model-use, and project-control decisions.</x:v>
      </x:c>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63" customHeight="1">
      <x:c r="A21" s="762" t="n">
        <x:v>6</x:v>
      </x:c>
      <x:c r="B21" s="756" t="str">
        <x:v>Immutable package result, evidence-linked issue register, release-readiness summary, and stable audit-package CLI exit codes.</x:v>
      </x:c>
      <x:c r="C21" s="756"/>
      <x:c r="D21" s="762" t="str">
        <x:v>Risks &amp; Issues</x:v>
      </x:c>
      <x:c r="E21" s="756" t="str">
        <x:v>Open risks, issues, mitigations, and review dates.</x:v>
      </x:c>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63" customHeight="1">
      <x:c r="A22" s="762" t="n">
        <x:v>7</x:v>
      </x:c>
      <x:c r="B22" s="756" t="str">
        <x:v>Development and held-out benchmark with fault injection, failed-run preservation, false-positive/false-negative review, and bounded claims.</x:v>
      </x:c>
      <x:c r="C22" s="756"/>
      <x:c r="D22" s="762" t="str">
        <x:v>Evidence Register</x:v>
      </x:c>
      <x:c r="E22" s="756" t="str">
        <x:v>PRs, commits, tests, documents, releases, and acceptance evidence.</x:v>
      </x:c>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63" customHeight="1">
      <x:c r="A23" s="762" t="n">
        <x:v>8</x:v>
      </x:c>
      <x:c r="B23" s="756" t="str">
        <x:v>Regression tests, CI, clean-clone acceptance, documentation, terminal-first demo, bounded service specification, and annotated v0.3.0 tag.</x:v>
      </x:c>
      <x:c r="C23" s="756"/>
      <x:c r="D23" s="762" t="str">
        <x:v>AI Context</x:v>
      </x:c>
      <x:c r="E23" s="756" t="str">
        <x:v>Compact handoff and provider-independent operating rules; read first.</x:v>
      </x:c>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33.95000076293945" customHeight="1">
      <x:c r="A24" s="1"/>
      <x:c r="B24" s="1"/>
      <x:c r="C24" s="1"/>
      <x:c r="D24" s="153" t="str">
        <x:v>Expansion Backlog</x:v>
      </x:c>
      <x:c r="E24" s="141" t="str">
        <x:v>Deferred capabilities and entry criteria; X-13 selected for v0.3.0.</x:v>
      </x:c>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33.95000076293945" customHeight="1">
      <x:c r="A25" s="1"/>
      <x:c r="B25" s="1"/>
      <x:c r="C25" s="1"/>
      <x:c r="D25" s="153" t="str">
        <x:v>Product Vision</x:v>
      </x:c>
      <x:c r="E25" s="141" t="str">
        <x:v>Strategic platform direction, capability ladder, architecture invariants, and commercial path.</x:v>
      </x:c>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32.099998474121094" customHeight="1">
      <x:c r="A26" s="1"/>
      <x:c r="B26" s="1"/>
      <x:c r="C26" s="1"/>
      <x:c r="D26" s="190"/>
      <x:c r="E26" s="19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21.950000762939453" customHeight="1">
      <x:c r="A27" s="206" t="str">
        <x:v>Immediate Control Note</x:v>
      </x:c>
      <x:c r="B27" s="216"/>
      <x:c r="C27" s="216"/>
      <x:c r="D27" s="216"/>
      <x:c r="E27" s="216"/>
      <x:c r="F27" s="216"/>
      <x:c r="G27" s="216"/>
      <x:c r="H27" s="216"/>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378" hidden="0" customHeight="1">
      <x:c r="A28" s="597" t="str">
        <x:v>D-104 is accepted and PR #56 merged check 9 at exact main 7146b23. The final package-audit publication rename now makes at most five attempts with fixed 50, 100, 200, and 400 millisecond waits, totaling no more than 0.75 seconds. Only PermissionError qualifies. A final-directory collision or other operating-system error never retries; exhaustion preserves the failed publication and CLI exit 70. Four injected publication tests and one CLI exhaustion test prove the boundary. Twenty consecutive Windows audits passed with 8/8 gates, 9/9 relationships, exactly four outputs, and no hidden failed-publication directory. Focused 24, full 304/1, coverage 88.08%, validation 5/5, Ruff, baseline 9/9, and demo 2/2 pass. EV-125-EV-128 preserve acceptance, implementation, Windows execution, and regression evidence. D-105 proposes accepting the stabilization, closing I-005 as controlled, retaining IMP-019, and authorizing check 10 only.</x:v>
      </x:c>
      <x:c r="B28" s="597"/>
      <x:c r="C28" s="597"/>
      <x:c r="D28" s="597"/>
      <x:c r="E28" s="597"/>
      <x:c r="F28" s="217"/>
      <x:c r="G28" s="217"/>
      <x:c r="H28" s="217"/>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26.100000381469727" customHeight="1">
      <x:c r="A29" s="217"/>
      <x:c r="B29" s="217"/>
      <x:c r="C29" s="217"/>
      <x:c r="D29" s="217"/>
      <x:c r="E29" s="217"/>
      <x:c r="F29" s="217"/>
      <x:c r="G29" s="217"/>
      <x:c r="H29" s="217"/>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26.100000381469727" customHeight="1">
      <x:c r="A30" s="217"/>
      <x:c r="B30" s="217"/>
      <x:c r="C30" s="217"/>
      <x:c r="D30" s="217"/>
      <x:c r="E30" s="217"/>
      <x:c r="F30" s="217"/>
      <x:c r="G30" s="217"/>
      <x:c r="H30" s="217"/>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26.100000381469727" customHeight="1">
      <x:c r="A31" s="217"/>
      <x:c r="B31" s="217"/>
      <x:c r="C31" s="217"/>
      <x:c r="D31" s="217"/>
      <x:c r="E31" s="217"/>
      <x:c r="F31" s="217"/>
      <x:c r="G31" s="217"/>
      <x:c r="H31" s="217"/>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27:H27"/>
    <x:mergeCell ref="A15:B15"/>
    <x:mergeCell ref="D15:H15"/>
    <x:mergeCell ref="A2:E2"/>
    <x:mergeCell ref="A14:H14"/>
    <x:mergeCell ref="A1:H1"/>
    <x:mergeCell ref="A3:B3"/>
    <x:mergeCell ref="D3:E3"/>
    <x:mergeCell ref="A28:E28"/>
  </x:mergeCells>
  <x:pageMargins left="0.7" right="0.7" top="0.75" bottom="0.75" header="0.3" footer="0.3"/>
</x:worksheet>
</file>

<file path=xl/worksheets/sheet2.xml><?xml version="1.0" encoding="utf-8"?>
<x:worksheet xmlns:x="http://schemas.openxmlformats.org/spreadsheetml/2006/main">
  <x:sheetFormatPr defaultRowHeight="14.25"/>
  <x:cols>
    <x:col min="1" max="1" width="7" customWidth="1"/>
    <x:col min="2" max="2" width="28" customWidth="1"/>
    <x:col min="3" max="4" width="12" customWidth="1"/>
    <x:col min="5" max="5" width="11" customWidth="1"/>
    <x:col min="6" max="7" width="12" customWidth="1"/>
    <x:col min="8" max="8" width="31" customWidth="1"/>
    <x:col min="9" max="9" width="40" customWidth="1"/>
    <x:col min="10" max="17" width="8" customWidth="1"/>
    <x:col min="18" max="20" width="10" customWidth="1"/>
  </x:cols>
  <x:sheetData>
    <x:row r="1" ht="27.950000762939453" customHeight="1">
      <x:c r="A1" s="204" t="str">
        <x:v>v0.2.0 Executive Gantt — Historical Release Baseline</x:v>
      </x:c>
      <x:c r="B1" s="205"/>
      <x:c r="C1" s="205"/>
      <x:c r="D1" s="205"/>
      <x:c r="E1" s="205"/>
      <x:c r="F1" s="205"/>
      <x:c r="G1" s="205"/>
      <x:c r="H1" s="205"/>
      <x:c r="I1" s="205"/>
      <x:c r="J1" s="205"/>
      <x:c r="K1" s="205"/>
      <x:c r="L1" s="205"/>
      <x:c r="M1" s="205"/>
      <x:c r="N1" s="205"/>
      <x:c r="O1" s="205"/>
      <x:c r="P1" s="205"/>
      <x:c r="Q1" s="205"/>
      <x:c r="R1" s="76"/>
      <x:c r="S1" s="76"/>
      <x:c r="T1" s="76"/>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36" customHeight="1">
      <x:c r="A2" s="4"/>
      <x:c r="B2" s="4"/>
      <x:c r="C2" s="4"/>
      <x:c r="D2" s="4"/>
      <x:c r="E2" s="4"/>
      <x:c r="F2" s="4"/>
      <x:c r="G2" s="4"/>
      <x:c r="H2" s="4"/>
      <x:c r="I2" s="4"/>
      <x:c r="J2" s="4"/>
      <x:c r="K2" s="4"/>
      <x:c r="L2" s="4"/>
      <x:c r="M2" s="4"/>
      <x:c r="N2" s="4"/>
      <x:c r="O2" s="4"/>
      <x:c r="P2" s="4"/>
      <x:c r="Q2" s="4"/>
      <x:c r="R2" s="4"/>
      <x:c r="S2" s="4"/>
      <x:c r="T2" s="4"/>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88" t="s">
        <x:v>0</x:v>
      </x:c>
      <x:c r="B3" s="88" t="s">
        <x:v>1</x:v>
      </x:c>
      <x:c r="C3" s="88" t="s">
        <x:v>2</x:v>
      </x:c>
      <x:c r="D3" s="117" t="s">
        <x:v>3</x:v>
      </x:c>
      <x:c r="E3" s="118" t="s">
        <x:v>4</x:v>
      </x:c>
      <x:c r="F3" s="118" t="s">
        <x:v>5</x:v>
      </x:c>
      <x:c r="G3" s="88" t="s">
        <x:v>6</x:v>
      </x:c>
      <x:c r="H3" s="88" t="s">
        <x:v>7</x:v>
      </x:c>
      <x:c r="I3" s="88" t="s">
        <x:v>8</x:v>
      </x:c>
      <x:c r="J3" s="88" t="s">
        <x:v>9</x:v>
      </x:c>
      <x:c r="K3" s="88" t="s">
        <x:v>10</x:v>
      </x:c>
      <x:c r="L3" s="88" t="s">
        <x:v>11</x:v>
      </x:c>
      <x:c r="M3" s="88" t="s">
        <x:v>12</x:v>
      </x:c>
      <x:c r="N3" s="88" t="s">
        <x:v>13</x:v>
      </x:c>
      <x:c r="O3" s="88" t="s">
        <x:v>14</x:v>
      </x:c>
      <x:c r="P3" s="88" t="s">
        <x:v>15</x:v>
      </x:c>
      <x:c r="Q3" s="88" t="s">
        <x:v>16</x:v>
      </x:c>
      <x:c r="R3" s="9"/>
      <x:c r="S3" s="9"/>
      <x:c r="T3" s="9"/>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3" t="s">
        <x:v>17</x:v>
      </x:c>
      <x:c r="B4" s="98" t="s">
        <x:v>18</x:v>
      </x:c>
      <x:c r="C4" s="120">
        <x:v>8</x:v>
      </x:c>
      <x:c r="D4" s="120" t="n">
        <x:f>SUMIF('Detailed Gantt'!$B$6:$B$27,B4,'Detailed Gantt'!$M$6:$M$27)</x:f>
        <x:v>7.550000000000001</x:v>
      </x:c>
      <x:c r="E4" s="122" t="n">
        <x:f>IF(C4=0,0,SUMPRODUCT(('Detailed Gantt'!$B$6:$B$27=B4)*'Detailed Gantt'!$F$6:$F$27*'Detailed Gantt'!$L$6:$L$27)/C4)</x:f>
        <x:v>1</x:v>
      </x:c>
      <x:c r="F4" s="124">
        <x:v>46202</x:v>
      </x:c>
      <x:c r="G4" s="124">
        <x:v>46215</x:v>
      </x:c>
      <x:c r="H4" s="3" t="s">
        <x:v>19</x:v>
      </x:c>
      <x:c r="I4" s="125" t="s">
        <x:v>20</x:v>
      </x:c>
      <x:c r="J4" s="125" t="s">
        <x:v>21</x:v>
      </x:c>
      <x:c r="K4" s="126" t="s">
        <x:v>21</x:v>
      </x:c>
      <x:c r="L4" s="126"/>
      <x:c r="M4" s="126"/>
      <x:c r="N4" s="126"/>
      <x:c r="O4" s="126"/>
      <x:c r="P4" s="126"/>
      <x:c r="Q4" s="126"/>
      <x:c r="R4" s="10"/>
      <x:c r="S4" s="10"/>
      <x:c r="T4" s="10"/>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27">
      <x:c r="A5" s="3" t="s">
        <x:v>22</x:v>
      </x:c>
      <x:c r="B5" s="99" t="s">
        <x:v>23</x:v>
      </x:c>
      <x:c r="C5" s="120">
        <x:v>24</x:v>
      </x:c>
      <x:c r="D5" s="120" t="n">
        <x:f>SUMIF('Detailed Gantt'!$B$6:$B$27,B5,'Detailed Gantt'!$M$6:$M$27)</x:f>
        <x:v>4.9</x:v>
      </x:c>
      <x:c r="E5" s="122" t="n">
        <x:f>IF(C5=0,0,SUMPRODUCT(('Detailed Gantt'!$B$6:$B$27=B5)*'Detailed Gantt'!$F$6:$F$27*'Detailed Gantt'!$L$6:$L$27)/C5)</x:f>
        <x:v>1</x:v>
      </x:c>
      <x:c r="F5" s="124">
        <x:v>46209</x:v>
      </x:c>
      <x:c r="G5" s="124">
        <x:v>46229</x:v>
      </x:c>
      <x:c r="H5" s="3" t="s">
        <x:v>24</x:v>
      </x:c>
      <x:c r="I5" s="126" t="s">
        <x:v>25</x:v>
      </x:c>
      <x:c r="J5" s="127"/>
      <x:c r="K5" s="127" t="s">
        <x:v>21</x:v>
      </x:c>
      <x:c r="L5" s="127" t="s">
        <x:v>21</x:v>
      </x:c>
      <x:c r="M5" s="126" t="s">
        <x:v>21</x:v>
      </x:c>
      <x:c r="N5" s="126"/>
      <x:c r="O5" s="126"/>
      <x:c r="P5" s="126"/>
      <x:c r="Q5" s="126"/>
      <x:c r="R5" s="10"/>
      <x:c r="S5" s="10"/>
      <x:c r="T5" s="10"/>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3" t="s">
        <x:v>26</x:v>
      </x:c>
      <x:c r="B6" s="100" t="s">
        <x:v>27</x:v>
      </x:c>
      <x:c r="C6" s="120">
        <x:v>14</x:v>
      </x:c>
      <x:c r="D6" s="120" t="n">
        <x:f>SUMIF('Detailed Gantt'!$B$6:$B$27,B6,'Detailed Gantt'!$M$6:$M$27)</x:f>
        <x:v>1.5799999999999998</x:v>
      </x:c>
      <x:c r="E6" s="122" t="n">
        <x:f>IF(C6=0,0,SUMPRODUCT(('Detailed Gantt'!$B$6:$B$27=B6)*'Detailed Gantt'!$F$6:$F$27*'Detailed Gantt'!$L$6:$L$27)/C6)</x:f>
        <x:v>1</x:v>
      </x:c>
      <x:c r="F6" s="124">
        <x:v>46230</x:v>
      </x:c>
      <x:c r="G6" s="124">
        <x:v>46236</x:v>
      </x:c>
      <x:c r="H6" s="3" t="s">
        <x:v>28</x:v>
      </x:c>
      <x:c r="I6" s="126" t="s">
        <x:v>29</x:v>
      </x:c>
      <x:c r="J6" s="126"/>
      <x:c r="K6" s="126"/>
      <x:c r="L6" s="128"/>
      <x:c r="M6" s="128"/>
      <x:c r="N6" s="128" t="s">
        <x:v>21</x:v>
      </x:c>
      <x:c r="O6" s="126"/>
      <x:c r="P6" s="126"/>
      <x:c r="Q6" s="126"/>
      <x:c r="R6" s="10"/>
      <x:c r="S6" s="10"/>
      <x:c r="T6" s="10"/>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3" t="s">
        <x:v>30</x:v>
      </x:c>
      <x:c r="B7" s="129" t="s">
        <x:v>31</x:v>
      </x:c>
      <x:c r="C7" s="120">
        <x:v>14</x:v>
      </x:c>
      <x:c r="D7" s="120" t="n">
        <x:f>SUMIF('Detailed Gantt'!$B$6:$B$27,B7,'Detailed Gantt'!$M$6:$M$27)</x:f>
        <x:v>1.97</x:v>
      </x:c>
      <x:c r="E7" s="122" t="n">
        <x:f>IF(C7=0,0,SUMPRODUCT(('Detailed Gantt'!$B$6:$B$27=B7)*'Detailed Gantt'!$F$6:$F$27*'Detailed Gantt'!$L$6:$L$27)/C7)</x:f>
        <x:v>1</x:v>
      </x:c>
      <x:c r="F7" s="124">
        <x:v>46209</x:v>
      </x:c>
      <x:c r="G7" s="124">
        <x:v>46243</x:v>
      </x:c>
      <x:c r="H7" s="3" t="s">
        <x:v>32</x:v>
      </x:c>
      <x:c r="I7" s="126" t="s">
        <x:v>33</x:v>
      </x:c>
      <x:c r="J7" s="126"/>
      <x:c r="K7" s="126" t="s">
        <x:v>21</x:v>
      </x:c>
      <x:c r="L7" s="126" t="s">
        <x:v>21</x:v>
      </x:c>
      <x:c r="M7" s="126" t="s">
        <x:v>21</x:v>
      </x:c>
      <x:c r="N7" s="130" t="s">
        <x:v>21</x:v>
      </x:c>
      <x:c r="O7" s="130" t="s">
        <x:v>21</x:v>
      </x:c>
      <x:c r="P7" s="130"/>
      <x:c r="Q7" s="126"/>
      <x:c r="R7" s="10"/>
      <x:c r="S7" s="10"/>
      <x:c r="T7" s="10"/>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3" t="s">
        <x:v>34</x:v>
      </x:c>
      <x:c r="B8" s="131" t="s">
        <x:v>35</x:v>
      </x:c>
      <x:c r="C8" s="120">
        <x:v>8</x:v>
      </x:c>
      <x:c r="D8" s="120" t="n">
        <x:f>SUMIF('Detailed Gantt'!$B$6:$B$27,B8,'Detailed Gantt'!$M$6:$M$27)</x:f>
        <x:v>0.72</x:v>
      </x:c>
      <x:c r="E8" s="122" t="n">
        <x:f>IF(C8=0,0,SUMPRODUCT(('Detailed Gantt'!$B$6:$B$27=B8)*'Detailed Gantt'!$F$6:$F$27*'Detailed Gantt'!$L$6:$L$27)/C8)</x:f>
        <x:v>1</x:v>
      </x:c>
      <x:c r="F8" s="124">
        <x:v>46223</x:v>
      </x:c>
      <x:c r="G8" s="124">
        <x:v>46250</x:v>
      </x:c>
      <x:c r="H8" s="3" t="s">
        <x:v>36</x:v>
      </x:c>
      <x:c r="I8" s="126" t="s">
        <x:v>37</x:v>
      </x:c>
      <x:c r="J8" s="126"/>
      <x:c r="K8" s="126"/>
      <x:c r="L8" s="126"/>
      <x:c r="M8" s="126" t="s">
        <x:v>21</x:v>
      </x:c>
      <x:c r="N8" s="126" t="s">
        <x:v>21</x:v>
      </x:c>
      <x:c r="O8" s="126" t="s">
        <x:v>21</x:v>
      </x:c>
      <x:c r="P8" s="132" t="s">
        <x:v>21</x:v>
      </x:c>
      <x:c r="Q8" s="132"/>
      <x:c r="R8" s="14"/>
      <x:c r="S8" s="10"/>
      <x:c r="T8" s="10"/>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3" t="s">
        <x:v>38</x:v>
      </x:c>
      <x:c r="B9" s="133" t="s">
        <x:v>39</x:v>
      </x:c>
      <x:c r="C9" s="120">
        <x:v>8</x:v>
      </x:c>
      <x:c r="D9" s="120" t="n">
        <x:f>SUMIF('Detailed Gantt'!$B$6:$B$27,B9,'Detailed Gantt'!$M$6:$M$27)</x:f>
        <x:v>0.6699999999999999</x:v>
      </x:c>
      <x:c r="E9" s="122" t="n">
        <x:f>IF(C9=0,0,SUMPRODUCT(('Detailed Gantt'!$B$6:$B$27=B9)*'Detailed Gantt'!$F$6:$F$27*'Detailed Gantt'!$L$6:$L$27)/C9)</x:f>
        <x:v>1</x:v>
      </x:c>
      <x:c r="F9" s="124">
        <x:v>46244</x:v>
      </x:c>
      <x:c r="G9" s="124">
        <x:v>46257</x:v>
      </x:c>
      <x:c r="H9" s="3" t="str">
        <x:v>Gate 6 — MVP v0.2.0 release</x:v>
      </x:c>
      <x:c r="I9" s="126" t="s">
        <x:v>40</x:v>
      </x:c>
      <x:c r="J9" s="126"/>
      <x:c r="K9" s="126"/>
      <x:c r="L9" s="126"/>
      <x:c r="M9" s="126"/>
      <x:c r="N9" s="126"/>
      <x:c r="O9" s="126"/>
      <x:c r="P9" s="126" t="s">
        <x:v>21</x:v>
      </x:c>
      <x:c r="Q9" s="126" t="s">
        <x:v>21</x:v>
      </x:c>
      <x:c r="R9" s="16"/>
      <x:c r="S9" s="16"/>
      <x:c r="T9" s="10"/>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27">
      <x:c r="A10" s="89" t="s">
        <x:v>41</x:v>
      </x:c>
      <x:c r="B10" s="89"/>
      <x:c r="C10" s="121" t="n">
        <x:f>SUM(C4:C9)</x:f>
        <x:v>76</x:v>
      </x:c>
      <x:c r="D10" s="121" t="n">
        <x:f>SUM(D4:D9)</x:f>
        <x:v>17.39</x:v>
      </x:c>
      <x:c r="E10" s="123" t="n">
        <x:f>SUMPRODUCT(C4:C9,E4:E9)/C10</x:f>
        <x:v>1</x:v>
      </x:c>
      <x:c r="F10" s="116"/>
      <x:c r="G10" s="89"/>
      <x:c r="H10" s="89"/>
      <x:c r="I10" s="119"/>
      <x:c r="J10" s="119"/>
      <x:c r="K10" s="119"/>
      <x:c r="L10" s="119"/>
      <x:c r="M10" s="119"/>
      <x:c r="N10" s="119"/>
      <x:c r="O10" s="119"/>
      <x:c r="P10" s="119"/>
      <x:c r="Q10" s="119"/>
      <x:c r="R10" s="10"/>
      <x:c r="S10" s="18"/>
      <x:c r="T10" s="18"/>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77"/>
      <x:c r="B11" s="19"/>
      <x:c r="C11" s="19"/>
      <x:c r="D11" s="20"/>
      <x:c r="E11" s="19"/>
      <x:c r="F11" s="19"/>
      <x:c r="G11" s="19"/>
      <x:c r="H11" s="19"/>
      <x:c r="I11" s="19"/>
      <x:c r="J11" s="19"/>
      <x:c r="K11" s="19"/>
      <x:c r="L11" s="19"/>
      <x:c r="M11" s="19"/>
      <x:c r="N11" s="19"/>
      <x:c r="O11" s="19"/>
      <x:c r="P11" s="19"/>
      <x:c r="Q11" s="19"/>
      <x:c r="R11" s="19"/>
      <x:c r="S11" s="19"/>
      <x:c r="T11" s="2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1"/>
      <x:c r="B12" s="1"/>
      <x:c r="C12" s="1"/>
      <x:c r="D12" s="1"/>
      <x:c r="E12" s="1"/>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1"/>
      <x:c r="B13" s="1"/>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1"/>
      <x:c r="B14" s="1"/>
      <x:c r="C14" s="1"/>
      <x:c r="D14" s="1"/>
      <x:c r="E14" s="1"/>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1"/>
      <x:c r="B15" s="1"/>
      <x:c r="C15" s="1"/>
      <x:c r="D15" s="1"/>
      <x:c r="E15" s="1"/>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1"/>
      <x:c r="B16" s="1"/>
      <x:c r="C16" s="1"/>
      <x:c r="D16" s="1"/>
      <x:c r="E16" s="1"/>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
      <x:c r="B17" s="1"/>
      <x:c r="C17" s="1"/>
      <x:c r="D17" s="1"/>
      <x:c r="E17" s="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
      <x:c r="B18" s="1"/>
      <x:c r="C18" s="1"/>
      <x:c r="D18" s="1"/>
      <x:c r="E18" s="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
      <x:c r="B19" s="1"/>
      <x:c r="C19" s="1"/>
      <x:c r="D19" s="1"/>
      <x:c r="E19" s="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
      <x:c r="B20" s="1"/>
      <x:c r="C20" s="1"/>
      <x:c r="D20" s="1"/>
      <x:c r="E20" s="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Q1"/>
  </x:mergeCells>
  <x:conditionalFormatting sqref="J4:Q9">
    <x:cfRule type="expression" dxfId="14" priority="1">
      <x:formula>J4="■"</x:formula>
    </x:cfRule>
  </x:conditionalFormatting>
  <x:pageMargins left="0.7" right="0.7" top="0.75" bottom="0.75" header="0.3" footer="0.3"/>
</x:worksheet>
</file>

<file path=xl/worksheets/sheet3.xml><?xml version="1.0" encoding="utf-8"?>
<x:worksheet xmlns:x="http://schemas.openxmlformats.org/spreadsheetml/2006/main">
  <x:sheetFormatPr defaultRowHeight="14.25"/>
  <x:cols>
    <x:col min="1" max="1" width="8" customWidth="1"/>
    <x:col min="2" max="2" width="26" customWidth="1"/>
    <x:col min="3" max="3" width="34" customWidth="1"/>
    <x:col min="4" max="4" width="45" customWidth="1"/>
    <x:col min="5" max="5" width="14" customWidth="1"/>
    <x:col min="6" max="6" width="11" customWidth="1"/>
    <x:col min="7" max="8" width="9" customWidth="1"/>
    <x:col min="9" max="10" width="12" customWidth="1"/>
    <x:col min="11" max="11" width="13" customWidth="1"/>
    <x:col min="12" max="13" width="11" customWidth="1"/>
    <x:col min="14" max="14" width="13" customWidth="1"/>
    <x:col min="15" max="15" width="11" customWidth="1"/>
    <x:col min="16" max="16" width="28" customWidth="1"/>
    <x:col min="17" max="17" width="34" customWidth="1"/>
    <x:col min="18" max="18" width="42" customWidth="1"/>
    <x:col min="19" max="26" width="7" customWidth="1"/>
    <x:col min="27" max="69" width="5" customWidth="1"/>
  </x:cols>
  <x:sheetData>
    <x:row r="1" ht="15">
      <x:c r="A1" s="86" t="s">
        <x:v>42</x:v>
      </x:c>
      <x:c r="B1" s="87">
        <x:v>46202</x:v>
      </x:c>
      <x:c r="C1" s="87"/>
      <x:c r="D1" s="86" t="s">
        <x:v>43</x:v>
      </x:c>
      <x:c r="E1" s="86">
        <x:v>76</x:v>
      </x:c>
      <x:c r="F1" s="86"/>
      <x:c r="G1" s="86" t="s">
        <x:v>44</x:v>
      </x:c>
      <x:c r="H1" s="87">
        <x:v>46257</x:v>
      </x:c>
      <x:c r="I1" s="86"/>
      <x:c r="J1" s="86" t="s">
        <x:v>45</x:v>
      </x:c>
      <x:c r="K1" s="86" t="s">
        <x:v>46</x:v>
      </x:c>
      <x:c r="L1" s="2"/>
      <x:c r="M1" s="2"/>
      <x:c r="N1" s="2"/>
      <x:c r="O1" s="2"/>
      <x:c r="P1" s="2"/>
      <x:c r="Q1" s="2"/>
      <x:c r="R1" s="176"/>
      <x:c r="S1" s="176"/>
      <x:c r="T1" s="176"/>
      <x:c r="U1" s="176"/>
      <x:c r="V1" s="176"/>
      <x:c r="W1" s="176"/>
      <x:c r="X1" s="176"/>
      <x:c r="Y1" s="176"/>
      <x:c r="Z1" s="176"/>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710" t="str">
        <x:v>Historical v0.2.0 baseline. Do not edit except for documented corrective-release history. Active work is controlled in Pilot Gantt.</x:v>
      </x:c>
      <x:c r="B2" s="710"/>
      <x:c r="C2" s="710"/>
      <x:c r="D2" s="710"/>
      <x:c r="E2" s="710"/>
      <x:c r="F2" s="710"/>
      <x:c r="G2" s="710"/>
      <x:c r="H2" s="710"/>
      <x:c r="I2" s="710"/>
      <x:c r="J2" s="710"/>
      <x:c r="K2" s="710"/>
      <x:c r="L2" s="710"/>
      <x:c r="M2" s="710"/>
      <x:c r="N2" s="710"/>
      <x:c r="O2" s="710"/>
      <x:c r="P2" s="710"/>
      <x:c r="Q2" s="710"/>
      <x:c r="R2" s="711"/>
      <x:c r="S2" s="711"/>
      <x:c r="T2" s="711"/>
      <x:c r="U2" s="711"/>
      <x:c r="V2" s="711"/>
      <x:c r="W2" s="711"/>
      <x:c r="X2" s="711"/>
      <x:c r="Y2" s="711"/>
      <x:c r="Z2" s="71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219" t="s">
        <x:v>47</x:v>
      </x:c>
      <x:c r="B3" s="219"/>
      <x:c r="C3" s="220"/>
      <x:c r="D3" s="220"/>
      <x:c r="E3" s="220"/>
      <x:c r="F3" s="220"/>
      <x:c r="G3" s="220"/>
      <x:c r="H3" s="220"/>
      <x:c r="I3" s="220"/>
      <x:c r="J3" s="220"/>
      <x:c r="K3" s="220"/>
      <x:c r="L3" s="220"/>
      <x:c r="M3" s="220"/>
      <x:c r="N3" s="220"/>
      <x:c r="O3" s="220"/>
      <x:c r="P3" s="220"/>
      <x:c r="Q3" s="220"/>
      <x:c r="R3" s="221"/>
      <x:c r="S3" s="176"/>
      <x:c r="T3" s="176"/>
      <x:c r="U3" s="176"/>
      <x:c r="V3" s="176"/>
      <x:c r="W3" s="176"/>
      <x:c r="X3" s="176"/>
      <x:c r="Y3" s="176"/>
      <x:c r="Z3" s="176"/>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950000762939453" customHeight="1">
      <x:c r="A4" s="1"/>
      <x:c r="B4" s="1"/>
      <x:c r="C4" s="1"/>
      <x:c r="D4" s="1"/>
      <x:c r="E4" s="1"/>
      <x:c r="F4" s="1"/>
      <x:c r="G4" s="1"/>
      <x:c r="H4" s="1"/>
      <x:c r="I4" s="1"/>
      <x:c r="J4" s="1"/>
      <x:c r="K4" s="1"/>
      <x:c r="L4" s="1"/>
      <x:c r="M4" s="1"/>
      <x:c r="N4" s="1"/>
      <x:c r="O4" s="1"/>
      <x:c r="P4" s="1"/>
      <x:c r="Q4" s="1"/>
      <x:c r="R4" s="22"/>
      <x:c r="S4" s="171">
        <x:v>46202</x:v>
      </x:c>
      <x:c r="T4" s="171">
        <x:v>46209</x:v>
      </x:c>
      <x:c r="U4" s="171">
        <x:v>46216</x:v>
      </x:c>
      <x:c r="V4" s="171">
        <x:v>46223</x:v>
      </x:c>
      <x:c r="W4" s="171">
        <x:v>46230</x:v>
      </x:c>
      <x:c r="X4" s="171">
        <x:v>46237</x:v>
      </x:c>
      <x:c r="Y4" s="171">
        <x:v>46244</x:v>
      </x:c>
      <x:c r="Z4" s="171">
        <x:v>46251</x:v>
      </x:c>
      <x:c r="AA4" s="22"/>
      <x:c r="AB4" s="22"/>
      <x:c r="AC4" s="22"/>
      <x:c r="AD4" s="22"/>
      <x:c r="AE4" s="22"/>
      <x:c r="AF4" s="22"/>
      <x:c r="AG4" s="22"/>
      <x:c r="AH4" s="22"/>
      <x:c r="AI4" s="22"/>
      <x:c r="AJ4" s="22"/>
      <x:c r="AK4" s="22"/>
      <x:c r="AL4" s="22"/>
      <x:c r="AM4" s="22"/>
      <x:c r="AN4" s="22"/>
      <x:c r="AO4" s="22"/>
      <x:c r="AP4" s="22"/>
      <x:c r="AQ4" s="22"/>
      <x:c r="AR4" s="22"/>
      <x:c r="AS4" s="22"/>
      <x:c r="AT4" s="22"/>
      <x:c r="AU4" s="22"/>
      <x:c r="AV4" s="22"/>
      <x:c r="AW4" s="22"/>
      <x:c r="AX4" s="22"/>
      <x:c r="AY4" s="22"/>
      <x:c r="AZ4" s="22"/>
      <x:c r="BA4" s="22"/>
      <x:c r="BB4" s="22"/>
      <x:c r="BC4" s="22"/>
      <x:c r="BD4" s="22"/>
      <x:c r="BE4" s="22"/>
      <x:c r="BF4" s="22"/>
      <x:c r="BG4" s="22"/>
      <x:c r="BH4" s="22"/>
      <x:c r="BI4" s="22"/>
      <x:c r="BJ4" s="22"/>
      <x:c r="BK4" s="22"/>
      <x:c r="BL4" s="22"/>
      <x:c r="BM4" s="22"/>
      <x:c r="BN4" s="22"/>
      <x:c r="BO4" s="22"/>
      <x:c r="BP4" s="22"/>
      <x:c r="BQ4" s="22"/>
    </x:row>
    <x:row r="5" ht="42" customHeight="1">
      <x:c r="A5" s="494" t="s">
        <x:v>48</x:v>
      </x:c>
      <x:c r="B5" s="494" t="s">
        <x:v>1</x:v>
      </x:c>
      <x:c r="C5" s="494" t="s">
        <x:v>49</x:v>
      </x:c>
      <x:c r="D5" s="494" t="s">
        <x:v>50</x:v>
      </x:c>
      <x:c r="E5" s="494" t="s">
        <x:v>51</x:v>
      </x:c>
      <x:c r="F5" s="494" t="s">
        <x:v>2</x:v>
      </x:c>
      <x:c r="G5" s="494" t="s">
        <x:v>52</x:v>
      </x:c>
      <x:c r="H5" s="494" t="s">
        <x:v>53</x:v>
      </x:c>
      <x:c r="I5" s="494" t="s">
        <x:v>54</x:v>
      </x:c>
      <x:c r="J5" s="494" t="s">
        <x:v>55</x:v>
      </x:c>
      <x:c r="K5" s="494" t="s">
        <x:v>56</x:v>
      </x:c>
      <x:c r="L5" s="494" t="s">
        <x:v>4</x:v>
      </x:c>
      <x:c r="M5" s="494" t="s">
        <x:v>3</x:v>
      </x:c>
      <x:c r="N5" s="494" t="s">
        <x:v>57</x:v>
      </x:c>
      <x:c r="O5" s="494" t="s">
        <x:v>58</x:v>
      </x:c>
      <x:c r="P5" s="494" t="s">
        <x:v>59</x:v>
      </x:c>
      <x:c r="Q5" s="494" t="s">
        <x:v>60</x:v>
      </x:c>
      <x:c r="R5" s="494" t="s">
        <x:v>61</x:v>
      </x:c>
      <x:c r="S5" s="172" t="s">
        <x:v>9</x:v>
      </x:c>
      <x:c r="T5" s="172" t="s">
        <x:v>10</x:v>
      </x:c>
      <x:c r="U5" s="172" t="s">
        <x:v>11</x:v>
      </x:c>
      <x:c r="V5" s="172" t="s">
        <x:v>12</x:v>
      </x:c>
      <x:c r="W5" s="172" t="s">
        <x:v>13</x:v>
      </x:c>
      <x:c r="X5" s="172" t="s">
        <x:v>14</x:v>
      </x:c>
      <x:c r="Y5" s="172" t="s">
        <x:v>15</x:v>
      </x:c>
      <x:c r="Z5" s="172" t="s">
        <x:v>16</x:v>
      </x:c>
      <x:c r="AA5" s="4"/>
      <x:c r="AB5" s="4"/>
      <x:c r="AC5" s="4"/>
      <x:c r="AD5" s="4"/>
      <x:c r="AE5" s="4"/>
      <x:c r="AF5" s="4"/>
      <x:c r="AG5" s="4"/>
      <x:c r="AH5" s="4"/>
      <x:c r="AI5" s="4"/>
      <x:c r="AJ5" s="4"/>
      <x:c r="AK5" s="4"/>
      <x:c r="AL5" s="4"/>
      <x:c r="AM5" s="4"/>
      <x:c r="AN5" s="4"/>
      <x:c r="AO5" s="4"/>
      <x:c r="AP5" s="4"/>
      <x:c r="AQ5" s="4"/>
      <x:c r="AR5" s="4"/>
      <x:c r="AS5" s="4"/>
      <x:c r="AT5" s="4"/>
      <x:c r="AU5" s="4"/>
      <x:c r="AV5" s="4"/>
      <x:c r="AW5" s="4"/>
      <x:c r="AX5" s="4"/>
      <x:c r="AY5" s="4"/>
      <x:c r="AZ5" s="4"/>
      <x:c r="BA5" s="4"/>
      <x:c r="BB5" s="4"/>
      <x:c r="BC5" s="4"/>
      <x:c r="BD5" s="4"/>
      <x:c r="BE5" s="4"/>
      <x:c r="BF5" s="4"/>
      <x:c r="BG5" s="4"/>
      <x:c r="BH5" s="4"/>
      <x:c r="BI5" s="4"/>
      <x:c r="BJ5" s="4"/>
      <x:c r="BK5" s="4"/>
      <x:c r="BL5" s="4"/>
      <x:c r="BM5" s="4"/>
      <x:c r="BN5" s="4"/>
      <x:c r="BO5" s="4"/>
      <x:c r="BP5" s="4"/>
      <x:c r="BQ5" s="4"/>
    </x:row>
    <x:row r="6" ht="42" customHeight="1">
      <x:c r="A6" s="613" t="s">
        <x:v>62</x:v>
      </x:c>
      <x:c r="B6" s="634" t="s">
        <x:v>18</x:v>
      </x:c>
      <x:c r="C6" s="613" t="s">
        <x:v>63</x:v>
      </x:c>
      <x:c r="D6" s="613" t="s">
        <x:v>64</x:v>
      </x:c>
      <x:c r="E6" s="613" t="s">
        <x:v>65</x:v>
      </x:c>
      <x:c r="F6" s="615">
        <x:v>2</x:v>
      </x:c>
      <x:c r="G6" s="616">
        <x:v>1</x:v>
      </x:c>
      <x:c r="H6" s="616">
        <x:v>1</x:v>
      </x:c>
      <x:c r="I6" s="617" t="n">
        <x:f t="shared" ref="I6:I37" si="0">$B$1+(G6-1)*7</x:f>
        <x:v>46202</x:v>
      </x:c>
      <x:c r="J6" s="617" t="n">
        <x:f t="shared" ref="J6:J37" si="1">$B$1+H6*7-1</x:f>
        <x:v>46208</x:v>
      </x:c>
      <x:c r="K6" s="617" t="n">
        <x:f t="shared" ref="K6:K37" si="2">$C$1+H6*7-1</x:f>
        <x:v>6</x:v>
      </x:c>
      <x:c r="L6" s="618">
        <x:v>1</x:v>
      </x:c>
      <x:c r="M6" s="619" t="n">
        <x:f>SUMIF('Work Block Log'!$E$5:$E$200,A6,'Work Block Log'!$F$5:$F$200)</x:f>
        <x:v>2.5</x:v>
      </x:c>
      <x:c r="N6" s="619" t="n">
        <x:f t="shared" ref="N6:N27" si="3">MAX(F6*(1-L6),0)</x:f>
        <x:v>0</x:v>
      </x:c>
      <x:c r="O6" s="619" t="n">
        <x:f t="shared" ref="O6:O37" si="4">M6-F6</x:f>
        <x:v>0.5</x:v>
      </x:c>
      <x:c r="P6" s="616" t="n">
        <x:f t="shared" ref="P6:P37" si="5">MAX(F6*(1-M6),0)</x:f>
        <x:v>0</x:v>
      </x:c>
      <x:c r="Q6" s="613" t="s">
        <x:v>66</x:v>
      </x:c>
      <x:c r="R6" s="640" t="s">
        <x:v>67</x:v>
      </x:c>
      <x:c r="S6" s="173" t="s">
        <x:v>21</x:v>
      </x:c>
      <x:c r="T6" s="173"/>
      <x:c r="U6" s="173"/>
      <x:c r="V6" s="173"/>
      <x:c r="W6" s="173"/>
      <x:c r="X6" s="173"/>
      <x:c r="Y6" s="173"/>
      <x:c r="Z6" s="173"/>
      <x:c r="AA6" s="26"/>
      <x:c r="AB6" s="26"/>
      <x:c r="AC6" s="26"/>
      <x:c r="AD6" s="26"/>
      <x:c r="AE6" s="26"/>
      <x:c r="AF6" s="26"/>
      <x:c r="AG6" s="26"/>
      <x:c r="AH6" s="26"/>
      <x:c r="AI6" s="26"/>
      <x:c r="AJ6" s="26"/>
      <x:c r="AK6" s="26"/>
      <x:c r="AL6" s="26"/>
      <x:c r="AM6" s="26"/>
      <x:c r="AN6" s="26"/>
      <x:c r="AO6" s="26"/>
      <x:c r="AP6" s="26"/>
      <x:c r="AQ6" s="26"/>
      <x:c r="AR6" s="26"/>
      <x:c r="AS6" s="26"/>
      <x:c r="AT6" s="26"/>
      <x:c r="AU6" s="26"/>
      <x:c r="AV6" s="26"/>
      <x:c r="AW6" s="26"/>
      <x:c r="AX6" s="26"/>
      <x:c r="AY6" s="26"/>
      <x:c r="AZ6" s="26"/>
      <x:c r="BA6" s="26"/>
      <x:c r="BB6" s="26"/>
      <x:c r="BC6" s="26"/>
      <x:c r="BD6" s="26"/>
      <x:c r="BE6" s="26"/>
      <x:c r="BF6" s="26"/>
      <x:c r="BG6" s="26"/>
      <x:c r="BH6" s="26"/>
      <x:c r="BI6" s="26"/>
      <x:c r="BJ6" s="26"/>
      <x:c r="BK6" s="26"/>
      <x:c r="BL6" s="26"/>
      <x:c r="BM6" s="26"/>
      <x:c r="BN6" s="26"/>
      <x:c r="BO6" s="26"/>
      <x:c r="BP6" s="26"/>
      <x:c r="BQ6" s="27"/>
    </x:row>
    <x:row r="7" ht="42" customHeight="1">
      <x:c r="A7" s="621" t="s">
        <x:v>68</x:v>
      </x:c>
      <x:c r="B7" s="634" t="s">
        <x:v>18</x:v>
      </x:c>
      <x:c r="C7" s="621" t="s">
        <x:v>69</x:v>
      </x:c>
      <x:c r="D7" s="621" t="s">
        <x:v>70</x:v>
      </x:c>
      <x:c r="E7" s="621" t="s">
        <x:v>62</x:v>
      </x:c>
      <x:c r="F7" s="623">
        <x:v>2</x:v>
      </x:c>
      <x:c r="G7" s="624">
        <x:v>1</x:v>
      </x:c>
      <x:c r="H7" s="624">
        <x:v>2</x:v>
      </x:c>
      <x:c r="I7" s="625">
        <x:f t="shared" si="0"/>
        <x:v>46202</x:v>
      </x:c>
      <x:c r="J7" s="625">
        <x:f t="shared" si="1"/>
        <x:v>46215</x:v>
      </x:c>
      <x:c r="K7" s="625" t="str">
        <x:f t="shared" si="2"/>
        <x:v>Complete</x:v>
      </x:c>
      <x:c r="L7" s="626">
        <x:v>1</x:v>
      </x:c>
      <x:c r="M7" s="627" t="n">
        <x:f>SUMIF('Work Block Log'!$E$5:$E$200,A7,'Work Block Log'!$F$5:$F$200)</x:f>
        <x:v>2.9</x:v>
      </x:c>
      <x:c r="N7" s="627">
        <x:f t="shared" si="3"/>
        <x:v>0</x:v>
      </x:c>
      <x:c r="O7" s="627">
        <x:f t="shared" si="4"/>
        <x:v>0.89999999999999991</x:v>
      </x:c>
      <x:c r="P7" s="624" t="str">
        <x:f t="shared" si="5"/>
        <x:v>c71676d; docs/architecture.md; gantt.xlsx; EV-007–EV-009.</x:v>
      </x:c>
      <x:c r="Q7" s="621" t="s">
        <x:v>71</x:v>
      </x:c>
      <x:c r="R7" s="640" t="s">
        <x:v>72</x:v>
      </x:c>
      <x:c r="S7" s="173" t="s">
        <x:v>21</x:v>
      </x:c>
      <x:c r="T7" s="173" t="s">
        <x:v>21</x:v>
      </x:c>
      <x:c r="U7" s="173"/>
      <x:c r="V7" s="173"/>
      <x:c r="W7" s="173"/>
      <x:c r="X7" s="173"/>
      <x:c r="Y7" s="173"/>
      <x:c r="Z7" s="173"/>
      <x:c r="AA7" s="28"/>
      <x:c r="AB7" s="28"/>
      <x:c r="AC7" s="28"/>
      <x:c r="AD7" s="28"/>
      <x:c r="AE7" s="28"/>
      <x:c r="AF7" s="28"/>
      <x:c r="AG7" s="28"/>
      <x:c r="AH7" s="28"/>
      <x:c r="AI7" s="28"/>
      <x:c r="AJ7" s="28"/>
      <x:c r="AK7" s="28"/>
      <x:c r="AL7" s="28"/>
      <x:c r="AM7" s="28"/>
      <x:c r="AN7" s="28"/>
      <x:c r="AO7" s="28"/>
      <x:c r="AP7" s="28"/>
      <x:c r="AQ7" s="28"/>
      <x:c r="AR7" s="28"/>
      <x:c r="AS7" s="28"/>
      <x:c r="AT7" s="28"/>
      <x:c r="AU7" s="28"/>
      <x:c r="AV7" s="28"/>
      <x:c r="AW7" s="28"/>
      <x:c r="AX7" s="28"/>
      <x:c r="AY7" s="28"/>
      <x:c r="AZ7" s="28"/>
      <x:c r="BA7" s="28"/>
      <x:c r="BB7" s="28"/>
      <x:c r="BC7" s="28"/>
      <x:c r="BD7" s="28"/>
      <x:c r="BE7" s="28"/>
      <x:c r="BF7" s="28"/>
      <x:c r="BG7" s="28"/>
      <x:c r="BH7" s="28"/>
      <x:c r="BI7" s="28"/>
      <x:c r="BJ7" s="28"/>
      <x:c r="BK7" s="28"/>
      <x:c r="BL7" s="28"/>
      <x:c r="BM7" s="28"/>
      <x:c r="BN7" s="28"/>
      <x:c r="BO7" s="28"/>
      <x:c r="BP7" s="28"/>
      <x:c r="BQ7" s="29"/>
    </x:row>
    <x:row r="8" ht="42" customHeight="1">
      <x:c r="A8" s="613" t="s">
        <x:v>73</x:v>
      </x:c>
      <x:c r="B8" s="634" t="s">
        <x:v>18</x:v>
      </x:c>
      <x:c r="C8" s="613" t="s">
        <x:v>74</x:v>
      </x:c>
      <x:c r="D8" s="613" t="s">
        <x:v>75</x:v>
      </x:c>
      <x:c r="E8" s="613" t="s">
        <x:v>62</x:v>
      </x:c>
      <x:c r="F8" s="615">
        <x:v>4</x:v>
      </x:c>
      <x:c r="G8" s="616">
        <x:v>1</x:v>
      </x:c>
      <x:c r="H8" s="616">
        <x:v>1</x:v>
      </x:c>
      <x:c r="I8" s="617">
        <x:f t="shared" si="0"/>
        <x:v>46202</x:v>
      </x:c>
      <x:c r="J8" s="617">
        <x:f t="shared" si="1"/>
        <x:v>46208</x:v>
      </x:c>
      <x:c r="K8" s="617" t="str">
        <x:f t="shared" si="2"/>
        <x:v>Complete</x:v>
      </x:c>
      <x:c r="L8" s="618">
        <x:v>1</x:v>
      </x:c>
      <x:c r="M8" s="619" t="n">
        <x:f>SUMIF('Work Block Log'!$E$5:$E$200,A8,'Work Block Log'!$F$5:$F$200)</x:f>
        <x:v>2.15</x:v>
      </x:c>
      <x:c r="N8" s="619">
        <x:f t="shared" si="3"/>
        <x:v>0</x:v>
      </x:c>
      <x:c r="O8" s="619">
        <x:f t="shared" si="4"/>
        <x:v>-1.85</x:v>
      </x:c>
      <x:c r="P8" s="616" t="str">
        <x:f t="shared" si="5"/>
        <x:v>PR #2–#5; merges 84ae42e, 90ead34, 8399f1f, and 0205c60; 25 tests.</x:v>
      </x:c>
      <x:c r="Q8" s="613" t="s">
        <x:v>76</x:v>
      </x:c>
      <x:c r="R8" s="640" t="s">
        <x:v>77</x:v>
      </x:c>
      <x:c r="S8" s="174" t="s">
        <x:v>21</x:v>
      </x:c>
      <x:c r="T8" s="173"/>
      <x:c r="U8" s="173"/>
      <x:c r="V8" s="173"/>
      <x:c r="W8" s="173"/>
      <x:c r="X8" s="173"/>
      <x:c r="Y8" s="173"/>
      <x:c r="Z8" s="173"/>
      <x:c r="AA8" s="28"/>
      <x:c r="AB8" s="28"/>
      <x:c r="AC8" s="28"/>
      <x:c r="AD8" s="28"/>
      <x:c r="AE8" s="28"/>
      <x:c r="AF8" s="28"/>
      <x:c r="AG8" s="28"/>
      <x:c r="AH8" s="28"/>
      <x:c r="AI8" s="28"/>
      <x:c r="AJ8" s="28"/>
      <x:c r="AK8" s="28"/>
      <x:c r="AL8" s="28"/>
      <x:c r="AM8" s="28"/>
      <x:c r="AN8" s="28"/>
      <x:c r="AO8" s="28"/>
      <x:c r="AP8" s="28"/>
      <x:c r="AQ8" s="28"/>
      <x:c r="AR8" s="28"/>
      <x:c r="AS8" s="28"/>
      <x:c r="AT8" s="28"/>
      <x:c r="AU8" s="28"/>
      <x:c r="AV8" s="28"/>
      <x:c r="AW8" s="28"/>
      <x:c r="AX8" s="28"/>
      <x:c r="AY8" s="28"/>
      <x:c r="AZ8" s="28"/>
      <x:c r="BA8" s="28"/>
      <x:c r="BB8" s="28"/>
      <x:c r="BC8" s="28"/>
      <x:c r="BD8" s="28"/>
      <x:c r="BE8" s="28"/>
      <x:c r="BF8" s="28"/>
      <x:c r="BG8" s="28"/>
      <x:c r="BH8" s="28"/>
      <x:c r="BI8" s="28"/>
      <x:c r="BJ8" s="28"/>
      <x:c r="BK8" s="28"/>
      <x:c r="BL8" s="28"/>
      <x:c r="BM8" s="28"/>
      <x:c r="BN8" s="28"/>
      <x:c r="BO8" s="28"/>
      <x:c r="BP8" s="28"/>
      <x:c r="BQ8" s="29"/>
    </x:row>
    <x:row r="9" ht="82" customHeight="1">
      <x:c r="A9" s="621" t="s">
        <x:v>78</x:v>
      </x:c>
      <x:c r="B9" s="635" t="s">
        <x:v>23</x:v>
      </x:c>
      <x:c r="C9" s="621" t="s">
        <x:v>79</x:v>
      </x:c>
      <x:c r="D9" s="621" t="s">
        <x:v>80</x:v>
      </x:c>
      <x:c r="E9" s="621" t="s">
        <x:v>73</x:v>
      </x:c>
      <x:c r="F9" s="623">
        <x:v>4</x:v>
      </x:c>
      <x:c r="G9" s="624">
        <x:v>2</x:v>
      </x:c>
      <x:c r="H9" s="624">
        <x:v>2</x:v>
      </x:c>
      <x:c r="I9" s="625">
        <x:f t="shared" si="0"/>
        <x:v>46209</x:v>
      </x:c>
      <x:c r="J9" s="625">
        <x:f t="shared" si="1"/>
        <x:v>46215</x:v>
      </x:c>
      <x:c r="K9" s="625" t="str">
        <x:f t="shared" si="2"/>
        <x:v>Complete</x:v>
      </x:c>
      <x:c r="L9" s="626" t="n">
        <x:v>1</x:v>
      </x:c>
      <x:c r="M9" s="627" t="n">
        <x:f>SUMIF('Work Block Log'!$E$5:$E$200,A9,'Work Block Log'!$F$5:$F$200)</x:f>
        <x:v>0.73</x:v>
      </x:c>
      <x:c r="N9" s="627" t="n">
        <x:f t="shared" si="3">MAX(F9*(1-L9),0)</x:f>
        <x:v>0</x:v>
      </x:c>
      <x:c r="O9" s="627" t="n">
        <x:f t="shared" si="4">M9-F9</x:f>
        <x:v>-3.27</x:v>
      </x:c>
      <x:c r="P9" s="624" t="str">
        <x:f t="shared" si="5"/>
        <x:v>PR #6 merged in c419dc3; feature commit 2b0b6e7; Gantt closeout ba18051; 31 passing tests.</x:v>
      </x:c>
      <x:c r="Q9" s="621" t="str">
        <x:v>Complete. Preserve the candidate envelope as the input contract for subsequent evaluator work.</x:v>
      </x:c>
      <x:c r="R9" s="641" t="str">
        <x:v>Completed 2026-07-05. Logged implementation plus closeout total: 0.73 h. Candidate examples remain separate from benchmark case definitions.</x:v>
      </x:c>
      <x:c r="S9" s="174"/>
      <x:c r="T9" s="173" t="s">
        <x:v>21</x:v>
      </x:c>
      <x:c r="U9" s="173"/>
      <x:c r="V9" s="173"/>
      <x:c r="W9" s="173"/>
      <x:c r="X9" s="173"/>
      <x:c r="Y9" s="173"/>
      <x:c r="Z9" s="173"/>
      <x:c r="AA9" s="28"/>
      <x:c r="AB9" s="28"/>
      <x:c r="AC9" s="28"/>
      <x:c r="AD9" s="28"/>
      <x:c r="AE9" s="28"/>
      <x:c r="AF9" s="28"/>
      <x:c r="AG9" s="28"/>
      <x:c r="AH9" s="28"/>
      <x:c r="AI9" s="28"/>
      <x:c r="AJ9" s="28"/>
      <x:c r="AK9" s="28"/>
      <x:c r="AL9" s="28"/>
      <x:c r="AM9" s="28"/>
      <x:c r="AN9" s="28"/>
      <x:c r="AO9" s="28"/>
      <x:c r="AP9" s="28"/>
      <x:c r="AQ9" s="28"/>
      <x:c r="AR9" s="28"/>
      <x:c r="AS9" s="28"/>
      <x:c r="AT9" s="28"/>
      <x:c r="AU9" s="28"/>
      <x:c r="AV9" s="28"/>
      <x:c r="AW9" s="28"/>
      <x:c r="AX9" s="28"/>
      <x:c r="AY9" s="28"/>
      <x:c r="AZ9" s="28"/>
      <x:c r="BA9" s="28"/>
      <x:c r="BB9" s="28"/>
      <x:c r="BC9" s="28"/>
      <x:c r="BD9" s="28"/>
      <x:c r="BE9" s="28"/>
      <x:c r="BF9" s="28"/>
      <x:c r="BG9" s="28"/>
      <x:c r="BH9" s="28"/>
      <x:c r="BI9" s="28"/>
      <x:c r="BJ9" s="28"/>
      <x:c r="BK9" s="28"/>
      <x:c r="BL9" s="28"/>
      <x:c r="BM9" s="28"/>
      <x:c r="BN9" s="28"/>
      <x:c r="BO9" s="28"/>
      <x:c r="BP9" s="28"/>
      <x:c r="BQ9" s="29"/>
    </x:row>
    <x:row r="10" ht="82" customHeight="1">
      <x:c r="A10" s="613" t="s">
        <x:v>81</x:v>
      </x:c>
      <x:c r="B10" s="635" t="s">
        <x:v>23</x:v>
      </x:c>
      <x:c r="C10" s="613" t="s">
        <x:v>82</x:v>
      </x:c>
      <x:c r="D10" s="613" t="s">
        <x:v>83</x:v>
      </x:c>
      <x:c r="E10" s="613" t="s">
        <x:v>78</x:v>
      </x:c>
      <x:c r="F10" s="615">
        <x:v>5</x:v>
      </x:c>
      <x:c r="G10" s="616">
        <x:v>2</x:v>
      </x:c>
      <x:c r="H10" s="616">
        <x:v>3</x:v>
      </x:c>
      <x:c r="I10" s="617">
        <x:f t="shared" si="0"/>
        <x:v>46209</x:v>
      </x:c>
      <x:c r="J10" s="617">
        <x:f t="shared" si="1"/>
        <x:v>46222</x:v>
      </x:c>
      <x:c r="K10" s="617" t="str">
        <x:f t="shared" si="2"/>
        <x:v>Complete</x:v>
      </x:c>
      <x:c r="L10" s="618" t="n">
        <x:v>1</x:v>
      </x:c>
      <x:c r="M10" s="619" t="n">
        <x:f>SUMIF('Work Block Log'!$E$5:$E$200,A10,'Work Block Log'!$F$5:$F$200)</x:f>
        <x:v>0.5</x:v>
      </x:c>
      <x:c r="N10" s="619" t="n">
        <x:f t="shared" si="3">MAX(F10*(1-L10),0)</x:f>
        <x:v>0</x:v>
      </x:c>
      <x:c r="O10" s="619" t="n">
        <x:f t="shared" si="4">M10-F10</x:f>
        <x:v>-4.5</x:v>
      </x:c>
      <x:c r="P10" s="616" t="str">
        <x:f t="shared" si="5"/>
        <x:v>c05ef3d merged to main in 05c025b; GateResult engine; seven focused tests; 38 total tests.</x:v>
      </x:c>
      <x:c r="Q10" s="613" t="str">
        <x:v>Begin WBS 1.3: implement CheckResult and deterministic exact, Boolean, set, and contains checks.</x:v>
      </x:c>
      <x:c r="R10" s="640" t="str">
        <x:v>Completed 2026-07-05 in 0.50 h. Gates execute in evaluator order and stop after the first failure. Task specifications declare payload types; Boolean is not accepted as numeric.</x:v>
      </x:c>
      <x:c r="S10" s="174"/>
      <x:c r="T10" s="174" t="s">
        <x:v>21</x:v>
      </x:c>
      <x:c r="U10" s="174" t="s">
        <x:v>21</x:v>
      </x:c>
      <x:c r="V10" s="174"/>
      <x:c r="W10" s="174"/>
      <x:c r="X10" s="174"/>
      <x:c r="Y10" s="174"/>
      <x:c r="Z10" s="174"/>
      <x:c r="AA10" s="32"/>
      <x:c r="AB10" s="32"/>
      <x:c r="AC10" s="32"/>
      <x:c r="AD10" s="32"/>
      <x:c r="AE10" s="32"/>
      <x:c r="AF10" s="32"/>
      <x:c r="AG10" s="32"/>
      <x:c r="AH10" s="32"/>
      <x:c r="AI10" s="32"/>
      <x:c r="AJ10" s="32"/>
      <x:c r="AK10" s="32"/>
      <x:c r="AL10" s="32"/>
      <x:c r="AM10" s="32"/>
      <x:c r="AN10" s="32"/>
      <x:c r="AO10" s="32"/>
      <x:c r="AP10" s="32"/>
      <x:c r="AQ10" s="32"/>
      <x:c r="AR10" s="32"/>
      <x:c r="AS10" s="32"/>
      <x:c r="AT10" s="32"/>
      <x:c r="AU10" s="32"/>
      <x:c r="AV10" s="32"/>
      <x:c r="AW10" s="32"/>
      <x:c r="AX10" s="32"/>
      <x:c r="AY10" s="32"/>
      <x:c r="AZ10" s="32"/>
      <x:c r="BA10" s="32"/>
      <x:c r="BB10" s="32"/>
      <x:c r="BC10" s="32"/>
      <x:c r="BD10" s="32"/>
      <x:c r="BE10" s="32"/>
      <x:c r="BF10" s="32"/>
      <x:c r="BG10" s="32"/>
      <x:c r="BH10" s="32"/>
      <x:c r="BI10" s="32"/>
      <x:c r="BJ10" s="32"/>
      <x:c r="BK10" s="32"/>
      <x:c r="BL10" s="32"/>
      <x:c r="BM10" s="32"/>
      <x:c r="BN10" s="32"/>
      <x:c r="BO10" s="32"/>
      <x:c r="BP10" s="32"/>
      <x:c r="BQ10" s="30"/>
    </x:row>
    <x:row r="11" ht="68" customHeight="1">
      <x:c r="A11" s="621" t="s">
        <x:v>84</x:v>
      </x:c>
      <x:c r="B11" s="635" t="s">
        <x:v>23</x:v>
      </x:c>
      <x:c r="C11" s="621" t="s">
        <x:v>85</x:v>
      </x:c>
      <x:c r="D11" s="621" t="s">
        <x:v>86</x:v>
      </x:c>
      <x:c r="E11" s="621" t="s">
        <x:v>81</x:v>
      </x:c>
      <x:c r="F11" s="623">
        <x:v>5</x:v>
      </x:c>
      <x:c r="G11" s="624">
        <x:v>3</x:v>
      </x:c>
      <x:c r="H11" s="624">
        <x:v>3</x:v>
      </x:c>
      <x:c r="I11" s="625">
        <x:f t="shared" si="0"/>
        <x:v>46216</x:v>
      </x:c>
      <x:c r="J11" s="625">
        <x:f t="shared" si="1"/>
        <x:v>46222</x:v>
      </x:c>
      <x:c r="K11" s="625" t="str">
        <x:f t="shared" si="2"/>
        <x:v>Complete</x:v>
      </x:c>
      <x:c r="L11" s="626" t="n">
        <x:v>1</x:v>
      </x:c>
      <x:c r="M11" s="627" t="n">
        <x:f>SUMIF('Work Block Log'!$E$5:$E$200,A11,'Work Block Log'!$F$5:$F$200)</x:f>
        <x:v>2.85</x:v>
      </x:c>
      <x:c r="N11" s="627" t="n">
        <x:f t="shared" si="3">MAX(F11*(1-L11),0)</x:f>
        <x:v>0</x:v>
      </x:c>
      <x:c r="O11" s="627" t="n">
        <x:f t="shared" si="4">M11-F11</x:f>
        <x:v>-2.15</x:v>
      </x:c>
      <x:c r="P11" s="624" t="str">
        <x:f t="shared" si="5"/>
        <x:v>PR #8 merged in 7222c81; feature commit 53f96cc; Gantt progress commit 269a070; 12 focused tests and 50 total tests passed.</x:v>
      </x:c>
      <x:c r="Q11" s="621" t="str">
        <x:v>Begin WBS 1.4: create feature/numeric-tolerance-checks and implement numeric_close with absolute-tolerance boundary evidence.</x:v>
      </x:c>
      <x:c r="R11" s="641" t="str">
        <x:v>Completed 2026-07-05. Logged implementation time remains 2.85 h (10:04 AM–12:55 PM); no additional closeout time was added because a later end time was not explicitly provided.</x:v>
      </x:c>
      <x:c r="S11" s="173"/>
      <x:c r="T11" s="173"/>
      <x:c r="U11" s="174" t="s">
        <x:v>21</x:v>
      </x:c>
      <x:c r="V11" s="174"/>
      <x:c r="W11" s="174"/>
      <x:c r="X11" s="174"/>
      <x:c r="Y11" s="174"/>
      <x:c r="Z11" s="174"/>
      <x:c r="AA11" s="32"/>
      <x:c r="AB11" s="32"/>
      <x:c r="AC11" s="32"/>
      <x:c r="AD11" s="32"/>
      <x:c r="AE11" s="32"/>
      <x:c r="AF11" s="32"/>
      <x:c r="AG11" s="32"/>
      <x:c r="AH11" s="32"/>
      <x:c r="AI11" s="32"/>
      <x:c r="AJ11" s="32"/>
      <x:c r="AK11" s="32"/>
      <x:c r="AL11" s="32"/>
      <x:c r="AM11" s="32"/>
      <x:c r="AN11" s="32"/>
      <x:c r="AO11" s="32"/>
      <x:c r="AP11" s="32"/>
      <x:c r="AQ11" s="32"/>
      <x:c r="AR11" s="32"/>
      <x:c r="AS11" s="32"/>
      <x:c r="AT11" s="32"/>
      <x:c r="AU11" s="32"/>
      <x:c r="AV11" s="32"/>
      <x:c r="AW11" s="32"/>
      <x:c r="AX11" s="32"/>
      <x:c r="AY11" s="32"/>
      <x:c r="AZ11" s="32"/>
      <x:c r="BA11" s="32"/>
      <x:c r="BB11" s="32"/>
      <x:c r="BC11" s="32"/>
      <x:c r="BD11" s="32"/>
      <x:c r="BE11" s="32"/>
      <x:c r="BF11" s="32"/>
      <x:c r="BG11" s="32"/>
      <x:c r="BH11" s="32"/>
      <x:c r="BI11" s="32"/>
      <x:c r="BJ11" s="32"/>
      <x:c r="BK11" s="32"/>
      <x:c r="BL11" s="32"/>
      <x:c r="BM11" s="32"/>
      <x:c r="BN11" s="32"/>
      <x:c r="BO11" s="32"/>
      <x:c r="BP11" s="32"/>
      <x:c r="BQ11" s="30"/>
    </x:row>
    <x:row r="12" ht="42" customHeight="1">
      <x:c r="A12" s="613" t="s">
        <x:v>87</x:v>
      </x:c>
      <x:c r="B12" s="635" t="s">
        <x:v>23</x:v>
      </x:c>
      <x:c r="C12" s="613" t="s">
        <x:v>88</x:v>
      </x:c>
      <x:c r="D12" s="613" t="s">
        <x:v>89</x:v>
      </x:c>
      <x:c r="E12" s="613" t="s">
        <x:v>81</x:v>
      </x:c>
      <x:c r="F12" s="615">
        <x:v>4</x:v>
      </x:c>
      <x:c r="G12" s="616">
        <x:v>3</x:v>
      </x:c>
      <x:c r="H12" s="616">
        <x:v>4</x:v>
      </x:c>
      <x:c r="I12" s="617">
        <x:f t="shared" si="0"/>
        <x:v>46216</x:v>
      </x:c>
      <x:c r="J12" s="617">
        <x:f t="shared" si="1"/>
        <x:v>46229</x:v>
      </x:c>
      <x:c r="K12" s="617" t="str">
        <x:f t="shared" si="2"/>
        <x:v>Complete</x:v>
      </x:c>
      <x:c r="L12" s="618" t="n">
        <x:v>1</x:v>
      </x:c>
      <x:c r="M12" s="619" t="n">
        <x:f>SUMIF('Work Block Log'!$E$5:$E$200,A12,'Work Block Log'!$F$5:$F$200)</x:f>
        <x:v>0.5</x:v>
      </x:c>
      <x:c r="N12" s="619" t="n">
        <x:f t="shared" si="3">MAX(F12*(1-L12),0)</x:f>
        <x:v>0</x:v>
      </x:c>
      <x:c r="O12" s="619" t="n">
        <x:f t="shared" si="4">M12-F12</x:f>
        <x:v>-3.5</x:v>
      </x:c>
      <x:c r="P12" s="616" t="str">
        <x:f t="shared" si="5"/>
        <x:v>PR #9 merged in 1fbb45d; feature commit 31015c9; 11 focused numeric tests, 11 deterministic-check tests, and 60 total tests passed.</x:v>
      </x:c>
      <x:c r="Q12" s="613" t="str">
        <x:v>Begin WBS 1.5: create feature/weighted-scoring and compose mandatory gate results plus weighted check results into one evaluation outcome.</x:v>
      </x:c>
      <x:c r="R12" s="641" t="str">
        <x:v>Completed 2026-07-05. Logged 0.50 h for the 12:55 PM–1:29 PM block using the agreed rounded estimate. Absolute-tolerance boundaries are inclusive; invalid evaluator/reference numeric configuration fails closed.</x:v>
      </x:c>
      <x:c r="S12" s="173"/>
      <x:c r="T12" s="173"/>
      <x:c r="U12" s="173" t="s">
        <x:v>21</x:v>
      </x:c>
      <x:c r="V12" s="173" t="s">
        <x:v>21</x:v>
      </x:c>
      <x:c r="W12" s="173"/>
      <x:c r="X12" s="173"/>
      <x:c r="Y12" s="173"/>
      <x:c r="Z12" s="174"/>
      <x:c r="AA12" s="32"/>
      <x:c r="AB12" s="32"/>
      <x:c r="AC12" s="32"/>
      <x:c r="AD12" s="32"/>
      <x:c r="AE12" s="32"/>
      <x:c r="AF12" s="32"/>
      <x:c r="AG12" s="32"/>
      <x:c r="AH12" s="32"/>
      <x:c r="AI12" s="32"/>
      <x:c r="AJ12" s="32"/>
      <x:c r="AK12" s="32"/>
      <x:c r="AL12" s="32"/>
      <x:c r="AM12" s="32"/>
      <x:c r="AN12" s="32"/>
      <x:c r="AO12" s="32"/>
      <x:c r="AP12" s="32"/>
      <x:c r="AQ12" s="32"/>
      <x:c r="AR12" s="32"/>
      <x:c r="AS12" s="32"/>
      <x:c r="AT12" s="32"/>
      <x:c r="AU12" s="32"/>
      <x:c r="AV12" s="32"/>
      <x:c r="AW12" s="32"/>
      <x:c r="AX12" s="32"/>
      <x:c r="AY12" s="32"/>
      <x:c r="AZ12" s="32"/>
      <x:c r="BA12" s="32"/>
      <x:c r="BB12" s="32"/>
      <x:c r="BC12" s="32"/>
      <x:c r="BD12" s="32"/>
      <x:c r="BE12" s="32"/>
      <x:c r="BF12" s="32"/>
      <x:c r="BG12" s="32"/>
      <x:c r="BH12" s="32"/>
      <x:c r="BI12" s="32"/>
      <x:c r="BJ12" s="32"/>
      <x:c r="BK12" s="32"/>
      <x:c r="BL12" s="32"/>
      <x:c r="BM12" s="32"/>
      <x:c r="BN12" s="32"/>
      <x:c r="BO12" s="32"/>
      <x:c r="BP12" s="32"/>
      <x:c r="BQ12" s="30"/>
    </x:row>
    <x:row r="13" ht="42" customHeight="1">
      <x:c r="A13" s="621" t="s">
        <x:v>90</x:v>
      </x:c>
      <x:c r="B13" s="635" t="s">
        <x:v>23</x:v>
      </x:c>
      <x:c r="C13" s="621" t="s">
        <x:v>91</x:v>
      </x:c>
      <x:c r="D13" s="621" t="s">
        <x:v>92</x:v>
      </x:c>
      <x:c r="E13" s="621" t="s">
        <x:v>93</x:v>
      </x:c>
      <x:c r="F13" s="623">
        <x:v>6</x:v>
      </x:c>
      <x:c r="G13" s="624">
        <x:v>4</x:v>
      </x:c>
      <x:c r="H13" s="624">
        <x:v>4</x:v>
      </x:c>
      <x:c r="I13" s="625">
        <x:f t="shared" si="0"/>
        <x:v>46223</x:v>
      </x:c>
      <x:c r="J13" s="625">
        <x:f t="shared" si="1"/>
        <x:v>46229</x:v>
      </x:c>
      <x:c r="K13" s="625" t="str">
        <x:f t="shared" si="2"/>
        <x:v>Complete</x:v>
      </x:c>
      <x:c r="L13" s="626" t="n">
        <x:v>1</x:v>
      </x:c>
      <x:c r="M13" s="627" t="n">
        <x:f>SUMIF('Work Block Log'!$E$5:$E$200,A13,'Work Block Log'!$F$5:$F$200)</x:f>
        <x:v>0.32</x:v>
      </x:c>
      <x:c r="N13" s="627" t="n">
        <x:f t="shared" si="3">MAX(F13*(1-L13),0)</x:f>
        <x:v>0</x:v>
      </x:c>
      <x:c r="O13" s="627" t="n">
        <x:f t="shared" si="4">M13-F13</x:f>
        <x:v>-5.68</x:v>
      </x:c>
      <x:c r="P13" s="624" t="str">
        <x:f t="shared" si="5"/>
        <x:v>PR #10 merged in 27a8e59; feature commit bd34af8; 17 focused weighted-scoring tests and 77 total tests passed.</x:v>
      </x:c>
      <x:c r="Q13" s="621" t="str">
        <x:v>Begin WBS 2.1: create feature/evaluate-cli and integrate the existing candidate loader, gate engine, deterministic checks, and scoring result into one CLI execution path.</x:v>
      </x:c>
      <x:c r="R13" s="641" t="str">
        <x:v>Completed 2026-07-05. Duration calculated from 1:29 PM–1:48 PM (19 minutes) and rounded to 0.32 h. Gate failures force score 0.0; otherwise the score is the sum of passed check weights and passes at the inclusive evaluator threshold. Structured failure evidence is retained.</x:v>
      </x:c>
      <x:c r="S13" s="173"/>
      <x:c r="T13" s="174"/>
      <x:c r="U13" s="173"/>
      <x:c r="V13" s="173" t="s">
        <x:v>21</x:v>
      </x:c>
      <x:c r="W13" s="173"/>
      <x:c r="X13" s="173"/>
      <x:c r="Y13" s="173"/>
      <x:c r="Z13" s="173"/>
      <x:c r="AA13" s="28"/>
      <x:c r="AB13" s="28"/>
      <x:c r="AC13" s="28"/>
      <x:c r="AD13" s="28"/>
      <x:c r="AE13" s="28"/>
      <x:c r="AF13" s="28"/>
      <x:c r="AG13" s="28"/>
      <x:c r="AH13" s="28"/>
      <x:c r="AI13" s="28"/>
      <x:c r="AJ13" s="28"/>
      <x:c r="AK13" s="28"/>
      <x:c r="AL13" s="28"/>
      <x:c r="AM13" s="28"/>
      <x:c r="AN13" s="28"/>
      <x:c r="AO13" s="28"/>
      <x:c r="AP13" s="28"/>
      <x:c r="AQ13" s="28"/>
      <x:c r="AR13" s="28"/>
      <x:c r="AS13" s="28"/>
      <x:c r="AT13" s="28"/>
      <x:c r="AU13" s="28"/>
      <x:c r="AV13" s="28"/>
      <x:c r="AW13" s="28"/>
      <x:c r="AX13" s="28"/>
      <x:c r="AY13" s="28"/>
      <x:c r="AZ13" s="28"/>
      <x:c r="BA13" s="28"/>
      <x:c r="BB13" s="28"/>
      <x:c r="BC13" s="28"/>
      <x:c r="BD13" s="28"/>
      <x:c r="BE13" s="28"/>
      <x:c r="BF13" s="28"/>
      <x:c r="BG13" s="28"/>
      <x:c r="BH13" s="28"/>
      <x:c r="BI13" s="28"/>
      <x:c r="BJ13" s="28"/>
      <x:c r="BK13" s="28"/>
      <x:c r="BL13" s="28"/>
      <x:c r="BM13" s="28"/>
      <x:c r="BN13" s="28"/>
      <x:c r="BO13" s="28"/>
      <x:c r="BP13" s="28"/>
      <x:c r="BQ13" s="29"/>
    </x:row>
    <x:row r="14" ht="42" customHeight="1">
      <x:c r="A14" s="613" t="s">
        <x:v>94</x:v>
      </x:c>
      <x:c r="B14" s="636" t="s">
        <x:v>27</x:v>
      </x:c>
      <x:c r="C14" s="613" t="s">
        <x:v>95</x:v>
      </x:c>
      <x:c r="D14" s="613" t="s">
        <x:v>96</x:v>
      </x:c>
      <x:c r="E14" s="613" t="s">
        <x:v>90</x:v>
      </x:c>
      <x:c r="F14" s="615">
        <x:v>4</x:v>
      </x:c>
      <x:c r="G14" s="616">
        <x:v>5</x:v>
      </x:c>
      <x:c r="H14" s="616">
        <x:v>5</x:v>
      </x:c>
      <x:c r="I14" s="617">
        <x:f t="shared" si="0"/>
        <x:v>46230</x:v>
      </x:c>
      <x:c r="J14" s="617">
        <x:f t="shared" si="1"/>
        <x:v>46236</x:v>
      </x:c>
      <x:c r="K14" s="617" t="str">
        <x:f t="shared" si="2"/>
        <x:v>Complete</x:v>
      </x:c>
      <x:c r="L14" s="618" t="n">
        <x:v>1</x:v>
      </x:c>
      <x:c r="M14" s="619" t="n">
        <x:f>SUMIF('Work Block Log'!$E$5:$E$200,A14,'Work Block Log'!$F$5:$F$200)</x:f>
        <x:v>0.7</x:v>
      </x:c>
      <x:c r="N14" s="619" t="n">
        <x:f t="shared" si="3">MAX(F14*(1-L14),0)</x:f>
        <x:v>0</x:v>
      </x:c>
      <x:c r="O14" s="619" t="n">
        <x:f t="shared" si="4">M14-F14</x:f>
        <x:v>-3.3</x:v>
      </x:c>
      <x:c r="P14" s="616" t="str">
        <x:f t="shared" si="5"/>
        <x:v>0ee3c48 feature commit; PR merged; post-merge main verification confirmed; 5 focused CLI tests and 82 total tests passed.</x:v>
      </x:c>
      <x:c r="Q14" s="613" t="str">
        <x:v>Begin WBS 2.2: define the runtime-agnostic structured result schema and model, including versions, artifact references, gate/check evidence, expected/actual values, score, pass/fail, failure modes, and evidence-location extension points.</x:v>
      </x:c>
      <x:c r="R14" s="641" t="str">
        <x:v>Completed 2026-07-05. Logged 0.70 h for the 1:48 PM–2:29 PM block (41 minutes rounded). The CLI now orchestrates case loading, mandatory gates, candidate validation, deterministic checks, and weighted scoring. Exit codes are stable: 0 pass, 1 evaluated candidate failure, 2 configuration error, and 3 unexpected internal error. Result persistence remains deferred.</x:v>
      </x:c>
      <x:c r="S14" s="173"/>
      <x:c r="T14" s="174"/>
      <x:c r="U14" s="174"/>
      <x:c r="V14" s="173"/>
      <x:c r="W14" s="173" t="s">
        <x:v>21</x:v>
      </x:c>
      <x:c r="X14" s="173"/>
      <x:c r="Y14" s="173"/>
      <x:c r="Z14" s="173"/>
      <x:c r="AA14" s="28"/>
      <x:c r="AB14" s="28"/>
      <x:c r="AC14" s="28"/>
      <x:c r="AD14" s="28"/>
      <x:c r="AE14" s="28"/>
      <x:c r="AF14" s="28"/>
      <x:c r="AG14" s="28"/>
      <x:c r="AH14" s="28"/>
      <x:c r="AI14" s="28"/>
      <x:c r="AJ14" s="28"/>
      <x:c r="AK14" s="28"/>
      <x:c r="AL14" s="28"/>
      <x:c r="AM14" s="28"/>
      <x:c r="AN14" s="28"/>
      <x:c r="AO14" s="28"/>
      <x:c r="AP14" s="28"/>
      <x:c r="AQ14" s="28"/>
      <x:c r="AR14" s="28"/>
      <x:c r="AS14" s="28"/>
      <x:c r="AT14" s="28"/>
      <x:c r="AU14" s="28"/>
      <x:c r="AV14" s="28"/>
      <x:c r="AW14" s="28"/>
      <x:c r="AX14" s="28"/>
      <x:c r="AY14" s="28"/>
      <x:c r="AZ14" s="28"/>
      <x:c r="BA14" s="28"/>
      <x:c r="BB14" s="28"/>
      <x:c r="BC14" s="28"/>
      <x:c r="BD14" s="28"/>
      <x:c r="BE14" s="28"/>
      <x:c r="BF14" s="28"/>
      <x:c r="BG14" s="28"/>
      <x:c r="BH14" s="28"/>
      <x:c r="BI14" s="28"/>
      <x:c r="BJ14" s="28"/>
      <x:c r="BK14" s="28"/>
      <x:c r="BL14" s="28"/>
      <x:c r="BM14" s="28"/>
      <x:c r="BN14" s="28"/>
      <x:c r="BO14" s="28"/>
      <x:c r="BP14" s="28"/>
      <x:c r="BQ14" s="29"/>
    </x:row>
    <x:row r="15" ht="62.099998474121094" customHeight="1">
      <x:c r="A15" s="621" t="s">
        <x:v>97</x:v>
      </x:c>
      <x:c r="B15" s="636" t="s">
        <x:v>27</x:v>
      </x:c>
      <x:c r="C15" s="621" t="s">
        <x:v>98</x:v>
      </x:c>
      <x:c r="D15" s="621" t="s">
        <x:v>99</x:v>
      </x:c>
      <x:c r="E15" s="621" t="s">
        <x:v>90</x:v>
      </x:c>
      <x:c r="F15" s="623">
        <x:v>4</x:v>
      </x:c>
      <x:c r="G15" s="624">
        <x:v>5</x:v>
      </x:c>
      <x:c r="H15" s="624">
        <x:v>5</x:v>
      </x:c>
      <x:c r="I15" s="625">
        <x:f t="shared" si="0"/>
        <x:v>46230</x:v>
      </x:c>
      <x:c r="J15" s="625">
        <x:f t="shared" si="1"/>
        <x:v>46236</x:v>
      </x:c>
      <x:c r="K15" s="625" t="str">
        <x:f t="shared" si="2"/>
        <x:v>Complete</x:v>
      </x:c>
      <x:c r="L15" s="626" t="n">
        <x:v>1</x:v>
      </x:c>
      <x:c r="M15" s="627" t="n">
        <x:f>SUMIF('Work Block Log'!$E$5:$E$200,A15,'Work Block Log'!$F$5:$F$200)</x:f>
        <x:v>0.3</x:v>
      </x:c>
      <x:c r="N15" s="627" t="n">
        <x:f t="shared" si="3">MAX(F15*(1-L15),0)</x:f>
        <x:v>0</x:v>
      </x:c>
      <x:c r="O15" s="627" t="n">
        <x:f t="shared" si="4">M15-F15</x:f>
        <x:v>-3.7</x:v>
      </x:c>
      <x:c r="P15" s="624" t="str">
        <x:f t="shared" si="5"/>
        <x:v>b6d6c21 feature commit; PR #12 merged in b56f217; result.schema.json; results.py; 9 focused result-model tests and 91 total tests passed.</x:v>
      </x:c>
      <x:c r="Q15" s="621" t="str">
        <x:v>Begin WBS 2.3: create feature/result-persistence and implement immutable timestamped local result records without overwriting prior evidence.</x:v>
      </x:c>
      <x:c r="R15" s="641" t="str">
        <x:v>Completed 2026-07-05. Logged 0.30 h for the 2:29 PM–2:47 PM block (18 minutes rounded). The runtime-agnostic result contract preserves component versions, candidate/reference artifact references, aggregate scoring, complete gate/check evidence, typed expected/actual values, failure modes, and optional evidence-location/source-reference extension points. Persistence remains deferred to WBS 2.3.</x:v>
      </x:c>
      <x:c r="S15" s="173"/>
      <x:c r="T15" s="173"/>
      <x:c r="U15" s="174"/>
      <x:c r="V15" s="174"/>
      <x:c r="W15" s="173" t="s">
        <x:v>21</x:v>
      </x:c>
      <x:c r="X15" s="173"/>
      <x:c r="Y15" s="173"/>
      <x:c r="Z15" s="173"/>
      <x:c r="AA15" s="28"/>
      <x:c r="AB15" s="28"/>
      <x:c r="AC15" s="28"/>
      <x:c r="AD15" s="28"/>
      <x:c r="AE15" s="28"/>
      <x:c r="AF15" s="28"/>
      <x:c r="AG15" s="28"/>
      <x:c r="AH15" s="28"/>
      <x:c r="AI15" s="28"/>
      <x:c r="AJ15" s="28"/>
      <x:c r="AK15" s="28"/>
      <x:c r="AL15" s="28"/>
      <x:c r="AM15" s="28"/>
      <x:c r="AN15" s="28"/>
      <x:c r="AO15" s="28"/>
      <x:c r="AP15" s="28"/>
      <x:c r="AQ15" s="28"/>
      <x:c r="AR15" s="28"/>
      <x:c r="AS15" s="28"/>
      <x:c r="AT15" s="28"/>
      <x:c r="AU15" s="28"/>
      <x:c r="AV15" s="28"/>
      <x:c r="AW15" s="28"/>
      <x:c r="AX15" s="28"/>
      <x:c r="AY15" s="28"/>
      <x:c r="AZ15" s="28"/>
      <x:c r="BA15" s="28"/>
      <x:c r="BB15" s="28"/>
      <x:c r="BC15" s="28"/>
      <x:c r="BD15" s="28"/>
      <x:c r="BE15" s="28"/>
      <x:c r="BF15" s="28"/>
      <x:c r="BG15" s="28"/>
      <x:c r="BH15" s="28"/>
      <x:c r="BI15" s="28"/>
      <x:c r="BJ15" s="28"/>
      <x:c r="BK15" s="28"/>
      <x:c r="BL15" s="28"/>
      <x:c r="BM15" s="28"/>
      <x:c r="BN15" s="28"/>
      <x:c r="BO15" s="28"/>
      <x:c r="BP15" s="28"/>
      <x:c r="BQ15" s="29"/>
    </x:row>
    <x:row r="16" ht="42" customHeight="1">
      <x:c r="A16" s="613" t="s">
        <x:v>100</x:v>
      </x:c>
      <x:c r="B16" s="636" t="s">
        <x:v>27</x:v>
      </x:c>
      <x:c r="C16" s="613" t="s">
        <x:v>101</x:v>
      </x:c>
      <x:c r="D16" s="613" t="s">
        <x:v>102</x:v>
      </x:c>
      <x:c r="E16" s="613" t="s">
        <x:v>97</x:v>
      </x:c>
      <x:c r="F16" s="615">
        <x:v>3</x:v>
      </x:c>
      <x:c r="G16" s="616">
        <x:v>5</x:v>
      </x:c>
      <x:c r="H16" s="616">
        <x:v>5</x:v>
      </x:c>
      <x:c r="I16" s="617">
        <x:f t="shared" si="0"/>
        <x:v>46230</x:v>
      </x:c>
      <x:c r="J16" s="617">
        <x:f t="shared" si="1"/>
        <x:v>46236</x:v>
      </x:c>
      <x:c r="K16" s="617" t="str">
        <x:f t="shared" si="2"/>
        <x:v>Complete</x:v>
      </x:c>
      <x:c r="L16" s="618" t="n">
        <x:v>1</x:v>
      </x:c>
      <x:c r="M16" s="619" t="n">
        <x:f>SUMIF('Work Block Log'!$E$5:$E$200,A16,'Work Block Log'!$F$5:$F$200)</x:f>
        <x:v>0.38</x:v>
      </x:c>
      <x:c r="N16" s="619" t="n">
        <x:f t="shared" si="3">MAX(F16*(1-L16),0)</x:f>
        <x:v>0</x:v>
      </x:c>
      <x:c r="O16" s="619" t="n">
        <x:f t="shared" si="4">M16-F16</x:f>
        <x:v>-2.62</x:v>
      </x:c>
      <x:c r="P16" s="616" t="str">
        <x:f t="shared" si="5"/>
        <x:v>e03a2e8 feature commit; PR #13 merged in e56fc92; persistence.py; 5 persistence tests, 5 CLI integration tests, 96 total tests, and installed CLI smoke test.</x:v>
      </x:c>
      <x:c r="Q16" s="613" t="str">
        <x:v>Begin WBS 2.4: create feature/example-candidates and add one passing plus two representative failing MECH-002 candidate artifacts that run end-to-end.</x:v>
      </x:c>
      <x:c r="R16" s="641" t="str">
        <x:v>Completed 2026-07-05. Logged 0.38 h for the 2:47 PM–3:10 PM block (23 minutes rounded). Each completed evaluation now writes an immutable, schema-valid, BOM-free UTF-8 result.json under runs/&lt;run_id&gt;/ with UTC microsecond run IDs, random suffixes, exclusive directory creation, collision protection, and Git exclusion. Pass and evaluated-fail outcomes persist; configuration and internal failures do not produce misleading records.</x:v>
      </x:c>
      <x:c r="S16" s="173"/>
      <x:c r="T16" s="173"/>
      <x:c r="U16" s="173"/>
      <x:c r="V16" s="174"/>
      <x:c r="W16" s="174" t="s">
        <x:v>21</x:v>
      </x:c>
      <x:c r="X16" s="174"/>
      <x:c r="Y16" s="173"/>
      <x:c r="Z16" s="173"/>
      <x:c r="AA16" s="28"/>
      <x:c r="AB16" s="28"/>
      <x:c r="AC16" s="28"/>
      <x:c r="AD16" s="28"/>
      <x:c r="AE16" s="28"/>
      <x:c r="AF16" s="28"/>
      <x:c r="AG16" s="28"/>
      <x:c r="AH16" s="28"/>
      <x:c r="AI16" s="28"/>
      <x:c r="AJ16" s="28"/>
      <x:c r="AK16" s="28"/>
      <x:c r="AL16" s="28"/>
      <x:c r="AM16" s="28"/>
      <x:c r="AN16" s="28"/>
      <x:c r="AO16" s="28"/>
      <x:c r="AP16" s="28"/>
      <x:c r="AQ16" s="28"/>
      <x:c r="AR16" s="28"/>
      <x:c r="AS16" s="28"/>
      <x:c r="AT16" s="28"/>
      <x:c r="AU16" s="28"/>
      <x:c r="AV16" s="28"/>
      <x:c r="AW16" s="28"/>
      <x:c r="AX16" s="28"/>
      <x:c r="AY16" s="28"/>
      <x:c r="AZ16" s="28"/>
      <x:c r="BA16" s="28"/>
      <x:c r="BB16" s="28"/>
      <x:c r="BC16" s="28"/>
      <x:c r="BD16" s="28"/>
      <x:c r="BE16" s="28"/>
      <x:c r="BF16" s="28"/>
      <x:c r="BG16" s="28"/>
      <x:c r="BH16" s="28"/>
      <x:c r="BI16" s="28"/>
      <x:c r="BJ16" s="28"/>
      <x:c r="BK16" s="28"/>
      <x:c r="BL16" s="28"/>
      <x:c r="BM16" s="28"/>
      <x:c r="BN16" s="28"/>
      <x:c r="BO16" s="28"/>
      <x:c r="BP16" s="28"/>
      <x:c r="BQ16" s="29"/>
    </x:row>
    <x:row r="17" ht="42" customHeight="1">
      <x:c r="A17" s="621" t="s">
        <x:v>103</x:v>
      </x:c>
      <x:c r="B17" s="636" t="s">
        <x:v>27</x:v>
      </x:c>
      <x:c r="C17" s="621" t="s">
        <x:v>104</x:v>
      </x:c>
      <x:c r="D17" s="621" t="s">
        <x:v>105</x:v>
      </x:c>
      <x:c r="E17" s="621" t="s">
        <x:v>106</x:v>
      </x:c>
      <x:c r="F17" s="623">
        <x:v>3</x:v>
      </x:c>
      <x:c r="G17" s="624">
        <x:v>5</x:v>
      </x:c>
      <x:c r="H17" s="624">
        <x:v>5</x:v>
      </x:c>
      <x:c r="I17" s="625">
        <x:f t="shared" si="0"/>
        <x:v>46230</x:v>
      </x:c>
      <x:c r="J17" s="625">
        <x:f t="shared" si="1"/>
        <x:v>46236</x:v>
      </x:c>
      <x:c r="K17" s="625" t="str">
        <x:f t="shared" si="2"/>
        <x:v>Complete</x:v>
      </x:c>
      <x:c r="L17" s="626" t="n">
        <x:v>1</x:v>
      </x:c>
      <x:c r="M17" s="627" t="n">
        <x:f>SUMIF('Work Block Log'!$E$5:$E$200,A17,'Work Block Log'!$F$5:$F$200)</x:f>
        <x:v>0.2</x:v>
      </x:c>
      <x:c r="N17" s="627" t="n">
        <x:f t="shared" si="3">MAX(F17*(1-L17),0)</x:f>
        <x:v>0</x:v>
      </x:c>
      <x:c r="O17" s="627" t="n">
        <x:f t="shared" si="4">M17-F17</x:f>
        <x:v>-2.8</x:v>
      </x:c>
      <x:c r="P17" s="624" t="str">
        <x:f t="shared" si="5"/>
        <x:v>271224e feature commit; PR #14 merged in 7e38b3f; valid.json, unit-error.json, incomplete.json; tests/test_example_candidates.py; 3 focused tests and 99 total tests passed; installed CLI smoke test verified exit codes, scores, and failure evidence.</x:v>
      </x:c>
      <x:c r="Q17" s="621" t="str">
        <x:v>Begin WBS 3.1: create feature/seed-case-verification and independently verify MECH-001 through MECH-003 calculations, references, tolerances, and intended failure modes.</x:v>
      </x:c>
      <x:c r="R17" s="641" t="str">
        <x:v>Completed 2026-07-05. Logged 0.20 h for the 3:10 PM–3:22 PM block (12 minutes). Versioned synthetic MECH-002 examples now demonstrate pass (score 1.00), deterministic unit error (score 0.75; UNIT_ERROR), and incomplete output (score 0.00; INCOMPLETE_DELIVERABLE) through the installed CLI and immutable result path. Generated run evidence remains excluded from Git. No blocker.</x:v>
      </x:c>
      <x:c r="S17" s="173"/>
      <x:c r="T17" s="173"/>
      <x:c r="U17" s="173"/>
      <x:c r="V17" s="173"/>
      <x:c r="W17" s="173" t="s">
        <x:v>21</x:v>
      </x:c>
      <x:c r="X17" s="174"/>
      <x:c r="Y17" s="174"/>
      <x:c r="Z17" s="173"/>
      <x:c r="AA17" s="28"/>
      <x:c r="AB17" s="28"/>
      <x:c r="AC17" s="28"/>
      <x:c r="AD17" s="28"/>
      <x:c r="AE17" s="28"/>
      <x:c r="AF17" s="28"/>
      <x:c r="AG17" s="28"/>
      <x:c r="AH17" s="28"/>
      <x:c r="AI17" s="28"/>
      <x:c r="AJ17" s="28"/>
      <x:c r="AK17" s="28"/>
      <x:c r="AL17" s="28"/>
      <x:c r="AM17" s="28"/>
      <x:c r="AN17" s="28"/>
      <x:c r="AO17" s="28"/>
      <x:c r="AP17" s="28"/>
      <x:c r="AQ17" s="28"/>
      <x:c r="AR17" s="28"/>
      <x:c r="AS17" s="28"/>
      <x:c r="AT17" s="28"/>
      <x:c r="AU17" s="28"/>
      <x:c r="AV17" s="28"/>
      <x:c r="AW17" s="28"/>
      <x:c r="AX17" s="28"/>
      <x:c r="AY17" s="28"/>
      <x:c r="AZ17" s="28"/>
      <x:c r="BA17" s="28"/>
      <x:c r="BB17" s="28"/>
      <x:c r="BC17" s="28"/>
      <x:c r="BD17" s="28"/>
      <x:c r="BE17" s="28"/>
      <x:c r="BF17" s="28"/>
      <x:c r="BG17" s="28"/>
      <x:c r="BH17" s="28"/>
      <x:c r="BI17" s="28"/>
      <x:c r="BJ17" s="28"/>
      <x:c r="BK17" s="28"/>
      <x:c r="BL17" s="28"/>
      <x:c r="BM17" s="28"/>
      <x:c r="BN17" s="28"/>
      <x:c r="BO17" s="28"/>
      <x:c r="BP17" s="28"/>
      <x:c r="BQ17" s="29"/>
    </x:row>
    <x:row r="18" ht="42" customHeight="1">
      <x:c r="A18" s="613" t="s">
        <x:v>107</x:v>
      </x:c>
      <x:c r="B18" s="637" t="s">
        <x:v>31</x:v>
      </x:c>
      <x:c r="C18" s="613" t="s">
        <x:v>108</x:v>
      </x:c>
      <x:c r="D18" s="613" t="s">
        <x:v>109</x:v>
      </x:c>
      <x:c r="E18" s="613" t="s">
        <x:v>73</x:v>
      </x:c>
      <x:c r="F18" s="615">
        <x:v>4</x:v>
      </x:c>
      <x:c r="G18" s="616">
        <x:v>2</x:v>
      </x:c>
      <x:c r="H18" s="616">
        <x:v>3</x:v>
      </x:c>
      <x:c r="I18" s="617">
        <x:f t="shared" si="0"/>
        <x:v>46209</x:v>
      </x:c>
      <x:c r="J18" s="617">
        <x:f t="shared" si="1"/>
        <x:v>46222</x:v>
      </x:c>
      <x:c r="K18" s="617" t="str">
        <x:f t="shared" si="2"/>
        <x:v>Complete</x:v>
      </x:c>
      <x:c r="L18" s="618" t="n">
        <x:v>1</x:v>
      </x:c>
      <x:c r="M18" s="619" t="n">
        <x:f>SUMIF('Work Block Log'!$E$5:$E$200,A18,'Work Block Log'!$F$5:$F$200)</x:f>
        <x:v>0.92</x:v>
      </x:c>
      <x:c r="N18" s="619" t="n">
        <x:f t="shared" si="3"/>
        <x:v>0</x:v>
      </x:c>
      <x:c r="O18" s="619" t="n">
        <x:f t="shared" si="4"/>
        <x:v>-3.08</x:v>
      </x:c>
      <x:c r="P18" s="616" t="str">
        <x:f t="shared" si="5"/>
        <x:v>e977b48 feature commit; PR #15 merged in 318d5ce; docs/seed-case-verification.md; tests/test_seed_case_verification.py; 4 focused verification tests; 103 total tests; 3 cases validate.</x:v>
      </x:c>
      <x:c r="Q18" s="613" t="str">
        <x:v>Begin WBS 3.2 on feature/additional-cases; select two economically meaningful mechanical workflows with distinct failure families, then define deterministic inputs, references, evaluator checks, and acceptance evidence.</x:v>
      </x:c>
      <x:c r="R18" s="641" t="str">
        <x:v>Completed 2026-07-05. Independently verified MECH-001 clearance/fit calculations, MECH-002 shaft-power calculations and tolerance rationale, and MECH-003 revision-audit findings. Corrected corrupted source headings/formulas and changed release_disposition failure taxonomy from WRONG_REVISION to UNAUTHORIZED_RELEASE. Added a versioned verification record and four regression tests. Encoding audit, repository validation, and 103-test suite passed. Logged 0.92 h for 3:22 PM–4:17 PM. No blocker.</x:v>
      </x:c>
      <x:c r="S18" s="173"/>
      <x:c r="T18" s="173" t="s">
        <x:v>21</x:v>
      </x:c>
      <x:c r="U18" s="173" t="s">
        <x:v>21</x:v>
      </x:c>
      <x:c r="V18" s="173"/>
      <x:c r="W18" s="173"/>
      <x:c r="X18" s="173"/>
      <x:c r="Y18" s="174"/>
      <x:c r="Z18" s="173"/>
      <x:c r="AA18" s="28"/>
      <x:c r="AB18" s="28"/>
      <x:c r="AC18" s="28"/>
      <x:c r="AD18" s="28"/>
      <x:c r="AE18" s="28"/>
      <x:c r="AF18" s="28"/>
      <x:c r="AG18" s="28"/>
      <x:c r="AH18" s="28"/>
      <x:c r="AI18" s="28"/>
      <x:c r="AJ18" s="28"/>
      <x:c r="AK18" s="28"/>
      <x:c r="AL18" s="28"/>
      <x:c r="AM18" s="28"/>
      <x:c r="AN18" s="28"/>
      <x:c r="AO18" s="28"/>
      <x:c r="AP18" s="28"/>
      <x:c r="AQ18" s="28"/>
      <x:c r="AR18" s="28"/>
      <x:c r="AS18" s="28"/>
      <x:c r="AT18" s="28"/>
      <x:c r="AU18" s="28"/>
      <x:c r="AV18" s="28"/>
      <x:c r="AW18" s="28"/>
      <x:c r="AX18" s="28"/>
      <x:c r="AY18" s="28"/>
      <x:c r="AZ18" s="28"/>
      <x:c r="BA18" s="28"/>
      <x:c r="BB18" s="28"/>
      <x:c r="BC18" s="28"/>
      <x:c r="BD18" s="28"/>
      <x:c r="BE18" s="28"/>
      <x:c r="BF18" s="28"/>
      <x:c r="BG18" s="28"/>
      <x:c r="BH18" s="28"/>
      <x:c r="BI18" s="28"/>
      <x:c r="BJ18" s="28"/>
      <x:c r="BK18" s="28"/>
      <x:c r="BL18" s="28"/>
      <x:c r="BM18" s="28"/>
      <x:c r="BN18" s="28"/>
      <x:c r="BO18" s="28"/>
      <x:c r="BP18" s="28"/>
      <x:c r="BQ18" s="29"/>
    </x:row>
    <x:row r="19" ht="42" customHeight="1">
      <x:c r="A19" s="621" t="s">
        <x:v>110</x:v>
      </x:c>
      <x:c r="B19" s="637" t="s">
        <x:v>31</x:v>
      </x:c>
      <x:c r="C19" s="621" t="s">
        <x:v>111</x:v>
      </x:c>
      <x:c r="D19" s="621" t="s">
        <x:v>112</x:v>
      </x:c>
      <x:c r="E19" s="621" t="s">
        <x:v>113</x:v>
      </x:c>
      <x:c r="F19" s="623">
        <x:v>5</x:v>
      </x:c>
      <x:c r="G19" s="624">
        <x:v>6</x:v>
      </x:c>
      <x:c r="H19" s="624">
        <x:v>6</x:v>
      </x:c>
      <x:c r="I19" s="625">
        <x:f t="shared" si="0"/>
        <x:v>46237</x:v>
      </x:c>
      <x:c r="J19" s="625">
        <x:f t="shared" si="1"/>
        <x:v>46243</x:v>
      </x:c>
      <x:c r="K19" s="625" t="str">
        <x:f t="shared" si="2"/>
        <x:v>Complete</x:v>
      </x:c>
      <x:c r="L19" s="626" t="n">
        <x:v>1</x:v>
      </x:c>
      <x:c r="M19" s="627" t="n">
        <x:f>SUMIF('Work Block Log'!$E$5:$E$200,A19,'Work Block Log'!$F$5:$F$200)</x:f>
        <x:v>0.63</x:v>
      </x:c>
      <x:c r="N19" s="627" t="n">
        <x:f t="shared" si="3">MAX(F19*(1-L19),0)</x:f>
        <x:v>0</x:v>
      </x:c>
      <x:c r="O19" s="627" t="n">
        <x:f t="shared" si="4">M19-F19</x:f>
        <x:v>-4.37</x:v>
      </x:c>
      <x:c r="P19" s="624" t="str">
        <x:f t="shared" si="5"/>
        <x:v>634ef11 feature commit; PR #16 merged in 50df7a9; MECH-004 and MECH-005 case/task/evaluator packages; four candidate fixtures; docs/additional-case-verification.md; focused end-to-end tests; 111 total tests; 5 cases validate.</x:v>
      </x:c>
      <x:c r="Q19" s="621" t="str">
        <x:v>Begin WBS 3.3 on feature/held-out-split; assign and freeze at least one held-out case, record the review checklist and split rationale, and prohibit tuning against held-out artifacts.</x:v>
      </x:c>
      <x:c r="R19" s="641" t="str">
        <x:v>Completed 2026-07-05. Added MECH-004 drawing-parts-list versus procurement-BOM reconciliation and MECH-005 unconstrained thermal-expansion calculation. Both cases include independently reconstructed references, existing deterministic evaluator checks, valid and representative failing candidates, engineering verification/tolerance rationale, and end-to-end regression evidence. Logged 0.63 h for 4:17 PM–4:55 PM. Five cases validate and 111 tests pass. No blocker.</x:v>
      </x:c>
      <x:c r="S19" s="173"/>
      <x:c r="T19" s="173"/>
      <x:c r="U19" s="173"/>
      <x:c r="V19" s="173"/>
      <x:c r="W19" s="173"/>
      <x:c r="X19" s="173" t="s">
        <x:v>21</x:v>
      </x:c>
      <x:c r="Y19" s="173"/>
      <x:c r="Z19" s="174"/>
      <x:c r="AA19" s="28"/>
      <x:c r="AB19" s="28"/>
      <x:c r="AC19" s="28"/>
      <x:c r="AD19" s="28"/>
      <x:c r="AE19" s="28"/>
      <x:c r="AF19" s="28"/>
      <x:c r="AG19" s="28"/>
      <x:c r="AH19" s="28"/>
      <x:c r="AI19" s="28"/>
      <x:c r="AJ19" s="28"/>
      <x:c r="AK19" s="28"/>
      <x:c r="AL19" s="28"/>
      <x:c r="AM19" s="28"/>
      <x:c r="AN19" s="28"/>
      <x:c r="AO19" s="28"/>
      <x:c r="AP19" s="28"/>
      <x:c r="AQ19" s="28"/>
      <x:c r="AR19" s="28"/>
      <x:c r="AS19" s="28"/>
      <x:c r="AT19" s="28"/>
      <x:c r="AU19" s="28"/>
      <x:c r="AV19" s="28"/>
      <x:c r="AW19" s="28"/>
      <x:c r="AX19" s="28"/>
      <x:c r="AY19" s="28"/>
      <x:c r="AZ19" s="28"/>
      <x:c r="BA19" s="28"/>
      <x:c r="BB19" s="28"/>
      <x:c r="BC19" s="28"/>
      <x:c r="BD19" s="28"/>
      <x:c r="BE19" s="28"/>
      <x:c r="BF19" s="28"/>
      <x:c r="BG19" s="28"/>
      <x:c r="BH19" s="28"/>
      <x:c r="BI19" s="28"/>
      <x:c r="BJ19" s="28"/>
      <x:c r="BK19" s="28"/>
      <x:c r="BL19" s="28"/>
      <x:c r="BM19" s="28"/>
      <x:c r="BN19" s="28"/>
      <x:c r="BO19" s="28"/>
      <x:c r="BP19" s="28"/>
      <x:c r="BQ19" s="29"/>
    </x:row>
    <x:row r="20" ht="42" customHeight="1">
      <x:c r="A20" s="613" t="s">
        <x:v>114</x:v>
      </x:c>
      <x:c r="B20" s="637" t="s">
        <x:v>31</x:v>
      </x:c>
      <x:c r="C20" s="613" t="s">
        <x:v>115</x:v>
      </x:c>
      <x:c r="D20" s="613" t="s">
        <x:v>116</x:v>
      </x:c>
      <x:c r="E20" s="613" t="s">
        <x:v>110</x:v>
      </x:c>
      <x:c r="F20" s="615">
        <x:v>2</x:v>
      </x:c>
      <x:c r="G20" s="616">
        <x:v>6</x:v>
      </x:c>
      <x:c r="H20" s="616">
        <x:v>6</x:v>
      </x:c>
      <x:c r="I20" s="617">
        <x:f t="shared" si="0"/>
        <x:v>46237</x:v>
      </x:c>
      <x:c r="J20" s="617">
        <x:f t="shared" si="1"/>
        <x:v>46243</x:v>
      </x:c>
      <x:c r="K20" s="617" t="str">
        <x:f t="shared" si="2"/>
        <x:v>Complete</x:v>
      </x:c>
      <x:c r="L20" s="618" t="n">
        <x:v>1</x:v>
      </x:c>
      <x:c r="M20" s="619" t="n">
        <x:f>SUMIF('Work Block Log'!$E$5:$E$200,A20,'Work Block Log'!$F$5:$F$200)</x:f>
        <x:v>0.2</x:v>
      </x:c>
      <x:c r="N20" s="619" t="n">
        <x:f t="shared" si="3">MAX(F20*(1-L20),0)</x:f>
        <x:v>0</x:v>
      </x:c>
      <x:c r="O20" s="619" t="n">
        <x:f t="shared" si="4">M20-F20</x:f>
        <x:v>-1.8</x:v>
      </x:c>
      <x:c r="P20" s="616" t="str">
        <x:f t="shared" si="5"/>
        <x:v>ab63155 feature commit; PR #17 merged in 825d7ff; benchmarks/mvp_v1/split.json; benchmarks/mvp_v1/review-checklist.md; tests/test_benchmark_split.py; 5 focused split-control tests; 116 total tests; 5 cases validate.</x:v>
      </x:c>
      <x:c r="Q20" s="613" t="str">
        <x:v>Begin WBS 3.4 on feature/baseline-benchmark; run the frozen five-case baseline, report development and held-out results separately, preserve generated result records, and write the failure summary and limitations.</x:v>
      </x:c>
      <x:c r="R20" s="643" t="str">
        <x:v>Completed 2026-07-05. Logged 0.20 h for 4:55 PM–5:07 PM. MECH-003 is frozen as the MVP v1 held-out validation case; the other four cases remain development. The manifest discloses that MECH-003 was historically seen during authoring and is not a pristine blind set. Candidate fixtures for held-out cases are prohibited, metadata/checklist consistency is regression-tested, and no blocker remains.</x:v>
      </x:c>
      <x:c r="S20" s="173"/>
      <x:c r="T20" s="173"/>
      <x:c r="U20" s="173"/>
      <x:c r="V20" s="173"/>
      <x:c r="W20" s="173"/>
      <x:c r="X20" s="173" t="s">
        <x:v>21</x:v>
      </x:c>
      <x:c r="Y20" s="173"/>
      <x:c r="Z20" s="173"/>
      <x:c r="AA20" s="33"/>
      <x:c r="AB20" s="28"/>
      <x:c r="AC20" s="28"/>
      <x:c r="AD20" s="28"/>
      <x:c r="AE20" s="28"/>
      <x:c r="AF20" s="28"/>
      <x:c r="AG20" s="28"/>
      <x:c r="AH20" s="28"/>
      <x:c r="AI20" s="28"/>
      <x:c r="AJ20" s="28"/>
      <x:c r="AK20" s="28"/>
      <x:c r="AL20" s="28"/>
      <x:c r="AM20" s="28"/>
      <x:c r="AN20" s="28"/>
      <x:c r="AO20" s="28"/>
      <x:c r="AP20" s="28"/>
      <x:c r="AQ20" s="28"/>
      <x:c r="AR20" s="28"/>
      <x:c r="AS20" s="28"/>
      <x:c r="AT20" s="28"/>
      <x:c r="AU20" s="28"/>
      <x:c r="AV20" s="28"/>
      <x:c r="AW20" s="28"/>
      <x:c r="AX20" s="28"/>
      <x:c r="AY20" s="28"/>
      <x:c r="AZ20" s="28"/>
      <x:c r="BA20" s="28"/>
      <x:c r="BB20" s="28"/>
      <x:c r="BC20" s="28"/>
      <x:c r="BD20" s="28"/>
      <x:c r="BE20" s="28"/>
      <x:c r="BF20" s="28"/>
      <x:c r="BG20" s="28"/>
      <x:c r="BH20" s="28"/>
      <x:c r="BI20" s="28"/>
      <x:c r="BJ20" s="28"/>
      <x:c r="BK20" s="28"/>
      <x:c r="BL20" s="28"/>
      <x:c r="BM20" s="28"/>
      <x:c r="BN20" s="28"/>
      <x:c r="BO20" s="28"/>
      <x:c r="BP20" s="28"/>
      <x:c r="BQ20" s="29"/>
    </x:row>
    <x:row r="21" ht="42" customHeight="1">
      <x:c r="A21" s="621" t="s">
        <x:v>117</x:v>
      </x:c>
      <x:c r="B21" s="637" t="s">
        <x:v>31</x:v>
      </x:c>
      <x:c r="C21" s="621" t="s">
        <x:v>118</x:v>
      </x:c>
      <x:c r="D21" s="621" t="s">
        <x:v>119</x:v>
      </x:c>
      <x:c r="E21" s="621" t="s">
        <x:v>120</x:v>
      </x:c>
      <x:c r="F21" s="623">
        <x:v>3</x:v>
      </x:c>
      <x:c r="G21" s="624">
        <x:v>6</x:v>
      </x:c>
      <x:c r="H21" s="624">
        <x:v>6</x:v>
      </x:c>
      <x:c r="I21" s="625">
        <x:f t="shared" si="0"/>
        <x:v>46237</x:v>
      </x:c>
      <x:c r="J21" s="625">
        <x:f t="shared" si="1"/>
        <x:v>46243</x:v>
      </x:c>
      <x:c r="K21" s="625" t="str">
        <x:f t="shared" si="2"/>
        <x:v>Complete</x:v>
      </x:c>
      <x:c r="L21" s="626" t="n">
        <x:v>1</x:v>
      </x:c>
      <x:c r="M21" s="627" t="n">
        <x:f>SUMIF('Work Block Log'!$E$5:$E$200,A21,'Work Block Log'!$F$5:$F$200)</x:f>
        <x:v>0.22</x:v>
      </x:c>
      <x:c r="N21" s="627" t="n">
        <x:f t="shared" si="3">MAX(F21*(1-L21),0)</x:f>
        <x:v>0</x:v>
      </x:c>
      <x:c r="O21" s="627" t="n">
        <x:f t="shared" si="4">M21-F21</x:f>
        <x:v>-2.78</x:v>
      </x:c>
      <x:c r="P21" s="624" t="str">
        <x:f t="shared" si="5"/>
        <x:v>e0746d7 feature commit; PR #18 merged; scripts/run_mvp_baseline.py; evidence/mvp_v1_baseline/{summary.json,report.md}; tests/test_mvp_baseline.py; 9 immutable raw result records; 4 focused baseline tests; 120 total tests; 5 cases validate.</x:v>
      </x:c>
      <x:c r="Q21" s="621" t="str">
        <x:v>Begin WBS 4.2 on feature/github-actions-ci; add a minimal GitHub Actions workflow for push and pull request, then prove the red/green path with a controlled seeded failure.</x:v>
      </x:c>
      <x:c r="R21" s="643" t="str">
        <x:v>Completed 2026-07-05. Logged 0.22 h for 5:07 PM–5:20 PM. The reproducible MVP v1 harness-verification baseline executed four development oracle checks, one separately reported held-out oracle check, and four curated fault injections. All nine scenarios met expectations. The versioned report states that this is not model or agent performance evidence and discloses MECH-003 prior exposure. Raw run records remain under ignored runtime storage. No blocker.</x:v>
      </x:c>
      <x:c r="S21" s="173"/>
      <x:c r="T21" s="173"/>
      <x:c r="U21" s="173"/>
      <x:c r="V21" s="173"/>
      <x:c r="W21" s="173"/>
      <x:c r="X21" s="173" t="s">
        <x:v>21</x:v>
      </x:c>
      <x:c r="Y21" s="173"/>
      <x:c r="Z21" s="173"/>
      <x:c r="AA21" s="34"/>
      <x:c r="AB21" s="35"/>
      <x:c r="AC21" s="28"/>
      <x:c r="AD21" s="28"/>
      <x:c r="AE21" s="28"/>
      <x:c r="AF21" s="28"/>
      <x:c r="AG21" s="28"/>
      <x:c r="AH21" s="28"/>
      <x:c r="AI21" s="28"/>
      <x:c r="AJ21" s="28"/>
      <x:c r="AK21" s="28"/>
      <x:c r="AL21" s="28"/>
      <x:c r="AM21" s="28"/>
      <x:c r="AN21" s="28"/>
      <x:c r="AO21" s="28"/>
      <x:c r="AP21" s="28"/>
      <x:c r="AQ21" s="28"/>
      <x:c r="AR21" s="28"/>
      <x:c r="AS21" s="28"/>
      <x:c r="AT21" s="28"/>
      <x:c r="AU21" s="28"/>
      <x:c r="AV21" s="28"/>
      <x:c r="AW21" s="28"/>
      <x:c r="AX21" s="28"/>
      <x:c r="AY21" s="28"/>
      <x:c r="AZ21" s="28"/>
      <x:c r="BA21" s="28"/>
      <x:c r="BB21" s="28"/>
      <x:c r="BC21" s="28"/>
      <x:c r="BD21" s="28"/>
      <x:c r="BE21" s="28"/>
      <x:c r="BF21" s="28"/>
      <x:c r="BG21" s="28"/>
      <x:c r="BH21" s="28"/>
      <x:c r="BI21" s="28"/>
      <x:c r="BJ21" s="28"/>
      <x:c r="BK21" s="28"/>
      <x:c r="BL21" s="28"/>
      <x:c r="BM21" s="28"/>
      <x:c r="BN21" s="28"/>
      <x:c r="BO21" s="28"/>
      <x:c r="BP21" s="28"/>
      <x:c r="BQ21" s="29"/>
    </x:row>
    <x:row r="22" ht="42" customHeight="1">
      <x:c r="A22" s="613" t="s">
        <x:v>121</x:v>
      </x:c>
      <x:c r="B22" s="638" t="s">
        <x:v>35</x:v>
      </x:c>
      <x:c r="C22" s="613" t="s">
        <x:v>122</x:v>
      </x:c>
      <x:c r="D22" s="613" t="s">
        <x:v>123</x:v>
      </x:c>
      <x:c r="E22" s="613" t="s">
        <x:v>90</x:v>
      </x:c>
      <x:c r="F22" s="615">
        <x:v>3</x:v>
      </x:c>
      <x:c r="G22" s="616">
        <x:v>4</x:v>
      </x:c>
      <x:c r="H22" s="616">
        <x:v>6</x:v>
      </x:c>
      <x:c r="I22" s="617">
        <x:f t="shared" si="0"/>
        <x:v>46223</x:v>
      </x:c>
      <x:c r="J22" s="617">
        <x:f t="shared" si="1"/>
        <x:v>46243</x:v>
      </x:c>
      <x:c r="K22" s="617" t="str">
        <x:f t="shared" si="2"/>
        <x:v>Complete</x:v>
      </x:c>
      <x:c r="L22" s="618" t="n">
        <x:v>1</x:v>
      </x:c>
      <x:c r="M22" s="619" t="n">
        <x:f>SUMIF('Work Block Log'!$E$5:$E$200,A22,'Work Block Log'!$F$5:$F$200)</x:f>
        <x:v>0</x:v>
      </x:c>
      <x:c r="N22" s="619" t="n">
        <x:f t="shared" si="3">MAX(F22*(1-L22),0)</x:f>
        <x:v>0</x:v>
      </x:c>
      <x:c r="O22" s="619" t="n">
        <x:f t="shared" si="4">M22-F22</x:f>
        <x:v>-3</x:v>
      </x:c>
      <x:c r="P22" s="616" t="str">
        <x:f t="shared" si="5"/>
        <x:v>121-test suite; capability-specific regression tests across tests/; GitHub Actions CI; clean-clone v0.2.0 acceptance; EV-024; EV-028</x:v>
      </x:c>
      <x:c r="Q22" s="613" t="str">
        <x:v>Complete. Keep test additions proportional to material behaviour changes after v0.2.0.</x:v>
      </x:c>
      <x:c r="R22" s="641" t="str">
        <x:v>Closed at MVP release without separate actual hours. Regression coverage was implemented and logged inside the coherent capability WBS items that introduced each behaviour, including gates, checks, scoring, CLI, persistence, benchmark, and portfolio demo tests. The final clean-clone run passed 121 tests. No additional fixture refactor was required; stop per the proportional-value rule and avoid double-counting labour.</x:v>
      </x:c>
      <x:c r="S22" s="173"/>
      <x:c r="T22" s="173"/>
      <x:c r="U22" s="173"/>
      <x:c r="V22" s="173" t="s">
        <x:v>21</x:v>
      </x:c>
      <x:c r="W22" s="173" t="s">
        <x:v>21</x:v>
      </x:c>
      <x:c r="X22" s="173" t="s">
        <x:v>21</x:v>
      </x:c>
      <x:c r="Y22" s="173"/>
      <x:c r="Z22" s="173"/>
      <x:c r="AA22" s="28"/>
      <x:c r="AB22" s="34"/>
      <x:c r="AC22" s="35"/>
      <x:c r="AD22" s="28"/>
      <x:c r="AE22" s="28"/>
      <x:c r="AF22" s="28"/>
      <x:c r="AG22" s="28"/>
      <x:c r="AH22" s="28"/>
      <x:c r="AI22" s="28"/>
      <x:c r="AJ22" s="28"/>
      <x:c r="AK22" s="28"/>
      <x:c r="AL22" s="28"/>
      <x:c r="AM22" s="28"/>
      <x:c r="AN22" s="28"/>
      <x:c r="AO22" s="28"/>
      <x:c r="AP22" s="28"/>
      <x:c r="AQ22" s="28"/>
      <x:c r="AR22" s="28"/>
      <x:c r="AS22" s="28"/>
      <x:c r="AT22" s="28"/>
      <x:c r="AU22" s="28"/>
      <x:c r="AV22" s="28"/>
      <x:c r="AW22" s="28"/>
      <x:c r="AX22" s="28"/>
      <x:c r="AY22" s="28"/>
      <x:c r="AZ22" s="28"/>
      <x:c r="BA22" s="28"/>
      <x:c r="BB22" s="28"/>
      <x:c r="BC22" s="28"/>
      <x:c r="BD22" s="28"/>
      <x:c r="BE22" s="28"/>
      <x:c r="BF22" s="28"/>
      <x:c r="BG22" s="28"/>
      <x:c r="BH22" s="28"/>
      <x:c r="BI22" s="28"/>
      <x:c r="BJ22" s="28"/>
      <x:c r="BK22" s="28"/>
      <x:c r="BL22" s="28"/>
      <x:c r="BM22" s="28"/>
      <x:c r="BN22" s="28"/>
      <x:c r="BO22" s="28"/>
      <x:c r="BP22" s="28"/>
      <x:c r="BQ22" s="29"/>
    </x:row>
    <x:row r="23" ht="42" customHeight="1">
      <x:c r="A23" s="621" t="s">
        <x:v>124</x:v>
      </x:c>
      <x:c r="B23" s="638" t="s">
        <x:v>35</x:v>
      </x:c>
      <x:c r="C23" s="621" t="s">
        <x:v>125</x:v>
      </x:c>
      <x:c r="D23" s="621" t="s">
        <x:v>126</x:v>
      </x:c>
      <x:c r="E23" s="621" t="s">
        <x:v>121</x:v>
      </x:c>
      <x:c r="F23" s="623">
        <x:v>2</x:v>
      </x:c>
      <x:c r="G23" s="624">
        <x:v>7</x:v>
      </x:c>
      <x:c r="H23" s="624">
        <x:v>7</x:v>
      </x:c>
      <x:c r="I23" s="625">
        <x:f t="shared" si="0"/>
        <x:v>46244</x:v>
      </x:c>
      <x:c r="J23" s="625">
        <x:f t="shared" si="1"/>
        <x:v>46250</x:v>
      </x:c>
      <x:c r="K23" s="625" t="str">
        <x:f t="shared" si="2"/>
        <x:v>Complete</x:v>
      </x:c>
      <x:c r="L23" s="626" t="n">
        <x:v>1</x:v>
      </x:c>
      <x:c r="M23" s="627" t="n">
        <x:f>SUMIF('Work Block Log'!$E$5:$E$200,A23,'Work Block Log'!$F$5:$F$200)</x:f>
        <x:v>0.27</x:v>
      </x:c>
      <x:c r="N23" s="627" t="n">
        <x:f t="shared" si="3">MAX(F23*(1-L23),0)</x:f>
        <x:v>0</x:v>
      </x:c>
      <x:c r="O23" s="627" t="n">
        <x:f t="shared" si="4">M23-F23</x:f>
        <x:v>-1.73</x:v>
      </x:c>
      <x:c r="P23" s="624" t="str">
        <x:f t="shared" si="5"/>
        <x:v>80a26fe seeded red; 22713e4 corrected; PR #19 / merge 5dc3f41; .github/workflows/ci.yml; EV-024; 120 tests</x:v>
      </x:c>
      <x:c r="Q23" s="621" t="str">
        <x:v>Complete. Begin WBS 4.3 on feature/readme-architecture; align README and docs/architecture.md with the actual install, CLI, benchmark, results, CI, and limitations.</x:v>
      </x:c>
      <x:c r="R23" s="641" t="str">
        <x:v>Completed 2026-07-05. Logged 0.27 h for 5:27 PM–5:43 PM. GitHub Actions now runs on push and pull request in clean Ubuntu/Python 3.12, installs the editable project with development dependencies, validates all five cases, and runs the 120-test suite. A controlled seeded failure proved the red path; the corrected push run and PR check were green. One annotation warning did not affect acceptance. No blocker.</x:v>
      </x:c>
      <x:c r="S23" s="173"/>
      <x:c r="T23" s="173"/>
      <x:c r="U23" s="173"/>
      <x:c r="V23" s="173"/>
      <x:c r="W23" s="173"/>
      <x:c r="X23" s="173"/>
      <x:c r="Y23" s="173" t="s">
        <x:v>21</x:v>
      </x:c>
      <x:c r="Z23" s="173"/>
      <x:c r="AA23" s="28"/>
      <x:c r="AB23" s="28"/>
      <x:c r="AC23" s="34"/>
      <x:c r="AD23" s="35"/>
      <x:c r="AE23" s="28"/>
      <x:c r="AF23" s="28"/>
      <x:c r="AG23" s="28"/>
      <x:c r="AH23" s="28"/>
      <x:c r="AI23" s="28"/>
      <x:c r="AJ23" s="28"/>
      <x:c r="AK23" s="28"/>
      <x:c r="AL23" s="28"/>
      <x:c r="AM23" s="28"/>
      <x:c r="AN23" s="28"/>
      <x:c r="AO23" s="28"/>
      <x:c r="AP23" s="28"/>
      <x:c r="AQ23" s="28"/>
      <x:c r="AR23" s="28"/>
      <x:c r="AS23" s="28"/>
      <x:c r="AT23" s="28"/>
      <x:c r="AU23" s="28"/>
      <x:c r="AV23" s="28"/>
      <x:c r="AW23" s="28"/>
      <x:c r="AX23" s="28"/>
      <x:c r="AY23" s="28"/>
      <x:c r="AZ23" s="28"/>
      <x:c r="BA23" s="28"/>
      <x:c r="BB23" s="28"/>
      <x:c r="BC23" s="28"/>
      <x:c r="BD23" s="28"/>
      <x:c r="BE23" s="28"/>
      <x:c r="BF23" s="28"/>
      <x:c r="BG23" s="28"/>
      <x:c r="BH23" s="28"/>
      <x:c r="BI23" s="28"/>
      <x:c r="BJ23" s="28"/>
      <x:c r="BK23" s="28"/>
      <x:c r="BL23" s="28"/>
      <x:c r="BM23" s="28"/>
      <x:c r="BN23" s="28"/>
      <x:c r="BO23" s="28"/>
      <x:c r="BP23" s="28"/>
      <x:c r="BQ23" s="29"/>
    </x:row>
    <x:row r="24" ht="42" customHeight="1">
      <x:c r="A24" s="613" t="s">
        <x:v>127</x:v>
      </x:c>
      <x:c r="B24" s="638" t="s">
        <x:v>35</x:v>
      </x:c>
      <x:c r="C24" s="613" t="s">
        <x:v>128</x:v>
      </x:c>
      <x:c r="D24" s="613" t="s">
        <x:v>129</x:v>
      </x:c>
      <x:c r="E24" s="613" t="s">
        <x:v>130</x:v>
      </x:c>
      <x:c r="F24" s="615">
        <x:v>3</x:v>
      </x:c>
      <x:c r="G24" s="616">
        <x:v>7</x:v>
      </x:c>
      <x:c r="H24" s="616">
        <x:v>7</x:v>
      </x:c>
      <x:c r="I24" s="617">
        <x:f t="shared" si="0"/>
        <x:v>46244</x:v>
      </x:c>
      <x:c r="J24" s="617">
        <x:f t="shared" si="1"/>
        <x:v>46250</x:v>
      </x:c>
      <x:c r="K24" s="617" t="str">
        <x:f t="shared" si="2"/>
        <x:v>Complete</x:v>
      </x:c>
      <x:c r="L24" s="618" t="n">
        <x:v>1</x:v>
      </x:c>
      <x:c r="M24" s="619" t="n">
        <x:f>SUMIF('Work Block Log'!$E$5:$E$200,A24,'Work Block Log'!$F$5:$F$200)</x:f>
        <x:v>0.45</x:v>
      </x:c>
      <x:c r="N24" s="619" t="n">
        <x:f t="shared" si="3">MAX(F24*(1-L24),0)</x:f>
        <x:v>0</x:v>
      </x:c>
      <x:c r="O24" s="619" t="n">
        <x:f t="shared" si="4">M24-F24</x:f>
        <x:v>-2.55</x:v>
      </x:c>
      <x:c r="P24" s="616" t="str">
        <x:f t="shared" si="5"/>
        <x:v>README.md; docs/architecture.md; ac8d6dd; PR #20 / merge 2b98214; five cases validate; 120 tests; EV-025</x:v>
      </x:c>
      <x:c r="Q24" s="613" t="str">
        <x:v>Complete. Begin WBS 5.1 on feature/portfolio-demo; create a concise terminal demo that shows pass, failure evidence, and immutable result persistence.</x:v>
      </x:c>
      <x:c r="R24" s="641" t="str">
        <x:v>Completed 2026-07-05. Logged 0.45 h for 5:43 PM–6:10 PM. README.md and docs/architecture.md now match the implemented JSON-first CLI, supported commands and exit codes, five-case benchmark, MECH-003 held-out limitation, harness-only baseline claims, immutable result records, GitHub Actions workflow, failure layers, extension points, and qualified-human review boundary. PR #20 merged in 2b98214; post-merge validation passed five cases and 120 tests. No blocker.</x:v>
      </x:c>
      <x:c r="S24" s="173"/>
      <x:c r="T24" s="173"/>
      <x:c r="U24" s="173"/>
      <x:c r="V24" s="173"/>
      <x:c r="W24" s="173"/>
      <x:c r="X24" s="173"/>
      <x:c r="Y24" s="173" t="s">
        <x:v>21</x:v>
      </x:c>
      <x:c r="Z24" s="173"/>
      <x:c r="AA24" s="28"/>
      <x:c r="AB24" s="28"/>
      <x:c r="AC24" s="28"/>
      <x:c r="AD24" s="34"/>
      <x:c r="AE24" s="35"/>
      <x:c r="AF24" s="28"/>
      <x:c r="AG24" s="28"/>
      <x:c r="AH24" s="28"/>
      <x:c r="AI24" s="28"/>
      <x:c r="AJ24" s="28"/>
      <x:c r="AK24" s="28"/>
      <x:c r="AL24" s="28"/>
      <x:c r="AM24" s="28"/>
      <x:c r="AN24" s="28"/>
      <x:c r="AO24" s="28"/>
      <x:c r="AP24" s="28"/>
      <x:c r="AQ24" s="28"/>
      <x:c r="AR24" s="28"/>
      <x:c r="AS24" s="28"/>
      <x:c r="AT24" s="28"/>
      <x:c r="AU24" s="28"/>
      <x:c r="AV24" s="28"/>
      <x:c r="AW24" s="28"/>
      <x:c r="AX24" s="28"/>
      <x:c r="AY24" s="28"/>
      <x:c r="AZ24" s="28"/>
      <x:c r="BA24" s="28"/>
      <x:c r="BB24" s="28"/>
      <x:c r="BC24" s="28"/>
      <x:c r="BD24" s="28"/>
      <x:c r="BE24" s="28"/>
      <x:c r="BF24" s="28"/>
      <x:c r="BG24" s="28"/>
      <x:c r="BH24" s="28"/>
      <x:c r="BI24" s="28"/>
      <x:c r="BJ24" s="28"/>
      <x:c r="BK24" s="28"/>
      <x:c r="BL24" s="28"/>
      <x:c r="BM24" s="28"/>
      <x:c r="BN24" s="28"/>
      <x:c r="BO24" s="28"/>
      <x:c r="BP24" s="28"/>
      <x:c r="BQ24" s="29"/>
    </x:row>
    <x:row r="25" ht="42" customHeight="1">
      <x:c r="A25" s="621" t="s">
        <x:v>131</x:v>
      </x:c>
      <x:c r="B25" s="639" t="s">
        <x:v>39</x:v>
      </x:c>
      <x:c r="C25" s="621" t="s">
        <x:v>132</x:v>
      </x:c>
      <x:c r="D25" s="621" t="s">
        <x:v>133</x:v>
      </x:c>
      <x:c r="E25" s="621" t="s">
        <x:v>134</x:v>
      </x:c>
      <x:c r="F25" s="623">
        <x:v>3</x:v>
      </x:c>
      <x:c r="G25" s="624">
        <x:v>7</x:v>
      </x:c>
      <x:c r="H25" s="624">
        <x:v>7</x:v>
      </x:c>
      <x:c r="I25" s="625">
        <x:f t="shared" si="0"/>
        <x:v>46244</x:v>
      </x:c>
      <x:c r="J25" s="625">
        <x:f t="shared" si="1"/>
        <x:v>46250</x:v>
      </x:c>
      <x:c r="K25" s="625" t="str">
        <x:f t="shared" si="2"/>
        <x:v>Complete</x:v>
      </x:c>
      <x:c r="L25" s="626" t="n">
        <x:v>1</x:v>
      </x:c>
      <x:c r="M25" s="627" t="n">
        <x:f>SUMIF('Work Block Log'!$E$5:$E$200,A25,'Work Block Log'!$F$5:$F$200)</x:f>
        <x:v>0.3</x:v>
      </x:c>
      <x:c r="N25" s="627" t="n">
        <x:f t="shared" si="3">MAX(F25*(1-L25),0)</x:f>
        <x:v>0</x:v>
      </x:c>
      <x:c r="O25" s="627" t="n">
        <x:f t="shared" si="4">M25-F25</x:f>
        <x:v>-2.7</x:v>
      </x:c>
      <x:c r="P25" s="624" t="str">
        <x:f t="shared" si="5"/>
        <x:v>599402c; PR #21 / merge c15393d; scripts/run_portfolio_demo.py; tests/test_portfolio_demo.py; docs/portfolio_demo.md; evidence/portfolio_demo/report.md; five cases validate; 121 tests; EV-026</x:v>
      </x:c>
      <x:c r="Q25" s="621" t="str">
        <x:v>Complete. Begin WBS 5.2 on feature/release-notes; write v0.1.0 release notes and limitations consistent with the implemented MVP and accepted claim boundaries.</x:v>
      </x:c>
      <x:c r="R25" s="641" t="str">
        <x:v>Completed 2026-07-05. Logged 0.30 h for 6:10 PM–6:28 PM based on the final post-merge demo timestamp. The deterministic terminal demo verifies one passing MECH-002 artifact and one structurally valid UNIT_ERROR artifact, expected exit codes 0/1, scores 1.00/0.75, failure evidence, and immutable result persistence. PR #21 merged in c15393d; post-merge validation passed five cases, 121 tests, and demo verification 2/2. No blocker.</x:v>
      </x:c>
      <x:c r="S25" s="173"/>
      <x:c r="T25" s="173"/>
      <x:c r="U25" s="173"/>
      <x:c r="V25" s="173"/>
      <x:c r="W25" s="173"/>
      <x:c r="X25" s="173"/>
      <x:c r="Y25" s="173" t="s">
        <x:v>21</x:v>
      </x:c>
      <x:c r="Z25" s="173"/>
      <x:c r="AA25" s="28"/>
      <x:c r="AB25" s="28"/>
      <x:c r="AC25" s="28"/>
      <x:c r="AD25" s="28"/>
      <x:c r="AE25" s="34"/>
      <x:c r="AF25" s="35"/>
      <x:c r="AG25" s="28"/>
      <x:c r="AH25" s="28"/>
      <x:c r="AI25" s="28"/>
      <x:c r="AJ25" s="28"/>
      <x:c r="AK25" s="28"/>
      <x:c r="AL25" s="28"/>
      <x:c r="AM25" s="28"/>
      <x:c r="AN25" s="28"/>
      <x:c r="AO25" s="28"/>
      <x:c r="AP25" s="28"/>
      <x:c r="AQ25" s="28"/>
      <x:c r="AR25" s="28"/>
      <x:c r="AS25" s="28"/>
      <x:c r="AT25" s="28"/>
      <x:c r="AU25" s="28"/>
      <x:c r="AV25" s="28"/>
      <x:c r="AW25" s="28"/>
      <x:c r="AX25" s="28"/>
      <x:c r="AY25" s="28"/>
      <x:c r="AZ25" s="28"/>
      <x:c r="BA25" s="28"/>
      <x:c r="BB25" s="28"/>
      <x:c r="BC25" s="28"/>
      <x:c r="BD25" s="28"/>
      <x:c r="BE25" s="28"/>
      <x:c r="BF25" s="28"/>
      <x:c r="BG25" s="28"/>
      <x:c r="BH25" s="28"/>
      <x:c r="BI25" s="28"/>
      <x:c r="BJ25" s="28"/>
      <x:c r="BK25" s="28"/>
      <x:c r="BL25" s="28"/>
      <x:c r="BM25" s="28"/>
      <x:c r="BN25" s="28"/>
      <x:c r="BO25" s="28"/>
      <x:c r="BP25" s="28"/>
      <x:c r="BQ25" s="29"/>
    </x:row>
    <x:row r="26" ht="42" customHeight="1">
      <x:c r="A26" s="613" t="s">
        <x:v>135</x:v>
      </x:c>
      <x:c r="B26" s="639" t="s">
        <x:v>39</x:v>
      </x:c>
      <x:c r="C26" s="613" t="s">
        <x:v>136</x:v>
      </x:c>
      <x:c r="D26" s="613" t="s">
        <x:v>137</x:v>
      </x:c>
      <x:c r="E26" s="613" t="s">
        <x:v>131</x:v>
      </x:c>
      <x:c r="F26" s="615">
        <x:v>2</x:v>
      </x:c>
      <x:c r="G26" s="616">
        <x:v>8</x:v>
      </x:c>
      <x:c r="H26" s="616">
        <x:v>8</x:v>
      </x:c>
      <x:c r="I26" s="617">
        <x:f t="shared" si="0"/>
        <x:v>46251</x:v>
      </x:c>
      <x:c r="J26" s="617">
        <x:f t="shared" si="1"/>
        <x:v>46257</x:v>
      </x:c>
      <x:c r="K26" s="617" t="str">
        <x:f t="shared" si="2"/>
        <x:v>Complete</x:v>
      </x:c>
      <x:c r="L26" s="618" t="n">
        <x:v>1</x:v>
      </x:c>
      <x:c r="M26" s="619" t="n">
        <x:f>SUMIF('Work Block Log'!$E$5:$E$200,A26,'Work Block Log'!$F$5:$F$200)</x:f>
        <x:v>0.12</x:v>
      </x:c>
      <x:c r="N26" s="619" t="n">
        <x:f t="shared" si="3">MAX(F26*(1-L26),0)</x:f>
        <x:v>0</x:v>
      </x:c>
      <x:c r="O26" s="619" t="n">
        <x:f t="shared" si="4">M26-F26</x:f>
        <x:v>-1.88</x:v>
      </x:c>
      <x:c r="P26" s="616" t="str">
        <x:f t="shared" si="5"/>
        <x:v>64db931; PR #22 / merge 0f8adbe; README.md; docs/release_notes_v0.2.0.md; docs/limitations.md; five cases validate; 121 tests; EV-027</x:v>
      </x:c>
      <x:c r="Q26" s="613" t="str">
        <x:v>Complete. Begin WBS 5.3 final acceptance on release/v0.2.0; verify a clean release candidate, then create and push the v0.2.0 tag only after all acceptance checks pass.</x:v>
      </x:c>
      <x:c r="R26" s="641" t="str">
        <x:v>Completed 2026-07-05. Logged 0.12 h for 6:28 PM–6:35 PM. Release documentation now matches package metadata and persisted result evidence at version 0.2.0. It states the implemented JSON-first CLI scope, five-case synthetic benchmark, MECH-003 prior-exposure limitation, harness-verification baseline limits, deterministic demo evidence, result-record constraints, professional boundary, and deferred capabilities. PR #22 merged in 0f8adbe; post-merge validation passed five cases and 121 tests. No blocker.</x:v>
      </x:c>
      <x:c r="S26" s="173"/>
      <x:c r="T26" s="173"/>
      <x:c r="U26" s="173"/>
      <x:c r="V26" s="173"/>
      <x:c r="W26" s="173"/>
      <x:c r="X26" s="173"/>
      <x:c r="Y26" s="173"/>
      <x:c r="Z26" s="173" t="s">
        <x:v>21</x:v>
      </x:c>
      <x:c r="AA26" s="28"/>
      <x:c r="AB26" s="28"/>
      <x:c r="AC26" s="28"/>
      <x:c r="AD26" s="28"/>
      <x:c r="AE26" s="28"/>
      <x:c r="AF26" s="33"/>
      <x:c r="AG26" s="28"/>
      <x:c r="AH26" s="28"/>
      <x:c r="AI26" s="28"/>
      <x:c r="AJ26" s="28"/>
      <x:c r="AK26" s="28"/>
      <x:c r="AL26" s="28"/>
      <x:c r="AM26" s="28"/>
      <x:c r="AN26" s="28"/>
      <x:c r="AO26" s="28"/>
      <x:c r="AP26" s="28"/>
      <x:c r="AQ26" s="28"/>
      <x:c r="AR26" s="28"/>
      <x:c r="AS26" s="28"/>
      <x:c r="AT26" s="28"/>
      <x:c r="AU26" s="28"/>
      <x:c r="AV26" s="28"/>
      <x:c r="AW26" s="28"/>
      <x:c r="AX26" s="28"/>
      <x:c r="AY26" s="28"/>
      <x:c r="AZ26" s="28"/>
      <x:c r="BA26" s="28"/>
      <x:c r="BB26" s="28"/>
      <x:c r="BC26" s="28"/>
      <x:c r="BD26" s="28"/>
      <x:c r="BE26" s="28"/>
      <x:c r="BF26" s="28"/>
      <x:c r="BG26" s="28"/>
      <x:c r="BH26" s="28"/>
      <x:c r="BI26" s="28"/>
      <x:c r="BJ26" s="28"/>
      <x:c r="BK26" s="28"/>
      <x:c r="BL26" s="28"/>
      <x:c r="BM26" s="28"/>
      <x:c r="BN26" s="28"/>
      <x:c r="BO26" s="28"/>
      <x:c r="BP26" s="28"/>
      <x:c r="BQ26" s="29"/>
    </x:row>
    <x:row r="27" ht="42" customHeight="1">
      <x:c r="A27" s="621" t="s">
        <x:v>138</x:v>
      </x:c>
      <x:c r="B27" s="639" t="s">
        <x:v>39</x:v>
      </x:c>
      <x:c r="C27" s="621" t="str">
        <x:v>Run final acceptance and tag MVP v0.2.0</x:v>
      </x:c>
      <x:c r="D27" s="621" t="str">
        <x:v>Clean clone/run path, tests and benchmark pass, demo is reproducible, release documentation is consistent, and v0.2.0 is tagged.</x:v>
      </x:c>
      <x:c r="E27" s="621" t="s">
        <x:v>139</x:v>
      </x:c>
      <x:c r="F27" s="623">
        <x:v>3</x:v>
      </x:c>
      <x:c r="G27" s="624">
        <x:v>8</x:v>
      </x:c>
      <x:c r="H27" s="624">
        <x:v>8</x:v>
      </x:c>
      <x:c r="I27" s="625">
        <x:f t="shared" si="0"/>
        <x:v>46251</x:v>
      </x:c>
      <x:c r="J27" s="625">
        <x:f t="shared" si="1"/>
        <x:v>46257</x:v>
      </x:c>
      <x:c r="K27" s="625" t="str">
        <x:f t="shared" si="2"/>
        <x:v>Complete</x:v>
      </x:c>
      <x:c r="L27" s="626" t="n">
        <x:v>1</x:v>
      </x:c>
      <x:c r="M27" s="627" t="n">
        <x:f>SUMIF('Work Block Log'!$E$5:$E$200,A27,'Work Block Log'!$F$5:$F$200)</x:f>
        <x:v>0.25</x:v>
      </x:c>
      <x:c r="N27" s="627" t="n">
        <x:f t="shared" si="3">MAX(F27*(1-L27),0)</x:f>
        <x:v>0</x:v>
      </x:c>
      <x:c r="O27" s="627" t="n">
        <x:f t="shared" si="4">M27-F27</x:f>
        <x:v>-2.75</x:v>
      </x:c>
      <x:c r="P27" s="624" t="str">
        <x:f t="shared" si="5"/>
        <x:v>v0.2.0 annotated tag; accepted commit 45336a2; tag object 8d426d2; evidence/final_acceptance_v0.2.0/{report.md,summary.json}; clean Python 3.12.6 clone; five cases; 121 tests; baseline 9/9; demo 2/2; 11 result versions; EV-028</x:v>
      </x:c>
      <x:c r="Q27" s="621" t="str">
        <x:v>Complete. Freeze the v0.2.0 release baseline and begin a separate post-MVP backlog-selection block before new implementation.</x:v>
      </x:c>
      <x:c r="R27" s="641" t="str">
        <x:v>Completed 2026-07-05. Logged 0.25 h for 6:35 PM–6:50 PM. The final clean-clone matrix accepted commit 45336a21c9c5f4dcd4b3bd009d05183621061b5d, installed version 0.2.0 under Python 3.12.6, validated five cases, passed 121 tests, reproduced the nine-scenario baseline and two-scenario portfolio demo, verified eleven generated result versions, confirmed claim boundaries and a clean tree, and then created/pushed annotated tag v0.2.0. Remote peeled tag resolves to the accepted commit. No blocker.</x:v>
      </x:c>
      <x:c r="S27" s="173"/>
      <x:c r="T27" s="173"/>
      <x:c r="U27" s="173"/>
      <x:c r="V27" s="173"/>
      <x:c r="W27" s="173"/>
      <x:c r="X27" s="173"/>
      <x:c r="Y27" s="173"/>
      <x:c r="Z27" s="173" t="s">
        <x:v>21</x:v>
      </x:c>
      <x:c r="AA27" s="28"/>
      <x:c r="AB27" s="28"/>
      <x:c r="AC27" s="28"/>
      <x:c r="AD27" s="28"/>
      <x:c r="AE27" s="28"/>
      <x:c r="AF27" s="28"/>
      <x:c r="AG27" s="33"/>
      <x:c r="AH27" s="28"/>
      <x:c r="AI27" s="28"/>
      <x:c r="AJ27" s="28"/>
      <x:c r="AK27" s="28"/>
      <x:c r="AL27" s="28"/>
      <x:c r="AM27" s="28"/>
      <x:c r="AN27" s="28"/>
      <x:c r="AO27" s="28"/>
      <x:c r="AP27" s="28"/>
      <x:c r="AQ27" s="28"/>
      <x:c r="AR27" s="28"/>
      <x:c r="AS27" s="28"/>
      <x:c r="AT27" s="28"/>
      <x:c r="AU27" s="28"/>
      <x:c r="AV27" s="28"/>
      <x:c r="AW27" s="28"/>
      <x:c r="AX27" s="28"/>
      <x:c r="AY27" s="28"/>
      <x:c r="AZ27" s="28"/>
      <x:c r="BA27" s="28"/>
      <x:c r="BB27" s="28"/>
      <x:c r="BC27" s="28"/>
      <x:c r="BD27" s="28"/>
      <x:c r="BE27" s="28"/>
      <x:c r="BF27" s="28"/>
      <x:c r="BG27" s="28"/>
      <x:c r="BH27" s="28"/>
      <x:c r="BI27" s="28"/>
      <x:c r="BJ27" s="28"/>
      <x:c r="BK27" s="28"/>
      <x:c r="BL27" s="28"/>
      <x:c r="BM27" s="28"/>
      <x:c r="BN27" s="28"/>
      <x:c r="BO27" s="28"/>
      <x:c r="BP27" s="28"/>
      <x:c r="BQ27" s="29"/>
    </x:row>
    <x:row r="28" ht="42" customHeight="1">
      <x:c r="A28" s="3"/>
      <x:c r="B28" s="100"/>
      <x:c r="C28" s="3"/>
      <x:c r="D28" s="3"/>
      <x:c r="E28" s="3"/>
      <x:c r="F28" s="94"/>
      <x:c r="G28" s="97"/>
      <x:c r="H28" s="97"/>
      <x:c r="I28" s="93">
        <x:f t="shared" si="0"/>
        <x:v>46195</x:v>
      </x:c>
      <x:c r="J28" s="93">
        <x:f t="shared" si="1"/>
        <x:v>46201</x:v>
      </x:c>
      <x:c r="K28" s="93">
        <x:f t="shared" si="2"/>
        <x:v>-1</x:v>
      </x:c>
      <x:c r="L28" s="66"/>
      <x:c r="M28" s="67"/>
      <x:c r="N28" s="67"/>
      <x:c r="O28" s="67">
        <x:f t="shared" si="4"/>
        <x:v>0</x:v>
      </x:c>
      <x:c r="P28" s="97">
        <x:f t="shared" si="5"/>
        <x:v>0</x:v>
      </x:c>
      <x:c r="Q28" s="3"/>
      <x:c r="R28" s="97"/>
      <x:c r="S28" s="173"/>
      <x:c r="T28" s="173"/>
      <x:c r="U28" s="173"/>
      <x:c r="V28" s="173"/>
      <x:c r="W28" s="173"/>
      <x:c r="X28" s="173"/>
      <x:c r="Y28" s="173"/>
      <x:c r="Z28" s="173"/>
      <x:c r="AA28" s="28"/>
      <x:c r="AB28" s="28"/>
      <x:c r="AC28" s="28"/>
      <x:c r="AD28" s="28"/>
      <x:c r="AE28" s="28"/>
      <x:c r="AF28" s="28"/>
      <x:c r="AG28" s="28"/>
      <x:c r="AH28" s="36"/>
      <x:c r="AI28" s="37"/>
      <x:c r="AJ28" s="28"/>
      <x:c r="AK28" s="28"/>
      <x:c r="AL28" s="28"/>
      <x:c r="AM28" s="28"/>
      <x:c r="AN28" s="28"/>
      <x:c r="AO28" s="28"/>
      <x:c r="AP28" s="28"/>
      <x:c r="AQ28" s="28"/>
      <x:c r="AR28" s="28"/>
      <x:c r="AS28" s="28"/>
      <x:c r="AT28" s="28"/>
      <x:c r="AU28" s="28"/>
      <x:c r="AV28" s="28"/>
      <x:c r="AW28" s="28"/>
      <x:c r="AX28" s="28"/>
      <x:c r="AY28" s="28"/>
      <x:c r="AZ28" s="28"/>
      <x:c r="BA28" s="28"/>
      <x:c r="BB28" s="28"/>
      <x:c r="BC28" s="28"/>
      <x:c r="BD28" s="28"/>
      <x:c r="BE28" s="28"/>
      <x:c r="BF28" s="28"/>
      <x:c r="BG28" s="28"/>
      <x:c r="BH28" s="28"/>
      <x:c r="BI28" s="28"/>
      <x:c r="BJ28" s="28"/>
      <x:c r="BK28" s="28"/>
      <x:c r="BL28" s="28"/>
      <x:c r="BM28" s="28"/>
      <x:c r="BN28" s="28"/>
      <x:c r="BO28" s="28"/>
      <x:c r="BP28" s="28"/>
      <x:c r="BQ28" s="29"/>
    </x:row>
    <x:row r="29" ht="42" customHeight="1">
      <x:c r="A29" s="89" t="s">
        <x:v>41</x:v>
      </x:c>
      <x:c r="B29" s="89"/>
      <x:c r="C29" s="89"/>
      <x:c r="D29" s="89"/>
      <x:c r="E29" s="89"/>
      <x:c r="F29" s="95" t="n">
        <x:f>SUM(F6:F27)</x:f>
        <x:v>76</x:v>
      </x:c>
      <x:c r="G29" s="90"/>
      <x:c r="H29" s="90"/>
      <x:c r="I29" s="91">
        <x:f t="shared" si="0"/>
        <x:v>46195</x:v>
      </x:c>
      <x:c r="J29" s="91">
        <x:f t="shared" si="1"/>
        <x:v>46201</x:v>
      </x:c>
      <x:c r="K29" s="91">
        <x:f t="shared" si="2"/>
        <x:v>-1</x:v>
      </x:c>
      <x:c r="L29" s="92" t="n">
        <x:f>SUMPRODUCT(F6:F27,L6:L27)/F29</x:f>
        <x:v>1</x:v>
      </x:c>
      <x:c r="M29" s="96" t="n">
        <x:f>SUM(M6:M27)</x:f>
        <x:v>17.39</x:v>
      </x:c>
      <x:c r="N29" s="96" t="n">
        <x:f>SUM(N6:N27)</x:f>
        <x:v>0</x:v>
      </x:c>
      <x:c r="O29" s="96">
        <x:f t="shared" si="4"/>
        <x:v>-68.45</x:v>
      </x:c>
      <x:c r="P29" s="90">
        <x:f t="shared" si="5"/>
        <x:v>0</x:v>
      </x:c>
      <x:c r="Q29" s="89"/>
      <x:c r="R29" s="90"/>
      <x:c r="S29" s="173"/>
      <x:c r="T29" s="173"/>
      <x:c r="U29" s="173"/>
      <x:c r="V29" s="173"/>
      <x:c r="W29" s="173"/>
      <x:c r="X29" s="173"/>
      <x:c r="Y29" s="173"/>
      <x:c r="Z29" s="173"/>
      <x:c r="AA29" s="28"/>
      <x:c r="AB29" s="28"/>
      <x:c r="AC29" s="28"/>
      <x:c r="AD29" s="28"/>
      <x:c r="AE29" s="28"/>
      <x:c r="AF29" s="28"/>
      <x:c r="AG29" s="28"/>
      <x:c r="AH29" s="28"/>
      <x:c r="AI29" s="36"/>
      <x:c r="AJ29" s="37"/>
      <x:c r="AK29" s="28"/>
      <x:c r="AL29" s="28"/>
      <x:c r="AM29" s="28"/>
      <x:c r="AN29" s="28"/>
      <x:c r="AO29" s="28"/>
      <x:c r="AP29" s="28"/>
      <x:c r="AQ29" s="28"/>
      <x:c r="AR29" s="28"/>
      <x:c r="AS29" s="28"/>
      <x:c r="AT29" s="28"/>
      <x:c r="AU29" s="28"/>
      <x:c r="AV29" s="28"/>
      <x:c r="AW29" s="28"/>
      <x:c r="AX29" s="28"/>
      <x:c r="AY29" s="28"/>
      <x:c r="AZ29" s="28"/>
      <x:c r="BA29" s="28"/>
      <x:c r="BB29" s="28"/>
      <x:c r="BC29" s="28"/>
      <x:c r="BD29" s="28"/>
      <x:c r="BE29" s="28"/>
      <x:c r="BF29" s="28"/>
      <x:c r="BG29" s="28"/>
      <x:c r="BH29" s="28"/>
      <x:c r="BI29" s="28"/>
      <x:c r="BJ29" s="28"/>
      <x:c r="BK29" s="28"/>
      <x:c r="BL29" s="28"/>
      <x:c r="BM29" s="28"/>
      <x:c r="BN29" s="28"/>
      <x:c r="BO29" s="28"/>
      <x:c r="BP29" s="28"/>
      <x:c r="BQ29" s="29"/>
    </x:row>
    <x:row r="30" ht="42" customHeight="1">
      <x:c r="A30" s="5"/>
      <x:c r="B30" s="11"/>
      <x:c r="C30" s="6"/>
      <x:c r="D30" s="6"/>
      <x:c r="E30" s="6"/>
      <x:c r="F30" s="23"/>
      <x:c r="G30" s="23"/>
      <x:c r="H30" s="23"/>
      <x:c r="I30" s="23">
        <x:f t="shared" si="0"/>
        <x:v>46195</x:v>
      </x:c>
      <x:c r="J30" s="24">
        <x:f t="shared" si="1"/>
        <x:v>46201</x:v>
      </x:c>
      <x:c r="K30" s="24">
        <x:f t="shared" si="2"/>
        <x:v>-1</x:v>
      </x:c>
      <x:c r="L30" s="23"/>
      <x:c r="M30" s="25"/>
      <x:c r="N30" s="23"/>
      <x:c r="O30" s="23">
        <x:f t="shared" si="4"/>
        <x:v>0</x:v>
      </x:c>
      <x:c r="P30" s="23">
        <x:f t="shared" si="5"/>
        <x:v>0</x:v>
      </x:c>
      <x:c r="Q30" s="8"/>
      <x:c r="R30" s="31"/>
      <x:c r="S30" s="28"/>
      <x:c r="T30" s="28"/>
      <x:c r="U30" s="28"/>
      <x:c r="V30" s="28"/>
      <x:c r="W30" s="28"/>
      <x:c r="X30" s="28"/>
      <x:c r="Y30" s="28"/>
      <x:c r="Z30" s="28"/>
      <x:c r="AA30" s="28"/>
      <x:c r="AB30" s="28"/>
      <x:c r="AC30" s="28"/>
      <x:c r="AD30" s="28"/>
      <x:c r="AE30" s="28"/>
      <x:c r="AF30" s="28"/>
      <x:c r="AG30" s="28"/>
      <x:c r="AH30" s="28"/>
      <x:c r="AI30" s="28"/>
      <x:c r="AJ30" s="36"/>
      <x:c r="AK30" s="37"/>
      <x:c r="AL30" s="28"/>
      <x:c r="AM30" s="28"/>
      <x:c r="AN30" s="28"/>
      <x:c r="AO30" s="28"/>
      <x:c r="AP30" s="28"/>
      <x:c r="AQ30" s="28"/>
      <x:c r="AR30" s="28"/>
      <x:c r="AS30" s="28"/>
      <x:c r="AT30" s="28"/>
      <x:c r="AU30" s="28"/>
      <x:c r="AV30" s="28"/>
      <x:c r="AW30" s="28"/>
      <x:c r="AX30" s="28"/>
      <x:c r="AY30" s="28"/>
      <x:c r="AZ30" s="28"/>
      <x:c r="BA30" s="28"/>
      <x:c r="BB30" s="28"/>
      <x:c r="BC30" s="28"/>
      <x:c r="BD30" s="28"/>
      <x:c r="BE30" s="28"/>
      <x:c r="BF30" s="28"/>
      <x:c r="BG30" s="28"/>
      <x:c r="BH30" s="28"/>
      <x:c r="BI30" s="28"/>
      <x:c r="BJ30" s="28"/>
      <x:c r="BK30" s="28"/>
      <x:c r="BL30" s="28"/>
      <x:c r="BM30" s="28"/>
      <x:c r="BN30" s="28"/>
      <x:c r="BO30" s="28"/>
      <x:c r="BP30" s="28"/>
      <x:c r="BQ30" s="29"/>
    </x:row>
    <x:row r="31" ht="42" customHeight="1">
      <x:c r="A31" s="5"/>
      <x:c r="B31" s="11"/>
      <x:c r="C31" s="6"/>
      <x:c r="D31" s="6"/>
      <x:c r="E31" s="6"/>
      <x:c r="F31" s="23"/>
      <x:c r="G31" s="23"/>
      <x:c r="H31" s="23"/>
      <x:c r="I31" s="23">
        <x:f t="shared" si="0"/>
        <x:v>46195</x:v>
      </x:c>
      <x:c r="J31" s="24">
        <x:f t="shared" si="1"/>
        <x:v>46201</x:v>
      </x:c>
      <x:c r="K31" s="24">
        <x:f t="shared" si="2"/>
        <x:v>-1</x:v>
      </x:c>
      <x:c r="L31" s="23"/>
      <x:c r="M31" s="25"/>
      <x:c r="N31" s="23"/>
      <x:c r="O31" s="23">
        <x:f t="shared" si="4"/>
        <x:v>0</x:v>
      </x:c>
      <x:c r="P31" s="23">
        <x:f t="shared" si="5"/>
        <x:v>0</x:v>
      </x:c>
      <x:c r="Q31" s="8"/>
      <x:c r="R31" s="31"/>
      <x:c r="S31" s="28"/>
      <x:c r="T31" s="28"/>
      <x:c r="U31" s="28"/>
      <x:c r="V31" s="28"/>
      <x:c r="W31" s="28"/>
      <x:c r="X31" s="28"/>
      <x:c r="Y31" s="28"/>
      <x:c r="Z31" s="28"/>
      <x:c r="AA31" s="28"/>
      <x:c r="AB31" s="28"/>
      <x:c r="AC31" s="28"/>
      <x:c r="AD31" s="28"/>
      <x:c r="AE31" s="28"/>
      <x:c r="AF31" s="28"/>
      <x:c r="AG31" s="28"/>
      <x:c r="AH31" s="28"/>
      <x:c r="AI31" s="28"/>
      <x:c r="AJ31" s="28"/>
      <x:c r="AK31" s="38"/>
      <x:c r="AL31" s="28"/>
      <x:c r="AM31" s="28"/>
      <x:c r="AN31" s="28"/>
      <x:c r="AO31" s="28"/>
      <x:c r="AP31" s="28"/>
      <x:c r="AQ31" s="28"/>
      <x:c r="AR31" s="28"/>
      <x:c r="AS31" s="28"/>
      <x:c r="AT31" s="28"/>
      <x:c r="AU31" s="28"/>
      <x:c r="AV31" s="28"/>
      <x:c r="AW31" s="28"/>
      <x:c r="AX31" s="28"/>
      <x:c r="AY31" s="28"/>
      <x:c r="AZ31" s="28"/>
      <x:c r="BA31" s="28"/>
      <x:c r="BB31" s="28"/>
      <x:c r="BC31" s="28"/>
      <x:c r="BD31" s="28"/>
      <x:c r="BE31" s="28"/>
      <x:c r="BF31" s="28"/>
      <x:c r="BG31" s="28"/>
      <x:c r="BH31" s="28"/>
      <x:c r="BI31" s="28"/>
      <x:c r="BJ31" s="28"/>
      <x:c r="BK31" s="28"/>
      <x:c r="BL31" s="28"/>
      <x:c r="BM31" s="28"/>
      <x:c r="BN31" s="28"/>
      <x:c r="BO31" s="28"/>
      <x:c r="BP31" s="28"/>
      <x:c r="BQ31" s="29"/>
    </x:row>
    <x:row r="32" ht="42" customHeight="1">
      <x:c r="A32" s="5"/>
      <x:c r="B32" s="11"/>
      <x:c r="C32" s="6"/>
      <x:c r="D32" s="6"/>
      <x:c r="E32" s="6"/>
      <x:c r="F32" s="23"/>
      <x:c r="G32" s="23"/>
      <x:c r="H32" s="23"/>
      <x:c r="I32" s="23">
        <x:f t="shared" si="0"/>
        <x:v>46195</x:v>
      </x:c>
      <x:c r="J32" s="24">
        <x:f t="shared" si="1"/>
        <x:v>46201</x:v>
      </x:c>
      <x:c r="K32" s="24">
        <x:f t="shared" si="2"/>
        <x:v>-1</x:v>
      </x:c>
      <x:c r="L32" s="23"/>
      <x:c r="M32" s="25"/>
      <x:c r="N32" s="23"/>
      <x:c r="O32" s="23">
        <x:f t="shared" si="4"/>
        <x:v>0</x:v>
      </x:c>
      <x:c r="P32" s="23">
        <x:f t="shared" si="5"/>
        <x:v>0</x:v>
      </x:c>
      <x:c r="Q32" s="8"/>
      <x:c r="R32" s="31"/>
      <x:c r="S32" s="28"/>
      <x:c r="T32" s="28"/>
      <x:c r="U32" s="28"/>
      <x:c r="V32" s="28"/>
      <x:c r="W32" s="28"/>
      <x:c r="X32" s="28"/>
      <x:c r="Y32" s="28"/>
      <x:c r="Z32" s="28"/>
      <x:c r="AA32" s="28"/>
      <x:c r="AB32" s="28"/>
      <x:c r="AC32" s="28"/>
      <x:c r="AD32" s="28"/>
      <x:c r="AE32" s="28"/>
      <x:c r="AF32" s="28"/>
      <x:c r="AG32" s="28"/>
      <x:c r="AH32" s="28"/>
      <x:c r="AI32" s="28"/>
      <x:c r="AJ32" s="28"/>
      <x:c r="AK32" s="28"/>
      <x:c r="AL32" s="38"/>
      <x:c r="AM32" s="28"/>
      <x:c r="AN32" s="28"/>
      <x:c r="AO32" s="28"/>
      <x:c r="AP32" s="28"/>
      <x:c r="AQ32" s="28"/>
      <x:c r="AR32" s="28"/>
      <x:c r="AS32" s="28"/>
      <x:c r="AT32" s="28"/>
      <x:c r="AU32" s="28"/>
      <x:c r="AV32" s="28"/>
      <x:c r="AW32" s="28"/>
      <x:c r="AX32" s="28"/>
      <x:c r="AY32" s="28"/>
      <x:c r="AZ32" s="28"/>
      <x:c r="BA32" s="28"/>
      <x:c r="BB32" s="28"/>
      <x:c r="BC32" s="28"/>
      <x:c r="BD32" s="28"/>
      <x:c r="BE32" s="28"/>
      <x:c r="BF32" s="28"/>
      <x:c r="BG32" s="28"/>
      <x:c r="BH32" s="28"/>
      <x:c r="BI32" s="28"/>
      <x:c r="BJ32" s="28"/>
      <x:c r="BK32" s="28"/>
      <x:c r="BL32" s="28"/>
      <x:c r="BM32" s="28"/>
      <x:c r="BN32" s="28"/>
      <x:c r="BO32" s="28"/>
      <x:c r="BP32" s="28"/>
      <x:c r="BQ32" s="29"/>
    </x:row>
    <x:row r="33" ht="42" customHeight="1">
      <x:c r="A33" s="5"/>
      <x:c r="B33" s="11"/>
      <x:c r="C33" s="6"/>
      <x:c r="D33" s="6"/>
      <x:c r="E33" s="6"/>
      <x:c r="F33" s="23"/>
      <x:c r="G33" s="23"/>
      <x:c r="H33" s="23"/>
      <x:c r="I33" s="23">
        <x:f t="shared" si="0"/>
        <x:v>46195</x:v>
      </x:c>
      <x:c r="J33" s="24">
        <x:f t="shared" si="1"/>
        <x:v>46201</x:v>
      </x:c>
      <x:c r="K33" s="24">
        <x:f t="shared" si="2"/>
        <x:v>-1</x:v>
      </x:c>
      <x:c r="L33" s="23"/>
      <x:c r="M33" s="25"/>
      <x:c r="N33" s="23"/>
      <x:c r="O33" s="23">
        <x:f t="shared" si="4"/>
        <x:v>0</x:v>
      </x:c>
      <x:c r="P33" s="23">
        <x:f t="shared" si="5"/>
        <x:v>0</x:v>
      </x:c>
      <x:c r="Q33" s="8"/>
      <x:c r="R33" s="31"/>
      <x:c r="S33" s="28"/>
      <x:c r="T33" s="28"/>
      <x:c r="U33" s="28"/>
      <x:c r="V33" s="28"/>
      <x:c r="W33" s="28"/>
      <x:c r="X33" s="28"/>
      <x:c r="Y33" s="28"/>
      <x:c r="Z33" s="28"/>
      <x:c r="AA33" s="28"/>
      <x:c r="AB33" s="28"/>
      <x:c r="AC33" s="28"/>
      <x:c r="AD33" s="28"/>
      <x:c r="AE33" s="28"/>
      <x:c r="AF33" s="28"/>
      <x:c r="AG33" s="28"/>
      <x:c r="AH33" s="28"/>
      <x:c r="AI33" s="28"/>
      <x:c r="AJ33" s="28"/>
      <x:c r="AK33" s="28"/>
      <x:c r="AL33" s="36"/>
      <x:c r="AM33" s="37"/>
      <x:c r="AN33" s="28"/>
      <x:c r="AO33" s="28"/>
      <x:c r="AP33" s="28"/>
      <x:c r="AQ33" s="28"/>
      <x:c r="AR33" s="28"/>
      <x:c r="AS33" s="28"/>
      <x:c r="AT33" s="28"/>
      <x:c r="AU33" s="28"/>
      <x:c r="AV33" s="28"/>
      <x:c r="AW33" s="28"/>
      <x:c r="AX33" s="28"/>
      <x:c r="AY33" s="28"/>
      <x:c r="AZ33" s="28"/>
      <x:c r="BA33" s="28"/>
      <x:c r="BB33" s="28"/>
      <x:c r="BC33" s="28"/>
      <x:c r="BD33" s="28"/>
      <x:c r="BE33" s="28"/>
      <x:c r="BF33" s="28"/>
      <x:c r="BG33" s="28"/>
      <x:c r="BH33" s="28"/>
      <x:c r="BI33" s="28"/>
      <x:c r="BJ33" s="28"/>
      <x:c r="BK33" s="28"/>
      <x:c r="BL33" s="28"/>
      <x:c r="BM33" s="28"/>
      <x:c r="BN33" s="28"/>
      <x:c r="BO33" s="28"/>
      <x:c r="BP33" s="28"/>
      <x:c r="BQ33" s="29"/>
    </x:row>
    <x:row r="34" ht="42" customHeight="1">
      <x:c r="A34" s="5"/>
      <x:c r="B34" s="11"/>
      <x:c r="C34" s="6"/>
      <x:c r="D34" s="6"/>
      <x:c r="E34" s="6"/>
      <x:c r="F34" s="23"/>
      <x:c r="G34" s="23"/>
      <x:c r="H34" s="23"/>
      <x:c r="I34" s="23">
        <x:f t="shared" si="0"/>
        <x:v>46195</x:v>
      </x:c>
      <x:c r="J34" s="24">
        <x:f t="shared" si="1"/>
        <x:v>46201</x:v>
      </x:c>
      <x:c r="K34" s="24">
        <x:f t="shared" si="2"/>
        <x:v>-1</x:v>
      </x:c>
      <x:c r="L34" s="23"/>
      <x:c r="M34" s="25"/>
      <x:c r="N34" s="23"/>
      <x:c r="O34" s="23">
        <x:f t="shared" si="4"/>
        <x:v>0</x:v>
      </x:c>
      <x:c r="P34" s="23">
        <x:f t="shared" si="5"/>
        <x:v>0</x:v>
      </x:c>
      <x:c r="Q34" s="8"/>
      <x:c r="R34" s="31"/>
      <x:c r="S34" s="28"/>
      <x:c r="T34" s="28"/>
      <x:c r="U34" s="28"/>
      <x:c r="V34" s="28"/>
      <x:c r="W34" s="28"/>
      <x:c r="X34" s="28"/>
      <x:c r="Y34" s="28"/>
      <x:c r="Z34" s="28"/>
      <x:c r="AA34" s="28"/>
      <x:c r="AB34" s="28"/>
      <x:c r="AC34" s="28"/>
      <x:c r="AD34" s="28"/>
      <x:c r="AE34" s="28"/>
      <x:c r="AF34" s="28"/>
      <x:c r="AG34" s="28"/>
      <x:c r="AH34" s="28"/>
      <x:c r="AI34" s="28"/>
      <x:c r="AJ34" s="28"/>
      <x:c r="AK34" s="28"/>
      <x:c r="AL34" s="28"/>
      <x:c r="AM34" s="36"/>
      <x:c r="AN34" s="37"/>
      <x:c r="AO34" s="28"/>
      <x:c r="AP34" s="28"/>
      <x:c r="AQ34" s="28"/>
      <x:c r="AR34" s="28"/>
      <x:c r="AS34" s="28"/>
      <x:c r="AT34" s="28"/>
      <x:c r="AU34" s="28"/>
      <x:c r="AV34" s="28"/>
      <x:c r="AW34" s="28"/>
      <x:c r="AX34" s="28"/>
      <x:c r="AY34" s="28"/>
      <x:c r="AZ34" s="28"/>
      <x:c r="BA34" s="28"/>
      <x:c r="BB34" s="28"/>
      <x:c r="BC34" s="28"/>
      <x:c r="BD34" s="28"/>
      <x:c r="BE34" s="28"/>
      <x:c r="BF34" s="28"/>
      <x:c r="BG34" s="28"/>
      <x:c r="BH34" s="28"/>
      <x:c r="BI34" s="28"/>
      <x:c r="BJ34" s="28"/>
      <x:c r="BK34" s="28"/>
      <x:c r="BL34" s="28"/>
      <x:c r="BM34" s="28"/>
      <x:c r="BN34" s="28"/>
      <x:c r="BO34" s="28"/>
      <x:c r="BP34" s="28"/>
      <x:c r="BQ34" s="29"/>
    </x:row>
    <x:row r="35" ht="42" customHeight="1">
      <x:c r="A35" s="5"/>
      <x:c r="B35" s="11"/>
      <x:c r="C35" s="6"/>
      <x:c r="D35" s="6"/>
      <x:c r="E35" s="6"/>
      <x:c r="F35" s="23"/>
      <x:c r="G35" s="23"/>
      <x:c r="H35" s="23"/>
      <x:c r="I35" s="23">
        <x:f t="shared" si="0"/>
        <x:v>46195</x:v>
      </x:c>
      <x:c r="J35" s="24">
        <x:f t="shared" si="1"/>
        <x:v>46201</x:v>
      </x:c>
      <x:c r="K35" s="24">
        <x:f t="shared" si="2"/>
        <x:v>-1</x:v>
      </x:c>
      <x:c r="L35" s="23"/>
      <x:c r="M35" s="25"/>
      <x:c r="N35" s="23"/>
      <x:c r="O35" s="23">
        <x:f t="shared" si="4"/>
        <x:v>0</x:v>
      </x:c>
      <x:c r="P35" s="23">
        <x:f t="shared" si="5"/>
        <x:v>0</x:v>
      </x:c>
      <x:c r="Q35" s="8"/>
      <x:c r="R35" s="31"/>
      <x:c r="S35" s="28"/>
      <x:c r="T35" s="28"/>
      <x:c r="U35" s="28"/>
      <x:c r="V35" s="28"/>
      <x:c r="W35" s="28"/>
      <x:c r="X35" s="28"/>
      <x:c r="Y35" s="28"/>
      <x:c r="Z35" s="28"/>
      <x:c r="AA35" s="28"/>
      <x:c r="AB35" s="28"/>
      <x:c r="AC35" s="28"/>
      <x:c r="AD35" s="28"/>
      <x:c r="AE35" s="28"/>
      <x:c r="AF35" s="28"/>
      <x:c r="AG35" s="28"/>
      <x:c r="AH35" s="28"/>
      <x:c r="AI35" s="28"/>
      <x:c r="AJ35" s="28"/>
      <x:c r="AK35" s="28"/>
      <x:c r="AL35" s="28"/>
      <x:c r="AM35" s="28"/>
      <x:c r="AN35" s="28"/>
      <x:c r="AO35" s="38"/>
      <x:c r="AP35" s="28"/>
      <x:c r="AQ35" s="28"/>
      <x:c r="AR35" s="28"/>
      <x:c r="AS35" s="28"/>
      <x:c r="AT35" s="28"/>
      <x:c r="AU35" s="28"/>
      <x:c r="AV35" s="28"/>
      <x:c r="AW35" s="28"/>
      <x:c r="AX35" s="28"/>
      <x:c r="AY35" s="28"/>
      <x:c r="AZ35" s="28"/>
      <x:c r="BA35" s="28"/>
      <x:c r="BB35" s="28"/>
      <x:c r="BC35" s="28"/>
      <x:c r="BD35" s="28"/>
      <x:c r="BE35" s="28"/>
      <x:c r="BF35" s="28"/>
      <x:c r="BG35" s="28"/>
      <x:c r="BH35" s="28"/>
      <x:c r="BI35" s="28"/>
      <x:c r="BJ35" s="28"/>
      <x:c r="BK35" s="28"/>
      <x:c r="BL35" s="28"/>
      <x:c r="BM35" s="28"/>
      <x:c r="BN35" s="28"/>
      <x:c r="BO35" s="28"/>
      <x:c r="BP35" s="28"/>
      <x:c r="BQ35" s="29"/>
    </x:row>
    <x:row r="36" ht="42" customHeight="1">
      <x:c r="A36" s="5"/>
      <x:c r="B36" s="12"/>
      <x:c r="C36" s="6"/>
      <x:c r="D36" s="6"/>
      <x:c r="E36" s="6"/>
      <x:c r="F36" s="23"/>
      <x:c r="G36" s="23"/>
      <x:c r="H36" s="23"/>
      <x:c r="I36" s="23">
        <x:f t="shared" si="0"/>
        <x:v>46195</x:v>
      </x:c>
      <x:c r="J36" s="24">
        <x:f t="shared" si="1"/>
        <x:v>46201</x:v>
      </x:c>
      <x:c r="K36" s="24">
        <x:f t="shared" si="2"/>
        <x:v>-1</x:v>
      </x:c>
      <x:c r="L36" s="23"/>
      <x:c r="M36" s="25"/>
      <x:c r="N36" s="23"/>
      <x:c r="O36" s="23">
        <x:f t="shared" si="4"/>
        <x:v>0</x:v>
      </x:c>
      <x:c r="P36" s="23">
        <x:f t="shared" si="5"/>
        <x:v>0</x:v>
      </x:c>
      <x:c r="Q36" s="8"/>
      <x:c r="R36" s="31"/>
      <x:c r="S36" s="28"/>
      <x:c r="T36" s="28"/>
      <x:c r="U36" s="28"/>
      <x:c r="V36" s="28"/>
      <x:c r="W36" s="28"/>
      <x:c r="X36" s="28"/>
      <x:c r="Y36" s="28"/>
      <x:c r="Z36" s="28"/>
      <x:c r="AA36" s="28"/>
      <x:c r="AB36" s="28"/>
      <x:c r="AC36" s="28"/>
      <x:c r="AD36" s="28"/>
      <x:c r="AE36" s="28"/>
      <x:c r="AF36" s="28"/>
      <x:c r="AG36" s="28"/>
      <x:c r="AH36" s="28"/>
      <x:c r="AI36" s="28"/>
      <x:c r="AJ36" s="28"/>
      <x:c r="AK36" s="28"/>
      <x:c r="AL36" s="28"/>
      <x:c r="AM36" s="28"/>
      <x:c r="AN36" s="28"/>
      <x:c r="AO36" s="28"/>
      <x:c r="AP36" s="39"/>
      <x:c r="AQ36" s="28"/>
      <x:c r="AR36" s="28"/>
      <x:c r="AS36" s="28"/>
      <x:c r="AT36" s="28"/>
      <x:c r="AU36" s="28"/>
      <x:c r="AV36" s="28"/>
      <x:c r="AW36" s="28"/>
      <x:c r="AX36" s="28"/>
      <x:c r="AY36" s="28"/>
      <x:c r="AZ36" s="28"/>
      <x:c r="BA36" s="28"/>
      <x:c r="BB36" s="28"/>
      <x:c r="BC36" s="28"/>
      <x:c r="BD36" s="28"/>
      <x:c r="BE36" s="28"/>
      <x:c r="BF36" s="28"/>
      <x:c r="BG36" s="28"/>
      <x:c r="BH36" s="28"/>
      <x:c r="BI36" s="28"/>
      <x:c r="BJ36" s="28"/>
      <x:c r="BK36" s="28"/>
      <x:c r="BL36" s="28"/>
      <x:c r="BM36" s="28"/>
      <x:c r="BN36" s="28"/>
      <x:c r="BO36" s="28"/>
      <x:c r="BP36" s="28"/>
      <x:c r="BQ36" s="29"/>
    </x:row>
    <x:row r="37" ht="42" customHeight="1">
      <x:c r="A37" s="5"/>
      <x:c r="B37" s="12"/>
      <x:c r="C37" s="6"/>
      <x:c r="D37" s="6"/>
      <x:c r="E37" s="6"/>
      <x:c r="F37" s="23"/>
      <x:c r="G37" s="23"/>
      <x:c r="H37" s="23"/>
      <x:c r="I37" s="23">
        <x:f t="shared" si="0"/>
        <x:v>46195</x:v>
      </x:c>
      <x:c r="J37" s="24">
        <x:f t="shared" si="1"/>
        <x:v>46201</x:v>
      </x:c>
      <x:c r="K37" s="24">
        <x:f t="shared" si="2"/>
        <x:v>-1</x:v>
      </x:c>
      <x:c r="L37" s="23"/>
      <x:c r="M37" s="25"/>
      <x:c r="N37" s="23"/>
      <x:c r="O37" s="23">
        <x:f t="shared" si="4"/>
        <x:v>0</x:v>
      </x:c>
      <x:c r="P37" s="23">
        <x:f t="shared" si="5"/>
        <x:v>0</x:v>
      </x:c>
      <x:c r="Q37" s="8"/>
      <x:c r="R37" s="31"/>
      <x:c r="S37" s="28"/>
      <x:c r="T37" s="28"/>
      <x:c r="U37" s="28"/>
      <x:c r="V37" s="28"/>
      <x:c r="W37" s="28"/>
      <x:c r="X37" s="28"/>
      <x:c r="Y37" s="28"/>
      <x:c r="Z37" s="28"/>
      <x:c r="AA37" s="28"/>
      <x:c r="AB37" s="28"/>
      <x:c r="AC37" s="28"/>
      <x:c r="AD37" s="28"/>
      <x:c r="AE37" s="28"/>
      <x:c r="AF37" s="28"/>
      <x:c r="AG37" s="28"/>
      <x:c r="AH37" s="28"/>
      <x:c r="AI37" s="28"/>
      <x:c r="AJ37" s="28"/>
      <x:c r="AK37" s="28"/>
      <x:c r="AL37" s="28"/>
      <x:c r="AM37" s="28"/>
      <x:c r="AN37" s="28"/>
      <x:c r="AO37" s="28"/>
      <x:c r="AP37" s="40"/>
      <x:c r="AQ37" s="41"/>
      <x:c r="AR37" s="28"/>
      <x:c r="AS37" s="28"/>
      <x:c r="AT37" s="28"/>
      <x:c r="AU37" s="28"/>
      <x:c r="AV37" s="28"/>
      <x:c r="AW37" s="28"/>
      <x:c r="AX37" s="28"/>
      <x:c r="AY37" s="28"/>
      <x:c r="AZ37" s="28"/>
      <x:c r="BA37" s="28"/>
      <x:c r="BB37" s="28"/>
      <x:c r="BC37" s="28"/>
      <x:c r="BD37" s="28"/>
      <x:c r="BE37" s="28"/>
      <x:c r="BF37" s="28"/>
      <x:c r="BG37" s="28"/>
      <x:c r="BH37" s="28"/>
      <x:c r="BI37" s="28"/>
      <x:c r="BJ37" s="28"/>
      <x:c r="BK37" s="28"/>
      <x:c r="BL37" s="28"/>
      <x:c r="BM37" s="28"/>
      <x:c r="BN37" s="28"/>
      <x:c r="BO37" s="28"/>
      <x:c r="BP37" s="28"/>
      <x:c r="BQ37" s="29"/>
    </x:row>
    <x:row r="38" ht="42" customHeight="1">
      <x:c r="A38" s="5"/>
      <x:c r="B38" s="12"/>
      <x:c r="C38" s="6"/>
      <x:c r="D38" s="6"/>
      <x:c r="E38" s="6"/>
      <x:c r="F38" s="23"/>
      <x:c r="G38" s="23"/>
      <x:c r="H38" s="23"/>
      <x:c r="I38" s="23" t="n">
        <x:f t="shared" ref="I38:I63" si="6">H38-G38+1</x:f>
        <x:v>1</x:v>
      </x:c>
      <x:c r="J38" s="24" t="n">
        <x:f t="shared" ref="J38:J63" si="7">$C$1+(G38-1)*7</x:f>
        <x:v>-7</x:v>
      </x:c>
      <x:c r="K38" s="24" t="n">
        <x:f t="shared" ref="K38:K63" si="8">$C$1+H38*7-1</x:f>
        <x:v>-1</x:v>
      </x:c>
      <x:c r="L38" s="23"/>
      <x:c r="M38" s="25"/>
      <x:c r="N38" s="23"/>
      <x:c r="O38" s="23" t="str">
        <x:f t="shared" ref="O38:O63" si="9">IF(N38="","",N38-F38)</x:f>
      </x:c>
      <x:c r="P38" s="23" t="n">
        <x:f t="shared" ref="P38:P63" si="10">MAX(F38*(1-M38),0)</x:f>
        <x:v>0</x:v>
      </x:c>
      <x:c r="Q38" s="8"/>
      <x:c r="R38" s="31"/>
      <x:c r="S38" s="28"/>
      <x:c r="T38" s="28"/>
      <x:c r="U38" s="28"/>
      <x:c r="V38" s="28"/>
      <x:c r="W38" s="28"/>
      <x:c r="X38" s="28"/>
      <x:c r="Y38" s="28"/>
      <x:c r="Z38" s="28"/>
      <x:c r="AA38" s="28"/>
      <x:c r="AB38" s="28"/>
      <x:c r="AC38" s="28"/>
      <x:c r="AD38" s="28"/>
      <x:c r="AE38" s="28"/>
      <x:c r="AF38" s="28"/>
      <x:c r="AG38" s="28"/>
      <x:c r="AH38" s="28"/>
      <x:c r="AI38" s="28"/>
      <x:c r="AJ38" s="28"/>
      <x:c r="AK38" s="28"/>
      <x:c r="AL38" s="28"/>
      <x:c r="AM38" s="28"/>
      <x:c r="AN38" s="28"/>
      <x:c r="AO38" s="28"/>
      <x:c r="AP38" s="28"/>
      <x:c r="AQ38" s="40"/>
      <x:c r="AR38" s="42"/>
      <x:c r="AS38" s="41"/>
      <x:c r="AT38" s="28"/>
      <x:c r="AU38" s="28"/>
      <x:c r="AV38" s="28"/>
      <x:c r="AW38" s="28"/>
      <x:c r="AX38" s="28"/>
      <x:c r="AY38" s="28"/>
      <x:c r="AZ38" s="28"/>
      <x:c r="BA38" s="28"/>
      <x:c r="BB38" s="28"/>
      <x:c r="BC38" s="28"/>
      <x:c r="BD38" s="28"/>
      <x:c r="BE38" s="28"/>
      <x:c r="BF38" s="28"/>
      <x:c r="BG38" s="28"/>
      <x:c r="BH38" s="28"/>
      <x:c r="BI38" s="28"/>
      <x:c r="BJ38" s="28"/>
      <x:c r="BK38" s="28"/>
      <x:c r="BL38" s="28"/>
      <x:c r="BM38" s="28"/>
      <x:c r="BN38" s="28"/>
      <x:c r="BO38" s="28"/>
      <x:c r="BP38" s="28"/>
      <x:c r="BQ38" s="29"/>
    </x:row>
    <x:row r="39" ht="42" customHeight="1">
      <x:c r="A39" s="5"/>
      <x:c r="B39" s="12"/>
      <x:c r="C39" s="6"/>
      <x:c r="D39" s="6"/>
      <x:c r="E39" s="6"/>
      <x:c r="F39" s="23"/>
      <x:c r="G39" s="23"/>
      <x:c r="H39" s="23"/>
      <x:c r="I39" s="23">
        <x:f t="shared" si="6"/>
        <x:v>1</x:v>
      </x:c>
      <x:c r="J39" s="24">
        <x:f t="shared" si="7"/>
        <x:v>-7</x:v>
      </x:c>
      <x:c r="K39" s="24">
        <x:f t="shared" si="8"/>
        <x:v>-1</x:v>
      </x:c>
      <x:c r="L39" s="23"/>
      <x:c r="M39" s="25"/>
      <x:c r="N39" s="23"/>
      <x:c r="O39" s="23" t="str">
        <x:f t="shared" si="9"/>
      </x:c>
      <x:c r="P39" s="23">
        <x:f t="shared" si="10"/>
        <x:v>0</x:v>
      </x:c>
      <x:c r="Q39" s="8"/>
      <x:c r="R39" s="31"/>
      <x:c r="S39" s="28"/>
      <x:c r="T39" s="28"/>
      <x:c r="U39" s="28"/>
      <x:c r="V39" s="28"/>
      <x:c r="W39" s="28"/>
      <x:c r="X39" s="28"/>
      <x:c r="Y39" s="28"/>
      <x:c r="Z39" s="28"/>
      <x:c r="AA39" s="28"/>
      <x:c r="AB39" s="28"/>
      <x:c r="AC39" s="28"/>
      <x:c r="AD39" s="28"/>
      <x:c r="AE39" s="28"/>
      <x:c r="AF39" s="28"/>
      <x:c r="AG39" s="28"/>
      <x:c r="AH39" s="28"/>
      <x:c r="AI39" s="28"/>
      <x:c r="AJ39" s="28"/>
      <x:c r="AK39" s="28"/>
      <x:c r="AL39" s="28"/>
      <x:c r="AM39" s="28"/>
      <x:c r="AN39" s="28"/>
      <x:c r="AO39" s="28"/>
      <x:c r="AP39" s="28"/>
      <x:c r="AQ39" s="28"/>
      <x:c r="AR39" s="28"/>
      <x:c r="AS39" s="40"/>
      <x:c r="AT39" s="41"/>
      <x:c r="AU39" s="28"/>
      <x:c r="AV39" s="28"/>
      <x:c r="AW39" s="28"/>
      <x:c r="AX39" s="28"/>
      <x:c r="AY39" s="28"/>
      <x:c r="AZ39" s="28"/>
      <x:c r="BA39" s="28"/>
      <x:c r="BB39" s="28"/>
      <x:c r="BC39" s="28"/>
      <x:c r="BD39" s="28"/>
      <x:c r="BE39" s="28"/>
      <x:c r="BF39" s="28"/>
      <x:c r="BG39" s="28"/>
      <x:c r="BH39" s="28"/>
      <x:c r="BI39" s="28"/>
      <x:c r="BJ39" s="28"/>
      <x:c r="BK39" s="28"/>
      <x:c r="BL39" s="28"/>
      <x:c r="BM39" s="28"/>
      <x:c r="BN39" s="28"/>
      <x:c r="BO39" s="28"/>
      <x:c r="BP39" s="28"/>
      <x:c r="BQ39" s="29"/>
    </x:row>
    <x:row r="40" ht="42" customHeight="1">
      <x:c r="A40" s="5"/>
      <x:c r="B40" s="12"/>
      <x:c r="C40" s="6"/>
      <x:c r="D40" s="6"/>
      <x:c r="E40" s="6"/>
      <x:c r="F40" s="23"/>
      <x:c r="G40" s="23"/>
      <x:c r="H40" s="23"/>
      <x:c r="I40" s="23">
        <x:f t="shared" si="6"/>
        <x:v>1</x:v>
      </x:c>
      <x:c r="J40" s="24">
        <x:f t="shared" si="7"/>
        <x:v>-7</x:v>
      </x:c>
      <x:c r="K40" s="24">
        <x:f t="shared" si="8"/>
        <x:v>-1</x:v>
      </x:c>
      <x:c r="L40" s="23"/>
      <x:c r="M40" s="25"/>
      <x:c r="N40" s="23"/>
      <x:c r="O40" s="23" t="str">
        <x:f t="shared" si="9"/>
      </x:c>
      <x:c r="P40" s="23">
        <x:f t="shared" si="10"/>
        <x:v>0</x:v>
      </x:c>
      <x:c r="Q40" s="8"/>
      <x:c r="R40" s="31"/>
      <x:c r="S40" s="28"/>
      <x:c r="T40" s="28"/>
      <x:c r="U40" s="28"/>
      <x:c r="V40" s="28"/>
      <x:c r="W40" s="28"/>
      <x:c r="X40" s="28"/>
      <x:c r="Y40" s="28"/>
      <x:c r="Z40" s="28"/>
      <x:c r="AA40" s="28"/>
      <x:c r="AB40" s="28"/>
      <x:c r="AC40" s="28"/>
      <x:c r="AD40" s="28"/>
      <x:c r="AE40" s="28"/>
      <x:c r="AF40" s="28"/>
      <x:c r="AG40" s="28"/>
      <x:c r="AH40" s="28"/>
      <x:c r="AI40" s="28"/>
      <x:c r="AJ40" s="28"/>
      <x:c r="AK40" s="28"/>
      <x:c r="AL40" s="28"/>
      <x:c r="AM40" s="28"/>
      <x:c r="AN40" s="28"/>
      <x:c r="AO40" s="28"/>
      <x:c r="AP40" s="28"/>
      <x:c r="AQ40" s="28"/>
      <x:c r="AR40" s="28"/>
      <x:c r="AS40" s="28"/>
      <x:c r="AT40" s="40"/>
      <x:c r="AU40" s="41"/>
      <x:c r="AV40" s="28"/>
      <x:c r="AW40" s="28"/>
      <x:c r="AX40" s="28"/>
      <x:c r="AY40" s="28"/>
      <x:c r="AZ40" s="28"/>
      <x:c r="BA40" s="28"/>
      <x:c r="BB40" s="28"/>
      <x:c r="BC40" s="28"/>
      <x:c r="BD40" s="28"/>
      <x:c r="BE40" s="28"/>
      <x:c r="BF40" s="28"/>
      <x:c r="BG40" s="28"/>
      <x:c r="BH40" s="28"/>
      <x:c r="BI40" s="28"/>
      <x:c r="BJ40" s="28"/>
      <x:c r="BK40" s="28"/>
      <x:c r="BL40" s="28"/>
      <x:c r="BM40" s="28"/>
      <x:c r="BN40" s="28"/>
      <x:c r="BO40" s="28"/>
      <x:c r="BP40" s="28"/>
      <x:c r="BQ40" s="29"/>
    </x:row>
    <x:row r="41" ht="42" customHeight="1">
      <x:c r="A41" s="5"/>
      <x:c r="B41" s="12"/>
      <x:c r="C41" s="6"/>
      <x:c r="D41" s="6"/>
      <x:c r="E41" s="6"/>
      <x:c r="F41" s="23"/>
      <x:c r="G41" s="23"/>
      <x:c r="H41" s="23"/>
      <x:c r="I41" s="23">
        <x:f t="shared" si="6"/>
        <x:v>1</x:v>
      </x:c>
      <x:c r="J41" s="24">
        <x:f t="shared" si="7"/>
        <x:v>-7</x:v>
      </x:c>
      <x:c r="K41" s="24">
        <x:f t="shared" si="8"/>
        <x:v>-1</x:v>
      </x:c>
      <x:c r="L41" s="23"/>
      <x:c r="M41" s="25"/>
      <x:c r="N41" s="23"/>
      <x:c r="O41" s="23" t="str">
        <x:f t="shared" si="9"/>
      </x:c>
      <x:c r="P41" s="23">
        <x:f t="shared" si="10"/>
        <x:v>0</x:v>
      </x:c>
      <x:c r="Q41" s="8"/>
      <x:c r="R41" s="31"/>
      <x:c r="S41" s="28"/>
      <x:c r="T41" s="28"/>
      <x:c r="U41" s="28"/>
      <x:c r="V41" s="28"/>
      <x:c r="W41" s="28"/>
      <x:c r="X41" s="28"/>
      <x:c r="Y41" s="28"/>
      <x:c r="Z41" s="28"/>
      <x:c r="AA41" s="28"/>
      <x:c r="AB41" s="28"/>
      <x:c r="AC41" s="28"/>
      <x:c r="AD41" s="28"/>
      <x:c r="AE41" s="28"/>
      <x:c r="AF41" s="28"/>
      <x:c r="AG41" s="28"/>
      <x:c r="AH41" s="28"/>
      <x:c r="AI41" s="28"/>
      <x:c r="AJ41" s="28"/>
      <x:c r="AK41" s="28"/>
      <x:c r="AL41" s="28"/>
      <x:c r="AM41" s="28"/>
      <x:c r="AN41" s="28"/>
      <x:c r="AO41" s="28"/>
      <x:c r="AP41" s="28"/>
      <x:c r="AQ41" s="28"/>
      <x:c r="AR41" s="28"/>
      <x:c r="AS41" s="28"/>
      <x:c r="AT41" s="28"/>
      <x:c r="AU41" s="40"/>
      <x:c r="AV41" s="41"/>
      <x:c r="AW41" s="28"/>
      <x:c r="AX41" s="28"/>
      <x:c r="AY41" s="28"/>
      <x:c r="AZ41" s="28"/>
      <x:c r="BA41" s="28"/>
      <x:c r="BB41" s="28"/>
      <x:c r="BC41" s="28"/>
      <x:c r="BD41" s="28"/>
      <x:c r="BE41" s="28"/>
      <x:c r="BF41" s="28"/>
      <x:c r="BG41" s="28"/>
      <x:c r="BH41" s="28"/>
      <x:c r="BI41" s="28"/>
      <x:c r="BJ41" s="28"/>
      <x:c r="BK41" s="28"/>
      <x:c r="BL41" s="28"/>
      <x:c r="BM41" s="28"/>
      <x:c r="BN41" s="28"/>
      <x:c r="BO41" s="28"/>
      <x:c r="BP41" s="28"/>
      <x:c r="BQ41" s="29"/>
    </x:row>
    <x:row r="42" ht="42" customHeight="1">
      <x:c r="A42" s="5"/>
      <x:c r="B42" s="12"/>
      <x:c r="C42" s="6"/>
      <x:c r="D42" s="6"/>
      <x:c r="E42" s="6"/>
      <x:c r="F42" s="23"/>
      <x:c r="G42" s="23"/>
      <x:c r="H42" s="23"/>
      <x:c r="I42" s="23">
        <x:f t="shared" si="6"/>
        <x:v>1</x:v>
      </x:c>
      <x:c r="J42" s="24">
        <x:f t="shared" si="7"/>
        <x:v>-7</x:v>
      </x:c>
      <x:c r="K42" s="24">
        <x:f t="shared" si="8"/>
        <x:v>-1</x:v>
      </x:c>
      <x:c r="L42" s="23"/>
      <x:c r="M42" s="25"/>
      <x:c r="N42" s="23"/>
      <x:c r="O42" s="23" t="str">
        <x:f t="shared" si="9"/>
      </x:c>
      <x:c r="P42" s="23">
        <x:f t="shared" si="10"/>
        <x:v>0</x:v>
      </x:c>
      <x:c r="Q42" s="8"/>
      <x:c r="R42" s="31"/>
      <x:c r="S42" s="28"/>
      <x:c r="T42" s="28"/>
      <x:c r="U42" s="28"/>
      <x:c r="V42" s="28"/>
      <x:c r="W42" s="28"/>
      <x:c r="X42" s="28"/>
      <x:c r="Y42" s="28"/>
      <x:c r="Z42" s="28"/>
      <x:c r="AA42" s="28"/>
      <x:c r="AB42" s="28"/>
      <x:c r="AC42" s="28"/>
      <x:c r="AD42" s="28"/>
      <x:c r="AE42" s="28"/>
      <x:c r="AF42" s="28"/>
      <x:c r="AG42" s="28"/>
      <x:c r="AH42" s="28"/>
      <x:c r="AI42" s="28"/>
      <x:c r="AJ42" s="28"/>
      <x:c r="AK42" s="28"/>
      <x:c r="AL42" s="28"/>
      <x:c r="AM42" s="28"/>
      <x:c r="AN42" s="28"/>
      <x:c r="AO42" s="28"/>
      <x:c r="AP42" s="28"/>
      <x:c r="AQ42" s="28"/>
      <x:c r="AR42" s="28"/>
      <x:c r="AS42" s="28"/>
      <x:c r="AT42" s="28"/>
      <x:c r="AU42" s="28"/>
      <x:c r="AV42" s="28"/>
      <x:c r="AW42" s="39"/>
      <x:c r="AX42" s="28"/>
      <x:c r="AY42" s="28"/>
      <x:c r="AZ42" s="28"/>
      <x:c r="BA42" s="28"/>
      <x:c r="BB42" s="28"/>
      <x:c r="BC42" s="28"/>
      <x:c r="BD42" s="28"/>
      <x:c r="BE42" s="28"/>
      <x:c r="BF42" s="28"/>
      <x:c r="BG42" s="28"/>
      <x:c r="BH42" s="28"/>
      <x:c r="BI42" s="28"/>
      <x:c r="BJ42" s="28"/>
      <x:c r="BK42" s="28"/>
      <x:c r="BL42" s="28"/>
      <x:c r="BM42" s="28"/>
      <x:c r="BN42" s="28"/>
      <x:c r="BO42" s="28"/>
      <x:c r="BP42" s="28"/>
      <x:c r="BQ42" s="29"/>
    </x:row>
    <x:row r="43" ht="42" customHeight="1">
      <x:c r="A43" s="5"/>
      <x:c r="B43" s="13"/>
      <x:c r="C43" s="6"/>
      <x:c r="D43" s="6"/>
      <x:c r="E43" s="6"/>
      <x:c r="F43" s="23"/>
      <x:c r="G43" s="23"/>
      <x:c r="H43" s="23"/>
      <x:c r="I43" s="23">
        <x:f t="shared" si="6"/>
        <x:v>1</x:v>
      </x:c>
      <x:c r="J43" s="24">
        <x:f t="shared" si="7"/>
        <x:v>-7</x:v>
      </x:c>
      <x:c r="K43" s="24">
        <x:f t="shared" si="8"/>
        <x:v>-1</x:v>
      </x:c>
      <x:c r="L43" s="23"/>
      <x:c r="M43" s="25"/>
      <x:c r="N43" s="23"/>
      <x:c r="O43" s="23" t="str">
        <x:f t="shared" si="9"/>
      </x:c>
      <x:c r="P43" s="23">
        <x:f t="shared" si="10"/>
        <x:v>0</x:v>
      </x:c>
      <x:c r="Q43" s="8"/>
      <x:c r="R43" s="31"/>
      <x:c r="S43" s="28"/>
      <x:c r="T43" s="28"/>
      <x:c r="U43" s="28"/>
      <x:c r="V43" s="28"/>
      <x:c r="W43" s="28"/>
      <x:c r="X43" s="28"/>
      <x:c r="Y43" s="28"/>
      <x:c r="Z43" s="28"/>
      <x:c r="AA43" s="28"/>
      <x:c r="AB43" s="28"/>
      <x:c r="AC43" s="28"/>
      <x:c r="AD43" s="28"/>
      <x:c r="AE43" s="28"/>
      <x:c r="AF43" s="28"/>
      <x:c r="AG43" s="28"/>
      <x:c r="AH43" s="28"/>
      <x:c r="AI43" s="28"/>
      <x:c r="AJ43" s="28"/>
      <x:c r="AK43" s="28"/>
      <x:c r="AL43" s="28"/>
      <x:c r="AM43" s="28"/>
      <x:c r="AN43" s="28"/>
      <x:c r="AO43" s="28"/>
      <x:c r="AP43" s="28"/>
      <x:c r="AQ43" s="28"/>
      <x:c r="AR43" s="28"/>
      <x:c r="AS43" s="28"/>
      <x:c r="AT43" s="28"/>
      <x:c r="AU43" s="28"/>
      <x:c r="AV43" s="28"/>
      <x:c r="AW43" s="28"/>
      <x:c r="AX43" s="43"/>
      <x:c r="AY43" s="28"/>
      <x:c r="AZ43" s="28"/>
      <x:c r="BA43" s="28"/>
      <x:c r="BB43" s="28"/>
      <x:c r="BC43" s="28"/>
      <x:c r="BD43" s="28"/>
      <x:c r="BE43" s="28"/>
      <x:c r="BF43" s="28"/>
      <x:c r="BG43" s="28"/>
      <x:c r="BH43" s="28"/>
      <x:c r="BI43" s="28"/>
      <x:c r="BJ43" s="28"/>
      <x:c r="BK43" s="28"/>
      <x:c r="BL43" s="28"/>
      <x:c r="BM43" s="28"/>
      <x:c r="BN43" s="28"/>
      <x:c r="BO43" s="28"/>
      <x:c r="BP43" s="28"/>
      <x:c r="BQ43" s="29"/>
    </x:row>
    <x:row r="44" ht="42" customHeight="1">
      <x:c r="A44" s="5"/>
      <x:c r="B44" s="13"/>
      <x:c r="C44" s="6"/>
      <x:c r="D44" s="6"/>
      <x:c r="E44" s="6"/>
      <x:c r="F44" s="23"/>
      <x:c r="G44" s="23"/>
      <x:c r="H44" s="23"/>
      <x:c r="I44" s="23">
        <x:f t="shared" si="6"/>
        <x:v>1</x:v>
      </x:c>
      <x:c r="J44" s="24">
        <x:f t="shared" si="7"/>
        <x:v>-7</x:v>
      </x:c>
      <x:c r="K44" s="24">
        <x:f t="shared" si="8"/>
        <x:v>-1</x:v>
      </x:c>
      <x:c r="L44" s="23"/>
      <x:c r="M44" s="25"/>
      <x:c r="N44" s="23"/>
      <x:c r="O44" s="23" t="str">
        <x:f t="shared" si="9"/>
      </x:c>
      <x:c r="P44" s="23">
        <x:f t="shared" si="10"/>
        <x:v>0</x:v>
      </x:c>
      <x:c r="Q44" s="8"/>
      <x:c r="R44" s="31"/>
      <x:c r="S44" s="28"/>
      <x:c r="T44" s="28"/>
      <x:c r="U44" s="28"/>
      <x:c r="V44" s="28"/>
      <x:c r="W44" s="28"/>
      <x:c r="X44" s="28"/>
      <x:c r="Y44" s="28"/>
      <x:c r="Z44" s="28"/>
      <x:c r="AA44" s="28"/>
      <x:c r="AB44" s="28"/>
      <x:c r="AC44" s="28"/>
      <x:c r="AD44" s="28"/>
      <x:c r="AE44" s="28"/>
      <x:c r="AF44" s="28"/>
      <x:c r="AG44" s="28"/>
      <x:c r="AH44" s="28"/>
      <x:c r="AI44" s="28"/>
      <x:c r="AJ44" s="28"/>
      <x:c r="AK44" s="28"/>
      <x:c r="AL44" s="28"/>
      <x:c r="AM44" s="28"/>
      <x:c r="AN44" s="28"/>
      <x:c r="AO44" s="28"/>
      <x:c r="AP44" s="28"/>
      <x:c r="AQ44" s="28"/>
      <x:c r="AR44" s="28"/>
      <x:c r="AS44" s="28"/>
      <x:c r="AT44" s="28"/>
      <x:c r="AU44" s="28"/>
      <x:c r="AV44" s="28"/>
      <x:c r="AW44" s="28"/>
      <x:c r="AX44" s="28"/>
      <x:c r="AY44" s="44"/>
      <x:c r="AZ44" s="45"/>
      <x:c r="BA44" s="28"/>
      <x:c r="BB44" s="28"/>
      <x:c r="BC44" s="28"/>
      <x:c r="BD44" s="28"/>
      <x:c r="BE44" s="28"/>
      <x:c r="BF44" s="28"/>
      <x:c r="BG44" s="28"/>
      <x:c r="BH44" s="28"/>
      <x:c r="BI44" s="28"/>
      <x:c r="BJ44" s="28"/>
      <x:c r="BK44" s="28"/>
      <x:c r="BL44" s="28"/>
      <x:c r="BM44" s="28"/>
      <x:c r="BN44" s="28"/>
      <x:c r="BO44" s="28"/>
      <x:c r="BP44" s="28"/>
      <x:c r="BQ44" s="29"/>
    </x:row>
    <x:row r="45" ht="42" customHeight="1">
      <x:c r="A45" s="5"/>
      <x:c r="B45" s="13"/>
      <x:c r="C45" s="6"/>
      <x:c r="D45" s="6"/>
      <x:c r="E45" s="6"/>
      <x:c r="F45" s="23"/>
      <x:c r="G45" s="23"/>
      <x:c r="H45" s="23"/>
      <x:c r="I45" s="23">
        <x:f t="shared" si="6"/>
        <x:v>1</x:v>
      </x:c>
      <x:c r="J45" s="24">
        <x:f t="shared" si="7"/>
        <x:v>-7</x:v>
      </x:c>
      <x:c r="K45" s="24">
        <x:f t="shared" si="8"/>
        <x:v>-1</x:v>
      </x:c>
      <x:c r="L45" s="23"/>
      <x:c r="M45" s="25"/>
      <x:c r="N45" s="23"/>
      <x:c r="O45" s="23" t="str">
        <x:f t="shared" si="9"/>
      </x:c>
      <x:c r="P45" s="23">
        <x:f t="shared" si="10"/>
        <x:v>0</x:v>
      </x:c>
      <x:c r="Q45" s="8"/>
      <x:c r="R45" s="31"/>
      <x:c r="S45" s="28"/>
      <x:c r="T45" s="28"/>
      <x:c r="U45" s="28"/>
      <x:c r="V45" s="28"/>
      <x:c r="W45" s="28"/>
      <x:c r="X45" s="28"/>
      <x:c r="Y45" s="28"/>
      <x:c r="Z45" s="28"/>
      <x:c r="AA45" s="28"/>
      <x:c r="AB45" s="28"/>
      <x:c r="AC45" s="28"/>
      <x:c r="AD45" s="28"/>
      <x:c r="AE45" s="28"/>
      <x:c r="AF45" s="28"/>
      <x:c r="AG45" s="28"/>
      <x:c r="AH45" s="28"/>
      <x:c r="AI45" s="28"/>
      <x:c r="AJ45" s="28"/>
      <x:c r="AK45" s="28"/>
      <x:c r="AL45" s="28"/>
      <x:c r="AM45" s="28"/>
      <x:c r="AN45" s="28"/>
      <x:c r="AO45" s="28"/>
      <x:c r="AP45" s="28"/>
      <x:c r="AQ45" s="28"/>
      <x:c r="AR45" s="28"/>
      <x:c r="AS45" s="28"/>
      <x:c r="AT45" s="28"/>
      <x:c r="AU45" s="28"/>
      <x:c r="AV45" s="28"/>
      <x:c r="AW45" s="28"/>
      <x:c r="AX45" s="28"/>
      <x:c r="AY45" s="28"/>
      <x:c r="AZ45" s="44"/>
      <x:c r="BA45" s="45"/>
      <x:c r="BB45" s="28"/>
      <x:c r="BC45" s="28"/>
      <x:c r="BD45" s="28"/>
      <x:c r="BE45" s="28"/>
      <x:c r="BF45" s="28"/>
      <x:c r="BG45" s="28"/>
      <x:c r="BH45" s="28"/>
      <x:c r="BI45" s="28"/>
      <x:c r="BJ45" s="28"/>
      <x:c r="BK45" s="28"/>
      <x:c r="BL45" s="28"/>
      <x:c r="BM45" s="28"/>
      <x:c r="BN45" s="28"/>
      <x:c r="BO45" s="28"/>
      <x:c r="BP45" s="28"/>
      <x:c r="BQ45" s="29"/>
    </x:row>
    <x:row r="46" ht="42" customHeight="1">
      <x:c r="A46" s="5"/>
      <x:c r="B46" s="13"/>
      <x:c r="C46" s="6"/>
      <x:c r="D46" s="6"/>
      <x:c r="E46" s="6"/>
      <x:c r="F46" s="23"/>
      <x:c r="G46" s="23"/>
      <x:c r="H46" s="23"/>
      <x:c r="I46" s="23">
        <x:f t="shared" si="6"/>
        <x:v>1</x:v>
      </x:c>
      <x:c r="J46" s="24">
        <x:f t="shared" si="7"/>
        <x:v>-7</x:v>
      </x:c>
      <x:c r="K46" s="24">
        <x:f t="shared" si="8"/>
        <x:v>-1</x:v>
      </x:c>
      <x:c r="L46" s="23"/>
      <x:c r="M46" s="25"/>
      <x:c r="N46" s="23"/>
      <x:c r="O46" s="23" t="str">
        <x:f t="shared" si="9"/>
      </x:c>
      <x:c r="P46" s="23">
        <x:f t="shared" si="10"/>
        <x:v>0</x:v>
      </x:c>
      <x:c r="Q46" s="8"/>
      <x:c r="R46" s="31"/>
      <x:c r="S46" s="28"/>
      <x:c r="T46" s="28"/>
      <x:c r="U46" s="28"/>
      <x:c r="V46" s="28"/>
      <x:c r="W46" s="28"/>
      <x:c r="X46" s="28"/>
      <x:c r="Y46" s="28"/>
      <x:c r="Z46" s="28"/>
      <x:c r="AA46" s="28"/>
      <x:c r="AB46" s="28"/>
      <x:c r="AC46" s="28"/>
      <x:c r="AD46" s="28"/>
      <x:c r="AE46" s="28"/>
      <x:c r="AF46" s="28"/>
      <x:c r="AG46" s="28"/>
      <x:c r="AH46" s="28"/>
      <x:c r="AI46" s="28"/>
      <x:c r="AJ46" s="28"/>
      <x:c r="AK46" s="28"/>
      <x:c r="AL46" s="28"/>
      <x:c r="AM46" s="28"/>
      <x:c r="AN46" s="28"/>
      <x:c r="AO46" s="28"/>
      <x:c r="AP46" s="28"/>
      <x:c r="AQ46" s="28"/>
      <x:c r="AR46" s="28"/>
      <x:c r="AS46" s="28"/>
      <x:c r="AT46" s="28"/>
      <x:c r="AU46" s="28"/>
      <x:c r="AV46" s="28"/>
      <x:c r="AW46" s="28"/>
      <x:c r="AX46" s="28"/>
      <x:c r="AY46" s="28"/>
      <x:c r="AZ46" s="28"/>
      <x:c r="BA46" s="43"/>
      <x:c r="BB46" s="28"/>
      <x:c r="BC46" s="28"/>
      <x:c r="BD46" s="28"/>
      <x:c r="BE46" s="28"/>
      <x:c r="BF46" s="28"/>
      <x:c r="BG46" s="28"/>
      <x:c r="BH46" s="28"/>
      <x:c r="BI46" s="28"/>
      <x:c r="BJ46" s="28"/>
      <x:c r="BK46" s="28"/>
      <x:c r="BL46" s="28"/>
      <x:c r="BM46" s="28"/>
      <x:c r="BN46" s="28"/>
      <x:c r="BO46" s="28"/>
      <x:c r="BP46" s="28"/>
      <x:c r="BQ46" s="29"/>
    </x:row>
    <x:row r="47" ht="42" customHeight="1">
      <x:c r="A47" s="5"/>
      <x:c r="B47" s="13"/>
      <x:c r="C47" s="6"/>
      <x:c r="D47" s="6"/>
      <x:c r="E47" s="6"/>
      <x:c r="F47" s="23"/>
      <x:c r="G47" s="23"/>
      <x:c r="H47" s="23"/>
      <x:c r="I47" s="23">
        <x:f t="shared" si="6"/>
        <x:v>1</x:v>
      </x:c>
      <x:c r="J47" s="24">
        <x:f t="shared" si="7"/>
        <x:v>-7</x:v>
      </x:c>
      <x:c r="K47" s="24">
        <x:f t="shared" si="8"/>
        <x:v>-1</x:v>
      </x:c>
      <x:c r="L47" s="23"/>
      <x:c r="M47" s="25"/>
      <x:c r="N47" s="23"/>
      <x:c r="O47" s="23" t="str">
        <x:f t="shared" si="9"/>
      </x:c>
      <x:c r="P47" s="23">
        <x:f t="shared" si="10"/>
        <x:v>0</x:v>
      </x:c>
      <x:c r="Q47" s="8"/>
      <x:c r="R47" s="31"/>
      <x:c r="S47" s="28"/>
      <x:c r="T47" s="28"/>
      <x:c r="U47" s="28"/>
      <x:c r="V47" s="28"/>
      <x:c r="W47" s="28"/>
      <x:c r="X47" s="28"/>
      <x:c r="Y47" s="28"/>
      <x:c r="Z47" s="28"/>
      <x:c r="AA47" s="28"/>
      <x:c r="AB47" s="28"/>
      <x:c r="AC47" s="28"/>
      <x:c r="AD47" s="28"/>
      <x:c r="AE47" s="28"/>
      <x:c r="AF47" s="28"/>
      <x:c r="AG47" s="28"/>
      <x:c r="AH47" s="28"/>
      <x:c r="AI47" s="28"/>
      <x:c r="AJ47" s="28"/>
      <x:c r="AK47" s="28"/>
      <x:c r="AL47" s="28"/>
      <x:c r="AM47" s="28"/>
      <x:c r="AN47" s="28"/>
      <x:c r="AO47" s="28"/>
      <x:c r="AP47" s="28"/>
      <x:c r="AQ47" s="28"/>
      <x:c r="AR47" s="28"/>
      <x:c r="AS47" s="28"/>
      <x:c r="AT47" s="28"/>
      <x:c r="AU47" s="28"/>
      <x:c r="AV47" s="28"/>
      <x:c r="AW47" s="28"/>
      <x:c r="AX47" s="28"/>
      <x:c r="AY47" s="28"/>
      <x:c r="AZ47" s="28"/>
      <x:c r="BA47" s="28"/>
      <x:c r="BB47" s="44"/>
      <x:c r="BC47" s="45"/>
      <x:c r="BD47" s="28"/>
      <x:c r="BE47" s="28"/>
      <x:c r="BF47" s="28"/>
      <x:c r="BG47" s="28"/>
      <x:c r="BH47" s="28"/>
      <x:c r="BI47" s="28"/>
      <x:c r="BJ47" s="28"/>
      <x:c r="BK47" s="28"/>
      <x:c r="BL47" s="28"/>
      <x:c r="BM47" s="28"/>
      <x:c r="BN47" s="28"/>
      <x:c r="BO47" s="28"/>
      <x:c r="BP47" s="28"/>
      <x:c r="BQ47" s="29"/>
    </x:row>
    <x:row r="48" ht="42" customHeight="1">
      <x:c r="A48" s="5"/>
      <x:c r="B48" s="13"/>
      <x:c r="C48" s="6"/>
      <x:c r="D48" s="6"/>
      <x:c r="E48" s="6"/>
      <x:c r="F48" s="23"/>
      <x:c r="G48" s="23"/>
      <x:c r="H48" s="23"/>
      <x:c r="I48" s="23">
        <x:f t="shared" si="6"/>
        <x:v>1</x:v>
      </x:c>
      <x:c r="J48" s="24">
        <x:f t="shared" si="7"/>
        <x:v>-7</x:v>
      </x:c>
      <x:c r="K48" s="24">
        <x:f t="shared" si="8"/>
        <x:v>-1</x:v>
      </x:c>
      <x:c r="L48" s="23"/>
      <x:c r="M48" s="25"/>
      <x:c r="N48" s="23"/>
      <x:c r="O48" s="23" t="str">
        <x:f t="shared" si="9"/>
      </x:c>
      <x:c r="P48" s="23">
        <x:f t="shared" si="10"/>
        <x:v>0</x:v>
      </x:c>
      <x:c r="Q48" s="8"/>
      <x:c r="R48" s="31"/>
      <x:c r="S48" s="28"/>
      <x:c r="T48" s="28"/>
      <x:c r="U48" s="28"/>
      <x:c r="V48" s="28"/>
      <x:c r="W48" s="28"/>
      <x:c r="X48" s="28"/>
      <x:c r="Y48" s="28"/>
      <x:c r="Z48" s="28"/>
      <x:c r="AA48" s="28"/>
      <x:c r="AB48" s="28"/>
      <x:c r="AC48" s="28"/>
      <x:c r="AD48" s="28"/>
      <x:c r="AE48" s="28"/>
      <x:c r="AF48" s="28"/>
      <x:c r="AG48" s="28"/>
      <x:c r="AH48" s="28"/>
      <x:c r="AI48" s="28"/>
      <x:c r="AJ48" s="28"/>
      <x:c r="AK48" s="28"/>
      <x:c r="AL48" s="28"/>
      <x:c r="AM48" s="28"/>
      <x:c r="AN48" s="28"/>
      <x:c r="AO48" s="28"/>
      <x:c r="AP48" s="28"/>
      <x:c r="AQ48" s="28"/>
      <x:c r="AR48" s="28"/>
      <x:c r="AS48" s="28"/>
      <x:c r="AT48" s="28"/>
      <x:c r="AU48" s="28"/>
      <x:c r="AV48" s="28"/>
      <x:c r="AW48" s="28"/>
      <x:c r="AX48" s="28"/>
      <x:c r="AY48" s="28"/>
      <x:c r="AZ48" s="28"/>
      <x:c r="BA48" s="28"/>
      <x:c r="BB48" s="28"/>
      <x:c r="BC48" s="44"/>
      <x:c r="BD48" s="45"/>
      <x:c r="BE48" s="28"/>
      <x:c r="BF48" s="28"/>
      <x:c r="BG48" s="28"/>
      <x:c r="BH48" s="28"/>
      <x:c r="BI48" s="28"/>
      <x:c r="BJ48" s="28"/>
      <x:c r="BK48" s="28"/>
      <x:c r="BL48" s="28"/>
      <x:c r="BM48" s="28"/>
      <x:c r="BN48" s="28"/>
      <x:c r="BO48" s="28"/>
      <x:c r="BP48" s="28"/>
      <x:c r="BQ48" s="29"/>
    </x:row>
    <x:row r="49" ht="42" customHeight="1">
      <x:c r="A49" s="5"/>
      <x:c r="B49" s="13"/>
      <x:c r="C49" s="6"/>
      <x:c r="D49" s="6"/>
      <x:c r="E49" s="6"/>
      <x:c r="F49" s="23"/>
      <x:c r="G49" s="23"/>
      <x:c r="H49" s="23"/>
      <x:c r="I49" s="23">
        <x:f t="shared" si="6"/>
        <x:v>1</x:v>
      </x:c>
      <x:c r="J49" s="24">
        <x:f t="shared" si="7"/>
        <x:v>-7</x:v>
      </x:c>
      <x:c r="K49" s="24">
        <x:f t="shared" si="8"/>
        <x:v>-1</x:v>
      </x:c>
      <x:c r="L49" s="23"/>
      <x:c r="M49" s="25"/>
      <x:c r="N49" s="23"/>
      <x:c r="O49" s="23" t="str">
        <x:f t="shared" si="9"/>
      </x:c>
      <x:c r="P49" s="23">
        <x:f t="shared" si="10"/>
        <x:v>0</x:v>
      </x:c>
      <x:c r="Q49" s="8"/>
      <x:c r="R49" s="31"/>
      <x:c r="S49" s="28"/>
      <x:c r="T49" s="28"/>
      <x:c r="U49" s="28"/>
      <x:c r="V49" s="28"/>
      <x:c r="W49" s="28"/>
      <x:c r="X49" s="28"/>
      <x:c r="Y49" s="28"/>
      <x:c r="Z49" s="28"/>
      <x:c r="AA49" s="28"/>
      <x:c r="AB49" s="28"/>
      <x:c r="AC49" s="28"/>
      <x:c r="AD49" s="28"/>
      <x:c r="AE49" s="28"/>
      <x:c r="AF49" s="28"/>
      <x:c r="AG49" s="28"/>
      <x:c r="AH49" s="28"/>
      <x:c r="AI49" s="28"/>
      <x:c r="AJ49" s="28"/>
      <x:c r="AK49" s="28"/>
      <x:c r="AL49" s="28"/>
      <x:c r="AM49" s="28"/>
      <x:c r="AN49" s="28"/>
      <x:c r="AO49" s="28"/>
      <x:c r="AP49" s="28"/>
      <x:c r="AQ49" s="28"/>
      <x:c r="AR49" s="28"/>
      <x:c r="AS49" s="28"/>
      <x:c r="AT49" s="28"/>
      <x:c r="AU49" s="28"/>
      <x:c r="AV49" s="28"/>
      <x:c r="AW49" s="28"/>
      <x:c r="AX49" s="28"/>
      <x:c r="AY49" s="28"/>
      <x:c r="AZ49" s="28"/>
      <x:c r="BA49" s="28"/>
      <x:c r="BB49" s="28"/>
      <x:c r="BC49" s="28"/>
      <x:c r="BD49" s="28"/>
      <x:c r="BE49" s="44"/>
      <x:c r="BF49" s="45"/>
      <x:c r="BG49" s="28"/>
      <x:c r="BH49" s="28"/>
      <x:c r="BI49" s="28"/>
      <x:c r="BJ49" s="28"/>
      <x:c r="BK49" s="28"/>
      <x:c r="BL49" s="28"/>
      <x:c r="BM49" s="28"/>
      <x:c r="BN49" s="28"/>
      <x:c r="BO49" s="28"/>
      <x:c r="BP49" s="28"/>
      <x:c r="BQ49" s="29"/>
    </x:row>
    <x:row r="50" ht="42" customHeight="1">
      <x:c r="A50" s="5"/>
      <x:c r="B50" s="13"/>
      <x:c r="C50" s="6"/>
      <x:c r="D50" s="6"/>
      <x:c r="E50" s="6"/>
      <x:c r="F50" s="23"/>
      <x:c r="G50" s="23"/>
      <x:c r="H50" s="23"/>
      <x:c r="I50" s="23">
        <x:f t="shared" si="6"/>
        <x:v>1</x:v>
      </x:c>
      <x:c r="J50" s="24">
        <x:f t="shared" si="7"/>
        <x:v>-7</x:v>
      </x:c>
      <x:c r="K50" s="24">
        <x:f t="shared" si="8"/>
        <x:v>-1</x:v>
      </x:c>
      <x:c r="L50" s="23"/>
      <x:c r="M50" s="25"/>
      <x:c r="N50" s="23"/>
      <x:c r="O50" s="23" t="str">
        <x:f t="shared" si="9"/>
      </x:c>
      <x:c r="P50" s="23">
        <x:f t="shared" si="10"/>
        <x:v>0</x:v>
      </x:c>
      <x:c r="Q50" s="8"/>
      <x:c r="R50" s="31"/>
      <x:c r="S50" s="28"/>
      <x:c r="T50" s="28"/>
      <x:c r="U50" s="28"/>
      <x:c r="V50" s="28"/>
      <x:c r="W50" s="28"/>
      <x:c r="X50" s="28"/>
      <x:c r="Y50" s="28"/>
      <x:c r="Z50" s="28"/>
      <x:c r="AA50" s="28"/>
      <x:c r="AB50" s="28"/>
      <x:c r="AC50" s="28"/>
      <x:c r="AD50" s="28"/>
      <x:c r="AE50" s="28"/>
      <x:c r="AF50" s="28"/>
      <x:c r="AG50" s="28"/>
      <x:c r="AH50" s="28"/>
      <x:c r="AI50" s="28"/>
      <x:c r="AJ50" s="28"/>
      <x:c r="AK50" s="28"/>
      <x:c r="AL50" s="28"/>
      <x:c r="AM50" s="28"/>
      <x:c r="AN50" s="28"/>
      <x:c r="AO50" s="28"/>
      <x:c r="AP50" s="28"/>
      <x:c r="AQ50" s="28"/>
      <x:c r="AR50" s="28"/>
      <x:c r="AS50" s="28"/>
      <x:c r="AT50" s="28"/>
      <x:c r="AU50" s="28"/>
      <x:c r="AV50" s="28"/>
      <x:c r="AW50" s="28"/>
      <x:c r="AX50" s="28"/>
      <x:c r="AY50" s="28"/>
      <x:c r="AZ50" s="28"/>
      <x:c r="BA50" s="28"/>
      <x:c r="BB50" s="28"/>
      <x:c r="BC50" s="28"/>
      <x:c r="BD50" s="28"/>
      <x:c r="BE50" s="28"/>
      <x:c r="BF50" s="28"/>
      <x:c r="BG50" s="43"/>
      <x:c r="BH50" s="28"/>
      <x:c r="BI50" s="28"/>
      <x:c r="BJ50" s="28"/>
      <x:c r="BK50" s="28"/>
      <x:c r="BL50" s="28"/>
      <x:c r="BM50" s="28"/>
      <x:c r="BN50" s="28"/>
      <x:c r="BO50" s="28"/>
      <x:c r="BP50" s="28"/>
      <x:c r="BQ50" s="29"/>
    </x:row>
    <x:row r="51" ht="42" customHeight="1">
      <x:c r="A51" s="5"/>
      <x:c r="B51" s="15"/>
      <x:c r="C51" s="6"/>
      <x:c r="D51" s="6"/>
      <x:c r="E51" s="6"/>
      <x:c r="F51" s="23"/>
      <x:c r="G51" s="23"/>
      <x:c r="H51" s="23"/>
      <x:c r="I51" s="23">
        <x:f t="shared" si="6"/>
        <x:v>1</x:v>
      </x:c>
      <x:c r="J51" s="24">
        <x:f t="shared" si="7"/>
        <x:v>-7</x:v>
      </x:c>
      <x:c r="K51" s="24">
        <x:f t="shared" si="8"/>
        <x:v>-1</x:v>
      </x:c>
      <x:c r="L51" s="23"/>
      <x:c r="M51" s="25"/>
      <x:c r="N51" s="23"/>
      <x:c r="O51" s="23" t="str">
        <x:f t="shared" si="9"/>
      </x:c>
      <x:c r="P51" s="23">
        <x:f t="shared" si="10"/>
        <x:v>0</x:v>
      </x:c>
      <x:c r="Q51" s="8"/>
      <x:c r="R51" s="31"/>
      <x:c r="S51" s="28"/>
      <x:c r="T51" s="28"/>
      <x:c r="U51" s="28"/>
      <x:c r="V51" s="28"/>
      <x:c r="W51" s="28"/>
      <x:c r="X51" s="28"/>
      <x:c r="Y51" s="28"/>
      <x:c r="Z51" s="28"/>
      <x:c r="AA51" s="28"/>
      <x:c r="AB51" s="28"/>
      <x:c r="AC51" s="28"/>
      <x:c r="AD51" s="28"/>
      <x:c r="AE51" s="28"/>
      <x:c r="AF51" s="28"/>
      <x:c r="AG51" s="28"/>
      <x:c r="AH51" s="28"/>
      <x:c r="AI51" s="28"/>
      <x:c r="AJ51" s="28"/>
      <x:c r="AK51" s="28"/>
      <x:c r="AL51" s="28"/>
      <x:c r="AM51" s="28"/>
      <x:c r="AN51" s="28"/>
      <x:c r="AO51" s="28"/>
      <x:c r="AP51" s="28"/>
      <x:c r="AQ51" s="28"/>
      <x:c r="AR51" s="28"/>
      <x:c r="AS51" s="28"/>
      <x:c r="AT51" s="28"/>
      <x:c r="AU51" s="28"/>
      <x:c r="AV51" s="28"/>
      <x:c r="AW51" s="28"/>
      <x:c r="AX51" s="28"/>
      <x:c r="AY51" s="28"/>
      <x:c r="AZ51" s="28"/>
      <x:c r="BA51" s="28"/>
      <x:c r="BB51" s="28"/>
      <x:c r="BC51" s="28"/>
      <x:c r="BD51" s="28"/>
      <x:c r="BE51" s="28"/>
      <x:c r="BF51" s="28"/>
      <x:c r="BG51" s="28"/>
      <x:c r="BH51" s="46"/>
      <x:c r="BI51" s="28"/>
      <x:c r="BJ51" s="28"/>
      <x:c r="BK51" s="28"/>
      <x:c r="BL51" s="28"/>
      <x:c r="BM51" s="28"/>
      <x:c r="BN51" s="28"/>
      <x:c r="BO51" s="28"/>
      <x:c r="BP51" s="28"/>
      <x:c r="BQ51" s="29"/>
    </x:row>
    <x:row r="52" ht="42" customHeight="1">
      <x:c r="A52" s="5"/>
      <x:c r="B52" s="15"/>
      <x:c r="C52" s="6"/>
      <x:c r="D52" s="6"/>
      <x:c r="E52" s="6"/>
      <x:c r="F52" s="23"/>
      <x:c r="G52" s="23"/>
      <x:c r="H52" s="23"/>
      <x:c r="I52" s="23">
        <x:f t="shared" si="6"/>
        <x:v>1</x:v>
      </x:c>
      <x:c r="J52" s="24">
        <x:f t="shared" si="7"/>
        <x:v>-7</x:v>
      </x:c>
      <x:c r="K52" s="24">
        <x:f t="shared" si="8"/>
        <x:v>-1</x:v>
      </x:c>
      <x:c r="L52" s="23"/>
      <x:c r="M52" s="25"/>
      <x:c r="N52" s="23"/>
      <x:c r="O52" s="23" t="str">
        <x:f t="shared" si="9"/>
      </x:c>
      <x:c r="P52" s="23">
        <x:f t="shared" si="10"/>
        <x:v>0</x:v>
      </x:c>
      <x:c r="Q52" s="8"/>
      <x:c r="R52" s="31"/>
      <x:c r="S52" s="28"/>
      <x:c r="T52" s="28"/>
      <x:c r="U52" s="28"/>
      <x:c r="V52" s="28"/>
      <x:c r="W52" s="28"/>
      <x:c r="X52" s="28"/>
      <x:c r="Y52" s="28"/>
      <x:c r="Z52" s="28"/>
      <x:c r="AA52" s="28"/>
      <x:c r="AB52" s="28"/>
      <x:c r="AC52" s="28"/>
      <x:c r="AD52" s="28"/>
      <x:c r="AE52" s="28"/>
      <x:c r="AF52" s="28"/>
      <x:c r="AG52" s="28"/>
      <x:c r="AH52" s="28"/>
      <x:c r="AI52" s="28"/>
      <x:c r="AJ52" s="28"/>
      <x:c r="AK52" s="28"/>
      <x:c r="AL52" s="28"/>
      <x:c r="AM52" s="28"/>
      <x:c r="AN52" s="28"/>
      <x:c r="AO52" s="28"/>
      <x:c r="AP52" s="28"/>
      <x:c r="AQ52" s="28"/>
      <x:c r="AR52" s="28"/>
      <x:c r="AS52" s="28"/>
      <x:c r="AT52" s="28"/>
      <x:c r="AU52" s="28"/>
      <x:c r="AV52" s="28"/>
      <x:c r="AW52" s="28"/>
      <x:c r="AX52" s="28"/>
      <x:c r="AY52" s="28"/>
      <x:c r="AZ52" s="28"/>
      <x:c r="BA52" s="28"/>
      <x:c r="BB52" s="28"/>
      <x:c r="BC52" s="28"/>
      <x:c r="BD52" s="28"/>
      <x:c r="BE52" s="28"/>
      <x:c r="BF52" s="28"/>
      <x:c r="BG52" s="28"/>
      <x:c r="BH52" s="47"/>
      <x:c r="BI52" s="48"/>
      <x:c r="BJ52" s="28"/>
      <x:c r="BK52" s="28"/>
      <x:c r="BL52" s="28"/>
      <x:c r="BM52" s="28"/>
      <x:c r="BN52" s="28"/>
      <x:c r="BO52" s="28"/>
      <x:c r="BP52" s="28"/>
      <x:c r="BQ52" s="29"/>
    </x:row>
    <x:row r="53" ht="42" customHeight="1">
      <x:c r="A53" s="5"/>
      <x:c r="B53" s="15"/>
      <x:c r="C53" s="6"/>
      <x:c r="D53" s="6"/>
      <x:c r="E53" s="6"/>
      <x:c r="F53" s="23"/>
      <x:c r="G53" s="23"/>
      <x:c r="H53" s="23"/>
      <x:c r="I53" s="23">
        <x:f t="shared" si="6"/>
        <x:v>1</x:v>
      </x:c>
      <x:c r="J53" s="24">
        <x:f t="shared" si="7"/>
        <x:v>-7</x:v>
      </x:c>
      <x:c r="K53" s="24">
        <x:f t="shared" si="8"/>
        <x:v>-1</x:v>
      </x:c>
      <x:c r="L53" s="23"/>
      <x:c r="M53" s="25"/>
      <x:c r="N53" s="23"/>
      <x:c r="O53" s="23" t="str">
        <x:f t="shared" si="9"/>
      </x:c>
      <x:c r="P53" s="23">
        <x:f t="shared" si="10"/>
        <x:v>0</x:v>
      </x:c>
      <x:c r="Q53" s="8"/>
      <x:c r="R53" s="31"/>
      <x:c r="S53" s="28"/>
      <x:c r="T53" s="28"/>
      <x:c r="U53" s="28"/>
      <x:c r="V53" s="28"/>
      <x:c r="W53" s="28"/>
      <x:c r="X53" s="28"/>
      <x:c r="Y53" s="28"/>
      <x:c r="Z53" s="28"/>
      <x:c r="AA53" s="28"/>
      <x:c r="AB53" s="28"/>
      <x:c r="AC53" s="28"/>
      <x:c r="AD53" s="28"/>
      <x:c r="AE53" s="28"/>
      <x:c r="AF53" s="28"/>
      <x:c r="AG53" s="28"/>
      <x:c r="AH53" s="28"/>
      <x:c r="AI53" s="28"/>
      <x:c r="AJ53" s="28"/>
      <x:c r="AK53" s="28"/>
      <x:c r="AL53" s="28"/>
      <x:c r="AM53" s="28"/>
      <x:c r="AN53" s="28"/>
      <x:c r="AO53" s="28"/>
      <x:c r="AP53" s="28"/>
      <x:c r="AQ53" s="28"/>
      <x:c r="AR53" s="28"/>
      <x:c r="AS53" s="28"/>
      <x:c r="AT53" s="28"/>
      <x:c r="AU53" s="28"/>
      <x:c r="AV53" s="28"/>
      <x:c r="AW53" s="28"/>
      <x:c r="AX53" s="28"/>
      <x:c r="AY53" s="28"/>
      <x:c r="AZ53" s="28"/>
      <x:c r="BA53" s="28"/>
      <x:c r="BB53" s="28"/>
      <x:c r="BC53" s="28"/>
      <x:c r="BD53" s="28"/>
      <x:c r="BE53" s="28"/>
      <x:c r="BF53" s="28"/>
      <x:c r="BG53" s="28"/>
      <x:c r="BH53" s="28"/>
      <x:c r="BI53" s="47"/>
      <x:c r="BJ53" s="48"/>
      <x:c r="BK53" s="28"/>
      <x:c r="BL53" s="28"/>
      <x:c r="BM53" s="28"/>
      <x:c r="BN53" s="28"/>
      <x:c r="BO53" s="28"/>
      <x:c r="BP53" s="28"/>
      <x:c r="BQ53" s="29"/>
    </x:row>
    <x:row r="54" ht="42" customHeight="1">
      <x:c r="A54" s="5"/>
      <x:c r="B54" s="15"/>
      <x:c r="C54" s="6"/>
      <x:c r="D54" s="6"/>
      <x:c r="E54" s="6"/>
      <x:c r="F54" s="23"/>
      <x:c r="G54" s="23"/>
      <x:c r="H54" s="23"/>
      <x:c r="I54" s="23">
        <x:f t="shared" si="6"/>
        <x:v>1</x:v>
      </x:c>
      <x:c r="J54" s="24">
        <x:f t="shared" si="7"/>
        <x:v>-7</x:v>
      </x:c>
      <x:c r="K54" s="24">
        <x:f t="shared" si="8"/>
        <x:v>-1</x:v>
      </x:c>
      <x:c r="L54" s="23"/>
      <x:c r="M54" s="25"/>
      <x:c r="N54" s="23"/>
      <x:c r="O54" s="23" t="str">
        <x:f t="shared" si="9"/>
      </x:c>
      <x:c r="P54" s="23">
        <x:f t="shared" si="10"/>
        <x:v>0</x:v>
      </x:c>
      <x:c r="Q54" s="8"/>
      <x:c r="R54" s="31"/>
      <x:c r="S54" s="28"/>
      <x:c r="T54" s="28"/>
      <x:c r="U54" s="28"/>
      <x:c r="V54" s="28"/>
      <x:c r="W54" s="28"/>
      <x:c r="X54" s="28"/>
      <x:c r="Y54" s="28"/>
      <x:c r="Z54" s="28"/>
      <x:c r="AA54" s="28"/>
      <x:c r="AB54" s="28"/>
      <x:c r="AC54" s="28"/>
      <x:c r="AD54" s="28"/>
      <x:c r="AE54" s="28"/>
      <x:c r="AF54" s="28"/>
      <x:c r="AG54" s="28"/>
      <x:c r="AH54" s="28"/>
      <x:c r="AI54" s="28"/>
      <x:c r="AJ54" s="28"/>
      <x:c r="AK54" s="28"/>
      <x:c r="AL54" s="28"/>
      <x:c r="AM54" s="28"/>
      <x:c r="AN54" s="28"/>
      <x:c r="AO54" s="28"/>
      <x:c r="AP54" s="28"/>
      <x:c r="AQ54" s="28"/>
      <x:c r="AR54" s="28"/>
      <x:c r="AS54" s="28"/>
      <x:c r="AT54" s="28"/>
      <x:c r="AU54" s="28"/>
      <x:c r="AV54" s="28"/>
      <x:c r="AW54" s="28"/>
      <x:c r="AX54" s="28"/>
      <x:c r="AY54" s="28"/>
      <x:c r="AZ54" s="28"/>
      <x:c r="BA54" s="28"/>
      <x:c r="BB54" s="28"/>
      <x:c r="BC54" s="28"/>
      <x:c r="BD54" s="28"/>
      <x:c r="BE54" s="28"/>
      <x:c r="BF54" s="28"/>
      <x:c r="BG54" s="28"/>
      <x:c r="BH54" s="28"/>
      <x:c r="BI54" s="28"/>
      <x:c r="BJ54" s="47"/>
      <x:c r="BK54" s="48"/>
      <x:c r="BL54" s="28"/>
      <x:c r="BM54" s="28"/>
      <x:c r="BN54" s="28"/>
      <x:c r="BO54" s="28"/>
      <x:c r="BP54" s="28"/>
      <x:c r="BQ54" s="29"/>
    </x:row>
    <x:row r="55" ht="42" customHeight="1">
      <x:c r="A55" s="5"/>
      <x:c r="B55" s="15"/>
      <x:c r="C55" s="6"/>
      <x:c r="D55" s="6"/>
      <x:c r="E55" s="6"/>
      <x:c r="F55" s="23"/>
      <x:c r="G55" s="23"/>
      <x:c r="H55" s="23"/>
      <x:c r="I55" s="23">
        <x:f t="shared" si="6"/>
        <x:v>1</x:v>
      </x:c>
      <x:c r="J55" s="24">
        <x:f t="shared" si="7"/>
        <x:v>-7</x:v>
      </x:c>
      <x:c r="K55" s="24">
        <x:f t="shared" si="8"/>
        <x:v>-1</x:v>
      </x:c>
      <x:c r="L55" s="23"/>
      <x:c r="M55" s="25"/>
      <x:c r="N55" s="23"/>
      <x:c r="O55" s="23" t="str">
        <x:f t="shared" si="9"/>
      </x:c>
      <x:c r="P55" s="23">
        <x:f t="shared" si="10"/>
        <x:v>0</x:v>
      </x:c>
      <x:c r="Q55" s="8"/>
      <x:c r="R55" s="31"/>
      <x:c r="S55" s="28"/>
      <x:c r="T55" s="28"/>
      <x:c r="U55" s="28"/>
      <x:c r="V55" s="28"/>
      <x:c r="W55" s="28"/>
      <x:c r="X55" s="28"/>
      <x:c r="Y55" s="28"/>
      <x:c r="Z55" s="28"/>
      <x:c r="AA55" s="28"/>
      <x:c r="AB55" s="28"/>
      <x:c r="AC55" s="28"/>
      <x:c r="AD55" s="28"/>
      <x:c r="AE55" s="28"/>
      <x:c r="AF55" s="28"/>
      <x:c r="AG55" s="28"/>
      <x:c r="AH55" s="28"/>
      <x:c r="AI55" s="28"/>
      <x:c r="AJ55" s="28"/>
      <x:c r="AK55" s="28"/>
      <x:c r="AL55" s="28"/>
      <x:c r="AM55" s="28"/>
      <x:c r="AN55" s="28"/>
      <x:c r="AO55" s="28"/>
      <x:c r="AP55" s="28"/>
      <x:c r="AQ55" s="28"/>
      <x:c r="AR55" s="28"/>
      <x:c r="AS55" s="28"/>
      <x:c r="AT55" s="28"/>
      <x:c r="AU55" s="28"/>
      <x:c r="AV55" s="28"/>
      <x:c r="AW55" s="28"/>
      <x:c r="AX55" s="28"/>
      <x:c r="AY55" s="28"/>
      <x:c r="AZ55" s="28"/>
      <x:c r="BA55" s="28"/>
      <x:c r="BB55" s="28"/>
      <x:c r="BC55" s="28"/>
      <x:c r="BD55" s="28"/>
      <x:c r="BE55" s="28"/>
      <x:c r="BF55" s="28"/>
      <x:c r="BG55" s="28"/>
      <x:c r="BH55" s="28"/>
      <x:c r="BI55" s="28"/>
      <x:c r="BJ55" s="28"/>
      <x:c r="BK55" s="47"/>
      <x:c r="BL55" s="48"/>
      <x:c r="BM55" s="28"/>
      <x:c r="BN55" s="28"/>
      <x:c r="BO55" s="28"/>
      <x:c r="BP55" s="28"/>
      <x:c r="BQ55" s="29"/>
    </x:row>
    <x:row r="56" ht="42" customHeight="1">
      <x:c r="A56" s="5"/>
      <x:c r="B56" s="15"/>
      <x:c r="C56" s="6"/>
      <x:c r="D56" s="6"/>
      <x:c r="E56" s="6"/>
      <x:c r="F56" s="23"/>
      <x:c r="G56" s="23"/>
      <x:c r="H56" s="23"/>
      <x:c r="I56" s="23">
        <x:f t="shared" si="6"/>
        <x:v>1</x:v>
      </x:c>
      <x:c r="J56" s="24">
        <x:f t="shared" si="7"/>
        <x:v>-7</x:v>
      </x:c>
      <x:c r="K56" s="24">
        <x:f t="shared" si="8"/>
        <x:v>-1</x:v>
      </x:c>
      <x:c r="L56" s="23"/>
      <x:c r="M56" s="25"/>
      <x:c r="N56" s="23"/>
      <x:c r="O56" s="23" t="str">
        <x:f t="shared" si="9"/>
      </x:c>
      <x:c r="P56" s="23">
        <x:f t="shared" si="10"/>
        <x:v>0</x:v>
      </x:c>
      <x:c r="Q56" s="8"/>
      <x:c r="R56" s="31"/>
      <x:c r="S56" s="28"/>
      <x:c r="T56" s="28"/>
      <x:c r="U56" s="28"/>
      <x:c r="V56" s="28"/>
      <x:c r="W56" s="28"/>
      <x:c r="X56" s="28"/>
      <x:c r="Y56" s="28"/>
      <x:c r="Z56" s="28"/>
      <x:c r="AA56" s="28"/>
      <x:c r="AB56" s="28"/>
      <x:c r="AC56" s="28"/>
      <x:c r="AD56" s="28"/>
      <x:c r="AE56" s="28"/>
      <x:c r="AF56" s="28"/>
      <x:c r="AG56" s="28"/>
      <x:c r="AH56" s="28"/>
      <x:c r="AI56" s="28"/>
      <x:c r="AJ56" s="28"/>
      <x:c r="AK56" s="28"/>
      <x:c r="AL56" s="28"/>
      <x:c r="AM56" s="28"/>
      <x:c r="AN56" s="28"/>
      <x:c r="AO56" s="28"/>
      <x:c r="AP56" s="28"/>
      <x:c r="AQ56" s="28"/>
      <x:c r="AR56" s="28"/>
      <x:c r="AS56" s="28"/>
      <x:c r="AT56" s="28"/>
      <x:c r="AU56" s="28"/>
      <x:c r="AV56" s="28"/>
      <x:c r="AW56" s="28"/>
      <x:c r="AX56" s="28"/>
      <x:c r="AY56" s="28"/>
      <x:c r="AZ56" s="28"/>
      <x:c r="BA56" s="28"/>
      <x:c r="BB56" s="28"/>
      <x:c r="BC56" s="28"/>
      <x:c r="BD56" s="28"/>
      <x:c r="BE56" s="28"/>
      <x:c r="BF56" s="28"/>
      <x:c r="BG56" s="28"/>
      <x:c r="BH56" s="28"/>
      <x:c r="BI56" s="28"/>
      <x:c r="BJ56" s="28"/>
      <x:c r="BK56" s="28"/>
      <x:c r="BL56" s="46"/>
      <x:c r="BM56" s="28"/>
      <x:c r="BN56" s="28"/>
      <x:c r="BO56" s="28"/>
      <x:c r="BP56" s="28"/>
      <x:c r="BQ56" s="29"/>
    </x:row>
    <x:row r="57" ht="42" customHeight="1">
      <x:c r="A57" s="5"/>
      <x:c r="B57" s="17"/>
      <x:c r="C57" s="6"/>
      <x:c r="D57" s="6"/>
      <x:c r="E57" s="6"/>
      <x:c r="F57" s="23"/>
      <x:c r="G57" s="23"/>
      <x:c r="H57" s="23"/>
      <x:c r="I57" s="23">
        <x:f t="shared" si="6"/>
        <x:v>1</x:v>
      </x:c>
      <x:c r="J57" s="24">
        <x:f t="shared" si="7"/>
        <x:v>-7</x:v>
      </x:c>
      <x:c r="K57" s="24">
        <x:f t="shared" si="8"/>
        <x:v>-1</x:v>
      </x:c>
      <x:c r="L57" s="23"/>
      <x:c r="M57" s="25"/>
      <x:c r="N57" s="23"/>
      <x:c r="O57" s="23" t="str">
        <x:f t="shared" si="9"/>
      </x:c>
      <x:c r="P57" s="23">
        <x:f t="shared" si="10"/>
        <x:v>0</x:v>
      </x:c>
      <x:c r="Q57" s="8"/>
      <x:c r="R57" s="31"/>
      <x:c r="S57" s="28"/>
      <x:c r="T57" s="28"/>
      <x:c r="U57" s="28"/>
      <x:c r="V57" s="28"/>
      <x:c r="W57" s="28"/>
      <x:c r="X57" s="28"/>
      <x:c r="Y57" s="28"/>
      <x:c r="Z57" s="28"/>
      <x:c r="AA57" s="28"/>
      <x:c r="AB57" s="28"/>
      <x:c r="AC57" s="28"/>
      <x:c r="AD57" s="28"/>
      <x:c r="AE57" s="28"/>
      <x:c r="AF57" s="28"/>
      <x:c r="AG57" s="28"/>
      <x:c r="AH57" s="28"/>
      <x:c r="AI57" s="28"/>
      <x:c r="AJ57" s="28"/>
      <x:c r="AK57" s="28"/>
      <x:c r="AL57" s="28"/>
      <x:c r="AM57" s="28"/>
      <x:c r="AN57" s="28"/>
      <x:c r="AO57" s="28"/>
      <x:c r="AP57" s="28"/>
      <x:c r="AQ57" s="28"/>
      <x:c r="AR57" s="28"/>
      <x:c r="AS57" s="28"/>
      <x:c r="AT57" s="28"/>
      <x:c r="AU57" s="28"/>
      <x:c r="AV57" s="28"/>
      <x:c r="AW57" s="28"/>
      <x:c r="AX57" s="28"/>
      <x:c r="AY57" s="28"/>
      <x:c r="AZ57" s="28"/>
      <x:c r="BA57" s="28"/>
      <x:c r="BB57" s="28"/>
      <x:c r="BC57" s="28"/>
      <x:c r="BD57" s="28"/>
      <x:c r="BE57" s="28"/>
      <x:c r="BF57" s="28"/>
      <x:c r="BG57" s="28"/>
      <x:c r="BH57" s="28"/>
      <x:c r="BI57" s="28"/>
      <x:c r="BJ57" s="28"/>
      <x:c r="BK57" s="28"/>
      <x:c r="BL57" s="28"/>
      <x:c r="BM57" s="49"/>
      <x:c r="BN57" s="28"/>
      <x:c r="BO57" s="28"/>
      <x:c r="BP57" s="28"/>
      <x:c r="BQ57" s="29"/>
    </x:row>
    <x:row r="58" ht="42" customHeight="1">
      <x:c r="A58" s="5"/>
      <x:c r="B58" s="17"/>
      <x:c r="C58" s="6"/>
      <x:c r="D58" s="6"/>
      <x:c r="E58" s="6"/>
      <x:c r="F58" s="23"/>
      <x:c r="G58" s="23"/>
      <x:c r="H58" s="23"/>
      <x:c r="I58" s="23">
        <x:f t="shared" si="6"/>
        <x:v>1</x:v>
      </x:c>
      <x:c r="J58" s="24">
        <x:f t="shared" si="7"/>
        <x:v>-7</x:v>
      </x:c>
      <x:c r="K58" s="24">
        <x:f t="shared" si="8"/>
        <x:v>-1</x:v>
      </x:c>
      <x:c r="L58" s="23"/>
      <x:c r="M58" s="25"/>
      <x:c r="N58" s="23"/>
      <x:c r="O58" s="23" t="str">
        <x:f t="shared" si="9"/>
      </x:c>
      <x:c r="P58" s="23">
        <x:f t="shared" si="10"/>
        <x:v>0</x:v>
      </x:c>
      <x:c r="Q58" s="8"/>
      <x:c r="R58" s="31"/>
      <x:c r="S58" s="28"/>
      <x:c r="T58" s="28"/>
      <x:c r="U58" s="28"/>
      <x:c r="V58" s="28"/>
      <x:c r="W58" s="28"/>
      <x:c r="X58" s="28"/>
      <x:c r="Y58" s="28"/>
      <x:c r="Z58" s="28"/>
      <x:c r="AA58" s="28"/>
      <x:c r="AB58" s="28"/>
      <x:c r="AC58" s="28"/>
      <x:c r="AD58" s="28"/>
      <x:c r="AE58" s="28"/>
      <x:c r="AF58" s="28"/>
      <x:c r="AG58" s="28"/>
      <x:c r="AH58" s="28"/>
      <x:c r="AI58" s="28"/>
      <x:c r="AJ58" s="28"/>
      <x:c r="AK58" s="28"/>
      <x:c r="AL58" s="28"/>
      <x:c r="AM58" s="28"/>
      <x:c r="AN58" s="28"/>
      <x:c r="AO58" s="28"/>
      <x:c r="AP58" s="28"/>
      <x:c r="AQ58" s="28"/>
      <x:c r="AR58" s="28"/>
      <x:c r="AS58" s="28"/>
      <x:c r="AT58" s="28"/>
      <x:c r="AU58" s="28"/>
      <x:c r="AV58" s="28"/>
      <x:c r="AW58" s="28"/>
      <x:c r="AX58" s="28"/>
      <x:c r="AY58" s="28"/>
      <x:c r="AZ58" s="28"/>
      <x:c r="BA58" s="28"/>
      <x:c r="BB58" s="28"/>
      <x:c r="BC58" s="28"/>
      <x:c r="BD58" s="28"/>
      <x:c r="BE58" s="28"/>
      <x:c r="BF58" s="28"/>
      <x:c r="BG58" s="28"/>
      <x:c r="BH58" s="28"/>
      <x:c r="BI58" s="28"/>
      <x:c r="BJ58" s="28"/>
      <x:c r="BK58" s="28"/>
      <x:c r="BL58" s="28"/>
      <x:c r="BM58" s="50"/>
      <x:c r="BN58" s="51"/>
      <x:c r="BO58" s="28"/>
      <x:c r="BP58" s="28"/>
      <x:c r="BQ58" s="29"/>
    </x:row>
    <x:row r="59" ht="42" customHeight="1">
      <x:c r="A59" s="5"/>
      <x:c r="B59" s="17"/>
      <x:c r="C59" s="6"/>
      <x:c r="D59" s="6"/>
      <x:c r="E59" s="6"/>
      <x:c r="F59" s="23"/>
      <x:c r="G59" s="23"/>
      <x:c r="H59" s="23"/>
      <x:c r="I59" s="23">
        <x:f t="shared" si="6"/>
        <x:v>1</x:v>
      </x:c>
      <x:c r="J59" s="24">
        <x:f t="shared" si="7"/>
        <x:v>-7</x:v>
      </x:c>
      <x:c r="K59" s="24">
        <x:f t="shared" si="8"/>
        <x:v>-1</x:v>
      </x:c>
      <x:c r="L59" s="23"/>
      <x:c r="M59" s="25"/>
      <x:c r="N59" s="23"/>
      <x:c r="O59" s="23" t="str">
        <x:f t="shared" si="9"/>
      </x:c>
      <x:c r="P59" s="23">
        <x:f t="shared" si="10"/>
        <x:v>0</x:v>
      </x:c>
      <x:c r="Q59" s="8"/>
      <x:c r="R59" s="31"/>
      <x:c r="S59" s="28"/>
      <x:c r="T59" s="28"/>
      <x:c r="U59" s="28"/>
      <x:c r="V59" s="28"/>
      <x:c r="W59" s="28"/>
      <x:c r="X59" s="28"/>
      <x:c r="Y59" s="28"/>
      <x:c r="Z59" s="28"/>
      <x:c r="AA59" s="28"/>
      <x:c r="AB59" s="28"/>
      <x:c r="AC59" s="28"/>
      <x:c r="AD59" s="28"/>
      <x:c r="AE59" s="28"/>
      <x:c r="AF59" s="28"/>
      <x:c r="AG59" s="28"/>
      <x:c r="AH59" s="28"/>
      <x:c r="AI59" s="28"/>
      <x:c r="AJ59" s="28"/>
      <x:c r="AK59" s="28"/>
      <x:c r="AL59" s="28"/>
      <x:c r="AM59" s="28"/>
      <x:c r="AN59" s="28"/>
      <x:c r="AO59" s="28"/>
      <x:c r="AP59" s="28"/>
      <x:c r="AQ59" s="28"/>
      <x:c r="AR59" s="28"/>
      <x:c r="AS59" s="28"/>
      <x:c r="AT59" s="28"/>
      <x:c r="AU59" s="28"/>
      <x:c r="AV59" s="28"/>
      <x:c r="AW59" s="28"/>
      <x:c r="AX59" s="28"/>
      <x:c r="AY59" s="28"/>
      <x:c r="AZ59" s="28"/>
      <x:c r="BA59" s="28"/>
      <x:c r="BB59" s="28"/>
      <x:c r="BC59" s="28"/>
      <x:c r="BD59" s="28"/>
      <x:c r="BE59" s="28"/>
      <x:c r="BF59" s="28"/>
      <x:c r="BG59" s="28"/>
      <x:c r="BH59" s="28"/>
      <x:c r="BI59" s="28"/>
      <x:c r="BJ59" s="28"/>
      <x:c r="BK59" s="28"/>
      <x:c r="BL59" s="28"/>
      <x:c r="BM59" s="28"/>
      <x:c r="BN59" s="50"/>
      <x:c r="BO59" s="51"/>
      <x:c r="BP59" s="28"/>
      <x:c r="BQ59" s="29"/>
    </x:row>
    <x:row r="60" ht="42" customHeight="1">
      <x:c r="A60" s="5"/>
      <x:c r="B60" s="17"/>
      <x:c r="C60" s="6"/>
      <x:c r="D60" s="6"/>
      <x:c r="E60" s="6"/>
      <x:c r="F60" s="23"/>
      <x:c r="G60" s="23"/>
      <x:c r="H60" s="23"/>
      <x:c r="I60" s="23">
        <x:f t="shared" si="6"/>
        <x:v>1</x:v>
      </x:c>
      <x:c r="J60" s="24">
        <x:f t="shared" si="7"/>
        <x:v>-7</x:v>
      </x:c>
      <x:c r="K60" s="24">
        <x:f t="shared" si="8"/>
        <x:v>-1</x:v>
      </x:c>
      <x:c r="L60" s="23"/>
      <x:c r="M60" s="25"/>
      <x:c r="N60" s="23"/>
      <x:c r="O60" s="23" t="str">
        <x:f t="shared" si="9"/>
      </x:c>
      <x:c r="P60" s="23">
        <x:f t="shared" si="10"/>
        <x:v>0</x:v>
      </x:c>
      <x:c r="Q60" s="8"/>
      <x:c r="R60" s="31"/>
      <x:c r="S60" s="28"/>
      <x:c r="T60" s="28"/>
      <x:c r="U60" s="28"/>
      <x:c r="V60" s="28"/>
      <x:c r="W60" s="28"/>
      <x:c r="X60" s="28"/>
      <x:c r="Y60" s="28"/>
      <x:c r="Z60" s="28"/>
      <x:c r="AA60" s="28"/>
      <x:c r="AB60" s="28"/>
      <x:c r="AC60" s="28"/>
      <x:c r="AD60" s="28"/>
      <x:c r="AE60" s="28"/>
      <x:c r="AF60" s="28"/>
      <x:c r="AG60" s="28"/>
      <x:c r="AH60" s="28"/>
      <x:c r="AI60" s="28"/>
      <x:c r="AJ60" s="28"/>
      <x:c r="AK60" s="28"/>
      <x:c r="AL60" s="28"/>
      <x:c r="AM60" s="28"/>
      <x:c r="AN60" s="28"/>
      <x:c r="AO60" s="28"/>
      <x:c r="AP60" s="28"/>
      <x:c r="AQ60" s="28"/>
      <x:c r="AR60" s="28"/>
      <x:c r="AS60" s="28"/>
      <x:c r="AT60" s="28"/>
      <x:c r="AU60" s="28"/>
      <x:c r="AV60" s="28"/>
      <x:c r="AW60" s="28"/>
      <x:c r="AX60" s="28"/>
      <x:c r="AY60" s="28"/>
      <x:c r="AZ60" s="28"/>
      <x:c r="BA60" s="28"/>
      <x:c r="BB60" s="28"/>
      <x:c r="BC60" s="28"/>
      <x:c r="BD60" s="28"/>
      <x:c r="BE60" s="28"/>
      <x:c r="BF60" s="28"/>
      <x:c r="BG60" s="28"/>
      <x:c r="BH60" s="28"/>
      <x:c r="BI60" s="28"/>
      <x:c r="BJ60" s="28"/>
      <x:c r="BK60" s="28"/>
      <x:c r="BL60" s="28"/>
      <x:c r="BM60" s="28"/>
      <x:c r="BN60" s="28"/>
      <x:c r="BO60" s="49"/>
      <x:c r="BP60" s="28"/>
      <x:c r="BQ60" s="29"/>
    </x:row>
    <x:row r="61" ht="42" customHeight="1">
      <x:c r="A61" s="5"/>
      <x:c r="B61" s="17"/>
      <x:c r="C61" s="6"/>
      <x:c r="D61" s="6"/>
      <x:c r="E61" s="6"/>
      <x:c r="F61" s="23"/>
      <x:c r="G61" s="23"/>
      <x:c r="H61" s="23"/>
      <x:c r="I61" s="23">
        <x:f t="shared" si="6"/>
        <x:v>1</x:v>
      </x:c>
      <x:c r="J61" s="24">
        <x:f t="shared" si="7"/>
        <x:v>-7</x:v>
      </x:c>
      <x:c r="K61" s="24">
        <x:f t="shared" si="8"/>
        <x:v>-1</x:v>
      </x:c>
      <x:c r="L61" s="23"/>
      <x:c r="M61" s="25"/>
      <x:c r="N61" s="23"/>
      <x:c r="O61" s="23" t="str">
        <x:f t="shared" si="9"/>
      </x:c>
      <x:c r="P61" s="23">
        <x:f t="shared" si="10"/>
        <x:v>0</x:v>
      </x:c>
      <x:c r="Q61" s="8"/>
      <x:c r="R61" s="31"/>
      <x:c r="S61" s="28"/>
      <x:c r="T61" s="28"/>
      <x:c r="U61" s="28"/>
      <x:c r="V61" s="28"/>
      <x:c r="W61" s="28"/>
      <x:c r="X61" s="28"/>
      <x:c r="Y61" s="28"/>
      <x:c r="Z61" s="28"/>
      <x:c r="AA61" s="28"/>
      <x:c r="AB61" s="28"/>
      <x:c r="AC61" s="28"/>
      <x:c r="AD61" s="28"/>
      <x:c r="AE61" s="28"/>
      <x:c r="AF61" s="28"/>
      <x:c r="AG61" s="28"/>
      <x:c r="AH61" s="28"/>
      <x:c r="AI61" s="28"/>
      <x:c r="AJ61" s="28"/>
      <x:c r="AK61" s="28"/>
      <x:c r="AL61" s="28"/>
      <x:c r="AM61" s="28"/>
      <x:c r="AN61" s="28"/>
      <x:c r="AO61" s="28"/>
      <x:c r="AP61" s="28"/>
      <x:c r="AQ61" s="28"/>
      <x:c r="AR61" s="28"/>
      <x:c r="AS61" s="28"/>
      <x:c r="AT61" s="28"/>
      <x:c r="AU61" s="28"/>
      <x:c r="AV61" s="28"/>
      <x:c r="AW61" s="28"/>
      <x:c r="AX61" s="28"/>
      <x:c r="AY61" s="28"/>
      <x:c r="AZ61" s="28"/>
      <x:c r="BA61" s="28"/>
      <x:c r="BB61" s="28"/>
      <x:c r="BC61" s="28"/>
      <x:c r="BD61" s="28"/>
      <x:c r="BE61" s="28"/>
      <x:c r="BF61" s="28"/>
      <x:c r="BG61" s="28"/>
      <x:c r="BH61" s="28"/>
      <x:c r="BI61" s="28"/>
      <x:c r="BJ61" s="28"/>
      <x:c r="BK61" s="28"/>
      <x:c r="BL61" s="28"/>
      <x:c r="BM61" s="28"/>
      <x:c r="BN61" s="28"/>
      <x:c r="BO61" s="28"/>
      <x:c r="BP61" s="49"/>
      <x:c r="BQ61" s="29"/>
    </x:row>
    <x:row r="62" ht="42" customHeight="1">
      <x:c r="A62" s="5"/>
      <x:c r="B62" s="17"/>
      <x:c r="C62" s="6"/>
      <x:c r="D62" s="6"/>
      <x:c r="E62" s="6"/>
      <x:c r="F62" s="23"/>
      <x:c r="G62" s="23"/>
      <x:c r="H62" s="23"/>
      <x:c r="I62" s="23">
        <x:f t="shared" si="6"/>
        <x:v>1</x:v>
      </x:c>
      <x:c r="J62" s="24">
        <x:f t="shared" si="7"/>
        <x:v>-7</x:v>
      </x:c>
      <x:c r="K62" s="24">
        <x:f t="shared" si="8"/>
        <x:v>-1</x:v>
      </x:c>
      <x:c r="L62" s="23"/>
      <x:c r="M62" s="25"/>
      <x:c r="N62" s="23"/>
      <x:c r="O62" s="23" t="str">
        <x:f t="shared" si="9"/>
      </x:c>
      <x:c r="P62" s="23">
        <x:f t="shared" si="10"/>
        <x:v>0</x:v>
      </x:c>
      <x:c r="Q62" s="8"/>
      <x:c r="R62" s="31"/>
      <x:c r="S62" s="28"/>
      <x:c r="T62" s="28"/>
      <x:c r="U62" s="28"/>
      <x:c r="V62" s="28"/>
      <x:c r="W62" s="28"/>
      <x:c r="X62" s="28"/>
      <x:c r="Y62" s="28"/>
      <x:c r="Z62" s="28"/>
      <x:c r="AA62" s="28"/>
      <x:c r="AB62" s="28"/>
      <x:c r="AC62" s="28"/>
      <x:c r="AD62" s="28"/>
      <x:c r="AE62" s="28"/>
      <x:c r="AF62" s="28"/>
      <x:c r="AG62" s="28"/>
      <x:c r="AH62" s="28"/>
      <x:c r="AI62" s="28"/>
      <x:c r="AJ62" s="28"/>
      <x:c r="AK62" s="28"/>
      <x:c r="AL62" s="28"/>
      <x:c r="AM62" s="28"/>
      <x:c r="AN62" s="28"/>
      <x:c r="AO62" s="28"/>
      <x:c r="AP62" s="28"/>
      <x:c r="AQ62" s="28"/>
      <x:c r="AR62" s="28"/>
      <x:c r="AS62" s="28"/>
      <x:c r="AT62" s="28"/>
      <x:c r="AU62" s="28"/>
      <x:c r="AV62" s="28"/>
      <x:c r="AW62" s="28"/>
      <x:c r="AX62" s="28"/>
      <x:c r="AY62" s="28"/>
      <x:c r="AZ62" s="28"/>
      <x:c r="BA62" s="28"/>
      <x:c r="BB62" s="28"/>
      <x:c r="BC62" s="28"/>
      <x:c r="BD62" s="28"/>
      <x:c r="BE62" s="28"/>
      <x:c r="BF62" s="28"/>
      <x:c r="BG62" s="28"/>
      <x:c r="BH62" s="28"/>
      <x:c r="BI62" s="28"/>
      <x:c r="BJ62" s="28"/>
      <x:c r="BK62" s="28"/>
      <x:c r="BL62" s="28"/>
      <x:c r="BM62" s="28"/>
      <x:c r="BN62" s="28"/>
      <x:c r="BO62" s="28"/>
      <x:c r="BP62" s="50"/>
      <x:c r="BQ62" s="51"/>
    </x:row>
    <x:row r="63" ht="42" customHeight="1">
      <x:c r="A63" s="5"/>
      <x:c r="B63" s="17"/>
      <x:c r="C63" s="6"/>
      <x:c r="D63" s="6"/>
      <x:c r="E63" s="6"/>
      <x:c r="F63" s="23"/>
      <x:c r="G63" s="23"/>
      <x:c r="H63" s="23"/>
      <x:c r="I63" s="23">
        <x:f t="shared" si="6"/>
        <x:v>1</x:v>
      </x:c>
      <x:c r="J63" s="24">
        <x:f t="shared" si="7"/>
        <x:v>-7</x:v>
      </x:c>
      <x:c r="K63" s="24">
        <x:f t="shared" si="8"/>
        <x:v>-1</x:v>
      </x:c>
      <x:c r="L63" s="23"/>
      <x:c r="M63" s="25"/>
      <x:c r="N63" s="23"/>
      <x:c r="O63" s="23" t="str">
        <x:f t="shared" si="9"/>
      </x:c>
      <x:c r="P63" s="23">
        <x:f t="shared" si="10"/>
        <x:v>0</x:v>
      </x:c>
      <x:c r="Q63" s="8"/>
      <x:c r="R63" s="52"/>
      <x:c r="S63" s="53"/>
      <x:c r="T63" s="53"/>
      <x:c r="U63" s="53"/>
      <x:c r="V63" s="53"/>
      <x:c r="W63" s="53"/>
      <x:c r="X63" s="53"/>
      <x:c r="Y63" s="53"/>
      <x:c r="Z63" s="53"/>
      <x:c r="AA63" s="53"/>
      <x:c r="AB63" s="53"/>
      <x:c r="AC63" s="53"/>
      <x:c r="AD63" s="53"/>
      <x:c r="AE63" s="53"/>
      <x:c r="AF63" s="53"/>
      <x:c r="AG63" s="53"/>
      <x:c r="AH63" s="53"/>
      <x:c r="AI63" s="53"/>
      <x:c r="AJ63" s="53"/>
      <x:c r="AK63" s="53"/>
      <x:c r="AL63" s="53"/>
      <x:c r="AM63" s="53"/>
      <x:c r="AN63" s="53"/>
      <x:c r="AO63" s="53"/>
      <x:c r="AP63" s="53"/>
      <x:c r="AQ63" s="53"/>
      <x:c r="AR63" s="53"/>
      <x:c r="AS63" s="53"/>
      <x:c r="AT63" s="53"/>
      <x:c r="AU63" s="53"/>
      <x:c r="AV63" s="53"/>
      <x:c r="AW63" s="53"/>
      <x:c r="AX63" s="53"/>
      <x:c r="AY63" s="53"/>
      <x:c r="AZ63" s="53"/>
      <x:c r="BA63" s="53"/>
      <x:c r="BB63" s="53"/>
      <x:c r="BC63" s="53"/>
      <x:c r="BD63" s="53"/>
      <x:c r="BE63" s="53"/>
      <x:c r="BF63" s="53"/>
      <x:c r="BG63" s="53"/>
      <x:c r="BH63" s="53"/>
      <x:c r="BI63" s="53"/>
      <x:c r="BJ63" s="53"/>
      <x:c r="BK63" s="53"/>
      <x:c r="BL63" s="53"/>
      <x:c r="BM63" s="53"/>
      <x:c r="BN63" s="53"/>
      <x:c r="BO63" s="53"/>
      <x:c r="BP63" s="53"/>
      <x:c r="BQ63" s="49"/>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3:R3"/>
  </x:mergeCells>
  <x:conditionalFormatting sqref="K6:K27">
    <x:cfRule type="expression" dxfId="13" priority="11">
      <x:formula>K6="Complete"</x:formula>
    </x:cfRule>
    <x:cfRule type="expression" dxfId="12" priority="12">
      <x:formula>K6="In Progress"</x:formula>
    </x:cfRule>
    <x:cfRule type="expression" dxfId="11" priority="13">
      <x:formula>K6="Blocked"</x:formula>
    </x:cfRule>
    <x:cfRule type="expression" dxfId="10" priority="16">
      <x:formula>K6="Complete"</x:formula>
    </x:cfRule>
    <x:cfRule type="expression" dxfId="9" priority="17">
      <x:formula>K6="In Progress"</x:formula>
    </x:cfRule>
    <x:cfRule type="expression" dxfId="8" priority="18">
      <x:formula>K6="Blocked"</x:formula>
    </x:cfRule>
  </x:conditionalFormatting>
  <x:conditionalFormatting sqref="L6:L27">
    <x:cfRule type="dataBar" priority="10">
      <x:dataBar>
        <x:cfvo type="min"/>
        <x:cfvo type="max"/>
        <x:color rgb="FF2F75B5"/>
      </x:dataBar>
    </x:cfRule>
    <x:cfRule type="dataBar" priority="15">
      <x:dataBar>
        <x:cfvo type="min"/>
        <x:cfvo type="max"/>
        <x:color rgb="FF2F75B5"/>
      </x:dataBar>
    </x:cfRule>
    <x:cfRule type="dataBar" priority="21">
      <x:dataBar>
        <x:cfvo type="min"/>
        <x:cfvo type="max"/>
        <x:color rgb="FF2F75B5"/>
      </x:dataBar>
      <x:extLst>
        <x:ext xmlns:x14="http://schemas.microsoft.com/office/spreadsheetml/2009/9/main" uri="{B025F937-C7B1-47D3-B67F-A62EFF666E3E}">
          <x14:id>{063DC311-2080-FF25-3757-9AC640565C53}</x14:id>
        </x:ext>
      </x:extLst>
    </x:cfRule>
    <x:cfRule type="dataBar" priority="21">
      <x:dataBar>
        <x:cfvo type="min"/>
        <x:cfvo type="max"/>
        <x:color rgb="FF2F75B5"/>
      </x:dataBar>
      <x:extLst>
        <x:ext xmlns:x14="http://schemas.microsoft.com/office/spreadsheetml/2009/9/main" uri="{B025F937-C7B1-47D3-B67F-A62EFF666E3E}">
          <x14:id>{C0AFF14F-9D94-F3D6-12B8-079A9CDD4DAD}</x14:id>
        </x:ext>
      </x:extLst>
    </x:cfRule>
  </x:conditionalFormatting>
  <x:conditionalFormatting sqref="L6:L63">
    <x:cfRule type="expression" dxfId="7" priority="1">
      <x:formula>L6="Complete"</x:formula>
    </x:cfRule>
    <x:cfRule type="expression" dxfId="6" priority="2">
      <x:formula>L6="In Progress"</x:formula>
    </x:cfRule>
    <x:cfRule type="expression" dxfId="5" priority="3">
      <x:formula>L6="On Hold"</x:formula>
    </x:cfRule>
  </x:conditionalFormatting>
  <x:conditionalFormatting sqref="M6:M63">
    <x:cfRule type="dataBar" priority="4">
      <x:dataBar>
        <x:cfvo type="min"/>
        <x:cfvo type="max"/>
        <x:color rgb="FF2563EB"/>
      </x:dataBar>
    </x:cfRule>
    <x:cfRule type="dataBar" priority="7">
      <x:dataBar>
        <x:cfvo type="min"/>
        <x:cfvo type="max"/>
        <x:color rgb="FF2563EB"/>
      </x:dataBar>
    </x:cfRule>
    <x:cfRule type="dataBar" priority="8">
      <x:dataBar>
        <x:cfvo type="min"/>
        <x:cfvo type="max"/>
        <x:color rgb="FF2563EB"/>
      </x:dataBar>
    </x:cfRule>
    <x:cfRule type="dataBar" priority="9">
      <x:dataBar>
        <x:cfvo type="min"/>
        <x:cfvo type="max"/>
        <x:color rgb="FF2563EB"/>
      </x:dataBar>
    </x:cfRule>
    <x:cfRule type="dataBar" priority="20">
      <x:dataBar>
        <x:cfvo type="min"/>
        <x:cfvo type="max"/>
        <x:color rgb="FF2563EB"/>
      </x:dataBar>
      <x:extLst>
        <x:ext xmlns:x14="http://schemas.microsoft.com/office/spreadsheetml/2009/9/main" uri="{B025F937-C7B1-47D3-B67F-A62EFF666E3E}">
          <x14:id>{B05FFF90-18D4-A5A7-8560-2BA14D3F5BBD}</x14:id>
        </x:ext>
      </x:extLst>
    </x:cfRule>
  </x:conditionalFormatting>
  <x:conditionalFormatting sqref="O6:O63">
    <x:cfRule type="cellIs" dxfId="4" priority="5" operator="greaterThan">
      <x:formula>0</x:formula>
    </x:cfRule>
    <x:cfRule type="cellIs" dxfId="3" priority="6" operator="lessThan">
      <x:formula>0</x:formula>
    </x:cfRule>
  </x:conditionalFormatting>
  <x:conditionalFormatting sqref="S6:Z27">
    <x:cfRule type="expression" dxfId="2" priority="14">
      <x:formula>S6="■"</x:formula>
    </x:cfRule>
  </x:conditionalFormatting>
  <x:dataValidations count="2">
    <x:dataValidation type="list" sqref="L6:L63">
      <x:formula1>"Not Started,In Progress,Complete,On Hold"</x:formula1>
    </x:dataValidation>
    <x:dataValidation type="list" sqref="K6:K27">
      <x:formula1>"Not Started,In Progress,Complete,Blocked,Deferred"</x:formula1>
    </x:dataValidation>
  </x:dataValidations>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21" id="{063DC311-2080-FF25-3757-9AC640565C53}">
            <x14:dataBar>
              <x14:cfvo type="min"/>
              <x14:cfvo type="max"/>
              <x14:fillColor rgb="FF2F75B5"/>
              <x14:negativeFillColor auto="1"/>
              <x14:axisColor auto="1"/>
            </x14:dataBar>
          </x14:cfRule>
          <x14:cfRule type="dataBar" priority="21" id="{C0AFF14F-9D94-F3D6-12B8-079A9CDD4DAD}">
            <x14:dataBar>
              <x14:cfvo type="min"/>
              <x14:cfvo type="max"/>
              <x14:fillColor rgb="FF2F75B5"/>
              <x14:negativeFillColor auto="1"/>
              <x14:axisColor auto="1"/>
            </x14:dataBar>
          </x14:cfRule>
          <xm:sqref>L6:L27</xm:sqref>
        </x14:conditionalFormatting>
        <x14:conditionalFormatting>
          <x14:cfRule type="dataBar" priority="20" id="{B05FFF90-18D4-A5A7-8560-2BA14D3F5BBD}">
            <x14:dataBar>
              <x14:cfvo type="min"/>
              <x14:cfvo type="max"/>
              <x14:fillColor rgb="FF2563EB"/>
              <x14:negativeFillColor auto="1"/>
              <x14:axisColor auto="1"/>
            </x14:dataBar>
          </x14:cfRule>
          <xm:sqref>M6:M63</xm:sqref>
        </x14:conditionalFormatting>
      </x14:conditionalFormattings>
    </x:ext>
  </x:extLst>
</x:worksheet>
</file>

<file path=xl/worksheets/sheet4.xml><?xml version="1.0" encoding="utf-8"?>
<x:worksheet xmlns:x="http://schemas.openxmlformats.org/spreadsheetml/2006/main">
  <x:sheetFormatPr defaultRowHeight="14.25"/>
  <x:cols>
    <x:col min="1" max="1" width="8" customWidth="1"/>
    <x:col min="2" max="5" width="12" customWidth="1"/>
    <x:col min="6" max="6" width="11" customWidth="1"/>
    <x:col min="7" max="8" width="14" customWidth="1"/>
    <x:col min="9" max="9" width="15" customWidth="1"/>
    <x:col min="10" max="10" width="34" customWidth="1"/>
    <x:col min="11" max="11" width="13" customWidth="1"/>
    <x:col min="12" max="12" width="52" customWidth="1"/>
  </x:cols>
  <x:sheetData>
    <x:row r="1" ht="27.950000762939453" customHeight="1">
      <x:c r="A1" s="204" t="str">
        <x:v>v0.2.0 Weekly Resource Control — Historical</x:v>
      </x:c>
      <x:c r="B1" s="205"/>
      <x:c r="C1" s="205"/>
      <x:c r="D1" s="205"/>
      <x:c r="E1" s="205"/>
      <x:c r="F1" s="205"/>
      <x:c r="G1" s="205"/>
      <x:c r="H1" s="205"/>
      <x:c r="I1" s="205"/>
      <x:c r="J1" s="205"/>
      <x:c r="K1" s="205"/>
      <x:c r="L1" s="20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222" t="str">
        <x:v>This sheet preserves the original MVP weekly baseline. Active v0.3.0 control is in Pilot Dashboard and Pilot Gantt.</x:v>
      </x:c>
      <x:c r="B2" s="222"/>
      <x:c r="C2" s="222"/>
      <x:c r="D2" s="222"/>
      <x:c r="E2" s="222"/>
      <x:c r="F2" s="222"/>
      <x:c r="G2" s="222"/>
      <x:c r="H2" s="222"/>
      <x:c r="I2" s="222"/>
      <x:c r="J2" s="222"/>
      <x:c r="K2" s="222"/>
      <x:c r="L2" s="222"/>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36" customHeight="1">
      <x:c r="A3" s="4"/>
      <x:c r="B3" s="4"/>
      <x:c r="C3" s="4"/>
      <x:c r="D3" s="4"/>
      <x:c r="E3" s="4"/>
      <x:c r="F3" s="4"/>
      <x:c r="G3" s="4"/>
      <x:c r="H3" s="4"/>
      <x:c r="I3" s="4"/>
      <x:c r="J3" s="4"/>
      <x:c r="K3" s="4"/>
      <x:c r="L3" s="4"/>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88" t="str">
        <x:v>Week</x:v>
      </x:c>
      <x:c r="B4" s="118" t="str">
        <x:v>Week Start</x:v>
      </x:c>
      <x:c r="C4" s="118" t="str">
        <x:v>Week Finish</x:v>
      </x:c>
      <x:c r="D4" s="88" t="str">
        <x:v>Planned Hours</x:v>
      </x:c>
      <x:c r="E4" s="137" t="str">
        <x:v>Actual Hours</x:v>
      </x:c>
      <x:c r="F4" s="88" t="str">
        <x:v>Variance</x:v>
      </x:c>
      <x:c r="G4" s="88" t="str">
        <x:v>Cumulative Planned</x:v>
      </x:c>
      <x:c r="H4" s="88" t="str">
        <x:v>Cumulative Actual</x:v>
      </x:c>
      <x:c r="I4" s="88" t="str">
        <x:v>Remaining</x:v>
      </x:c>
      <x:c r="J4" s="88" t="str">
        <x:v>Primary Focus</x:v>
      </x:c>
      <x:c r="K4" s="88" t="str">
        <x:v>Status</x:v>
      </x:c>
      <x:c r="L4" s="88" t="str">
        <x:v>Weekly Note</x:v>
      </x:c>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72" customHeight="1">
      <x:c r="A5" s="141">
        <x:v>1</x:v>
      </x:c>
      <x:c r="B5" s="138">
        <x:v>46202</x:v>
      </x:c>
      <x:c r="C5" s="138">
        <x:v>46208</x:v>
      </x:c>
      <x:c r="D5" s="68">
        <x:v>8</x:v>
      </x:c>
      <x:c r="E5" s="68" t="n">
        <x:f>SUMIF('Work Block Log'!$G$5:$G$200,A5,'Work Block Log'!$F$5:$F$200)</x:f>
        <x:v>17.39</x:v>
      </x:c>
      <x:c r="F5" s="68" t="n">
        <x:f t="shared" ref="F5:F35" si="0">IF(E5="","",E5-D5)</x:f>
        <x:v>9.39</x:v>
      </x:c>
      <x:c r="G5" s="68" t="n">
        <x:f t="shared" ref="G5:G36" si="2">SUM($D$5:D5)</x:f>
        <x:v>8</x:v>
      </x:c>
      <x:c r="H5" s="68" t="n">
        <x:f t="shared" ref="H5:H36" si="3">SUM($E$5:E5)</x:f>
        <x:v>17.39</x:v>
      </x:c>
      <x:c r="I5" s="68" t="n">
        <x:f t="shared" ref="I5:I35" si="1">MAX($G$13-H5,0)</x:f>
        <x:v>58.61</x:v>
      </x:c>
      <x:c r="J5" s="141" t="s">
        <x:v>140</x:v>
      </x:c>
      <x:c r="K5" s="141" t="str">
        <x:v>Complete</x:v>
      </x:c>
      <x:c r="L5" s="448" t="str">
        <x:v>Known logged time through WB-025: 17.39 h. All MVP WBS items are complete; Gates 1–6 are accepted. The clean-clone final matrix passed at commit 45336a2 with Python 3.12.6, package 0.2.0, five cases, 121 tests, baseline 9/9, demo 2/2, eleven result-version checks, required claim boundaries, and a clean tree. Annotated tag v0.2.0 was pushed and verified. MVP v0.2.0 is released. Next: freeze the baseline and select one post-MVP expansion through a separate decision block.</x:v>
      </x:c>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141">
        <x:v>2</x:v>
      </x:c>
      <x:c r="B6" s="138">
        <x:v>46209</x:v>
      </x:c>
      <x:c r="C6" s="138">
        <x:v>46215</x:v>
      </x:c>
      <x:c r="D6" s="68">
        <x:v>10</x:v>
      </x:c>
      <x:c r="E6" s="68" t="n">
        <x:f>SUMIF('Work Block Log'!$G$5:$G$200,A6,'Work Block Log'!$F$5:$F$200)</x:f>
        <x:v>0</x:v>
      </x:c>
      <x:c r="F6" s="68" t="str">
        <x:f t="shared" si="0">IF(E6="","",E6-D6)</x:f>
      </x:c>
      <x:c r="G6" s="68" t="n">
        <x:f t="shared" si="2">SUM($D$5:D6)</x:f>
        <x:v>18</x:v>
      </x:c>
      <x:c r="H6" s="68" t="n">
        <x:f t="shared" si="3">SUM($E$5:E6)</x:f>
        <x:v>17.39</x:v>
      </x:c>
      <x:c r="I6" s="68" t="n">
        <x:f t="shared" si="1">MAX($G$13-H6,0)</x:f>
        <x:v>58.61</x:v>
      </x:c>
      <x:c r="J6" s="141" t="s">
        <x:v>141</x:v>
      </x:c>
      <x:c r="K6" s="141" t="s">
        <x:v>142</x:v>
      </x:c>
      <x:c r="L6" s="14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141">
        <x:v>3</x:v>
      </x:c>
      <x:c r="B7" s="138">
        <x:v>46216</x:v>
      </x:c>
      <x:c r="C7" s="138">
        <x:v>46222</x:v>
      </x:c>
      <x:c r="D7" s="68">
        <x:v>10</x:v>
      </x:c>
      <x:c r="E7" s="68" t="n">
        <x:f>SUMIF('Work Block Log'!$G$5:$G$200,A7,'Work Block Log'!$F$5:$F$200)</x:f>
        <x:v>0</x:v>
      </x:c>
      <x:c r="F7" s="68" t="str">
        <x:f t="shared" si="0">IF(E7="","",E7-D7)</x:f>
      </x:c>
      <x:c r="G7" s="68" t="n">
        <x:f t="shared" si="2">SUM($D$5:D7)</x:f>
        <x:v>28</x:v>
      </x:c>
      <x:c r="H7" s="68" t="n">
        <x:f t="shared" si="3">SUM($E$5:E7)</x:f>
        <x:v>17.39</x:v>
      </x:c>
      <x:c r="I7" s="68" t="n">
        <x:f t="shared" si="1">MAX($G$13-H7,0)</x:f>
        <x:v>58.61</x:v>
      </x:c>
      <x:c r="J7" s="141" t="s">
        <x:v>143</x:v>
      </x:c>
      <x:c r="K7" s="141" t="s">
        <x:v>142</x:v>
      </x:c>
      <x:c r="L7" s="14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141">
        <x:v>4</x:v>
      </x:c>
      <x:c r="B8" s="138">
        <x:v>46223</x:v>
      </x:c>
      <x:c r="C8" s="138">
        <x:v>46229</x:v>
      </x:c>
      <x:c r="D8" s="68">
        <x:v>10</x:v>
      </x:c>
      <x:c r="E8" s="68" t="n">
        <x:f>SUMIF('Work Block Log'!$G$5:$G$200,A8,'Work Block Log'!$F$5:$F$200)</x:f>
        <x:v>0</x:v>
      </x:c>
      <x:c r="F8" s="68" t="str">
        <x:f t="shared" si="0">IF(E8="","",E8-D8)</x:f>
      </x:c>
      <x:c r="G8" s="68" t="n">
        <x:f t="shared" si="2">SUM($D$5:D8)</x:f>
        <x:v>38</x:v>
      </x:c>
      <x:c r="H8" s="68" t="n">
        <x:f t="shared" si="3">SUM($E$5:E8)</x:f>
        <x:v>17.39</x:v>
      </x:c>
      <x:c r="I8" s="68" t="n">
        <x:f t="shared" si="1">MAX($G$13-H8,0)</x:f>
        <x:v>58.61</x:v>
      </x:c>
      <x:c r="J8" s="141" t="s">
        <x:v>144</x:v>
      </x:c>
      <x:c r="K8" s="141" t="s">
        <x:v>142</x:v>
      </x:c>
      <x:c r="L8" s="14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141">
        <x:v>5</x:v>
      </x:c>
      <x:c r="B9" s="138">
        <x:v>46230</x:v>
      </x:c>
      <x:c r="C9" s="138">
        <x:v>46236</x:v>
      </x:c>
      <x:c r="D9" s="68">
        <x:v>10</x:v>
      </x:c>
      <x:c r="E9" s="68" t="n">
        <x:f>SUMIF('Work Block Log'!$G$5:$G$200,A9,'Work Block Log'!$F$5:$F$200)</x:f>
        <x:v>0</x:v>
      </x:c>
      <x:c r="F9" s="68" t="str">
        <x:f t="shared" si="0">IF(E9="","",E9-D9)</x:f>
      </x:c>
      <x:c r="G9" s="68" t="n">
        <x:f t="shared" si="2">SUM($D$5:D9)</x:f>
        <x:v>48</x:v>
      </x:c>
      <x:c r="H9" s="68" t="n">
        <x:f t="shared" si="3">SUM($E$5:E9)</x:f>
        <x:v>17.39</x:v>
      </x:c>
      <x:c r="I9" s="68" t="n">
        <x:f t="shared" si="1">MAX($G$13-H9,0)</x:f>
        <x:v>58.61</x:v>
      </x:c>
      <x:c r="J9" s="141" t="s">
        <x:v>145</x:v>
      </x:c>
      <x:c r="K9" s="141" t="s">
        <x:v>142</x:v>
      </x:c>
      <x:c r="L9" s="14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5">
      <x:c r="A10" s="141">
        <x:v>6</x:v>
      </x:c>
      <x:c r="B10" s="138">
        <x:v>46237</x:v>
      </x:c>
      <x:c r="C10" s="138">
        <x:v>46243</x:v>
      </x:c>
      <x:c r="D10" s="68">
        <x:v>10</x:v>
      </x:c>
      <x:c r="E10" s="68" t="n">
        <x:f>SUMIF('Work Block Log'!$G$5:$G$200,A10,'Work Block Log'!$F$5:$F$200)</x:f>
        <x:v>0</x:v>
      </x:c>
      <x:c r="F10" s="68" t="str">
        <x:f t="shared" si="0">IF(E10="","",E10-D10)</x:f>
      </x:c>
      <x:c r="G10" s="68" t="n">
        <x:f t="shared" si="2">SUM($D$5:D10)</x:f>
        <x:v>58</x:v>
      </x:c>
      <x:c r="H10" s="68" t="n">
        <x:f t="shared" si="3">SUM($E$5:E10)</x:f>
        <x:v>17.39</x:v>
      </x:c>
      <x:c r="I10" s="68" t="n">
        <x:f t="shared" si="1">MAX($G$13-H10,0)</x:f>
        <x:v>58.61</x:v>
      </x:c>
      <x:c r="J10" s="141" t="s">
        <x:v>146</x:v>
      </x:c>
      <x:c r="K10" s="141" t="s">
        <x:v>142</x:v>
      </x:c>
      <x:c r="L10" s="14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141">
        <x:v>7</x:v>
      </x:c>
      <x:c r="B11" s="138">
        <x:v>46244</x:v>
      </x:c>
      <x:c r="C11" s="138">
        <x:v>46250</x:v>
      </x:c>
      <x:c r="D11" s="68">
        <x:v>10</x:v>
      </x:c>
      <x:c r="E11" s="68" t="n">
        <x:f>SUMIF('Work Block Log'!$G$5:$G$200,A11,'Work Block Log'!$F$5:$F$200)</x:f>
        <x:v>0</x:v>
      </x:c>
      <x:c r="F11" s="68" t="str">
        <x:f t="shared" si="0">IF(E11="","",E11-D11)</x:f>
      </x:c>
      <x:c r="G11" s="68" t="n">
        <x:f t="shared" si="2">SUM($D$5:D11)</x:f>
        <x:v>68</x:v>
      </x:c>
      <x:c r="H11" s="68" t="n">
        <x:f t="shared" si="3">SUM($E$5:E11)</x:f>
        <x:v>17.39</x:v>
      </x:c>
      <x:c r="I11" s="68" t="n">
        <x:f t="shared" si="1">MAX($G$13-H11,0)</x:f>
        <x:v>58.61</x:v>
      </x:c>
      <x:c r="J11" s="141" t="s">
        <x:v>147</x:v>
      </x:c>
      <x:c r="K11" s="141" t="s">
        <x:v>142</x:v>
      </x:c>
      <x:c r="L11" s="14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142">
        <x:v>8</x:v>
      </x:c>
      <x:c r="B12" s="139">
        <x:v>46251</x:v>
      </x:c>
      <x:c r="C12" s="139">
        <x:v>46257</x:v>
      </x:c>
      <x:c r="D12" s="140">
        <x:v>8</x:v>
      </x:c>
      <x:c r="E12" s="140" t="n">
        <x:f>SUMIF('Work Block Log'!$G$5:$G$200,A12,'Work Block Log'!$F$5:$F$200)</x:f>
        <x:v>0</x:v>
      </x:c>
      <x:c r="F12" s="140" t="str">
        <x:f t="shared" si="0">IF(E12="","",E12-D12)</x:f>
      </x:c>
      <x:c r="G12" s="140" t="n">
        <x:f t="shared" si="2">SUM($D$5:D12)</x:f>
        <x:v>76</x:v>
      </x:c>
      <x:c r="H12" s="140" t="n">
        <x:f t="shared" si="3">SUM($E$5:E12)</x:f>
        <x:v>17.39</x:v>
      </x:c>
      <x:c r="I12" s="140" t="n">
        <x:f t="shared" si="1">MAX($G$13-H12,0)</x:f>
        <x:v>58.61</x:v>
      </x:c>
      <x:c r="J12" s="142" t="str">
        <x:v>Stabilization; limitations; v0.2.0 release</x:v>
      </x:c>
      <x:c r="K12" s="142" t="s">
        <x:v>142</x:v>
      </x:c>
      <x:c r="L12" s="142"/>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54"/>
      <x:c r="B13" s="55"/>
      <x:c r="C13" s="55"/>
      <x:c r="D13" s="56"/>
      <x:c r="E13" s="56"/>
      <x:c r="F13" s="56" t="str">
        <x:f t="shared" si="0"/>
      </x:c>
      <x:c r="G13" s="56" t="n">
        <x:f t="shared" si="2"/>
        <x:v>76</x:v>
      </x:c>
      <x:c r="H13" s="56">
        <x:f t="shared" si="3"/>
      </x:c>
      <x:c r="I13" s="56">
        <x:f t="shared" si="1"/>
      </x:c>
      <x:c r="J13" s="56"/>
      <x:c r="K13" s="56"/>
      <x:c r="L13" s="57"/>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54"/>
      <x:c r="B14" s="55"/>
      <x:c r="C14" s="55"/>
      <x:c r="D14" s="56"/>
      <x:c r="E14" s="56"/>
      <x:c r="F14" s="56" t="str">
        <x:f t="shared" si="0"/>
      </x:c>
      <x:c r="G14" s="56">
        <x:f t="shared" si="2"/>
      </x:c>
      <x:c r="H14" s="56">
        <x:f t="shared" si="3"/>
      </x:c>
      <x:c r="I14" s="56">
        <x:f t="shared" si="1"/>
      </x:c>
      <x:c r="J14" s="56"/>
      <x:c r="K14" s="56"/>
      <x:c r="L14" s="57"/>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54"/>
      <x:c r="B15" s="55"/>
      <x:c r="C15" s="55"/>
      <x:c r="D15" s="56"/>
      <x:c r="E15" s="56"/>
      <x:c r="F15" s="56" t="str">
        <x:f t="shared" si="0"/>
      </x:c>
      <x:c r="G15" s="56">
        <x:f t="shared" si="2"/>
      </x:c>
      <x:c r="H15" s="56">
        <x:f t="shared" si="3"/>
      </x:c>
      <x:c r="I15" s="56">
        <x:f t="shared" si="1"/>
      </x:c>
      <x:c r="J15" s="56"/>
      <x:c r="K15" s="56"/>
      <x:c r="L15" s="57"/>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54"/>
      <x:c r="B16" s="55"/>
      <x:c r="C16" s="55"/>
      <x:c r="D16" s="56"/>
      <x:c r="E16" s="56"/>
      <x:c r="F16" s="56" t="str">
        <x:f t="shared" si="0"/>
      </x:c>
      <x:c r="G16" s="56">
        <x:f t="shared" si="2"/>
      </x:c>
      <x:c r="H16" s="56">
        <x:f t="shared" si="3"/>
      </x:c>
      <x:c r="I16" s="56">
        <x:f t="shared" si="1"/>
      </x:c>
      <x:c r="J16" s="56"/>
      <x:c r="K16" s="56"/>
      <x:c r="L16" s="57"/>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54"/>
      <x:c r="B17" s="55"/>
      <x:c r="C17" s="55"/>
      <x:c r="D17" s="56"/>
      <x:c r="E17" s="56"/>
      <x:c r="F17" s="56" t="str">
        <x:f t="shared" si="0"/>
      </x:c>
      <x:c r="G17" s="56">
        <x:f t="shared" si="2"/>
      </x:c>
      <x:c r="H17" s="56">
        <x:f t="shared" si="3"/>
      </x:c>
      <x:c r="I17" s="56">
        <x:f t="shared" si="1"/>
      </x:c>
      <x:c r="J17" s="56"/>
      <x:c r="K17" s="56"/>
      <x:c r="L17" s="57"/>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54"/>
      <x:c r="B18" s="55"/>
      <x:c r="C18" s="55"/>
      <x:c r="D18" s="56"/>
      <x:c r="E18" s="56"/>
      <x:c r="F18" s="56" t="str">
        <x:f t="shared" si="0"/>
      </x:c>
      <x:c r="G18" s="56">
        <x:f t="shared" si="2"/>
      </x:c>
      <x:c r="H18" s="56">
        <x:f t="shared" si="3"/>
      </x:c>
      <x:c r="I18" s="56">
        <x:f t="shared" si="1"/>
      </x:c>
      <x:c r="J18" s="56"/>
      <x:c r="K18" s="56"/>
      <x:c r="L18" s="57"/>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54"/>
      <x:c r="B19" s="55"/>
      <x:c r="C19" s="55"/>
      <x:c r="D19" s="56"/>
      <x:c r="E19" s="56"/>
      <x:c r="F19" s="56" t="str">
        <x:f t="shared" si="0"/>
      </x:c>
      <x:c r="G19" s="56">
        <x:f t="shared" si="2"/>
      </x:c>
      <x:c r="H19" s="56">
        <x:f t="shared" si="3"/>
      </x:c>
      <x:c r="I19" s="56">
        <x:f t="shared" si="1"/>
      </x:c>
      <x:c r="J19" s="56"/>
      <x:c r="K19" s="56"/>
      <x:c r="L19" s="57"/>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54"/>
      <x:c r="B20" s="55"/>
      <x:c r="C20" s="55"/>
      <x:c r="D20" s="56"/>
      <x:c r="E20" s="56"/>
      <x:c r="F20" s="56" t="str">
        <x:f t="shared" si="0"/>
      </x:c>
      <x:c r="G20" s="56">
        <x:f t="shared" si="2"/>
      </x:c>
      <x:c r="H20" s="56">
        <x:f t="shared" si="3"/>
      </x:c>
      <x:c r="I20" s="56">
        <x:f t="shared" si="1"/>
      </x:c>
      <x:c r="J20" s="56"/>
      <x:c r="K20" s="56"/>
      <x:c r="L20" s="57"/>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54"/>
      <x:c r="B21" s="55"/>
      <x:c r="C21" s="55"/>
      <x:c r="D21" s="56"/>
      <x:c r="E21" s="56"/>
      <x:c r="F21" s="56" t="str">
        <x:f t="shared" si="0"/>
      </x:c>
      <x:c r="G21" s="56">
        <x:f t="shared" si="2"/>
      </x:c>
      <x:c r="H21" s="56">
        <x:f t="shared" si="3"/>
      </x:c>
      <x:c r="I21" s="56">
        <x:f t="shared" si="1"/>
      </x:c>
      <x:c r="J21" s="56"/>
      <x:c r="K21" s="56"/>
      <x:c r="L21" s="57"/>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54"/>
      <x:c r="B22" s="55"/>
      <x:c r="C22" s="55"/>
      <x:c r="D22" s="56"/>
      <x:c r="E22" s="56"/>
      <x:c r="F22" s="56" t="str">
        <x:f t="shared" si="0"/>
      </x:c>
      <x:c r="G22" s="56">
        <x:f t="shared" si="2"/>
      </x:c>
      <x:c r="H22" s="56">
        <x:f t="shared" si="3"/>
      </x:c>
      <x:c r="I22" s="56">
        <x:f t="shared" si="1"/>
      </x:c>
      <x:c r="J22" s="56"/>
      <x:c r="K22" s="56"/>
      <x:c r="L22" s="57"/>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54"/>
      <x:c r="B23" s="55"/>
      <x:c r="C23" s="55"/>
      <x:c r="D23" s="56"/>
      <x:c r="E23" s="56"/>
      <x:c r="F23" s="56" t="str">
        <x:f t="shared" si="0"/>
      </x:c>
      <x:c r="G23" s="56">
        <x:f t="shared" si="2"/>
      </x:c>
      <x:c r="H23" s="56">
        <x:f t="shared" si="3"/>
      </x:c>
      <x:c r="I23" s="56">
        <x:f t="shared" si="1"/>
      </x:c>
      <x:c r="J23" s="56"/>
      <x:c r="K23" s="56"/>
      <x:c r="L23" s="57"/>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54"/>
      <x:c r="B24" s="55"/>
      <x:c r="C24" s="55"/>
      <x:c r="D24" s="56"/>
      <x:c r="E24" s="56"/>
      <x:c r="F24" s="56" t="str">
        <x:f t="shared" si="0"/>
      </x:c>
      <x:c r="G24" s="56">
        <x:f t="shared" si="2"/>
      </x:c>
      <x:c r="H24" s="56">
        <x:f t="shared" si="3"/>
      </x:c>
      <x:c r="I24" s="56">
        <x:f t="shared" si="1"/>
      </x:c>
      <x:c r="J24" s="56"/>
      <x:c r="K24" s="56"/>
      <x:c r="L24" s="57"/>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54"/>
      <x:c r="B25" s="55"/>
      <x:c r="C25" s="55"/>
      <x:c r="D25" s="56"/>
      <x:c r="E25" s="56"/>
      <x:c r="F25" s="56" t="str">
        <x:f t="shared" si="0"/>
      </x:c>
      <x:c r="G25" s="56">
        <x:f t="shared" si="2"/>
      </x:c>
      <x:c r="H25" s="56">
        <x:f t="shared" si="3"/>
      </x:c>
      <x:c r="I25" s="56">
        <x:f t="shared" si="1"/>
      </x:c>
      <x:c r="J25" s="56"/>
      <x:c r="K25" s="56"/>
      <x:c r="L25" s="57"/>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54"/>
      <x:c r="B26" s="55"/>
      <x:c r="C26" s="55"/>
      <x:c r="D26" s="56"/>
      <x:c r="E26" s="56"/>
      <x:c r="F26" s="56" t="str">
        <x:f t="shared" si="0"/>
      </x:c>
      <x:c r="G26" s="56">
        <x:f t="shared" si="2"/>
      </x:c>
      <x:c r="H26" s="56">
        <x:f t="shared" si="3"/>
      </x:c>
      <x:c r="I26" s="56">
        <x:f t="shared" si="1"/>
      </x:c>
      <x:c r="J26" s="56"/>
      <x:c r="K26" s="56"/>
      <x:c r="L26" s="57"/>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58"/>
      <x:c r="B27" s="59"/>
      <x:c r="C27" s="59"/>
      <x:c r="D27" s="60"/>
      <x:c r="E27" s="60"/>
      <x:c r="F27" s="60" t="str">
        <x:f t="shared" si="0"/>
      </x:c>
      <x:c r="G27" s="60">
        <x:f t="shared" si="2"/>
      </x:c>
      <x:c r="H27" s="60">
        <x:f t="shared" si="3"/>
      </x:c>
      <x:c r="I27" s="60">
        <x:f t="shared" si="1"/>
      </x:c>
      <x:c r="J27" s="60"/>
      <x:c r="K27" s="60"/>
      <x:c r="L27" s="6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54"/>
      <x:c r="B28" s="55"/>
      <x:c r="C28" s="55"/>
      <x:c r="D28" s="56"/>
      <x:c r="E28" s="56"/>
      <x:c r="F28" s="56" t="str">
        <x:f t="shared" si="0"/>
      </x:c>
      <x:c r="G28" s="56">
        <x:f t="shared" si="2"/>
      </x:c>
      <x:c r="H28" s="56">
        <x:f t="shared" si="3"/>
      </x:c>
      <x:c r="I28" s="56">
        <x:f t="shared" si="1"/>
      </x:c>
      <x:c r="J28" s="56"/>
      <x:c r="K28" s="56"/>
      <x:c r="L28" s="57"/>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54"/>
      <x:c r="B29" s="55"/>
      <x:c r="C29" s="55"/>
      <x:c r="D29" s="56"/>
      <x:c r="E29" s="56"/>
      <x:c r="F29" s="56" t="str">
        <x:f t="shared" si="0"/>
      </x:c>
      <x:c r="G29" s="56">
        <x:f t="shared" si="2"/>
      </x:c>
      <x:c r="H29" s="56">
        <x:f t="shared" si="3"/>
      </x:c>
      <x:c r="I29" s="56">
        <x:f t="shared" si="1"/>
      </x:c>
      <x:c r="J29" s="56"/>
      <x:c r="K29" s="56"/>
      <x:c r="L29" s="57"/>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54"/>
      <x:c r="B30" s="55"/>
      <x:c r="C30" s="55"/>
      <x:c r="D30" s="56"/>
      <x:c r="E30" s="56"/>
      <x:c r="F30" s="56" t="str">
        <x:f t="shared" si="0"/>
      </x:c>
      <x:c r="G30" s="56">
        <x:f t="shared" si="2"/>
      </x:c>
      <x:c r="H30" s="56">
        <x:f t="shared" si="3"/>
      </x:c>
      <x:c r="I30" s="56">
        <x:f t="shared" si="1"/>
      </x:c>
      <x:c r="J30" s="56"/>
      <x:c r="K30" s="56"/>
      <x:c r="L30" s="57"/>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54"/>
      <x:c r="B31" s="55"/>
      <x:c r="C31" s="55"/>
      <x:c r="D31" s="56"/>
      <x:c r="E31" s="56"/>
      <x:c r="F31" s="56" t="str">
        <x:f t="shared" si="0"/>
      </x:c>
      <x:c r="G31" s="56">
        <x:f t="shared" si="2"/>
      </x:c>
      <x:c r="H31" s="56">
        <x:f t="shared" si="3"/>
      </x:c>
      <x:c r="I31" s="56">
        <x:f t="shared" si="1"/>
      </x:c>
      <x:c r="J31" s="56"/>
      <x:c r="K31" s="56"/>
      <x:c r="L31" s="57"/>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54"/>
      <x:c r="B32" s="55"/>
      <x:c r="C32" s="55"/>
      <x:c r="D32" s="56"/>
      <x:c r="E32" s="56"/>
      <x:c r="F32" s="56" t="str">
        <x:f t="shared" si="0"/>
      </x:c>
      <x:c r="G32" s="56">
        <x:f t="shared" si="2"/>
      </x:c>
      <x:c r="H32" s="56">
        <x:f t="shared" si="3"/>
      </x:c>
      <x:c r="I32" s="56">
        <x:f t="shared" si="1"/>
      </x:c>
      <x:c r="J32" s="56"/>
      <x:c r="K32" s="56"/>
      <x:c r="L32" s="57"/>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54"/>
      <x:c r="B33" s="55"/>
      <x:c r="C33" s="55"/>
      <x:c r="D33" s="56"/>
      <x:c r="E33" s="56"/>
      <x:c r="F33" s="56" t="str">
        <x:f t="shared" si="0"/>
      </x:c>
      <x:c r="G33" s="56">
        <x:f t="shared" si="2"/>
      </x:c>
      <x:c r="H33" s="56">
        <x:f t="shared" si="3"/>
      </x:c>
      <x:c r="I33" s="56">
        <x:f t="shared" si="1"/>
      </x:c>
      <x:c r="J33" s="56"/>
      <x:c r="K33" s="56"/>
      <x:c r="L33" s="57"/>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54"/>
      <x:c r="B34" s="55"/>
      <x:c r="C34" s="55"/>
      <x:c r="D34" s="56"/>
      <x:c r="E34" s="56"/>
      <x:c r="F34" s="56" t="str">
        <x:f t="shared" si="0"/>
      </x:c>
      <x:c r="G34" s="56">
        <x:f t="shared" si="2"/>
      </x:c>
      <x:c r="H34" s="56">
        <x:f t="shared" si="3"/>
      </x:c>
      <x:c r="I34" s="56">
        <x:f t="shared" si="1"/>
      </x:c>
      <x:c r="J34" s="56"/>
      <x:c r="K34" s="56"/>
      <x:c r="L34" s="57"/>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54"/>
      <x:c r="B35" s="55"/>
      <x:c r="C35" s="55"/>
      <x:c r="D35" s="56"/>
      <x:c r="E35" s="56"/>
      <x:c r="F35" s="56" t="str">
        <x:f t="shared" si="0"/>
      </x:c>
      <x:c r="G35" s="56">
        <x:f t="shared" si="2"/>
      </x:c>
      <x:c r="H35" s="56">
        <x:f t="shared" si="3"/>
      </x:c>
      <x:c r="I35" s="56">
        <x:f t="shared" si="1"/>
      </x:c>
      <x:c r="J35" s="56"/>
      <x:c r="K35" s="56"/>
      <x:c r="L35" s="57"/>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54"/>
      <x:c r="B36" s="55"/>
      <x:c r="C36" s="55"/>
      <x:c r="D36" s="56"/>
      <x:c r="E36" s="56"/>
      <x:c r="F36" s="56" t="str">
        <x:f t="shared" ref="F36:F55" si="4">IF(E36="","",E36-D36)</x:f>
      </x:c>
      <x:c r="G36" s="56">
        <x:f t="shared" si="2"/>
      </x:c>
      <x:c r="H36" s="56">
        <x:f t="shared" si="3"/>
      </x:c>
      <x:c r="I36" s="56" t="n">
        <x:f t="shared" ref="I36:I55" si="5">MAX(576-G36,0)</x:f>
        <x:v>576</x:v>
      </x:c>
      <x:c r="J36" s="56"/>
      <x:c r="K36" s="56"/>
      <x:c r="L36" s="57"/>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54"/>
      <x:c r="B37" s="55"/>
      <x:c r="C37" s="55"/>
      <x:c r="D37" s="56"/>
      <x:c r="E37" s="56"/>
      <x:c r="F37" s="56">
        <x:f t="shared" si="4"/>
      </x:c>
      <x:c r="G37" s="56" t="n">
        <x:f t="shared" ref="G37:G55" si="6">G36+D37</x:f>
        <x:v>0</x:v>
      </x:c>
      <x:c r="H37" s="56" t="n">
        <x:f t="shared" ref="H37:H55" si="7">H36+IF(E37="",0,E37)</x:f>
        <x:v>0</x:v>
      </x:c>
      <x:c r="I37" s="56">
        <x:f t="shared" si="5"/>
      </x:c>
      <x:c r="J37" s="56"/>
      <x:c r="K37" s="56"/>
      <x:c r="L37" s="57"/>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54"/>
      <x:c r="B38" s="55"/>
      <x:c r="C38" s="55"/>
      <x:c r="D38" s="56"/>
      <x:c r="E38" s="56"/>
      <x:c r="F38" s="56" t="str">
        <x:f t="shared" si="4"/>
      </x:c>
      <x:c r="G38" s="56">
        <x:f t="shared" si="6"/>
      </x:c>
      <x:c r="H38" s="56">
        <x:f t="shared" si="7"/>
      </x:c>
      <x:c r="I38" s="56">
        <x:f t="shared" si="5"/>
      </x:c>
      <x:c r="J38" s="56"/>
      <x:c r="K38" s="56"/>
      <x:c r="L38" s="57"/>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54"/>
      <x:c r="B39" s="55"/>
      <x:c r="C39" s="55"/>
      <x:c r="D39" s="56"/>
      <x:c r="E39" s="56"/>
      <x:c r="F39" s="56" t="str">
        <x:f t="shared" si="4"/>
      </x:c>
      <x:c r="G39" s="56">
        <x:f t="shared" si="6"/>
      </x:c>
      <x:c r="H39" s="56">
        <x:f t="shared" si="7"/>
      </x:c>
      <x:c r="I39" s="56">
        <x:f t="shared" si="5"/>
      </x:c>
      <x:c r="J39" s="56"/>
      <x:c r="K39" s="56"/>
      <x:c r="L39" s="57"/>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54"/>
      <x:c r="B40" s="55"/>
      <x:c r="C40" s="55"/>
      <x:c r="D40" s="56"/>
      <x:c r="E40" s="56"/>
      <x:c r="F40" s="56" t="str">
        <x:f t="shared" si="4"/>
      </x:c>
      <x:c r="G40" s="56">
        <x:f t="shared" si="6"/>
      </x:c>
      <x:c r="H40" s="56">
        <x:f t="shared" si="7"/>
      </x:c>
      <x:c r="I40" s="56">
        <x:f t="shared" si="5"/>
      </x:c>
      <x:c r="J40" s="56"/>
      <x:c r="K40" s="56"/>
      <x:c r="L40" s="57"/>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54"/>
      <x:c r="B41" s="55"/>
      <x:c r="C41" s="55"/>
      <x:c r="D41" s="56"/>
      <x:c r="E41" s="56"/>
      <x:c r="F41" s="56" t="str">
        <x:f t="shared" si="4"/>
      </x:c>
      <x:c r="G41" s="56">
        <x:f t="shared" si="6"/>
      </x:c>
      <x:c r="H41" s="56">
        <x:f t="shared" si="7"/>
      </x:c>
      <x:c r="I41" s="56">
        <x:f t="shared" si="5"/>
      </x:c>
      <x:c r="J41" s="56"/>
      <x:c r="K41" s="56"/>
      <x:c r="L41" s="57"/>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54"/>
      <x:c r="B42" s="55"/>
      <x:c r="C42" s="55"/>
      <x:c r="D42" s="56"/>
      <x:c r="E42" s="56"/>
      <x:c r="F42" s="56" t="str">
        <x:f t="shared" si="4"/>
      </x:c>
      <x:c r="G42" s="56">
        <x:f t="shared" si="6"/>
      </x:c>
      <x:c r="H42" s="56">
        <x:f t="shared" si="7"/>
      </x:c>
      <x:c r="I42" s="56">
        <x:f t="shared" si="5"/>
      </x:c>
      <x:c r="J42" s="56"/>
      <x:c r="K42" s="56"/>
      <x:c r="L42" s="57"/>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54"/>
      <x:c r="B43" s="55"/>
      <x:c r="C43" s="55"/>
      <x:c r="D43" s="56"/>
      <x:c r="E43" s="56"/>
      <x:c r="F43" s="56" t="str">
        <x:f t="shared" si="4"/>
      </x:c>
      <x:c r="G43" s="56">
        <x:f t="shared" si="6"/>
      </x:c>
      <x:c r="H43" s="56">
        <x:f t="shared" si="7"/>
      </x:c>
      <x:c r="I43" s="56">
        <x:f t="shared" si="5"/>
      </x:c>
      <x:c r="J43" s="56"/>
      <x:c r="K43" s="56"/>
      <x:c r="L43" s="57"/>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54"/>
      <x:c r="B44" s="55"/>
      <x:c r="C44" s="55"/>
      <x:c r="D44" s="56"/>
      <x:c r="E44" s="56"/>
      <x:c r="F44" s="56" t="str">
        <x:f t="shared" si="4"/>
      </x:c>
      <x:c r="G44" s="56">
        <x:f t="shared" si="6"/>
      </x:c>
      <x:c r="H44" s="56">
        <x:f t="shared" si="7"/>
      </x:c>
      <x:c r="I44" s="56">
        <x:f t="shared" si="5"/>
      </x:c>
      <x:c r="J44" s="56"/>
      <x:c r="K44" s="56"/>
      <x:c r="L44" s="57"/>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58"/>
      <x:c r="B45" s="59"/>
      <x:c r="C45" s="59"/>
      <x:c r="D45" s="60"/>
      <x:c r="E45" s="60"/>
      <x:c r="F45" s="60" t="str">
        <x:f t="shared" si="4"/>
      </x:c>
      <x:c r="G45" s="60">
        <x:f t="shared" si="6"/>
      </x:c>
      <x:c r="H45" s="60">
        <x:f t="shared" si="7"/>
      </x:c>
      <x:c r="I45" s="60">
        <x:f t="shared" si="5"/>
      </x:c>
      <x:c r="J45" s="60"/>
      <x:c r="K45" s="60"/>
      <x:c r="L45" s="6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54"/>
      <x:c r="B46" s="55"/>
      <x:c r="C46" s="55"/>
      <x:c r="D46" s="56"/>
      <x:c r="E46" s="56"/>
      <x:c r="F46" s="56" t="str">
        <x:f t="shared" si="4"/>
      </x:c>
      <x:c r="G46" s="56">
        <x:f t="shared" si="6"/>
      </x:c>
      <x:c r="H46" s="56">
        <x:f t="shared" si="7"/>
      </x:c>
      <x:c r="I46" s="56">
        <x:f t="shared" si="5"/>
      </x:c>
      <x:c r="J46" s="56"/>
      <x:c r="K46" s="56"/>
      <x:c r="L46" s="57"/>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54"/>
      <x:c r="B47" s="55"/>
      <x:c r="C47" s="55"/>
      <x:c r="D47" s="56"/>
      <x:c r="E47" s="56"/>
      <x:c r="F47" s="56" t="str">
        <x:f t="shared" si="4"/>
      </x:c>
      <x:c r="G47" s="56">
        <x:f t="shared" si="6"/>
      </x:c>
      <x:c r="H47" s="56">
        <x:f t="shared" si="7"/>
      </x:c>
      <x:c r="I47" s="56">
        <x:f t="shared" si="5"/>
      </x:c>
      <x:c r="J47" s="56"/>
      <x:c r="K47" s="56"/>
      <x:c r="L47" s="57"/>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54"/>
      <x:c r="B48" s="55"/>
      <x:c r="C48" s="55"/>
      <x:c r="D48" s="56"/>
      <x:c r="E48" s="56"/>
      <x:c r="F48" s="56" t="str">
        <x:f t="shared" si="4"/>
      </x:c>
      <x:c r="G48" s="56">
        <x:f t="shared" si="6"/>
      </x:c>
      <x:c r="H48" s="56">
        <x:f t="shared" si="7"/>
      </x:c>
      <x:c r="I48" s="56">
        <x:f t="shared" si="5"/>
      </x:c>
      <x:c r="J48" s="56"/>
      <x:c r="K48" s="56"/>
      <x:c r="L48" s="57"/>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54"/>
      <x:c r="B49" s="55"/>
      <x:c r="C49" s="55"/>
      <x:c r="D49" s="56"/>
      <x:c r="E49" s="56"/>
      <x:c r="F49" s="56" t="str">
        <x:f t="shared" si="4"/>
      </x:c>
      <x:c r="G49" s="56">
        <x:f t="shared" si="6"/>
      </x:c>
      <x:c r="H49" s="56">
        <x:f t="shared" si="7"/>
      </x:c>
      <x:c r="I49" s="56">
        <x:f t="shared" si="5"/>
      </x:c>
      <x:c r="J49" s="56"/>
      <x:c r="K49" s="56"/>
      <x:c r="L49" s="57"/>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54"/>
      <x:c r="B50" s="55"/>
      <x:c r="C50" s="55"/>
      <x:c r="D50" s="56"/>
      <x:c r="E50" s="56"/>
      <x:c r="F50" s="56" t="str">
        <x:f t="shared" si="4"/>
      </x:c>
      <x:c r="G50" s="56">
        <x:f t="shared" si="6"/>
      </x:c>
      <x:c r="H50" s="56">
        <x:f t="shared" si="7"/>
      </x:c>
      <x:c r="I50" s="56">
        <x:f t="shared" si="5"/>
      </x:c>
      <x:c r="J50" s="56"/>
      <x:c r="K50" s="56"/>
      <x:c r="L50" s="57"/>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54"/>
      <x:c r="B51" s="55"/>
      <x:c r="C51" s="55"/>
      <x:c r="D51" s="56"/>
      <x:c r="E51" s="56"/>
      <x:c r="F51" s="56" t="str">
        <x:f t="shared" si="4"/>
      </x:c>
      <x:c r="G51" s="56">
        <x:f t="shared" si="6"/>
      </x:c>
      <x:c r="H51" s="56">
        <x:f t="shared" si="7"/>
      </x:c>
      <x:c r="I51" s="56">
        <x:f t="shared" si="5"/>
      </x:c>
      <x:c r="J51" s="56"/>
      <x:c r="K51" s="56"/>
      <x:c r="L51" s="57"/>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54"/>
      <x:c r="B52" s="55"/>
      <x:c r="C52" s="55"/>
      <x:c r="D52" s="56"/>
      <x:c r="E52" s="56"/>
      <x:c r="F52" s="56" t="str">
        <x:f t="shared" si="4"/>
      </x:c>
      <x:c r="G52" s="56">
        <x:f t="shared" si="6"/>
      </x:c>
      <x:c r="H52" s="56">
        <x:f t="shared" si="7"/>
      </x:c>
      <x:c r="I52" s="56">
        <x:f t="shared" si="5"/>
      </x:c>
      <x:c r="J52" s="56"/>
      <x:c r="K52" s="56"/>
      <x:c r="L52" s="57"/>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54"/>
      <x:c r="B53" s="55"/>
      <x:c r="C53" s="55"/>
      <x:c r="D53" s="56"/>
      <x:c r="E53" s="56"/>
      <x:c r="F53" s="56" t="str">
        <x:f t="shared" si="4"/>
      </x:c>
      <x:c r="G53" s="56">
        <x:f t="shared" si="6"/>
      </x:c>
      <x:c r="H53" s="56">
        <x:f t="shared" si="7"/>
      </x:c>
      <x:c r="I53" s="56">
        <x:f t="shared" si="5"/>
      </x:c>
      <x:c r="J53" s="56"/>
      <x:c r="K53" s="56"/>
      <x:c r="L53" s="57"/>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54"/>
      <x:c r="B54" s="55"/>
      <x:c r="C54" s="55"/>
      <x:c r="D54" s="56"/>
      <x:c r="E54" s="56"/>
      <x:c r="F54" s="56" t="str">
        <x:f t="shared" si="4"/>
      </x:c>
      <x:c r="G54" s="56">
        <x:f t="shared" si="6"/>
      </x:c>
      <x:c r="H54" s="56">
        <x:f t="shared" si="7"/>
      </x:c>
      <x:c r="I54" s="56">
        <x:f t="shared" si="5"/>
      </x:c>
      <x:c r="J54" s="56"/>
      <x:c r="K54" s="56"/>
      <x:c r="L54" s="57"/>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58"/>
      <x:c r="B55" s="59"/>
      <x:c r="C55" s="59"/>
      <x:c r="D55" s="60"/>
      <x:c r="E55" s="60"/>
      <x:c r="F55" s="60" t="str">
        <x:f t="shared" si="4"/>
      </x:c>
      <x:c r="G55" s="60">
        <x:f t="shared" si="6"/>
      </x:c>
      <x:c r="H55" s="60">
        <x:f t="shared" si="7"/>
      </x:c>
      <x:c r="I55" s="60">
        <x:f t="shared" si="5"/>
      </x:c>
      <x:c r="J55" s="60"/>
      <x:c r="K55" s="60"/>
      <x:c r="L55" s="6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L1"/>
    <x:mergeCell ref="A2:L2"/>
  </x:mergeCells>
  <x:conditionalFormatting sqref="D4:D55">
    <x:cfRule type="dataBar" priority="3">
      <x:dataBar>
        <x:cfvo type="min"/>
        <x:cfvo type="max"/>
        <x:color rgb="FF2563EB"/>
      </x:dataBar>
    </x:cfRule>
    <x:cfRule type="dataBar" priority="5">
      <x:dataBar>
        <x:cfvo type="min"/>
        <x:cfvo type="max"/>
        <x:color rgb="FF2563EB"/>
      </x:dataBar>
    </x:cfRule>
    <x:cfRule type="dataBar" priority="7">
      <x:dataBar>
        <x:cfvo type="min"/>
        <x:cfvo type="max"/>
        <x:color rgb="FF2563EB"/>
      </x:dataBar>
    </x:cfRule>
    <x:cfRule type="dataBar" priority="9">
      <x:dataBar>
        <x:cfvo type="min"/>
        <x:cfvo type="max"/>
        <x:color rgb="FF2563EB"/>
      </x:dataBar>
    </x:cfRule>
    <x:cfRule type="dataBar" priority="11">
      <x:dataBar>
        <x:cfvo type="min"/>
        <x:cfvo type="max"/>
        <x:color rgb="FF2563EB"/>
      </x:dataBar>
      <x:extLst>
        <x:ext xmlns:x14="http://schemas.microsoft.com/office/spreadsheetml/2009/9/main" uri="{B025F937-C7B1-47D3-B67F-A62EFF666E3E}">
          <x14:id>{B9CF9B83-EEEF-806F-3865-A7F6C560F42A}</x14:id>
        </x:ext>
      </x:extLst>
    </x:cfRule>
  </x:conditionalFormatting>
  <x:conditionalFormatting sqref="E4:E55">
    <x:cfRule type="dataBar" priority="4">
      <x:dataBar>
        <x:cfvo type="min"/>
        <x:cfvo type="max"/>
        <x:color rgb="FF16A34A"/>
      </x:dataBar>
    </x:cfRule>
    <x:cfRule type="dataBar" priority="6">
      <x:dataBar>
        <x:cfvo type="min"/>
        <x:cfvo type="max"/>
        <x:color rgb="FF16A34A"/>
      </x:dataBar>
    </x:cfRule>
    <x:cfRule type="dataBar" priority="8">
      <x:dataBar>
        <x:cfvo type="min"/>
        <x:cfvo type="max"/>
        <x:color rgb="FF16A34A"/>
      </x:dataBar>
    </x:cfRule>
    <x:cfRule type="dataBar" priority="10">
      <x:dataBar>
        <x:cfvo type="min"/>
        <x:cfvo type="max"/>
        <x:color rgb="FF16A34A"/>
      </x:dataBar>
    </x:cfRule>
    <x:cfRule type="dataBar" priority="12">
      <x:dataBar>
        <x:cfvo type="min"/>
        <x:cfvo type="max"/>
        <x:color rgb="FF16A34A"/>
      </x:dataBar>
      <x:extLst>
        <x:ext xmlns:x14="http://schemas.microsoft.com/office/spreadsheetml/2009/9/main" uri="{B025F937-C7B1-47D3-B67F-A62EFF666E3E}">
          <x14:id>{C5949B8B-F80D-9915-0B44-DA00EAF5A662}</x14:id>
        </x:ext>
      </x:extLst>
    </x:cfRule>
  </x:conditionalFormatting>
  <x:conditionalFormatting sqref="F4:F55">
    <x:cfRule type="cellIs" dxfId="1" priority="1" operator="greaterThan">
      <x:formula>0</x:formula>
    </x:cfRule>
    <x:cfRule type="cellIs" dxfId="0" priority="2" operator="lessThan">
      <x:formula>0</x:formula>
    </x:cfRule>
  </x:conditionalFormatting>
  <x:dataValidations count="2">
    <x:dataValidation type="list" sqref="K4:K55">
      <x:formula1>"Not Started,In Progress,Complete,Missed,Replanned"</x:formula1>
    </x:dataValidation>
    <x:dataValidation type="list" sqref="K5:K12">
      <x:formula1>"Not Started,In Progress,Complete,Blocked"</x:formula1>
    </x:dataValidation>
  </x:dataValidations>
  <x:pageMargins left="0.7" right="0.7" top="0.75" bottom="0.75" header="0.3" footer="0.3"/>
  <x:drawing xmlns:r="http://schemas.openxmlformats.org/officeDocument/2006/relationships" r:id="R114d916657e24663"/>
  <x:extLst>
    <x:ext xmlns:x14="http://schemas.microsoft.com/office/spreadsheetml/2009/9/main" xmlns:xm="http://schemas.microsoft.com/office/excel/2006/main" uri="{78C0D931-6437-407d-A8EE-F0AAD7539E65}">
      <x14:conditionalFormattings>
        <x14:conditionalFormatting>
          <x14:cfRule type="dataBar" priority="11" id="{B9CF9B83-EEEF-806F-3865-A7F6C560F42A}">
            <x14:dataBar>
              <x14:cfvo type="min"/>
              <x14:cfvo type="max"/>
              <x14:fillColor rgb="FF2563EB"/>
              <x14:negativeFillColor auto="1"/>
              <x14:axisColor auto="1"/>
            </x14:dataBar>
          </x14:cfRule>
          <xm:sqref>D4:D55</xm:sqref>
        </x14:conditionalFormatting>
        <x14:conditionalFormatting>
          <x14:cfRule type="dataBar" priority="12" id="{C5949B8B-F80D-9915-0B44-DA00EAF5A662}">
            <x14:dataBar>
              <x14:cfvo type="min"/>
              <x14:cfvo type="max"/>
              <x14:fillColor rgb="FF16A34A"/>
              <x14:negativeFillColor auto="1"/>
              <x14:axisColor auto="1"/>
            </x14:dataBar>
          </x14:cfRule>
          <xm:sqref>E4:E55</xm:sqref>
        </x14:conditionalFormatting>
      </x14:conditionalFormattings>
    </x:ext>
  </x:extLst>
</x:worksheet>
</file>

<file path=xl/worksheets/sheet5.xml><?xml version="1.0" encoding="utf-8"?>
<x:worksheet xmlns:x="http://schemas.openxmlformats.org/spreadsheetml/2006/main">
  <x:sheetFormatPr defaultRowHeight="14.25"/>
  <x:cols>
    <x:col min="1" max="1" width="7" customWidth="1"/>
    <x:col min="2" max="2" width="30" customWidth="1"/>
    <x:col min="3" max="4" width="14" customWidth="1"/>
    <x:col min="5" max="7" width="12" customWidth="1"/>
    <x:col min="8" max="8" width="38" customWidth="1"/>
  </x:cols>
  <x:sheetData>
    <x:row r="1" ht="27.950000762939453" customHeight="1">
      <x:c r="A1" s="204" t="str">
        <x:v>v0.2.0 Phase Labour Summary and Gates — Historical</x:v>
      </x:c>
      <x:c r="B1" s="205"/>
      <x:c r="C1" s="205"/>
      <x:c r="D1" s="205"/>
      <x:c r="E1" s="205"/>
      <x:c r="F1" s="205"/>
      <x:c r="G1" s="205"/>
      <x:c r="H1" s="20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88" t="s">
        <x:v>0</x:v>
      </x:c>
      <x:c r="B3" s="88" t="s">
        <x:v>1</x:v>
      </x:c>
      <x:c r="C3" s="88" t="s">
        <x:v>2</x:v>
      </x:c>
      <x:c r="D3" s="88" t="s">
        <x:v>3</x:v>
      </x:c>
      <x:c r="E3" s="88" t="s">
        <x:v>4</x:v>
      </x:c>
      <x:c r="F3" s="88" t="s">
        <x:v>5</x:v>
      </x:c>
      <x:c r="G3" s="88" t="s">
        <x:v>6</x:v>
      </x:c>
      <x:c r="H3" s="88" t="s">
        <x:v>148</x:v>
      </x:c>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15">
      <x:c r="A4" s="141" t="s">
        <x:v>17</x:v>
      </x:c>
      <x:c r="B4" s="145" t="s">
        <x:v>18</x:v>
      </x:c>
      <x:c r="C4" s="68">
        <x:v>8</x:v>
      </x:c>
      <x:c r="D4" s="68" t="n">
        <x:f>SUMIF('Detailed Gantt'!$B$6:$B$27,B4,'Detailed Gantt'!$M$6:$M$27)</x:f>
        <x:v>7.550000000000001</x:v>
      </x:c>
      <x:c r="E4" s="143" t="n">
        <x:f>IF(C4=0,0,SUMPRODUCT(('Detailed Gantt'!$B$6:$B$27=B4)*'Detailed Gantt'!$F$6:$F$27*'Detailed Gantt'!$L$6:$L$27)/C4)</x:f>
        <x:v>1</x:v>
      </x:c>
      <x:c r="F4" s="138">
        <x:v>46202</x:v>
      </x:c>
      <x:c r="G4" s="138">
        <x:v>46215</x:v>
      </x:c>
      <x:c r="H4" s="141" t="s">
        <x:v>19</x:v>
      </x:c>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15">
      <x:c r="A5" s="141" t="s">
        <x:v>22</x:v>
      </x:c>
      <x:c r="B5" s="146" t="s">
        <x:v>23</x:v>
      </x:c>
      <x:c r="C5" s="68">
        <x:v>24</x:v>
      </x:c>
      <x:c r="D5" s="68" t="n">
        <x:f>SUMIF('Detailed Gantt'!$B$6:$B$27,B5,'Detailed Gantt'!$M$6:$M$27)</x:f>
        <x:v>4.9</x:v>
      </x:c>
      <x:c r="E5" s="143" t="n">
        <x:f>IF(C5=0,0,SUMPRODUCT(('Detailed Gantt'!$B$6:$B$27=B5)*'Detailed Gantt'!$F$6:$F$27*'Detailed Gantt'!$L$6:$L$27)/C5)</x:f>
        <x:v>1</x:v>
      </x:c>
      <x:c r="F5" s="138">
        <x:v>46209</x:v>
      </x:c>
      <x:c r="G5" s="138">
        <x:v>46229</x:v>
      </x:c>
      <x:c r="H5" s="141" t="s">
        <x:v>24</x:v>
      </x:c>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141" t="s">
        <x:v>26</x:v>
      </x:c>
      <x:c r="B6" s="147" t="s">
        <x:v>27</x:v>
      </x:c>
      <x:c r="C6" s="68">
        <x:v>14</x:v>
      </x:c>
      <x:c r="D6" s="68" t="n">
        <x:f>SUMIF('Detailed Gantt'!$B$6:$B$27,B6,'Detailed Gantt'!$M$6:$M$27)</x:f>
        <x:v>1.5799999999999998</x:v>
      </x:c>
      <x:c r="E6" s="143" t="n">
        <x:f>IF(C6=0,0,SUMPRODUCT(('Detailed Gantt'!$B$6:$B$27=B6)*'Detailed Gantt'!$F$6:$F$27*'Detailed Gantt'!$L$6:$L$27)/C6)</x:f>
        <x:v>1</x:v>
      </x:c>
      <x:c r="F6" s="138">
        <x:v>46230</x:v>
      </x:c>
      <x:c r="G6" s="138">
        <x:v>46236</x:v>
      </x:c>
      <x:c r="H6" s="141" t="s">
        <x:v>28</x:v>
      </x:c>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141" t="s">
        <x:v>30</x:v>
      </x:c>
      <x:c r="B7" s="148" t="s">
        <x:v>31</x:v>
      </x:c>
      <x:c r="C7" s="68">
        <x:v>14</x:v>
      </x:c>
      <x:c r="D7" s="68" t="n">
        <x:f>SUMIF('Detailed Gantt'!$B$6:$B$27,B7,'Detailed Gantt'!$M$6:$M$27)</x:f>
        <x:v>1.97</x:v>
      </x:c>
      <x:c r="E7" s="143" t="n">
        <x:f>IF(C7=0,0,SUMPRODUCT(('Detailed Gantt'!$B$6:$B$27=B7)*'Detailed Gantt'!$F$6:$F$27*'Detailed Gantt'!$L$6:$L$27)/C7)</x:f>
        <x:v>1</x:v>
      </x:c>
      <x:c r="F7" s="138">
        <x:v>46209</x:v>
      </x:c>
      <x:c r="G7" s="138">
        <x:v>46243</x:v>
      </x:c>
      <x:c r="H7" s="141" t="s">
        <x:v>32</x:v>
      </x:c>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141" t="s">
        <x:v>34</x:v>
      </x:c>
      <x:c r="B8" s="149" t="s">
        <x:v>35</x:v>
      </x:c>
      <x:c r="C8" s="68">
        <x:v>8</x:v>
      </x:c>
      <x:c r="D8" s="68" t="n">
        <x:f>SUMIF('Detailed Gantt'!$B$6:$B$27,B8,'Detailed Gantt'!$M$6:$M$27)</x:f>
        <x:v>0.72</x:v>
      </x:c>
      <x:c r="E8" s="143" t="n">
        <x:f>IF(C8=0,0,SUMPRODUCT(('Detailed Gantt'!$B$6:$B$27=B8)*'Detailed Gantt'!$F$6:$F$27*'Detailed Gantt'!$L$6:$L$27)/C8)</x:f>
        <x:v>1</x:v>
      </x:c>
      <x:c r="F8" s="138">
        <x:v>46223</x:v>
      </x:c>
      <x:c r="G8" s="138">
        <x:v>46250</x:v>
      </x:c>
      <x:c r="H8" s="141" t="s">
        <x:v>36</x:v>
      </x:c>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141" t="s">
        <x:v>38</x:v>
      </x:c>
      <x:c r="B9" s="150" t="s">
        <x:v>39</x:v>
      </x:c>
      <x:c r="C9" s="68">
        <x:v>8</x:v>
      </x:c>
      <x:c r="D9" s="68" t="n">
        <x:f>SUMIF('Detailed Gantt'!$B$6:$B$27,B9,'Detailed Gantt'!$M$6:$M$27)</x:f>
        <x:v>0.6699999999999999</x:v>
      </x:c>
      <x:c r="E9" s="143" t="n">
        <x:f>IF(C9=0,0,SUMPRODUCT(('Detailed Gantt'!$B$6:$B$27=B9)*'Detailed Gantt'!$F$6:$F$27*'Detailed Gantt'!$L$6:$L$27)/C9)</x:f>
        <x:v>1</x:v>
      </x:c>
      <x:c r="F9" s="138">
        <x:v>46244</x:v>
      </x:c>
      <x:c r="G9" s="138">
        <x:v>46257</x:v>
      </x:c>
      <x:c r="H9" s="141" t="str">
        <x:v>Gate 6 — MVP v0.2.0 release</x:v>
      </x:c>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5">
      <x:c r="A10" s="134" t="s">
        <x:v>149</x:v>
      </x:c>
      <x:c r="B10" s="134"/>
      <x:c r="C10" s="136" t="n">
        <x:f>SUM(C4:C9)</x:f>
        <x:v>76</x:v>
      </x:c>
      <x:c r="D10" s="136" t="n">
        <x:f>SUM(D4:D9)</x:f>
        <x:v>17.39</x:v>
      </x:c>
      <x:c r="E10" s="144" t="n">
        <x:f>SUMPRODUCT(C4:C9,E4:E9)/C10</x:f>
        <x:v>1</x:v>
      </x:c>
      <x:c r="F10" s="135"/>
      <x:c r="G10" s="134"/>
      <x:c r="H10" s="134"/>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54"/>
      <x:c r="B11" s="64"/>
      <x:c r="C11" s="56"/>
      <x:c r="D11" s="62"/>
      <x:c r="E11" s="55"/>
      <x:c r="F11" s="63"/>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223"/>
      <x:c r="B12" s="224"/>
      <x:c r="C12" s="19"/>
      <x:c r="D12" s="20"/>
      <x:c r="E12" s="19"/>
      <x:c r="F12" s="2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1"/>
      <x:c r="B13" s="1"/>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1"/>
      <x:c r="B14" s="1"/>
      <x:c r="C14" s="1"/>
      <x:c r="D14" s="1"/>
      <x:c r="E14" s="1"/>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1"/>
      <x:c r="B15" s="1"/>
      <x:c r="C15" s="1"/>
      <x:c r="D15" s="1"/>
      <x:c r="E15" s="1"/>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1"/>
      <x:c r="B16" s="1"/>
      <x:c r="C16" s="1"/>
      <x:c r="D16" s="1"/>
      <x:c r="E16" s="1"/>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
      <x:c r="B17" s="1"/>
      <x:c r="C17" s="1"/>
      <x:c r="D17" s="1"/>
      <x:c r="E17" s="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
      <x:c r="B18" s="1"/>
      <x:c r="C18" s="1"/>
      <x:c r="D18" s="1"/>
      <x:c r="E18" s="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
      <x:c r="B19" s="1"/>
      <x:c r="C19" s="1"/>
      <x:c r="D19" s="1"/>
      <x:c r="E19" s="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
      <x:c r="B20" s="1"/>
      <x:c r="C20" s="1"/>
      <x:c r="D20" s="1"/>
      <x:c r="E20" s="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H1"/>
    <x:mergeCell ref="A12:B12"/>
  </x:mergeCells>
  <x:pageMargins left="0.7" right="0.7" top="0.75" bottom="0.75" header="0.3" footer="0.3"/>
  <x:drawing xmlns:r="http://schemas.openxmlformats.org/officeDocument/2006/relationships" r:id="R2a45dd6583f6434d"/>
</x:worksheet>
</file>

<file path=xl/worksheets/sheet6.xml><?xml version="1.0" encoding="utf-8"?>
<x:worksheet xmlns:x="http://schemas.openxmlformats.org/spreadsheetml/2006/main">
  <x:sheetFormatPr defaultRowHeight="14.25"/>
  <x:cols>
    <x:col min="1" max="1" width="11" customWidth="1"/>
    <x:col min="2" max="2" width="12" customWidth="1"/>
    <x:col min="3" max="4" width="13" customWidth="1"/>
    <x:col min="5" max="5" width="48" customWidth="1"/>
    <x:col min="6" max="7" width="36" customWidth="1"/>
  </x:cols>
  <x:sheetData>
    <x:row r="1" ht="27.950000762939453" customHeight="1">
      <x:c r="A1" s="204" t="s">
        <x:v>150</x:v>
      </x:c>
      <x:c r="B1" s="205"/>
      <x:c r="C1" s="205"/>
      <x:c r="D1" s="205"/>
      <x:c r="E1" s="205"/>
      <x:c r="F1" s="205"/>
      <x:c r="G1" s="205"/>
      <x:c r="H1" s="76"/>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75">
      <x:c r="A3" s="206" t="s">
        <x:v>151</x:v>
      </x:c>
      <x:c r="B3" s="207"/>
      <x:c r="C3" s="207"/>
      <x:c r="D3" s="207"/>
      <x:c r="E3" s="207"/>
      <x:c r="F3" s="207"/>
      <x:c r="G3" s="207"/>
      <x:c r="H3" s="2"/>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135">
      <x:c r="A4" s="151" t="s">
        <x:v>152</x:v>
      </x:c>
      <x:c r="B4" s="3" t="s">
        <x:v>153</x:v>
      </x:c>
      <x:c r="C4" s="1"/>
      <x:c r="D4" s="1"/>
      <x:c r="E4" s="1"/>
      <x:c r="F4" s="1"/>
      <x:c r="G4" s="1"/>
      <x:c r="H4" s="1"/>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81">
      <x:c r="A5" s="151" t="s">
        <x:v>154</x:v>
      </x:c>
      <x:c r="B5" s="3" t="s">
        <x:v>155</x:v>
      </x:c>
      <x:c r="C5" s="1"/>
      <x:c r="D5" s="1"/>
      <x:c r="E5" s="1"/>
      <x:c r="F5" s="1"/>
      <x:c r="G5" s="1"/>
      <x:c r="H5" s="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08">
      <x:c r="A6" s="151" t="s">
        <x:v>156</x:v>
      </x:c>
      <x:c r="B6" s="3" t="s">
        <x:v>157</x:v>
      </x:c>
      <x:c r="C6" s="1"/>
      <x:c r="D6" s="1"/>
      <x:c r="E6" s="1"/>
      <x:c r="F6" s="1"/>
      <x:c r="G6" s="1"/>
      <x:c r="H6" s="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35">
      <x:c r="A7" s="151" t="s">
        <x:v>158</x:v>
      </x:c>
      <x:c r="B7" s="3" t="s">
        <x:v>159</x:v>
      </x:c>
      <x:c r="C7" s="1"/>
      <x:c r="D7" s="1"/>
      <x:c r="E7" s="1"/>
      <x:c r="F7" s="1"/>
      <x:c r="G7" s="1"/>
      <x:c r="H7" s="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67.5">
      <x:c r="A8" s="151" t="s">
        <x:v>160</x:v>
      </x:c>
      <x:c r="B8" s="3" t="s">
        <x:v>161</x:v>
      </x:c>
      <x:c r="C8" s="1"/>
      <x:c r="D8" s="1"/>
      <x:c r="E8" s="1"/>
      <x:c r="F8" s="1"/>
      <x:c r="G8" s="1"/>
      <x:c r="H8" s="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35">
      <x:c r="A9" s="151" t="s">
        <x:v>162</x:v>
      </x:c>
      <x:c r="B9" s="3" t="s">
        <x:v>163</x:v>
      </x:c>
      <x:c r="C9" s="1"/>
      <x:c r="D9" s="1"/>
      <x:c r="E9" s="1"/>
      <x:c r="F9" s="1"/>
      <x:c r="G9" s="1"/>
      <x:c r="H9" s="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08">
      <x:c r="A10" s="151" t="s">
        <x:v>164</x:v>
      </x:c>
      <x:c r="B10" s="3" t="str">
        <x:v>Prospective work-block time tracking was waived by the user on 2026-07-15. Preserve historical values; do not request, estimate, or backfill new durations.</x:v>
      </x:c>
      <x:c r="C10" s="1"/>
      <x:c r="D10" s="1"/>
      <x:c r="E10" s="1"/>
      <x:c r="F10" s="1"/>
      <x:c r="G10" s="1"/>
      <x:c r="H10" s="1"/>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75.5">
      <x:c r="A11" s="151" t="s">
        <x:v>165</x:v>
      </x:c>
      <x:c r="B11" s="3" t="s">
        <x:v>166</x:v>
      </x:c>
      <x:c r="C11" s="1"/>
      <x:c r="D11" s="1"/>
      <x:c r="E11" s="1"/>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75.5">
      <x:c r="A12" s="153" t="s">
        <x:v>167</x:v>
      </x:c>
      <x:c r="B12" s="141" t="s">
        <x:v>168</x:v>
      </x:c>
      <x:c r="C12" s="1"/>
      <x:c r="D12" s="1"/>
      <x:c r="E12" s="1"/>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62">
      <x:c r="A13" s="153" t="s">
        <x:v>169</x:v>
      </x:c>
      <x:c r="B13" s="141" t="s">
        <x:v>170</x:v>
      </x:c>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75.5">
      <x:c r="A14" s="152" t="s">
        <x:v>171</x:v>
      </x:c>
      <x:c r="B14" s="4" t="s">
        <x:v>172</x:v>
      </x:c>
      <x:c r="C14" s="4"/>
      <x:c r="D14" s="4"/>
      <x:c r="E14" s="4"/>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44.099998474121094" customHeight="1">
      <x:c r="A15" s="192" t="s">
        <x:v>173</x:v>
      </x:c>
      <x:c r="B15" s="194" t="s">
        <x:v>174</x:v>
      </x:c>
      <x:c r="C15" s="7"/>
      <x:c r="D15" s="6"/>
      <x:c r="E15" s="8"/>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44.099998474121094" customHeight="1">
      <x:c r="A16" s="193" t="s">
        <x:v>175</x:v>
      </x:c>
      <x:c r="B16" s="195" t="s">
        <x:v>176</x:v>
      </x:c>
      <x:c r="C16" s="7"/>
      <x:c r="D16" s="6"/>
      <x:c r="E16" s="8"/>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214" t="s">
        <x:v>177</x:v>
      </x:c>
      <x:c r="B17" s="225"/>
      <x:c r="C17" s="226"/>
      <x:c r="D17" s="225"/>
      <x:c r="E17" s="227"/>
      <x:c r="F17" s="216"/>
      <x:c r="G17" s="216"/>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88" t="s">
        <x:v>148</x:v>
      </x:c>
      <x:c r="B18" s="88" t="s">
        <x:v>178</x:v>
      </x:c>
      <x:c r="C18" s="118" t="s">
        <x:v>179</x:v>
      </x:c>
      <x:c r="D18" s="88" t="s">
        <x:v>56</x:v>
      </x:c>
      <x:c r="E18" s="88" t="s">
        <x:v>180</x:v>
      </x:c>
      <x:c r="F18" s="88" t="s">
        <x:v>181</x:v>
      </x:c>
      <x:c r="G18" s="88" t="s">
        <x:v>182</x:v>
      </x:c>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27">
      <x:c r="A19" s="155" t="s">
        <x:v>183</x:v>
      </x:c>
      <x:c r="B19" s="3">
        <x:v>2</x:v>
      </x:c>
      <x:c r="C19" s="124">
        <x:v>46215</x:v>
      </x:c>
      <x:c r="D19" s="3" t="s">
        <x:v>184</x:v>
      </x:c>
      <x:c r="E19" s="3" t="s">
        <x:v>185</x:v>
      </x:c>
      <x:c r="F19" s="141" t="s">
        <x:v>186</x:v>
      </x:c>
      <x:c r="G19" s="141" t="s">
        <x:v>187</x:v>
      </x:c>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27">
      <x:c r="A20" s="155" t="s">
        <x:v>188</x:v>
      </x:c>
      <x:c r="B20" s="3">
        <x:v>2</x:v>
      </x:c>
      <x:c r="C20" s="124">
        <x:v>46215</x:v>
      </x:c>
      <x:c r="D20" s="3" t="str">
        <x:v>Passed</x:v>
      </x:c>
      <x:c r="E20" s="3" t="str">
        <x:v>Candidate artifact contract and loader work for MECH-002 with controlled errors.</x:v>
      </x:c>
      <x:c r="F20" s="141" t="str">
        <x:v>PR #6 / merge c419dc3; 31 tests</x:v>
      </x:c>
      <x:c r="G20" s="141" t="str">
        <x:v>Gate accepted. Mandatory gates and deterministic checks followed.</x:v>
      </x:c>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27">
      <x:c r="A21" s="155" t="s">
        <x:v>189</x:v>
      </x:c>
      <x:c r="B21" s="3">
        <x:v>4</x:v>
      </x:c>
      <x:c r="C21" s="124">
        <x:v>46229</x:v>
      </x:c>
      <x:c r="D21" s="3" t="str">
        <x:v>Passed</x:v>
      </x:c>
      <x:c r="E21" s="3" t="str">
        <x:v>Mandatory gates, deterministic checks, weighted score, failure modes, and evidence work end-to-end.</x:v>
      </x:c>
      <x:c r="F21" s="141" t="str">
        <x:v>WBS 1.1–1.5 merged; PR #10 / merge 27a8e59; 77 tests; src/mech_eval_harness/scoring.py</x:v>
      </x:c>
      <x:c r="G21" s="141" t="str">
        <x:v>Gate accepted. Authorize WBS 2.1 evaluate CLI integration.</x:v>
      </x:c>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27">
      <x:c r="A22" s="155" t="s">
        <x:v>190</x:v>
      </x:c>
      <x:c r="B22" s="3">
        <x:v>5</x:v>
      </x:c>
      <x:c r="C22" s="124">
        <x:v>46236</x:v>
      </x:c>
      <x:c r="D22" s="3" t="str">
        <x:v>Passed</x:v>
      </x:c>
      <x:c r="E22" s="3" t="str">
        <x:v>evaluate CLI writes immutable structured results for example artifacts.</x:v>
      </x:c>
      <x:c r="F22" s="141" t="str">
        <x:v>WBS 2.1–2.4 merged; PR #14 / merge 7e38b3f; 99 tests; EV-016 through EV-019; installed CLI pass/fail smoke tests</x:v>
      </x:c>
      <x:c r="G22" s="141" t="str">
        <x:v>Gate accepted. Authorize WBS 3.1 independent engineering verification of the three seed cases.</x:v>
      </x:c>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27">
      <x:c r="A23" s="141" t="s">
        <x:v>191</x:v>
      </x:c>
      <x:c r="B23" s="141">
        <x:v>6</x:v>
      </x:c>
      <x:c r="C23" s="138">
        <x:v>46243</x:v>
      </x:c>
      <x:c r="D23" s="141" t="str">
        <x:v>Passed</x:v>
      </x:c>
      <x:c r="E23" s="141" t="str">
        <x:v>Five reviewed cases, held-out split, and reproducible baseline benchmark exist.</x:v>
      </x:c>
      <x:c r="F23" s="141" t="str">
        <x:v>e0746d7; PR #18 merged; scripts/run_mvp_baseline.py; evidence/mvp_v1_baseline/{summary.json,report.md}; 9 raw result records; 120 tests</x:v>
      </x:c>
      <x:c r="G23" s="141" t="str">
        <x:v>Gate accepted. Authorize release hardening beginning with WBS 4.2 GitHub Actions CI.</x:v>
      </x:c>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27">
      <x:c r="A24" s="141" t="s">
        <x:v>192</x:v>
      </x:c>
      <x:c r="B24" s="141">
        <x:v>7</x:v>
      </x:c>
      <x:c r="C24" s="138">
        <x:v>46250</x:v>
      </x:c>
      <x:c r="D24" s="141" t="str">
        <x:v>Passed</x:v>
      </x:c>
      <x:c r="E24" s="141" t="str">
        <x:v>CI is green; README and architecture match implementation; portfolio demo works.</x:v>
      </x:c>
      <x:c r="F24" s="141" t="str">
        <x:v>PR #19 / merge 5dc3f41; .github/workflows/ci.yml; controlled red/green CI runs; PR #20 / merge 2b98214; README.md; docs/architecture.md; PR #21 / merge c15393d; scripts/run_portfolio_demo.py; evidence/portfolio_demo/report.md; five-case validation; 121 tests; EV-024; EV-025; EV-026</x:v>
      </x:c>
      <x:c r="G24" s="141" t="str">
        <x:v>Gate accepted. WBS 5.2 release notes and limitations are complete at v0.2.0. Authorize WBS 5.3 final acceptance and v0.2.0 tag.</x:v>
      </x:c>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27">
      <x:c r="A25" s="141" t="s">
        <x:v>193</x:v>
      </x:c>
      <x:c r="B25" s="141">
        <x:v>8</x:v>
      </x:c>
      <x:c r="C25" s="138">
        <x:v>46257</x:v>
      </x:c>
      <x:c r="D25" s="141" t="str">
        <x:v>Passed</x:v>
      </x:c>
      <x:c r="E25" s="141" t="str">
        <x:v>Clean acceptance run passed; limitations are explicit; package, result, and documentation versions agree; MVP v0.2.0 is tagged.</x:v>
      </x:c>
      <x:c r="F25" s="141" t="str">
        <x:v>v0.2.0; accepted commit 45336a2; tag object 8d426d2; pyproject.toml 0.2.0; clean Python 3.12.6 install; five cases; 121 tests; baseline 9/9; demo 2/2; 11 generated results at 0.2.0; evidence/final_acceptance_v0.2.0/{report.md,summary.json}; EV-028</x:v>
      </x:c>
      <x:c r="G25" s="141" t="str">
        <x:v>Gate accepted. MVP v0.2.0 is released. Freeze the baseline and select the next capability through a separate post-MVP decision block.</x:v>
      </x:c>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2"/>
      <x:c r="B26" s="2"/>
      <x:c r="C26" s="2"/>
      <x:c r="D26" s="2"/>
      <x:c r="E26" s="2"/>
      <x:c r="F26" s="2"/>
      <x:c r="G26" s="2"/>
      <x:c r="H26" s="2"/>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69"/>
      <x:c r="B27" s="70"/>
      <x:c r="C27" s="70"/>
      <x:c r="D27" s="70"/>
      <x:c r="E27" s="70"/>
      <x:c r="F27" s="70"/>
      <x:c r="G27" s="70"/>
      <x:c r="H27" s="7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214" t="s">
        <x:v>194</x:v>
      </x:c>
      <x:c r="B28" s="228"/>
      <x:c r="C28" s="228"/>
      <x:c r="D28" s="228"/>
      <x:c r="E28" s="228"/>
      <x:c r="F28" s="228"/>
      <x:c r="G28" s="228"/>
      <x:c r="H28" s="73"/>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229" t="str">
        <x:v>Do not silently add scope or extend the schedule. Record a decision when a gate slips, forecast finish moves by more than one week, benchmark or acceptance criteria change, or a deferred capability is pulled into the MVP. First protect the working evaluation flow and release evidence.</x:v>
      </x:c>
      <x:c r="B29" s="229"/>
      <x:c r="C29" s="229"/>
      <x:c r="D29" s="229"/>
      <x:c r="E29" s="229"/>
      <x:c r="F29" s="229"/>
      <x:c r="G29" s="229"/>
      <x:c r="H29" s="73"/>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229"/>
      <x:c r="B30" s="229"/>
      <x:c r="C30" s="229"/>
      <x:c r="D30" s="229"/>
      <x:c r="E30" s="229"/>
      <x:c r="F30" s="229"/>
      <x:c r="G30" s="229"/>
      <x:c r="H30" s="75"/>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G1"/>
    <x:mergeCell ref="A3:G3"/>
    <x:mergeCell ref="A17:G17"/>
    <x:mergeCell ref="A28:G28"/>
    <x:mergeCell ref="A29:G30"/>
  </x:mergeCells>
  <x:dataValidations count="1">
    <x:dataValidation type="list" sqref="D19:D25">
      <x:formula1>"Planned,In Progress,Passed,Failed,Deferred"</x:formula1>
    </x:dataValidation>
  </x:dataValidations>
  <x:pageMargins left="0.7" right="0.7" top="0.75" bottom="0.75" header="0.3" footer="0.3"/>
</x:worksheet>
</file>

<file path=xl/worksheets/sheet7.xml><?xml version="1.0" encoding="utf-8"?>
<x:worksheet xmlns:x="http://schemas.openxmlformats.org/spreadsheetml/2006/main">
  <x:sheetFormatPr defaultRowHeight="14.25"/>
  <x:cols>
    <x:col min="1" max="1" width="42" customWidth="1"/>
    <x:col min="2" max="2" width="52" customWidth="1"/>
    <x:col min="3" max="3" width="18" customWidth="1"/>
    <x:col min="4" max="5" width="34" customWidth="1"/>
  </x:cols>
  <x:sheetData>
    <x:row r="1" ht="27.950000762939453" customHeight="1">
      <x:c r="A1" s="204" t="str">
        <x:v>Planning Sources and Design Rationale — Updated for GPT-5.6 and v0.3.0</x:v>
      </x:c>
      <x:c r="B1" s="205"/>
      <x:c r="C1" s="205"/>
      <x:c r="D1" s="205"/>
      <x:c r="E1" s="230"/>
      <x:c r="F1" s="65"/>
      <x:c r="G1" s="65"/>
      <x:c r="H1" s="6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494" t="s">
        <x:v>195</x:v>
      </x:c>
      <x:c r="B3" s="494" t="s">
        <x:v>196</x:v>
      </x:c>
      <x:c r="C3" s="494" t="s">
        <x:v>197</x:v>
      </x:c>
      <x:c r="D3" s="494" t="s">
        <x:v>198</x:v>
      </x:c>
      <x:c r="E3" s="494" t="s">
        <x:v>199</x:v>
      </x:c>
      <x:c r="F3" s="1"/>
      <x:c r="G3" s="1"/>
      <x:c r="H3" s="1"/>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438" t="s">
        <x:v>200</x:v>
      </x:c>
      <x:c r="B4" s="438" t="s">
        <x:v>201</x:v>
      </x:c>
      <x:c r="C4" s="438" t="s">
        <x:v>202</x:v>
      </x:c>
      <x:c r="D4" s="438" t="s">
        <x:v>203</x:v>
      </x:c>
      <x:c r="E4" s="448" t="s">
        <x:v>204</x:v>
      </x:c>
      <x:c r="F4" s="1"/>
      <x:c r="G4" s="1"/>
      <x:c r="H4" s="1"/>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27">
      <x:c r="A5" s="438" t="s">
        <x:v>205</x:v>
      </x:c>
      <x:c r="B5" s="438" t="s">
        <x:v>206</x:v>
      </x:c>
      <x:c r="C5" s="438" t="s">
        <x:v>202</x:v>
      </x:c>
      <x:c r="D5" s="438" t="str">
        <x:v>gantt_v0.3_package_assurance_pilot.xlsx</x:v>
      </x:c>
      <x:c r="E5" s="448" t="s">
        <x:v>207</x:v>
      </x:c>
      <x:c r="F5" s="1"/>
      <x:c r="G5" s="1"/>
      <x:c r="H5" s="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27">
      <x:c r="A6" s="438" t="s">
        <x:v>208</x:v>
      </x:c>
      <x:c r="B6" s="438" t="s">
        <x:v>209</x:v>
      </x:c>
      <x:c r="C6" s="438" t="s">
        <x:v>210</x:v>
      </x:c>
      <x:c r="D6" s="438" t="s">
        <x:v>211</x:v>
      </x:c>
      <x:c r="E6" s="448" t="s">
        <x:v>212</x:v>
      </x:c>
      <x:c r="F6" s="1"/>
      <x:c r="G6" s="1"/>
      <x:c r="H6" s="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27">
      <x:c r="A7" s="438" t="s">
        <x:v>213</x:v>
      </x:c>
      <x:c r="B7" s="438" t="s">
        <x:v>214</x:v>
      </x:c>
      <x:c r="C7" s="438" t="s">
        <x:v>215</x:v>
      </x:c>
      <x:c r="D7" s="438" t="s">
        <x:v>216</x:v>
      </x:c>
      <x:c r="E7" s="448" t="s">
        <x:v>217</x:v>
      </x:c>
      <x:c r="F7" s="1"/>
      <x:c r="G7" s="1"/>
      <x:c r="H7" s="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40.5">
      <x:c r="A8" s="438" t="s">
        <x:v>218</x:v>
      </x:c>
      <x:c r="B8" s="438" t="s">
        <x:v>219</x:v>
      </x:c>
      <x:c r="C8" s="438" t="s">
        <x:v>215</x:v>
      </x:c>
      <x:c r="D8" s="438" t="s">
        <x:v>216</x:v>
      </x:c>
      <x:c r="E8" s="448" t="s">
        <x:v>220</x:v>
      </x:c>
      <x:c r="F8" s="1"/>
      <x:c r="G8" s="1"/>
      <x:c r="H8" s="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27">
      <x:c r="A9" s="438" t="s">
        <x:v>221</x:v>
      </x:c>
      <x:c r="B9" s="438" t="s">
        <x:v>222</x:v>
      </x:c>
      <x:c r="C9" s="438" t="s">
        <x:v>223</x:v>
      </x:c>
      <x:c r="D9" s="438" t="s">
        <x:v>224</x:v>
      </x:c>
      <x:c r="E9" s="448" t="s">
        <x:v>225</x:v>
      </x:c>
      <x:c r="F9" s="1"/>
      <x:c r="G9" s="1"/>
      <x:c r="H9" s="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27">
      <x:c r="A10" s="448" t="s">
        <x:v>226</x:v>
      </x:c>
      <x:c r="B10" s="448" t="s">
        <x:v>227</x:v>
      </x:c>
      <x:c r="C10" s="448" t="s">
        <x:v>223</x:v>
      </x:c>
      <x:c r="D10" s="448" t="s">
        <x:v>228</x:v>
      </x:c>
      <x:c r="E10" s="448" t="s">
        <x:v>229</x:v>
      </x:c>
      <x:c r="F10" s="1"/>
      <x:c r="G10" s="1"/>
      <x:c r="H10" s="1"/>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27">
      <x:c r="A11" s="448" t="s">
        <x:v>230</x:v>
      </x:c>
      <x:c r="B11" s="448" t="s">
        <x:v>231</x:v>
      </x:c>
      <x:c r="C11" s="448" t="s">
        <x:v>223</x:v>
      </x:c>
      <x:c r="D11" s="448" t="s">
        <x:v>232</x:v>
      </x:c>
      <x:c r="E11" s="448" t="s">
        <x:v>229</x:v>
      </x:c>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27">
      <x:c r="A12" s="448" t="s">
        <x:v>233</x:v>
      </x:c>
      <x:c r="B12" s="448" t="s">
        <x:v>234</x:v>
      </x:c>
      <x:c r="C12" s="448" t="s">
        <x:v>215</x:v>
      </x:c>
      <x:c r="D12" s="448" t="s">
        <x:v>216</x:v>
      </x:c>
      <x:c r="E12" s="448" t="s">
        <x:v>235</x:v>
      </x:c>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56" customHeight="1">
      <x:c r="A13" s="448" t="str">
        <x:v>GPT-5.6: Frontier intelligence that scales with your ambition</x:v>
      </x:c>
      <x:c r="B13" s="448" t="str">
        <x:v>Supports stronger long-horizon coding, professional knowledge work, tool coordination, computer use, and artifact production; changes the execution model, not the need for independent evaluation.</x:v>
      </x:c>
      <x:c r="C13" s="448" t="str">
        <x:v>Official OpenAI source</x:v>
      </x:c>
      <x:c r="D13" s="705" t="str">
        <x:v>https://openai.com/index/gpt-5-6/</x:v>
      </x:c>
      <x:c r="E13" s="448" t="str">
        <x:v>Use for capability planning; do not treat benchmark gains as proof of this project’s workflow performance.</x:v>
      </x:c>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56" customHeight="1">
      <x:c r="A14" s="448" t="str">
        <x:v>GPT-5.6 System Card</x:v>
      </x:c>
      <x:c r="B14" s="448" t="str">
        <x:v>Adds the control requirement that long-trajectory coding agents be supervised because stronger persistence can also produce unauthorized actions or overclaim completion.</x:v>
      </x:c>
      <x:c r="C14" s="448" t="str">
        <x:v>Official OpenAI safety source</x:v>
      </x:c>
      <x:c r="D14" s="705" t="str">
        <x:v>https://deploymentsafety.openai.com/gpt-5-6</x:v>
      </x:c>
      <x:c r="E14" s="448" t="str">
        <x:v>Direct operating-control influence: explicit permissions, isolated worktrees, verification, and approval gates.</x:v>
      </x:c>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56" customHeight="1">
      <x:c r="A15" s="448" t="str">
        <x:v>Codex in ChatGPT</x:v>
      </x:c>
      <x:c r="B15" s="448" t="str">
        <x:v>Supports end-to-end engineering work, worktrees, multi-agent workflows, reusable skills, testing, and code review.</x:v>
      </x:c>
      <x:c r="C15" s="448" t="str">
        <x:v>Official OpenAI product source</x:v>
      </x:c>
      <x:c r="D15" s="705" t="str">
        <x:v>https://openai.com/codex/</x:v>
      </x:c>
      <x:c r="E15" s="448" t="str">
        <x:v>Use only for bounded repo work; no autonomous merge or overlap across parallel workstreams.</x:v>
      </x:c>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56" customHeight="1">
      <x:c r="A16" s="448" t="str">
        <x:v>Harness Project Strategy Discussion — 2026-07-10</x:v>
      </x:c>
      <x:c r="B16" s="448" t="str">
        <x:v>Records the decision that the harness is not obsolete, selects the package consistency audit, and defines service-first commercial direction and explicit result states.</x:v>
      </x:c>
      <x:c r="C16" s="448" t="str">
        <x:v>Project strategy</x:v>
      </x:c>
      <x:c r="D16" s="448" t="str">
        <x:v>harness_strategy_chat_2026-07-10.md</x:v>
      </x:c>
      <x:c r="E16" s="448" t="str">
        <x:v>Immediate strategic input for v0.3.0.</x:v>
      </x:c>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41"/>
      <x:c r="B17" s="141"/>
      <x:c r="C17" s="141"/>
      <x:c r="D17" s="141"/>
      <x:c r="E17" s="14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41"/>
      <x:c r="B18" s="141"/>
      <x:c r="C18" s="141"/>
      <x:c r="D18" s="141"/>
      <x:c r="E18" s="14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41"/>
      <x:c r="B19" s="141"/>
      <x:c r="C19" s="141"/>
      <x:c r="D19" s="141"/>
      <x:c r="E19" s="14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41"/>
      <x:c r="B20" s="141"/>
      <x:c r="C20" s="141"/>
      <x:c r="D20" s="141"/>
      <x:c r="E20" s="14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E1"/>
  </x:mergeCells>
  <x:pageMargins left="0.7" right="0.7" top="0.75" bottom="0.75" header="0.3" footer="0.3"/>
</x:worksheet>
</file>

<file path=xl/worksheets/sheet8.xml><?xml version="1.0" encoding="utf-8"?>
<x:worksheet xmlns:x="http://schemas.openxmlformats.org/spreadsheetml/2006/main">
  <x:sheetFormatPr defaultRowHeight="14.25"/>
  <x:cols>
    <x:col min="1" max="1" width="10" customWidth="1"/>
    <x:col min="2" max="2" width="28" customWidth="1"/>
    <x:col min="3" max="3" width="34" customWidth="1"/>
    <x:col min="4" max="4" width="42" customWidth="1"/>
    <x:col min="5" max="20" width="13" customWidth="1"/>
  </x:cols>
  <x:sheetData>
    <x:row r="1" ht="27.950000762939453" customHeight="1">
      <x:c r="A1" s="231" t="s">
        <x:v>236</x:v>
      </x:c>
      <x:c r="B1" s="232"/>
      <x:c r="C1" s="232"/>
      <x:c r="D1" s="232"/>
      <x:c r="E1" s="232"/>
      <x:c r="F1" s="232"/>
      <x:c r="G1" s="232"/>
      <x:c r="H1" s="232"/>
      <x:c r="I1" s="232"/>
      <x:c r="J1" s="232"/>
      <x:c r="K1" s="232"/>
      <x:c r="L1" s="232"/>
      <x:c r="M1" s="232"/>
      <x:c r="N1" s="232"/>
      <x:c r="O1" s="232"/>
      <x:c r="P1" s="232"/>
      <x:c r="Q1" s="232"/>
      <x:c r="R1" s="232"/>
      <x:c r="S1" s="232"/>
      <x:c r="T1" s="232"/>
    </x:row>
    <x:row r="2">
      <x:c r="A2" s="233" t="s">
        <x:v>237</x:v>
      </x:c>
      <x:c r="B2" s="233"/>
      <x:c r="C2" s="233"/>
      <x:c r="D2" s="233"/>
      <x:c r="E2" s="233"/>
      <x:c r="F2" s="233"/>
      <x:c r="G2" s="233"/>
      <x:c r="H2" s="233"/>
      <x:c r="I2" s="233"/>
      <x:c r="J2" s="233"/>
      <x:c r="K2" s="233"/>
      <x:c r="L2" s="233"/>
      <x:c r="M2" s="233"/>
      <x:c r="N2" s="233"/>
      <x:c r="O2" s="233"/>
      <x:c r="P2" s="233"/>
      <x:c r="Q2" s="233"/>
      <x:c r="R2" s="233"/>
      <x:c r="S2" s="233"/>
      <x:c r="T2" s="233"/>
    </x:row>
    <x:row r="4">
      <x:c r="A4" t="s">
        <x:v>42</x:v>
      </x:c>
      <x:c r="C4">
        <x:v>46202</x:v>
      </x:c>
      <x:c r="D4" t="s">
        <x:v>43</x:v>
      </x:c>
      <x:c r="G4">
        <x:v>576</x:v>
      </x:c>
      <x:c r="H4" t="s">
        <x:v>238</x:v>
      </x:c>
      <x:c r="L4" t="s">
        <x:v>239</x:v>
      </x:c>
    </x:row>
    <x:row r="6">
      <x:c r="A6" t="s">
        <x:v>240</x:v>
      </x:c>
      <x:c r="C6" t="s">
        <x:v>241</x:v>
      </x:c>
    </x:row>
    <x:row r="8">
      <x:c r="A8" t="s">
        <x:v>48</x:v>
      </x:c>
      <x:c r="B8" t="s">
        <x:v>1</x:v>
      </x:c>
      <x:c r="C8" t="s">
        <x:v>49</x:v>
      </x:c>
      <x:c r="D8" t="s">
        <x:v>50</x:v>
      </x:c>
      <x:c r="E8" t="s">
        <x:v>51</x:v>
      </x:c>
      <x:c r="F8" t="s">
        <x:v>2</x:v>
      </x:c>
      <x:c r="G8" t="s">
        <x:v>52</x:v>
      </x:c>
      <x:c r="H8" t="s">
        <x:v>53</x:v>
      </x:c>
      <x:c r="I8" t="s">
        <x:v>242</x:v>
      </x:c>
      <x:c r="J8" t="s">
        <x:v>54</x:v>
      </x:c>
      <x:c r="K8" t="s">
        <x:v>55</x:v>
      </x:c>
      <x:c r="L8" t="s">
        <x:v>56</x:v>
      </x:c>
      <x:c r="M8" t="s">
        <x:v>4</x:v>
      </x:c>
      <x:c r="N8" t="s">
        <x:v>3</x:v>
      </x:c>
      <x:c r="O8" t="s">
        <x:v>58</x:v>
      </x:c>
      <x:c r="P8" t="s">
        <x:v>57</x:v>
      </x:c>
      <x:c r="Q8" t="s">
        <x:v>61</x:v>
      </x:c>
    </x:row>
    <x:row r="9">
      <x:c r="A9" t="s">
        <x:v>62</x:v>
      </x:c>
      <x:c r="B9" t="s">
        <x:v>243</x:v>
      </x:c>
      <x:c r="C9" t="s">
        <x:v>244</x:v>
      </x:c>
      <x:c r="D9" t="s">
        <x:v>245</x:v>
      </x:c>
      <x:c r="E9" t="s">
        <x:v>65</x:v>
      </x:c>
      <x:c r="F9">
        <x:v>4</x:v>
      </x:c>
      <x:c r="G9">
        <x:v>1</x:v>
      </x:c>
      <x:c r="H9">
        <x:v>1</x:v>
      </x:c>
      <x:c r="I9">
        <x:v>1</x:v>
      </x:c>
      <x:c r="J9">
        <x:v>46202</x:v>
      </x:c>
      <x:c r="K9">
        <x:v>46208</x:v>
      </x:c>
      <x:c r="L9" t="s">
        <x:v>246</x:v>
      </x:c>
      <x:c r="M9">
        <x:v>1</x:v>
      </x:c>
      <x:c r="N9">
        <x:v>1.5</x:v>
      </x:c>
      <x:c r="O9">
        <x:v>-2.5</x:v>
      </x:c>
      <x:c r="P9">
        <x:v>0</x:v>
      </x:c>
      <x:c r="Q9" t="s">
        <x:v>247</x:v>
      </x:c>
    </x:row>
    <x:row r="10">
      <x:c r="A10" t="s">
        <x:v>68</x:v>
      </x:c>
      <x:c r="B10" t="s">
        <x:v>243</x:v>
      </x:c>
      <x:c r="C10" t="s">
        <x:v>248</x:v>
      </x:c>
      <x:c r="D10" t="s">
        <x:v>249</x:v>
      </x:c>
      <x:c r="E10" t="s">
        <x:v>62</x:v>
      </x:c>
      <x:c r="F10">
        <x:v>4</x:v>
      </x:c>
      <x:c r="G10">
        <x:v>1</x:v>
      </x:c>
      <x:c r="H10">
        <x:v>1</x:v>
      </x:c>
      <x:c r="I10">
        <x:v>1</x:v>
      </x:c>
      <x:c r="J10">
        <x:v>46202</x:v>
      </x:c>
      <x:c r="K10">
        <x:v>46208</x:v>
      </x:c>
      <x:c r="L10" t="s">
        <x:v>246</x:v>
      </x:c>
      <x:c r="M10">
        <x:v>1</x:v>
      </x:c>
      <x:c r="P10">
        <x:v>0</x:v>
      </x:c>
      <x:c r="Q10" t="s">
        <x:v>250</x:v>
      </x:c>
    </x:row>
    <x:row r="11">
      <x:c r="A11" t="s">
        <x:v>73</x:v>
      </x:c>
      <x:c r="B11" t="s">
        <x:v>243</x:v>
      </x:c>
      <x:c r="C11" t="s">
        <x:v>251</x:v>
      </x:c>
      <x:c r="D11" t="s">
        <x:v>252</x:v>
      </x:c>
      <x:c r="E11" t="s">
        <x:v>62</x:v>
      </x:c>
      <x:c r="F11">
        <x:v>4</x:v>
      </x:c>
      <x:c r="G11">
        <x:v>1</x:v>
      </x:c>
      <x:c r="H11">
        <x:v>2</x:v>
      </x:c>
      <x:c r="I11">
        <x:v>2</x:v>
      </x:c>
      <x:c r="J11">
        <x:v>46202</x:v>
      </x:c>
      <x:c r="K11">
        <x:v>46215</x:v>
      </x:c>
      <x:c r="L11" t="s">
        <x:v>253</x:v>
      </x:c>
      <x:c r="M11">
        <x:v>0.5</x:v>
      </x:c>
      <x:c r="P11">
        <x:v>2</x:v>
      </x:c>
      <x:c r="Q11" t="s">
        <x:v>254</x:v>
      </x:c>
    </x:row>
    <x:row r="12">
      <x:c r="A12" t="s">
        <x:v>255</x:v>
      </x:c>
      <x:c r="B12" t="s">
        <x:v>243</x:v>
      </x:c>
      <x:c r="C12" t="s">
        <x:v>256</x:v>
      </x:c>
      <x:c r="D12" t="s">
        <x:v>257</x:v>
      </x:c>
      <x:c r="E12" t="s">
        <x:v>68</x:v>
      </x:c>
      <x:c r="F12">
        <x:v>4</x:v>
      </x:c>
      <x:c r="G12">
        <x:v>2</x:v>
      </x:c>
      <x:c r="H12">
        <x:v>2</x:v>
      </x:c>
      <x:c r="I12">
        <x:v>1</x:v>
      </x:c>
      <x:c r="J12">
        <x:v>46209</x:v>
      </x:c>
      <x:c r="K12">
        <x:v>46215</x:v>
      </x:c>
      <x:c r="L12" t="s">
        <x:v>142</x:v>
      </x:c>
      <x:c r="M12">
        <x:v>0</x:v>
      </x:c>
      <x:c r="P12">
        <x:v>4</x:v>
      </x:c>
    </x:row>
    <x:row r="13">
      <x:c r="A13" t="s">
        <x:v>258</x:v>
      </x:c>
      <x:c r="B13" t="s">
        <x:v>243</x:v>
      </x:c>
      <x:c r="C13" t="s">
        <x:v>259</x:v>
      </x:c>
      <x:c r="D13" t="s">
        <x:v>260</x:v>
      </x:c>
      <x:c r="E13" t="s">
        <x:v>255</x:v>
      </x:c>
      <x:c r="F13">
        <x:v>12</x:v>
      </x:c>
      <x:c r="G13">
        <x:v>1</x:v>
      </x:c>
      <x:c r="H13">
        <x:v>52</x:v>
      </x:c>
      <x:c r="I13">
        <x:v>52</x:v>
      </x:c>
      <x:c r="J13">
        <x:v>46202</x:v>
      </x:c>
      <x:c r="K13">
        <x:v>46565</x:v>
      </x:c>
      <x:c r="L13" t="s">
        <x:v>253</x:v>
      </x:c>
      <x:c r="M13">
        <x:v>0.02</x:v>
      </x:c>
      <x:c r="P13">
        <x:v>11.76</x:v>
      </x:c>
      <x:c r="Q13" t="s">
        <x:v>261</x:v>
      </x:c>
    </x:row>
    <x:row r="14">
      <x:c r="A14" t="s">
        <x:v>262</x:v>
      </x:c>
      <x:c r="B14" t="s">
        <x:v>243</x:v>
      </x:c>
      <x:c r="C14" t="s">
        <x:v>263</x:v>
      </x:c>
      <x:c r="D14" t="s">
        <x:v>264</x:v>
      </x:c>
      <x:c r="E14" t="s">
        <x:v>255</x:v>
      </x:c>
      <x:c r="F14">
        <x:v>6</x:v>
      </x:c>
      <x:c r="G14">
        <x:v>4</x:v>
      </x:c>
      <x:c r="H14">
        <x:v>52</x:v>
      </x:c>
      <x:c r="I14">
        <x:v>49</x:v>
      </x:c>
      <x:c r="J14">
        <x:v>46223</x:v>
      </x:c>
      <x:c r="K14">
        <x:v>46565</x:v>
      </x:c>
      <x:c r="L14" t="s">
        <x:v>142</x:v>
      </x:c>
      <x:c r="M14">
        <x:v>0</x:v>
      </x:c>
      <x:c r="P14">
        <x:v>6</x:v>
      </x:c>
    </x:row>
    <x:row r="15">
      <x:c r="A15" t="s">
        <x:v>265</x:v>
      </x:c>
      <x:c r="B15" t="s">
        <x:v>243</x:v>
      </x:c>
      <x:c r="C15" t="s">
        <x:v>266</x:v>
      </x:c>
      <x:c r="D15" t="s">
        <x:v>267</x:v>
      </x:c>
      <x:c r="E15" t="s">
        <x:v>255</x:v>
      </x:c>
      <x:c r="F15">
        <x:v>6</x:v>
      </x:c>
      <x:c r="G15">
        <x:v>9</x:v>
      </x:c>
      <x:c r="H15">
        <x:v>52</x:v>
      </x:c>
      <x:c r="I15">
        <x:v>44</x:v>
      </x:c>
      <x:c r="J15">
        <x:v>46258</x:v>
      </x:c>
      <x:c r="K15">
        <x:v>46565</x:v>
      </x:c>
      <x:c r="L15" t="s">
        <x:v>142</x:v>
      </x:c>
      <x:c r="M15">
        <x:v>0</x:v>
      </x:c>
      <x:c r="P15">
        <x:v>6</x:v>
      </x:c>
    </x:row>
    <x:row r="16">
      <x:c r="A16" t="s">
        <x:v>78</x:v>
      </x:c>
      <x:c r="B16" t="s">
        <x:v>268</x:v>
      </x:c>
      <x:c r="C16" t="s">
        <x:v>269</x:v>
      </x:c>
      <x:c r="D16" t="s">
        <x:v>270</x:v>
      </x:c>
      <x:c r="E16" t="s">
        <x:v>73</x:v>
      </x:c>
      <x:c r="F16">
        <x:v>8</x:v>
      </x:c>
      <x:c r="G16">
        <x:v>3</x:v>
      </x:c>
      <x:c r="H16">
        <x:v>3</x:v>
      </x:c>
      <x:c r="I16">
        <x:v>1</x:v>
      </x:c>
      <x:c r="J16">
        <x:v>46216</x:v>
      </x:c>
      <x:c r="K16">
        <x:v>46222</x:v>
      </x:c>
      <x:c r="L16" t="s">
        <x:v>142</x:v>
      </x:c>
      <x:c r="M16">
        <x:v>0</x:v>
      </x:c>
      <x:c r="P16">
        <x:v>8</x:v>
      </x:c>
    </x:row>
    <x:row r="17">
      <x:c r="A17" t="s">
        <x:v>81</x:v>
      </x:c>
      <x:c r="B17" t="s">
        <x:v>268</x:v>
      </x:c>
      <x:c r="C17" t="s">
        <x:v>271</x:v>
      </x:c>
      <x:c r="D17" t="s">
        <x:v>272</x:v>
      </x:c>
      <x:c r="E17" t="s">
        <x:v>78</x:v>
      </x:c>
      <x:c r="F17">
        <x:v>6</x:v>
      </x:c>
      <x:c r="G17">
        <x:v>3</x:v>
      </x:c>
      <x:c r="H17">
        <x:v>4</x:v>
      </x:c>
      <x:c r="I17">
        <x:v>2</x:v>
      </x:c>
      <x:c r="J17">
        <x:v>46216</x:v>
      </x:c>
      <x:c r="K17">
        <x:v>46229</x:v>
      </x:c>
      <x:c r="L17" t="s">
        <x:v>142</x:v>
      </x:c>
      <x:c r="M17">
        <x:v>0</x:v>
      </x:c>
      <x:c r="P17">
        <x:v>6</x:v>
      </x:c>
    </x:row>
    <x:row r="18">
      <x:c r="A18" t="s">
        <x:v>84</x:v>
      </x:c>
      <x:c r="B18" t="s">
        <x:v>268</x:v>
      </x:c>
      <x:c r="C18" t="s">
        <x:v>273</x:v>
      </x:c>
      <x:c r="D18" t="s">
        <x:v>274</x:v>
      </x:c>
      <x:c r="E18" t="s">
        <x:v>81</x:v>
      </x:c>
      <x:c r="F18">
        <x:v>14</x:v>
      </x:c>
      <x:c r="G18">
        <x:v>4</x:v>
      </x:c>
      <x:c r="H18">
        <x:v>5</x:v>
      </x:c>
      <x:c r="I18">
        <x:v>2</x:v>
      </x:c>
      <x:c r="J18">
        <x:v>46223</x:v>
      </x:c>
      <x:c r="K18">
        <x:v>46236</x:v>
      </x:c>
      <x:c r="L18" t="s">
        <x:v>142</x:v>
      </x:c>
      <x:c r="M18">
        <x:v>0</x:v>
      </x:c>
      <x:c r="P18">
        <x:v>14</x:v>
      </x:c>
    </x:row>
    <x:row r="19">
      <x:c r="A19" t="s">
        <x:v>87</x:v>
      </x:c>
      <x:c r="B19" t="s">
        <x:v>268</x:v>
      </x:c>
      <x:c r="C19" t="s">
        <x:v>275</x:v>
      </x:c>
      <x:c r="D19" t="s">
        <x:v>276</x:v>
      </x:c>
      <x:c r="E19" t="s">
        <x:v>84</x:v>
      </x:c>
      <x:c r="F19">
        <x:v>18</x:v>
      </x:c>
      <x:c r="G19">
        <x:v>5</x:v>
      </x:c>
      <x:c r="H19">
        <x:v>7</x:v>
      </x:c>
      <x:c r="I19">
        <x:v>3</x:v>
      </x:c>
      <x:c r="J19">
        <x:v>46230</x:v>
      </x:c>
      <x:c r="K19">
        <x:v>46250</x:v>
      </x:c>
      <x:c r="L19" t="s">
        <x:v>142</x:v>
      </x:c>
      <x:c r="M19">
        <x:v>0</x:v>
      </x:c>
      <x:c r="P19">
        <x:v>18</x:v>
      </x:c>
    </x:row>
    <x:row r="20">
      <x:c r="A20" t="s">
        <x:v>90</x:v>
      </x:c>
      <x:c r="B20" t="s">
        <x:v>268</x:v>
      </x:c>
      <x:c r="C20" t="s">
        <x:v>277</x:v>
      </x:c>
      <x:c r="D20" t="s">
        <x:v>278</x:v>
      </x:c>
      <x:c r="E20" t="s">
        <x:v>87</x:v>
      </x:c>
      <x:c r="F20">
        <x:v>6</x:v>
      </x:c>
      <x:c r="G20">
        <x:v>7</x:v>
      </x:c>
      <x:c r="H20">
        <x:v>8</x:v>
      </x:c>
      <x:c r="I20">
        <x:v>2</x:v>
      </x:c>
      <x:c r="J20">
        <x:v>46244</x:v>
      </x:c>
      <x:c r="K20">
        <x:v>46257</x:v>
      </x:c>
      <x:c r="L20" t="s">
        <x:v>142</x:v>
      </x:c>
      <x:c r="M20">
        <x:v>0</x:v>
      </x:c>
      <x:c r="P20">
        <x:v>6</x:v>
      </x:c>
    </x:row>
    <x:row r="21">
      <x:c r="A21" t="s">
        <x:v>279</x:v>
      </x:c>
      <x:c r="B21" t="s">
        <x:v>268</x:v>
      </x:c>
      <x:c r="C21" t="s">
        <x:v>280</x:v>
      </x:c>
      <x:c r="D21" t="s">
        <x:v>281</x:v>
      </x:c>
      <x:c r="E21" t="s">
        <x:v>90</x:v>
      </x:c>
      <x:c r="F21">
        <x:v>6</x:v>
      </x:c>
      <x:c r="G21">
        <x:v>8</x:v>
      </x:c>
      <x:c r="H21">
        <x:v>8</x:v>
      </x:c>
      <x:c r="I21">
        <x:v>1</x:v>
      </x:c>
      <x:c r="J21">
        <x:v>46251</x:v>
      </x:c>
      <x:c r="K21">
        <x:v>46257</x:v>
      </x:c>
      <x:c r="L21" t="s">
        <x:v>142</x:v>
      </x:c>
      <x:c r="M21">
        <x:v>0</x:v>
      </x:c>
      <x:c r="P21">
        <x:v>6</x:v>
      </x:c>
    </x:row>
    <x:row r="22">
      <x:c r="A22" t="s">
        <x:v>282</x:v>
      </x:c>
      <x:c r="B22" t="s">
        <x:v>268</x:v>
      </x:c>
      <x:c r="C22" t="s">
        <x:v>283</x:v>
      </x:c>
      <x:c r="D22" t="s">
        <x:v>284</x:v>
      </x:c>
      <x:c r="E22" t="s">
        <x:v>279</x:v>
      </x:c>
      <x:c r="F22">
        <x:v>6</x:v>
      </x:c>
      <x:c r="G22">
        <x:v>9</x:v>
      </x:c>
      <x:c r="H22">
        <x:v>9</x:v>
      </x:c>
      <x:c r="I22">
        <x:v>1</x:v>
      </x:c>
      <x:c r="J22">
        <x:v>46258</x:v>
      </x:c>
      <x:c r="K22">
        <x:v>46264</x:v>
      </x:c>
      <x:c r="L22" t="s">
        <x:v>142</x:v>
      </x:c>
      <x:c r="M22">
        <x:v>0</x:v>
      </x:c>
      <x:c r="P22">
        <x:v>6</x:v>
      </x:c>
    </x:row>
    <x:row r="23">
      <x:c r="A23" t="s">
        <x:v>94</x:v>
      </x:c>
      <x:c r="B23" t="s">
        <x:v>285</x:v>
      </x:c>
      <x:c r="C23" t="s">
        <x:v>286</x:v>
      </x:c>
      <x:c r="D23" t="s">
        <x:v>287</x:v>
      </x:c>
      <x:c r="E23" t="s">
        <x:v>282</x:v>
      </x:c>
      <x:c r="F23">
        <x:v>10</x:v>
      </x:c>
      <x:c r="G23">
        <x:v>10</x:v>
      </x:c>
      <x:c r="H23">
        <x:v>10</x:v>
      </x:c>
      <x:c r="I23">
        <x:v>1</x:v>
      </x:c>
      <x:c r="J23">
        <x:v>46265</x:v>
      </x:c>
      <x:c r="K23">
        <x:v>46271</x:v>
      </x:c>
      <x:c r="L23" t="s">
        <x:v>253</x:v>
      </x:c>
      <x:c r="M23">
        <x:v>0.2</x:v>
      </x:c>
      <x:c r="P23">
        <x:v>8</x:v>
      </x:c>
      <x:c r="Q23" t="s">
        <x:v>288</x:v>
      </x:c>
    </x:row>
    <x:row r="24">
      <x:c r="A24" t="s">
        <x:v>97</x:v>
      </x:c>
      <x:c r="B24" t="s">
        <x:v>285</x:v>
      </x:c>
      <x:c r="C24" t="s">
        <x:v>289</x:v>
      </x:c>
      <x:c r="D24" t="s">
        <x:v>290</x:v>
      </x:c>
      <x:c r="E24" t="s">
        <x:v>94</x:v>
      </x:c>
      <x:c r="F24">
        <x:v>12</x:v>
      </x:c>
      <x:c r="G24">
        <x:v>10</x:v>
      </x:c>
      <x:c r="H24">
        <x:v>11</x:v>
      </x:c>
      <x:c r="I24">
        <x:v>2</x:v>
      </x:c>
      <x:c r="J24">
        <x:v>46265</x:v>
      </x:c>
      <x:c r="K24">
        <x:v>46278</x:v>
      </x:c>
      <x:c r="L24" t="s">
        <x:v>253</x:v>
      </x:c>
      <x:c r="M24">
        <x:v>0.15</x:v>
      </x:c>
      <x:c r="N24">
        <x:v>0.62</x:v>
      </x:c>
      <x:c r="O24">
        <x:v>-11.38</x:v>
      </x:c>
      <x:c r="P24">
        <x:v>10.199999999999999</x:v>
      </x:c>
      <x:c r="Q24" t="s">
        <x:v>291</x:v>
      </x:c>
    </x:row>
    <x:row r="25">
      <x:c r="A25" t="s">
        <x:v>100</x:v>
      </x:c>
      <x:c r="B25" t="s">
        <x:v>285</x:v>
      </x:c>
      <x:c r="C25" t="s">
        <x:v>292</x:v>
      </x:c>
      <x:c r="D25" t="s">
        <x:v>293</x:v>
      </x:c>
      <x:c r="E25" t="s">
        <x:v>97</x:v>
      </x:c>
      <x:c r="F25">
        <x:v>14</x:v>
      </x:c>
      <x:c r="G25">
        <x:v>11</x:v>
      </x:c>
      <x:c r="H25">
        <x:v>12</x:v>
      </x:c>
      <x:c r="I25">
        <x:v>2</x:v>
      </x:c>
      <x:c r="J25">
        <x:v>46272</x:v>
      </x:c>
      <x:c r="K25">
        <x:v>46285</x:v>
      </x:c>
      <x:c r="L25" t="s">
        <x:v>246</x:v>
      </x:c>
      <x:c r="M25">
        <x:v>1</x:v>
      </x:c>
      <x:c r="P25">
        <x:v>0</x:v>
      </x:c>
      <x:c r="Q25" t="s">
        <x:v>294</x:v>
      </x:c>
    </x:row>
    <x:row r="26">
      <x:c r="A26" t="s">
        <x:v>103</x:v>
      </x:c>
      <x:c r="B26" t="s">
        <x:v>285</x:v>
      </x:c>
      <x:c r="C26" t="s">
        <x:v>295</x:v>
      </x:c>
      <x:c r="D26" t="s">
        <x:v>296</x:v>
      </x:c>
      <x:c r="E26" t="s">
        <x:v>100</x:v>
      </x:c>
      <x:c r="F26">
        <x:v>10</x:v>
      </x:c>
      <x:c r="G26">
        <x:v>12</x:v>
      </x:c>
      <x:c r="H26">
        <x:v>13</x:v>
      </x:c>
      <x:c r="I26">
        <x:v>2</x:v>
      </x:c>
      <x:c r="J26">
        <x:v>46279</x:v>
      </x:c>
      <x:c r="K26">
        <x:v>46292</x:v>
      </x:c>
      <x:c r="L26" t="s">
        <x:v>142</x:v>
      </x:c>
      <x:c r="M26">
        <x:v>0</x:v>
      </x:c>
      <x:c r="P26">
        <x:v>10</x:v>
      </x:c>
    </x:row>
    <x:row r="27">
      <x:c r="A27" t="s">
        <x:v>297</x:v>
      </x:c>
      <x:c r="B27" t="s">
        <x:v>285</x:v>
      </x:c>
      <x:c r="C27" t="s">
        <x:v>298</x:v>
      </x:c>
      <x:c r="D27" t="s">
        <x:v>299</x:v>
      </x:c>
      <x:c r="E27" t="s">
        <x:v>100</x:v>
      </x:c>
      <x:c r="F27">
        <x:v>10</x:v>
      </x:c>
      <x:c r="G27">
        <x:v>13</x:v>
      </x:c>
      <x:c r="H27">
        <x:v>14</x:v>
      </x:c>
      <x:c r="I27">
        <x:v>2</x:v>
      </x:c>
      <x:c r="J27">
        <x:v>46286</x:v>
      </x:c>
      <x:c r="K27">
        <x:v>46299</x:v>
      </x:c>
      <x:c r="L27" t="s">
        <x:v>142</x:v>
      </x:c>
      <x:c r="M27">
        <x:v>0</x:v>
      </x:c>
      <x:c r="P27">
        <x:v>10</x:v>
      </x:c>
    </x:row>
    <x:row r="28">
      <x:c r="A28" t="s">
        <x:v>300</x:v>
      </x:c>
      <x:c r="B28" t="s">
        <x:v>285</x:v>
      </x:c>
      <x:c r="C28" t="s">
        <x:v>301</x:v>
      </x:c>
      <x:c r="D28" t="s">
        <x:v>302</x:v>
      </x:c>
      <x:c r="E28" t="s">
        <x:v>103</x:v>
      </x:c>
      <x:c r="F28">
        <x:v>8</x:v>
      </x:c>
      <x:c r="G28">
        <x:v>14</x:v>
      </x:c>
      <x:c r="H28">
        <x:v>15</x:v>
      </x:c>
      <x:c r="I28">
        <x:v>2</x:v>
      </x:c>
      <x:c r="J28">
        <x:v>46293</x:v>
      </x:c>
      <x:c r="K28">
        <x:v>46306</x:v>
      </x:c>
      <x:c r="L28" t="s">
        <x:v>142</x:v>
      </x:c>
      <x:c r="M28">
        <x:v>0</x:v>
      </x:c>
      <x:c r="P28">
        <x:v>8</x:v>
      </x:c>
    </x:row>
    <x:row r="29">
      <x:c r="A29" t="s">
        <x:v>303</x:v>
      </x:c>
      <x:c r="B29" t="s">
        <x:v>285</x:v>
      </x:c>
      <x:c r="C29" t="s">
        <x:v>304</x:v>
      </x:c>
      <x:c r="D29" t="s">
        <x:v>305</x:v>
      </x:c>
      <x:c r="E29" t="s">
        <x:v>297</x:v>
      </x:c>
      <x:c r="F29">
        <x:v>4</x:v>
      </x:c>
      <x:c r="G29">
        <x:v>15</x:v>
      </x:c>
      <x:c r="H29">
        <x:v>15</x:v>
      </x:c>
      <x:c r="I29">
        <x:v>1</x:v>
      </x:c>
      <x:c r="J29">
        <x:v>46300</x:v>
      </x:c>
      <x:c r="K29">
        <x:v>46306</x:v>
      </x:c>
      <x:c r="L29" t="s">
        <x:v>142</x:v>
      </x:c>
      <x:c r="M29">
        <x:v>0</x:v>
      </x:c>
      <x:c r="P29">
        <x:v>4</x:v>
      </x:c>
    </x:row>
    <x:row r="30">
      <x:c r="A30" t="s">
        <x:v>306</x:v>
      </x:c>
      <x:c r="B30" t="s">
        <x:v>285</x:v>
      </x:c>
      <x:c r="C30" t="s">
        <x:v>307</x:v>
      </x:c>
      <x:c r="D30" t="s">
        <x:v>308</x:v>
      </x:c>
      <x:c r="E30" t="s">
        <x:v>300</x:v>
      </x:c>
      <x:c r="F30">
        <x:v>4</x:v>
      </x:c>
      <x:c r="G30">
        <x:v>16</x:v>
      </x:c>
      <x:c r="H30">
        <x:v>16</x:v>
      </x:c>
      <x:c r="I30">
        <x:v>1</x:v>
      </x:c>
      <x:c r="J30">
        <x:v>46307</x:v>
      </x:c>
      <x:c r="K30">
        <x:v>46313</x:v>
      </x:c>
      <x:c r="L30" t="s">
        <x:v>142</x:v>
      </x:c>
      <x:c r="M30">
        <x:v>0</x:v>
      </x:c>
      <x:c r="P30">
        <x:v>4</x:v>
      </x:c>
    </x:row>
    <x:row r="31">
      <x:c r="A31" t="s">
        <x:v>107</x:v>
      </x:c>
      <x:c r="B31" t="s">
        <x:v>309</x:v>
      </x:c>
      <x:c r="C31" t="s">
        <x:v>310</x:v>
      </x:c>
      <x:c r="D31" t="s">
        <x:v>311</x:v>
      </x:c>
      <x:c r="E31" t="s">
        <x:v>306</x:v>
      </x:c>
      <x:c r="F31">
        <x:v>18</x:v>
      </x:c>
      <x:c r="G31">
        <x:v>17</x:v>
      </x:c>
      <x:c r="H31">
        <x:v>18</x:v>
      </x:c>
      <x:c r="I31">
        <x:v>2</x:v>
      </x:c>
      <x:c r="J31">
        <x:v>46314</x:v>
      </x:c>
      <x:c r="K31">
        <x:v>46327</x:v>
      </x:c>
      <x:c r="L31" t="s">
        <x:v>142</x:v>
      </x:c>
      <x:c r="M31">
        <x:v>0</x:v>
      </x:c>
      <x:c r="P31">
        <x:v>18</x:v>
      </x:c>
    </x:row>
    <x:row r="32">
      <x:c r="A32" t="s">
        <x:v>110</x:v>
      </x:c>
      <x:c r="B32" t="s">
        <x:v>309</x:v>
      </x:c>
      <x:c r="C32" t="s">
        <x:v>312</x:v>
      </x:c>
      <x:c r="D32" t="s">
        <x:v>313</x:v>
      </x:c>
      <x:c r="E32" t="s">
        <x:v>107</x:v>
      </x:c>
      <x:c r="F32">
        <x:v>12</x:v>
      </x:c>
      <x:c r="G32">
        <x:v>18</x:v>
      </x:c>
      <x:c r="H32">
        <x:v>19</x:v>
      </x:c>
      <x:c r="I32">
        <x:v>2</x:v>
      </x:c>
      <x:c r="J32">
        <x:v>46321</x:v>
      </x:c>
      <x:c r="K32">
        <x:v>46334</x:v>
      </x:c>
      <x:c r="L32" t="s">
        <x:v>142</x:v>
      </x:c>
      <x:c r="M32">
        <x:v>0</x:v>
      </x:c>
      <x:c r="P32">
        <x:v>12</x:v>
      </x:c>
    </x:row>
    <x:row r="33">
      <x:c r="A33" t="s">
        <x:v>114</x:v>
      </x:c>
      <x:c r="B33" t="s">
        <x:v>309</x:v>
      </x:c>
      <x:c r="C33" t="s">
        <x:v>314</x:v>
      </x:c>
      <x:c r="D33" t="s">
        <x:v>315</x:v>
      </x:c>
      <x:c r="E33" t="s">
        <x:v>110</x:v>
      </x:c>
      <x:c r="F33">
        <x:v>12</x:v>
      </x:c>
      <x:c r="G33">
        <x:v>19</x:v>
      </x:c>
      <x:c r="H33">
        <x:v>20</x:v>
      </x:c>
      <x:c r="I33">
        <x:v>2</x:v>
      </x:c>
      <x:c r="J33">
        <x:v>46328</x:v>
      </x:c>
      <x:c r="K33">
        <x:v>46341</x:v>
      </x:c>
      <x:c r="L33" t="s">
        <x:v>142</x:v>
      </x:c>
      <x:c r="M33">
        <x:v>0</x:v>
      </x:c>
      <x:c r="P33">
        <x:v>12</x:v>
      </x:c>
    </x:row>
    <x:row r="34">
      <x:c r="A34" t="s">
        <x:v>117</x:v>
      </x:c>
      <x:c r="B34" t="s">
        <x:v>309</x:v>
      </x:c>
      <x:c r="C34" t="s">
        <x:v>316</x:v>
      </x:c>
      <x:c r="D34" t="s">
        <x:v>317</x:v>
      </x:c>
      <x:c r="E34" t="s">
        <x:v>114</x:v>
      </x:c>
      <x:c r="F34">
        <x:v>8</x:v>
      </x:c>
      <x:c r="G34">
        <x:v>20</x:v>
      </x:c>
      <x:c r="H34">
        <x:v>20</x:v>
      </x:c>
      <x:c r="I34">
        <x:v>1</x:v>
      </x:c>
      <x:c r="J34">
        <x:v>46335</x:v>
      </x:c>
      <x:c r="K34">
        <x:v>46341</x:v>
      </x:c>
      <x:c r="L34" t="s">
        <x:v>142</x:v>
      </x:c>
      <x:c r="M34">
        <x:v>0</x:v>
      </x:c>
      <x:c r="P34">
        <x:v>8</x:v>
      </x:c>
    </x:row>
    <x:row r="35">
      <x:c r="A35" t="s">
        <x:v>318</x:v>
      </x:c>
      <x:c r="B35" t="s">
        <x:v>309</x:v>
      </x:c>
      <x:c r="C35" t="s">
        <x:v>319</x:v>
      </x:c>
      <x:c r="D35" t="s">
        <x:v>320</x:v>
      </x:c>
      <x:c r="E35" t="s">
        <x:v>117</x:v>
      </x:c>
      <x:c r="F35">
        <x:v>10</x:v>
      </x:c>
      <x:c r="G35">
        <x:v>21</x:v>
      </x:c>
      <x:c r="H35">
        <x:v>21</x:v>
      </x:c>
      <x:c r="I35">
        <x:v>1</x:v>
      </x:c>
      <x:c r="J35">
        <x:v>46342</x:v>
      </x:c>
      <x:c r="K35">
        <x:v>46348</x:v>
      </x:c>
      <x:c r="L35" t="s">
        <x:v>142</x:v>
      </x:c>
      <x:c r="M35">
        <x:v>0</x:v>
      </x:c>
      <x:c r="P35">
        <x:v>10</x:v>
      </x:c>
    </x:row>
    <x:row r="36">
      <x:c r="A36" t="s">
        <x:v>321</x:v>
      </x:c>
      <x:c r="B36" t="s">
        <x:v>309</x:v>
      </x:c>
      <x:c r="C36" t="s">
        <x:v>322</x:v>
      </x:c>
      <x:c r="D36" t="s">
        <x:v>323</x:v>
      </x:c>
      <x:c r="E36" t="s">
        <x:v>318</x:v>
      </x:c>
      <x:c r="F36">
        <x:v>10</x:v>
      </x:c>
      <x:c r="G36">
        <x:v>21</x:v>
      </x:c>
      <x:c r="H36">
        <x:v>22</x:v>
      </x:c>
      <x:c r="I36">
        <x:v>2</x:v>
      </x:c>
      <x:c r="J36">
        <x:v>46342</x:v>
      </x:c>
      <x:c r="K36">
        <x:v>46355</x:v>
      </x:c>
      <x:c r="L36" t="s">
        <x:v>142</x:v>
      </x:c>
      <x:c r="M36">
        <x:v>0</x:v>
      </x:c>
      <x:c r="P36">
        <x:v>10</x:v>
      </x:c>
    </x:row>
    <x:row r="37">
      <x:c r="A37" t="s">
        <x:v>324</x:v>
      </x:c>
      <x:c r="B37" t="s">
        <x:v>309</x:v>
      </x:c>
      <x:c r="C37" t="s">
        <x:v>325</x:v>
      </x:c>
      <x:c r="D37" t="s">
        <x:v>326</x:v>
      </x:c>
      <x:c r="E37" t="s">
        <x:v>321</x:v>
      </x:c>
      <x:c r="F37">
        <x:v>10</x:v>
      </x:c>
      <x:c r="G37">
        <x:v>22</x:v>
      </x:c>
      <x:c r="H37">
        <x:v>23</x:v>
      </x:c>
      <x:c r="I37">
        <x:v>2</x:v>
      </x:c>
      <x:c r="J37">
        <x:v>46349</x:v>
      </x:c>
      <x:c r="K37">
        <x:v>46362</x:v>
      </x:c>
      <x:c r="L37" t="s">
        <x:v>142</x:v>
      </x:c>
      <x:c r="M37">
        <x:v>0</x:v>
      </x:c>
      <x:c r="P37">
        <x:v>10</x:v>
      </x:c>
    </x:row>
    <x:row r="38">
      <x:c r="A38" t="s">
        <x:v>327</x:v>
      </x:c>
      <x:c r="B38" t="s">
        <x:v>309</x:v>
      </x:c>
      <x:c r="C38" t="s">
        <x:v>328</x:v>
      </x:c>
      <x:c r="D38" t="s">
        <x:v>329</x:v>
      </x:c>
      <x:c r="E38" t="s">
        <x:v>324</x:v>
      </x:c>
      <x:c r="F38">
        <x:v>8</x:v>
      </x:c>
      <x:c r="G38">
        <x:v>24</x:v>
      </x:c>
      <x:c r="H38">
        <x:v>24</x:v>
      </x:c>
      <x:c r="I38">
        <x:v>1</x:v>
      </x:c>
      <x:c r="J38">
        <x:v>46363</x:v>
      </x:c>
      <x:c r="K38">
        <x:v>46369</x:v>
      </x:c>
      <x:c r="L38" t="s">
        <x:v>142</x:v>
      </x:c>
      <x:c r="M38">
        <x:v>0</x:v>
      </x:c>
      <x:c r="P38">
        <x:v>8</x:v>
      </x:c>
    </x:row>
    <x:row r="39">
      <x:c r="A39" t="s">
        <x:v>121</x:v>
      </x:c>
      <x:c r="B39" t="s">
        <x:v>330</x:v>
      </x:c>
      <x:c r="C39" t="s">
        <x:v>331</x:v>
      </x:c>
      <x:c r="D39" t="s">
        <x:v>332</x:v>
      </x:c>
      <x:c r="E39" t="s">
        <x:v>327</x:v>
      </x:c>
      <x:c r="F39">
        <x:v>8</x:v>
      </x:c>
      <x:c r="G39">
        <x:v>25</x:v>
      </x:c>
      <x:c r="H39">
        <x:v>25</x:v>
      </x:c>
      <x:c r="I39">
        <x:v>1</x:v>
      </x:c>
      <x:c r="J39">
        <x:v>46370</x:v>
      </x:c>
      <x:c r="K39">
        <x:v>46376</x:v>
      </x:c>
      <x:c r="L39" t="s">
        <x:v>142</x:v>
      </x:c>
      <x:c r="M39">
        <x:v>0</x:v>
      </x:c>
      <x:c r="P39">
        <x:v>8</x:v>
      </x:c>
    </x:row>
    <x:row r="40">
      <x:c r="A40" t="s">
        <x:v>124</x:v>
      </x:c>
      <x:c r="B40" t="s">
        <x:v>330</x:v>
      </x:c>
      <x:c r="C40" t="s">
        <x:v>333</x:v>
      </x:c>
      <x:c r="D40" t="s">
        <x:v>334</x:v>
      </x:c>
      <x:c r="E40" t="s">
        <x:v>121</x:v>
      </x:c>
      <x:c r="F40">
        <x:v>10</x:v>
      </x:c>
      <x:c r="G40">
        <x:v>25</x:v>
      </x:c>
      <x:c r="H40">
        <x:v>26</x:v>
      </x:c>
      <x:c r="I40">
        <x:v>2</x:v>
      </x:c>
      <x:c r="J40">
        <x:v>46370</x:v>
      </x:c>
      <x:c r="K40">
        <x:v>46383</x:v>
      </x:c>
      <x:c r="L40" t="s">
        <x:v>142</x:v>
      </x:c>
      <x:c r="M40">
        <x:v>0</x:v>
      </x:c>
      <x:c r="P40">
        <x:v>10</x:v>
      </x:c>
    </x:row>
    <x:row r="41">
      <x:c r="A41" t="s">
        <x:v>127</x:v>
      </x:c>
      <x:c r="B41" t="s">
        <x:v>330</x:v>
      </x:c>
      <x:c r="C41" t="s">
        <x:v>335</x:v>
      </x:c>
      <x:c r="D41" t="s">
        <x:v>336</x:v>
      </x:c>
      <x:c r="E41" t="s">
        <x:v>124</x:v>
      </x:c>
      <x:c r="F41">
        <x:v>18</x:v>
      </x:c>
      <x:c r="G41">
        <x:v>26</x:v>
      </x:c>
      <x:c r="H41">
        <x:v>28</x:v>
      </x:c>
      <x:c r="I41">
        <x:v>3</x:v>
      </x:c>
      <x:c r="J41">
        <x:v>46377</x:v>
      </x:c>
      <x:c r="K41">
        <x:v>46397</x:v>
      </x:c>
      <x:c r="L41" t="s">
        <x:v>142</x:v>
      </x:c>
      <x:c r="M41">
        <x:v>0</x:v>
      </x:c>
      <x:c r="P41">
        <x:v>18</x:v>
      </x:c>
    </x:row>
    <x:row r="42">
      <x:c r="A42" t="s">
        <x:v>337</x:v>
      </x:c>
      <x:c r="B42" t="s">
        <x:v>330</x:v>
      </x:c>
      <x:c r="C42" t="s">
        <x:v>338</x:v>
      </x:c>
      <x:c r="D42" t="s">
        <x:v>339</x:v>
      </x:c>
      <x:c r="E42" t="s">
        <x:v>127</x:v>
      </x:c>
      <x:c r="F42">
        <x:v>14</x:v>
      </x:c>
      <x:c r="G42">
        <x:v>28</x:v>
      </x:c>
      <x:c r="H42">
        <x:v>29</x:v>
      </x:c>
      <x:c r="I42">
        <x:v>2</x:v>
      </x:c>
      <x:c r="J42">
        <x:v>46391</x:v>
      </x:c>
      <x:c r="K42">
        <x:v>46404</x:v>
      </x:c>
      <x:c r="L42" t="s">
        <x:v>142</x:v>
      </x:c>
      <x:c r="M42">
        <x:v>0</x:v>
      </x:c>
      <x:c r="P42">
        <x:v>14</x:v>
      </x:c>
    </x:row>
    <x:row r="43">
      <x:c r="A43" t="s">
        <x:v>340</x:v>
      </x:c>
      <x:c r="B43" t="s">
        <x:v>330</x:v>
      </x:c>
      <x:c r="C43" t="s">
        <x:v>341</x:v>
      </x:c>
      <x:c r="D43" t="s">
        <x:v>342</x:v>
      </x:c>
      <x:c r="E43" t="s">
        <x:v>127</x:v>
      </x:c>
      <x:c r="F43">
        <x:v>14</x:v>
      </x:c>
      <x:c r="G43">
        <x:v>29</x:v>
      </x:c>
      <x:c r="H43">
        <x:v>30</x:v>
      </x:c>
      <x:c r="I43">
        <x:v>2</x:v>
      </x:c>
      <x:c r="J43">
        <x:v>46398</x:v>
      </x:c>
      <x:c r="K43">
        <x:v>46411</x:v>
      </x:c>
      <x:c r="L43" t="s">
        <x:v>142</x:v>
      </x:c>
      <x:c r="M43">
        <x:v>0</x:v>
      </x:c>
      <x:c r="P43">
        <x:v>14</x:v>
      </x:c>
    </x:row>
    <x:row r="44">
      <x:c r="A44" t="s">
        <x:v>343</x:v>
      </x:c>
      <x:c r="B44" t="s">
        <x:v>330</x:v>
      </x:c>
      <x:c r="C44" t="s">
        <x:v>344</x:v>
      </x:c>
      <x:c r="D44" t="s">
        <x:v>345</x:v>
      </x:c>
      <x:c r="E44" t="s">
        <x:v>337</x:v>
      </x:c>
      <x:c r="F44">
        <x:v>20</x:v>
      </x:c>
      <x:c r="G44">
        <x:v>30</x:v>
      </x:c>
      <x:c r="H44">
        <x:v>31</x:v>
      </x:c>
      <x:c r="I44">
        <x:v>2</x:v>
      </x:c>
      <x:c r="J44">
        <x:v>46405</x:v>
      </x:c>
      <x:c r="K44">
        <x:v>46418</x:v>
      </x:c>
      <x:c r="L44" t="s">
        <x:v>142</x:v>
      </x:c>
      <x:c r="M44">
        <x:v>0</x:v>
      </x:c>
      <x:c r="P44">
        <x:v>20</x:v>
      </x:c>
    </x:row>
    <x:row r="45">
      <x:c r="A45" t="s">
        <x:v>346</x:v>
      </x:c>
      <x:c r="B45" t="s">
        <x:v>330</x:v>
      </x:c>
      <x:c r="C45" t="s">
        <x:v>347</x:v>
      </x:c>
      <x:c r="D45" t="s">
        <x:v>348</x:v>
      </x:c>
      <x:c r="E45" t="s">
        <x:v>343</x:v>
      </x:c>
      <x:c r="F45">
        <x:v>12</x:v>
      </x:c>
      <x:c r="G45">
        <x:v>32</x:v>
      </x:c>
      <x:c r="H45">
        <x:v>32</x:v>
      </x:c>
      <x:c r="I45">
        <x:v>1</x:v>
      </x:c>
      <x:c r="J45">
        <x:v>46419</x:v>
      </x:c>
      <x:c r="K45">
        <x:v>46425</x:v>
      </x:c>
      <x:c r="L45" t="s">
        <x:v>142</x:v>
      </x:c>
      <x:c r="M45">
        <x:v>0</x:v>
      </x:c>
      <x:c r="P45">
        <x:v>12</x:v>
      </x:c>
    </x:row>
    <x:row r="46">
      <x:c r="A46" t="s">
        <x:v>131</x:v>
      </x:c>
      <x:c r="B46" t="s">
        <x:v>349</x:v>
      </x:c>
      <x:c r="C46" t="s">
        <x:v>350</x:v>
      </x:c>
      <x:c r="D46" t="s">
        <x:v>351</x:v>
      </x:c>
      <x:c r="E46" t="s">
        <x:v>346</x:v>
      </x:c>
      <x:c r="F46">
        <x:v>10</x:v>
      </x:c>
      <x:c r="G46">
        <x:v>33</x:v>
      </x:c>
      <x:c r="H46">
        <x:v>33</x:v>
      </x:c>
      <x:c r="I46">
        <x:v>1</x:v>
      </x:c>
      <x:c r="J46">
        <x:v>46426</x:v>
      </x:c>
      <x:c r="K46">
        <x:v>46432</x:v>
      </x:c>
      <x:c r="L46" t="s">
        <x:v>142</x:v>
      </x:c>
      <x:c r="M46">
        <x:v>0</x:v>
      </x:c>
      <x:c r="P46">
        <x:v>10</x:v>
      </x:c>
    </x:row>
    <x:row r="47">
      <x:c r="A47" t="s">
        <x:v>135</x:v>
      </x:c>
      <x:c r="B47" t="s">
        <x:v>349</x:v>
      </x:c>
      <x:c r="C47" t="s">
        <x:v>352</x:v>
      </x:c>
      <x:c r="D47" t="s">
        <x:v>353</x:v>
      </x:c>
      <x:c r="E47" t="s">
        <x:v>131</x:v>
      </x:c>
      <x:c r="F47">
        <x:v>16</x:v>
      </x:c>
      <x:c r="G47">
        <x:v>34</x:v>
      </x:c>
      <x:c r="H47">
        <x:v>35</x:v>
      </x:c>
      <x:c r="I47">
        <x:v>2</x:v>
      </x:c>
      <x:c r="J47">
        <x:v>46433</x:v>
      </x:c>
      <x:c r="K47">
        <x:v>46446</x:v>
      </x:c>
      <x:c r="L47" t="s">
        <x:v>142</x:v>
      </x:c>
      <x:c r="M47">
        <x:v>0</x:v>
      </x:c>
      <x:c r="P47">
        <x:v>16</x:v>
      </x:c>
    </x:row>
    <x:row r="48">
      <x:c r="A48" t="s">
        <x:v>138</x:v>
      </x:c>
      <x:c r="B48" t="s">
        <x:v>349</x:v>
      </x:c>
      <x:c r="C48" t="s">
        <x:v>354</x:v>
      </x:c>
      <x:c r="D48" t="s">
        <x:v>355</x:v>
      </x:c>
      <x:c r="E48" t="s">
        <x:v>135</x:v>
      </x:c>
      <x:c r="F48">
        <x:v>12</x:v>
      </x:c>
      <x:c r="G48">
        <x:v>35</x:v>
      </x:c>
      <x:c r="H48">
        <x:v>36</x:v>
      </x:c>
      <x:c r="I48">
        <x:v>2</x:v>
      </x:c>
      <x:c r="J48">
        <x:v>46440</x:v>
      </x:c>
      <x:c r="K48">
        <x:v>46453</x:v>
      </x:c>
      <x:c r="L48" t="s">
        <x:v>142</x:v>
      </x:c>
      <x:c r="M48">
        <x:v>0</x:v>
      </x:c>
      <x:c r="P48">
        <x:v>12</x:v>
      </x:c>
    </x:row>
    <x:row r="49">
      <x:c r="A49" t="s">
        <x:v>356</x:v>
      </x:c>
      <x:c r="B49" t="s">
        <x:v>349</x:v>
      </x:c>
      <x:c r="C49" t="s">
        <x:v>357</x:v>
      </x:c>
      <x:c r="D49" t="s">
        <x:v>358</x:v>
      </x:c>
      <x:c r="E49" t="s">
        <x:v>138</x:v>
      </x:c>
      <x:c r="F49">
        <x:v>10</x:v>
      </x:c>
      <x:c r="G49">
        <x:v>36</x:v>
      </x:c>
      <x:c r="H49">
        <x:v>36</x:v>
      </x:c>
      <x:c r="I49">
        <x:v>1</x:v>
      </x:c>
      <x:c r="J49">
        <x:v>46447</x:v>
      </x:c>
      <x:c r="K49">
        <x:v>46453</x:v>
      </x:c>
      <x:c r="L49" t="s">
        <x:v>142</x:v>
      </x:c>
      <x:c r="M49">
        <x:v>0</x:v>
      </x:c>
      <x:c r="P49">
        <x:v>10</x:v>
      </x:c>
    </x:row>
    <x:row r="50">
      <x:c r="A50" t="s">
        <x:v>359</x:v>
      </x:c>
      <x:c r="B50" t="s">
        <x:v>349</x:v>
      </x:c>
      <x:c r="C50" t="s">
        <x:v>360</x:v>
      </x:c>
      <x:c r="D50" t="s">
        <x:v>361</x:v>
      </x:c>
      <x:c r="E50" t="s">
        <x:v>356</x:v>
      </x:c>
      <x:c r="F50">
        <x:v>16</x:v>
      </x:c>
      <x:c r="G50">
        <x:v>37</x:v>
      </x:c>
      <x:c r="H50">
        <x:v>38</x:v>
      </x:c>
      <x:c r="I50">
        <x:v>2</x:v>
      </x:c>
      <x:c r="J50">
        <x:v>46454</x:v>
      </x:c>
      <x:c r="K50">
        <x:v>46467</x:v>
      </x:c>
      <x:c r="L50" t="s">
        <x:v>142</x:v>
      </x:c>
      <x:c r="M50">
        <x:v>0</x:v>
      </x:c>
      <x:c r="P50">
        <x:v>16</x:v>
      </x:c>
    </x:row>
    <x:row r="51">
      <x:c r="A51" t="s">
        <x:v>362</x:v>
      </x:c>
      <x:c r="B51" t="s">
        <x:v>349</x:v>
      </x:c>
      <x:c r="C51" t="s">
        <x:v>363</x:v>
      </x:c>
      <x:c r="D51" t="s">
        <x:v>364</x:v>
      </x:c>
      <x:c r="E51" t="s">
        <x:v>359</x:v>
      </x:c>
      <x:c r="F51">
        <x:v>14</x:v>
      </x:c>
      <x:c r="G51">
        <x:v>38</x:v>
      </x:c>
      <x:c r="H51">
        <x:v>39</x:v>
      </x:c>
      <x:c r="I51">
        <x:v>2</x:v>
      </x:c>
      <x:c r="J51">
        <x:v>46461</x:v>
      </x:c>
      <x:c r="K51">
        <x:v>46474</x:v>
      </x:c>
      <x:c r="L51" t="s">
        <x:v>142</x:v>
      </x:c>
      <x:c r="M51">
        <x:v>0</x:v>
      </x:c>
      <x:c r="P51">
        <x:v>14</x:v>
      </x:c>
    </x:row>
    <x:row r="52">
      <x:c r="A52" t="s">
        <x:v>365</x:v>
      </x:c>
      <x:c r="B52" t="s">
        <x:v>349</x:v>
      </x:c>
      <x:c r="C52" t="s">
        <x:v>366</x:v>
      </x:c>
      <x:c r="D52" t="s">
        <x:v>367</x:v>
      </x:c>
      <x:c r="E52" t="s">
        <x:v>362</x:v>
      </x:c>
      <x:c r="F52">
        <x:v>16</x:v>
      </x:c>
      <x:c r="G52">
        <x:v>40</x:v>
      </x:c>
      <x:c r="H52">
        <x:v>41</x:v>
      </x:c>
      <x:c r="I52">
        <x:v>2</x:v>
      </x:c>
      <x:c r="J52">
        <x:v>46475</x:v>
      </x:c>
      <x:c r="K52">
        <x:v>46488</x:v>
      </x:c>
      <x:c r="L52" t="s">
        <x:v>142</x:v>
      </x:c>
      <x:c r="M52">
        <x:v>0</x:v>
      </x:c>
      <x:c r="P52">
        <x:v>16</x:v>
      </x:c>
    </x:row>
    <x:row r="53">
      <x:c r="A53" t="s">
        <x:v>368</x:v>
      </x:c>
      <x:c r="B53" t="s">
        <x:v>349</x:v>
      </x:c>
      <x:c r="C53" t="s">
        <x:v>369</x:v>
      </x:c>
      <x:c r="D53" t="s">
        <x:v>370</x:v>
      </x:c>
      <x:c r="E53" t="s">
        <x:v>365</x:v>
      </x:c>
      <x:c r="F53">
        <x:v>10</x:v>
      </x:c>
      <x:c r="G53">
        <x:v>42</x:v>
      </x:c>
      <x:c r="H53">
        <x:v>42</x:v>
      </x:c>
      <x:c r="I53">
        <x:v>1</x:v>
      </x:c>
      <x:c r="J53">
        <x:v>46489</x:v>
      </x:c>
      <x:c r="K53">
        <x:v>46495</x:v>
      </x:c>
      <x:c r="L53" t="s">
        <x:v>142</x:v>
      </x:c>
      <x:c r="M53">
        <x:v>0</x:v>
      </x:c>
      <x:c r="P53">
        <x:v>10</x:v>
      </x:c>
    </x:row>
    <x:row r="54">
      <x:c r="A54" t="s">
        <x:v>371</x:v>
      </x:c>
      <x:c r="B54" t="s">
        <x:v>372</x:v>
      </x:c>
      <x:c r="C54" t="s">
        <x:v>373</x:v>
      </x:c>
      <x:c r="D54" t="s">
        <x:v>374</x:v>
      </x:c>
      <x:c r="E54" t="s">
        <x:v>368</x:v>
      </x:c>
      <x:c r="F54">
        <x:v>6</x:v>
      </x:c>
      <x:c r="G54">
        <x:v>43</x:v>
      </x:c>
      <x:c r="H54">
        <x:v>43</x:v>
      </x:c>
      <x:c r="I54">
        <x:v>1</x:v>
      </x:c>
      <x:c r="J54">
        <x:v>46496</x:v>
      </x:c>
      <x:c r="K54">
        <x:v>46502</x:v>
      </x:c>
      <x:c r="L54" t="s">
        <x:v>142</x:v>
      </x:c>
      <x:c r="M54">
        <x:v>0</x:v>
      </x:c>
      <x:c r="P54">
        <x:v>6</x:v>
      </x:c>
    </x:row>
    <x:row r="55">
      <x:c r="A55" t="s">
        <x:v>375</x:v>
      </x:c>
      <x:c r="B55" t="s">
        <x:v>372</x:v>
      </x:c>
      <x:c r="C55" t="s">
        <x:v>376</x:v>
      </x:c>
      <x:c r="D55" t="s">
        <x:v>377</x:v>
      </x:c>
      <x:c r="E55" t="s">
        <x:v>371</x:v>
      </x:c>
      <x:c r="F55">
        <x:v>10</x:v>
      </x:c>
      <x:c r="G55">
        <x:v>43</x:v>
      </x:c>
      <x:c r="H55">
        <x:v>44</x:v>
      </x:c>
      <x:c r="I55">
        <x:v>2</x:v>
      </x:c>
      <x:c r="J55">
        <x:v>46496</x:v>
      </x:c>
      <x:c r="K55">
        <x:v>46509</x:v>
      </x:c>
      <x:c r="L55" t="s">
        <x:v>142</x:v>
      </x:c>
      <x:c r="M55">
        <x:v>0</x:v>
      </x:c>
      <x:c r="P55">
        <x:v>10</x:v>
      </x:c>
    </x:row>
    <x:row r="56">
      <x:c r="A56" t="s">
        <x:v>378</x:v>
      </x:c>
      <x:c r="B56" t="s">
        <x:v>372</x:v>
      </x:c>
      <x:c r="C56" t="s">
        <x:v>379</x:v>
      </x:c>
      <x:c r="D56" t="s">
        <x:v>380</x:v>
      </x:c>
      <x:c r="E56" t="s">
        <x:v>375</x:v>
      </x:c>
      <x:c r="F56">
        <x:v>14</x:v>
      </x:c>
      <x:c r="G56">
        <x:v>44</x:v>
      </x:c>
      <x:c r="H56">
        <x:v>45</x:v>
      </x:c>
      <x:c r="I56">
        <x:v>2</x:v>
      </x:c>
      <x:c r="J56">
        <x:v>46503</x:v>
      </x:c>
      <x:c r="K56">
        <x:v>46516</x:v>
      </x:c>
      <x:c r="L56" t="s">
        <x:v>142</x:v>
      </x:c>
      <x:c r="M56">
        <x:v>0</x:v>
      </x:c>
      <x:c r="P56">
        <x:v>14</x:v>
      </x:c>
    </x:row>
    <x:row r="57">
      <x:c r="A57" t="s">
        <x:v>381</x:v>
      </x:c>
      <x:c r="B57" t="s">
        <x:v>372</x:v>
      </x:c>
      <x:c r="C57" t="s">
        <x:v>382</x:v>
      </x:c>
      <x:c r="D57" t="s">
        <x:v>383</x:v>
      </x:c>
      <x:c r="E57" t="s">
        <x:v>378</x:v>
      </x:c>
      <x:c r="F57">
        <x:v>8</x:v>
      </x:c>
      <x:c r="G57">
        <x:v>45</x:v>
      </x:c>
      <x:c r="H57">
        <x:v>46</x:v>
      </x:c>
      <x:c r="I57">
        <x:v>2</x:v>
      </x:c>
      <x:c r="J57">
        <x:v>46510</x:v>
      </x:c>
      <x:c r="K57">
        <x:v>46523</x:v>
      </x:c>
      <x:c r="L57" t="s">
        <x:v>142</x:v>
      </x:c>
      <x:c r="M57">
        <x:v>0</x:v>
      </x:c>
      <x:c r="P57">
        <x:v>8</x:v>
      </x:c>
    </x:row>
    <x:row r="58">
      <x:c r="A58" t="s">
        <x:v>384</x:v>
      </x:c>
      <x:c r="B58" t="s">
        <x:v>372</x:v>
      </x:c>
      <x:c r="C58" t="s">
        <x:v>385</x:v>
      </x:c>
      <x:c r="D58" t="s">
        <x:v>386</x:v>
      </x:c>
      <x:c r="E58" t="s">
        <x:v>381</x:v>
      </x:c>
      <x:c r="F58">
        <x:v>10</x:v>
      </x:c>
      <x:c r="G58">
        <x:v>46</x:v>
      </x:c>
      <x:c r="H58">
        <x:v>47</x:v>
      </x:c>
      <x:c r="I58">
        <x:v>2</x:v>
      </x:c>
      <x:c r="J58">
        <x:v>46517</x:v>
      </x:c>
      <x:c r="K58">
        <x:v>46530</x:v>
      </x:c>
      <x:c r="L58" t="s">
        <x:v>142</x:v>
      </x:c>
      <x:c r="M58">
        <x:v>0</x:v>
      </x:c>
      <x:c r="P58">
        <x:v>10</x:v>
      </x:c>
    </x:row>
    <x:row r="59">
      <x:c r="A59" t="s">
        <x:v>387</x:v>
      </x:c>
      <x:c r="B59" t="s">
        <x:v>372</x:v>
      </x:c>
      <x:c r="C59" t="s">
        <x:v>388</x:v>
      </x:c>
      <x:c r="D59" t="s">
        <x:v>389</x:v>
      </x:c>
      <x:c r="E59" t="s">
        <x:v>384</x:v>
      </x:c>
      <x:c r="F59">
        <x:v>4</x:v>
      </x:c>
      <x:c r="G59">
        <x:v>47</x:v>
      </x:c>
      <x:c r="H59">
        <x:v>47</x:v>
      </x:c>
      <x:c r="I59">
        <x:v>1</x:v>
      </x:c>
      <x:c r="J59">
        <x:v>46524</x:v>
      </x:c>
      <x:c r="K59">
        <x:v>46530</x:v>
      </x:c>
      <x:c r="L59" t="s">
        <x:v>142</x:v>
      </x:c>
      <x:c r="M59">
        <x:v>0</x:v>
      </x:c>
      <x:c r="P59">
        <x:v>4</x:v>
      </x:c>
    </x:row>
    <x:row r="60">
      <x:c r="A60" t="s">
        <x:v>390</x:v>
      </x:c>
      <x:c r="B60" t="s">
        <x:v>391</x:v>
      </x:c>
      <x:c r="C60" t="s">
        <x:v>392</x:v>
      </x:c>
      <x:c r="D60" t="s">
        <x:v>393</x:v>
      </x:c>
      <x:c r="E60" t="s">
        <x:v>387</x:v>
      </x:c>
      <x:c r="F60">
        <x:v>12</x:v>
      </x:c>
      <x:c r="G60">
        <x:v>48</x:v>
      </x:c>
      <x:c r="H60">
        <x:v>48</x:v>
      </x:c>
      <x:c r="I60">
        <x:v>1</x:v>
      </x:c>
      <x:c r="J60">
        <x:v>46531</x:v>
      </x:c>
      <x:c r="K60">
        <x:v>46537</x:v>
      </x:c>
      <x:c r="L60" t="s">
        <x:v>142</x:v>
      </x:c>
      <x:c r="M60">
        <x:v>0</x:v>
      </x:c>
      <x:c r="P60">
        <x:v>12</x:v>
      </x:c>
    </x:row>
    <x:row r="61">
      <x:c r="A61" t="s">
        <x:v>394</x:v>
      </x:c>
      <x:c r="B61" t="s">
        <x:v>391</x:v>
      </x:c>
      <x:c r="C61" t="s">
        <x:v>395</x:v>
      </x:c>
      <x:c r="D61" t="s">
        <x:v>396</x:v>
      </x:c>
      <x:c r="E61" t="s">
        <x:v>390</x:v>
      </x:c>
      <x:c r="F61">
        <x:v>10</x:v>
      </x:c>
      <x:c r="G61">
        <x:v>48</x:v>
      </x:c>
      <x:c r="H61">
        <x:v>49</x:v>
      </x:c>
      <x:c r="I61">
        <x:v>2</x:v>
      </x:c>
      <x:c r="J61">
        <x:v>46531</x:v>
      </x:c>
      <x:c r="K61">
        <x:v>46544</x:v>
      </x:c>
      <x:c r="L61" t="s">
        <x:v>142</x:v>
      </x:c>
      <x:c r="M61">
        <x:v>0</x:v>
      </x:c>
      <x:c r="P61">
        <x:v>10</x:v>
      </x:c>
    </x:row>
    <x:row r="62">
      <x:c r="A62" t="s">
        <x:v>397</x:v>
      </x:c>
      <x:c r="B62" t="s">
        <x:v>391</x:v>
      </x:c>
      <x:c r="C62" t="s">
        <x:v>398</x:v>
      </x:c>
      <x:c r="D62" t="s">
        <x:v>399</x:v>
      </x:c>
      <x:c r="E62" t="s">
        <x:v>390</x:v>
      </x:c>
      <x:c r="F62">
        <x:v>10</x:v>
      </x:c>
      <x:c r="G62">
        <x:v>49</x:v>
      </x:c>
      <x:c r="H62">
        <x:v>50</x:v>
      </x:c>
      <x:c r="I62">
        <x:v>2</x:v>
      </x:c>
      <x:c r="J62">
        <x:v>46538</x:v>
      </x:c>
      <x:c r="K62">
        <x:v>46551</x:v>
      </x:c>
      <x:c r="L62" t="s">
        <x:v>142</x:v>
      </x:c>
      <x:c r="M62">
        <x:v>0</x:v>
      </x:c>
      <x:c r="P62">
        <x:v>10</x:v>
      </x:c>
    </x:row>
    <x:row r="63">
      <x:c r="A63" t="s">
        <x:v>400</x:v>
      </x:c>
      <x:c r="B63" t="s">
        <x:v>391</x:v>
      </x:c>
      <x:c r="C63" t="s">
        <x:v>401</x:v>
      </x:c>
      <x:c r="D63" t="s">
        <x:v>402</x:v>
      </x:c>
      <x:c r="E63" t="s">
        <x:v>394</x:v>
      </x:c>
      <x:c r="F63">
        <x:v>10</x:v>
      </x:c>
      <x:c r="G63">
        <x:v>50</x:v>
      </x:c>
      <x:c r="H63">
        <x:v>50</x:v>
      </x:c>
      <x:c r="I63">
        <x:v>1</x:v>
      </x:c>
      <x:c r="J63">
        <x:v>46545</x:v>
      </x:c>
      <x:c r="K63">
        <x:v>46551</x:v>
      </x:c>
      <x:c r="L63" t="s">
        <x:v>142</x:v>
      </x:c>
      <x:c r="M63">
        <x:v>0</x:v>
      </x:c>
      <x:c r="P63">
        <x:v>10</x:v>
      </x:c>
    </x:row>
    <x:row r="64">
      <x:c r="A64" t="s">
        <x:v>403</x:v>
      </x:c>
      <x:c r="B64" t="s">
        <x:v>391</x:v>
      </x:c>
      <x:c r="C64" t="s">
        <x:v>404</x:v>
      </x:c>
      <x:c r="D64" t="s">
        <x:v>405</x:v>
      </x:c>
      <x:c r="E64" t="s">
        <x:v>397</x:v>
      </x:c>
      <x:c r="F64">
        <x:v>8</x:v>
      </x:c>
      <x:c r="G64">
        <x:v>51</x:v>
      </x:c>
      <x:c r="H64">
        <x:v>51</x:v>
      </x:c>
      <x:c r="I64">
        <x:v>1</x:v>
      </x:c>
      <x:c r="J64">
        <x:v>46552</x:v>
      </x:c>
      <x:c r="K64">
        <x:v>46558</x:v>
      </x:c>
      <x:c r="L64" t="s">
        <x:v>142</x:v>
      </x:c>
      <x:c r="M64">
        <x:v>0</x:v>
      </x:c>
      <x:c r="P64">
        <x:v>8</x:v>
      </x:c>
    </x:row>
    <x:row r="65">
      <x:c r="A65" t="s">
        <x:v>406</x:v>
      </x:c>
      <x:c r="B65" t="s">
        <x:v>391</x:v>
      </x:c>
      <x:c r="C65" t="s">
        <x:v>407</x:v>
      </x:c>
      <x:c r="D65" t="s">
        <x:v>408</x:v>
      </x:c>
      <x:c r="E65" t="s">
        <x:v>400</x:v>
      </x:c>
      <x:c r="F65">
        <x:v>6</x:v>
      </x:c>
      <x:c r="G65">
        <x:v>51</x:v>
      </x:c>
      <x:c r="H65">
        <x:v>52</x:v>
      </x:c>
      <x:c r="I65">
        <x:v>2</x:v>
      </x:c>
      <x:c r="J65">
        <x:v>46552</x:v>
      </x:c>
      <x:c r="K65">
        <x:v>46565</x:v>
      </x:c>
      <x:c r="L65" t="s">
        <x:v>142</x:v>
      </x:c>
      <x:c r="M65">
        <x:v>0</x:v>
      </x:c>
      <x:c r="P65">
        <x:v>6</x:v>
      </x:c>
    </x:row>
    <x:row r="66">
      <x:c r="A66" t="s">
        <x:v>409</x:v>
      </x:c>
      <x:c r="B66" t="s">
        <x:v>391</x:v>
      </x:c>
      <x:c r="C66" t="s">
        <x:v>410</x:v>
      </x:c>
      <x:c r="D66" t="s">
        <x:v>411</x:v>
      </x:c>
      <x:c r="E66" t="s">
        <x:v>403</x:v>
      </x:c>
      <x:c r="F66">
        <x:v>4</x:v>
      </x:c>
      <x:c r="G66">
        <x:v>52</x:v>
      </x:c>
      <x:c r="H66">
        <x:v>52</x:v>
      </x:c>
      <x:c r="I66">
        <x:v>1</x:v>
      </x:c>
      <x:c r="J66">
        <x:v>46559</x:v>
      </x:c>
      <x:c r="K66">
        <x:v>46565</x:v>
      </x:c>
      <x:c r="L66" t="s">
        <x:v>142</x:v>
      </x:c>
      <x:c r="M66">
        <x:v>0</x:v>
      </x:c>
      <x:c r="P66">
        <x:v>4</x:v>
      </x:c>
    </x:row>
    <x:row r="69">
      <x:c r="A69" t="s">
        <x:v>412</x:v>
      </x:c>
    </x:row>
    <x:row r="70">
      <x:c r="A70" t="s">
        <x:v>48</x:v>
      </x:c>
      <x:c r="B70" t="s">
        <x:v>1</x:v>
      </x:c>
      <x:c r="C70" t="s">
        <x:v>413</x:v>
      </x:c>
      <x:c r="D70" t="s">
        <x:v>414</x:v>
      </x:c>
      <x:c r="E70" t="s">
        <x:v>5</x:v>
      </x:c>
      <x:c r="F70" t="s">
        <x:v>6</x:v>
      </x:c>
      <x:c r="G70" t="s">
        <x:v>7</x:v>
      </x:c>
      <x:c r="H70" t="s">
        <x:v>8</x:v>
      </x:c>
      <x:c r="I70" t="s">
        <x:v>415</x:v>
      </x:c>
      <x:c r="J70" t="s">
        <x:v>416</x:v>
      </x:c>
      <x:c r="K70" t="s">
        <x:v>417</x:v>
      </x:c>
      <x:c r="L70" t="s">
        <x:v>418</x:v>
      </x:c>
      <x:c r="M70" t="s">
        <x:v>419</x:v>
      </x:c>
      <x:c r="N70" t="s">
        <x:v>420</x:v>
      </x:c>
      <x:c r="O70" t="s">
        <x:v>421</x:v>
      </x:c>
      <x:c r="P70" t="s">
        <x:v>422</x:v>
      </x:c>
      <x:c r="Q70" t="s">
        <x:v>423</x:v>
      </x:c>
      <x:c r="R70" t="s">
        <x:v>424</x:v>
      </x:c>
      <x:c r="S70" t="s">
        <x:v>425</x:v>
      </x:c>
      <x:c r="T70" t="s">
        <x:v>426</x:v>
      </x:c>
    </x:row>
    <x:row r="71">
      <x:c r="A71" t="s">
        <x:v>17</x:v>
      </x:c>
      <x:c r="B71" t="s">
        <x:v>243</x:v>
      </x:c>
      <x:c r="C71">
        <x:v>40</x:v>
      </x:c>
      <x:c r="D71">
        <x:v>6.9444444444444448E-2</x:v>
      </x:c>
      <x:c r="E71">
        <x:v>46202</x:v>
      </x:c>
      <x:c r="F71">
        <x:v>46565</x:v>
      </x:c>
      <x:c r="G71" t="s">
        <x:v>427</x:v>
      </x:c>
      <x:c r="H71" t="s">
        <x:v>428</x:v>
      </x:c>
      <x:c r="I71" t="s">
        <x:v>21</x:v>
      </x:c>
      <x:c r="J71" t="s">
        <x:v>21</x:v>
      </x:c>
      <x:c r="K71" t="s">
        <x:v>21</x:v>
      </x:c>
      <x:c r="L71" t="s">
        <x:v>21</x:v>
      </x:c>
      <x:c r="M71" t="s">
        <x:v>21</x:v>
      </x:c>
      <x:c r="N71" t="s">
        <x:v>21</x:v>
      </x:c>
      <x:c r="O71" t="s">
        <x:v>21</x:v>
      </x:c>
      <x:c r="P71" t="s">
        <x:v>21</x:v>
      </x:c>
      <x:c r="Q71" t="s">
        <x:v>21</x:v>
      </x:c>
      <x:c r="R71" t="s">
        <x:v>21</x:v>
      </x:c>
      <x:c r="S71" t="s">
        <x:v>21</x:v>
      </x:c>
      <x:c r="T71" t="s">
        <x:v>21</x:v>
      </x:c>
    </x:row>
    <x:row r="72">
      <x:c r="A72" t="s">
        <x:v>22</x:v>
      </x:c>
      <x:c r="B72" t="s">
        <x:v>268</x:v>
      </x:c>
      <x:c r="C72">
        <x:v>64</x:v>
      </x:c>
      <x:c r="D72">
        <x:v>0.1111111111111111</x:v>
      </x:c>
      <x:c r="E72">
        <x:v>46216</x:v>
      </x:c>
      <x:c r="F72">
        <x:v>46264</x:v>
      </x:c>
      <x:c r="G72" t="s">
        <x:v>429</x:v>
      </x:c>
      <x:c r="H72" t="s">
        <x:v>430</x:v>
      </x:c>
      <x:c r="I72" t="s">
        <x:v>21</x:v>
      </x:c>
      <x:c r="J72" t="s">
        <x:v>21</x:v>
      </x:c>
    </x:row>
    <x:row r="73">
      <x:c r="A73" t="s">
        <x:v>26</x:v>
      </x:c>
      <x:c r="B73" t="s">
        <x:v>285</x:v>
      </x:c>
      <x:c r="C73">
        <x:v>72</x:v>
      </x:c>
      <x:c r="D73">
        <x:v>0.125</x:v>
      </x:c>
      <x:c r="E73">
        <x:v>46265</x:v>
      </x:c>
      <x:c r="F73">
        <x:v>46313</x:v>
      </x:c>
      <x:c r="G73" t="s">
        <x:v>431</x:v>
      </x:c>
      <x:c r="H73" t="s">
        <x:v>432</x:v>
      </x:c>
      <x:c r="J73" t="s">
        <x:v>21</x:v>
      </x:c>
      <x:c r="K73" t="s">
        <x:v>21</x:v>
      </x:c>
      <x:c r="L73" t="s">
        <x:v>21</x:v>
      </x:c>
    </x:row>
    <x:row r="74">
      <x:c r="A74" t="s">
        <x:v>30</x:v>
      </x:c>
      <x:c r="B74" t="s">
        <x:v>309</x:v>
      </x:c>
      <x:c r="C74">
        <x:v>88</x:v>
      </x:c>
      <x:c r="D74">
        <x:v>0.15277777777777779</x:v>
      </x:c>
      <x:c r="E74">
        <x:v>46314</x:v>
      </x:c>
      <x:c r="F74">
        <x:v>46369</x:v>
      </x:c>
      <x:c r="G74" t="s">
        <x:v>433</x:v>
      </x:c>
      <x:c r="H74" t="s">
        <x:v>434</x:v>
      </x:c>
      <x:c r="L74" t="s">
        <x:v>21</x:v>
      </x:c>
      <x:c r="M74" t="s">
        <x:v>21</x:v>
      </x:c>
      <x:c r="N74" t="s">
        <x:v>21</x:v>
      </x:c>
    </x:row>
    <x:row r="75">
      <x:c r="A75" t="s">
        <x:v>34</x:v>
      </x:c>
      <x:c r="B75" t="s">
        <x:v>330</x:v>
      </x:c>
      <x:c r="C75">
        <x:v>96</x:v>
      </x:c>
      <x:c r="D75">
        <x:v>0.16666666666666666</x:v>
      </x:c>
      <x:c r="E75">
        <x:v>46370</x:v>
      </x:c>
      <x:c r="F75">
        <x:v>46425</x:v>
      </x:c>
      <x:c r="G75" t="s">
        <x:v>435</x:v>
      </x:c>
      <x:c r="H75" t="s">
        <x:v>436</x:v>
      </x:c>
      <x:c r="N75" t="s">
        <x:v>21</x:v>
      </x:c>
      <x:c r="O75" t="s">
        <x:v>21</x:v>
      </x:c>
      <x:c r="P75" t="s">
        <x:v>21</x:v>
      </x:c>
    </x:row>
    <x:row r="76">
      <x:c r="A76" t="s">
        <x:v>38</x:v>
      </x:c>
      <x:c r="B76" t="s">
        <x:v>349</x:v>
      </x:c>
      <x:c r="C76">
        <x:v>104</x:v>
      </x:c>
      <x:c r="D76">
        <x:v>0.18055555555555555</x:v>
      </x:c>
      <x:c r="E76">
        <x:v>46426</x:v>
      </x:c>
      <x:c r="F76">
        <x:v>46495</x:v>
      </x:c>
      <x:c r="G76" t="s">
        <x:v>437</x:v>
      </x:c>
      <x:c r="H76" t="s">
        <x:v>438</x:v>
      </x:c>
      <x:c r="P76" t="s">
        <x:v>21</x:v>
      </x:c>
      <x:c r="Q76" t="s">
        <x:v>21</x:v>
      </x:c>
      <x:c r="R76" t="s">
        <x:v>21</x:v>
      </x:c>
    </x:row>
    <x:row r="77">
      <x:c r="A77" t="s">
        <x:v>439</x:v>
      </x:c>
      <x:c r="B77" t="s">
        <x:v>372</x:v>
      </x:c>
      <x:c r="C77">
        <x:v>52</x:v>
      </x:c>
      <x:c r="D77">
        <x:v>9.0277777777777776E-2</x:v>
      </x:c>
      <x:c r="E77">
        <x:v>46496</x:v>
      </x:c>
      <x:c r="F77">
        <x:v>46530</x:v>
      </x:c>
      <x:c r="G77" t="s">
        <x:v>440</x:v>
      </x:c>
      <x:c r="H77" t="s">
        <x:v>441</x:v>
      </x:c>
      <x:c r="R77" t="s">
        <x:v>21</x:v>
      </x:c>
      <x:c r="S77" t="s">
        <x:v>21</x:v>
      </x:c>
    </x:row>
    <x:row r="78">
      <x:c r="A78" t="s">
        <x:v>442</x:v>
      </x:c>
      <x:c r="B78" t="s">
        <x:v>391</x:v>
      </x:c>
      <x:c r="C78">
        <x:v>60</x:v>
      </x:c>
      <x:c r="D78">
        <x:v>0.10416666666666667</x:v>
      </x:c>
      <x:c r="E78">
        <x:v>46531</x:v>
      </x:c>
      <x:c r="F78">
        <x:v>46565</x:v>
      </x:c>
      <x:c r="G78" t="s">
        <x:v>443</x:v>
      </x:c>
      <x:c r="H78" t="s">
        <x:v>444</x:v>
      </x:c>
      <x:c r="S78" t="s">
        <x:v>21</x:v>
      </x:c>
      <x:c r="T78" t="s">
        <x:v>21</x:v>
      </x:c>
    </x:row>
    <x:row r="79">
      <x:c r="A79" t="s">
        <x:v>445</x:v>
      </x:c>
      <x:c r="C79">
        <x:v>576</x:v>
      </x:c>
      <x:c r="D79">
        <x:v>1</x:v>
      </x:c>
    </x:row>
  </x:sheetData>
  <x:mergeCells>
    <x:mergeCell ref="A1:T1"/>
    <x:mergeCell ref="A2:T2"/>
  </x:mergeCells>
  <x:pageMargins left="0.7" right="0.7" top="0.75" bottom="0.75" header="0.3" footer="0.3"/>
</x:worksheet>
</file>

<file path=xl/worksheets/sheet9.xml><?xml version="1.0" encoding="utf-8"?>
<x:worksheet xmlns:x="http://schemas.openxmlformats.org/spreadsheetml/2006/main">
  <x:sheetFormatPr defaultRowHeight="14.25"/>
  <x:cols>
    <x:col min="1" max="1" width="11" customWidth="1"/>
    <x:col min="2" max="2" width="12" customWidth="1"/>
    <x:col min="3" max="4" width="10" customWidth="1"/>
    <x:col min="5" max="5" width="11" customWidth="1"/>
    <x:col min="6" max="6" width="12" customWidth="1"/>
    <x:col min="7" max="7" width="10" customWidth="1"/>
    <x:col min="8" max="8" width="13" customWidth="1"/>
    <x:col min="9" max="9" width="34" customWidth="1"/>
    <x:col min="10" max="11" width="42" customWidth="1"/>
    <x:col min="12" max="12" width="36" customWidth="1"/>
    <x:col min="13" max="13" width="28" customWidth="1"/>
  </x:cols>
  <x:sheetData>
    <x:row r="1" ht="27.950000762939453" customHeight="1">
      <x:c r="A1" s="234" t="s">
        <x:v>446</x:v>
      </x:c>
      <x:c r="B1" s="235"/>
      <x:c r="C1" s="235"/>
      <x:c r="D1" s="235"/>
      <x:c r="E1" s="235"/>
      <x:c r="F1" s="235"/>
      <x:c r="G1" s="235"/>
      <x:c r="H1" s="235"/>
      <x:c r="I1" s="235"/>
      <x:c r="J1" s="235"/>
      <x:c r="K1" s="235"/>
      <x:c r="L1" s="235"/>
      <x:c r="M1" s="235"/>
    </x:row>
    <x:row r="2">
      <x:c r="A2" s="236" t="s">
        <x:v>447</x:v>
      </x:c>
      <x:c r="B2" s="236"/>
      <x:c r="C2" s="236"/>
      <x:c r="D2" s="236"/>
      <x:c r="E2" s="236"/>
      <x:c r="F2" s="236"/>
      <x:c r="G2" s="236"/>
      <x:c r="H2" s="236"/>
      <x:c r="I2" s="236"/>
      <x:c r="J2" s="236"/>
      <x:c r="K2" s="236"/>
      <x:c r="L2" s="236"/>
      <x:c r="M2" s="236"/>
    </x:row>
    <x:row r="4" ht="30">
      <x:c r="A4" s="80" t="s">
        <x:v>448</x:v>
      </x:c>
      <x:c r="B4" s="80" t="s">
        <x:v>449</x:v>
      </x:c>
      <x:c r="C4" s="80" t="s">
        <x:v>5</x:v>
      </x:c>
      <x:c r="D4" s="80" t="s">
        <x:v>450</x:v>
      </x:c>
      <x:c r="E4" s="80" t="s">
        <x:v>451</x:v>
      </x:c>
      <x:c r="F4" s="80" t="s">
        <x:v>3</x:v>
      </x:c>
      <x:c r="G4" s="80" t="s">
        <x:v>452</x:v>
      </x:c>
      <x:c r="H4" s="80" t="s">
        <x:v>56</x:v>
      </x:c>
      <x:c r="I4" s="80" t="s">
        <x:v>453</x:v>
      </x:c>
      <x:c r="J4" s="80" t="s">
        <x:v>454</x:v>
      </x:c>
      <x:c r="K4" s="80" t="s">
        <x:v>455</x:v>
      </x:c>
      <x:c r="L4" s="80" t="s">
        <x:v>60</x:v>
      </x:c>
      <x:c r="M4" s="80" t="s">
        <x:v>456</x:v>
      </x:c>
    </x:row>
    <x:row r="5" ht="42.75">
      <x:c r="A5" s="83" t="s">
        <x:v>457</x:v>
      </x:c>
      <x:c r="B5" s="84">
        <x:v>46201</x:v>
      </x:c>
      <x:c r="C5" s="83"/>
      <x:c r="D5" s="83"/>
      <x:c r="E5" s="83" t="s">
        <x:v>62</x:v>
      </x:c>
      <x:c r="F5" s="85">
        <x:v>2.5</x:v>
      </x:c>
      <x:c r="G5" s="178" t="n">
        <x:f t="shared" ref="G5:G10" si="0">IF(B5="","",MAX(1,INT((B5-DATE(2026,6,29))/7)+1))</x:f>
        <x:v>1</x:v>
      </x:c>
      <x:c r="H5" s="83" t="s">
        <x:v>246</x:v>
      </x:c>
      <x:c r="I5" s="83" t="s">
        <x:v>458</x:v>
      </x:c>
      <x:c r="J5" s="83" t="s">
        <x:v>459</x:v>
      </x:c>
      <x:c r="K5" s="83" t="s">
        <x:v>460</x:v>
      </x:c>
      <x:c r="L5" s="83" t="s">
        <x:v>461</x:v>
      </x:c>
      <x:c r="M5" s="83" t="s">
        <x:v>462</x:v>
      </x:c>
    </x:row>
    <x:row r="6" ht="42.75">
      <x:c r="A6" s="83" t="s">
        <x:v>463</x:v>
      </x:c>
      <x:c r="B6" s="84">
        <x:v>46203</x:v>
      </x:c>
      <x:c r="C6" s="83"/>
      <x:c r="D6" s="83"/>
      <x:c r="E6" s="83" t="s">
        <x:v>68</x:v>
      </x:c>
      <x:c r="F6" s="85">
        <x:v>1.5</x:v>
      </x:c>
      <x:c r="G6" s="178">
        <x:f t="shared" si="0"/>
        <x:v>1</x:v>
      </x:c>
      <x:c r="H6" s="83" t="s">
        <x:v>246</x:v>
      </x:c>
      <x:c r="I6" s="83" t="s">
        <x:v>464</x:v>
      </x:c>
      <x:c r="J6" s="83" t="s">
        <x:v>465</x:v>
      </x:c>
      <x:c r="K6" s="83" t="s">
        <x:v>466</x:v>
      </x:c>
      <x:c r="L6" s="83" t="s">
        <x:v>467</x:v>
      </x:c>
      <x:c r="M6" s="83" t="s">
        <x:v>468</x:v>
      </x:c>
    </x:row>
    <x:row r="7" ht="42.75">
      <x:c r="A7" s="83" t="s">
        <x:v>469</x:v>
      </x:c>
      <x:c r="B7" s="84">
        <x:v>46207</x:v>
      </x:c>
      <x:c r="C7" s="83" t="s">
        <x:v>470</x:v>
      </x:c>
      <x:c r="D7" s="83" t="s">
        <x:v>471</x:v>
      </x:c>
      <x:c r="E7" s="83" t="s">
        <x:v>73</x:v>
      </x:c>
      <x:c r="F7" s="85">
        <x:v>0.62</x:v>
      </x:c>
      <x:c r="G7" s="178">
        <x:f t="shared" si="0"/>
        <x:v>1</x:v>
      </x:c>
      <x:c r="H7" s="83" t="s">
        <x:v>246</x:v>
      </x:c>
      <x:c r="I7" s="83" t="s">
        <x:v>472</x:v>
      </x:c>
      <x:c r="J7" s="83" t="s">
        <x:v>473</x:v>
      </x:c>
      <x:c r="K7" s="83" t="s">
        <x:v>474</x:v>
      </x:c>
      <x:c r="L7" s="83" t="s">
        <x:v>475</x:v>
      </x:c>
      <x:c r="M7" s="83" t="s">
        <x:v>476</x:v>
      </x:c>
    </x:row>
    <x:row r="8" ht="57">
      <x:c r="A8" s="83" t="s">
        <x:v>477</x:v>
      </x:c>
      <x:c r="B8" s="84">
        <x:v>46207</x:v>
      </x:c>
      <x:c r="C8" s="83" t="s">
        <x:v>471</x:v>
      </x:c>
      <x:c r="D8" s="83" t="s">
        <x:v>478</x:v>
      </x:c>
      <x:c r="E8" s="83" t="s">
        <x:v>73</x:v>
      </x:c>
      <x:c r="F8" s="85">
        <x:v>1.53</x:v>
      </x:c>
      <x:c r="G8" s="178">
        <x:f t="shared" si="0"/>
        <x:v>1</x:v>
      </x:c>
      <x:c r="H8" s="83" t="s">
        <x:v>246</x:v>
      </x:c>
      <x:c r="I8" s="83" t="s">
        <x:v>479</x:v>
      </x:c>
      <x:c r="J8" s="83" t="s">
        <x:v>480</x:v>
      </x:c>
      <x:c r="K8" s="83" t="s">
        <x:v>481</x:v>
      </x:c>
      <x:c r="L8" s="83" t="s">
        <x:v>482</x:v>
      </x:c>
      <x:c r="M8" s="83" t="s">
        <x:v>483</x:v>
      </x:c>
    </x:row>
    <x:row r="9" ht="42.75">
      <x:c r="A9" s="83" t="s">
        <x:v>484</x:v>
      </x:c>
      <x:c r="B9" s="84">
        <x:v>46207</x:v>
      </x:c>
      <x:c r="C9" s="83" t="s">
        <x:v>478</x:v>
      </x:c>
      <x:c r="D9" s="83" t="s">
        <x:v>485</x:v>
      </x:c>
      <x:c r="E9" s="83" t="s">
        <x:v>68</x:v>
      </x:c>
      <x:c r="F9" s="85">
        <x:v>1.33</x:v>
      </x:c>
      <x:c r="G9" s="178">
        <x:f t="shared" si="0"/>
        <x:v>1</x:v>
      </x:c>
      <x:c r="H9" s="83" t="s">
        <x:v>246</x:v>
      </x:c>
      <x:c r="I9" s="83" t="s">
        <x:v>486</x:v>
      </x:c>
      <x:c r="J9" s="83" t="s">
        <x:v>487</x:v>
      </x:c>
      <x:c r="K9" s="83" t="s">
        <x:v>488</x:v>
      </x:c>
      <x:c r="L9" s="83" t="s">
        <x:v>489</x:v>
      </x:c>
      <x:c r="M9" s="83" t="s">
        <x:v>490</x:v>
      </x:c>
    </x:row>
    <x:row r="10" ht="42.75">
      <x:c r="A10" s="83" t="s">
        <x:v>491</x:v>
      </x:c>
      <x:c r="B10" s="84">
        <x:v>46207</x:v>
      </x:c>
      <x:c r="C10" s="83" t="s">
        <x:v>485</x:v>
      </x:c>
      <x:c r="D10" s="83" t="s">
        <x:v>492</x:v>
      </x:c>
      <x:c r="E10" s="83" t="s">
        <x:v>68</x:v>
      </x:c>
      <x:c r="F10" s="85">
        <x:v>7.0000000000000007E-2</x:v>
      </x:c>
      <x:c r="G10" s="178">
        <x:f t="shared" si="0"/>
        <x:v>1</x:v>
      </x:c>
      <x:c r="H10" s="83" t="s">
        <x:v>246</x:v>
      </x:c>
      <x:c r="I10" s="83" t="s">
        <x:v>493</x:v>
      </x:c>
      <x:c r="J10" s="83" t="s">
        <x:v>494</x:v>
      </x:c>
      <x:c r="K10" s="83" t="s">
        <x:v>495</x:v>
      </x:c>
      <x:c r="L10" s="83" t="s">
        <x:v>496</x:v>
      </x:c>
      <x:c r="M10" s="83" t="s">
        <x:v>497</x:v>
      </x:c>
    </x:row>
    <x:row r="11" ht="72" customHeight="1">
      <x:c r="A11" s="431" t="str">
        <x:v>WB-007</x:v>
      </x:c>
      <x:c r="B11" s="429" t="n">
        <x:v>46208</x:v>
      </x:c>
      <x:c r="C11" s="431" t="str">
        <x:v>11:00 AM</x:v>
      </x:c>
      <x:c r="D11" s="431" t="str">
        <x:v>11:35 AM</x:v>
      </x:c>
      <x:c r="E11" s="431" t="str">
        <x:v>1.1</x:v>
      </x:c>
      <x:c r="F11" s="432" t="n">
        <x:v>0.58</x:v>
      </x:c>
      <x:c r="G11" s="433" t="n">
        <x:v>1</x:v>
      </x:c>
      <x:c r="H11" s="431" t="str">
        <x:v>Complete</x:v>
      </x:c>
      <x:c r="I11" s="431" t="str">
        <x:v>Define and implement the candidate artifact contract and loader.</x:v>
      </x:c>
      <x:c r="J11" s="431" t="str">
        <x:v>Candidate schema, valid MECH-002 example, LoadedCandidate/load_candidate(), controlled validation failures, contract documentation, six focused tests, and 31 total passing tests.</x:v>
      </x:c>
      <x:c r="K11" s="431" t="str">
        <x:v>Keep the envelope runtime-agnostic; keep case-specific engineering fields inside payload; store example candidates outside versioned case definitions.</x:v>
      </x:c>
      <x:c r="L11" s="431" t="str">
        <x:v>Push the feature branch, open and merge the PR, sync main, then begin WBS 1.2 mandatory gate engine.</x:v>
      </x:c>
      <x:c r="M11" s="431" t="str">
        <x:v>2b0b6e7 — Add candidate artifact contract and loader; PR pending</x:v>
      </x:c>
    </x:row>
    <x:row r="12" ht="78" customHeight="1">
      <x:c r="A12" s="431" t="str">
        <x:v>WB-008</x:v>
      </x:c>
      <x:c r="B12" s="429" t="n">
        <x:v>46208</x:v>
      </x:c>
      <x:c r="C12" s="431" t="str">
        <x:v>11:35 AM</x:v>
      </x:c>
      <x:c r="D12" s="431" t="str">
        <x:v>11:44 AM</x:v>
      </x:c>
      <x:c r="E12" s="431" t="str">
        <x:v>1.1</x:v>
      </x:c>
      <x:c r="F12" s="432" t="n">
        <x:v>0.15</x:v>
      </x:c>
      <x:c r="G12" s="433" t="n">
        <x:v>1</x:v>
      </x:c>
      <x:c r="H12" s="431" t="str">
        <x:v>Complete</x:v>
      </x:c>
      <x:c r="I12" s="431" t="str">
        <x:v>Close WBS 1.1 through PR merge, main synchronization, test verification, and project-control update.</x:v>
      </x:c>
      <x:c r="J12" s="431" t="str">
        <x:v>Candidate artifact capability merged to main in c419dc3; 31 tests passed; updated controlling workbook committed in ba18051.</x:v>
      </x:c>
      <x:c r="K12" s="431" t="str">
        <x:v>A capability is not operationally closed until code, tests, merge evidence, and the controlling Gantt are synchronized. No blocker.</x:v>
      </x:c>
      <x:c r="L12" s="431" t="str">
        <x:v>Begin WBS 1.2 mandatory gate engine.</x:v>
      </x:c>
      <x:c r="M12" s="431" t="str">
        <x:v>PR #6 / merge c419dc3; ba18051 — Record WBS 1.1 completion</x:v>
      </x:c>
    </x:row>
    <x:row r="13" ht="78" customHeight="1">
      <x:c r="A13" s="431" t="str">
        <x:v>WB-009</x:v>
      </x:c>
      <x:c r="B13" s="429" t="n">
        <x:v>46208</x:v>
      </x:c>
      <x:c r="C13" s="431" t="str">
        <x:v>11:44 AM</x:v>
      </x:c>
      <x:c r="D13" s="431" t="str">
        <x:v>12:14 PM</x:v>
      </x:c>
      <x:c r="E13" s="431" t="str">
        <x:v>1.2</x:v>
      </x:c>
      <x:c r="F13" s="432" t="n">
        <x:v>0.5</x:v>
      </x:c>
      <x:c r="G13" s="433" t="n">
        <x:v>1</x:v>
      </x:c>
      <x:c r="H13" s="431" t="str">
        <x:v>Complete</x:v>
      </x:c>
      <x:c r="I13" s="431" t="str">
        <x:v>Implement the mandatory pre-scoring gate engine for candidate artifacts.</x:v>
      </x:c>
      <x:c r="J13" s="431" t="str">
        <x:v>GateResult records and ordered gate execution implemented for output existence, valid object-root JSON, required payload fields, and declared field types; seven focused tests and 38 total tests passed.</x:v>
      </x:c>
      <x:c r="K13" s="431" t="str">
        <x:v>Stop after the first failed gate. Declare payload field types in the task deliverable instead of inferring them from reference answers. Treat Boolean values as distinct from numbers. No blocker.</x:v>
      </x:c>
      <x:c r="L13" s="431" t="str">
        <x:v>Begin WBS 1.3 deterministic exact, Boolean, set, and contains checks.</x:v>
      </x:c>
      <x:c r="M13" s="431" t="str">
        <x:v>c05ef3d — Add mandatory gate engine; merged to main in 05c025b</x:v>
      </x:c>
    </x:row>
    <x:row r="14">
      <x:c r="A14" s="83" t="str">
        <x:v>WB-010</x:v>
      </x:c>
      <x:c r="B14" s="84" t="n">
        <x:v>46208</x:v>
      </x:c>
      <x:c r="C14" s="83" t="str">
        <x:v>10:04 AM</x:v>
      </x:c>
      <x:c r="D14" s="83" t="str">
        <x:v>12:55 PM</x:v>
      </x:c>
      <x:c r="E14" s="83" t="str">
        <x:v>1.3</x:v>
      </x:c>
      <x:c r="F14" s="85" t="n">
        <x:v>2.85</x:v>
      </x:c>
      <x:c r="G14" s="178" t="n">
        <x:v>1</x:v>
      </x:c>
      <x:c r="H14" s="83" t="str">
        <x:v>Complete</x:v>
      </x:c>
      <x:c r="I14" s="83" t="str">
        <x:v>Implement, verify, merge, and operationally close the deterministic non-numeric check engine.</x:v>
      </x:c>
      <x:c r="J14" s="83" t="str">
        <x:v>CheckResult records and dispatch for exact_match, boolean_equals, set_equals, and contains_all were verified by 12 focused tests and 50 total tests; PR #8 merged to main in 7222c81.</x:v>
      </x:c>
      <x:c r="K14" s="83" t="str">
        <x:v>Comparison remains independent of loading. Exact matching is JSON-type-sensitive; set equality ignores order/duplicate count; missing candidate paths fail; invalid reference/configuration raises CheckConfigurationError. No blocker.</x:v>
      </x:c>
      <x:c r="L14" s="83" t="str">
        <x:v>Begin WBS 1.4 on feature/numeric-tolerance-checks; implement numeric_close and boundary/configuration tests.</x:v>
      </x:c>
      <x:c r="M14" s="83" t="str">
        <x:v>53f96cc — feature implementation; PR #8 / merge 7222c81; 269a070 — Gantt progress update</x:v>
      </x:c>
    </x:row>
    <x:row r="15">
      <x:c r="A15" s="83" t="str">
        <x:v>WB-011</x:v>
      </x:c>
      <x:c r="B15" s="84" t="n">
        <x:v>46208</x:v>
      </x:c>
      <x:c r="C15" s="83" t="str">
        <x:v>12:55 PM</x:v>
      </x:c>
      <x:c r="D15" s="83" t="str">
        <x:v>1:29 PM</x:v>
      </x:c>
      <x:c r="E15" s="83" t="str">
        <x:v>1.4</x:v>
      </x:c>
      <x:c r="F15" s="85" t="n">
        <x:v>0.5</x:v>
      </x:c>
      <x:c r="G15" s="178" t="n">
        <x:v>1</x:v>
      </x:c>
      <x:c r="H15" s="83" t="str">
        <x:v>Complete</x:v>
      </x:c>
      <x:c r="I15" s="83" t="str">
        <x:v>Implement, verify, merge, and operationally close numeric tolerance checks.</x:v>
      </x:c>
      <x:c r="J15" s="83" t="str">
        <x:v>numeric_close now supports evaluator-declared absolute tolerance, inclusive boundary behaviour, structured difference/tolerance evidence, and controlled numeric/configuration failures; 11 focused numeric tests, 11 deterministic-check tests, and 60 total tests passed.</x:v>
      </x:c>
      <x:c r="K15" s="83" t="str">
        <x:v>The exact tolerance boundary passes. Boolean and non-finite values are not valid numbers. Invalid candidate numeric values fail the check; invalid reference values or tolerance definitions raise CheckConfigurationError. No blocker.</x:v>
      </x:c>
      <x:c r="L15" s="83" t="str">
        <x:v>Begin WBS 1.5 on feature/weighted-scoring; combine gate and check results into score, pass/fail, failure modes, and structured evidence.</x:v>
      </x:c>
      <x:c r="M15" s="83" t="str">
        <x:v>31015c9 — feature implementation; PR #9 / merge 1fbb45d</x:v>
      </x:c>
    </x:row>
    <x:row r="16">
      <x:c r="A16" s="83" t="str">
        <x:v>WB-012</x:v>
      </x:c>
      <x:c r="B16" s="84" t="n">
        <x:v>46208</x:v>
      </x:c>
      <x:c r="C16" s="83" t="str">
        <x:v>1:29 PM</x:v>
      </x:c>
      <x:c r="D16" s="83" t="str">
        <x:v>1:48 PM</x:v>
      </x:c>
      <x:c r="E16" s="83" t="str">
        <x:v>1.5</x:v>
      </x:c>
      <x:c r="F16" s="85" t="n">
        <x:v>0.32</x:v>
      </x:c>
      <x:c r="G16" s="178" t="n">
        <x:v>1</x:v>
      </x:c>
      <x:c r="H16" s="83" t="str">
        <x:v>Complete</x:v>
      </x:c>
      <x:c r="I16" s="83" t="str">
        <x:v>Implement, verify, merge, and operationally close weighted scoring and structured failure evidence.</x:v>
      </x:c>
      <x:c r="J16" s="83" t="str">
        <x:v>Added a separate scoring module for gate_then_weighted_checks; failed gates force score 0.0; passed check weights determine score; evaluator pass_threshold determines overall pass/fail; gate/check failure evidence is preserved. Seventeen focused tests and 77 total tests passed.</x:v>
      </x:c>
      <x:c r="K16" s="83" t="str">
        <x:v>Use inclusive threshold comparison. Evaluator weights must sum to 1.0. Gate failure may terminate without check results; malformed scoring inputs fail with ScoringConfigurationError. No blocker.</x:v>
      </x:c>
      <x:c r="L16" s="83" t="str">
        <x:v>Begin WBS 2.1 on feature/evaluate-cli; integrate candidate loading, mandatory gates, deterministic checks, and weighted scoring into one stable CLI command.</x:v>
      </x:c>
      <x:c r="M16" s="83" t="str">
        <x:v>bd34af8 — feature implementation; PR #10 / merge 27a8e59</x:v>
      </x:c>
    </x:row>
    <x:row r="17">
      <x:c r="A17" s="83" t="str">
        <x:v>WB-013</x:v>
      </x:c>
      <x:c r="B17" s="84" t="n">
        <x:v>46208</x:v>
      </x:c>
      <x:c r="C17" s="83" t="str">
        <x:v>1:48 PM</x:v>
      </x:c>
      <x:c r="D17" s="83" t="str">
        <x:v>2:29 PM</x:v>
      </x:c>
      <x:c r="E17" s="83" t="str">
        <x:v>2.1</x:v>
      </x:c>
      <x:c r="F17" s="85" t="n">
        <x:v>0.7</x:v>
      </x:c>
      <x:c r="G17" s="178" t="n">
        <x:v>1</x:v>
      </x:c>
      <x:c r="H17" s="83" t="str">
        <x:v>Complete</x:v>
      </x:c>
      <x:c r="I17" s="83" t="str">
        <x:v>Implement, verify, merge, and operationally close the end-to-end evaluate CLI command.</x:v>
      </x:c>
      <x:c r="J17" s="83" t="str">
        <x:v>Added mech-eval evaluate orchestration across case loading, mandatory gates, candidate validation, deterministic checks, and weighted scoring; stable human-readable output and exit codes; five focused CLI tests and 82 total tests passed. Installed CLI verified exit 0 for pass, 1 for failed check or gate, and 2 for unknown-case configuration failure.</x:v>
      </x:c>
      <x:c r="K17" s="83" t="str">
        <x:v>Treat malformed or unsuccessful candidate artifacts as evaluated failures (exit 1); treat invalid case/evaluator/reference configuration as exit 2; reserve exit 3 for unexpected internal failure. Keep result persistence deferred until the structured result contract is defined. No blocker.</x:v>
      </x:c>
      <x:c r="L17" s="83" t="str">
        <x:v>Begin WBS 2.2 on feature/result-schema; define the minimum runtime-agnostic structured result schema and Python model before persistence.</x:v>
      </x:c>
      <x:c r="M17" s="83" t="str">
        <x:v>0ee3c48 — Add evaluate CLI command and exit codes; PR merged and main verified</x:v>
      </x:c>
    </x:row>
    <x:row r="18">
      <x:c r="A18" s="83" t="str">
        <x:v>WB-014</x:v>
      </x:c>
      <x:c r="B18" s="84" t="n">
        <x:v>46208</x:v>
      </x:c>
      <x:c r="C18" s="83" t="str">
        <x:v>2:29 PM</x:v>
      </x:c>
      <x:c r="D18" s="83" t="str">
        <x:v>2:47 PM</x:v>
      </x:c>
      <x:c r="E18" s="83" t="str">
        <x:v>2.2</x:v>
      </x:c>
      <x:c r="F18" s="85" t="n">
        <x:v>0.3</x:v>
      </x:c>
      <x:c r="G18" s="178" t="n">
        <x:v>1</x:v>
      </x:c>
      <x:c r="H18" s="83" t="str">
        <x:v>Complete</x:v>
      </x:c>
      <x:c r="I18" s="83" t="str">
        <x:v>Define, implement, verify, merge, and operationally close the structured evaluation result schema and Python model.</x:v>
      </x:c>
      <x:c r="J18" s="83" t="str">
        <x:v>Added versioned result.schema.json and immutable result dataclasses with JSON serialization, component versions, candidate/reference artifact references, aggregate scoring, complete gate/check records, typed expected/actual values, failure evidence, and evidence-location/source-reference extension points. Nine focused tests and 91 total tests passed.</x:v>
      </x:c>
      <x:c r="K18" s="83" t="str">
        <x:v>Keep generated run evidence separate from versioned case definitions. Preserve strict internal consistency between gates, checks, score, pass/fail, and failure evidence. Standardize repository JSON/Python files as UTF-8 without BOM. Defer run-directory persistence to WBS 2.3. No blocker.</x:v>
      </x:c>
      <x:c r="L18" s="83" t="str">
        <x:v>Begin WBS 2.3 on feature/result-persistence; write immutable timestamped result.json records without overwriting prior evidence.</x:v>
      </x:c>
      <x:c r="M18" s="83" t="str">
        <x:v>b6d6c21 — Add structured evaluation result model; PR #12 / merge b56f217</x:v>
      </x:c>
    </x:row>
    <x:row r="19">
      <x:c r="A19" s="83" t="str">
        <x:v>WB-015</x:v>
      </x:c>
      <x:c r="B19" s="84" t="n">
        <x:v>46208</x:v>
      </x:c>
      <x:c r="C19" s="83" t="str">
        <x:v>2:47 PM</x:v>
      </x:c>
      <x:c r="D19" s="83" t="str">
        <x:v>3:10 PM</x:v>
      </x:c>
      <x:c r="E19" s="83" t="str">
        <x:v>2.3</x:v>
      </x:c>
      <x:c r="F19" s="85" t="n">
        <x:v>0.38</x:v>
      </x:c>
      <x:c r="G19" s="178" t="n">
        <x:v>1</x:v>
      </x:c>
      <x:c r="H19" s="83" t="str">
        <x:v>Complete</x:v>
      </x:c>
      <x:c r="I19" s="83" t="str">
        <x:v>Implement, verify, merge, and operationally close immutable local result persistence.</x:v>
      </x:c>
      <x:c r="J19" s="83" t="str">
        <x:v>Added safe UTC run IDs and immutable schema-valid result.json persistence under runs/&lt;run_id&gt;/; protected against collisions and unsafe run IDs; integrated CLI persistence for pass and evaluated-fail outcomes; preserved candidate-schema failures as structured failed gates; five persistence tests, five CLI integration tests, and 96 total tests passed. Installed CLI smoke test confirmed default runs/ output, BOM-free UTF-8, schema validity, and Git ignore treatment.</x:v>
      </x:c>
      <x:c r="K19" s="83" t="str">
        <x:v>Persist only completed evaluation outcomes. Do not write misleading result records for configuration or unexpected internal failures. Generated run evidence remains outside versioned benchmark inputs and excluded from Git. No blocker.</x:v>
      </x:c>
      <x:c r="L19" s="83" t="str">
        <x:v>Begin WBS 2.4 on feature/example-candidates; add one passing and two representative failing candidate artifacts and verify them end-to-end.</x:v>
      </x:c>
      <x:c r="M19" s="83" t="str">
        <x:v>e03a2e8 — Persist immutable evaluation result records; PR #13 / merge e56fc92; src/mech_eval_harness/persistence.py; tests/test_result_persistence.py; tests/test_cli_evaluate.py</x:v>
      </x:c>
    </x:row>
    <x:row r="20">
      <x:c r="A20" s="83" t="str">
        <x:v>WB-016</x:v>
      </x:c>
      <x:c r="B20" s="84" t="n">
        <x:v>46208</x:v>
      </x:c>
      <x:c r="C20" s="83" t="str">
        <x:v>3:10 PM</x:v>
      </x:c>
      <x:c r="D20" s="83" t="str">
        <x:v>3:22 PM</x:v>
      </x:c>
      <x:c r="E20" s="83" t="str">
        <x:v>2.4</x:v>
      </x:c>
      <x:c r="F20" s="85" t="n">
        <x:v>0.2</x:v>
      </x:c>
      <x:c r="G20" s="178" t="n">
        <x:v>1</x:v>
      </x:c>
      <x:c r="H20" s="83" t="str">
        <x:v>Complete</x:v>
      </x:c>
      <x:c r="I20" s="83" t="str">
        <x:v>Create, verify, merge, and operationally close representative pass/fail candidate artifacts.</x:v>
      </x:c>
      <x:c r="J20" s="83" t="str">
        <x:v>Added versioned MECH-002 valid, unit-error, and incomplete candidate fixtures plus concise documentation and end-to-end regression tests. Installed CLI smoke test confirmed exit 0 / score 1.00 for pass, exit 1 / score 0.75 with UNIT_ERROR, and exit 1 / score 0.00 with INCOMPLETE_DELIVERABLE. Three focused tests and 99 total tests passed.</x:v>
      </x:c>
      <x:c r="K20" s="83" t="str">
        <x:v>Use synthetic versioned candidate fixtures to demonstrate expected quality outcomes. Lock expected exit code, score, failure source/item/mode, and immutable result behaviour in regression tests. Keep generated runs outside version control. No blocker.</x:v>
      </x:c>
      <x:c r="L20" s="83" t="str">
        <x:v>Begin WBS 3.1 on feature/seed-case-verification; independently verify the engineering correctness, references, tolerances, and intended failure modes for MECH-001 through MECH-003.</x:v>
      </x:c>
      <x:c r="M20" s="83" t="str">
        <x:v>271224e — Add representative MECH-002 candidate examples; PR #14 / merge 7e38b3f</x:v>
      </x:c>
    </x:row>
    <x:row r="21">
      <x:c r="A21" s="83" t="str">
        <x:v>WB-017</x:v>
      </x:c>
      <x:c r="B21" s="84" t="n">
        <x:v>46208</x:v>
      </x:c>
      <x:c r="C21" s="83" t="str">
        <x:v>3:22 PM</x:v>
      </x:c>
      <x:c r="D21" s="83" t="str">
        <x:v>4:17 PM</x:v>
      </x:c>
      <x:c r="E21" s="83" t="str">
        <x:v>3.1</x:v>
      </x:c>
      <x:c r="F21" s="85" t="n">
        <x:v>0.92</x:v>
      </x:c>
      <x:c r="G21" s="178" t="n">
        <x:v>1</x:v>
      </x:c>
      <x:c r="H21" s="83" t="str">
        <x:v>Complete</x:v>
      </x:c>
      <x:c r="I21" s="83" t="str">
        <x:v>Independently verify, correct, test, merge, and operationally close the three seed benchmark cases.</x:v>
      </x:c>
      <x:c r="J21" s="83" t="str">
        <x:v>Recalculated MECH-001 clearance/fit, MECH-002 shaft power, and MECH-003 revision-audit findings; corrected five source/evaluator defects; added a 118-line verification record and four regression tests; encoding audit passed; 103 total tests and all three repository cases passed; PR #15 merged.</x:v>
      </x:c>
      <x:c r="K21" s="83" t="str">
        <x:v>Require independent engineering verification and regression evidence before benchmark admission. Treat failure taxonomy as part of case correctness. Use explicit UTF-8 handling and unambiguous ASCII formula operators in benchmark source files. No blocker.</x:v>
      </x:c>
      <x:c r="L21" s="83" t="str">
        <x:v>Begin WBS 3.2 on feature/additional-cases; select two non-redundant, economically meaningful mechanical workflows and define valid deterministic case packages.</x:v>
      </x:c>
      <x:c r="M21" s="83" t="str">
        <x:v>e977b48 — Verify seed cases and correct benchmark defects; PR #15 / merge 318d5ce; docs/seed-case-verification.md; tests/test_seed_case_verification.py</x:v>
      </x:c>
    </x:row>
    <x:row r="22">
      <x:c r="A22" s="83" t="str">
        <x:v>WB-018</x:v>
      </x:c>
      <x:c r="B22" s="84" t="n">
        <x:v>46208</x:v>
      </x:c>
      <x:c r="C22" s="83" t="str">
        <x:v>4:17 PM</x:v>
      </x:c>
      <x:c r="D22" s="83" t="str">
        <x:v>4:55 PM</x:v>
      </x:c>
      <x:c r="E22" s="83" t="str">
        <x:v>3.2</x:v>
      </x:c>
      <x:c r="F22" s="85" t="n">
        <x:v>0.63</x:v>
      </x:c>
      <x:c r="G22" s="178" t="n">
        <x:v>1</x:v>
      </x:c>
      <x:c r="H22" s="83" t="str">
        <x:v>Complete</x:v>
      </x:c>
      <x:c r="I22" s="83" t="str">
        <x:v>Select, author, independently verify, test, merge, and operationally close two additional synthetic benchmark cases.</x:v>
      </x:c>
      <x:c r="J22" s="83" t="str">
        <x:v>Added MECH-004 BOM reconciliation and MECH-005 thermal expansion case packages, task/evaluator specifications, valid and representative failing candidates, independent verification documentation, CLI smoke evidence, and focused regression tests. Five cases validate and the full 111-test suite passes.</x:v>
      </x:c>
      <x:c r="K22" s="83" t="str">
        <x:v>Use existing deterministic evaluator kinds where practical. Cross-document set comparison and unit-sensitive calculation added meaningful workflow coverage without expanding the engine. The evaluator schema supports absolute tolerance only; unsupported relative_tolerance fields were removed. No blocker.</x:v>
      </x:c>
      <x:c r="L22" s="83" t="str">
        <x:v>Begin WBS 3.3 on feature/held-out-split; assign at least one held-out case and record provenance, correctness, evaluability, freeze, and no-tuning controls.</x:v>
      </x:c>
      <x:c r="M22" s="83" t="str">
        <x:v>634ef11 — Add BOM reconciliation and thermal expansion cases; PR #16 / merge 50df7a9</x:v>
      </x:c>
    </x:row>
    <x:row r="23">
      <x:c r="A23" s="431" t="str">
        <x:v>WB-019</x:v>
      </x:c>
      <x:c r="B23" s="491" t="n">
        <x:v>46208</x:v>
      </x:c>
      <x:c r="C23" s="431" t="str">
        <x:v>4:55 PM</x:v>
      </x:c>
      <x:c r="D23" s="431" t="str">
        <x:v>5:07 PM</x:v>
      </x:c>
      <x:c r="E23" s="431" t="str">
        <x:v>3.3</x:v>
      </x:c>
      <x:c r="F23" s="432" t="n">
        <x:v>0.2</x:v>
      </x:c>
      <x:c r="G23" s="433" t="n">
        <x:v>1</x:v>
      </x:c>
      <x:c r="H23" s="431" t="str">
        <x:v>Complete</x:v>
      </x:c>
      <x:c r="I23" s="431" t="str">
        <x:v>Freeze the MVP benchmark split, document review and prior-exposure limitations, add leakage controls, merge, and operationally close WBS 3.3.</x:v>
      </x:c>
      <x:c r="J23" s="431" t="str">
        <x:v>Designated MECH-003 as the MVP v1 held-out validation case; versioned benchmarks/mvp_v1/split.json and review-checklist.md; added five regression tests for complete/unique membership, metadata agreement, held-out candidate leakage, control disclosure, and checklist consistency. PR #17 merged; five cases validate and 116 total tests pass.</x:v>
      </x:c>
      <x:c r="K23" s="431" t="str">
        <x:v>Treat MECH-003 as a frozen validation case, not a pristine blind benchmark. Keep MECH-001, MECH-002, MECH-004, and MECH-005 in development; prohibit versioned MECH-003 candidate fixtures and tuning against held-out outcomes; report development and held-out results separately. No blocker.</x:v>
      </x:c>
      <x:c r="L23" s="431" t="str">
        <x:v>Begin WBS 3.4 on feature/baseline-benchmark; run the five-case baseline using the frozen split, preserve generated evidence separately, and summarize representative failures and limitations.</x:v>
      </x:c>
      <x:c r="M23" s="431" t="str">
        <x:v>ab63155 — Freeze MVP benchmark split and add leakage controls; PR #17 / merge 825d7ff</x:v>
      </x:c>
    </x:row>
    <x:row r="24">
      <x:c r="A24" s="83" t="str">
        <x:v>WB-020</x:v>
      </x:c>
      <x:c r="B24" s="84" t="n">
        <x:v>46208</x:v>
      </x:c>
      <x:c r="C24" s="83" t="str">
        <x:v>5:07 PM</x:v>
      </x:c>
      <x:c r="D24" s="83" t="str">
        <x:v>5:20 PM</x:v>
      </x:c>
      <x:c r="E24" s="83" t="str">
        <x:v>3.4</x:v>
      </x:c>
      <x:c r="F24" s="85" t="n">
        <x:v>0.22</x:v>
      </x:c>
      <x:c r="G24" s="178" t="n">
        <x:v>1</x:v>
      </x:c>
      <x:c r="H24" s="83" t="str">
        <x:v>Complete</x:v>
      </x:c>
      <x:c r="I24" s="83" t="str">
        <x:v>Execute, verify, merge, and operationally close the reproducible MVP v1 harness-verification baseline.</x:v>
      </x:c>
      <x:c r="J24" s="83" t="str">
        <x:v>Added scripts/run_mvp_baseline.py, evidence/mvp_v1_baseline/{summary.json,report.md}, and tests/test_mvp_baseline.py. The runner executed five oracle scenarios and four curated fault-injection scenarios, preserved nine immutable raw result records under ignored runs/, and reproduced the full baseline in isolated test directories.</x:v>
      </x:c>
      <x:c r="K24" s="83" t="str">
        <x:v>Treat this as harness-verification evidence only, not model or agent performance evidence. Report development and held-out outcomes separately, preserve the MECH-003 prior-exposure disclosure, keep raw runs separate from versioned benchmark inputs, and do not tune against held-out outcomes. No blocker.</x:v>
      </x:c>
      <x:c r="L24" s="83" t="str">
        <x:v>Begin WBS 4.2 on feature/github-actions-ci; add a minimal push/PR test workflow and prove red/green behaviour with a seeded failure.</x:v>
      </x:c>
      <x:c r="M24" s="83" t="str">
        <x:v>e0746d7 — Add reproducible MVP baseline benchmark; PR #18 merged (merge hash not captured in transcript)</x:v>
      </x:c>
    </x:row>
    <x:row r="25">
      <x:c r="A25" s="83" t="str">
        <x:v>WB-021</x:v>
      </x:c>
      <x:c r="B25" s="84" t="n">
        <x:v>46208</x:v>
      </x:c>
      <x:c r="C25" s="83" t="str">
        <x:v>5:27 PM</x:v>
      </x:c>
      <x:c r="D25" s="83" t="str">
        <x:v>5:43 PM</x:v>
      </x:c>
      <x:c r="E25" s="83" t="str">
        <x:v>4.2</x:v>
      </x:c>
      <x:c r="F25" s="85" t="n">
        <x:v>0.27</x:v>
      </x:c>
      <x:c r="G25" s="178" t="n">
        <x:v>1</x:v>
      </x:c>
      <x:c r="H25" s="83" t="str">
        <x:v>Complete</x:v>
      </x:c>
      <x:c r="I25" s="83" t="str">
        <x:v>Add, prove, merge, and operationally close a minimal GitHub Actions CI quality gate.</x:v>
      </x:c>
      <x:c r="J25" s="83" t="str">
        <x:v>Added .github/workflows/ci.yml for push and pull-request events using Ubuntu and Python 3.12. The clean runner installs the editable package with development dependencies, validates the five-case repository, and runs the complete pytest suite. Commit 80a26fe produced the expected controlled red run; commit 22713e4 removed only the seed and produced a green run. PR #19 merged in 5dc3f41. Post-merge local verification again passed five cases and 120 tests.</x:v>
      </x:c>
      <x:c r="K25" s="83" t="str">
        <x:v>Use one minimal Python 3.12 CI job as the MVP release gate. Preserve the intentional red run and corrected green run as acceptance evidence. Defer Python matrices, coverage thresholds, deployment automation, Docker, and unrelated quality tooling. The visible annotation warning was non-blocking. No blocker.</x:v>
      </x:c>
      <x:c r="L25" s="83" t="str">
        <x:v>Begin WBS 4.3 on feature/readme-architecture; make README.md and docs/architecture.md accurately explain setup, CLI usage, benchmark controls, baseline evidence, immutable results, CI, limitations, and the human-review boundary.</x:v>
      </x:c>
      <x:c r="M25" s="83" t="str">
        <x:v>80a26fe — Add CI workflow with seeded failure; 22713e4 — Remove seeded CI failure; PR #19 / merge 5dc3f41; .github/workflows/ci.yml; GitHub Actions runs #1–#3</x:v>
      </x:c>
    </x:row>
    <x:row r="26">
      <x:c r="A26" s="83" t="str">
        <x:v>WB-022</x:v>
      </x:c>
      <x:c r="B26" s="84" t="n">
        <x:v>46208</x:v>
      </x:c>
      <x:c r="C26" s="83" t="str">
        <x:v>5:43 PM</x:v>
      </x:c>
      <x:c r="D26" s="83" t="str">
        <x:v>6:10 PM</x:v>
      </x:c>
      <x:c r="E26" s="83" t="str">
        <x:v>4.3</x:v>
      </x:c>
      <x:c r="F26" s="85" t="n">
        <x:v>0.45</x:v>
      </x:c>
      <x:c r="G26" s="178" t="n">
        <x:v>1</x:v>
      </x:c>
      <x:c r="H26" s="83" t="str">
        <x:v>Complete</x:v>
      </x:c>
      <x:c r="I26" s="83" t="str">
        <x:v>Audit, rewrite, verify, merge, and operationally close the release-ready README and architecture documentation.</x:v>
      </x:c>
      <x:c r="J26" s="83" t="str">
        <x:v>Replaced stale Month 1 documentation with implementation-accurate README.md and docs/architecture.md. Documented clean installation, validate/list/inspect/evaluate CLI usage, exit codes 0–3, five-case benchmark and held-out controls, harness-verification baseline limits, immutable results, GitHub Actions behaviour, architecture boundaries, failure layers, extension points, and qualified-human review limits. PR #20 merged; five cases validate and 120 tests pass.</x:v>
      </x:c>
      <x:c r="K26" s="83" t="str">
        <x:v>Treat README and architecture as release-contract documentation for implemented behaviour, not planned capability. Preserve explicit MECH-003 prior-exposure and baseline claim limitations; keep agent, multimodal, API/database, observability, deployment, governance-pack, and RL implementation deferred. No blocker.</x:v>
      </x:c>
      <x:c r="L26" s="83" t="str">
        <x:v>Begin WBS 5.1 on feature/portfolio-demo; create one concise scripted terminal demo that shows a passing candidate, a representative failure with evidence, and the immutable result-record path. No frontend.</x:v>
      </x:c>
      <x:c r="M26" s="83" t="str">
        <x:v>ac8d6dd — Complete README and architecture documentation; PR #20 / merge 2b98214; README.md; docs/architecture.md; five-case validation; 120 tests</x:v>
      </x:c>
    </x:row>
    <x:row r="27">
      <x:c r="A27" s="83" t="str">
        <x:v>WB-023</x:v>
      </x:c>
      <x:c r="B27" s="84" t="n">
        <x:v>46208</x:v>
      </x:c>
      <x:c r="C27" s="83" t="str">
        <x:v>6:10 PM</x:v>
      </x:c>
      <x:c r="D27" s="83" t="str">
        <x:v>6:28 PM</x:v>
      </x:c>
      <x:c r="E27" s="83" t="str">
        <x:v>5.1</x:v>
      </x:c>
      <x:c r="F27" s="85" t="n">
        <x:v>0.3</x:v>
      </x:c>
      <x:c r="G27" s="178" t="n">
        <x:v>1</x:v>
      </x:c>
      <x:c r="H27" s="83" t="str">
        <x:v>Complete</x:v>
      </x:c>
      <x:c r="I27" s="83" t="str">
        <x:v>Create, verify, merge, and operationally close a deterministic terminal-first portfolio demo for the MVP harness.</x:v>
      </x:c>
      <x:c r="J27" s="83" t="str">
        <x:v>Added scripts/run_portfolio_demo.py, tests/test_portfolio_demo.py, docs/portfolio_demo.md, evidence/portfolio_demo/report.md, and a top-level README link. The demo reuses committed MECH-002 candidates, verifies a passing artifact at score 1.00 and a structurally valid unit-error artifact at score 0.75 with UNIT_ERROR, checks expected exit codes, and verifies immutable result persistence. PR #21 merged; five cases validate and 121 tests pass.</x:v>
      </x:c>
      <x:c r="K27" s="83" t="str">
        <x:v>Use the public CLI as the demo boundary rather than adding new evaluator logic or a frontend. Version the script, regression test, walkthrough, and concise evidence report; keep generated raw run records outside Git. Treat the demo as harness-behaviour evidence only, not AI/model/agent performance or engineering sign-off. Gate 5 accepted. No blocker.</x:v>
      </x:c>
      <x:c r="L27" s="83" t="str">
        <x:v>Begin WBS 5.2 on feature/release-notes; write concise v0.1.0 release notes and explicit limitations consistent with the implemented repository and accepted claim boundaries.</x:v>
      </x:c>
      <x:c r="M27" s="83" t="str">
        <x:v>599402c — Add reproducible portfolio demo; PR #21 / merge c15393d; scripts/run_portfolio_demo.py; tests/test_portfolio_demo.py; docs/portfolio_demo.md; evidence/portfolio_demo/report.md; five-case validation; 121 tests; demo 2/2 verified</x:v>
      </x:c>
    </x:row>
    <x:row r="28">
      <x:c r="A28" s="83" t="str">
        <x:v>WB-024</x:v>
      </x:c>
      <x:c r="B28" s="84" t="n">
        <x:v>46208</x:v>
      </x:c>
      <x:c r="C28" s="83" t="str">
        <x:v>6:28 PM</x:v>
      </x:c>
      <x:c r="D28" s="83" t="str">
        <x:v>6:35 PM</x:v>
      </x:c>
      <x:c r="E28" s="83" t="str">
        <x:v>5.2</x:v>
      </x:c>
      <x:c r="F28" s="85" t="n">
        <x:v>0.12</x:v>
      </x:c>
      <x:c r="G28" s="178" t="n">
        <x:v>1</x:v>
      </x:c>
      <x:c r="H28" s="83" t="str">
        <x:v>Complete</x:v>
      </x:c>
      <x:c r="I28" s="83" t="str">
        <x:v>Create, verify, merge, and operationally close the versioned release notes and limitations for the first tagged MVP release.</x:v>
      </x:c>
      <x:c r="J28" s="83" t="str">
        <x:v>Added docs/release_notes_v0.2.0.md and docs/limitations.md, linked both from README.md, resolved the release-version inconsistency in favor of v0.2.0 using pyproject.toml and persisted harness_version evidence, and documented implemented scope, benchmark contamination limits, harness-only baseline claims, result-record limits, security/interface constraints, deferred capabilities, and qualified-human review boundaries. PR #22 merged; five cases validate and 121 tests pass.</x:v>
      </x:c>
      <x:c r="K28" s="83" t="str">
        <x:v>Use v0.2.0 as the release target because both package metadata and persisted result records already identify the harness as 0.2.0. Do not downgrade the package or create v0.1.0. Treat release documentation as claim-control evidence; no model/agent performance, pristine-blind held-out, engineering-authority, deployment, multimodal, API/database, observability, governance-pack, or RL claims. No blocker.</x:v>
      </x:c>
      <x:c r="L28" s="83" t="str">
        <x:v>Begin WBS 5.3 final acceptance on release/v0.2.0; execute a clean release-candidate verification, confirm documentation/version consistency, create the v0.2.0 tag only after acceptance passes, and capture final release evidence.</x:v>
      </x:c>
      <x:c r="M28" s="83" t="str">
        <x:v>64db931 — Add v0.2.0 release notes and limitations; PR #22 / merge 0f8adbe; README.md; docs/release_notes_v0.2.0.md; docs/limitations.md; five-case validation; 121 tests</x:v>
      </x:c>
    </x:row>
    <x:row r="29">
      <x:c r="A29" s="83" t="str">
        <x:v>WB-025</x:v>
      </x:c>
      <x:c r="B29" s="84" t="n">
        <x:v>46208</x:v>
      </x:c>
      <x:c r="C29" s="83" t="str">
        <x:v>6:35 PM</x:v>
      </x:c>
      <x:c r="D29" s="83" t="str">
        <x:v>6:50 PM</x:v>
      </x:c>
      <x:c r="E29" s="83" t="str">
        <x:v>5.3</x:v>
      </x:c>
      <x:c r="F29" s="85" t="n">
        <x:v>0.25</x:v>
      </x:c>
      <x:c r="G29" s="178" t="n">
        <x:v>1</x:v>
      </x:c>
      <x:c r="H29" s="83" t="str">
        <x:v>Complete</x:v>
      </x:c>
      <x:c r="I29" s="83" t="str">
        <x:v>Execute the clean-clone final acceptance matrix, verify release integrity, create and push the annotated v0.2.0 tag, and close the MVP.</x:v>
      </x:c>
      <x:c r="J29" s="83" t="str">
        <x:v>Verified accepted commit 45336a21c9c5f4dcd4b3bd009d05183621061b5d in a fresh Python 3.12.6 clone. Installed package version 0.2.0; five cases validated; 121 tests passed; nine baseline scenarios and two portfolio-demo scenarios reproduced; eleven generated results reported harness_version 0.2.0; required claim boundaries were present; clean-clone Git state remained clean. Created and pushed annotated tag v0.2.0; remote peeled tag resolves to the accepted commit.</x:v>
      </x:c>
      <x:c r="K29" s="83" t="str">
        <x:v>Accept v0.2.0 as the completed MVP release. Treat two earlier acceptance-wrapper failures as tooling defects, not product failures; the final clean-clone pass supersedes them. Close WBS 4.1 without separate hours because regression tests were delivered and logged within capability WBS items; avoid double-counting. Preserve the benchmark and professional-boundary limitations. No blocker.</x:v>
      </x:c>
      <x:c r="L29" s="83" t="str">
        <x:v>Freeze the v0.2.0 release baseline. Commit the post-release acceptance report, summary, and final Gantt closeout; then conduct a separate post-MVP backlog-selection block before starting new implementation.</x:v>
      </x:c>
      <x:c r="M29" s="83" t="str">
        <x:v>v0.2.0 annotated tag; accepted commit 45336a2; tag object 8d426d2; clean Python 3.12.6 clone; five-case validation; 121 tests; baseline 9/9; demo 2/2; 11 result versions verified; EV-028</x:v>
      </x:c>
    </x:row>
    <x:row r="30">
      <x:c r="A30" s="83"/>
      <x:c r="B30" s="84"/>
      <x:c r="C30" s="83"/>
      <x:c r="D30" s="83"/>
      <x:c r="E30" s="83"/>
      <x:c r="F30" s="85"/>
      <x:c r="G30" s="178"/>
      <x:c r="H30" s="83"/>
      <x:c r="I30" s="83"/>
      <x:c r="J30" s="83"/>
      <x:c r="K30" s="83"/>
      <x:c r="L30" s="83"/>
      <x:c r="M30" s="83"/>
    </x:row>
    <x:row r="31">
      <x:c r="A31" s="83"/>
      <x:c r="B31" s="84"/>
      <x:c r="C31" s="83"/>
      <x:c r="D31" s="83"/>
      <x:c r="E31" s="83"/>
      <x:c r="F31" s="85"/>
      <x:c r="G31" s="178"/>
      <x:c r="H31" s="83"/>
      <x:c r="I31" s="83"/>
      <x:c r="J31" s="83"/>
      <x:c r="K31" s="83"/>
      <x:c r="L31" s="83"/>
      <x:c r="M31" s="83"/>
    </x:row>
    <x:row r="32">
      <x:c r="A32" s="83"/>
      <x:c r="B32" s="84"/>
      <x:c r="C32" s="83"/>
      <x:c r="D32" s="83"/>
      <x:c r="E32" s="83"/>
      <x:c r="F32" s="85"/>
      <x:c r="G32" s="178"/>
      <x:c r="H32" s="83"/>
      <x:c r="I32" s="83"/>
      <x:c r="J32" s="83"/>
      <x:c r="K32" s="83"/>
      <x:c r="L32" s="83"/>
      <x:c r="M32" s="83"/>
    </x:row>
    <x:row r="33">
      <x:c r="A33" s="83"/>
      <x:c r="B33" s="84"/>
      <x:c r="C33" s="83"/>
      <x:c r="D33" s="83"/>
      <x:c r="E33" s="83"/>
      <x:c r="F33" s="85"/>
      <x:c r="G33" s="178"/>
      <x:c r="H33" s="83"/>
      <x:c r="I33" s="83"/>
      <x:c r="J33" s="83"/>
      <x:c r="K33" s="83"/>
      <x:c r="L33" s="83"/>
      <x:c r="M33" s="83"/>
    </x:row>
    <x:row r="34">
      <x:c r="A34" s="83"/>
      <x:c r="B34" s="84"/>
      <x:c r="C34" s="83"/>
      <x:c r="D34" s="83"/>
      <x:c r="E34" s="83"/>
      <x:c r="F34" s="85"/>
      <x:c r="G34" s="178"/>
      <x:c r="H34" s="83"/>
      <x:c r="I34" s="83"/>
      <x:c r="J34" s="83"/>
      <x:c r="K34" s="83"/>
      <x:c r="L34" s="83"/>
      <x:c r="M34" s="83"/>
    </x:row>
    <x:row r="35">
      <x:c r="A35" s="83"/>
      <x:c r="B35" s="84"/>
      <x:c r="C35" s="83"/>
      <x:c r="D35" s="83"/>
      <x:c r="E35" s="83"/>
      <x:c r="F35" s="85"/>
      <x:c r="G35" s="178"/>
      <x:c r="H35" s="83"/>
      <x:c r="I35" s="83"/>
      <x:c r="J35" s="83"/>
      <x:c r="K35" s="83"/>
      <x:c r="L35" s="83"/>
      <x:c r="M35" s="83"/>
    </x:row>
    <x:row r="36">
      <x:c r="A36" s="83"/>
      <x:c r="B36" s="84"/>
      <x:c r="C36" s="83"/>
      <x:c r="D36" s="83"/>
      <x:c r="E36" s="83"/>
      <x:c r="F36" s="85"/>
      <x:c r="G36" s="178"/>
      <x:c r="H36" s="83"/>
      <x:c r="I36" s="83"/>
      <x:c r="J36" s="83"/>
      <x:c r="K36" s="83"/>
      <x:c r="L36" s="83"/>
      <x:c r="M36" s="83"/>
    </x:row>
    <x:row r="37">
      <x:c r="A37" s="83"/>
      <x:c r="B37" s="84"/>
      <x:c r="C37" s="83"/>
      <x:c r="D37" s="83"/>
      <x:c r="E37" s="83"/>
      <x:c r="F37" s="85"/>
      <x:c r="G37" s="178"/>
      <x:c r="H37" s="83"/>
      <x:c r="I37" s="83"/>
      <x:c r="J37" s="83"/>
      <x:c r="K37" s="83"/>
      <x:c r="L37" s="83"/>
      <x:c r="M37" s="83"/>
    </x:row>
    <x:row r="38">
      <x:c r="A38" s="83"/>
      <x:c r="B38" s="84"/>
      <x:c r="C38" s="83"/>
      <x:c r="D38" s="83"/>
      <x:c r="E38" s="83"/>
      <x:c r="F38" s="85"/>
      <x:c r="G38" s="178"/>
      <x:c r="H38" s="83"/>
      <x:c r="I38" s="83"/>
      <x:c r="J38" s="83"/>
      <x:c r="K38" s="83"/>
      <x:c r="L38" s="83"/>
      <x:c r="M38" s="83"/>
    </x:row>
    <x:row r="39">
      <x:c r="A39" s="83"/>
      <x:c r="B39" s="84"/>
      <x:c r="C39" s="83"/>
      <x:c r="D39" s="83"/>
      <x:c r="E39" s="83"/>
      <x:c r="F39" s="85"/>
      <x:c r="G39" s="178"/>
      <x:c r="H39" s="83"/>
      <x:c r="I39" s="83"/>
      <x:c r="J39" s="83"/>
      <x:c r="K39" s="83"/>
      <x:c r="L39" s="83"/>
      <x:c r="M39" s="83"/>
    </x:row>
    <x:row r="40">
      <x:c r="A40" s="83"/>
      <x:c r="B40" s="84"/>
      <x:c r="C40" s="83"/>
      <x:c r="D40" s="83"/>
      <x:c r="E40" s="83"/>
      <x:c r="F40" s="85"/>
      <x:c r="G40" s="178"/>
      <x:c r="H40" s="83"/>
      <x:c r="I40" s="83"/>
      <x:c r="J40" s="83"/>
      <x:c r="K40" s="83"/>
      <x:c r="L40" s="83"/>
      <x:c r="M40" s="83"/>
    </x:row>
    <x:row r="41">
      <x:c r="A41" s="83"/>
      <x:c r="B41" s="84"/>
      <x:c r="C41" s="83"/>
      <x:c r="D41" s="83"/>
      <x:c r="E41" s="83"/>
      <x:c r="F41" s="85"/>
      <x:c r="G41" s="178"/>
      <x:c r="H41" s="83"/>
      <x:c r="I41" s="83"/>
      <x:c r="J41" s="83"/>
      <x:c r="K41" s="83"/>
      <x:c r="L41" s="83"/>
      <x:c r="M41" s="83"/>
    </x:row>
    <x:row r="42">
      <x:c r="A42" s="83"/>
      <x:c r="B42" s="84"/>
      <x:c r="C42" s="83"/>
      <x:c r="D42" s="83"/>
      <x:c r="E42" s="83"/>
      <x:c r="F42" s="85"/>
      <x:c r="G42" s="178"/>
      <x:c r="H42" s="83"/>
      <x:c r="I42" s="83"/>
      <x:c r="J42" s="83"/>
      <x:c r="K42" s="83"/>
      <x:c r="L42" s="83"/>
      <x:c r="M42" s="83"/>
    </x:row>
    <x:row r="43">
      <x:c r="A43" s="83"/>
      <x:c r="B43" s="84"/>
      <x:c r="C43" s="83"/>
      <x:c r="D43" s="83"/>
      <x:c r="E43" s="83"/>
      <x:c r="F43" s="85"/>
      <x:c r="G43" s="178"/>
      <x:c r="H43" s="83"/>
      <x:c r="I43" s="83"/>
      <x:c r="J43" s="83"/>
      <x:c r="K43" s="83"/>
      <x:c r="L43" s="83"/>
      <x:c r="M43" s="83"/>
    </x:row>
    <x:row r="44">
      <x:c r="A44" s="83"/>
      <x:c r="B44" s="84"/>
      <x:c r="C44" s="83"/>
      <x:c r="D44" s="83"/>
      <x:c r="E44" s="83"/>
      <x:c r="F44" s="85"/>
      <x:c r="G44" s="178"/>
      <x:c r="H44" s="83"/>
      <x:c r="I44" s="83"/>
      <x:c r="J44" s="83"/>
      <x:c r="K44" s="83"/>
      <x:c r="L44" s="83"/>
      <x:c r="M44" s="83"/>
    </x:row>
    <x:row r="45">
      <x:c r="A45" s="83"/>
      <x:c r="B45" s="84"/>
      <x:c r="C45" s="83"/>
      <x:c r="D45" s="83"/>
      <x:c r="E45" s="83"/>
      <x:c r="F45" s="85"/>
      <x:c r="G45" s="178"/>
      <x:c r="H45" s="83"/>
      <x:c r="I45" s="83"/>
      <x:c r="J45" s="83"/>
      <x:c r="K45" s="83"/>
      <x:c r="L45" s="83"/>
      <x:c r="M45" s="83"/>
    </x:row>
    <x:row r="46">
      <x:c r="A46" s="83"/>
      <x:c r="B46" s="84"/>
      <x:c r="C46" s="83"/>
      <x:c r="D46" s="83"/>
      <x:c r="E46" s="83"/>
      <x:c r="F46" s="85"/>
      <x:c r="G46" s="178"/>
      <x:c r="H46" s="83"/>
      <x:c r="I46" s="83"/>
      <x:c r="J46" s="83"/>
      <x:c r="K46" s="83"/>
      <x:c r="L46" s="83"/>
      <x:c r="M46" s="83"/>
    </x:row>
    <x:row r="47">
      <x:c r="A47" s="83"/>
      <x:c r="B47" s="84"/>
      <x:c r="C47" s="83"/>
      <x:c r="D47" s="83"/>
      <x:c r="E47" s="83"/>
      <x:c r="F47" s="85"/>
      <x:c r="G47" s="178"/>
      <x:c r="H47" s="83"/>
      <x:c r="I47" s="83"/>
      <x:c r="J47" s="83"/>
      <x:c r="K47" s="83"/>
      <x:c r="L47" s="83"/>
      <x:c r="M47" s="83"/>
    </x:row>
    <x:row r="48">
      <x:c r="A48" s="83"/>
      <x:c r="B48" s="84"/>
      <x:c r="C48" s="83"/>
      <x:c r="D48" s="83"/>
      <x:c r="E48" s="83"/>
      <x:c r="F48" s="85"/>
      <x:c r="G48" s="178"/>
      <x:c r="H48" s="83"/>
      <x:c r="I48" s="83"/>
      <x:c r="J48" s="83"/>
      <x:c r="K48" s="83"/>
      <x:c r="L48" s="83"/>
      <x:c r="M48" s="83"/>
    </x:row>
    <x:row r="49">
      <x:c r="A49" s="83"/>
      <x:c r="B49" s="84"/>
      <x:c r="C49" s="83"/>
      <x:c r="D49" s="83"/>
      <x:c r="E49" s="83"/>
      <x:c r="F49" s="85"/>
      <x:c r="G49" s="178"/>
      <x:c r="H49" s="83"/>
      <x:c r="I49" s="83"/>
      <x:c r="J49" s="83"/>
      <x:c r="K49" s="83"/>
      <x:c r="L49" s="83"/>
      <x:c r="M49" s="83"/>
    </x:row>
    <x:row r="50">
      <x:c r="A50" s="83"/>
      <x:c r="B50" s="84"/>
      <x:c r="C50" s="83"/>
      <x:c r="D50" s="83"/>
      <x:c r="E50" s="83"/>
      <x:c r="F50" s="85"/>
      <x:c r="G50" s="178"/>
      <x:c r="H50" s="83"/>
      <x:c r="I50" s="83"/>
      <x:c r="J50" s="83"/>
      <x:c r="K50" s="83"/>
      <x:c r="L50" s="83"/>
      <x:c r="M50" s="83"/>
    </x:row>
    <x:row r="51">
      <x:c r="A51" s="83"/>
      <x:c r="B51" s="84"/>
      <x:c r="C51" s="83"/>
      <x:c r="D51" s="83"/>
      <x:c r="E51" s="83"/>
      <x:c r="F51" s="85"/>
      <x:c r="G51" s="178"/>
      <x:c r="H51" s="83"/>
      <x:c r="I51" s="83"/>
      <x:c r="J51" s="83"/>
      <x:c r="K51" s="83"/>
      <x:c r="L51" s="83"/>
      <x:c r="M51" s="83"/>
    </x:row>
    <x:row r="52">
      <x:c r="A52" s="83"/>
      <x:c r="B52" s="84"/>
      <x:c r="C52" s="83"/>
      <x:c r="D52" s="83"/>
      <x:c r="E52" s="83"/>
      <x:c r="F52" s="85"/>
      <x:c r="G52" s="178"/>
      <x:c r="H52" s="83"/>
      <x:c r="I52" s="83"/>
      <x:c r="J52" s="83"/>
      <x:c r="K52" s="83"/>
      <x:c r="L52" s="83"/>
      <x:c r="M52" s="83"/>
    </x:row>
    <x:row r="53">
      <x:c r="A53" s="83"/>
      <x:c r="B53" s="84"/>
      <x:c r="C53" s="83"/>
      <x:c r="D53" s="83"/>
      <x:c r="E53" s="83"/>
      <x:c r="F53" s="85"/>
      <x:c r="G53" s="178"/>
      <x:c r="H53" s="83"/>
      <x:c r="I53" s="83"/>
      <x:c r="J53" s="83"/>
      <x:c r="K53" s="83"/>
      <x:c r="L53" s="83"/>
      <x:c r="M53" s="83"/>
    </x:row>
    <x:row r="54">
      <x:c r="A54" s="83"/>
      <x:c r="B54" s="84"/>
      <x:c r="C54" s="83"/>
      <x:c r="D54" s="83"/>
      <x:c r="E54" s="83"/>
      <x:c r="F54" s="85"/>
      <x:c r="G54" s="178"/>
      <x:c r="H54" s="83"/>
      <x:c r="I54" s="83"/>
      <x:c r="J54" s="83"/>
      <x:c r="K54" s="83"/>
      <x:c r="L54" s="83"/>
      <x:c r="M54" s="83"/>
    </x:row>
    <x:row r="55">
      <x:c r="A55" s="83"/>
      <x:c r="B55" s="84"/>
      <x:c r="C55" s="83"/>
      <x:c r="D55" s="83"/>
      <x:c r="E55" s="83"/>
      <x:c r="F55" s="85"/>
      <x:c r="G55" s="178"/>
      <x:c r="H55" s="83"/>
      <x:c r="I55" s="83"/>
      <x:c r="J55" s="83"/>
      <x:c r="K55" s="83"/>
      <x:c r="L55" s="83"/>
      <x:c r="M55" s="83"/>
    </x:row>
    <x:row r="56">
      <x:c r="A56" s="83"/>
      <x:c r="B56" s="84"/>
      <x:c r="C56" s="83"/>
      <x:c r="D56" s="83"/>
      <x:c r="E56" s="83"/>
      <x:c r="F56" s="85"/>
      <x:c r="G56" s="178"/>
      <x:c r="H56" s="83"/>
      <x:c r="I56" s="83"/>
      <x:c r="J56" s="83"/>
      <x:c r="K56" s="83"/>
      <x:c r="L56" s="83"/>
      <x:c r="M56" s="83"/>
    </x:row>
    <x:row r="57">
      <x:c r="A57" s="83"/>
      <x:c r="B57" s="84"/>
      <x:c r="C57" s="83"/>
      <x:c r="D57" s="83"/>
      <x:c r="E57" s="83"/>
      <x:c r="F57" s="85"/>
      <x:c r="G57" s="178"/>
      <x:c r="H57" s="83"/>
      <x:c r="I57" s="83"/>
      <x:c r="J57" s="83"/>
      <x:c r="K57" s="83"/>
      <x:c r="L57" s="83"/>
      <x:c r="M57" s="83"/>
    </x:row>
    <x:row r="58">
      <x:c r="A58" s="83"/>
      <x:c r="B58" s="84"/>
      <x:c r="C58" s="83"/>
      <x:c r="D58" s="83"/>
      <x:c r="E58" s="83"/>
      <x:c r="F58" s="85"/>
      <x:c r="G58" s="178"/>
      <x:c r="H58" s="83"/>
      <x:c r="I58" s="83"/>
      <x:c r="J58" s="83"/>
      <x:c r="K58" s="83"/>
      <x:c r="L58" s="83"/>
      <x:c r="M58" s="83"/>
    </x:row>
    <x:row r="59">
      <x:c r="A59" s="83"/>
      <x:c r="B59" s="84"/>
      <x:c r="C59" s="83"/>
      <x:c r="D59" s="83"/>
      <x:c r="E59" s="83"/>
      <x:c r="F59" s="85"/>
      <x:c r="G59" s="178"/>
      <x:c r="H59" s="83"/>
      <x:c r="I59" s="83"/>
      <x:c r="J59" s="83"/>
      <x:c r="K59" s="83"/>
      <x:c r="L59" s="83"/>
      <x:c r="M59" s="83"/>
    </x:row>
    <x:row r="60">
      <x:c r="A60" s="83"/>
      <x:c r="B60" s="84"/>
      <x:c r="C60" s="83"/>
      <x:c r="D60" s="83"/>
      <x:c r="E60" s="83"/>
      <x:c r="F60" s="85"/>
      <x:c r="G60" s="178"/>
      <x:c r="H60" s="83"/>
      <x:c r="I60" s="83"/>
      <x:c r="J60" s="83"/>
      <x:c r="K60" s="83"/>
      <x:c r="L60" s="83"/>
      <x:c r="M60" s="83"/>
    </x:row>
    <x:row r="61">
      <x:c r="A61" s="83"/>
      <x:c r="B61" s="84"/>
      <x:c r="C61" s="83"/>
      <x:c r="D61" s="83"/>
      <x:c r="E61" s="83"/>
      <x:c r="F61" s="85"/>
      <x:c r="G61" s="178"/>
      <x:c r="H61" s="83"/>
      <x:c r="I61" s="83"/>
      <x:c r="J61" s="83"/>
      <x:c r="K61" s="83"/>
      <x:c r="L61" s="83"/>
      <x:c r="M61" s="83"/>
    </x:row>
    <x:row r="62">
      <x:c r="A62" s="83"/>
      <x:c r="B62" s="84"/>
      <x:c r="C62" s="83"/>
      <x:c r="D62" s="83"/>
      <x:c r="E62" s="83"/>
      <x:c r="F62" s="85"/>
      <x:c r="G62" s="178"/>
      <x:c r="H62" s="83"/>
      <x:c r="I62" s="83"/>
      <x:c r="J62" s="83"/>
      <x:c r="K62" s="83"/>
      <x:c r="L62" s="83"/>
      <x:c r="M62" s="83"/>
    </x:row>
    <x:row r="63">
      <x:c r="A63" s="83"/>
      <x:c r="B63" s="84"/>
      <x:c r="C63" s="83"/>
      <x:c r="D63" s="83"/>
      <x:c r="E63" s="83"/>
      <x:c r="F63" s="85"/>
      <x:c r="G63" s="178"/>
      <x:c r="H63" s="83"/>
      <x:c r="I63" s="83"/>
      <x:c r="J63" s="83"/>
      <x:c r="K63" s="83"/>
      <x:c r="L63" s="83"/>
      <x:c r="M63" s="83"/>
    </x:row>
    <x:row r="64">
      <x:c r="A64" s="83"/>
      <x:c r="B64" s="84"/>
      <x:c r="C64" s="83"/>
      <x:c r="D64" s="83"/>
      <x:c r="E64" s="83"/>
      <x:c r="F64" s="85"/>
      <x:c r="G64" s="178"/>
      <x:c r="H64" s="83"/>
      <x:c r="I64" s="83"/>
      <x:c r="J64" s="83"/>
      <x:c r="K64" s="83"/>
      <x:c r="L64" s="83"/>
      <x:c r="M64" s="83"/>
    </x:row>
    <x:row r="65">
      <x:c r="A65" s="83"/>
      <x:c r="B65" s="84"/>
      <x:c r="C65" s="83"/>
      <x:c r="D65" s="83"/>
      <x:c r="E65" s="83"/>
      <x:c r="F65" s="85"/>
      <x:c r="G65" s="178"/>
      <x:c r="H65" s="83"/>
      <x:c r="I65" s="83"/>
      <x:c r="J65" s="83"/>
      <x:c r="K65" s="83"/>
      <x:c r="L65" s="83"/>
      <x:c r="M65" s="83"/>
    </x:row>
    <x:row r="66">
      <x:c r="A66" s="83"/>
      <x:c r="B66" s="84"/>
      <x:c r="C66" s="83"/>
      <x:c r="D66" s="83"/>
      <x:c r="E66" s="83"/>
      <x:c r="F66" s="85"/>
      <x:c r="G66" s="178"/>
      <x:c r="H66" s="83"/>
      <x:c r="I66" s="83"/>
      <x:c r="J66" s="83"/>
      <x:c r="K66" s="83"/>
      <x:c r="L66" s="83"/>
      <x:c r="M66" s="83"/>
    </x:row>
    <x:row r="67">
      <x:c r="A67" s="83"/>
      <x:c r="B67" s="84"/>
      <x:c r="C67" s="83"/>
      <x:c r="D67" s="83"/>
      <x:c r="E67" s="83"/>
      <x:c r="F67" s="85"/>
      <x:c r="G67" s="178"/>
      <x:c r="H67" s="83"/>
      <x:c r="I67" s="83"/>
      <x:c r="J67" s="83"/>
      <x:c r="K67" s="83"/>
      <x:c r="L67" s="83"/>
      <x:c r="M67" s="83"/>
    </x:row>
    <x:row r="68">
      <x:c r="A68" s="83"/>
      <x:c r="B68" s="84"/>
      <x:c r="C68" s="83"/>
      <x:c r="D68" s="83"/>
      <x:c r="E68" s="83"/>
      <x:c r="F68" s="85"/>
      <x:c r="G68" s="178"/>
      <x:c r="H68" s="83"/>
      <x:c r="I68" s="83"/>
      <x:c r="J68" s="83"/>
      <x:c r="K68" s="83"/>
      <x:c r="L68" s="83"/>
      <x:c r="M68" s="83"/>
    </x:row>
    <x:row r="69">
      <x:c r="A69" s="83"/>
      <x:c r="B69" s="84"/>
      <x:c r="C69" s="83"/>
      <x:c r="D69" s="83"/>
      <x:c r="E69" s="83"/>
      <x:c r="F69" s="85"/>
      <x:c r="G69" s="178"/>
      <x:c r="H69" s="83"/>
      <x:c r="I69" s="83"/>
      <x:c r="J69" s="83"/>
      <x:c r="K69" s="83"/>
      <x:c r="L69" s="83"/>
      <x:c r="M69" s="83"/>
    </x:row>
    <x:row r="70">
      <x:c r="A70" s="83"/>
      <x:c r="B70" s="84"/>
      <x:c r="C70" s="83"/>
      <x:c r="D70" s="83"/>
      <x:c r="E70" s="83"/>
      <x:c r="F70" s="85"/>
      <x:c r="G70" s="178"/>
      <x:c r="H70" s="83"/>
      <x:c r="I70" s="83"/>
      <x:c r="J70" s="83"/>
      <x:c r="K70" s="83"/>
      <x:c r="L70" s="83"/>
      <x:c r="M70" s="83"/>
    </x:row>
    <x:row r="71">
      <x:c r="A71" s="83"/>
      <x:c r="B71" s="84"/>
      <x:c r="C71" s="83"/>
      <x:c r="D71" s="83"/>
      <x:c r="E71" s="83"/>
      <x:c r="F71" s="85"/>
      <x:c r="G71" s="178"/>
      <x:c r="H71" s="83"/>
      <x:c r="I71" s="83"/>
      <x:c r="J71" s="83"/>
      <x:c r="K71" s="83"/>
      <x:c r="L71" s="83"/>
      <x:c r="M71" s="83"/>
    </x:row>
    <x:row r="72">
      <x:c r="A72" s="83"/>
      <x:c r="B72" s="84"/>
      <x:c r="C72" s="83"/>
      <x:c r="D72" s="83"/>
      <x:c r="E72" s="83"/>
      <x:c r="F72" s="85"/>
      <x:c r="G72" s="178"/>
      <x:c r="H72" s="83"/>
      <x:c r="I72" s="83"/>
      <x:c r="J72" s="83"/>
      <x:c r="K72" s="83"/>
      <x:c r="L72" s="83"/>
      <x:c r="M72" s="83"/>
    </x:row>
    <x:row r="73">
      <x:c r="A73" s="83"/>
      <x:c r="B73" s="84"/>
      <x:c r="C73" s="83"/>
      <x:c r="D73" s="83"/>
      <x:c r="E73" s="83"/>
      <x:c r="F73" s="85"/>
      <x:c r="G73" s="178"/>
      <x:c r="H73" s="83"/>
      <x:c r="I73" s="83"/>
      <x:c r="J73" s="83"/>
      <x:c r="K73" s="83"/>
      <x:c r="L73" s="83"/>
      <x:c r="M73" s="83"/>
    </x:row>
    <x:row r="74">
      <x:c r="A74" s="83"/>
      <x:c r="B74" s="84"/>
      <x:c r="C74" s="83"/>
      <x:c r="D74" s="83"/>
      <x:c r="E74" s="83"/>
      <x:c r="F74" s="85"/>
      <x:c r="G74" s="178"/>
      <x:c r="H74" s="83"/>
      <x:c r="I74" s="83"/>
      <x:c r="J74" s="83"/>
      <x:c r="K74" s="83"/>
      <x:c r="L74" s="83"/>
      <x:c r="M74" s="83"/>
    </x:row>
    <x:row r="75">
      <x:c r="A75" s="83"/>
      <x:c r="B75" s="84"/>
      <x:c r="C75" s="83"/>
      <x:c r="D75" s="83"/>
      <x:c r="E75" s="83"/>
      <x:c r="F75" s="85"/>
      <x:c r="G75" s="178"/>
      <x:c r="H75" s="83"/>
      <x:c r="I75" s="83"/>
      <x:c r="J75" s="83"/>
      <x:c r="K75" s="83"/>
      <x:c r="L75" s="83"/>
      <x:c r="M75" s="83"/>
    </x:row>
    <x:row r="76">
      <x:c r="A76" s="83"/>
      <x:c r="B76" s="84"/>
      <x:c r="C76" s="83"/>
      <x:c r="D76" s="83"/>
      <x:c r="E76" s="83"/>
      <x:c r="F76" s="85"/>
      <x:c r="G76" s="178"/>
      <x:c r="H76" s="83"/>
      <x:c r="I76" s="83"/>
      <x:c r="J76" s="83"/>
      <x:c r="K76" s="83"/>
      <x:c r="L76" s="83"/>
      <x:c r="M76" s="83"/>
    </x:row>
    <x:row r="77">
      <x:c r="A77" s="83"/>
      <x:c r="B77" s="84"/>
      <x:c r="C77" s="83"/>
      <x:c r="D77" s="83"/>
      <x:c r="E77" s="83"/>
      <x:c r="F77" s="85"/>
      <x:c r="G77" s="178"/>
      <x:c r="H77" s="83"/>
      <x:c r="I77" s="83"/>
      <x:c r="J77" s="83"/>
      <x:c r="K77" s="83"/>
      <x:c r="L77" s="83"/>
      <x:c r="M77" s="83"/>
    </x:row>
    <x:row r="78">
      <x:c r="A78" s="83"/>
      <x:c r="B78" s="84"/>
      <x:c r="C78" s="83"/>
      <x:c r="D78" s="83"/>
      <x:c r="E78" s="83"/>
      <x:c r="F78" s="85"/>
      <x:c r="G78" s="178"/>
      <x:c r="H78" s="83"/>
      <x:c r="I78" s="83"/>
      <x:c r="J78" s="83"/>
      <x:c r="K78" s="83"/>
      <x:c r="L78" s="83"/>
      <x:c r="M78" s="83"/>
    </x:row>
    <x:row r="79">
      <x:c r="A79" s="83"/>
      <x:c r="B79" s="84"/>
      <x:c r="C79" s="83"/>
      <x:c r="D79" s="83"/>
      <x:c r="E79" s="83"/>
      <x:c r="F79" s="85"/>
      <x:c r="G79" s="178"/>
      <x:c r="H79" s="83"/>
      <x:c r="I79" s="83"/>
      <x:c r="J79" s="83"/>
      <x:c r="K79" s="83"/>
      <x:c r="L79" s="83"/>
      <x:c r="M79" s="83"/>
    </x:row>
    <x:row r="80">
      <x:c r="A80" s="83"/>
      <x:c r="B80" s="84"/>
      <x:c r="C80" s="83"/>
      <x:c r="D80" s="83"/>
      <x:c r="E80" s="83"/>
      <x:c r="F80" s="85"/>
      <x:c r="G80" s="178"/>
      <x:c r="H80" s="83"/>
      <x:c r="I80" s="83"/>
      <x:c r="J80" s="83"/>
      <x:c r="K80" s="83"/>
      <x:c r="L80" s="83"/>
      <x:c r="M80" s="83"/>
    </x:row>
    <x:row r="81">
      <x:c r="A81" s="83"/>
      <x:c r="B81" s="84"/>
      <x:c r="C81" s="83"/>
      <x:c r="D81" s="83"/>
      <x:c r="E81" s="83"/>
      <x:c r="F81" s="85"/>
      <x:c r="G81" s="178"/>
      <x:c r="H81" s="83"/>
      <x:c r="I81" s="83"/>
      <x:c r="J81" s="83"/>
      <x:c r="K81" s="83"/>
      <x:c r="L81" s="83"/>
      <x:c r="M81" s="83"/>
    </x:row>
    <x:row r="82">
      <x:c r="A82" s="83"/>
      <x:c r="B82" s="84"/>
      <x:c r="C82" s="83"/>
      <x:c r="D82" s="83"/>
      <x:c r="E82" s="83"/>
      <x:c r="F82" s="85"/>
      <x:c r="G82" s="178"/>
      <x:c r="H82" s="83"/>
      <x:c r="I82" s="83"/>
      <x:c r="J82" s="83"/>
      <x:c r="K82" s="83"/>
      <x:c r="L82" s="83"/>
      <x:c r="M82" s="83"/>
    </x:row>
    <x:row r="83">
      <x:c r="A83" s="83"/>
      <x:c r="B83" s="84"/>
      <x:c r="C83" s="83"/>
      <x:c r="D83" s="83"/>
      <x:c r="E83" s="83"/>
      <x:c r="F83" s="85"/>
      <x:c r="G83" s="178"/>
      <x:c r="H83" s="83"/>
      <x:c r="I83" s="83"/>
      <x:c r="J83" s="83"/>
      <x:c r="K83" s="83"/>
      <x:c r="L83" s="83"/>
      <x:c r="M83" s="83"/>
    </x:row>
    <x:row r="84">
      <x:c r="A84" s="83"/>
      <x:c r="B84" s="84"/>
      <x:c r="C84" s="83"/>
      <x:c r="D84" s="83"/>
      <x:c r="E84" s="83"/>
      <x:c r="F84" s="85"/>
      <x:c r="G84" s="178"/>
      <x:c r="H84" s="83"/>
      <x:c r="I84" s="83"/>
      <x:c r="J84" s="83"/>
      <x:c r="K84" s="83"/>
      <x:c r="L84" s="83"/>
      <x:c r="M84" s="83"/>
    </x:row>
    <x:row r="85">
      <x:c r="A85" s="83"/>
      <x:c r="B85" s="84"/>
      <x:c r="C85" s="83"/>
      <x:c r="D85" s="83"/>
      <x:c r="E85" s="83"/>
      <x:c r="F85" s="85"/>
      <x:c r="G85" s="178"/>
      <x:c r="H85" s="83"/>
      <x:c r="I85" s="83"/>
      <x:c r="J85" s="83"/>
      <x:c r="K85" s="83"/>
      <x:c r="L85" s="83"/>
      <x:c r="M85" s="83"/>
    </x:row>
    <x:row r="86">
      <x:c r="A86" s="83"/>
      <x:c r="B86" s="84"/>
      <x:c r="C86" s="83"/>
      <x:c r="D86" s="83"/>
      <x:c r="E86" s="83"/>
      <x:c r="F86" s="85"/>
      <x:c r="G86" s="178"/>
      <x:c r="H86" s="83"/>
      <x:c r="I86" s="83"/>
      <x:c r="J86" s="83"/>
      <x:c r="K86" s="83"/>
      <x:c r="L86" s="83"/>
      <x:c r="M86" s="83"/>
    </x:row>
    <x:row r="87">
      <x:c r="A87" s="83"/>
      <x:c r="B87" s="84"/>
      <x:c r="C87" s="83"/>
      <x:c r="D87" s="83"/>
      <x:c r="E87" s="83"/>
      <x:c r="F87" s="85"/>
      <x:c r="G87" s="178"/>
      <x:c r="H87" s="83"/>
      <x:c r="I87" s="83"/>
      <x:c r="J87" s="83"/>
      <x:c r="K87" s="83"/>
      <x:c r="L87" s="83"/>
      <x:c r="M87" s="83"/>
    </x:row>
    <x:row r="88">
      <x:c r="A88" s="83"/>
      <x:c r="B88" s="84"/>
      <x:c r="C88" s="83"/>
      <x:c r="D88" s="83"/>
      <x:c r="E88" s="83"/>
      <x:c r="F88" s="85"/>
      <x:c r="G88" s="178"/>
      <x:c r="H88" s="83"/>
      <x:c r="I88" s="83"/>
      <x:c r="J88" s="83"/>
      <x:c r="K88" s="83"/>
      <x:c r="L88" s="83"/>
      <x:c r="M88" s="83"/>
    </x:row>
    <x:row r="89">
      <x:c r="A89" s="83"/>
      <x:c r="B89" s="84"/>
      <x:c r="C89" s="83"/>
      <x:c r="D89" s="83"/>
      <x:c r="E89" s="83"/>
      <x:c r="F89" s="85"/>
      <x:c r="G89" s="178"/>
      <x:c r="H89" s="83"/>
      <x:c r="I89" s="83"/>
      <x:c r="J89" s="83"/>
      <x:c r="K89" s="83"/>
      <x:c r="L89" s="83"/>
      <x:c r="M89" s="83"/>
    </x:row>
    <x:row r="90">
      <x:c r="A90" s="83"/>
      <x:c r="B90" s="84"/>
      <x:c r="C90" s="83"/>
      <x:c r="D90" s="83"/>
      <x:c r="E90" s="83"/>
      <x:c r="F90" s="85"/>
      <x:c r="G90" s="178"/>
      <x:c r="H90" s="83"/>
      <x:c r="I90" s="83"/>
      <x:c r="J90" s="83"/>
      <x:c r="K90" s="83"/>
      <x:c r="L90" s="83"/>
      <x:c r="M90" s="83"/>
    </x:row>
    <x:row r="91">
      <x:c r="A91" s="83"/>
      <x:c r="B91" s="84"/>
      <x:c r="C91" s="83"/>
      <x:c r="D91" s="83"/>
      <x:c r="E91" s="83"/>
      <x:c r="F91" s="85"/>
      <x:c r="G91" s="178"/>
      <x:c r="H91" s="83"/>
      <x:c r="I91" s="83"/>
      <x:c r="J91" s="83"/>
      <x:c r="K91" s="83"/>
      <x:c r="L91" s="83"/>
      <x:c r="M91" s="83"/>
    </x:row>
    <x:row r="92">
      <x:c r="A92" s="83"/>
      <x:c r="B92" s="84"/>
      <x:c r="C92" s="83"/>
      <x:c r="D92" s="83"/>
      <x:c r="E92" s="83"/>
      <x:c r="F92" s="85"/>
      <x:c r="G92" s="178"/>
      <x:c r="H92" s="83"/>
      <x:c r="I92" s="83"/>
      <x:c r="J92" s="83"/>
      <x:c r="K92" s="83"/>
      <x:c r="L92" s="83"/>
      <x:c r="M92" s="83"/>
    </x:row>
    <x:row r="93">
      <x:c r="A93" s="83"/>
      <x:c r="B93" s="84"/>
      <x:c r="C93" s="83"/>
      <x:c r="D93" s="83"/>
      <x:c r="E93" s="83"/>
      <x:c r="F93" s="85"/>
      <x:c r="G93" s="178"/>
      <x:c r="H93" s="83"/>
      <x:c r="I93" s="83"/>
      <x:c r="J93" s="83"/>
      <x:c r="K93" s="83"/>
      <x:c r="L93" s="83"/>
      <x:c r="M93" s="83"/>
    </x:row>
    <x:row r="94">
      <x:c r="A94" s="83"/>
      <x:c r="B94" s="84"/>
      <x:c r="C94" s="83"/>
      <x:c r="D94" s="83"/>
      <x:c r="E94" s="83"/>
      <x:c r="F94" s="85"/>
      <x:c r="G94" s="178"/>
      <x:c r="H94" s="83"/>
      <x:c r="I94" s="83"/>
      <x:c r="J94" s="83"/>
      <x:c r="K94" s="83"/>
      <x:c r="L94" s="83"/>
      <x:c r="M94" s="83"/>
    </x:row>
    <x:row r="95">
      <x:c r="A95" s="83"/>
      <x:c r="B95" s="84"/>
      <x:c r="C95" s="83"/>
      <x:c r="D95" s="83"/>
      <x:c r="E95" s="83"/>
      <x:c r="F95" s="85"/>
      <x:c r="G95" s="178"/>
      <x:c r="H95" s="83"/>
      <x:c r="I95" s="83"/>
      <x:c r="J95" s="83"/>
      <x:c r="K95" s="83"/>
      <x:c r="L95" s="83"/>
      <x:c r="M95" s="83"/>
    </x:row>
    <x:row r="96">
      <x:c r="A96" s="83"/>
      <x:c r="B96" s="84"/>
      <x:c r="C96" s="83"/>
      <x:c r="D96" s="83"/>
      <x:c r="E96" s="83"/>
      <x:c r="F96" s="85"/>
      <x:c r="G96" s="178"/>
      <x:c r="H96" s="83"/>
      <x:c r="I96" s="83"/>
      <x:c r="J96" s="83"/>
      <x:c r="K96" s="83"/>
      <x:c r="L96" s="83"/>
      <x:c r="M96" s="83"/>
    </x:row>
    <x:row r="97">
      <x:c r="A97" s="83"/>
      <x:c r="B97" s="84"/>
      <x:c r="C97" s="83"/>
      <x:c r="D97" s="83"/>
      <x:c r="E97" s="83"/>
      <x:c r="F97" s="85"/>
      <x:c r="G97" s="178"/>
      <x:c r="H97" s="83"/>
      <x:c r="I97" s="83"/>
      <x:c r="J97" s="83"/>
      <x:c r="K97" s="83"/>
      <x:c r="L97" s="83"/>
      <x:c r="M97" s="83"/>
    </x:row>
    <x:row r="98">
      <x:c r="A98" s="83"/>
      <x:c r="B98" s="84"/>
      <x:c r="C98" s="83"/>
      <x:c r="D98" s="83"/>
      <x:c r="E98" s="83"/>
      <x:c r="F98" s="85"/>
      <x:c r="G98" s="178"/>
      <x:c r="H98" s="83"/>
      <x:c r="I98" s="83"/>
      <x:c r="J98" s="83"/>
      <x:c r="K98" s="83"/>
      <x:c r="L98" s="83"/>
      <x:c r="M98" s="83"/>
    </x:row>
    <x:row r="99">
      <x:c r="A99" s="83"/>
      <x:c r="B99" s="84"/>
      <x:c r="C99" s="83"/>
      <x:c r="D99" s="83"/>
      <x:c r="E99" s="83"/>
      <x:c r="F99" s="85"/>
      <x:c r="G99" s="178"/>
      <x:c r="H99" s="83"/>
      <x:c r="I99" s="83"/>
      <x:c r="J99" s="83"/>
      <x:c r="K99" s="83"/>
      <x:c r="L99" s="83"/>
      <x:c r="M99" s="83"/>
    </x:row>
    <x:row r="100">
      <x:c r="A100" s="83"/>
      <x:c r="B100" s="84"/>
      <x:c r="C100" s="83"/>
      <x:c r="D100" s="83"/>
      <x:c r="E100" s="83"/>
      <x:c r="F100" s="85"/>
      <x:c r="G100" s="178"/>
      <x:c r="H100" s="83"/>
      <x:c r="I100" s="83"/>
      <x:c r="J100" s="83"/>
      <x:c r="K100" s="83"/>
      <x:c r="L100" s="83"/>
      <x:c r="M100" s="83"/>
    </x:row>
    <x:row r="101">
      <x:c r="A101" s="83"/>
      <x:c r="B101" s="84"/>
      <x:c r="C101" s="83"/>
      <x:c r="D101" s="83"/>
      <x:c r="E101" s="83"/>
      <x:c r="F101" s="85"/>
      <x:c r="G101" s="178"/>
      <x:c r="H101" s="83"/>
      <x:c r="I101" s="83"/>
      <x:c r="J101" s="83"/>
      <x:c r="K101" s="83"/>
      <x:c r="L101" s="83"/>
      <x:c r="M101" s="83"/>
    </x:row>
    <x:row r="102">
      <x:c r="A102" s="83"/>
      <x:c r="B102" s="84"/>
      <x:c r="C102" s="83"/>
      <x:c r="D102" s="83"/>
      <x:c r="E102" s="83"/>
      <x:c r="F102" s="85"/>
      <x:c r="G102" s="178"/>
      <x:c r="H102" s="83"/>
      <x:c r="I102" s="83"/>
      <x:c r="J102" s="83"/>
      <x:c r="K102" s="83"/>
      <x:c r="L102" s="83"/>
      <x:c r="M102" s="83"/>
    </x:row>
    <x:row r="103">
      <x:c r="A103" s="83"/>
      <x:c r="B103" s="84"/>
      <x:c r="C103" s="83"/>
      <x:c r="D103" s="83"/>
      <x:c r="E103" s="83"/>
      <x:c r="F103" s="85"/>
      <x:c r="G103" s="178"/>
      <x:c r="H103" s="83"/>
      <x:c r="I103" s="83"/>
      <x:c r="J103" s="83"/>
      <x:c r="K103" s="83"/>
      <x:c r="L103" s="83"/>
      <x:c r="M103" s="83"/>
    </x:row>
    <x:row r="104">
      <x:c r="A104" s="83"/>
      <x:c r="B104" s="84"/>
      <x:c r="C104" s="83"/>
      <x:c r="D104" s="83"/>
      <x:c r="E104" s="83"/>
      <x:c r="F104" s="85"/>
      <x:c r="G104" s="178"/>
      <x:c r="H104" s="83"/>
      <x:c r="I104" s="83"/>
      <x:c r="J104" s="83"/>
      <x:c r="K104" s="83"/>
      <x:c r="L104" s="83"/>
      <x:c r="M104" s="83"/>
    </x:row>
    <x:row r="105">
      <x:c r="A105" s="83"/>
      <x:c r="B105" s="84"/>
      <x:c r="C105" s="83"/>
      <x:c r="D105" s="83"/>
      <x:c r="E105" s="83"/>
      <x:c r="F105" s="85"/>
      <x:c r="G105" s="178"/>
      <x:c r="H105" s="83"/>
      <x:c r="I105" s="83"/>
      <x:c r="J105" s="83"/>
      <x:c r="K105" s="83"/>
      <x:c r="L105" s="83"/>
      <x:c r="M105" s="83"/>
    </x:row>
    <x:row r="106">
      <x:c r="A106" s="83"/>
      <x:c r="B106" s="84"/>
      <x:c r="C106" s="83"/>
      <x:c r="D106" s="83"/>
      <x:c r="E106" s="83"/>
      <x:c r="F106" s="85"/>
      <x:c r="G106" s="178"/>
      <x:c r="H106" s="83"/>
      <x:c r="I106" s="83"/>
      <x:c r="J106" s="83"/>
      <x:c r="K106" s="83"/>
      <x:c r="L106" s="83"/>
      <x:c r="M106" s="83"/>
    </x:row>
    <x:row r="107">
      <x:c r="A107" s="83"/>
      <x:c r="B107" s="84"/>
      <x:c r="C107" s="83"/>
      <x:c r="D107" s="83"/>
      <x:c r="E107" s="83"/>
      <x:c r="F107" s="85"/>
      <x:c r="G107" s="178"/>
      <x:c r="H107" s="83"/>
      <x:c r="I107" s="83"/>
      <x:c r="J107" s="83"/>
      <x:c r="K107" s="83"/>
      <x:c r="L107" s="83"/>
      <x:c r="M107" s="83"/>
    </x:row>
    <x:row r="108">
      <x:c r="A108" s="83"/>
      <x:c r="B108" s="84"/>
      <x:c r="C108" s="83"/>
      <x:c r="D108" s="83"/>
      <x:c r="E108" s="83"/>
      <x:c r="F108" s="85"/>
      <x:c r="G108" s="178"/>
      <x:c r="H108" s="83"/>
      <x:c r="I108" s="83"/>
      <x:c r="J108" s="83"/>
      <x:c r="K108" s="83"/>
      <x:c r="L108" s="83"/>
      <x:c r="M108" s="83"/>
    </x:row>
    <x:row r="109">
      <x:c r="A109" s="83"/>
      <x:c r="B109" s="84"/>
      <x:c r="C109" s="83"/>
      <x:c r="D109" s="83"/>
      <x:c r="E109" s="83"/>
      <x:c r="F109" s="85"/>
      <x:c r="G109" s="178"/>
      <x:c r="H109" s="83"/>
      <x:c r="I109" s="83"/>
      <x:c r="J109" s="83"/>
      <x:c r="K109" s="83"/>
      <x:c r="L109" s="83"/>
      <x:c r="M109" s="83"/>
    </x:row>
    <x:row r="110">
      <x:c r="A110" s="83"/>
      <x:c r="B110" s="84"/>
      <x:c r="C110" s="83"/>
      <x:c r="D110" s="83"/>
      <x:c r="E110" s="83"/>
      <x:c r="F110" s="85"/>
      <x:c r="G110" s="178"/>
      <x:c r="H110" s="83"/>
      <x:c r="I110" s="83"/>
      <x:c r="J110" s="83"/>
      <x:c r="K110" s="83"/>
      <x:c r="L110" s="83"/>
      <x:c r="M110" s="83"/>
    </x:row>
    <x:row r="111">
      <x:c r="A111" s="83"/>
      <x:c r="B111" s="84"/>
      <x:c r="C111" s="83"/>
      <x:c r="D111" s="83"/>
      <x:c r="E111" s="83"/>
      <x:c r="F111" s="85"/>
      <x:c r="G111" s="178"/>
      <x:c r="H111" s="83"/>
      <x:c r="I111" s="83"/>
      <x:c r="J111" s="83"/>
      <x:c r="K111" s="83"/>
      <x:c r="L111" s="83"/>
      <x:c r="M111" s="83"/>
    </x:row>
    <x:row r="112">
      <x:c r="A112" s="83"/>
      <x:c r="B112" s="84"/>
      <x:c r="C112" s="83"/>
      <x:c r="D112" s="83"/>
      <x:c r="E112" s="83"/>
      <x:c r="F112" s="85"/>
      <x:c r="G112" s="178"/>
      <x:c r="H112" s="83"/>
      <x:c r="I112" s="83"/>
      <x:c r="J112" s="83"/>
      <x:c r="K112" s="83"/>
      <x:c r="L112" s="83"/>
      <x:c r="M112" s="83"/>
    </x:row>
    <x:row r="113">
      <x:c r="A113" s="83"/>
      <x:c r="B113" s="84"/>
      <x:c r="C113" s="83"/>
      <x:c r="D113" s="83"/>
      <x:c r="E113" s="83"/>
      <x:c r="F113" s="85"/>
      <x:c r="G113" s="178"/>
      <x:c r="H113" s="83"/>
      <x:c r="I113" s="83"/>
      <x:c r="J113" s="83"/>
      <x:c r="K113" s="83"/>
      <x:c r="L113" s="83"/>
      <x:c r="M113" s="83"/>
    </x:row>
    <x:row r="114">
      <x:c r="A114" s="83"/>
      <x:c r="B114" s="84"/>
      <x:c r="C114" s="83"/>
      <x:c r="D114" s="83"/>
      <x:c r="E114" s="83"/>
      <x:c r="F114" s="85"/>
      <x:c r="G114" s="178"/>
      <x:c r="H114" s="83"/>
      <x:c r="I114" s="83"/>
      <x:c r="J114" s="83"/>
      <x:c r="K114" s="83"/>
      <x:c r="L114" s="83"/>
      <x:c r="M114" s="83"/>
    </x:row>
    <x:row r="115">
      <x:c r="A115" s="83"/>
      <x:c r="B115" s="84"/>
      <x:c r="C115" s="83"/>
      <x:c r="D115" s="83"/>
      <x:c r="E115" s="83"/>
      <x:c r="F115" s="85"/>
      <x:c r="G115" s="178"/>
      <x:c r="H115" s="83"/>
      <x:c r="I115" s="83"/>
      <x:c r="J115" s="83"/>
      <x:c r="K115" s="83"/>
      <x:c r="L115" s="83"/>
      <x:c r="M115" s="83"/>
    </x:row>
    <x:row r="116">
      <x:c r="A116" s="83"/>
      <x:c r="B116" s="84"/>
      <x:c r="C116" s="83"/>
      <x:c r="D116" s="83"/>
      <x:c r="E116" s="83"/>
      <x:c r="F116" s="85"/>
      <x:c r="G116" s="178"/>
      <x:c r="H116" s="83"/>
      <x:c r="I116" s="83"/>
      <x:c r="J116" s="83"/>
      <x:c r="K116" s="83"/>
      <x:c r="L116" s="83"/>
      <x:c r="M116" s="83"/>
    </x:row>
    <x:row r="117">
      <x:c r="A117" s="83"/>
      <x:c r="B117" s="84"/>
      <x:c r="C117" s="83"/>
      <x:c r="D117" s="83"/>
      <x:c r="E117" s="83"/>
      <x:c r="F117" s="85"/>
      <x:c r="G117" s="178"/>
      <x:c r="H117" s="83"/>
      <x:c r="I117" s="83"/>
      <x:c r="J117" s="83"/>
      <x:c r="K117" s="83"/>
      <x:c r="L117" s="83"/>
      <x:c r="M117" s="83"/>
    </x:row>
    <x:row r="118">
      <x:c r="A118" s="83"/>
      <x:c r="B118" s="84"/>
      <x:c r="C118" s="83"/>
      <x:c r="D118" s="83"/>
      <x:c r="E118" s="83"/>
      <x:c r="F118" s="85"/>
      <x:c r="G118" s="178"/>
      <x:c r="H118" s="83"/>
      <x:c r="I118" s="83"/>
      <x:c r="J118" s="83"/>
      <x:c r="K118" s="83"/>
      <x:c r="L118" s="83"/>
      <x:c r="M118" s="83"/>
    </x:row>
    <x:row r="119">
      <x:c r="A119" s="83"/>
      <x:c r="B119" s="84"/>
      <x:c r="C119" s="83"/>
      <x:c r="D119" s="83"/>
      <x:c r="E119" s="83"/>
      <x:c r="F119" s="85"/>
      <x:c r="G119" s="178"/>
      <x:c r="H119" s="83"/>
      <x:c r="I119" s="83"/>
      <x:c r="J119" s="83"/>
      <x:c r="K119" s="83"/>
      <x:c r="L119" s="83"/>
      <x:c r="M119" s="83"/>
    </x:row>
    <x:row r="120">
      <x:c r="A120" s="83"/>
      <x:c r="B120" s="84"/>
      <x:c r="C120" s="83"/>
      <x:c r="D120" s="83"/>
      <x:c r="E120" s="83"/>
      <x:c r="F120" s="85"/>
      <x:c r="G120" s="178"/>
      <x:c r="H120" s="83"/>
      <x:c r="I120" s="83"/>
      <x:c r="J120" s="83"/>
      <x:c r="K120" s="83"/>
      <x:c r="L120" s="83"/>
      <x:c r="M120" s="83"/>
    </x:row>
    <x:row r="121">
      <x:c r="A121" s="83"/>
      <x:c r="B121" s="84"/>
      <x:c r="C121" s="83"/>
      <x:c r="D121" s="83"/>
      <x:c r="E121" s="83"/>
      <x:c r="F121" s="85"/>
      <x:c r="G121" s="178"/>
      <x:c r="H121" s="83"/>
      <x:c r="I121" s="83"/>
      <x:c r="J121" s="83"/>
      <x:c r="K121" s="83"/>
      <x:c r="L121" s="83"/>
      <x:c r="M121" s="83"/>
    </x:row>
    <x:row r="122">
      <x:c r="A122" s="83"/>
      <x:c r="B122" s="84"/>
      <x:c r="C122" s="83"/>
      <x:c r="D122" s="83"/>
      <x:c r="E122" s="83"/>
      <x:c r="F122" s="85"/>
      <x:c r="G122" s="178"/>
      <x:c r="H122" s="83"/>
      <x:c r="I122" s="83"/>
      <x:c r="J122" s="83"/>
      <x:c r="K122" s="83"/>
      <x:c r="L122" s="83"/>
      <x:c r="M122" s="83"/>
    </x:row>
    <x:row r="123">
      <x:c r="A123" s="83"/>
      <x:c r="B123" s="84"/>
      <x:c r="C123" s="83"/>
      <x:c r="D123" s="83"/>
      <x:c r="E123" s="83"/>
      <x:c r="F123" s="85"/>
      <x:c r="G123" s="178"/>
      <x:c r="H123" s="83"/>
      <x:c r="I123" s="83"/>
      <x:c r="J123" s="83"/>
      <x:c r="K123" s="83"/>
      <x:c r="L123" s="83"/>
      <x:c r="M123" s="83"/>
    </x:row>
    <x:row r="124">
      <x:c r="A124" s="83"/>
      <x:c r="B124" s="84"/>
      <x:c r="C124" s="83"/>
      <x:c r="D124" s="83"/>
      <x:c r="E124" s="83"/>
      <x:c r="F124" s="85"/>
      <x:c r="G124" s="178"/>
      <x:c r="H124" s="83"/>
      <x:c r="I124" s="83"/>
      <x:c r="J124" s="83"/>
      <x:c r="K124" s="83"/>
      <x:c r="L124" s="83"/>
      <x:c r="M124" s="83"/>
    </x:row>
    <x:row r="125">
      <x:c r="A125" s="83"/>
      <x:c r="B125" s="84"/>
      <x:c r="C125" s="83"/>
      <x:c r="D125" s="83"/>
      <x:c r="E125" s="83"/>
      <x:c r="F125" s="85"/>
      <x:c r="G125" s="178"/>
      <x:c r="H125" s="83"/>
      <x:c r="I125" s="83"/>
      <x:c r="J125" s="83"/>
      <x:c r="K125" s="83"/>
      <x:c r="L125" s="83"/>
      <x:c r="M125" s="83"/>
    </x:row>
    <x:row r="126">
      <x:c r="A126" s="83"/>
      <x:c r="B126" s="84"/>
      <x:c r="C126" s="83"/>
      <x:c r="D126" s="83"/>
      <x:c r="E126" s="83"/>
      <x:c r="F126" s="85"/>
      <x:c r="G126" s="178"/>
      <x:c r="H126" s="83"/>
      <x:c r="I126" s="83"/>
      <x:c r="J126" s="83"/>
      <x:c r="K126" s="83"/>
      <x:c r="L126" s="83"/>
      <x:c r="M126" s="83"/>
    </x:row>
    <x:row r="127">
      <x:c r="A127" s="83"/>
      <x:c r="B127" s="84"/>
      <x:c r="C127" s="83"/>
      <x:c r="D127" s="83"/>
      <x:c r="E127" s="83"/>
      <x:c r="F127" s="85"/>
      <x:c r="G127" s="178"/>
      <x:c r="H127" s="83"/>
      <x:c r="I127" s="83"/>
      <x:c r="J127" s="83"/>
      <x:c r="K127" s="83"/>
      <x:c r="L127" s="83"/>
      <x:c r="M127" s="83"/>
    </x:row>
    <x:row r="128">
      <x:c r="A128" s="83"/>
      <x:c r="B128" s="84"/>
      <x:c r="C128" s="83"/>
      <x:c r="D128" s="83"/>
      <x:c r="E128" s="83"/>
      <x:c r="F128" s="85"/>
      <x:c r="G128" s="178"/>
      <x:c r="H128" s="83"/>
      <x:c r="I128" s="83"/>
      <x:c r="J128" s="83"/>
      <x:c r="K128" s="83"/>
      <x:c r="L128" s="83"/>
      <x:c r="M128" s="83"/>
    </x:row>
    <x:row r="129">
      <x:c r="A129" s="83"/>
      <x:c r="B129" s="84"/>
      <x:c r="C129" s="83"/>
      <x:c r="D129" s="83"/>
      <x:c r="E129" s="83"/>
      <x:c r="F129" s="85"/>
      <x:c r="G129" s="178"/>
      <x:c r="H129" s="83"/>
      <x:c r="I129" s="83"/>
      <x:c r="J129" s="83"/>
      <x:c r="K129" s="83"/>
      <x:c r="L129" s="83"/>
      <x:c r="M129" s="83"/>
    </x:row>
    <x:row r="130">
      <x:c r="A130" s="83"/>
      <x:c r="B130" s="84"/>
      <x:c r="C130" s="83"/>
      <x:c r="D130" s="83"/>
      <x:c r="E130" s="83"/>
      <x:c r="F130" s="85"/>
      <x:c r="G130" s="178"/>
      <x:c r="H130" s="83"/>
      <x:c r="I130" s="83"/>
      <x:c r="J130" s="83"/>
      <x:c r="K130" s="83"/>
      <x:c r="L130" s="83"/>
      <x:c r="M130" s="83"/>
    </x:row>
    <x:row r="131">
      <x:c r="A131" s="83"/>
      <x:c r="B131" s="84"/>
      <x:c r="C131" s="83"/>
      <x:c r="D131" s="83"/>
      <x:c r="E131" s="83"/>
      <x:c r="F131" s="85"/>
      <x:c r="G131" s="178"/>
      <x:c r="H131" s="83"/>
      <x:c r="I131" s="83"/>
      <x:c r="J131" s="83"/>
      <x:c r="K131" s="83"/>
      <x:c r="L131" s="83"/>
      <x:c r="M131" s="83"/>
    </x:row>
    <x:row r="132">
      <x:c r="A132" s="83"/>
      <x:c r="B132" s="84"/>
      <x:c r="C132" s="83"/>
      <x:c r="D132" s="83"/>
      <x:c r="E132" s="83"/>
      <x:c r="F132" s="85"/>
      <x:c r="G132" s="178"/>
      <x:c r="H132" s="83"/>
      <x:c r="I132" s="83"/>
      <x:c r="J132" s="83"/>
      <x:c r="K132" s="83"/>
      <x:c r="L132" s="83"/>
      <x:c r="M132" s="83"/>
    </x:row>
    <x:row r="133">
      <x:c r="A133" s="83"/>
      <x:c r="B133" s="84"/>
      <x:c r="C133" s="83"/>
      <x:c r="D133" s="83"/>
      <x:c r="E133" s="83"/>
      <x:c r="F133" s="85"/>
      <x:c r="G133" s="178"/>
      <x:c r="H133" s="83"/>
      <x:c r="I133" s="83"/>
      <x:c r="J133" s="83"/>
      <x:c r="K133" s="83"/>
      <x:c r="L133" s="83"/>
      <x:c r="M133" s="83"/>
    </x:row>
    <x:row r="134">
      <x:c r="A134" s="83"/>
      <x:c r="B134" s="84"/>
      <x:c r="C134" s="83"/>
      <x:c r="D134" s="83"/>
      <x:c r="E134" s="83"/>
      <x:c r="F134" s="85"/>
      <x:c r="G134" s="178"/>
      <x:c r="H134" s="83"/>
      <x:c r="I134" s="83"/>
      <x:c r="J134" s="83"/>
      <x:c r="K134" s="83"/>
      <x:c r="L134" s="83"/>
      <x:c r="M134" s="83"/>
    </x:row>
    <x:row r="135">
      <x:c r="A135" s="83"/>
      <x:c r="B135" s="84"/>
      <x:c r="C135" s="83"/>
      <x:c r="D135" s="83"/>
      <x:c r="E135" s="83"/>
      <x:c r="F135" s="85"/>
      <x:c r="G135" s="178"/>
      <x:c r="H135" s="83"/>
      <x:c r="I135" s="83"/>
      <x:c r="J135" s="83"/>
      <x:c r="K135" s="83"/>
      <x:c r="L135" s="83"/>
      <x:c r="M135" s="83"/>
    </x:row>
    <x:row r="136">
      <x:c r="A136" s="83"/>
      <x:c r="B136" s="84"/>
      <x:c r="C136" s="83"/>
      <x:c r="D136" s="83"/>
      <x:c r="E136" s="83"/>
      <x:c r="F136" s="85"/>
      <x:c r="G136" s="178"/>
      <x:c r="H136" s="83"/>
      <x:c r="I136" s="83"/>
      <x:c r="J136" s="83"/>
      <x:c r="K136" s="83"/>
      <x:c r="L136" s="83"/>
      <x:c r="M136" s="83"/>
    </x:row>
    <x:row r="137">
      <x:c r="A137" s="83"/>
      <x:c r="B137" s="84"/>
      <x:c r="C137" s="83"/>
      <x:c r="D137" s="83"/>
      <x:c r="E137" s="83"/>
      <x:c r="F137" s="85"/>
      <x:c r="G137" s="178"/>
      <x:c r="H137" s="83"/>
      <x:c r="I137" s="83"/>
      <x:c r="J137" s="83"/>
      <x:c r="K137" s="83"/>
      <x:c r="L137" s="83"/>
      <x:c r="M137" s="83"/>
    </x:row>
    <x:row r="138">
      <x:c r="A138" s="83"/>
      <x:c r="B138" s="84"/>
      <x:c r="C138" s="83"/>
      <x:c r="D138" s="83"/>
      <x:c r="E138" s="83"/>
      <x:c r="F138" s="85"/>
      <x:c r="G138" s="178"/>
      <x:c r="H138" s="83"/>
      <x:c r="I138" s="83"/>
      <x:c r="J138" s="83"/>
      <x:c r="K138" s="83"/>
      <x:c r="L138" s="83"/>
      <x:c r="M138" s="83"/>
    </x:row>
    <x:row r="139">
      <x:c r="A139" s="83"/>
      <x:c r="B139" s="84"/>
      <x:c r="C139" s="83"/>
      <x:c r="D139" s="83"/>
      <x:c r="E139" s="83"/>
      <x:c r="F139" s="85"/>
      <x:c r="G139" s="178"/>
      <x:c r="H139" s="83"/>
      <x:c r="I139" s="83"/>
      <x:c r="J139" s="83"/>
      <x:c r="K139" s="83"/>
      <x:c r="L139" s="83"/>
      <x:c r="M139" s="83"/>
    </x:row>
    <x:row r="140">
      <x:c r="A140" s="83"/>
      <x:c r="B140" s="84"/>
      <x:c r="C140" s="83"/>
      <x:c r="D140" s="83"/>
      <x:c r="E140" s="83"/>
      <x:c r="F140" s="85"/>
      <x:c r="G140" s="178"/>
      <x:c r="H140" s="83"/>
      <x:c r="I140" s="83"/>
      <x:c r="J140" s="83"/>
      <x:c r="K140" s="83"/>
      <x:c r="L140" s="83"/>
      <x:c r="M140" s="83"/>
    </x:row>
    <x:row r="141">
      <x:c r="A141" s="83"/>
      <x:c r="B141" s="84"/>
      <x:c r="C141" s="83"/>
      <x:c r="D141" s="83"/>
      <x:c r="E141" s="83"/>
      <x:c r="F141" s="85"/>
      <x:c r="G141" s="178"/>
      <x:c r="H141" s="83"/>
      <x:c r="I141" s="83"/>
      <x:c r="J141" s="83"/>
      <x:c r="K141" s="83"/>
      <x:c r="L141" s="83"/>
      <x:c r="M141" s="83"/>
    </x:row>
    <x:row r="142">
      <x:c r="A142" s="83"/>
      <x:c r="B142" s="84"/>
      <x:c r="C142" s="83"/>
      <x:c r="D142" s="83"/>
      <x:c r="E142" s="83"/>
      <x:c r="F142" s="85"/>
      <x:c r="G142" s="178"/>
      <x:c r="H142" s="83"/>
      <x:c r="I142" s="83"/>
      <x:c r="J142" s="83"/>
      <x:c r="K142" s="83"/>
      <x:c r="L142" s="83"/>
      <x:c r="M142" s="83"/>
    </x:row>
    <x:row r="143">
      <x:c r="A143" s="83"/>
      <x:c r="B143" s="84"/>
      <x:c r="C143" s="83"/>
      <x:c r="D143" s="83"/>
      <x:c r="E143" s="83"/>
      <x:c r="F143" s="85"/>
      <x:c r="G143" s="178"/>
      <x:c r="H143" s="83"/>
      <x:c r="I143" s="83"/>
      <x:c r="J143" s="83"/>
      <x:c r="K143" s="83"/>
      <x:c r="L143" s="83"/>
      <x:c r="M143" s="83"/>
    </x:row>
    <x:row r="144">
      <x:c r="A144" s="83"/>
      <x:c r="B144" s="84"/>
      <x:c r="C144" s="83"/>
      <x:c r="D144" s="83"/>
      <x:c r="E144" s="83"/>
      <x:c r="F144" s="85"/>
      <x:c r="G144" s="178"/>
      <x:c r="H144" s="83"/>
      <x:c r="I144" s="83"/>
      <x:c r="J144" s="83"/>
      <x:c r="K144" s="83"/>
      <x:c r="L144" s="83"/>
      <x:c r="M144" s="83"/>
    </x:row>
    <x:row r="145">
      <x:c r="A145" s="83"/>
      <x:c r="B145" s="84"/>
      <x:c r="C145" s="83"/>
      <x:c r="D145" s="83"/>
      <x:c r="E145" s="83"/>
      <x:c r="F145" s="85"/>
      <x:c r="G145" s="178"/>
      <x:c r="H145" s="83"/>
      <x:c r="I145" s="83"/>
      <x:c r="J145" s="83"/>
      <x:c r="K145" s="83"/>
      <x:c r="L145" s="83"/>
      <x:c r="M145" s="83"/>
    </x:row>
    <x:row r="146">
      <x:c r="A146" s="83"/>
      <x:c r="B146" s="84"/>
      <x:c r="C146" s="83"/>
      <x:c r="D146" s="83"/>
      <x:c r="E146" s="83"/>
      <x:c r="F146" s="85"/>
      <x:c r="G146" s="178"/>
      <x:c r="H146" s="83"/>
      <x:c r="I146" s="83"/>
      <x:c r="J146" s="83"/>
      <x:c r="K146" s="83"/>
      <x:c r="L146" s="83"/>
      <x:c r="M146" s="83"/>
    </x:row>
    <x:row r="147">
      <x:c r="A147" s="83"/>
      <x:c r="B147" s="84"/>
      <x:c r="C147" s="83"/>
      <x:c r="D147" s="83"/>
      <x:c r="E147" s="83"/>
      <x:c r="F147" s="85"/>
      <x:c r="G147" s="178"/>
      <x:c r="H147" s="83"/>
      <x:c r="I147" s="83"/>
      <x:c r="J147" s="83"/>
      <x:c r="K147" s="83"/>
      <x:c r="L147" s="83"/>
      <x:c r="M147" s="83"/>
    </x:row>
    <x:row r="148">
      <x:c r="A148" s="83"/>
      <x:c r="B148" s="84"/>
      <x:c r="C148" s="83"/>
      <x:c r="D148" s="83"/>
      <x:c r="E148" s="83"/>
      <x:c r="F148" s="85"/>
      <x:c r="G148" s="178"/>
      <x:c r="H148" s="83"/>
      <x:c r="I148" s="83"/>
      <x:c r="J148" s="83"/>
      <x:c r="K148" s="83"/>
      <x:c r="L148" s="83"/>
      <x:c r="M148" s="83"/>
    </x:row>
    <x:row r="149">
      <x:c r="A149" s="83"/>
      <x:c r="B149" s="84"/>
      <x:c r="C149" s="83"/>
      <x:c r="D149" s="83"/>
      <x:c r="E149" s="83"/>
      <x:c r="F149" s="85"/>
      <x:c r="G149" s="178"/>
      <x:c r="H149" s="83"/>
      <x:c r="I149" s="83"/>
      <x:c r="J149" s="83"/>
      <x:c r="K149" s="83"/>
      <x:c r="L149" s="83"/>
      <x:c r="M149" s="83"/>
    </x:row>
    <x:row r="150">
      <x:c r="A150" s="83"/>
      <x:c r="B150" s="84"/>
      <x:c r="C150" s="83"/>
      <x:c r="D150" s="83"/>
      <x:c r="E150" s="83"/>
      <x:c r="F150" s="85"/>
      <x:c r="G150" s="178"/>
      <x:c r="H150" s="83"/>
      <x:c r="I150" s="83"/>
      <x:c r="J150" s="83"/>
      <x:c r="K150" s="83"/>
      <x:c r="L150" s="83"/>
      <x:c r="M150" s="83"/>
    </x:row>
    <x:row r="151">
      <x:c r="A151" s="83"/>
      <x:c r="B151" s="84"/>
      <x:c r="C151" s="83"/>
      <x:c r="D151" s="83"/>
      <x:c r="E151" s="83"/>
      <x:c r="F151" s="85"/>
      <x:c r="G151" s="178"/>
      <x:c r="H151" s="83"/>
      <x:c r="I151" s="83"/>
      <x:c r="J151" s="83"/>
      <x:c r="K151" s="83"/>
      <x:c r="L151" s="83"/>
      <x:c r="M151" s="83"/>
    </x:row>
    <x:row r="152">
      <x:c r="A152" s="83"/>
      <x:c r="B152" s="84"/>
      <x:c r="C152" s="83"/>
      <x:c r="D152" s="83"/>
      <x:c r="E152" s="83"/>
      <x:c r="F152" s="85"/>
      <x:c r="G152" s="178"/>
      <x:c r="H152" s="83"/>
      <x:c r="I152" s="83"/>
      <x:c r="J152" s="83"/>
      <x:c r="K152" s="83"/>
      <x:c r="L152" s="83"/>
      <x:c r="M152" s="83"/>
    </x:row>
    <x:row r="153">
      <x:c r="A153" s="83"/>
      <x:c r="B153" s="84"/>
      <x:c r="C153" s="83"/>
      <x:c r="D153" s="83"/>
      <x:c r="E153" s="83"/>
      <x:c r="F153" s="85"/>
      <x:c r="G153" s="178"/>
      <x:c r="H153" s="83"/>
      <x:c r="I153" s="83"/>
      <x:c r="J153" s="83"/>
      <x:c r="K153" s="83"/>
      <x:c r="L153" s="83"/>
      <x:c r="M153" s="83"/>
    </x:row>
    <x:row r="154">
      <x:c r="A154" s="83"/>
      <x:c r="B154" s="84"/>
      <x:c r="C154" s="83"/>
      <x:c r="D154" s="83"/>
      <x:c r="E154" s="83"/>
      <x:c r="F154" s="85"/>
      <x:c r="G154" s="178"/>
      <x:c r="H154" s="83"/>
      <x:c r="I154" s="83"/>
      <x:c r="J154" s="83"/>
      <x:c r="K154" s="83"/>
      <x:c r="L154" s="83"/>
      <x:c r="M154" s="83"/>
    </x:row>
    <x:row r="155">
      <x:c r="A155" s="83"/>
      <x:c r="B155" s="84"/>
      <x:c r="C155" s="83"/>
      <x:c r="D155" s="83"/>
      <x:c r="E155" s="83"/>
      <x:c r="F155" s="85"/>
      <x:c r="G155" s="178"/>
      <x:c r="H155" s="83"/>
      <x:c r="I155" s="83"/>
      <x:c r="J155" s="83"/>
      <x:c r="K155" s="83"/>
      <x:c r="L155" s="83"/>
      <x:c r="M155" s="83"/>
    </x:row>
    <x:row r="156">
      <x:c r="A156" s="83"/>
      <x:c r="B156" s="84"/>
      <x:c r="C156" s="83"/>
      <x:c r="D156" s="83"/>
      <x:c r="E156" s="83"/>
      <x:c r="F156" s="85"/>
      <x:c r="G156" s="178"/>
      <x:c r="H156" s="83"/>
      <x:c r="I156" s="83"/>
      <x:c r="J156" s="83"/>
      <x:c r="K156" s="83"/>
      <x:c r="L156" s="83"/>
      <x:c r="M156" s="83"/>
    </x:row>
    <x:row r="157">
      <x:c r="A157" s="83"/>
      <x:c r="B157" s="84"/>
      <x:c r="C157" s="83"/>
      <x:c r="D157" s="83"/>
      <x:c r="E157" s="83"/>
      <x:c r="F157" s="85"/>
      <x:c r="G157" s="178"/>
      <x:c r="H157" s="83"/>
      <x:c r="I157" s="83"/>
      <x:c r="J157" s="83"/>
      <x:c r="K157" s="83"/>
      <x:c r="L157" s="83"/>
      <x:c r="M157" s="83"/>
    </x:row>
    <x:row r="158">
      <x:c r="A158" s="83"/>
      <x:c r="B158" s="84"/>
      <x:c r="C158" s="83"/>
      <x:c r="D158" s="83"/>
      <x:c r="E158" s="83"/>
      <x:c r="F158" s="85"/>
      <x:c r="G158" s="178"/>
      <x:c r="H158" s="83"/>
      <x:c r="I158" s="83"/>
      <x:c r="J158" s="83"/>
      <x:c r="K158" s="83"/>
      <x:c r="L158" s="83"/>
      <x:c r="M158" s="83"/>
    </x:row>
    <x:row r="159">
      <x:c r="A159" s="83"/>
      <x:c r="B159" s="84"/>
      <x:c r="C159" s="83"/>
      <x:c r="D159" s="83"/>
      <x:c r="E159" s="83"/>
      <x:c r="F159" s="85"/>
      <x:c r="G159" s="178"/>
      <x:c r="H159" s="83"/>
      <x:c r="I159" s="83"/>
      <x:c r="J159" s="83"/>
      <x:c r="K159" s="83"/>
      <x:c r="L159" s="83"/>
      <x:c r="M159" s="83"/>
    </x:row>
    <x:row r="160">
      <x:c r="A160" s="83"/>
      <x:c r="B160" s="84"/>
      <x:c r="C160" s="83"/>
      <x:c r="D160" s="83"/>
      <x:c r="E160" s="83"/>
      <x:c r="F160" s="85"/>
      <x:c r="G160" s="178"/>
      <x:c r="H160" s="83"/>
      <x:c r="I160" s="83"/>
      <x:c r="J160" s="83"/>
      <x:c r="K160" s="83"/>
      <x:c r="L160" s="83"/>
      <x:c r="M160" s="83"/>
    </x:row>
    <x:row r="161">
      <x:c r="A161" s="83"/>
      <x:c r="B161" s="84"/>
      <x:c r="C161" s="83"/>
      <x:c r="D161" s="83"/>
      <x:c r="E161" s="83"/>
      <x:c r="F161" s="85"/>
      <x:c r="G161" s="178"/>
      <x:c r="H161" s="83"/>
      <x:c r="I161" s="83"/>
      <x:c r="J161" s="83"/>
      <x:c r="K161" s="83"/>
      <x:c r="L161" s="83"/>
      <x:c r="M161" s="83"/>
    </x:row>
    <x:row r="162">
      <x:c r="A162" s="83"/>
      <x:c r="B162" s="84"/>
      <x:c r="C162" s="83"/>
      <x:c r="D162" s="83"/>
      <x:c r="E162" s="83"/>
      <x:c r="F162" s="85"/>
      <x:c r="G162" s="178"/>
      <x:c r="H162" s="83"/>
      <x:c r="I162" s="83"/>
      <x:c r="J162" s="83"/>
      <x:c r="K162" s="83"/>
      <x:c r="L162" s="83"/>
      <x:c r="M162" s="83"/>
    </x:row>
    <x:row r="163">
      <x:c r="A163" s="83"/>
      <x:c r="B163" s="84"/>
      <x:c r="C163" s="83"/>
      <x:c r="D163" s="83"/>
      <x:c r="E163" s="83"/>
      <x:c r="F163" s="85"/>
      <x:c r="G163" s="178"/>
      <x:c r="H163" s="83"/>
      <x:c r="I163" s="83"/>
      <x:c r="J163" s="83"/>
      <x:c r="K163" s="83"/>
      <x:c r="L163" s="83"/>
      <x:c r="M163" s="83"/>
    </x:row>
    <x:row r="164">
      <x:c r="A164" s="83"/>
      <x:c r="B164" s="84"/>
      <x:c r="C164" s="83"/>
      <x:c r="D164" s="83"/>
      <x:c r="E164" s="83"/>
      <x:c r="F164" s="85"/>
      <x:c r="G164" s="178"/>
      <x:c r="H164" s="83"/>
      <x:c r="I164" s="83"/>
      <x:c r="J164" s="83"/>
      <x:c r="K164" s="83"/>
      <x:c r="L164" s="83"/>
      <x:c r="M164" s="83"/>
    </x:row>
    <x:row r="165">
      <x:c r="A165" s="83"/>
      <x:c r="B165" s="84"/>
      <x:c r="C165" s="83"/>
      <x:c r="D165" s="83"/>
      <x:c r="E165" s="83"/>
      <x:c r="F165" s="85"/>
      <x:c r="G165" s="178"/>
      <x:c r="H165" s="83"/>
      <x:c r="I165" s="83"/>
      <x:c r="J165" s="83"/>
      <x:c r="K165" s="83"/>
      <x:c r="L165" s="83"/>
      <x:c r="M165" s="83"/>
    </x:row>
    <x:row r="166">
      <x:c r="A166" s="83"/>
      <x:c r="B166" s="84"/>
      <x:c r="C166" s="83"/>
      <x:c r="D166" s="83"/>
      <x:c r="E166" s="83"/>
      <x:c r="F166" s="85"/>
      <x:c r="G166" s="178"/>
      <x:c r="H166" s="83"/>
      <x:c r="I166" s="83"/>
      <x:c r="J166" s="83"/>
      <x:c r="K166" s="83"/>
      <x:c r="L166" s="83"/>
      <x:c r="M166" s="83"/>
    </x:row>
    <x:row r="167">
      <x:c r="A167" s="83"/>
      <x:c r="B167" s="84"/>
      <x:c r="C167" s="83"/>
      <x:c r="D167" s="83"/>
      <x:c r="E167" s="83"/>
      <x:c r="F167" s="85"/>
      <x:c r="G167" s="178"/>
      <x:c r="H167" s="83"/>
      <x:c r="I167" s="83"/>
      <x:c r="J167" s="83"/>
      <x:c r="K167" s="83"/>
      <x:c r="L167" s="83"/>
      <x:c r="M167" s="83"/>
    </x:row>
    <x:row r="168">
      <x:c r="A168" s="83"/>
      <x:c r="B168" s="84"/>
      <x:c r="C168" s="83"/>
      <x:c r="D168" s="83"/>
      <x:c r="E168" s="83"/>
      <x:c r="F168" s="85"/>
      <x:c r="G168" s="178"/>
      <x:c r="H168" s="83"/>
      <x:c r="I168" s="83"/>
      <x:c r="J168" s="83"/>
      <x:c r="K168" s="83"/>
      <x:c r="L168" s="83"/>
      <x:c r="M168" s="83"/>
    </x:row>
    <x:row r="169">
      <x:c r="A169" s="83"/>
      <x:c r="B169" s="84"/>
      <x:c r="C169" s="83"/>
      <x:c r="D169" s="83"/>
      <x:c r="E169" s="83"/>
      <x:c r="F169" s="85"/>
      <x:c r="G169" s="178"/>
      <x:c r="H169" s="83"/>
      <x:c r="I169" s="83"/>
      <x:c r="J169" s="83"/>
      <x:c r="K169" s="83"/>
      <x:c r="L169" s="83"/>
      <x:c r="M169" s="83"/>
    </x:row>
    <x:row r="170">
      <x:c r="A170" s="83"/>
      <x:c r="B170" s="84"/>
      <x:c r="C170" s="83"/>
      <x:c r="D170" s="83"/>
      <x:c r="E170" s="83"/>
      <x:c r="F170" s="85"/>
      <x:c r="G170" s="178"/>
      <x:c r="H170" s="83"/>
      <x:c r="I170" s="83"/>
      <x:c r="J170" s="83"/>
      <x:c r="K170" s="83"/>
      <x:c r="L170" s="83"/>
      <x:c r="M170" s="83"/>
    </x:row>
    <x:row r="171">
      <x:c r="A171" s="83"/>
      <x:c r="B171" s="84"/>
      <x:c r="C171" s="83"/>
      <x:c r="D171" s="83"/>
      <x:c r="E171" s="83"/>
      <x:c r="F171" s="85"/>
      <x:c r="G171" s="178"/>
      <x:c r="H171" s="83"/>
      <x:c r="I171" s="83"/>
      <x:c r="J171" s="83"/>
      <x:c r="K171" s="83"/>
      <x:c r="L171" s="83"/>
      <x:c r="M171" s="83"/>
    </x:row>
    <x:row r="172">
      <x:c r="A172" s="83"/>
      <x:c r="B172" s="84"/>
      <x:c r="C172" s="83"/>
      <x:c r="D172" s="83"/>
      <x:c r="E172" s="83"/>
      <x:c r="F172" s="85"/>
      <x:c r="G172" s="178"/>
      <x:c r="H172" s="83"/>
      <x:c r="I172" s="83"/>
      <x:c r="J172" s="83"/>
      <x:c r="K172" s="83"/>
      <x:c r="L172" s="83"/>
      <x:c r="M172" s="83"/>
    </x:row>
    <x:row r="173">
      <x:c r="A173" s="83"/>
      <x:c r="B173" s="84"/>
      <x:c r="C173" s="83"/>
      <x:c r="D173" s="83"/>
      <x:c r="E173" s="83"/>
      <x:c r="F173" s="85"/>
      <x:c r="G173" s="178"/>
      <x:c r="H173" s="83"/>
      <x:c r="I173" s="83"/>
      <x:c r="J173" s="83"/>
      <x:c r="K173" s="83"/>
      <x:c r="L173" s="83"/>
      <x:c r="M173" s="83"/>
    </x:row>
    <x:row r="174">
      <x:c r="A174" s="83"/>
      <x:c r="B174" s="84"/>
      <x:c r="C174" s="83"/>
      <x:c r="D174" s="83"/>
      <x:c r="E174" s="83"/>
      <x:c r="F174" s="85"/>
      <x:c r="G174" s="178"/>
      <x:c r="H174" s="83"/>
      <x:c r="I174" s="83"/>
      <x:c r="J174" s="83"/>
      <x:c r="K174" s="83"/>
      <x:c r="L174" s="83"/>
      <x:c r="M174" s="83"/>
    </x:row>
    <x:row r="175">
      <x:c r="A175" s="83"/>
      <x:c r="B175" s="84"/>
      <x:c r="C175" s="83"/>
      <x:c r="D175" s="83"/>
      <x:c r="E175" s="83"/>
      <x:c r="F175" s="85"/>
      <x:c r="G175" s="178"/>
      <x:c r="H175" s="83"/>
      <x:c r="I175" s="83"/>
      <x:c r="J175" s="83"/>
      <x:c r="K175" s="83"/>
      <x:c r="L175" s="83"/>
      <x:c r="M175" s="83"/>
    </x:row>
    <x:row r="176">
      <x:c r="A176" s="83"/>
      <x:c r="B176" s="84"/>
      <x:c r="C176" s="83"/>
      <x:c r="D176" s="83"/>
      <x:c r="E176" s="83"/>
      <x:c r="F176" s="85"/>
      <x:c r="G176" s="178"/>
      <x:c r="H176" s="83"/>
      <x:c r="I176" s="83"/>
      <x:c r="J176" s="83"/>
      <x:c r="K176" s="83"/>
      <x:c r="L176" s="83"/>
      <x:c r="M176" s="83"/>
    </x:row>
    <x:row r="177">
      <x:c r="A177" s="83"/>
      <x:c r="B177" s="84"/>
      <x:c r="C177" s="83"/>
      <x:c r="D177" s="83"/>
      <x:c r="E177" s="83"/>
      <x:c r="F177" s="85"/>
      <x:c r="G177" s="178"/>
      <x:c r="H177" s="83"/>
      <x:c r="I177" s="83"/>
      <x:c r="J177" s="83"/>
      <x:c r="K177" s="83"/>
      <x:c r="L177" s="83"/>
      <x:c r="M177" s="83"/>
    </x:row>
    <x:row r="178">
      <x:c r="A178" s="83"/>
      <x:c r="B178" s="84"/>
      <x:c r="C178" s="83"/>
      <x:c r="D178" s="83"/>
      <x:c r="E178" s="83"/>
      <x:c r="F178" s="85"/>
      <x:c r="G178" s="178"/>
      <x:c r="H178" s="83"/>
      <x:c r="I178" s="83"/>
      <x:c r="J178" s="83"/>
      <x:c r="K178" s="83"/>
      <x:c r="L178" s="83"/>
      <x:c r="M178" s="83"/>
    </x:row>
    <x:row r="179">
      <x:c r="A179" s="83"/>
      <x:c r="B179" s="84"/>
      <x:c r="C179" s="83"/>
      <x:c r="D179" s="83"/>
      <x:c r="E179" s="83"/>
      <x:c r="F179" s="85"/>
      <x:c r="G179" s="178"/>
      <x:c r="H179" s="83"/>
      <x:c r="I179" s="83"/>
      <x:c r="J179" s="83"/>
      <x:c r="K179" s="83"/>
      <x:c r="L179" s="83"/>
      <x:c r="M179" s="83"/>
    </x:row>
    <x:row r="180">
      <x:c r="A180" s="83"/>
      <x:c r="B180" s="84"/>
      <x:c r="C180" s="83"/>
      <x:c r="D180" s="83"/>
      <x:c r="E180" s="83"/>
      <x:c r="F180" s="85"/>
      <x:c r="G180" s="178"/>
      <x:c r="H180" s="83"/>
      <x:c r="I180" s="83"/>
      <x:c r="J180" s="83"/>
      <x:c r="K180" s="83"/>
      <x:c r="L180" s="83"/>
      <x:c r="M180" s="83"/>
    </x:row>
    <x:row r="181">
      <x:c r="A181" s="83"/>
      <x:c r="B181" s="84"/>
      <x:c r="C181" s="83"/>
      <x:c r="D181" s="83"/>
      <x:c r="E181" s="83"/>
      <x:c r="F181" s="85"/>
      <x:c r="G181" s="178"/>
      <x:c r="H181" s="83"/>
      <x:c r="I181" s="83"/>
      <x:c r="J181" s="83"/>
      <x:c r="K181" s="83"/>
      <x:c r="L181" s="83"/>
      <x:c r="M181" s="83"/>
    </x:row>
    <x:row r="182">
      <x:c r="A182" s="83"/>
      <x:c r="B182" s="84"/>
      <x:c r="C182" s="83"/>
      <x:c r="D182" s="83"/>
      <x:c r="E182" s="83"/>
      <x:c r="F182" s="85"/>
      <x:c r="G182" s="178"/>
      <x:c r="H182" s="83"/>
      <x:c r="I182" s="83"/>
      <x:c r="J182" s="83"/>
      <x:c r="K182" s="83"/>
      <x:c r="L182" s="83"/>
      <x:c r="M182" s="83"/>
    </x:row>
    <x:row r="183">
      <x:c r="A183" s="83"/>
      <x:c r="B183" s="84"/>
      <x:c r="C183" s="83"/>
      <x:c r="D183" s="83"/>
      <x:c r="E183" s="83"/>
      <x:c r="F183" s="85"/>
      <x:c r="G183" s="178"/>
      <x:c r="H183" s="83"/>
      <x:c r="I183" s="83"/>
      <x:c r="J183" s="83"/>
      <x:c r="K183" s="83"/>
      <x:c r="L183" s="83"/>
      <x:c r="M183" s="83"/>
    </x:row>
    <x:row r="184">
      <x:c r="A184" s="83"/>
      <x:c r="B184" s="84"/>
      <x:c r="C184" s="83"/>
      <x:c r="D184" s="83"/>
      <x:c r="E184" s="83"/>
      <x:c r="F184" s="85"/>
      <x:c r="G184" s="178"/>
      <x:c r="H184" s="83"/>
      <x:c r="I184" s="83"/>
      <x:c r="J184" s="83"/>
      <x:c r="K184" s="83"/>
      <x:c r="L184" s="83"/>
      <x:c r="M184" s="83"/>
    </x:row>
    <x:row r="185">
      <x:c r="A185" s="83"/>
      <x:c r="B185" s="84"/>
      <x:c r="C185" s="83"/>
      <x:c r="D185" s="83"/>
      <x:c r="E185" s="83"/>
      <x:c r="F185" s="85"/>
      <x:c r="G185" s="178"/>
      <x:c r="H185" s="83"/>
      <x:c r="I185" s="83"/>
      <x:c r="J185" s="83"/>
      <x:c r="K185" s="83"/>
      <x:c r="L185" s="83"/>
      <x:c r="M185" s="83"/>
    </x:row>
    <x:row r="186">
      <x:c r="A186" s="83"/>
      <x:c r="B186" s="84"/>
      <x:c r="C186" s="83"/>
      <x:c r="D186" s="83"/>
      <x:c r="E186" s="83"/>
      <x:c r="F186" s="85"/>
      <x:c r="G186" s="178"/>
      <x:c r="H186" s="83"/>
      <x:c r="I186" s="83"/>
      <x:c r="J186" s="83"/>
      <x:c r="K186" s="83"/>
      <x:c r="L186" s="83"/>
      <x:c r="M186" s="83"/>
    </x:row>
    <x:row r="187">
      <x:c r="A187" s="83"/>
      <x:c r="B187" s="84"/>
      <x:c r="C187" s="83"/>
      <x:c r="D187" s="83"/>
      <x:c r="E187" s="83"/>
      <x:c r="F187" s="85"/>
      <x:c r="G187" s="178"/>
      <x:c r="H187" s="83"/>
      <x:c r="I187" s="83"/>
      <x:c r="J187" s="83"/>
      <x:c r="K187" s="83"/>
      <x:c r="L187" s="83"/>
      <x:c r="M187" s="83"/>
    </x:row>
    <x:row r="188">
      <x:c r="A188" s="83"/>
      <x:c r="B188" s="84"/>
      <x:c r="C188" s="83"/>
      <x:c r="D188" s="83"/>
      <x:c r="E188" s="83"/>
      <x:c r="F188" s="85"/>
      <x:c r="G188" s="178"/>
      <x:c r="H188" s="83"/>
      <x:c r="I188" s="83"/>
      <x:c r="J188" s="83"/>
      <x:c r="K188" s="83"/>
      <x:c r="L188" s="83"/>
      <x:c r="M188" s="83"/>
    </x:row>
    <x:row r="189">
      <x:c r="A189" s="83"/>
      <x:c r="B189" s="84"/>
      <x:c r="C189" s="83"/>
      <x:c r="D189" s="83"/>
      <x:c r="E189" s="83"/>
      <x:c r="F189" s="85"/>
      <x:c r="G189" s="178"/>
      <x:c r="H189" s="83"/>
      <x:c r="I189" s="83"/>
      <x:c r="J189" s="83"/>
      <x:c r="K189" s="83"/>
      <x:c r="L189" s="83"/>
      <x:c r="M189" s="83"/>
    </x:row>
    <x:row r="190">
      <x:c r="A190" s="83"/>
      <x:c r="B190" s="84"/>
      <x:c r="C190" s="83"/>
      <x:c r="D190" s="83"/>
      <x:c r="E190" s="83"/>
      <x:c r="F190" s="85"/>
      <x:c r="G190" s="178"/>
      <x:c r="H190" s="83"/>
      <x:c r="I190" s="83"/>
      <x:c r="J190" s="83"/>
      <x:c r="K190" s="83"/>
      <x:c r="L190" s="83"/>
      <x:c r="M190" s="83"/>
    </x:row>
    <x:row r="191">
      <x:c r="A191" s="83"/>
      <x:c r="B191" s="84"/>
      <x:c r="C191" s="83"/>
      <x:c r="D191" s="83"/>
      <x:c r="E191" s="83"/>
      <x:c r="F191" s="85"/>
      <x:c r="G191" s="178"/>
      <x:c r="H191" s="83"/>
      <x:c r="I191" s="83"/>
      <x:c r="J191" s="83"/>
      <x:c r="K191" s="83"/>
      <x:c r="L191" s="83"/>
      <x:c r="M191" s="83"/>
    </x:row>
    <x:row r="192">
      <x:c r="A192" s="83"/>
      <x:c r="B192" s="84"/>
      <x:c r="C192" s="83"/>
      <x:c r="D192" s="83"/>
      <x:c r="E192" s="83"/>
      <x:c r="F192" s="85"/>
      <x:c r="G192" s="178"/>
      <x:c r="H192" s="83"/>
      <x:c r="I192" s="83"/>
      <x:c r="J192" s="83"/>
      <x:c r="K192" s="83"/>
      <x:c r="L192" s="83"/>
      <x:c r="M192" s="83"/>
    </x:row>
    <x:row r="193">
      <x:c r="A193" s="83"/>
      <x:c r="B193" s="84"/>
      <x:c r="C193" s="83"/>
      <x:c r="D193" s="83"/>
      <x:c r="E193" s="83"/>
      <x:c r="F193" s="85"/>
      <x:c r="G193" s="178"/>
      <x:c r="H193" s="83"/>
      <x:c r="I193" s="83"/>
      <x:c r="J193" s="83"/>
      <x:c r="K193" s="83"/>
      <x:c r="L193" s="83"/>
      <x:c r="M193" s="83"/>
    </x:row>
    <x:row r="194">
      <x:c r="A194" s="83"/>
      <x:c r="B194" s="84"/>
      <x:c r="C194" s="83"/>
      <x:c r="D194" s="83"/>
      <x:c r="E194" s="83"/>
      <x:c r="F194" s="85"/>
      <x:c r="G194" s="178"/>
      <x:c r="H194" s="83"/>
      <x:c r="I194" s="83"/>
      <x:c r="J194" s="83"/>
      <x:c r="K194" s="83"/>
      <x:c r="L194" s="83"/>
      <x:c r="M194" s="83"/>
    </x:row>
    <x:row r="195">
      <x:c r="A195" s="83"/>
      <x:c r="B195" s="84"/>
      <x:c r="C195" s="83"/>
      <x:c r="D195" s="83"/>
      <x:c r="E195" s="83"/>
      <x:c r="F195" s="85"/>
      <x:c r="G195" s="178"/>
      <x:c r="H195" s="83"/>
      <x:c r="I195" s="83"/>
      <x:c r="J195" s="83"/>
      <x:c r="K195" s="83"/>
      <x:c r="L195" s="83"/>
      <x:c r="M195" s="83"/>
    </x:row>
    <x:row r="196">
      <x:c r="A196" s="83"/>
      <x:c r="B196" s="84"/>
      <x:c r="C196" s="83"/>
      <x:c r="D196" s="83"/>
      <x:c r="E196" s="83"/>
      <x:c r="F196" s="85"/>
      <x:c r="G196" s="178"/>
      <x:c r="H196" s="83"/>
      <x:c r="I196" s="83"/>
      <x:c r="J196" s="83"/>
      <x:c r="K196" s="83"/>
      <x:c r="L196" s="83"/>
      <x:c r="M196" s="83"/>
    </x:row>
    <x:row r="197">
      <x:c r="A197" s="83"/>
      <x:c r="B197" s="84"/>
      <x:c r="C197" s="83"/>
      <x:c r="D197" s="83"/>
      <x:c r="E197" s="83"/>
      <x:c r="F197" s="85"/>
      <x:c r="G197" s="178"/>
      <x:c r="H197" s="83"/>
      <x:c r="I197" s="83"/>
      <x:c r="J197" s="83"/>
      <x:c r="K197" s="83"/>
      <x:c r="L197" s="83"/>
      <x:c r="M197" s="83"/>
    </x:row>
    <x:row r="198">
      <x:c r="A198" s="83"/>
      <x:c r="B198" s="84"/>
      <x:c r="C198" s="83"/>
      <x:c r="D198" s="83"/>
      <x:c r="E198" s="83"/>
      <x:c r="F198" s="85"/>
      <x:c r="G198" s="178"/>
      <x:c r="H198" s="83"/>
      <x:c r="I198" s="83"/>
      <x:c r="J198" s="83"/>
      <x:c r="K198" s="83"/>
      <x:c r="L198" s="83"/>
      <x:c r="M198" s="83"/>
    </x:row>
    <x:row r="199">
      <x:c r="A199" s="83"/>
      <x:c r="B199" s="84"/>
      <x:c r="C199" s="83"/>
      <x:c r="D199" s="83"/>
      <x:c r="E199" s="83"/>
      <x:c r="F199" s="85"/>
      <x:c r="G199" s="178"/>
      <x:c r="H199" s="83"/>
      <x:c r="I199" s="83"/>
      <x:c r="J199" s="83"/>
      <x:c r="K199" s="83"/>
      <x:c r="L199" s="83"/>
      <x:c r="M199" s="83"/>
    </x:row>
    <x:row r="200">
      <x:c r="A200" s="83"/>
      <x:c r="B200" s="84"/>
      <x:c r="C200" s="83"/>
      <x:c r="D200" s="83"/>
      <x:c r="E200" s="83"/>
      <x:c r="F200" s="85"/>
      <x:c r="G200" s="178"/>
      <x:c r="H200" s="83"/>
      <x:c r="I200" s="83"/>
      <x:c r="J200" s="83"/>
      <x:c r="K200" s="83"/>
      <x:c r="L200" s="83"/>
      <x:c r="M200" s="83"/>
    </x:row>
    <x:row r="201">
      <x:c r="A201" s="83"/>
      <x:c r="B201" s="84"/>
      <x:c r="C201" s="83"/>
      <x:c r="D201" s="83"/>
      <x:c r="E201" s="83"/>
      <x:c r="F201" s="85"/>
      <x:c r="G201" s="178"/>
      <x:c r="H201" s="83"/>
      <x:c r="I201" s="83"/>
      <x:c r="J201" s="83"/>
      <x:c r="K201" s="83"/>
      <x:c r="L201" s="83"/>
      <x:c r="M201" s="83"/>
    </x:row>
    <x:row r="202">
      <x:c r="A202" s="83"/>
      <x:c r="B202" s="84"/>
      <x:c r="C202" s="83"/>
      <x:c r="D202" s="83"/>
      <x:c r="E202" s="83"/>
      <x:c r="F202" s="85"/>
      <x:c r="G202" s="178"/>
      <x:c r="H202" s="83"/>
      <x:c r="I202" s="83"/>
      <x:c r="J202" s="83"/>
      <x:c r="K202" s="83"/>
      <x:c r="L202" s="83"/>
      <x:c r="M202" s="83"/>
    </x:row>
    <x:row r="203">
      <x:c r="A203" s="83"/>
      <x:c r="B203" s="84"/>
      <x:c r="C203" s="83"/>
      <x:c r="D203" s="83"/>
      <x:c r="E203" s="83"/>
      <x:c r="F203" s="85"/>
      <x:c r="G203" s="178"/>
      <x:c r="H203" s="83"/>
      <x:c r="I203" s="83"/>
      <x:c r="J203" s="83"/>
      <x:c r="K203" s="83"/>
      <x:c r="L203" s="83"/>
      <x:c r="M203" s="83"/>
    </x:row>
    <x:row r="204">
      <x:c r="A204" s="83"/>
      <x:c r="B204" s="84"/>
      <x:c r="C204" s="83"/>
      <x:c r="D204" s="83"/>
      <x:c r="E204" s="83"/>
      <x:c r="F204" s="85"/>
      <x:c r="G204" s="178"/>
      <x:c r="H204" s="83"/>
      <x:c r="I204" s="83"/>
      <x:c r="J204" s="83"/>
      <x:c r="K204" s="83"/>
      <x:c r="L204" s="83"/>
      <x:c r="M204" s="83"/>
    </x:row>
    <x:row r="205">
      <x:c r="A205" s="83"/>
      <x:c r="B205" s="84"/>
      <x:c r="C205" s="83"/>
      <x:c r="D205" s="83"/>
      <x:c r="E205" s="83"/>
      <x:c r="F205" s="85"/>
      <x:c r="G205" s="178"/>
      <x:c r="H205" s="83"/>
      <x:c r="I205" s="83"/>
      <x:c r="J205" s="83"/>
      <x:c r="K205" s="83"/>
      <x:c r="L205" s="83"/>
      <x:c r="M205" s="83"/>
    </x:row>
    <x:row r="206">
      <x:c r="A206" s="83"/>
      <x:c r="B206" s="84"/>
      <x:c r="C206" s="83"/>
      <x:c r="D206" s="83"/>
      <x:c r="E206" s="83"/>
      <x:c r="F206" s="85"/>
      <x:c r="G206" s="178"/>
      <x:c r="H206" s="83"/>
      <x:c r="I206" s="83"/>
      <x:c r="J206" s="83"/>
      <x:c r="K206" s="83"/>
      <x:c r="L206" s="83"/>
      <x:c r="M206" s="83"/>
    </x:row>
    <x:row r="207">
      <x:c r="A207" s="83"/>
      <x:c r="B207" s="84"/>
      <x:c r="C207" s="83"/>
      <x:c r="D207" s="83"/>
      <x:c r="E207" s="83"/>
      <x:c r="F207" s="85"/>
      <x:c r="G207" s="178"/>
      <x:c r="H207" s="83"/>
      <x:c r="I207" s="83"/>
      <x:c r="J207" s="83"/>
      <x:c r="K207" s="83"/>
      <x:c r="L207" s="83"/>
      <x:c r="M207" s="83"/>
    </x:row>
    <x:row r="208">
      <x:c r="A208" s="83"/>
      <x:c r="B208" s="84"/>
      <x:c r="C208" s="83"/>
      <x:c r="D208" s="83"/>
      <x:c r="E208" s="83"/>
      <x:c r="F208" s="85"/>
      <x:c r="G208" s="178"/>
      <x:c r="H208" s="83"/>
      <x:c r="I208" s="83"/>
      <x:c r="J208" s="83"/>
      <x:c r="K208" s="83"/>
      <x:c r="L208" s="83"/>
      <x:c r="M208" s="83"/>
    </x:row>
    <x:row r="209">
      <x:c r="A209" s="83"/>
      <x:c r="B209" s="84"/>
      <x:c r="C209" s="83"/>
      <x:c r="D209" s="83"/>
      <x:c r="E209" s="83"/>
      <x:c r="F209" s="85"/>
      <x:c r="G209" s="178"/>
      <x:c r="H209" s="83"/>
      <x:c r="I209" s="83"/>
      <x:c r="J209" s="83"/>
      <x:c r="K209" s="83"/>
      <x:c r="L209" s="83"/>
      <x:c r="M209" s="83"/>
    </x:row>
    <x:row r="210">
      <x:c r="A210" s="83"/>
      <x:c r="B210" s="84"/>
      <x:c r="C210" s="83"/>
      <x:c r="D210" s="83"/>
      <x:c r="E210" s="83"/>
      <x:c r="F210" s="85"/>
      <x:c r="G210" s="178"/>
      <x:c r="H210" s="83"/>
      <x:c r="I210" s="83"/>
      <x:c r="J210" s="83"/>
      <x:c r="K210" s="83"/>
      <x:c r="L210" s="83"/>
      <x:c r="M210" s="83"/>
    </x:row>
    <x:row r="211">
      <x:c r="A211" s="83"/>
      <x:c r="B211" s="84"/>
      <x:c r="C211" s="83"/>
      <x:c r="D211" s="83"/>
      <x:c r="E211" s="83"/>
      <x:c r="F211" s="85"/>
      <x:c r="G211" s="178"/>
      <x:c r="H211" s="83"/>
      <x:c r="I211" s="83"/>
      <x:c r="J211" s="83"/>
      <x:c r="K211" s="83"/>
      <x:c r="L211" s="83"/>
      <x:c r="M211" s="83"/>
    </x:row>
    <x:row r="212">
      <x:c r="A212" s="83"/>
      <x:c r="B212" s="84"/>
      <x:c r="C212" s="83"/>
      <x:c r="D212" s="83"/>
      <x:c r="E212" s="83"/>
      <x:c r="F212" s="85"/>
      <x:c r="G212" s="178"/>
      <x:c r="H212" s="83"/>
      <x:c r="I212" s="83"/>
      <x:c r="J212" s="83"/>
      <x:c r="K212" s="83"/>
      <x:c r="L212" s="83"/>
      <x:c r="M212" s="83"/>
    </x:row>
    <x:row r="213">
      <x:c r="A213" s="83"/>
      <x:c r="B213" s="84"/>
      <x:c r="C213" s="83"/>
      <x:c r="D213" s="83"/>
      <x:c r="E213" s="83"/>
      <x:c r="F213" s="85"/>
      <x:c r="G213" s="178"/>
      <x:c r="H213" s="83"/>
      <x:c r="I213" s="83"/>
      <x:c r="J213" s="83"/>
      <x:c r="K213" s="83"/>
      <x:c r="L213" s="83"/>
      <x:c r="M213" s="83"/>
    </x:row>
    <x:row r="214">
      <x:c r="A214" s="83"/>
      <x:c r="B214" s="84"/>
      <x:c r="C214" s="83"/>
      <x:c r="D214" s="83"/>
      <x:c r="E214" s="83"/>
      <x:c r="F214" s="85"/>
      <x:c r="G214" s="178"/>
      <x:c r="H214" s="83"/>
      <x:c r="I214" s="83"/>
      <x:c r="J214" s="83"/>
      <x:c r="K214" s="83"/>
      <x:c r="L214" s="83"/>
      <x:c r="M214" s="83"/>
    </x:row>
    <x:row r="215">
      <x:c r="A215" s="83"/>
      <x:c r="B215" s="84"/>
      <x:c r="C215" s="83"/>
      <x:c r="D215" s="83"/>
      <x:c r="E215" s="83"/>
      <x:c r="F215" s="85"/>
      <x:c r="G215" s="178"/>
      <x:c r="H215" s="83"/>
      <x:c r="I215" s="83"/>
      <x:c r="J215" s="83"/>
      <x:c r="K215" s="83"/>
      <x:c r="L215" s="83"/>
      <x:c r="M215" s="83"/>
    </x:row>
    <x:row r="216">
      <x:c r="A216" s="83"/>
      <x:c r="B216" s="84"/>
      <x:c r="C216" s="83"/>
      <x:c r="D216" s="83"/>
      <x:c r="E216" s="83"/>
      <x:c r="F216" s="85"/>
      <x:c r="G216" s="178"/>
      <x:c r="H216" s="83"/>
      <x:c r="I216" s="83"/>
      <x:c r="J216" s="83"/>
      <x:c r="K216" s="83"/>
      <x:c r="L216" s="83"/>
      <x:c r="M216" s="83"/>
    </x:row>
    <x:row r="217">
      <x:c r="A217" s="83"/>
      <x:c r="B217" s="84"/>
      <x:c r="C217" s="83"/>
      <x:c r="D217" s="83"/>
      <x:c r="E217" s="83"/>
      <x:c r="F217" s="85"/>
      <x:c r="G217" s="178"/>
      <x:c r="H217" s="83"/>
      <x:c r="I217" s="83"/>
      <x:c r="J217" s="83"/>
      <x:c r="K217" s="83"/>
      <x:c r="L217" s="83"/>
      <x:c r="M217" s="83"/>
    </x:row>
    <x:row r="218">
      <x:c r="A218" s="83"/>
      <x:c r="B218" s="84"/>
      <x:c r="C218" s="83"/>
      <x:c r="D218" s="83"/>
      <x:c r="E218" s="83"/>
      <x:c r="F218" s="85"/>
      <x:c r="G218" s="178"/>
      <x:c r="H218" s="83"/>
      <x:c r="I218" s="83"/>
      <x:c r="J218" s="83"/>
      <x:c r="K218" s="83"/>
      <x:c r="L218" s="83"/>
      <x:c r="M218" s="83"/>
    </x:row>
    <x:row r="219">
      <x:c r="A219" s="83"/>
      <x:c r="B219" s="84"/>
      <x:c r="C219" s="83"/>
      <x:c r="D219" s="83"/>
      <x:c r="E219" s="83"/>
      <x:c r="F219" s="85"/>
      <x:c r="G219" s="178"/>
      <x:c r="H219" s="83"/>
      <x:c r="I219" s="83"/>
      <x:c r="J219" s="83"/>
      <x:c r="K219" s="83"/>
      <x:c r="L219" s="83"/>
      <x:c r="M219" s="83"/>
    </x:row>
    <x:row r="220">
      <x:c r="A220" s="83"/>
      <x:c r="B220" s="84"/>
      <x:c r="C220" s="83"/>
      <x:c r="D220" s="83"/>
      <x:c r="E220" s="83"/>
      <x:c r="F220" s="85"/>
      <x:c r="G220" s="178"/>
      <x:c r="H220" s="83"/>
      <x:c r="I220" s="83"/>
      <x:c r="J220" s="83"/>
      <x:c r="K220" s="83"/>
      <x:c r="L220" s="83"/>
      <x:c r="M220" s="83"/>
    </x:row>
  </x:sheetData>
  <x:mergeCells>
    <x:mergeCell ref="A1:M1"/>
    <x:mergeCell ref="A2:M2"/>
  </x:mergeCells>
  <x:dataValidations count="1">
    <x:dataValidation type="list" sqref="H5:H220">
      <x:formula1>"Not Started,In Progress,Complete,Blocked,Cancelled"</x:formula1>
    </x:dataValidation>
  </x:dataValidations>
  <x:pageMargins left="0.7" right="0.7" top="0.75" bottom="0.75" header="0.3" footer="0.3"/>
</x:worksheet>
</file>

<file path=xl/worksheets/sheet10.xml><?xml version="1.0" encoding="utf-8"?>
<x:worksheet xmlns:x="http://schemas.openxmlformats.org/spreadsheetml/2006/main">
  <x:sheetFormatPr defaultRowHeight="14.25"/>
  <x:cols>
    <x:col min="1" max="2" width="12" customWidth="1"/>
    <x:col min="3" max="4" width="45" customWidth="1"/>
    <x:col min="5" max="5" width="12" customWidth="1"/>
    <x:col min="6" max="6" width="16" customWidth="1"/>
    <x:col min="7" max="7" width="32" customWidth="1"/>
    <x:col min="8" max="8" width="38" customWidth="1"/>
  </x:cols>
  <x:sheetData>
    <x:row r="1" ht="27.950000762939453" customHeight="1">
      <x:c r="A1" s="234" t="s">
        <x:v>498</x:v>
      </x:c>
      <x:c r="B1" s="235"/>
      <x:c r="C1" s="235"/>
      <x:c r="D1" s="235"/>
      <x:c r="E1" s="235"/>
      <x:c r="F1" s="235"/>
      <x:c r="G1" s="235"/>
      <x:c r="H1" s="235"/>
    </x:row>
    <x:row r="3" ht="15">
      <x:c r="A3" s="80" t="s">
        <x:v>499</x:v>
      </x:c>
      <x:c r="B3" s="80" t="s">
        <x:v>449</x:v>
      </x:c>
      <x:c r="C3" s="80" t="s">
        <x:v>500</x:v>
      </x:c>
      <x:c r="D3" s="80" t="s">
        <x:v>501</x:v>
      </x:c>
      <x:c r="E3" s="80" t="s">
        <x:v>56</x:v>
      </x:c>
      <x:c r="F3" s="80" t="s">
        <x:v>502</x:v>
      </x:c>
      <x:c r="G3" s="80" t="s">
        <x:v>503</x:v>
      </x:c>
      <x:c r="H3" s="80" t="s">
        <x:v>504</x:v>
      </x:c>
    </x:row>
    <x:row r="4" ht="28.5">
      <x:c r="A4" s="78" t="s">
        <x:v>505</x:v>
      </x:c>
      <x:c r="B4" s="81">
        <x:v>46200</x:v>
      </x:c>
      <x:c r="C4" s="78" t="s">
        <x:v>506</x:v>
      </x:c>
      <x:c r="D4" s="78" t="s">
        <x:v>507</x:v>
      </x:c>
      <x:c r="E4" s="78" t="s">
        <x:v>508</x:v>
      </x:c>
      <x:c r="F4" s="78" t="s">
        <x:v>509</x:v>
      </x:c>
      <x:c r="G4" s="78" t="s">
        <x:v>510</x:v>
      </x:c>
      <x:c r="H4" s="78" t="s">
        <x:v>511</x:v>
      </x:c>
    </x:row>
    <x:row r="5" ht="28.5">
      <x:c r="A5" s="78" t="s">
        <x:v>512</x:v>
      </x:c>
      <x:c r="B5" s="81">
        <x:v>46200</x:v>
      </x:c>
      <x:c r="C5" s="78" t="s">
        <x:v>513</x:v>
      </x:c>
      <x:c r="D5" s="78" t="s">
        <x:v>514</x:v>
      </x:c>
      <x:c r="E5" s="78" t="s">
        <x:v>508</x:v>
      </x:c>
      <x:c r="F5" s="78" t="s">
        <x:v>509</x:v>
      </x:c>
      <x:c r="G5" s="78" t="s">
        <x:v>208</x:v>
      </x:c>
      <x:c r="H5" s="78" t="s">
        <x:v>515</x:v>
      </x:c>
    </x:row>
    <x:row r="6" ht="28.5">
      <x:c r="A6" s="78" t="s">
        <x:v>516</x:v>
      </x:c>
      <x:c r="B6" s="81">
        <x:v>46207</x:v>
      </x:c>
      <x:c r="C6" s="78" t="s">
        <x:v>517</x:v>
      </x:c>
      <x:c r="D6" s="78" t="s">
        <x:v>518</x:v>
      </x:c>
      <x:c r="E6" s="78" t="s">
        <x:v>508</x:v>
      </x:c>
      <x:c r="F6" s="78" t="s">
        <x:v>68</x:v>
      </x:c>
      <x:c r="G6" s="78" t="s">
        <x:v>519</x:v>
      </x:c>
      <x:c r="H6" s="78" t="s">
        <x:v>520</x:v>
      </x:c>
    </x:row>
    <x:row r="7" ht="28.5">
      <x:c r="A7" s="78" t="s">
        <x:v>521</x:v>
      </x:c>
      <x:c r="B7" s="81">
        <x:v>46207</x:v>
      </x:c>
      <x:c r="C7" s="78" t="s">
        <x:v>522</x:v>
      </x:c>
      <x:c r="D7" s="78" t="s">
        <x:v>523</x:v>
      </x:c>
      <x:c r="E7" s="78" t="s">
        <x:v>508</x:v>
      </x:c>
      <x:c r="F7" s="78" t="s">
        <x:v>524</x:v>
      </x:c>
      <x:c r="G7" s="78" t="s">
        <x:v>525</x:v>
      </x:c>
      <x:c r="H7" s="78" t="s">
        <x:v>526</x:v>
      </x:c>
    </x:row>
    <x:row r="8" ht="28.5">
      <x:c r="A8" s="78" t="s">
        <x:v>527</x:v>
      </x:c>
      <x:c r="B8" s="81">
        <x:v>46207</x:v>
      </x:c>
      <x:c r="C8" s="78" t="s">
        <x:v>161</x:v>
      </x:c>
      <x:c r="D8" s="78" t="s">
        <x:v>528</x:v>
      </x:c>
      <x:c r="E8" s="78" t="s">
        <x:v>508</x:v>
      </x:c>
      <x:c r="F8" s="78" t="s">
        <x:v>529</x:v>
      </x:c>
      <x:c r="G8" s="78" t="s">
        <x:v>530</x:v>
      </x:c>
      <x:c r="H8" s="78" t="s">
        <x:v>531</x:v>
      </x:c>
    </x:row>
    <x:row r="9" ht="28.5">
      <x:c r="A9" s="78" t="s">
        <x:v>532</x:v>
      </x:c>
      <x:c r="B9" s="81">
        <x:v>46207</x:v>
      </x:c>
      <x:c r="C9" s="78" t="s">
        <x:v>533</x:v>
      </x:c>
      <x:c r="D9" s="78" t="s">
        <x:v>534</x:v>
      </x:c>
      <x:c r="E9" s="78" t="s">
        <x:v>508</x:v>
      </x:c>
      <x:c r="F9" s="78" t="s">
        <x:v>535</x:v>
      </x:c>
      <x:c r="G9" s="78" t="s">
        <x:v>536</x:v>
      </x:c>
      <x:c r="H9" s="78" t="s">
        <x:v>537</x:v>
      </x:c>
    </x:row>
    <x:row r="10" ht="28.5">
      <x:c r="A10" s="78" t="s">
        <x:v>538</x:v>
      </x:c>
      <x:c r="B10" s="81">
        <x:v>46207</x:v>
      </x:c>
      <x:c r="C10" s="78" t="s">
        <x:v>539</x:v>
      </x:c>
      <x:c r="D10" s="78" t="s">
        <x:v>540</x:v>
      </x:c>
      <x:c r="E10" s="78" t="s">
        <x:v>508</x:v>
      </x:c>
      <x:c r="F10" s="78" t="s">
        <x:v>541</x:v>
      </x:c>
      <x:c r="G10" s="78" t="s">
        <x:v>542</x:v>
      </x:c>
      <x:c r="H10" s="78" t="s">
        <x:v>543</x:v>
      </x:c>
    </x:row>
    <x:row r="11" ht="28.5">
      <x:c r="A11" s="78" t="s">
        <x:v>544</x:v>
      </x:c>
      <x:c r="B11" s="81">
        <x:v>46207</x:v>
      </x:c>
      <x:c r="C11" s="78" t="s">
        <x:v>545</x:v>
      </x:c>
      <x:c r="D11" s="78" t="s">
        <x:v>546</x:v>
      </x:c>
      <x:c r="E11" s="78" t="s">
        <x:v>508</x:v>
      </x:c>
      <x:c r="F11" s="78" t="s">
        <x:v>547</x:v>
      </x:c>
      <x:c r="G11" s="78" t="s">
        <x:v>203</x:v>
      </x:c>
      <x:c r="H11" s="78" t="s">
        <x:v>548</x:v>
      </x:c>
    </x:row>
    <x:row r="12" ht="62.099998474121094" customHeight="1">
      <x:c r="A12" s="182" t="s">
        <x:v>549</x:v>
      </x:c>
      <x:c r="B12" s="196">
        <x:v>46208</x:v>
      </x:c>
      <x:c r="C12" s="183" t="s">
        <x:v>550</x:v>
      </x:c>
      <x:c r="D12" s="183" t="s">
        <x:v>551</x:v>
      </x:c>
      <x:c r="E12" s="183" t="s">
        <x:v>508</x:v>
      </x:c>
      <x:c r="F12" s="183" t="s">
        <x:v>552</x:v>
      </x:c>
      <x:c r="G12" s="183" t="s">
        <x:v>553</x:v>
      </x:c>
      <x:c r="H12" s="184" t="s">
        <x:v>554</x:v>
      </x:c>
    </x:row>
    <x:row r="13" ht="62.099998474121094" customHeight="1">
      <x:c r="A13" s="187" t="s">
        <x:v>555</x:v>
      </x:c>
      <x:c r="B13" s="197">
        <x:v>46208</x:v>
      </x:c>
      <x:c r="C13" s="188" t="s">
        <x:v>556</x:v>
      </x:c>
      <x:c r="D13" s="188" t="s">
        <x:v>557</x:v>
      </x:c>
      <x:c r="E13" s="188" t="s">
        <x:v>508</x:v>
      </x:c>
      <x:c r="F13" s="188" t="s">
        <x:v>558</x:v>
      </x:c>
      <x:c r="G13" s="188" t="s">
        <x:v>559</x:v>
      </x:c>
      <x:c r="H13" s="189" t="s">
        <x:v>560</x:v>
      </x:c>
    </x:row>
    <x:row r="14" ht="82" customHeight="1">
      <x:c r="A14" s="447" t="str">
        <x:v>D-011</x:v>
      </x:c>
      <x:c r="B14" s="445" t="n">
        <x:v>46208</x:v>
      </x:c>
      <x:c r="C14" s="447" t="str">
        <x:v>Run mandatory gates in evaluator-declared order and stop after the first failed gate.</x:v>
      </x:c>
      <x:c r="D14" s="447" t="str">
        <x:v>Later gates depend on evidence established by earlier gates; short-circuiting prevents uncontrolled exceptions and makes the blocking failure explicit.</x:v>
      </x:c>
      <x:c r="E14" s="447" t="str">
        <x:v>Active</x:v>
      </x:c>
      <x:c r="F14" s="447" t="str">
        <x:v>1.2; 1.5</x:v>
      </x:c>
      <x:c r="G14" s="447" t="str">
        <x:v>c05ef3d; tests/test_gate_engine.py</x:v>
      </x:c>
      <x:c r="H14" s="447" t="str">
        <x:v>Revisit only if a future result schema requires explicit skipped-gate records.</x:v>
      </x:c>
    </x:row>
    <x:row r="15" ht="82" customHeight="1">
      <x:c r="A15" s="447" t="str">
        <x:v>D-012</x:v>
      </x:c>
      <x:c r="B15" s="445" t="n">
        <x:v>46208</x:v>
      </x:c>
      <x:c r="C15" s="447" t="str">
        <x:v>Declare candidate payload field types in the task deliverable contract, not by inference from reference answers; Boolean values do not satisfy numeric declarations.</x:v>
      </x:c>
      <x:c r="D15" s="447" t="str">
        <x:v>The deliverable defines the required output contract, while reference artifacts define correct values. Separating these prevents accidental coupling and Python bool/int type leakage.</x:v>
      </x:c>
      <x:c r="E15" s="447" t="str">
        <x:v>Active</x:v>
      </x:c>
      <x:c r="F15" s="447" t="str">
        <x:v>1.2; 1.3; 1.4</x:v>
      </x:c>
      <x:c r="G15" s="447" t="str">
        <x:v>schemas/task.schema.json; specs/tasks/shaft_power_v1.json; c05ef3d</x:v>
      </x:c>
      <x:c r="H15" s="447" t="str">
        <x:v>Revisit if nested payload schemas become necessary after the MVP.</x:v>
      </x:c>
    </x:row>
    <x:row r="16">
      <x:c r="A16" s="78" t="str">
        <x:v>D-013</x:v>
      </x:c>
      <x:c r="B16" s="78" t="n">
        <x:v>46208</x:v>
      </x:c>
      <x:c r="C16" s="78" t="str">
        <x:v>Keep deterministic comparison logic pure: pass candidate payload, reference payload, and evaluator data rather than loader objects or file paths.</x:v>
      </x:c>
      <x:c r="D16" s="78" t="str">
        <x:v>Separating file loading/schema validation from comparison keeps the evaluator reusable across human-created, direct-model, scripted, and future agent artifacts.</x:v>
      </x:c>
      <x:c r="E16" s="78" t="str">
        <x:v>Active</x:v>
      </x:c>
      <x:c r="F16" s="78" t="str">
        <x:v>1.3–1.5</x:v>
      </x:c>
      <x:c r="G16" s="78" t="str">
        <x:v>53f96cc; src/mech_eval_harness/evaluation.py</x:v>
      </x:c>
      <x:c r="H16" s="78" t="str">
        <x:v>Revisit only if end-to-end orchestration exposes a concrete interface conflict.</x:v>
      </x:c>
    </x:row>
    <x:row r="17">
      <x:c r="A17" s="78" t="str">
        <x:v>D-014</x:v>
      </x:c>
      <x:c r="B17" s="78" t="n">
        <x:v>46208</x:v>
      </x:c>
      <x:c r="C17" s="78" t="str">
        <x:v>Use strict deterministic semantics: exact matching is JSON-type-sensitive; set equality ignores order and duplicate count; missing candidate paths fail the check; missing reference paths and unsupported kinds are configuration errors; numeric_close is deferred.</x:v>
      </x:c>
      <x:c r="D17" s="78" t="str">
        <x:v>These rules prevent Python type leakage and accidental success while keeping numeric tolerance work isolated to WBS 1.4.</x:v>
      </x:c>
      <x:c r="E17" s="78" t="str">
        <x:v>Superseded in part</x:v>
      </x:c>
      <x:c r="F17" s="78" t="str">
        <x:v>1.3–1.4</x:v>
      </x:c>
      <x:c r="G17" s="78" t="str">
        <x:v>53f96cc; 31015c9; PR #9 / merge 1fbb45d</x:v>
      </x:c>
      <x:c r="H17" s="78" t="str">
        <x:v>Non-numeric semantics remain active; numeric_close deferral was closed by D-015.</x:v>
      </x:c>
    </x:row>
    <x:row r="18">
      <x:c r="A18" s="78" t="str">
        <x:v>D-015</x:v>
      </x:c>
      <x:c r="B18" s="78" t="n">
        <x:v>46208</x:v>
      </x:c>
      <x:c r="C18" s="78" t="str">
        <x:v>Use evaluator-declared inclusive absolute tolerance for numeric_close; candidate numeric type failures are check failures, while invalid tolerance or reference numeric configuration raises CheckConfigurationError.</x:v>
      </x:c>
      <x:c r="D18" s="78" t="str">
        <x:v>This fails closed on evaluator defects, prevents Python Boolean/number leakage, and produces auditable expected/actual/difference/tolerance evidence.</x:v>
      </x:c>
      <x:c r="E18" s="78" t="str">
        <x:v>Active</x:v>
      </x:c>
      <x:c r="F18" s="78" t="str">
        <x:v>1.4–1.5</x:v>
      </x:c>
      <x:c r="G18" s="78" t="str">
        <x:v>31015c9; tests/test_numeric_tolerance.py; PR #9 / merge 1fbb45d</x:v>
      </x:c>
      <x:c r="H18" s="78" t="str">
        <x:v>Revisit only when real benchmark cases require relative tolerance, units conversion, or nested numeric schemas.</x:v>
      </x:c>
    </x:row>
    <x:row r="19">
      <x:c r="A19" s="78" t="str">
        <x:v>D-016</x:v>
      </x:c>
      <x:c r="B19" s="78" t="n">
        <x:v>46208</x:v>
      </x:c>
      <x:c r="C19" s="78" t="str">
        <x:v>Use gate_then_weighted_checks as the MVP scoring composition: a failed mandatory gate forces score 0.0; otherwise score equals the sum of passed check weights and overall pass uses the inclusive evaluator pass_threshold. Preserve failed gate/check evidence independently of overall pass/fail.</x:v>
      </x:c>
      <x:c r="D19" s="78" t="str">
        <x:v>This matches the existing evaluator schema and weight-sum validation, keeps component evidence auditable, permits low-weight failures when the declared threshold allows them, and fails closed on malformed scoring inputs.</x:v>
      </x:c>
      <x:c r="E19" s="78" t="str">
        <x:v>Active</x:v>
      </x:c>
      <x:c r="F19" s="78" t="str">
        <x:v>1.5–2.2</x:v>
      </x:c>
      <x:c r="G19" s="78" t="str">
        <x:v>bd34af8; PR #10 / merge 27a8e59; src/mech_eval_harness/scoring.py; tests/test_weighted_scoring.py</x:v>
      </x:c>
      <x:c r="H19" s="78" t="str">
        <x:v>Revisit only if real benchmark cases require another composition, partial gate scoring, severity-adjusted scoring, or non-binary check credit.</x:v>
      </x:c>
    </x:row>
    <x:row r="20">
      <x:c r="A20" s="78" t="str">
        <x:v>D-017</x:v>
      </x:c>
      <x:c r="B20" s="78" t="n">
        <x:v>46208</x:v>
      </x:c>
      <x:c r="C20" s="78" t="str">
        <x:v>Use a stable CLI exit-code contract: 0 for evaluation pass, 1 for an evaluated candidate failure including gate or schema failure, 2 for invalid invocation or case/evaluator/reference configuration, and 3 for unexpected internal failure. Run mandatory gates before candidate schema validation and deterministic checks.</x:v>
      </x:c>
      <x:c r="D20" s="78" t="str">
        <x:v>This separates product-quality findings from benchmark/configuration defects, supports shell and CI automation, preserves controlled failure evidence, and keeps orchestration independent from scoring and future persistence.</x:v>
      </x:c>
      <x:c r="E20" s="78" t="str">
        <x:v>Active</x:v>
      </x:c>
      <x:c r="F20" s="78" t="str">
        <x:v>2.1–2.3</x:v>
      </x:c>
      <x:c r="G20" s="78" t="str">
        <x:v>0ee3c48; tests/test_cli_evaluate.py; EV-016</x:v>
      </x:c>
      <x:c r="H20" s="78" t="str">
        <x:v>Revisit only if structured result records or CI integration expose an ambiguous error class.</x:v>
      </x:c>
    </x:row>
    <x:row r="21">
      <x:c r="A21" s="78" t="str">
        <x:v>D-018</x:v>
      </x:c>
      <x:c r="B21" s="78" t="n">
        <x:v>46208</x:v>
      </x:c>
      <x:c r="C21" s="78" t="str">
        <x:v>Use a versioned, runtime-agnostic structured result contract that preserves component versions, candidate/reference artifact references, aggregate scoring, complete gate/check outcomes, typed expected/actual values, ordered failure evidence, and nullable evidence-location/source-reference extension points. Enforce internal consistency in the Python model and defer persistence mechanics to WBS 2.3.</x:v>
      </x:c>
      <x:c r="D21" s="78" t="str">
        <x:v>This separates generated evidence from benchmark definitions, supports human/direct-model/scripted/future-agent candidates, keeps deterministic evaluation auditable, prevents contradictory result states, and preserves narrow extension points for future PDF/CAD evidence without implementing deferred capabilities.</x:v>
      </x:c>
      <x:c r="E21" s="78" t="str">
        <x:v>Active</x:v>
      </x:c>
      <x:c r="F21" s="78" t="str">
        <x:v>2.2–2.4; Expansion</x:v>
      </x:c>
      <x:c r="G21" s="78" t="str">
        <x:v>b6d6c21; b56f217; schemas/result.schema.json; src/mech_eval_harness/results.py; tests/test_result_model.py; EV-017</x:v>
      </x:c>
      <x:c r="H21" s="78" t="str">
        <x:v>Revisit only if immutable persistence or a real benchmark case exposes a concrete missing field or an overconstrained invariant.</x:v>
      </x:c>
    </x:row>
    <x:row r="22">
      <x:c r="A22" s="78" t="str">
        <x:v>D-019</x:v>
      </x:c>
      <x:c r="B22" s="78" t="n">
        <x:v>46208</x:v>
      </x:c>
      <x:c r="C22" s="78" t="str">
        <x:v>Persist only completed evaluation outcomes as immutable runs/&lt;run_id&gt;/result.json records. Use UTC microsecond timestamps plus an eight-character random suffix, create run directories exclusively, and do not emit result records for configuration or unexpected internal failures. Keep generated runs excluded from Git.</x:v>
      </x:c>
      <x:c r="D22" s="78" t="str">
        <x:v>This preserves auditable pass/fail evidence, prevents overwrite and path-traversal mistakes, separates product-quality findings from benchmark/configuration defects, and keeps generated run data distinct from versioned case definitions.</x:v>
      </x:c>
      <x:c r="E22" s="78" t="str">
        <x:v>Active</x:v>
      </x:c>
      <x:c r="F22" s="78" t="str">
        <x:v>2.3–3.4</x:v>
      </x:c>
      <x:c r="G22" s="78" t="str">
        <x:v>e03a2e8; e56fc92; src/mech_eval_harness/persistence.py; tests/test_result_persistence.py; tests/test_cli_evaluate.py; EV-018</x:v>
      </x:c>
      <x:c r="H22" s="78" t="str">
        <x:v>Revisit only when post-MVP needs require remote storage, concurrent writers, trace bundles, retention policies, or database indexing.</x:v>
      </x:c>
    </x:row>
    <x:row r="23">
      <x:c r="A23" s="78" t="str">
        <x:v>D-020</x:v>
      </x:c>
      <x:c r="B23" s="78" t="n">
        <x:v>46208</x:v>
      </x:c>
      <x:c r="C23" s="78" t="str">
        <x:v>Use a three-fixture MECH-002 example set—correct output, rpm-as-rad/s unit error, and incomplete required-field output—as versioned end-to-end regression inputs. Lock expected exit codes, scores, failure source/item/mode, and persisted-result behaviour; keep generated run records unversioned.</x:v>
      </x:c>
      <x:c r="D23" s="78" t="str">
        <x:v>This demonstrates the complete evaluator and persistence path with economically meaningful, auditable failures while preserving the separation between benchmark inputs and generated run evidence.</x:v>
      </x:c>
      <x:c r="E23" s="78" t="str">
        <x:v>Active</x:v>
      </x:c>
      <x:c r="F23" s="78" t="str">
        <x:v>2.4–3.4</x:v>
      </x:c>
      <x:c r="G23" s="78" t="str">
        <x:v>271224e; PR #14 / merge 7e38b3f; tests/test_example_candidates.py; EV-019</x:v>
      </x:c>
      <x:c r="H23" s="78" t="str">
        <x:v>Revisit when additional benchmark cases require new representative failure families or when the fixture contract no longer reflects actual CLI behaviour.</x:v>
      </x:c>
    </x:row>
    <x:row r="24">
      <x:c r="A24" s="78" t="str">
        <x:v>D-021</x:v>
      </x:c>
      <x:c r="B24" s="78" t="n">
        <x:v>46208</x:v>
      </x:c>
      <x:c r="C24" s="78" t="str">
        <x:v>Require independent engineering verification and regression evidence before a case enters the benchmark; treat the declared failure taxonomy as part of case correctness.</x:v>
      </x:c>
      <x:c r="D24" s="78" t="str">
        <x:v>Schema validity and passing software tests do not prove that engineering references, tolerances, or failure labels are correct. Independent recalculation and artifact review caught both encoding defects and a misclassified release-control failure before benchmark expansion.</x:v>
      </x:c>
      <x:c r="E24" s="78" t="str">
        <x:v>Active</x:v>
      </x:c>
      <x:c r="F24" s="78" t="str">
        <x:v>3.1–3.4</x:v>
      </x:c>
      <x:c r="G24" s="78" t="str">
        <x:v>e977b48; PR #15 / merge 318d5ce; docs/seed-case-verification.md; tests/test_seed_case_verification.py; EV-020</x:v>
      </x:c>
      <x:c r="H24" s="78" t="str">
        <x:v>Revisit only if a later case family requires a different review method or evidence standard.</x:v>
      </x:c>
    </x:row>
    <x:row r="25">
      <x:c r="A25" s="78" t="str">
        <x:v>D-022</x:v>
      </x:c>
      <x:c r="B25" s="78" t="n">
        <x:v>46208</x:v>
      </x:c>
      <x:c r="C25" s="78" t="str">
        <x:v>Expand the MVP benchmark with MECH-004 BOM reconciliation and MECH-005 thermal expansion using existing deterministic evaluator kinds, independently reconstructed references, representative failing fixtures, and a full-score pass threshold.</x:v>
      </x:c>
      <x:c r="D25" s="78" t="str">
        <x:v>The pair adds economically meaningful cross-document consistency and unit-sensitive calculation coverage without introducing a new evaluator kind or deferred architecture. Independent reconstruction and targeted failing fixtures preserve auditability and expose omission, revision, quantity, unit, and verification failures.</x:v>
      </x:c>
      <x:c r="E25" s="78" t="str">
        <x:v>Active</x:v>
      </x:c>
      <x:c r="F25" s="78" t="str">
        <x:v>3.2–3.4</x:v>
      </x:c>
      <x:c r="G25" s="78" t="str">
        <x:v>634ef11; PR #16 / merge 50df7a9; docs/additional-case-verification.md; EV-021</x:v>
      </x:c>
      <x:c r="H25" s="78" t="str">
        <x:v>Revisit if the held-out benchmark shows material redundancy, missing workflow coverage, or a justified need for another evaluator kind.</x:v>
      </x:c>
    </x:row>
    <x:row r="26">
      <x:c r="A26" s="447" t="str">
        <x:v>D-023</x:v>
      </x:c>
      <x:c r="B26" s="447" t="n">
        <x:v>46208</x:v>
      </x:c>
      <x:c r="C26" s="447" t="str">
        <x:v>Freeze MECH-003 as the MVP v1 held-out validation case; keep MECH-001, MECH-002, MECH-004, and MECH-005 in development; prohibit versioned MECH-003 candidate fixtures and tuning against held-out outcomes; report development and held-out results separately and disclose prior exposure.</x:v>
      </x:c>
      <x:c r="D26" s="447" t="str">
        <x:v>MECH-003 adds a distinct controlled-document/revision-audit workflow and had no versioned candidate directory when the split was frozen. Because it was authored and reviewed before the split, it provides useful frozen validation evidence but must not be represented as a pristine blind benchmark.</x:v>
      </x:c>
      <x:c r="E26" s="447" t="str">
        <x:v>Active</x:v>
      </x:c>
      <x:c r="F26" s="447" t="str">
        <x:v>3.3–3.4</x:v>
      </x:c>
      <x:c r="G26" s="447" t="str">
        <x:v>ab63155; PR #17 / merge 825d7ff; benchmarks/mvp_v1/split.json; benchmarks/mvp_v1/review-checklist.md; tests/test_benchmark_split.py; EV-022</x:v>
      </x:c>
      <x:c r="H26" s="447" t="str">
        <x:v>Revisit only for a documented benchmark-version change, a justified MECH-003 revision, or the addition of newly authored cases held back before candidate development.</x:v>
      </x:c>
    </x:row>
    <x:row r="27">
      <x:c r="A27" s="78" t="str">
        <x:v>D-024</x:v>
      </x:c>
      <x:c r="B27" s="78" t="n">
        <x:v>46208</x:v>
      </x:c>
      <x:c r="C27" s="78" t="str">
        <x:v>Treat the MVP v1 baseline as harness-verification evidence, not model or agent performance evidence; report oracle, fault-injection, development, and held-out outcomes distinctly.</x:v>
      </x:c>
      <x:c r="D27" s="78" t="str">
        <x:v>Reference-equivalent candidates establish evaluator-integrity upper bounds, while curated fault injections prove intended detection for a bounded failure sample. Separate reporting prevents overclaiming generalization and preserves the held-out control.</x:v>
      </x:c>
      <x:c r="E27" s="78" t="str">
        <x:v>Active</x:v>
      </x:c>
      <x:c r="F27" s="78" t="str">
        <x:v>3.4–5.3</x:v>
      </x:c>
      <x:c r="G27" s="78" t="str">
        <x:v>e0746d7; PR #18 merged; evidence/mvp_v1_baseline/report.md; evidence/mvp_v1_baseline/summary.json; tests/test_mvp_baseline.py</x:v>
      </x:c>
      <x:c r="H27" s="78" t="str">
        <x:v>Revisit when the first direct-model or agent-generated baseline is run against a newly frozen benchmark version.</x:v>
      </x:c>
    </x:row>
    <x:row r="28">
      <x:c r="A28" s="78" t="str">
        <x:v>D-025</x:v>
      </x:c>
      <x:c r="B28" s="78" t="n">
        <x:v>46208</x:v>
      </x:c>
      <x:c r="C28" s="78" t="str">
        <x:v>Adopt a minimal GitHub Actions CI gate for the MVP: run on push and pull request in Ubuntu with Python 3.12, install the editable package with development dependencies, validate the repository, and execute the full pytest suite. Preserve one controlled red run followed by corrected green push and PR runs as acceptance evidence. Defer version matrices, coverage thresholds, packaging, deployment, and Docker.</x:v>
      </x:c>
      <x:c r="D28" s="78" t="str">
        <x:v>A clean hosted runner detects machine-specific assumptions and regressions while keeping the release gate proportional to the current JSON-first CLI MVP. Red/green proof demonstrates that the workflow both blocks a known failure and accepts the corrected repository.</x:v>
      </x:c>
      <x:c r="E28" s="78" t="str">
        <x:v>Active</x:v>
      </x:c>
      <x:c r="F28" s="78" t="str">
        <x:v>4.2–5.3</x:v>
      </x:c>
      <x:c r="G28" s="78" t="str">
        <x:v>.github/workflows/ci.yml; 80a26fe; 22713e4; PR #19 / merge 5dc3f41; EV-024</x:v>
      </x:c>
      <x:c r="H28" s="78" t="str">
        <x:v>Revisit when supported Python versions change, dependency reproducibility requires tighter controls, or final release evidence justifies a matrix or coverage threshold.</x:v>
      </x:c>
    </x:row>
    <x:row r="29">
      <x:c r="A29" s="78" t="str">
        <x:v>D-026</x:v>
      </x:c>
      <x:c r="B29" s="78" t="n">
        <x:v>46208</x:v>
      </x:c>
      <x:c r="C29" s="78" t="str">
        <x:v>Treat README.md and docs/architecture.md as release-contract documentation for implemented behaviour. They must document clean installation, CLI commands and exit codes, benchmark split and prior-exposure limitation, harness-verification baseline scope, immutable result evidence, CI, extension points, and the qualified-human review boundary; deferred capabilities must not be represented as implemented.</x:v>
      </x:c>
      <x:c r="D29" s="78" t="str">
        <x:v>Release documentation is part of reproducibility and claim control. Implementation-accurate documents let reviewers install and audit the MVP while preventing model-performance, held-out, engineering-authority, and future-scope overclaims.</x:v>
      </x:c>
      <x:c r="E29" s="78" t="str">
        <x:v>Active</x:v>
      </x:c>
      <x:c r="F29" s="78" t="str">
        <x:v>4.3–5.3</x:v>
      </x:c>
      <x:c r="G29" s="78" t="str">
        <x:v>ac8d6dd; PR #20 / merge 2b98214; README.md; docs/architecture.md; EV-025</x:v>
      </x:c>
      <x:c r="H29" s="78" t="str">
        <x:v>Revisit when the CLI contract, benchmark version, result schema, CI workflow, engineering boundary, or release scope materially changes.</x:v>
      </x:c>
    </x:row>
    <x:row r="30">
      <x:c r="A30" s="78" t="str">
        <x:v>D-027</x:v>
      </x:c>
      <x:c r="B30" s="78" t="n">
        <x:v>46208</x:v>
      </x:c>
      <x:c r="C30" s="78" t="str">
        <x:v>Use a deterministic terminal-first portfolio demo over committed MECH-002 candidate fixtures. Demonstrate one full pass and one structurally valid technical failure; assert expected exit codes, scores, failure modes, and immutable result creation. Version the script, regression test, walkthrough, and concise report, while keeping generated raw run directories outside Git.</x:v>
      </x:c>
      <x:c r="D30" s="78" t="str">
        <x:v>This proves the production CLI and persistence contract without adding demo-only evaluator behaviour, a frontend, or unverifiable narrative. The valid UNIT_ERROR artifact exercises the full gates-checks-scoring-evidence path and is more representative than a missing-file or malformed-artifact failure.</x:v>
      </x:c>
      <x:c r="E30" s="78" t="str">
        <x:v>Active</x:v>
      </x:c>
      <x:c r="F30" s="78" t="str">
        <x:v>5.1–5.3</x:v>
      </x:c>
      <x:c r="G30" s="78" t="str">
        <x:v>599402c; PR #21 / merge c15393d; scripts/run_portfolio_demo.py; tests/test_portfolio_demo.py; docs/portfolio_demo.md; evidence/portfolio_demo/report.md; EV-026</x:v>
      </x:c>
      <x:c r="H30" s="78" t="str">
        <x:v>Revisit only if the released CLI contract, result schema, candidate fixtures, or portfolio presentation format materially changes.</x:v>
      </x:c>
    </x:row>
    <x:row r="31">
      <x:c r="A31" s="78" t="str">
        <x:v>D-028</x:v>
      </x:c>
      <x:c r="B31" s="78" t="n">
        <x:v>46208</x:v>
      </x:c>
      <x:c r="C31" s="78" t="str">
        <x:v>Rebaseline the first tagged MVP release from v0.1.0 to v0.2.0. Package metadata in pyproject.toml and persisted result records already identify the harness as 0.2.0; therefore the release tag, release notes, final acceptance branch, and active project-control references must use v0.2.0. Do not downgrade the package or create a v0.1.0 tag.</x:v>
      </x:c>
      <x:c r="D31" s="78" t="str">
        <x:v>The tagged release must match the software version recorded in both build metadata and generated evidence. Creating v0.1.0 would introduce a false version lineage and break traceability between the release tag and existing result records.</x:v>
      </x:c>
      <x:c r="E31" s="78" t="str">
        <x:v>Active</x:v>
      </x:c>
      <x:c r="F31" s="78" t="str">
        <x:v>5.2–5.3</x:v>
      </x:c>
      <x:c r="G31" s="78" t="str">
        <x:v>pyproject.toml version 0.2.0; persisted harness_version 0.2.0; 64db931; PR #22 / merge 0f8adbe; docs/release_notes_v0.2.0.md; EV-027</x:v>
      </x:c>
      <x:c r="H31" s="78" t="str">
        <x:v>Revisit only when preparing a later semantic version after v0.2.0 is tagged.</x:v>
      </x:c>
    </x:row>
    <x:row r="32">
      <x:c r="A32" s="78" t="str">
        <x:v>D-029</x:v>
      </x:c>
      <x:c r="B32" s="78" t="n">
        <x:v>46208</x:v>
      </x:c>
      <x:c r="C32" s="78" t="str">
        <x:v>Accept and freeze the Mechanical Technical Document Evaluation Harness MVP at version v0.2.0. The annotated tag must point to the exact clean-clone accepted commit 45336a21c9c5f4dcd4b3bd009d05183621061b5d. Close WBS 4.1 without separate labour because targeted regression tests were delivered within the coherent capability branches and already included in their logged hours.</x:v>
      </x:c>
      <x:c r="D32" s="78" t="str">
        <x:v>The clean-clone matrix verified installation, five cases, 121 tests, nine baseline scenarios, two demo scenarios, eleven result versions, claim boundaries, and a clean tree. Tag-to-commit verification preserves release traceability. Closing integrated test work without duplicate hours follows the rule that tests support the product and labour is recorded once.</x:v>
      </x:c>
      <x:c r="E32" s="78" t="str">
        <x:v>Active</x:v>
      </x:c>
      <x:c r="F32" s="78" t="str">
        <x:v>4.1,5.3,Post-MVP</x:v>
      </x:c>
      <x:c r="G32" s="78" t="str">
        <x:v>v0.2.0; 45336a2; tag object 8d426d2; evidence/final_acceptance_v0.2.0/{report.md,summary.json}; EV-028</x:v>
      </x:c>
      <x:c r="H32" s="78" t="str">
        <x:v>Revisit only for a corrective release, a new benchmark version, or an approved post-MVP capability with new acceptance criteria.</x:v>
      </x:c>
    </x:row>
    <x:row r="33" ht="90" customHeight="1">
      <x:c r="A33" s="447" t="str">
        <x:v>D-030</x:v>
      </x:c>
      <x:c r="B33" s="445" t="n">
        <x:v>46213</x:v>
      </x:c>
      <x:c r="C33" s="447" t="str">
        <x:v>Select a structured Mechanical Package Consistency Audit as the v0.3.0 release: drawing register ↔ drawing metadata ↔ BOM/equipment list ↔ datasheet/specification metadata ↔ revision history. Begin with CSV/JSON manifests and file references, and produce an evidence-linked issue register plus release-readiness summary.</x:v>
      </x:c>
      <x:c r="D33" s="447" t="str">
        <x:v>This is the shortest path from the released kernel to an authentic, economically meaningful, deterministic-first workflow. It is commercially understandable, lower-liability than design generation, extensible to multimodal extraction, and directly aligned with mechanical QA/document-control pain.</x:v>
      </x:c>
      <x:c r="E33" s="447" t="str">
        <x:v>Active</x:v>
      </x:c>
      <x:c r="F33" s="447" t="str">
        <x:v>P0.1–P5.2</x:v>
      </x:c>
      <x:c r="G33" s="447" t="str">
        <x:v>Pilot Gantt; Pilot Dashboard; docs/package_assurance/workflow_contract_v0.3.0.md; harness_strategy_chat_2026-07-10.md</x:v>
      </x:c>
      <x:c r="H33" s="447" t="str">
        <x:v>Revisit only after v0.3.0 held-out benchmark and clean-clone acceptance, or if P0 exposes an unresolvable authority/data-model conflict.</x:v>
      </x:c>
    </x:row>
    <x:row r="34" ht="90" customHeight="1">
      <x:c r="A34" s="447" t="str">
        <x:v>D-031</x:v>
      </x:c>
      <x:c r="B34" s="445" t="n">
        <x:v>46213</x:v>
      </x:c>
      <x:c r="C34" s="447" t="str">
        <x:v>Adopt a supervised GPT-5.6 long-horizon operating model for repository and document work. Use isolated branches/worktrees, explicit file/action boundaries, independent verification, and human approval before destructive, external, credentialed, or irreversible actions. Parallelize only independent non-overlapping workstreams.</x:v>
      </x:c>
      <x:c r="D34" s="447" t="str">
        <x:v>GPT-5.6 materially improves coding, professional workflows, computer use, tool coordination, and artifact production, but OpenAI's system-card testing also identifies increased risk of over-persistence and actions beyond user intent. Stronger execution therefore requires stronger controls, not weaker supervision.</x:v>
      </x:c>
      <x:c r="E34" s="447" t="str">
        <x:v>Active</x:v>
      </x:c>
      <x:c r="F34" s="447" t="str">
        <x:v>All v0.3.0 WBS</x:v>
      </x:c>
      <x:c r="G34" s="447" t="str">
        <x:v>AGENTS.md; PROJECT_CONTEXT.md; GPT-5.6 official launch page; GPT-5.6 system card</x:v>
      </x:c>
      <x:c r="H34" s="447" t="str">
        <x:v>Revisit when model/tool permissions, repository automation, or Codex multi-agent usage changes materially.</x:v>
      </x:c>
    </x:row>
    <x:row r="35" ht="90" customHeight="1">
      <x:c r="A35" s="447" t="str">
        <x:v>D-032</x:v>
      </x:c>
      <x:c r="B35" s="445" t="n">
        <x:v>46213</x:v>
      </x:c>
      <x:c r="C35" s="447" t="str">
        <x:v>Make explicit result states mandatory for package assurance: automatic pass, automatic fail, engineering review required, missing authoritative information, extraction/tool failure, and evaluator uncertainty. Mandatory-hold findings override aggregate score.</x:v>
      </x:c>
      <x:c r="D35" s="447" t="str">
        <x:v>Engineering release decisions cannot be represented safely by one scalar score. Explicit states separate deterministic findings, missing authority, operational failures, and qualified-human judgment while preserving evidence and auditability.</x:v>
      </x:c>
      <x:c r="E35" s="447" t="str">
        <x:v>Active</x:v>
      </x:c>
      <x:c r="F35" s="447" t="str">
        <x:v>P0.1,P0.2,P2.4,P3.1–P3.3</x:v>
      </x:c>
      <x:c r="G35" s="447" t="str">
        <x:v>workflow_contract_v0.3.0.md; acceptance_plan_v0.3.0.md; Pilot Gantt</x:v>
      </x:c>
      <x:c r="H35" s="447" t="str">
        <x:v>Revisit only if benchmark evidence shows a missing state or ambiguous routing rule.</x:v>
      </x:c>
    </x:row>
    <x:row r="36">
      <x:c r="A36" s="78" t="str">
        <x:v>D-033</x:v>
      </x:c>
      <x:c r="B36" s="78" t="n">
        <x:v>46218</x:v>
      </x:c>
      <x:c r="C36" s="78" t="str">
        <x:v>Accept the P0.1 workflow contract and reviewed authority-map boundary for the structured package assurance pilot. Mandatory package inputs, canonical identifier scope, authority-declared fields, revision schemes, duplicate representation, evidence locators, release-hold routing, package-state precedence, CLI exit codes, human-review boundary, exclusions, and producer-hidden benchmark data are frozen for P0.1.</x:v>
      </x:c>
      <x:c r="D36" s="78" t="str">
        <x:v>Resolving the ten P0.1 questions prevents later package-loader, schema, rule-engine, or benchmark work from inventing product behavior. The contract keeps v0.3.0 structured-data-first, preserves the independent evaluator boundary, and leaves implementation gated behind P0.2 acceptance.</x:v>
      </x:c>
      <x:c r="E36" s="78" t="str">
        <x:v>Active</x:v>
      </x:c>
      <x:c r="F36" s="78" t="str">
        <x:v>P0.1-P0.2</x:v>
      </x:c>
      <x:c r="G36" s="78" t="str">
        <x:v>docs/package_assurance/workflow_contract_v0.3.0.md; docs/package_assurance/authority_map_example_v0.3.0.json; EV-030</x:v>
      </x:c>
      <x:c r="H36" s="78" t="str">
        <x:v>Revisit only through a recorded P0 gate decision if P0.2 or benchmark evidence exposes a missing state, authority ambiguity, or unavoidable interface conflict.</x:v>
      </x:c>
    </x:row>
    <x:row r="37" ht="112.5" customHeight="1">
      <x:c r="A37" s="447" t="str">
        <x:v>D-034</x:v>
      </x:c>
      <x:c r="B37" s="447" t="n">
        <x:v>46218</x:v>
      </x:c>
      <x:c r="C37" s="447" t="str">
        <x:v>Accept the user's P0.1 gate and authorize P0.2 definition work. Waive prospective work-block time tracking; preserve existing historical and baseline hour fields, but do not request, estimate, or backfill durations for acceptance.</x:v>
      </x:c>
      <x:c r="D37" s="447" t="str">
        <x:v>P0.1 artifacts are committed at 03f102e and the user explicitly approved continuation. Progress is controlled by accepted deliverables and evidence; time fields remain legacy context rather than gate criteria.</x:v>
      </x:c>
      <x:c r="E37" s="447" t="str">
        <x:v>Active</x:v>
      </x:c>
      <x:c r="F37" s="447" t="str">
        <x:v>P0.1-P5.2 / Project control</x:v>
      </x:c>
      <x:c r="G37" s="447" t="str">
        <x:v>User direction 2026-07-15; commit 03f102e; D-033; EV-030; EV-031</x:v>
      </x:c>
      <x:c r="H37" s="447" t="str">
        <x:v>Revisit only if the user explicitly restores time tracking or a contractual reporting need arises.</x:v>
      </x:c>
    </x:row>
    <x:row r="38" ht="127.5" customHeight="1">
      <x:c r="A38" s="447" t="str">
        <x:v>D-035</x:v>
      </x:c>
      <x:c r="B38" s="447" t="n">
        <x:v>46218</x:v>
      </x:c>
      <x:c r="C38" s="447" t="str">
        <x:v>Freeze the reviewed P0.2 acceptance plan and benchmark protocol: scenario and package-family units, minimum development/held-out matrix, exact oracle matching, gate/check coverage, state and CLI exits, reproducibility normalization, held-out freeze and contamination replacement, false-positive/false-negative review, bounded claims, and release stop conditions.</x:v>
      </x:c>
      <x:c r="D38" s="447" t="str">
        <x:v>This prevents implementation from inventing benchmark policy, accepting generic detections, tuning against held-out outcomes, hiding failed runs, or changing protected expectations to improve results. P1.1 remains blocked until user acceptance.</x:v>
      </x:c>
      <x:c r="E38" s="447" t="str">
        <x:v>Active</x:v>
      </x:c>
      <x:c r="F38" s="447" t="str">
        <x:v>P0.2-P4.3</x:v>
      </x:c>
      <x:c r="G38" s="447" t="str">
        <x:v>docs/package_assurance/acceptance_plan_v0.3.0.md; docs/package_assurance/workflow_contract_v0.3.0.md; D-033; EV-032</x:v>
      </x:c>
      <x:c r="H38" s="447" t="str">
        <x:v>Revisit only through a recorded P0 gate decision if fixture authoring exposes a contract contradiction or the held-out protocol cannot be enforced.</x:v>
      </x:c>
    </x:row>
    <x:row r="39" ht="131.25" customHeight="1">
      <x:c r="A39" s="447" t="str">
        <x:v>D-036</x:v>
      </x:c>
      <x:c r="B39" s="447" t="n">
        <x:v>46219</x:v>
      </x:c>
      <x:c r="C39" s="447" t="str">
        <x:v>Adopt a simplified project-control hierarchy and gate-based progress model: gantt.xlsx controls operational status; accepted contracts control product behavior; AGENTS.md controls durable repository rules; PROJECT_CONTEXT.md is the compact handoff; dated transfer files are historical. Preserve prior hour and schedule data, but do not use it as a v0.3.0 acceptance criterion.</x:v>
      </x:c>
      <x:c r="D39" s="447" t="str">
        <x:v>The management review found the strategy sound but identified duplicated current-state text, stale transition artifacts, and misleading hour-based dashboard fields. One operational source plus durable supporting documents reduces drift while preserving audit history.</x:v>
      </x:c>
      <x:c r="E39" s="447" t="str">
        <x:v>Active</x:v>
      </x:c>
      <x:c r="F39" s="447" t="str">
        <x:v>P0.2-P5.2 / Project control</x:v>
      </x:c>
      <x:c r="G39" s="447" t="str">
        <x:v>docs/strategy/management_review_2026-07-16.md; gantt.xlsx; AGENTS.md; PROJECT_CONTEXT.md; D-034; EV-033</x:v>
      </x:c>
      <x:c r="H39" s="447" t="str">
        <x:v>Revisit only if a contractual reporting need restores schedule or labour controls, or if the simplified hierarchy fails to preserve required evidence.</x:v>
      </x:c>
    </x:row>
    <x:row r="40" ht="131.25" customHeight="1">
      <x:c r="A40" s="447" t="str">
        <x:v>D-037</x:v>
      </x:c>
      <x:c r="B40" s="447" t="n">
        <x:v>46219</x:v>
      </x:c>
      <x:c r="C40" s="447" t="str">
        <x:v>Accept the P0.2 acceptance plan and benchmark protocol and authorize P1.1 package manifest schema and loader work after the P0 branch is integrated. This authorization does not include P1.2 fixtures, rule-engine behavior, PDF/CAD, agent, API, database, RAG, or frontend implementation.</x:v>
      </x:c>
      <x:c r="D40" s="447" t="str">
        <x:v>The user explicitly instructed the project to complete the next gate and begin the next step after the reviewed management assessment found P0.2 fit for acceptance. Narrow authorization preserves predecessor discipline and the frozen benchmark policy.</x:v>
      </x:c>
      <x:c r="E40" s="447" t="str">
        <x:v>Active</x:v>
      </x:c>
      <x:c r="F40" s="447" t="str">
        <x:v>P0.2-P1.1</x:v>
      </x:c>
      <x:c r="G40" s="447" t="str">
        <x:v>User direction 2026-07-16; docs/package_assurance/acceptance_plan_v0.3.0.md; commit 234b196; D-035; EV-034</x:v>
      </x:c>
      <x:c r="H40" s="447" t="str">
        <x:v>Revisit only through a recorded P0 decision if P1.1 exposes a contradiction in the accepted workflow or benchmark contracts.</x:v>
      </x:c>
    </x:row>
    <x:row r="41" ht="165" customHeight="1">
      <x:c r="A41" s="447" t="str">
        <x:v>D-038</x:v>
      </x:c>
      <x:c r="B41" s="447" t="n">
        <x:v>46219</x:v>
      </x:c>
      <x:c r="C41" s="447" t="str">
        <x:v>Implement P1.1 as a declaration-only package boundary. The manifest schema freezes the seven mandatory source declarations, package and document metadata, canonical manifest identifiers, permitted revision schemes, relationship declarations, authority-map reference, and files-root policy. The loader validates structure, uniqueness, references, supported versions, and resolved path containment, but does not parse declared source records, require declared source or controlled files to exist, assign result states, or run package gates.</x:v>
      </x:c>
      <x:c r="D41" s="447" t="str">
        <x:v>The accepted architecture separates manifest loading from source adapters, mandatory gates, and result-state routing. Keeping P1.1 declaration-only prevents pre-result exceptions from replacing evidence-bearing gate outcomes and avoids embedding P2 rule behavior or fixture assumptions in the package boundary.</x:v>
      </x:c>
      <x:c r="E41" s="447" t="str">
        <x:v>Active</x:v>
      </x:c>
      <x:c r="F41" s="447" t="str">
        <x:v>P1.1-P2.1</x:v>
      </x:c>
      <x:c r="G41" s="447" t="str">
        <x:v>schemas/package_manifest.schema.json; src/mech_eval_harness/package_assurance/manifest.py; docs/package_assurance/workflow_contract_v0.3.0.md; docs/architecture/package_assurance_target_architecture.md; tests/test_package_manifest.py; EV-035</x:v>
      </x:c>
      <x:c r="H41" s="447" t="str">
        <x:v>Revisit through a recorded contract decision only if P1.2 fixture review proves the declaration cannot represent an accepted package or if P2 gate evidence requires an additional stable manifest field.</x:v>
      </x:c>
    </x:row>
    <x:row r="42">
      <x:c r="A42" s="78" t="str">
        <x:v>D-039</x:v>
      </x:c>
      <x:c r="B42" s="78" t="n">
        <x:v>46219</x:v>
      </x:c>
      <x:c r="C42" s="78" t="str">
        <x:v>Confirm the P1.1 manifest-local identifier boundary after recovery review: relationships must resolve document_id, drawing_number, datasheet_id, specification_id, and file_ref_id values declared by the manifest; datasheet_id and specification_id are package-unique. item_id and equipment_tag resolution, drawing-number duplicate-policy adjudication, source parsing, file existence, gates, and result routing remain deferred.</x:v>
      </x:c>
      <x:c r="D42" s="78" t="str">
        <x:v>The recovery audit demonstrated that the committed loader rejected undeclared document and file endpoints but accepted undeclared drawing, datasheet, and specification endpoints and duplicate datasheet/specification IDs. Closing only these manifest-local integrity gaps satisfies the accepted identifier and relationship contract without crossing into adapters or authority resolution.</x:v>
      </x:c>
      <x:c r="E42" s="78" t="str">
        <x:v>Active</x:v>
      </x:c>
      <x:c r="F42" s="78" t="str">
        <x:v>P1.1-P2.1</x:v>
      </x:c>
      <x:c r="G42" s="78" t="str">
        <x:v>src/mech_eval_harness/package_assurance/manifest.py; tests/test_package_manifest.py; docs/package_assurance/workflow_contract_v0.3.0.md; D-038; EV-036</x:v>
      </x:c>
      <x:c r="H42" s="78" t="str">
        <x:v>Revisit only if accepted P1.2 fixtures prove that a manifest-local identifier cannot be represented, or when source adapters make item_id and equipment_tag declarations available for later relationship validation.</x:v>
      </x:c>
    </x:row>
    <x:row r="43" ht="108" customHeight="1">
      <x:c r="A43" s="78" t="str">
        <x:v>D-040</x:v>
      </x:c>
      <x:c r="B43" s="78" t="n">
        <x:v>46219</x:v>
      </x:c>
      <x:c r="C43" s="78" t="str">
        <x:v>Accept P1.1 at final pushed commit 42ad037, locally integrate it as the branch baseline, and authorize only P1.2 development-fixture authoring. P1.3 held-out authoring and evaluator behavior remain blocked until the P1.2 gate is reviewed and accepted.</x:v>
      </x:c>
      <x:c r="D43" s="78" t="str">
        <x:v>The user stated that the final P1.1 changes were committed and pushed and explicitly instructed the project to keep working on the next step. Interpreting that direction as predecessor acceptance permits the named next WBS while preserving capability-bounded gate discipline.</x:v>
      </x:c>
      <x:c r="E43" s="78" t="str">
        <x:v>Active</x:v>
      </x:c>
      <x:c r="F43" s="78" t="str">
        <x:v>P1.1-P1.2</x:v>
      </x:c>
      <x:c r="G43" s="78" t="str">
        <x:v>User direction 2026-07-16; feature/package-manifest; commit 42ad037; D-038; D-039; EV-036; EV-037</x:v>
      </x:c>
      <x:c r="H43" s="78" t="str">
        <x:v>Revisit only if the user rejects the recorded P1.1 acceptance interpretation or if P1.2 review exposes a contradiction in the accepted manifest contract.</x:v>
      </x:c>
    </x:row>
    <x:row r="44" ht="135" customHeight="1">
      <x:c r="A44" s="78" t="str">
        <x:v>D-041</x:v>
      </x:c>
      <x:c r="B44" s="78" t="n">
        <x:v>46219</x:v>
      </x:c>
      <x:c r="C44" s="78" t="str">
        <x:v>Define P1.2 as one fully synthetic clean development pump-skid package with all seven mandatory sources, transparent controlled-file stubs, a package-specific unchanged application of the accepted authority map, exact hidden clean-state and relationship goldens, and a hashed package-tree inventory. Treat its CSV columns and JSON layouts as fixture examples rather than accepted general schemas or runtime adapter contracts. Make P1.2 acceptance the predecessor for P1.3.</x:v>
      </x:c>
      <x:c r="D44" s="78" t="str">
        <x:v>This supplies a realistic, auditable development package for later adapter and rule work without allowing fixture authoring to invent product behavior. Explicit oracle isolation, evidence locators, provenance, and hashing support the accepted benchmark protocol; the sequential gate prevents held-out work from beginning before the development fixture is reviewed.</x:v>
      </x:c>
      <x:c r="E44" s="78" t="str">
        <x:v>Active</x:v>
      </x:c>
      <x:c r="F44" s="78" t="str">
        <x:v>P1.2-P2.1</x:v>
      </x:c>
      <x:c r="G44" s="78" t="str">
        <x:v>benchmarks/package_assurance/development/pump_skid_clean_v1; tests/test_package_fixture.py; docs/package_assurance/acceptance_plan_v0.3.0.md; D-035; D-040; EV-038</x:v>
      </x:c>
      <x:c r="H44" s="78" t="str">
        <x:v>Revisit through a recorded gate decision if P1.3 material-distinction review or later source-adapter design proves a fixture assumption cannot represent the accepted workflow contract. Do not edit the fixture oracle merely to match evaluator output.</x:v>
      </x:c>
    </x:row>
    <x:row r="45" ht="126" customHeight="1">
      <x:c r="A45" s="78" t="str">
        <x:v>D-042</x:v>
      </x:c>
      <x:c r="B45" s="78" t="n">
        <x:v>46219</x:v>
      </x:c>
      <x:c r="C45" s="78" t="str">
        <x:v>Accept P1.2 at commit f26ed27 and authorize P1.3 held-out fixture authoring only. Require P1.3 acceptance and a recorded pre-tuning freeze before P2.1 package-gate implementation begins; update P2.1's controlling predecessor from P1.2 to P1.3.</x:v>
      </x:c>
      <x:c r="D45" s="78" t="str">
        <x:v>The user explicitly accepted P1.2 and instructed the project to continue. The accepted P0.2 protocol requires a materially distinct held-out family to be reviewed, hashed, and frozen before rule implementation or tuning, so the explicit P1.3-to-P2.1 dependency closes a control mismatch in the original schedule.</x:v>
      </x:c>
      <x:c r="E45" s="78" t="str">
        <x:v>Active</x:v>
      </x:c>
      <x:c r="F45" s="78" t="str">
        <x:v>P1.2-P2.1</x:v>
      </x:c>
      <x:c r="G45" s="78" t="str">
        <x:v>User direction 2026-07-16; commit f26ed27; docs/package_assurance/acceptance_plan_v0.3.0.md; D-035; D-041; EV-038; EV-039</x:v>
      </x:c>
      <x:c r="H45" s="78" t="str">
        <x:v>Revisit only through a recorded gate decision if the accepted benchmark protocol changes. P1.3 fixture design must not encode evaluator implementation or expose protected held-out oracles to a future producer.</x:v>
      </x:c>
    </x:row>
    <x:row r="46" ht="162" customHeight="1">
      <x:c r="A46" s="78" t="str">
        <x:v>D-043</x:v>
      </x:c>
      <x:c r="B46" s="78" t="n">
        <x:v>46219</x:v>
      </x:c>
      <x:c r="C46" s="78" t="str">
        <x:v>Define the P1.3 freeze candidate as synthetic instrument-air family FAM-HO-INSTRUMENT-AIR-001 with one clean scenario and seven controlled variants. Freeze exact check IDs and versions, findings, evidence locators, result states, CLI exits, relationship goldens, hashes, material-distinction evidence, and contamination controls. Treat the family as self-authored pre-tuning and not independently blind. User acceptance activates frozen_pre_tuning without editing protected content; P2.1 remains blocked until that gate.</x:v>
      </x:c>
      <x:c r="D46" s="78" t="str">
        <x:v>The family differs from the development pump skid in identifiers, record placement, controlled paths, revision schemes, relationship topology, package size, authority behavior, and fault locations. Seven release-blocking variants exceed the held-out minimum, evaluator_uncertainty covers non-automatic-fail routing, and the compound revision/title case freezes precedence expectations without implementing evaluator behavior. Hash and access controls establish an auditable split before rule tuning.</x:v>
      </x:c>
      <x:c r="E46" s="78" t="str">
        <x:v>Active</x:v>
      </x:c>
      <x:c r="F46" s="78" t="str">
        <x:v>P1.3-P4</x:v>
      </x:c>
      <x:c r="G46" s="78" t="str">
        <x:v>benchmarks/package_assurance/held_out/instrument_air_module_v1; tests/test_held_out_package_fixtures.py; freeze-set hash 428f8c31f35e5c4f20a345621b937628c686576617bb5348db60db4d90e25884; docs/package_assurance/acceptance_plan_v0.3.0.md; D-035; D-042; EV-040</x:v>
      </x:c>
      <x:c r="H46" s="78" t="str">
        <x:v>Revisit only through recorded benchmark change control if user review finds a fixture defect or if held-out content becomes contaminated. Preserve original hashes and evidence; never edit a golden to match evaluator output. After acceptance, P2 implementers must not inspect this directory before first held-out execution.</x:v>
      </x:c>
    </x:row>
    <x:row r="47" ht="153" customHeight="1">
      <x:c r="A47" s="78" t="str">
        <x:v>D-044</x:v>
      </x:c>
      <x:c r="B47" s="78" t="n">
        <x:v>46219</x:v>
      </x:c>
      <x:c r="C47" s="78" t="str">
        <x:v>Accept P1.3 at pushed commit 4b7516e, activate the held-out family's recorded frozen_pre_tuning status without editing protected content, and authorize P2.1 package inventory gates only on feature/package-inventory-gates. Prohibit P2 implementers from inspecting or executing the accepted held-out family before the controlled held-out run.</x:v>
      </x:c>
      <x:c r="D47" s="78" t="str">
        <x:v>The user explicitly accepted P1.3 and instructed the project to begin the next step. The accepted benchmark protocol requires implementation and tuning to use development inputs while the protected held-out family remains inaccessible. Capability-bounded authorization preserves that split and keeps P2.2 relationship checks and later state/report behavior gated.</x:v>
      </x:c>
      <x:c r="E47" s="78" t="str">
        <x:v>Active</x:v>
      </x:c>
      <x:c r="F47" s="78" t="str">
        <x:v>P1.3-P2.1</x:v>
      </x:c>
      <x:c r="G47" s="78" t="str">
        <x:v>User direction 2026-07-16; commit 4b7516e; feature/package-inventory-gates; D-035; D-043; EV-040; EV-041</x:v>
      </x:c>
      <x:c r="H47" s="78" t="str">
        <x:v>Revisit only through recorded benchmark change control if the held-out family becomes exposed or contaminated. Stop after P2.1 verification for user acceptance before P2.2.</x:v>
      </x:c>
    </x:row>
    <x:row r="48" ht="171" customHeight="1">
      <x:c r="A48" s="78" t="str">
        <x:v>D-045</x:v>
      </x:c>
      <x:c r="B48" s="78" t="n">
        <x:v>46219</x:v>
      </x:c>
      <x:c r="C48" s="78" t="str">
        <x:v>Freeze the P2.1 implementation boundary as eight ordered, deterministic package gates for manifest, source inventory/parse, authority, boundary/file references, canonical identifiers, duplicates, revisions, and evidence locators. Gate outputs carry stable findings and prerequisite skips but do not select a package-level result state. Mark implementation 100% verified while retaining In Progress status until user acceptance.</x:v>
      </x:c>
      <x:c r="D48" s="78" t="str">
        <x:v>This satisfies the P2.1 acceptance criteria without crossing into P2.2 relationships, P2.3 BOM/datasheet consistency, P2.4 state routing, P3 outputs, or deferred capabilities. Keeping gate findings separate from package-state selection preserves the accepted architecture and makes prerequisite suppression auditable.</x:v>
      </x:c>
      <x:c r="E48" s="78" t="str">
        <x:v>Active</x:v>
      </x:c>
      <x:c r="F48" s="78" t="str">
        <x:v>P2.1</x:v>
      </x:c>
      <x:c r="G48" s="78" t="str">
        <x:v>commit e1ada72; feature/package-inventory-gates; src/mech_eval_harness/package_assurance/adapters.py; gates.py; models.py; tests/test_package_gates.py; EV-042</x:v>
      </x:c>
      <x:c r="H48" s="78" t="str">
        <x:v>User acceptance closes P2.1. Any relationship comparison, aggregate state, CLI exit, report, or held-out semantic evaluation requires a later authorized WBS.</x:v>
      </x:c>
    </x:row>
    <x:row r="49" ht="198" customHeight="1">
      <x:c r="A49" s="78" t="str">
        <x:v>D-046</x:v>
      </x:c>
      <x:c r="B49" s="78" t="n">
        <x:v>46219</x:v>
      </x:c>
      <x:c r="C49" s="78" t="str">
        <x:v>Preserve package-assurance benchmark files byte-for-byte with a repository .gitattributes rule after Windows checkout conversion caused raw inventory hashes to fail. Restore held-out working files from their existing committed blobs and retain the development authority-map bytes already named by its accepted inventory. Record that tracked held-out path names were inadvertently enumerated during P2.1; protected source/oracle content was not opened or used for tuning.</x:v>
      </x:c>
      <x:c r="D49" s="78" t="str">
        <x:v>Raw-byte fixture inventories are valid only if Git does not rewrite line endings. The repair makes checkout behavior reproducible without changing JSON values, expected findings, expected states, fixture hashes, or the freeze-set hash. The access disclosure preserves benchmark governance: this pilot was already self-authored and not independently blind, and the first semantic held-out run remains gated.</x:v>
      </x:c>
      <x:c r="E49" s="78" t="str">
        <x:v>Active</x:v>
      </x:c>
      <x:c r="F49" s="78" t="str">
        <x:v>P1.2-P2.1</x:v>
      </x:c>
      <x:c r="G49" s="78" t="str">
        <x:v>.gitattributes; accepted development and held-out inventories; full-suite runs; EV-043</x:v>
      </x:c>
      <x:c r="H49" s="78" t="str">
        <x:v>Do not claim independent blindness. Future held-out access or semantic execution must be recorded separately; protected oracle content remains excluded from evaluator implementation and tuning.</x:v>
      </x:c>
    </x:row>
    <x:row r="50" ht="207" customHeight="1">
      <x:c r="A50" s="78" t="str">
        <x:v>D-047</x:v>
      </x:c>
      <x:c r="B50" s="78" t="n">
        <x:v>46219</x:v>
      </x:c>
      <x:c r="C50" s="78" t="str">
        <x:v>Insert a stabilization and improvement-loop block before P2.1 acceptance. Require package-relative evidence paths to reject POSIX traversal plus Windows drive, UNC, and backslash forms; accept only the JSON fixture-profile version implemented by the pilot; add regression tests, Ruff CI, an 80% coverage floor, and a single durable improvement register. Derive P2 dashboard progress from P2.1-P2.4 rows. Do not add P2.2 behavior.</x:v>
      </x:c>
      <x:c r="D50" s="78" t="str">
        <x:v>The review found small trust gaps and one inaccurate project-control signal. Closing them before adding relationship logic reduces repeated defects and turns corrections into repository checks. Formula-derived progress prevents the prior manual 100% error. A thin vertical slice is preferred for the next product increment because it will prove user-visible flow without broad horizontal expansion.</x:v>
      </x:c>
      <x:c r="E50" s="78" t="str">
        <x:v>Active</x:v>
      </x:c>
      <x:c r="F50" s="78" t="str">
        <x:v>P2.1 / Project control</x:v>
      </x:c>
      <x:c r="G50" s="78" t="str">
        <x:v>docs/quality/improvement_register.md; src/mech_eval_harness/package_assurance/{models.py,adapters.py}; tests/test_package_models.py; tests/test_package_gates.py; .github/workflows/ci.yml; pyproject.toml; EV-044</x:v>
      </x:c>
      <x:c r="H50" s="78" t="str">
        <x:v>P2.1 acceptance closes this stabilization gate. Revisit the controls only if evidence shows burden without defect prevention. Independently blind validation and gate-module decomposition remain future decisions.</x:v>
      </x:c>
    </x:row>
    <x:row r="51" ht="189" customHeight="1">
      <x:c r="A51" s="78" t="str">
        <x:v>D-048</x:v>
      </x:c>
      <x:c r="B51" s="78" t="n">
        <x:v>46220</x:v>
      </x:c>
      <x:c r="C51" s="78" t="str">
        <x:v>Accept the stabilization controls and P2.1 package gates. Authorize a separate P2.2 definition block for one drawing-register-to-metadata relationship slice. Require an accepted definition before implementation and require the accepted feature chain to integrate through one reviewed pull request with green remote checks.</x:v>
      </x:c>
      <x:c r="D51" s="78" t="str">
        <x:v>The verified P2.1 gates now provide a fail-closed prerequisite boundary for relationship checks. Separating definition from implementation prevents the next slice from expanding into broad rule, state-routing, report, or CLI work and preserves the accepted feature chain as one reviewable integration baseline.</x:v>
      </x:c>
      <x:c r="E51" s="78" t="str">
        <x:v>Active</x:v>
      </x:c>
      <x:c r="F51" s="78" t="str">
        <x:v>P2.1 acceptance / P2.2 definition</x:v>
      </x:c>
      <x:c r="G51" s="78" t="str">
        <x:v>User acceptance in Codex on 2026-07-17; commits 13c2527 and 4d8dc81; PR #27; main 94d9117; green GitHub CI; D-047; EV-044; EV-045; EV-047; codex/stabilization-improvement-loop</x:v>
      </x:c>
      <x:c r="H51" s="78" t="str">
        <x:v>P2.1 integration is complete. The P2.2 definition was accepted separately under D-049 and D-050; its exact implementation is authorized while all excluded capabilities remain blocked.</x:v>
      </x:c>
    </x:row>
    <x:row r="52" ht="234" customHeight="1">
      <x:c r="A52" s="78" t="str">
        <x:v>D-049</x:v>
      </x:c>
      <x:c r="B52" s="78" t="n">
        <x:v>46220</x:v>
      </x:c>
      <x:c r="C52" s="78" t="str">
        <x:v>Propose the first P2.2 implementation slice as drawing-register-to-metadata current-revision agreement. Use exact normalized drawing_number joins, drawing_register as authority under AUTH-DWG-001, check drawing_register_metadata_revision v0.3.0, and finding DRAWING_REVISION_MISMATCH. Classify a valid-value conflict as high-severity automatic_fail with a release hold and exact evidence from both sources. Keep implementation in relationships.py and leave package routing and CLI/report rendering to later WBS blocks.</x:v>
      </x:c>
      <x:c r="D52" s="78" t="str">
        <x:v>A valid but conflicting revision passes P2.1 input gates and therefore proves the new cross-document relationship layer rather than another parse or gate failure. This is the smallest useful document-control check with an explicit authority rule and reproducible evidence. Defining the future state and CLI handoff now prevents later layers from reinterpreting the finding while preserving the sequential WBS implementation boundary.</x:v>
      </x:c>
      <x:c r="E52" s="78" t="str">
        <x:v>Accepted</x:v>
      </x:c>
      <x:c r="F52" s="78" t="str">
        <x:v>P2.2</x:v>
      </x:c>
      <x:c r="G52" s="78" t="str">
        <x:v>docs/package_assurance/p2_2_relationship_slice_definition_v0.3.0.md; workflow_contract_v0.3.0.md; acceptance_plan_v0.3.0.md; authority_map_example_v0.3.0.json; EV-046; EV-047</x:v>
      </x:c>
      <x:c r="H52" s="78" t="str">
        <x:v>Accepted by the user on 2026-07-17. Missing/extra drawings, other metadata fields, revision history, tags, BOM/equipment, datasheet/specification, routing, reports, CLI, semantic held-out evaluation, and deferred capabilities remain excluded.</x:v>
      </x:c>
    </x:row>
    <x:row r="53" ht="225" customHeight="1">
      <x:c r="A53" s="78" t="str">
        <x:v>D-050</x:v>
      </x:c>
      <x:c r="B53" s="78" t="n">
        <x:v>46220</x:v>
      </x:c>
      <x:c r="C53" s="78" t="str">
        <x:v>Accept D-049 and authorize implementation of only drawing_register_metadata_revision v0.3.0 on a separate P2.2 branch. Require the implementation to consume the completed P2.1 evaluation, preserve prerequisite skips, emit the frozen high-severity release-hold finding with both exact locators, remain deterministic under repeated runs and record reordering, and leave package-state routing and all other relationships unimplemented.</x:v>
      </x:c>
      <x:c r="D53" s="78" t="str">
        <x:v>The accepted definition is narrow enough to prove the first cross-document evaluator boundary without reopening P2.1 or expanding horizontally. Explicitly carrying its exclusions into the authorization prevents a valid implementation block from becoming an unreviewed rule-engine, reporting, CLI, fixture, or held-out-evaluation block.</x:v>
      </x:c>
      <x:c r="E53" s="78" t="str">
        <x:v>Active</x:v>
      </x:c>
      <x:c r="F53" s="78" t="str">
        <x:v>P2.2 acceptance / implementation</x:v>
      </x:c>
      <x:c r="G53" s="78" t="str">
        <x:v>User acceptance in Codex on 2026-07-17; definition commit e9e1a31; draft PR #28; D-049; EV-046; EV-047; PR #27; main 94d9117; docs/package_assurance/p2_2_relationship_slice_definition_v0.3.0.md</x:v>
      </x:c>
      <x:c r="H53" s="78" t="str">
        <x:v>Revisit only if implementation exposes a concrete contract conflict. Any additional relationship, state-routing change, accepted-fixture mutation, semantic held-out execution, or downstream capability requires a separate gate decision.</x:v>
      </x:c>
    </x:row>
    <x:row r="54" ht="234" customHeight="1">
      <x:c r="A54" s="78" t="str">
        <x:v>D-051</x:v>
      </x:c>
      <x:c r="B54" s="78" t="n">
        <x:v>46220</x:v>
      </x:c>
      <x:c r="C54" s="78" t="str">
        <x:v>Implement the accepted first P2.2 slice in a separate relationships.py module with dedicated relationship result and finding records. Keep finding identity independent of row numbers and JSON array positions, expose no package-state router, and leave gates.py unchanged. Record the slice as review-ready without closing broader P2.2.</x:v>
      </x:c>
      <x:c r="D54" s="78" t="str">
        <x:v>The isolated module preserves the accepted P2.1 boundary and makes the first cross-document result inspectable without growing the gate engine. Position-independent semantic IDs satisfy the reorder requirement while exact locators still report the physical evidence location for each run. Keeping P2.2 open prevents one successful comparison from overstating relationship coverage.</x:v>
      </x:c>
      <x:c r="E54" s="78" t="str">
        <x:v>Active</x:v>
      </x:c>
      <x:c r="F54" s="78" t="str">
        <x:v>P2.2 first implementation slice</x:v>
      </x:c>
      <x:c r="G54" s="78" t="str">
        <x:v>definition commit e9e1a31; draft PR #28; implementation commit f33ef1b; draft PR #29; GitHub CI green; src/mech_eval_harness/package_assurance/{relationships.py,models.py,__init__.py}; tests/test_package_relationships.py; focused 30; full 201/1; coverage 84.64%; EV-048</x:v>
      </x:c>
      <x:c r="H54" s="78" t="str">
        <x:v>Revisit if review finds a contract mismatch or if later P2.2 rules demonstrate a small shared abstraction. Do not generalize into a rule engine before repeated evidence justifies it.</x:v>
      </x:c>
    </x:row>
    <x:row r="55" ht="225" customHeight="1">
      <x:c r="A55" s="78" t="str">
        <x:v>D-052</x:v>
      </x:c>
      <x:c r="B55" s="78" t="n">
        <x:v>46220</x:v>
      </x:c>
      <x:c r="C55" s="78" t="str">
        <x:v>Treat the user merge of PR #29 into codex/p2.2-relationship-slice-definition as acceptance of the first P2.2 implementation slice. Use combined PR #28 as the single integration path to main, and block another relationship slice until that pull request is merged and its exact main commit and checks are verified.</x:v>
      </x:c>
      <x:c r="D55" s="78" t="str">
        <x:v>PR #29 was intentionally stacked on the accepted definition branch, so its merge accepted the implementation without yet advancing main. Keeping PR #28 as the final integration pull request preserves the complete reviewed chain and prevents project controls from mistaking an intermediate branch merge for main integration.</x:v>
      </x:c>
      <x:c r="E55" s="78" t="str">
        <x:v>Active</x:v>
      </x:c>
      <x:c r="F55" s="78" t="str">
        <x:v>P2.2 first-slice acceptance / integration</x:v>
      </x:c>
      <x:c r="G55" s="78" t="str">
        <x:v>User merge of PR #29 on 2026-07-17; PR #29 merge commit d714f4e; combined PR #28; green GitHub CI; D-049-D-051; EV-046-EV-049</x:v>
      </x:c>
      <x:c r="H55" s="78" t="str">
        <x:v>Close when PR #28 merges to main and the merge commit, clean branch state, and remote checks are recorded. Additional relationships and downstream layers remain blocked until then.</x:v>
      </x:c>
    </x:row>
    <x:row r="56" ht="216" customHeight="1">
      <x:c r="A56" s="78" t="str">
        <x:v>D-053</x:v>
      </x:c>
      <x:c r="B56" s="78" t="n">
        <x:v>46220</x:v>
      </x:c>
      <x:c r="C56" s="78" t="str">
        <x:v>Close integration of the first P2.2 relationship slice through PR #28. Record GitHub merge commit 5866212 as the accepted main baseline after green CI and exact merged-tree verification. Preserve broader P2.2 as open and authorize only a separate definition block for the next smallest relationship gap.</x:v>
      </x:c>
      <x:c r="D56" s="78" t="str">
        <x:v>The stacked implementation was already accepted through PR #29, and PR #28 was the reviewed integration path. Verifying the exact merged tree closes the topology and control ambiguity before another relationship is defined. Keeping broader P2.2 open avoids treating one revision comparison as complete package relationship assurance.</x:v>
      </x:c>
      <x:c r="E56" s="78" t="str">
        <x:v>Accepted</x:v>
      </x:c>
      <x:c r="F56" s="78" t="str">
        <x:v>P2.2 first-slice integration</x:v>
      </x:c>
      <x:c r="G56" s="78" t="str">
        <x:v>PR #28; main 5866212; PR #29 d714f4e; green GitHub CI; focused 30; full 201/1; validation 5/5; Ruff; coverage 84.64%; EV-050</x:v>
      </x:c>
      <x:c r="H56" s="78" t="str">
        <x:v>Accepted on explicit user authorization dated 2026-07-17. Reopen only if merge verification or protected-asset integrity is disproved.</x:v>
      </x:c>
    </x:row>
    <x:row r="57" ht="261" customHeight="1">
      <x:c r="A57" s="78" t="str">
        <x:v>D-054</x:v>
      </x:c>
      <x:c r="B57" s="78" t="n">
        <x:v>46220</x:v>
      </x:c>
      <x:c r="C57" s="78" t="str">
        <x:v>Propose the second P2.2 slice as drawing_register_metadata_presence v0.3.0. Check only authoritative register drawings missing drawing-metadata counterparts by exact normalized drawing_number. Use AUTH-DWG-001, finding DRAWING_METADATA_MISSING, automatic_fail, high severity, release_hold true, document_control ownership, and evidence from the register row plus the searched metadata records collection. Keep metadata-without-register authority as a separate later slice.</x:v>
      </x:c>
      <x:c r="D57" s="78" t="str">
        <x:v>The two directions of apparent counterpart completeness are not equivalent. A required secondary metadata value missing under AUTH-DWG-001 is automatic_fail, while metadata with no register record is missing_authoritative_information and needs a different negative-evidence contract. Splitting the directions preserves clear authority, result-state, evidence, and review semantics while keeping implementation small.</x:v>
      </x:c>
      <x:c r="E57" s="78" t="str">
        <x:v>Accepted</x:v>
      </x:c>
      <x:c r="F57" s="78" t="str">
        <x:v>P2.2 second-slice definition</x:v>
      </x:c>
      <x:c r="G57" s="78" t="str">
        <x:v>docs/package_assurance/p2_2_drawing_metadata_presence_definition_v0.3.0.md; workflow_contract_v0.3.0.md; authority_map_example_v0.3.0.json; accepted first-slice definition; D-053; EV-050; EV-051; IMP-009</x:v>
      </x:c>
      <x:c r="H57" s="78" t="str">
        <x:v>Accepted by the user on 2026-07-17. Implementation is limited to this exact directional check and remains sequenced behind verified PR #30 integration. Reverse orphan detection, other relationships, routing, reports, CLI, semantic held-out evaluation, and deferred capabilities remain blocked.</x:v>
      </x:c>
    </x:row>
    <x:row r="58" ht="243" customHeight="1">
      <x:c r="A58" s="78" t="str">
        <x:v>D-055</x:v>
      </x:c>
      <x:c r="B58" s="78" t="n">
        <x:v>46220</x:v>
      </x:c>
      <x:c r="C58" s="78" t="str">
        <x:v>Accept drawing_register_metadata_presence v0.3.0 as the second P2.2 relationship-slice definition and authorize implementation only after PR #30 is merged to main and the exact merge is verified. Use codex/p2.2-drawing-metadata-presence-implementation for the implementation block.</x:v>
      </x:c>
      <x:c r="D58" s="78" t="str">
        <x:v>The accepted definition resolves authority, result state, evidence, stable ordering, prerequisite behavior, tests, and exclusions before code changes. Sequencing implementation behind integration keeps the reviewed contract and executable work in separate auditable gates.</x:v>
      </x:c>
      <x:c r="E58" s="78" t="str">
        <x:v>Accepted</x:v>
      </x:c>
      <x:c r="F58" s="78" t="str">
        <x:v>P2.2 second-slice acceptance</x:v>
      </x:c>
      <x:c r="G58" s="78" t="str">
        <x:v>User acceptance 2026-07-17; PR #30; commit 641b86f; D-054; EV-051; EV-052</x:v>
      </x:c>
      <x:c r="H58" s="78" t="str">
        <x:v>Authorization applies only to drawing_register_metadata_presence v0.3.0. Reverse orphan metadata, additional relationships, downstream routing, reports, CLI changes, semantic held-out evaluation, and deferred capabilities remain blocked.</x:v>
      </x:c>
    </x:row>
    <x:row r="59" ht="261" customHeight="1">
      <x:c r="A59" s="78" t="str">
        <x:v>D-056</x:v>
      </x:c>
      <x:c r="B59" s="78" t="n">
        <x:v>46220</x:v>
      </x:c>
      <x:c r="C59" s="78" t="str">
        <x:v>Close integration of the accepted drawing_register_metadata_presence v0.3.0 definition through PR #30 at main commit 551200b after green CI and exact merged-tree verification. Open only the scoped implementation block on codex/p2.2-drawing-metadata-presence-implementation.</x:v>
      </x:c>
      <x:c r="D59" s="78" t="str">
        <x:v>The definition is now part of the verified main baseline, so implementation can proceed without mixing contract approval with executable behavior. Keeping the branch and scope narrow preserves the accepted P2.1 gate boundary, the first revision check, and the separate authority treatment required for reverse orphan metadata.</x:v>
      </x:c>
      <x:c r="E59" s="78" t="str">
        <x:v>Accepted</x:v>
      </x:c>
      <x:c r="F59" s="78" t="str">
        <x:v>P2.2 second-slice integration / implementation authorization</x:v>
      </x:c>
      <x:c r="G59" s="78" t="str">
        <x:v>PR #30; main 551200b; green GitHub CI; focused 30; full 201/1; validation 5/5; Ruff; coverage 84.64%; D-054-D-055; EV-051-EV-053</x:v>
      </x:c>
      <x:c r="H59" s="78" t="str">
        <x:v>Implement only drawing_register_metadata_presence v0.3.0. P2.2 remains open until implementation is reviewed and accepted. Reverse orphan metadata, additional relationships, routing, reports, CLI changes, semantic held-out evaluation, and deferred capabilities remain blocked.</x:v>
      </x:c>
    </x:row>
    <x:row r="60" ht="279" customHeight="1">
      <x:c r="A60" s="78" t="str">
        <x:v>D-057</x:v>
      </x:c>
      <x:c r="B60" s="78" t="n">
        <x:v>46220</x:v>
      </x:c>
      <x:c r="C60" s="78" t="str">
        <x:v>Implement only drawing_register_metadata_presence v0.3.0 in relationships.py. Append it after the accepted revision check, reuse AUTH-DWG-001, emit one deterministic DRAWING_METADATA_MISSING automatic-fail high-severity release hold per missing register counterpart, and use the authoritative drawing-number locator plus a searched drawing-metadata /records collection locator. Preserve P2.1 gates, revision semantics, and all blocked capabilities.</x:v>
      </x:c>
      <x:c r="D60" s="78" t="str">
        <x:v>The accepted definition resolves the authority and negative-evidence ambiguity before code. A separate check keeps missing counterparts independent from revision conflicts, while the collection locator proves what was searched without fabricating a nonexistent metadata record. Temporary-copy tests prove clean, one-missing, all-missing, repeatability, ordering, and prerequisite behavior without modifying protected assets.</x:v>
      </x:c>
      <x:c r="E60" s="78" t="str">
        <x:v>Accepted</x:v>
      </x:c>
      <x:c r="F60" s="78" t="str">
        <x:v>P2.2 second-slice implementation</x:v>
      </x:c>
      <x:c r="G60" s="78" t="str">
        <x:v>implementation commit b24ca65; draft PR #31; green GitHub CI; src/mech_eval_harness/package_assurance/{relationships.py,__init__.py}; tests/test_package_relationships.py; focused 35; full 206/1; validation 5/5; Ruff; coverage 84.93%; EV-054</x:v>
      </x:c>
      <x:c r="H60" s="78" t="str">
        <x:v>Ready for explicit user acceptance. Do not merge or begin reverse orphan detection, another relationship, routing, reports, CLI changes, semantic held-out evaluation, or deferred capabilities before acceptance.</x:v>
      </x:c>
    </x:row>
    <x:row r="61" ht="270" customHeight="1">
      <x:c r="A61" s="78" t="str">
        <x:v>D-058</x:v>
      </x:c>
      <x:c r="B61" s="78" t="n">
        <x:v>46220</x:v>
      </x:c>
      <x:c r="C61" s="78" t="str">
        <x:v>Accept the drawing_register_metadata_presence v0.3.0 implementation at b24ca65 and authorize PR #31 integration after green checks. After exact merged-tree verification, authorize only a definition block for drawing-metadata records that lack authoritative drawing-register entries; do not implement that reverse direction before its own acceptance.</x:v>
      </x:c>
      <x:c r="D61" s="78" t="str">
        <x:v>The implementation matches the accepted one-directional contract, preserves the P2.1 and revision boundaries, and proves deterministic negative evidence through focused, full-suite, local validation, coverage, and GitHub CI results. Separating integration from the next authority decision preserves an auditable baseline and prevents the reverse direction from inheriting the wrong automatic-fail semantics.</x:v>
      </x:c>
      <x:c r="E61" s="78" t="str">
        <x:v>Accepted</x:v>
      </x:c>
      <x:c r="F61" s="78" t="str">
        <x:v>P2.2 second-slice acceptance / integration</x:v>
      </x:c>
      <x:c r="G61" s="78" t="str">
        <x:v>User acceptance 2026-07-17; b24ca65; PR #31; green GitHub CI; focused 35; full 206/1; validation 5/5; Ruff; coverage 84.93%; D-057; EV-054-EV-055</x:v>
      </x:c>
      <x:c r="H61" s="78" t="str">
        <x:v>Merge and verify PR #31 before the next definition branch. Reverse orphan implementation, other relationships, routing, reports, CLI changes, semantic held-out evaluation, and deferred capabilities remain blocked.</x:v>
      </x:c>
    </x:row>
    <x:row r="62" ht="270" customHeight="1">
      <x:c r="A62" s="78" t="str">
        <x:v>D-059</x:v>
      </x:c>
      <x:c r="B62" s="78" t="n">
        <x:v>46220</x:v>
      </x:c>
      <x:c r="C62" s="78" t="str">
        <x:v>Close integration of drawing_register_metadata_presence v0.3.0 through PR #31 at main commit 36338c0 after user acceptance, green CI, and exact merged-tree verification. Preserve broader P2.2 as open and authorize only a definition block for drawing-metadata records with no authoritative register row.</x:v>
      </x:c>
      <x:c r="D62" s="78" t="str">
        <x:v>The accepted implementation is now part of a clean, verified main baseline. Closing integration before another direction is defined prevents pending branch state from leaking into the next authority decision. A definition-only block preserves the distinction between a missing secondary value and missing authoritative information.</x:v>
      </x:c>
      <x:c r="E62" s="78" t="str">
        <x:v>Accepted</x:v>
      </x:c>
      <x:c r="F62" s="78" t="str">
        <x:v>P2.2 second-slice integration / third-slice definition authorization</x:v>
      </x:c>
      <x:c r="G62" s="78" t="str">
        <x:v>PR #31; head 8a5d56a; main 36338c0; green GitHub CI; focused 35; full 206/1; validation 5/5; Ruff; coverage 84.93%; D-058; EV-056</x:v>
      </x:c>
      <x:c r="H62" s="78" t="str">
        <x:v>Authorize definition only. Do not implement reverse authority detection, another relationship, routing, reports, CLI changes, semantic held-out evaluation, or deferred capabilities before a separate accepted decision.</x:v>
      </x:c>
    </x:row>
    <x:row r="63" ht="315" customHeight="1">
      <x:c r="A63" s="78" t="str">
        <x:v>D-060</x:v>
      </x:c>
      <x:c r="B63" s="78" t="n">
        <x:v>46220</x:v>
      </x:c>
      <x:c r="C63" s="78" t="str">
        <x:v>Propose drawing_metadata_register_authority v0.3.0 as the third P2.2 check. Select accepted drawing-metadata records absent from the authoritative drawing register by exact normalized drawing_number. Resolve only the AUTH-DWG-001 drawing.current_revision authority path; do not generalize register authority to other metadata fields or package inventory. Emit DRAWING_REGISTER_AUTHORITY_MISSING with missing_authoritative_information, high severity, release_hold true, AUTH-DWG-001, and document_control ownership. Use the metadata drawing-number locator plus a drawing-register membership snapshot anchored to the CSV drawing_number header at physical row 1.</x:v>
      </x:c>
      <x:c r="D63" s="78" t="str">
        <x:v>Metadata cannot authorize its own current-revision claim. AUTH-DWG-001 makes the register authoritative for drawing.current_revision and names metadata as secondary, so a metadata record with no matching register row lacks that required authority. The row-1 header anchor satisfies the CSV locator contract and proves the searched column without inventing a nonexistent data row. Temporary-copy probes show that removing one or both register data rows leaves P2.1 green and does not trigger either accepted P2.2 check, isolating the proposed behavior.</x:v>
      </x:c>
      <x:c r="E63" s="78" t="str">
        <x:v>Proposed</x:v>
      </x:c>
      <x:c r="F63" s="78" t="str">
        <x:v>P2.2 third-slice definition</x:v>
      </x:c>
      <x:c r="G63" s="78" t="str">
        <x:v>docs/package_assurance/p2_2_drawing_metadata_register_authority_definition_v0.3.0.md; workflow_contract_v0.3.0.md; authority_map_example_v0.3.0.json; acceptance_plan_v0.3.0.md; models.py; development source layouts; temporary P2.1 probes; D-059; EV-056-EV-057; IMP-009</x:v>
      </x:c>
      <x:c r="H63" s="78" t="str">
        <x:v>Ready for explicit user definition review. Implementation, package-state routing, reports, CLI changes, semantic held-out evaluation, protected-asset changes, and all deferred capabilities remain blocked.</x:v>
      </x:c>
    </x:row>
    <x:row r="64" ht="324" customHeight="1">
      <x:c r="A64" s="78" t="str">
        <x:v>D-061</x:v>
      </x:c>
      <x:c r="B64" s="78" t="n">
        <x:v>46220</x:v>
      </x:c>
      <x:c r="C64" s="78" t="str">
        <x:v>Accept all three main drawing_metadata_register_authority v0.3.0 definition decisions: route metadata records with no register authority to missing_authoritative_information; apply AUTH-DWG-001 narrowly to the metadata current-revision claim; and use the exact metadata locator plus a row-1 header-anchored register membership snapshot without inventing a missing row. Authorize implementation only after PR #32 merges and exact main verification passes.</x:v>
      </x:c>
      <x:c r="D64" s="78" t="str">
        <x:v>The reviewed definition separates missing authority from missing secondary data, bounds AUTH-DWG-001 to its declared current-revision field, and resolves the CSV negative-evidence gap with a physical header anchor and deterministic membership. Integration before implementation preserves one accepted baseline and prevents definition and code from being reviewed as an inseparable change.</x:v>
      </x:c>
      <x:c r="E64" s="78" t="str">
        <x:v>Accepted</x:v>
      </x:c>
      <x:c r="F64" s="78" t="str">
        <x:v>P2.2 third-slice acceptance / integration authorization</x:v>
      </x:c>
      <x:c r="G64" s="78" t="str">
        <x:v>User acceptance 2026-07-17; b9b9c09; draft PR #32; two green GitHub CI checks; D-060; EV-057-EV-058</x:v>
      </x:c>
      <x:c r="H64" s="78" t="str">
        <x:v>Merge and verify PR #32 before implementation. Authorization is limited to drawing_metadata_register_authority v0.3.0. Other relationships, routing, reports, CLI changes, semantic held-out evaluation, protected-asset changes, and deferred capabilities remain blocked.</x:v>
      </x:c>
    </x:row>
    <x:row r="65" ht="270" customHeight="1">
      <x:c r="A65" s="78" t="str">
        <x:v>D-062</x:v>
      </x:c>
      <x:c r="B65" s="78" t="n">
        <x:v>46220</x:v>
      </x:c>
      <x:c r="C65" s="78" t="str">
        <x:v>Close integration of the accepted drawing_metadata_register_authority v0.3.0 definition through PR #32 at main commit 6d1f2f2 after green CI and exact merged-tree verification. Open only the scoped implementation block on codex/p2.2-drawing-metadata-register-authority-implementation.</x:v>
      </x:c>
      <x:c r="D65" s="78" t="str">
        <x:v>The accepted definition is now part of a clean, verified main baseline. Separating integration from executable behavior preserves the reviewed result-state and evidence decisions and prevents broader relationship or routing work from entering the implementation block.</x:v>
      </x:c>
      <x:c r="E65" s="78" t="str">
        <x:v>Accepted</x:v>
      </x:c>
      <x:c r="F65" s="78" t="str">
        <x:v>P2.2 third-slice definition integration / implementation authorization</x:v>
      </x:c>
      <x:c r="G65" s="78" t="str">
        <x:v>PR #32; head 9eded29; main 6d1f2f2; two green GitHub CI checks; focused 35; full 206/1; validation 5/5; Ruff; coverage 84.93%; D-061; EV-058-EV-059</x:v>
      </x:c>
      <x:c r="H65" s="78" t="str">
        <x:v>Implement only drawing_metadata_register_authority v0.3.0. Other relationships, routing, reports, CLI changes, semantic held-out evaluation, protected-asset changes, and deferred capabilities remain blocked.</x:v>
      </x:c>
    </x:row>
    <x:row r="66" ht="315" customHeight="1">
      <x:c r="A66" s="78" t="str">
        <x:v>D-063</x:v>
      </x:c>
      <x:c r="B66" s="78" t="n">
        <x:v>46220</x:v>
      </x:c>
      <x:c r="C66" s="78" t="str">
        <x:v>Implement only drawing_metadata_register_authority v0.3.0 at commit 8eb431d. Append it as the third check, emit one deterministic DRAWING_REGISTER_AUTHORITY_MISSING high-severity release hold in missing_authoritative_information per metadata record without register authority, and preserve exact metadata plus row-1 header-anchored register membership evidence.</x:v>
      </x:c>
      <x:c r="D66" s="78" t="str">
        <x:v>The accepted contract resolves the different result state and the negative-evidence problem before code. A separate check preserves both earlier relationship semantics. Temporary-copy tests prove clean, one-row, empty-register, repeatability, source-order, and prerequisite behavior without modifying accepted or protected assets.</x:v>
      </x:c>
      <x:c r="E66" s="78" t="str">
        <x:v>Active</x:v>
      </x:c>
      <x:c r="F66" s="78" t="str">
        <x:v>P2.2 third-slice implementation</x:v>
      </x:c>
      <x:c r="G66" s="78" t="str">
        <x:v>implementation commit 8eb431d; draft PR #33; two green GitHub CI runs; codex/p2.2-drawing-metadata-register-authority-implementation; src/mech_eval_harness/package_assurance/{relationships.py,__init__.py}; tests/test_package_relationships.py; focused 40; full 211/1; validation 5/5; Ruff; coverage 85.18%; EV-060</x:v>
      </x:c>
      <x:c r="H66" s="78" t="str">
        <x:v>Ready for explicit user acceptance. Do not integrate or begin another relationship, routing, report, CLI, semantic held-out evaluation, protected-asset change, or deferred capability before acceptance.</x:v>
      </x:c>
    </x:row>
    <x:row r="67" ht="315" customHeight="1">
      <x:c r="A67" s="78" t="str">
        <x:v>D-064</x:v>
      </x:c>
      <x:c r="B67" s="78" t="n">
        <x:v>46220</x:v>
      </x:c>
      <x:c r="C67" s="78" t="str">
        <x:v>Accept drawing_metadata_register_authority v0.3.0 implementation 8eb431d and authorize PR #33 integration after green checks. After exact merged-tree verification, authorize only a definition block for the next smallest P2.2 relationship gap; do not implement another relationship before its own acceptance.</x:v>
      </x:c>
      <x:c r="D67" s="78" t="str">
        <x:v>The implementation matches the accepted missing-authority state, narrow AUTH-DWG-001 scope, negative-evidence locator, stable order, and prerequisite boundary. Local focused, full-suite, validation, lint, coverage, and GitHub CI results establish review evidence while keeping the next relationship decision separate from executable work.</x:v>
      </x:c>
      <x:c r="E67" s="78" t="str">
        <x:v>Accepted</x:v>
      </x:c>
      <x:c r="F67" s="78" t="str">
        <x:v>P2.2 third-slice implementation acceptance / integration authorization</x:v>
      </x:c>
      <x:c r="G67" s="78" t="str">
        <x:v>User acceptance 2026-07-17; implementation 8eb431d; head 3663a68; draft PR #33; two green GitHub CI checks; focused 40; full 211/1; validation 5/5; Ruff; coverage 85.18%; D-063; EV-060-EV-061</x:v>
      </x:c>
      <x:c r="H67" s="78" t="str">
        <x:v>Merge and verify PR #33 before the next definition branch. Additional relationship implementation, routing, reports, CLI changes, semantic held-out evaluation, protected-asset changes, and deferred capabilities remain blocked.</x:v>
      </x:c>
    </x:row>
    <x:row r="68" ht="306" customHeight="1">
      <x:c r="A68" s="78" t="str">
        <x:v>D-065</x:v>
      </x:c>
      <x:c r="B68" s="78" t="n">
        <x:v>46220</x:v>
      </x:c>
      <x:c r="C68" s="78" t="str">
        <x:v>Close integration of drawing_metadata_register_authority v0.3.0 through PR #33 at exact main commit 8d7f314 after user acceptance, green CI, and merged-tree verification. Preserve broader P2.2 as open and authorize only a definition block for the next smallest relationship gap.</x:v>
      </x:c>
      <x:c r="D68" s="78" t="str">
        <x:v>The accepted third check is now part of one clean, verified main baseline. Exact integration closure prevents pending branch state from leaking into the next authority decision. A definition-only next block preserves the review gate before another executable relationship is added.</x:v>
      </x:c>
      <x:c r="E68" s="78" t="str">
        <x:v>Accepted</x:v>
      </x:c>
      <x:c r="F68" s="78" t="str">
        <x:v>P2.2 third-slice integration / fourth-slice definition authorization</x:v>
      </x:c>
      <x:c r="G68" s="78" t="str">
        <x:v>PR #33; head 4067334; main 8d7f314; green GitHub CI; focused 40; full 211/1; validation 5/5; Ruff; coverage 85.37%; D-064; EV-061-EV-062</x:v>
      </x:c>
      <x:c r="H68" s="78" t="str">
        <x:v>Authorize definition only. Additional relationship implementation, routing, reports, CLI changes, semantic held-out evaluation, protected-asset changes, and deferred capabilities remain blocked.</x:v>
      </x:c>
    </x:row>
    <x:row r="69" ht="351" customHeight="1">
      <x:c r="A69" s="78" t="str">
        <x:v>D-066</x:v>
      </x:c>
      <x:c r="B69" s="78" t="n">
        <x:v>46220</x:v>
      </x:c>
      <x:c r="C69" s="78" t="str">
        <x:v>Propose drawing_register_metadata_file_reference v0.3.0 as the fourth P2.2 check. For exact normalized drawing-number pairs, compare authoritative drawing-register file_ref_id with drawing-metadata file_ref_id under AUTH-DWG-002. Emit DRAWING_FILE_REFERENCE_MISMATCH as automatic_fail, high severity, release_hold true, with document_control ownership. Require both field locators and both manifest file-resolution locators for the reviewed wrong-but-valid fault. Defer shared undeclared references and full manifest reciprocity.</x:v>
      </x:c>
      <x:c r="D69" s="78" t="str">
        <x:v>A controlled identifier can be valid and resolvable yet belong to the wrong drawing. The temporary probe changes only DWMETA-001 from FILE-DWG-001 to valid FILE-DWG-002; all eight P2.1 gates and all three accepted P2.2 checks still pass. A separate agreement check closes that exact gap without adding a new source, schema, duplicate policy, evidence model, or package-state router. Explicit exclusions prevent the slice from overstating complete drawing-to-file assurance.</x:v>
      </x:c>
      <x:c r="E69" s="78" t="str">
        <x:v>Proposed</x:v>
      </x:c>
      <x:c r="F69" s="78" t="str">
        <x:v>P2.2 fourth-slice definition</x:v>
      </x:c>
      <x:c r="G69" s="78" t="str">
        <x:v>definition commit d46d56f; draft PR #34; two green initial GitHub CI runs; docs/package_assurance/p2_2_drawing_file_reference_definition_v0.3.0.md; AUTH-DWG-002; workflow_contract_v0.3.0.md; models.py; relationships.py; development source layouts; temporary wrong-valid probe; D-065; EV-062-EV-063; IMP-010</x:v>
      </x:c>
      <x:c r="H69" s="78" t="str">
        <x:v>Ready for explicit user definition review on draft PR #34. Implementation, manifest reciprocity, undeclared source-reference handling, routing, reports, CLI changes, semantic held-out evaluation, protected-asset changes, and deferred capabilities remain blocked.</x:v>
      </x:c>
    </x:row>
    <x:row r="70" ht="360" customHeight="1">
      <x:c r="A70" s="78" t="str">
        <x:v>D-067</x:v>
      </x:c>
      <x:c r="B70" s="78" t="n">
        <x:v>46220</x:v>
      </x:c>
      <x:c r="C70" s="78" t="str">
        <x:v>Accept the complete drawing_register_metadata_file_reference v0.3.0 definition, including automatic_fail high-severity release-hold routing under AUTH-DWG-002, four exact evidence locators for the wrong-but-valid fault, and explicit deferral of shared undeclared source references and full manifest reciprocity. Authorize PR #34 integration and, only after exact merged-main verification, the dedicated implementation block.</x:v>
      </x:c>
      <x:c r="D70" s="78" t="str">
        <x:v>The definition isolates a proven escaped conflict while preserving honest product boundaries. The wrong-valid probe demonstrates that structural and boundary checks are insufficient. Exact evidence makes the conflict reviewable, and deferring adjacent controls prevents one check from claiming complete drawing-to-file assurance. Integration before implementation preserves an auditable accepted baseline.</x:v>
      </x:c>
      <x:c r="E70" s="78" t="str">
        <x:v>Accepted</x:v>
      </x:c>
      <x:c r="F70" s="78" t="str">
        <x:v>P2.2 fourth-slice definition acceptance / integration authorization</x:v>
      </x:c>
      <x:c r="G70" s="78" t="str">
        <x:v>User acceptance 2026-07-17; definition d46d56f; head c15d42c; draft PR #34; two green GitHub CI runs; D-066; EV-063-EV-064</x:v>
      </x:c>
      <x:c r="H70" s="78" t="str">
        <x:v>Merge and verify PR #34 before implementation. Authorization is limited to drawing_register_metadata_file_reference v0.3.0. Manifest reciprocity, undeclared source-reference handling, other relationships, routing, reports, CLI, held-out semantics, protected-asset changes, and deferred capabilities remain blocked.</x:v>
      </x:c>
    </x:row>
    <x:row r="71" ht="315" customHeight="1">
      <x:c r="A71" s="78" t="str">
        <x:v>D-068</x:v>
      </x:c>
      <x:c r="B71" s="78" t="n">
        <x:v>46220</x:v>
      </x:c>
      <x:c r="C71" s="78" t="str">
        <x:v>Close integration of the accepted drawing_register_metadata_file_reference v0.3.0 definition through PR #34 at exact main commit 12c45dd after user acceptance, green CI, and merged-tree verification. Open only the scoped fourth-check implementation block on codex/p2.2-drawing-file-reference-implementation.</x:v>
      </x:c>
      <x:c r="D71" s="78" t="str">
        <x:v>The reviewed definition is now part of one clean main baseline. Exact integration before code preserves the accepted AUTH-DWG-002 conflict, evidence, ordering, and exclusion decisions while preventing broader relationship, reciprocity, routing, or reporting work from entering the implementation block.</x:v>
      </x:c>
      <x:c r="E71" s="78" t="str">
        <x:v>Accepted</x:v>
      </x:c>
      <x:c r="F71" s="78" t="str">
        <x:v>P2.2 fourth-slice definition integration / implementation authorization</x:v>
      </x:c>
      <x:c r="G71" s="78" t="str">
        <x:v>PR #34; head 15080d5; main 12c45dd; two green GitHub CI checks; focused 40; full 211/1; validation 5/5; Ruff; coverage 85.37%; D-067; EV-064-EV-065</x:v>
      </x:c>
      <x:c r="H71" s="78" t="str">
        <x:v>Implement only drawing_register_metadata_file_reference v0.3.0. Undeclared source-reference handling, manifest reciprocity, other relationships, routing, reports, CLI, semantic held-out evaluation, protected-asset changes, and deferred capabilities remain blocked.</x:v>
      </x:c>
    </x:row>
    <x:row r="72" ht="369" customHeight="1">
      <x:c r="A72" s="78" t="str">
        <x:v>D-069</x:v>
      </x:c>
      <x:c r="B72" s="78" t="n">
        <x:v>46220</x:v>
      </x:c>
      <x:c r="C72" s="78" t="str">
        <x:v>Implement only drawing_register_metadata_file_reference v0.3.0 at commit 74970c3. Append it as the fourth stable relationship check; compare exact drawing pairs under the exact accepted AUTH-DWG-002 semantics; emit deterministic DRAWING_FILE_REFERENCE_MISMATCH automatic-fail high-severity release holds; and preserve both source-field and resolved-manifest evidence. Keep the first three checks unchanged and do not add undeclared-reference or manifest-reciprocity behavior.</x:v>
      </x:c>
      <x:c r="D72" s="78" t="str">
        <x:v>The accepted wrong-but-valid fault proves that structural, presence, and boundary checks can all pass while metadata points to another drawing's valid file. A separate check closes only that agreement gap. Temporary-copy tests prove clean behavior, one and two faults, sorted stable identity, exact authority, prerequisite skips, and complete portable evidence without changing accepted or protected assets.</x:v>
      </x:c>
      <x:c r="E72" s="78" t="str">
        <x:v>Accepted</x:v>
      </x:c>
      <x:c r="F72" s="78" t="str">
        <x:v>P2.2 fourth-slice implementation</x:v>
      </x:c>
      <x:c r="G72" s="78" t="str">
        <x:v>implementation commit 74970c3; draft PR #35; two green GitHub CI checks; codex/p2.2-drawing-file-reference-implementation; src/mech_eval_harness/package_assurance/{relationships.py,__init__.py}; tests/test_package_relationships.py; relationship 19; focused 45; full 216/1; validation 5/5; Ruff; coverage 85.47%; EV-066; IMP-010-IMP-011</x:v>
      </x:c>
      <x:c r="H72" s="78" t="str">
        <x:v>Accepted by D-070 and integrated by D-071 at exact main e5db29e. No other relationship, declaration/reciprocity control, package-state router, report, CLI, semantic held-out evaluation, protected-asset change, or deferred capability was included.</x:v>
      </x:c>
    </x:row>
    <x:row r="73" ht="360" customHeight="1">
      <x:c r="A73" s="78" t="str">
        <x:v>D-070</x:v>
      </x:c>
      <x:c r="B73" s="78" t="n">
        <x:v>46222</x:v>
      </x:c>
      <x:c r="C73" s="78" t="str">
        <x:v>Accept drawing_register_metadata_file_reference v0.3.0 implementation 74970c3 and its reviewed evidence. Authorize PR #35 integration after final green checks, followed by exact merged-main verification. Preserve shared undeclared source references, manifest reciprocity, all other relationships, package-state routing, reports, CLI behavior, semantic held-out evaluation, and deferred capabilities as separate gated work.</x:v>
      </x:c>
      <x:c r="D73" s="78" t="str">
        <x:v>The implementation matches the accepted AUTH-DWG-002 contract, catches the proven wrong-but-valid target, preserves the first three checks, provides four portable locators, requires the exact authority semantics, and passes focused, full-suite, local validation, coverage, and GitHub CI evidence. Integration closes this bounded behavior without overstating complete drawing-to-file assurance.</x:v>
      </x:c>
      <x:c r="E73" s="78" t="str">
        <x:v>Accepted</x:v>
      </x:c>
      <x:c r="F73" s="78" t="str">
        <x:v>P2.2 fourth-slice implementation acceptance / integration authorization</x:v>
      </x:c>
      <x:c r="G73" s="78" t="str">
        <x:v>User acceptance 2026-07-19; implementation 74970c3; evidence cce416e; draft PR #35; two green pre-acceptance GitHub CI checks; D-069; EV-066-EV-067; IMP-010-IMP-011</x:v>
      </x:c>
      <x:c r="H73" s="78" t="str">
        <x:v>Merge and verify PR #35 before another work block. Authorization is limited to the reviewed fourth check. Declaration/reciprocity controls, other relationships, routing, reports, CLI, held-out semantics, protected-asset changes, and deferred capabilities remain blocked.</x:v>
      </x:c>
    </x:row>
    <x:row r="74" ht="351" customHeight="1">
      <x:c r="A74" s="78" t="str">
        <x:v>D-071</x:v>
      </x:c>
      <x:c r="B74" s="78" t="n">
        <x:v>46222</x:v>
      </x:c>
      <x:c r="C74" s="78" t="str">
        <x:v>Close integration of drawing_register_metadata_file_reference v0.3.0 through PR #35 at exact main commit e5db29e after explicit user acceptance, final green CI, and exact merged-tree verification. Record four ordered drawing checks as integrated while retaining P2.2 at 50%. Authorize only project review and next-gate selection before another implementation begins.</x:v>
      </x:c>
      <x:c r="D74" s="78" t="str">
        <x:v>The accepted fourth check is now part of one clean, verified main baseline. Closing its integration record prevents the controlling documents from overstating pending work or complete P2.2 assurance. Keeping the next gate unselected preserves deliberate sequencing and the separate authority, declaration/reciprocity, routing, reporting, CLI, and held-out boundaries.</x:v>
      </x:c>
      <x:c r="E74" s="78" t="str">
        <x:v>Accepted</x:v>
      </x:c>
      <x:c r="F74" s="78" t="str">
        <x:v>P2.2 fourth-slice integration closeout</x:v>
      </x:c>
      <x:c r="G74" s="78" t="str">
        <x:v>PR #35; accepted head 5d02872; implementation 74970c3; evidence cce416e; main e5db29e; final GitHub CI 2/2; relationship 19; focused 45; full 216/1; validation 5/5; Ruff; coverage 85.47%; EV-068</x:v>
      </x:c>
      <x:c r="H74" s="78" t="str">
        <x:v>No new executable behavior is authorized. Review the project state and accept or revise the next bounded gate. Protected assets, acceptance criteria, package-state routing, reports, CLI, semantic held-out execution, and deferred capabilities remain unchanged or blocked.</x:v>
      </x:c>
    </x:row>
    <x:row r="75" ht="405" customHeight="1">
      <x:c r="A75" s="431" t="str">
        <x:v>D-072</x:v>
      </x:c>
      <x:c r="B75" s="431" t="n">
        <x:v>46222</x:v>
      </x:c>
      <x:c r="C75" s="431" t="str">
        <x:v>Propose the first usable package-audit vertical slice and its delivery sequence for explicit review. Append drawing_register_manifest_file_reciprocity v0.3.0 under existing AUTH-DWG-002, then implement required-result completeness, package-state routing, canonical final findings, immutable package result, issue-register and release-readiness views, and audit-package CLI before broad P2.3 expansion. Keep P2.3 mandatory for v0.3.0 release. Clarify that authority-based final findings require authority_rule_id, while pre-authority structural, parser, path, evidence, and evaluator-integrity findings use an honest governing_control_id rather than a fabricated authority rule.</x:v>
      </x:c>
      <x:c r="D75" s="431" t="str">
        <x:v>The current horizontal dependency chain has produced strong individual checks but still no complete user-runnable package audit. A thin vertical slice exposes integration and product-value risks earlier, creates the stable output path that later P2.3 rules can reuse, and avoids changing protected held-out authority maps merely to add a new rule. The final-finding clarification is necessary because accepted P2.1 gate findings are smaller intermediate records than the P0.1 report contract promises.</x:v>
      </x:c>
      <x:c r="E75" s="431" t="str">
        <x:v>Proposed</x:v>
      </x:c>
      <x:c r="F75" s="431" t="str">
        <x:v>First usable audit definition / proposed P2.2-P2.4-P3 resequencing</x:v>
      </x:c>
      <x:c r="G75" s="431" t="str">
        <x:v>main baseline a18fc5f; codex/first-usable-audit-definition; docs/package_assurance/first_usable_audit_vertical_slice_definition_v0.3.0.md; workflow_contract_v0.3.0.md; acceptance_plan_v0.3.0.md; current models/gates/relationships/persistence/CLI; clean development manifest; IMP-012; EV-069</x:v>
      </x:c>
      <x:c r="H75" s="431" t="str">
        <x:v>Ready for explicit user review of all ten decisions. Do not implement the fifth check, result router/schema/persistence, reports, CLI, P2.3 expansion, semantic held-out evaluation, or deferred capabilities before acceptance. Existing Pilot Gantt predecessor cells remain unchanged during review.</x:v>
      </x:c>
    </x:row>
    <x:row r="76">
      <x:c r="A76" s="78" t="str">
        <x:v>D-073</x:v>
      </x:c>
      <x:c r="B76" s="78" t="n">
        <x:v>46222</x:v>
      </x:c>
      <x:c r="C76" s="78" t="str">
        <x:v>Accept all ten decisions in the first usable package-audit vertical-slice definition. Authorize only drawing_register_manifest_file_reciprocity v0.3.0 next on a separate branch under existing AUTH-DWG-002. After its acceptance and integration, sequence the minimum P2.4 result core, P3.1/P3.2 views, and P3.3 audit-package CLI before broad P2.3 expansion. Keep P2.3 mandatory before P4 and release. Accept the canonical final-finding clarification that authority findings require authority_rule_id while pre-authority structural, parser, path, evidence, and evaluator-integrity findings use governing_control_id.</x:v>
      </x:c>
      <x:c r="D76" s="78" t="str">
        <x:v>The user instructed the project to proceed after reviewing the definition package. The sequence produces a runnable audit earlier without reducing release scope, fabricating authority, changing protected assets, or coupling later rule families to an unfinished output path.</x:v>
      </x:c>
      <x:c r="E76" s="78" t="str">
        <x:v>Accepted</x:v>
      </x:c>
      <x:c r="F76" s="78" t="str">
        <x:v>First usable audit definition acceptance / fifth-check authorization</x:v>
      </x:c>
      <x:c r="G76" s="78" t="str">
        <x:v>User instruction 2026-07-19; PR #36; definition commit 58ebff7; docs/package_assurance/first_usable_audit_vertical_slice_definition_v0.3.0.md; D-072; EV-069-EV-070; IMP-012</x:v>
      </x:c>
      <x:c r="H76" s="78" t="str">
        <x:v>Record acceptance on PR #36, then implement only the fifth P2.2 reciprocity check on a separate branch. P2.4, reports, CLI, P2.3, semantic held-out evaluation, protected-asset changes, and deferred capabilities remain blocked.</x:v>
      </x:c>
    </x:row>
    <x:row r="77" ht="414" customHeight="1">
      <x:c r="A77" s="431" t="str">
        <x:v>D-074</x:v>
      </x:c>
      <x:c r="B77" s="431" t="n">
        <x:v>46222</x:v>
      </x:c>
      <x:c r="C77" s="431" t="str">
        <x:v>Propose drawing_register_manifest_file_reciprocity v0.3.0 implementation commit 4f06352 for explicit acceptance. Append it as the fifth ordered P2.2 relationship check under exact AUTH-DWG-002 semantics. Require each authoritative register drawing to match exactly one manifest inventory record by document_id and drawing_number, the same declared and resolved file_ref_id, and exactly one required document_to_file relationship with no conflicting required mapping. Emit one deterministic DRAWING_DOCUMENT_FILE_RECIPROCITY_FAILED automatic-fail high-severity release hold per affected drawing, with portable register and manifest evidence. Preserve all eight P2.1 gates, the first four checks, and later result/report/CLI gates.</x:v>
      </x:c>
      <x:c r="D77" s="431" t="str">
        <x:v>The accepted vertical slice identifies declaration-to-manifest reciprocity as the smallest remaining drawing relationship gap. Structural gates and the first four checks can all pass when a required mapping is missing, points to another valid file, conflicts with an additional mapping, or when register and metadata share an undeclared file reference. A separate fifth check closes only that gap without changing accepted authority maps, fixtures, result routing, or protected evidence.</x:v>
      </x:c>
      <x:c r="E77" s="431" t="str">
        <x:v>Proposed</x:v>
      </x:c>
      <x:c r="F77" s="431" t="str">
        <x:v>P2.2 fifth-slice implementation review</x:v>
      </x:c>
      <x:c r="G77" s="431" t="str">
        <x:v>implementation commit 4f06352; codex/p2.2-drawing-register-manifest-reciprocity-implementation; src/mech_eval_harness/package_assurance/{relationships.py,__init__.py}; tests/test_package_relationships.py; accepted definition 0b9fc2e / PR #36; relationship 25; focused 51; full 222/1; repository validation 5/5; Ruff; coverage 85.64%; EV-071; IMP-012</x:v>
      </x:c>
      <x:c r="H77" s="431" t="str">
        <x:v>Ready for explicit user review. Do not integrate or begin P2.4 before acceptance. No accepted fixture, schema, authority map, expected result, golden, held-out asset, historical evidence, package-state router, report, CLI, semantic held-out evaluation, P2.3 relationship, or deferred capability changed.</x:v>
      </x:c>
    </x:row>
    <x:row r="78" ht="333" customHeight="1">
      <x:c r="A78" s="431" t="str">
        <x:v>D-075</x:v>
      </x:c>
      <x:c r="B78" s="431" t="n">
        <x:v>46222</x:v>
      </x:c>
      <x:c r="C78" s="431" t="str">
        <x:v>Accept drawing_register_manifest_file_reciprocity v0.3.0 implementation 4f06352 and its reviewed evidence. Authorize PR #36 definition integration followed by PR #37 implementation integration, exact merged-main verification, and then the bounded P2.4 result-core block.</x:v>
      </x:c>
      <x:c r="D78" s="431" t="str">
        <x:v>The user explicitly instructed the project to merge and continue. Both stacked PRs were mergeable with green CI, the implementation matched the accepted fifth-check contract, and no protected or deferred scope was included.</x:v>
      </x:c>
      <x:c r="E78" s="431" t="str">
        <x:v>Accepted</x:v>
      </x:c>
      <x:c r="F78" s="431" t="str">
        <x:v>P2.2 fifth-slice acceptance and integration authorization</x:v>
      </x:c>
      <x:c r="G78" s="431" t="str">
        <x:v>User instruction 2026-07-19; implementation 4f06352; evidence 96219f4; PRs #36-#37; D-074; EV-071; IMP-012</x:v>
      </x:c>
      <x:c r="H78" s="431" t="str">
        <x:v>Merge in dependency order, verify exact main, close P2.2, then begin only the accepted P2.4 result core. Reports, CLI, P2.3, held-out semantics, protected changes, and deferred capabilities remain blocked.</x:v>
      </x:c>
    </x:row>
    <x:row r="79" ht="333" customHeight="1">
      <x:c r="A79" s="78" t="str">
        <x:v>D-076</x:v>
      </x:c>
      <x:c r="B79" s="78" t="n">
        <x:v>46222</x:v>
      </x:c>
      <x:c r="C79" s="78" t="str">
        <x:v>Close P2.2 drawing-manifest reciprocity integration at exact main 5571d2a. Record PR #36 merge 5b32b6d and PR #37 merge 5571d2a as the accepted predecessor. Mark P2.2 complete for the first usable vertical slice and authorize P2.4 minimum package-result core next.</x:v>
      </x:c>
      <x:c r="D79" s="78" t="str">
        <x:v>The accepted definition and fifth check now exist together on one clean, verified main tree. Closing P2.2 prevents result routing from starting against an unaccepted relationship set and establishes the exact ordered eight-gate/five-check predecessor.</x:v>
      </x:c>
      <x:c r="E79" s="78" t="str">
        <x:v>Accepted</x:v>
      </x:c>
      <x:c r="F79" s="78" t="str">
        <x:v>P2.2 fifth-slice integration closeout / P2.4 authorization</x:v>
      </x:c>
      <x:c r="G79" s="78" t="str">
        <x:v>PR #36 5b32b6d; PR #37 5571d2a; implementation 4f06352; evidence 96219f4; GitHub CI green; relationship 25; focused 51; full 222/1; validation 5/5; Ruff; coverage 85.64%; EV-072-EV-073</x:v>
      </x:c>
      <x:c r="H79" s="78" t="str">
        <x:v>Create codex/p2.4-result-core from exact main 5571d2a and implement only completeness, canonical findings, state precedence, package-result model/schema, and immutable persistence.</x:v>
      </x:c>
    </x:row>
    <x:row r="80" ht="369" customHeight="1">
      <x:c r="A80" s="78" t="str">
        <x:v>D-077</x:v>
      </x:c>
      <x:c r="B80" s="78" t="n">
        <x:v>46222</x:v>
      </x:c>
      <x:c r="C80" s="78" t="str">
        <x:v>Propose P2.4 minimum package-result core implementation cbcfc2b for explicit review. Require the exact ordered eight-gate/five-check result set, route incomplete evaluator output to release-holding uncertainty, convert intermediate findings to one canonical final-finding list, apply exact state precedence, fingerprint controlled inputs, validate a separate v0.3.0 package-result schema, and persist each package result without overwrite. Keep v0.2 persistence, reports, CLI, P2.3, held-out semantics, and deferred capabilities unchanged.</x:v>
      </x:c>
      <x:c r="D80" s="78" t="str">
        <x:v>The accepted vertical-slice definition requires one trustworthy machine result before any report or CLI can be useful. A fail-closed completeness boundary prevents dropped or unexplained skipped checks from creating a false pass; canonical findings prevent later views from reinterpreting evaluator prose; separate schema and persistence preserve the frozen v0.2 kernel.</x:v>
      </x:c>
      <x:c r="E80" s="78" t="str">
        <x:v>Proposed</x:v>
      </x:c>
      <x:c r="F80" s="78" t="str">
        <x:v>P2.4 minimum package-result core implementation review</x:v>
      </x:c>
      <x:c r="G80" s="78" t="str">
        <x:v>implementation cbcfc2b; codex/p2.4-result-core; predecessor 1e7da37; result_core.py; package persistence; package_result.schema.json; tests/test_package_result_{core,persistence}.py; focused 15; full 237/1; validation 5/5; Ruff; coverage 86.10%; EV-074; IMP-012</x:v>
      </x:c>
      <x:c r="H80" s="78" t="str">
        <x:v>Ready for explicit user review and PR integration. Do not begin issue-register, release-summary, audit-package CLI, P2.3 expansion, semantic held-out evaluation, or deferred capabilities before acceptance and exact-main verification.</x:v>
      </x:c>
    </x:row>
    <x:row r="81" ht="360" customHeight="1">
      <x:c r="A81" s="78" t="str">
        <x:v>D-078</x:v>
      </x:c>
      <x:c r="B81" s="78" t="n">
        <x:v>46222</x:v>
      </x:c>
      <x:c r="C81" s="78" t="str">
        <x:v>Accept P2.4 minimum package-result core implementation cbcfc2b and integrate PR #39 at exact main cd9b52e. Close P2.4 and authorize P3.1 next only for deterministic CSV and Markdown issue-register views of package_result.json. Require views to use canonical findings and stored ordering without rerunning gates, relationships, authority selection, package-state routing, or holds.</x:v>
      </x:c>
      <x:c r="D81" s="78" t="str">
        <x:v>The user explicitly accepted P2.4 and requested merge and continuation. Both GitHub checks were green, the merge was clean, and exact-main local verification reproduced the reviewed test, validation, lint, and coverage evidence. A pure report boundary preserves package_result.json as the sole source of audit meaning.</x:v>
      </x:c>
      <x:c r="E81" s="78" t="str">
        <x:v>Accepted</x:v>
      </x:c>
      <x:c r="F81" s="78" t="str">
        <x:v>P2.4 integration closeout / P3.1 authorization</x:v>
      </x:c>
      <x:c r="G81" s="78" t="str">
        <x:v>User instruction 2026-07-19; implementation cbcfc2b; review evidence 9caef2b; PR #39; exact main cd9b52e; GitHub CI 2/2; focused result 15; full 237/1; validation 5/5; Ruff; coverage 86.10%; EV-075; IMP-012</x:v>
      </x:c>
      <x:c r="H81" s="78" t="str">
        <x:v>Create codex/p3.1-issue-register after this closeout is integrated. Implement issue-register views only. P3.2, P3.3, P2.3, held-out semantics, protected changes, and deferred capabilities remain blocked.</x:v>
      </x:c>
    </x:row>
    <x:row r="82" ht="360" customHeight="1">
      <x:c r="A82" s="431" t="str">
        <x:v>D-079</x:v>
      </x:c>
      <x:c r="B82" s="431" t="n">
        <x:v>46222</x:v>
      </x:c>
      <x:c r="C82" s="431" t="str">
        <x:v>Propose P3.1 issue-register implementation 2f93335 for explicit review. Require strict schema-valid package-result input, preserve the stored canonical finding order, emit one stable CSV header with structured JSON fields, and render non-approving Markdown. Keep rendering in memory and defer report publishing to the later CLI integration gate.</x:v>
      </x:c>
      <x:c r="D82" s="431" t="str">
        <x:v>The report layer must expose accepted evaluator evidence without becoming a second evaluator or creating partial published outputs. Strict loading fails closed on ambiguous input, stored-order rendering prevents report-specific reinterpretation, and in-memory output keeps persistence and atomic multi-file publication outside this bounded slice.</x:v>
      </x:c>
      <x:c r="E82" s="431" t="str">
        <x:v>Proposed</x:v>
      </x:c>
      <x:c r="F82" s="431" t="str">
        <x:v>P3.1 evidence-linked issue-register implementation review</x:v>
      </x:c>
      <x:c r="G82" s="431" t="str">
        <x:v>implementation 2f93335; codex/p3.1-issue-register; predecessor b9de4e6; issue_register.py; tests/test_package_issue_register.py; renderer 11; focused 26; full 248/1; validation 5/5; Ruff; coverage 86.49%; EV-076; IMP-012</x:v>
      </x:c>
      <x:c r="H82" s="431" t="str">
        <x:v>Ready for explicit user review. Do not begin P3.2 release summary, report publishing, P3.3 CLI, P2.3 expansion, semantic held-out execution, protected changes, or deferred capabilities before acceptance and exact-main integration.</x:v>
      </x:c>
    </x:row>
    <x:row r="83" ht="369" customHeight="1">
      <x:c r="A83" s="431" t="str">
        <x:v>D-080</x:v>
      </x:c>
      <x:c r="B83" s="431" t="n">
        <x:v>46222</x:v>
      </x:c>
      <x:c r="C83" s="431" t="str">
        <x:v>Accept P3.1 issue-register implementation 2f93335 and integrate the reviewed branch at exact main 8f66b12. Close P3.1 and authorize P3.2 next only for one non-approving Markdown release-readiness view of package_result.json. Require the view to use stored result fields and aggregations without rerunning gates, checks, authority, state routing, or holds.</x:v>
      </x:c>
      <x:c r="D83" s="431" t="str">
        <x:v>The user explicitly authorized merge. The exact reviewed branch fast-forwarded cleanly to main, and exact-main local verification reproduced all focused, full-suite, validation, lint, and coverage evidence. A pure P3.2 summary completes the human review view while preserving package_result.json as the sole source of audit meaning.</x:v>
      </x:c>
      <x:c r="E83" s="431" t="str">
        <x:v>Accepted</x:v>
      </x:c>
      <x:c r="F83" s="431" t="str">
        <x:v>P3.1 integration closeout / P3.2 authorization</x:v>
      </x:c>
      <x:c r="G83" s="431" t="str">
        <x:v>User instruction 2026-07-19; implementation 2f93335; review evidence 8f66b12; exact main 8f66b12; focused 26; full 248/1; validation 5/5; Ruff; coverage 86.49%; EV-077; IMP-012</x:v>
      </x:c>
      <x:c r="H83" s="431" t="str">
        <x:v>Create codex/p3.2-release-readiness-summary after this closeout is integrated. Implement the summary view only. Publishing, P3.3, P2.3, held-out semantics, protected changes, and deferred capabilities remain blocked.</x:v>
      </x:c>
    </x:row>
    <x:row r="84" ht="369" customHeight="1">
      <x:c r="A84" s="431" t="str">
        <x:v>D-081</x:v>
      </x:c>
      <x:c r="B84" s="431" t="n">
        <x:v>46222</x:v>
      </x:c>
      <x:c r="C84" s="431" t="str">
        <x:v>Propose acceptance of P3.2 release-readiness implementation 7536bea as the bounded pure Markdown view of package_result.json. Require strict result validation, exact stored package state and hold, stored gate/check and finding counts, known output names, the accepted engineering-review limitation, and an explicit qualified-human decision without release, compliance, or correctness approval.</x:v>
      </x:c>
      <x:c r="D84" s="431" t="str">
        <x:v>The implementation reuses one strict report-input loader and renders only stored result fields and transparent counts. Focused and full verification are green, and the inspected revision-conflict summary exactly matches the immutable result. This closes the human summary view without adding publishing, CLI behavior, or evaluator meaning.</x:v>
      </x:c>
      <x:c r="E84" s="431" t="str">
        <x:v>Proposed</x:v>
      </x:c>
      <x:c r="F84" s="431" t="str">
        <x:v>P3.2 release-readiness implementation review</x:v>
      </x:c>
      <x:c r="G84" s="431" t="str">
        <x:v>Implementation 7536bea; accepted predecessor main 3466398; readiness 10; focused result/report 36; full 258/1; validation 5/5; Ruff; coverage 86.75%; EV-078; IMP-012</x:v>
      </x:c>
      <x:c r="H84" s="431" t="str">
        <x:v>Review and explicitly accept P3.2. If accepted, integrate the exact reviewed branch and authorize only the separately bounded P3.3 publishing/CLI block. P2.3, held-out semantics, protected changes, and deferred capabilities remain blocked.</x:v>
      </x:c>
    </x:row>
    <x:row r="85" ht="369" customHeight="1">
      <x:c r="A85" s="431" t="str">
        <x:v>D-082</x:v>
      </x:c>
      <x:c r="B85" s="431" t="n">
        <x:v>46222</x:v>
      </x:c>
      <x:c r="C85" s="431" t="str">
        <x:v>Accept P3.2 release-readiness implementation 7536bea and integrate the exact reviewed branch at exact main 4b848b9. Close P3.2 and authorize only P3.3 atomic publication of the canonical result and accepted report views through the bounded audit-package CLI contract.</x:v>
      </x:c>
      <x:c r="D85" s="431" t="str">
        <x:v>The user explicitly accepted P3.2. Exact-main verification reproduced all reviewed behavior and evidence without changing evaluator meaning, protected assets, or frozen v0.2 behavior. P3.3 is the remaining bounded step to make the accepted vertical slice runnable end to end.</x:v>
      </x:c>
      <x:c r="E85" s="431" t="str">
        <x:v>Accepted</x:v>
      </x:c>
      <x:c r="F85" s="431" t="str">
        <x:v>P3.2 acceptance and P3.3 authorization</x:v>
      </x:c>
      <x:c r="G85" s="431" t="str">
        <x:v>User instruction 2026-07-19; implementation 7536bea; review evidence/main 4b848b9; focused result/report 36; full 258/1; validation 5/5; Ruff; coverage 86.75%; EV-079; IMP-012</x:v>
      </x:c>
      <x:c r="H85" s="431" t="str">
        <x:v>Create codex/p3.3-audit-package-cli from exact main 4b848b9. Implement only atomic report publication, stable accepted exits, controlled-failure preservation, and existing-command compatibility. P2.3, held-out semantics, protected changes, and deferred capabilities remain blocked.</x:v>
      </x:c>
    </x:row>
    <x:row r="86" ht="369" customHeight="1">
      <x:c r="A86" s="431" t="str">
        <x:v>D-083</x:v>
      </x:c>
      <x:c r="B86" s="431" t="n">
        <x:v>46222</x:v>
      </x:c>
      <x:c r="C86" s="431" t="str">
        <x:v>Propose acceptance of P3.3 implementation b5f0fcd as the bounded first runnable package audit. Require exact reuse of the accepted gates, checks, result router, and report views; atomic immutable publication of the exact four-output set; package-state exits 0-5; usage exit 64; internal exit 70; controlled-failure preservation; and unchanged v0.2 commands.</x:v>
      </x:c>
      <x:c r="D86" s="431" t="str">
        <x:v>The implementation adds one package-specific workflow and a hidden staging directory that is exposed only by a final rename after strict result validation and report preparation. Focused/full verification and inspected clean/fifth-check-fault evidence match the frozen contract without P2.3, held-out, or deferred scope.</x:v>
      </x:c>
      <x:c r="E86" s="431" t="str">
        <x:v>Proposed</x:v>
      </x:c>
      <x:c r="F86" s="431" t="str">
        <x:v>P3.3 audit-package implementation review</x:v>
      </x:c>
      <x:c r="G86" s="431" t="str">
        <x:v>Implementation b5f0fcd; accepted predecessor main 441e521; new P3.3 13; focused result/report/CLI 49; full 271/1; validation 5/5; Ruff; coverage 86.76%; EV-080; IMP-012</x:v>
      </x:c>
      <x:c r="H86" s="431" t="str">
        <x:v>Review and explicitly accept or reject P3.3. If accepted, integrate the exact reviewed branch and then define the next bounded P2.3 relationship block. Held-out semantics, protected content, and deferred capabilities remain blocked.</x:v>
      </x:c>
    </x:row>
    <x:row r="87" ht="369" customHeight="1">
      <x:c r="A87" s="431" t="str">
        <x:v>D-084</x:v>
      </x:c>
      <x:c r="B87" s="431" t="n">
        <x:v>46223</x:v>
      </x:c>
      <x:c r="C87" s="431" t="str">
        <x:v>Accept P3.3 implementation b5f0fcd and review evidence 411928e as the bounded first runnable package audit, integrated through PR #40 at exact main e4080fd. Close P3.3 and authorize only a definition block for the remaining P2.3 BOM, equipment, datasheet, specification, and revision relationships.</x:v>
      </x:c>
      <x:c r="D87" s="431" t="str">
        <x:v>The user explicitly accepted P3.3 and instructed the project to begin P2.3. Both GitHub Actions checks passed before merge, and exact-main verification reproduced the reviewed focused/full tests, validation, Ruff, and coverage. A definition gate is required because P2.3 contains several authority relationships and single-source fields that must not be conflated into one broad implementation.</x:v>
      </x:c>
      <x:c r="E87" s="431" t="str">
        <x:v>Accepted</x:v>
      </x:c>
      <x:c r="F87" s="431" t="str">
        <x:v>P3.3 acceptance and P2.3 definition authorization</x:v>
      </x:c>
      <x:c r="G87" s="431" t="str">
        <x:v>User instruction 2026-07-20; PR #40; implementation b5f0fcd; review evidence 411928e; exact main e4080fd; focused 49; full 271/1; validation 5/5; Ruff; coverage 86.76%; EV-081; IMP-012</x:v>
      </x:c>
      <x:c r="H87" s="431" t="str">
        <x:v>Create codex/p2.3-relationship-expansion-definition from the P3.3 integration closeout. Freeze ordered checks, authority dependencies, evidence, state/hold routing, prerequisites, tests, and exclusions. No P2.3 implementation or held-out semantic execution before definition acceptance.</x:v>
      </x:c>
    </x:row>
    <x:row r="88" ht="369" customHeight="1">
      <x:c r="A88" s="431" t="str">
        <x:v>D-085</x:v>
      </x:c>
      <x:c r="B88" s="431" t="n">
        <x:v>46223</x:v>
      </x:c>
      <x:c r="C88" s="431" t="str">
        <x:v>Propose the P2.3 relationship-expansion definition with six ordered existing-authority checks and six explicit authority/source gaps. Require one check per implementation and acceptance slice, beginning with BOM item/equipment manifest reciprocity under exact AUTH-BOM-002. Do not represent single-source structural validation as cross-document reconciliation.</x:v>
      </x:c>
      <x:c r="D88" s="431" t="str">
        <x:v>The accepted package can support deterministic BOM item/equipment reciprocity, equipment drawing presence, datasheet authority presence and agreement, datasheet manifest reciprocity, and specification revision-history checks. Quantity, part/material, item/drawing, specification association, datasheet revision, and technical-value claims lack an exact comparison source or authority rule. Separating them prevents false assurance while allowing useful P2.3 work to proceed.</x:v>
      </x:c>
      <x:c r="E88" s="431" t="str">
        <x:v>Proposed</x:v>
      </x:c>
      <x:c r="F88" s="431" t="str">
        <x:v>P2.3 relationship-expansion definition review</x:v>
      </x:c>
      <x:c r="G88" s="431" t="str">
        <x:v>docs/package_assurance/p2_3_relationship_expansion_definition_v0.3.0.md; baseline 26b7aa2; exact authority rules AUTH-BOM-002, AUTH-SPEC-001, AUTH-SPEC-003; EV-082; IMP-013</x:v>
      </x:c>
      <x:c r="H88" s="431" t="str">
        <x:v>Review and explicitly accept, revise, or reject the definition. If accepted, create codex/p2.3-bom-item-equipment-reciprocity and implement only check 6. Authority-gap claims and held-out semantics remain blocked.</x:v>
      </x:c>
    </x:row>
    <x:row r="89" ht="369" customHeight="1">
      <x:c r="A89" s="431" t="str">
        <x:v>D-086</x:v>
      </x:c>
      <x:c r="B89" s="431" t="n">
        <x:v>46223</x:v>
      </x:c>
      <x:c r="C89" s="431" t="str">
        <x:v>Accept the P2.3 relationship-expansion definition integrated through PR #41 at exact main a855d99. Authorize only check 6, bom_item_equipment_manifest_reciprocity v0.3.0, under exact AUTH-BOM-002 on its dedicated branch. Require separate explicit acceptance before implementation integration.</x:v>
      </x:c>
      <x:c r="D89" s="431" t="str">
        <x:v>The user explicitly accepted the definition and directed implementation of check 6. The reviewed definition proves six uncovered relationship conditions, freezes one-check-per-slice delivery, and keeps six unsupported claims visible as authority/source gaps rather than weak assurance claims.</x:v>
      </x:c>
      <x:c r="E89" s="431" t="str">
        <x:v>Accepted</x:v>
      </x:c>
      <x:c r="F89" s="431" t="str">
        <x:v>P2.3 definition acceptance and check 6 authorization</x:v>
      </x:c>
      <x:c r="G89" s="431" t="str">
        <x:v>User instruction 2026-07-20; PR #41; definition 5a48dcb; exact main a855d99; D-085; EV-082-EV-083; IMP-013</x:v>
      </x:c>
      <x:c r="H89" s="431" t="str">
        <x:v>Create codex/p2.3-bom-item-equipment-reciprocity from the accepted closeout. Implement only check 6 and prove it through relationships, canonical result, reports, publication, and CLI. Do not implement checks 7-11 or any blocked authority-gap claim.</x:v>
      </x:c>
    </x:row>
    <x:row r="90" ht="387" customHeight="1">
      <x:c r="A90" s="431" t="str">
        <x:v>D-087</x:v>
      </x:c>
      <x:c r="B90" s="431" t="n">
        <x:v>46223</x:v>
      </x:c>
      <x:c r="C90" s="431" t="str">
        <x:v>Propose acceptance of P2.3 check 6 implementation c1dcc4a as the bounded bom_item_equipment_manifest_reciprocity v0.3.0 control. Require exact AUTH-BOM-002, one stable high-severity automatic-fail release hold per affected item, independent authority prerequisites, and unchanged gates, checks 1-5, result routing, report meaning, publication, and exits.</x:v>
      </x:c>
      <x:c r="D90" s="431" t="str">
        <x:v>The implementation closes the accepted wrong-valid declaration gap without adding schemas, fixtures, authority rules, or broader reconciliation claims. Missing, extra, wrong, and multiple declarations are deterministic and evidence-linked; an unrelated drawing-authority failure does not block valid BOM evidence.</x:v>
      </x:c>
      <x:c r="E90" s="431" t="str">
        <x:v>Accepted</x:v>
      </x:c>
      <x:c r="F90" s="431" t="str">
        <x:v>P2.3 check 6 implementation review</x:v>
      </x:c>
      <x:c r="G90" s="431" t="str">
        <x:v>Implementation c1dcc4a; relationship 31; focused 75; full 278/1; validation 5/5; Ruff; coverage 87.02%; inspected scratch/p23-check6-review-evidence clean and wrong-target runs; EV-084; IMP-013-IMP-014</x:v>
      </x:c>
      <x:c r="H90" s="431" t="str">
        <x:v>Integrated through PR #42 at exact main 559bb81. Proceed with the approved bounded relationship-maintainability stabilization before implementing check 7. Checks 8-11, authority gaps, held-out semantics, and deferred capabilities retain their gates.</x:v>
      </x:c>
    </x:row>
    <x:row r="91" ht="387" customHeight="1">
      <x:c r="A91" s="431" t="str">
        <x:v>D-088</x:v>
      </x:c>
      <x:c r="B91" s="431" t="n">
        <x:v>46223</x:v>
      </x:c>
      <x:c r="C91" s="431" t="str">
        <x:v>Accept P2.3 check 6 and its integration through PR #42 at exact main 559bb81. Authorize a bounded behavior-preserving maintainability stabilization of the relationship implementation and focused-test structure before check 7, followed by only bom_equipment_drawing_presence under the already accepted P2.3 contract.</x:v>
      </x:c>
      <x:c r="D91" s="431" t="str">
        <x:v>The user accepted check 6 and approved the management-review sequence. The current relationship source and focused test modules exceed 1,700 lines before five additional checks. A small domain split now reduces review and regression risk without changing product behavior or creating a generic rule engine.</x:v>
      </x:c>
      <x:c r="E91" s="431" t="str">
        <x:v>Accepted</x:v>
      </x:c>
      <x:c r="F91" s="431" t="str">
        <x:v>Check 6 closeout and maintainability stabilization authorization</x:v>
      </x:c>
      <x:c r="G91" s="431" t="str">
        <x:v>User instruction 2026-07-20; PR #42; implementation c1dcc4a; review evidence 0386b7f; merge/main 559bb81; D-087; EV-084-EV-085; IMP-013-IMP-014</x:v>
      </x:c>
      <x:c r="H91" s="431" t="str">
        <x:v>Refactor only relationship implementation and tests into clear domain boundaries with exact behavior preservation. Run focused/full regression, validation, Ruff, and coverage. Then implement only accepted check 7. No protected, held-out, schema, authority, or deferred-capability change.</x:v>
      </x:c>
    </x:row>
    <x:row r="92" ht="369" customHeight="1">
      <x:c r="A92" s="431" t="str">
        <x:v>D-089</x:v>
      </x:c>
      <x:c r="B92" s="431" t="n">
        <x:v>46223</x:v>
      </x:c>
      <x:c r="C92" s="431" t="str">
        <x:v>Accept the behavior-preserving relationship maintainability stabilization integrated through PR #44 at exact main 56ac9d1 and authorize check 7, bom_equipment_drawing_presence, under the already accepted P2.3 contract and exact AUTH-BOM-002.</x:v>
      </x:c>
      <x:c r="D92" s="431" t="str">
        <x:v>The user approved the management sequence. The split preserves every prior function AST and all accepted behavior while making the BOM/equipment domain independently reviewable. Both GitHub CI runs passed. The accepted check 7 contract is already frozen and requires no new source, schema, or authority rule.</x:v>
      </x:c>
      <x:c r="E92" s="431" t="str">
        <x:v>Accepted</x:v>
      </x:c>
      <x:c r="F92" s="431" t="str">
        <x:v>Relationship stabilization acceptance and check 7 authorization</x:v>
      </x:c>
      <x:c r="G92" s="431" t="str">
        <x:v>User instruction 2026-07-20; PR #44; implementation 1f34781; merge/main 56ac9d1; EV-086; IMP-015</x:v>
      </x:c>
      <x:c r="H92" s="431" t="str">
        <x:v>Implement only bom_equipment_drawing_presence. Require exact AUTH-BOM-002, one evidence-linked hold per missing BOM equipment tag, stable order and identity, and unchanged prior checks/result/report/CLI behavior.</x:v>
      </x:c>
    </x:row>
    <x:row r="93" ht="387" customHeight="1">
      <x:c r="A93" s="431" t="str">
        <x:v>D-090</x:v>
      </x:c>
      <x:c r="B93" s="431" t="n">
        <x:v>46223</x:v>
      </x:c>
      <x:c r="C93" s="431" t="str">
        <x:v>Accept and integrate P2.3 check 7, bom_equipment_drawing_presence v0.3.0, through PR #45 at exact main 273c36a. Every release-required BOM equipment tag must appear in drawing metadata under exact AUTH-BOM-002 without treating the BOM drawing_number as authoritative.</x:v>
      </x:c>
      <x:c r="D93" s="431" t="str">
        <x:v>The user accepted check 7 and authorized the executive sequence. The implementation produces one deterministic high-severity automatic-fail release hold per missing BOM item/tag and preserves all predecessor, result, report, publication, and CLI contracts. Both GitHub checks passed before merge.</x:v>
      </x:c>
      <x:c r="E93" s="431" t="str">
        <x:v>Accepted</x:v>
      </x:c>
      <x:c r="F93" s="431" t="str">
        <x:v>P2.3 check 7 acceptance and integration</x:v>
      </x:c>
      <x:c r="G93" s="431" t="str">
        <x:v>User instruction 2026-07-20; implementation 01a70c2; PR #45; merge/main 273c36a; EV-087-EV-088; IMP-013-IMP-015</x:v>
      </x:c>
      <x:c r="H93" s="431" t="str">
        <x:v>Preserve check 7 as accepted. Open the authorized structured-package trial decision. Checks 8-11, authority gaps, held-out semantics, protected assets, and deferred capabilities remain blocked.</x:v>
      </x:c>
    </x:row>
    <x:row r="94" ht="360" customHeight="1">
      <x:c r="A94" s="431" t="str">
        <x:v>D-091</x:v>
      </x:c>
      <x:c r="B94" s="431" t="n">
        <x:v>46223</x:v>
      </x:c>
      <x:c r="C94" s="431" t="str">
        <x:v>Select and authorize one sanitized structured mechanical package for a development-only practical-use trial under authorized_structured_package_trial_v0.3.0.md.</x:v>
      </x:c>
      <x:c r="D94" s="431" t="str">
        <x:v>A realistic package is now more valuable than another isolated rule because it can expose preparation burden, evidence usability, false findings, missed conditions, and authority gaps. The trial is not benchmark evidence, engineering approval, or a production claim.</x:v>
      </x:c>
      <x:c r="E94" s="431" t="str">
        <x:v>Proposed</x:v>
      </x:c>
      <x:c r="F94" s="431" t="str">
        <x:v>Authorized structured-package trial entry decision</x:v>
      </x:c>
      <x:c r="G94" s="431" t="str">
        <x:v>codex/p2.3-real-package-structured-trial; docs/package_assurance/authorized_structured_package_trial_v0.3.0.md; EV-088-EV-089</x:v>
      </x:c>
      <x:c r="H94" s="431" t="str">
        <x:v>CEO identifies the package location, confirms permitted use and sanitization/retention boundaries, and names a qualified reviewer. Stop before package intake until all four inputs are recorded.</x:v>
      </x:c>
    </x:row>
    <x:row r="95" ht="387" customHeight="1">
      <x:c r="A95" s="431" t="str">
        <x:v>D-092</x:v>
      </x:c>
      <x:c r="B95" s="431" t="n">
        <x:v>46223</x:v>
      </x:c>
      <x:c r="C95" s="431" t="str">
        <x:v>Select Precious Plastic Shredder Basic 3.3 as the recommended first public practical-use trial package after comparing it with NASA/JPL Open Source Rover v4.0.0 and OpenFlexure Microscope v7.0.0-beta5.</x:v>
      </x:c>
      <x:c r="D95" s="431" t="str">
        <x:v>Precious Plastic most closely matches the target workflow because one bounded fabrication package is described as containing CAD, DXF, blueprint PDFs, schematics, a BOM, and supporting manufacturing material. Its likely revision and authority gaps are useful trial learning and must be reported rather than filled in.</x:v>
      </x:c>
      <x:c r="E95" s="431" t="str">
        <x:v>Accepted</x:v>
      </x:c>
      <x:c r="F95" s="431" t="str">
        <x:v>Public trial package selection</x:v>
      </x:c>
      <x:c r="G95" s="431" t="str">
        <x:v>docs/package_assurance/public_trial_package_shortlist_2026-07-20.md; official publisher sources; PR #46; exact main 361cc77; EV-090-EV-091</x:v>
      </x:c>
      <x:c r="H95" s="431" t="str">
        <x:v>Integrate the selection record, then perform official-source verification, local Git-ignored intake, hashing, inventory, and a fit-and-gap assessment for Precious Plastic before transformation or audit execution.</x:v>
      </x:c>
    </x:row>
    <x:row r="96" ht="387" customHeight="1">
      <x:c r="A96" s="431" t="str">
        <x:v>D-093</x:v>
      </x:c>
      <x:c r="B96" s="431" t="n">
        <x:v>46223</x:v>
      </x:c>
      <x:c r="C96" s="431" t="str">
        <x:v>Approve a sequential three-package practical-use program: Precious Plastic Shredder Basic 3.3 as trial 1, NASA/JPL Open Source Rover v4.0.0 as trial 2, and OpenFlexure Microscope v7.0.0-beta5 as trial 3. A later trial cannot begin until the preceding package is reviewed and accepted.</x:v>
      </x:c>
      <x:c r="D96" s="431" t="str">
        <x:v>Multiple independent packages are needed to distinguish package-specific friction from repeatable product behavior. Sequential gates preserve evidence independence, prevent premature rule changes from contaminating later trials, and keep the first real-package learning bounded.</x:v>
      </x:c>
      <x:c r="E96" s="431" t="str">
        <x:v>Accepted</x:v>
      </x:c>
      <x:c r="F96" s="431" t="str">
        <x:v>Sequential public-package trial program</x:v>
      </x:c>
      <x:c r="G96" s="431" t="str">
        <x:v>CEO instruction 2026-07-20; docs/package_assurance/public_trial_package_shortlist_2026-07-20.md; docs/package_assurance/authorized_structured_package_trial_v0.3.0.md; EV-091-EV-092</x:v>
      </x:c>
      <x:c r="H96" s="431" t="str">
        <x:v>Complete and review Precious Plastic intake and fit-gap assessment. Do not begin NASA/JPL until trial 1 is accepted; do not begin OpenFlexure until trial 2 is accepted.</x:v>
      </x:c>
    </x:row>
    <x:row r="97" ht="351" customHeight="1">
      <x:c r="A97" s="431" t="str">
        <x:v>D-094</x:v>
      </x:c>
      <x:c r="B97" s="431" t="n">
        <x:v>46223</x:v>
      </x:c>
      <x:c r="C97" s="431" t="str">
        <x:v>Stop the Precious Plastic Shredder Basic 3.3 trial because the official package source requires an account the user cannot create or access. Preserve the access-stop evidence and do not attempt an authentication workaround.</x:v>
      </x:c>
      <x:c r="D97" s="431" t="str">
        <x:v>A practical-use trial must use source material obtained through permitted, reproducible access. An unavailable official download cannot support preservation, hashing, inventory, or an independently repeatable review.</x:v>
      </x:c>
      <x:c r="E97" s="431" t="str">
        <x:v>Accepted</x:v>
      </x:c>
      <x:c r="F97" s="431" t="str">
        <x:v>Precious Plastic access-stop decision</x:v>
      </x:c>
      <x:c r="G97" s="431" t="str">
        <x:v>CEO instruction 2026-07-20; local Git-ignored intake state; docs/package_assurance/public_trial_package_shortlist_2026-07-20.md; EV-093</x:v>
      </x:c>
      <x:c r="H97" s="431" t="str">
        <x:v>Record that no files were downloaded, retain null archive evidence, and remove Precious Plastic from active execution without erasing the original selection history.</x:v>
      </x:c>
    </x:row>
    <x:row r="98" ht="387" customHeight="1">
      <x:c r="A98" s="431" t="str">
        <x:v>D-095</x:v>
      </x:c>
      <x:c r="B98" s="431" t="n">
        <x:v>46223</x:v>
      </x:c>
      <x:c r="C98" s="431" t="str">
        <x:v>Run NASA/JPL Open Source Rover v4.0.0 and OpenFlexure Microscope v7.0.0-beta5 as co-equal public-package intake and fit-gap trials under one evidence protocol.</x:v>
      </x:c>
      <x:c r="D98" s="431" t="str">
        <x:v>Using identical controls prevents package-specific convenience from becoming a hidden quality difference. Completing both before comparison provides broader product learning across a conventional assembly repository and a generated parametric release.</x:v>
      </x:c>
      <x:c r="E98" s="431" t="str">
        <x:v>Accepted</x:v>
      </x:c>
      <x:c r="F98" s="431" t="str">
        <x:v>Co-equal dual public-package trial</x:v>
      </x:c>
      <x:c r="G98" s="431" t="str">
        <x:v>CEO instruction 2026-07-20; D-093-D-094; docs/package_assurance/authorized_structured_package_trial_v0.3.0.md; docs/package_assurance/public_trial_package_shortlist_2026-07-20.md; EV-093-EV-094</x:v>
      </x:c>
      <x:c r="H98" s="431" t="str">
        <x:v>Verify official release source and license, preserve and hash each untouched archive, inventory files, assess source families and authority gaps, and return one combined fit-gap review before transformation or audit execution.</x:v>
      </x:c>
    </x:row>
    <x:row r="99" ht="387" customHeight="1">
      <x:c r="A99" s="431" t="str">
        <x:v>D-096</x:v>
      </x:c>
      <x:c r="B99" s="431" t="n">
        <x:v>46223</x:v>
      </x:c>
      <x:c r="C99" s="431" t="str">
        <x:v>Accept the completed NASA/JPL and OpenFlexure intakes and authorize one controlled manual source-to-audit mapping definition for each package under a shared transformation-and-assumption log.</x:v>
      </x:c>
      <x:c r="D99" s="431" t="str">
        <x:v>Both packages provide useful and complementary real-world structures, but neither can enter the accepted audit unchanged. Defining mappings before transformation prevents missing authority from being invented and tests preparation burden without weakening evaluator contracts.</x:v>
      </x:c>
      <x:c r="E99" s="431" t="str">
        <x:v>Accepted</x:v>
      </x:c>
      <x:c r="F99" s="431" t="str">
        <x:v>Dual controlled mapping-definition gate</x:v>
      </x:c>
      <x:c r="G99" s="431" t="str">
        <x:v>docs/package_assurance/dual_public_package_intake_fit_gap_2026-07-20.md; D-094-D-095; EV-093-EV-096</x:v>
      </x:c>
      <x:c r="H99" s="431" t="str">
        <x:v>Accepted by the CEO on 2026-07-20. PR #48 merged the reviewed dual intake and fit-gap at exact main 99d16b6. Mapping definitions are authorized; source conversion, working-package creation, and audit execution remain blocked.</x:v>
      </x:c>
    </x:row>
    <x:row r="100" ht="450" customHeight="1">
      <x:c r="A100" s="431" t="str">
        <x:v>D-097</x:v>
      </x:c>
      <x:c r="B100" s="431" t="n">
        <x:v>46223</x:v>
      </x:c>
      <x:c r="C100" s="431" t="str">
        <x:v>Accept the bounded NASA/JPL v4.0.0 mechanical-rover and OpenFlexure v7.0.0-beta5 high-resolution-microscope source-to-audit mappings plus the shared transformation-and-assumption log contract. Authorize controlled local working-copy preparation for both packages with populated logs, followed by review before audit execution.</x:v>
      </x:c>
      <x:c r="D100" s="431" t="str">
        <x:v>The mappings distinguish publisher facts, deterministic trial preparation, missing authority, and true non-applicability. Preparing both packages under one traceability contract tests real-world input burden without weakening accepted evaluator contracts or hiding expected missing-authority holds.</x:v>
      </x:c>
      <x:c r="E100" s="431" t="str">
        <x:v>Accepted</x:v>
      </x:c>
      <x:c r="F100" s="431" t="str">
        <x:v>Dual controlled preparation gate</x:v>
      </x:c>
      <x:c r="G100" s="431" t="str">
        <x:v>docs/package_assurance/nasa_jpl_open_source_rover_mapping_definition_v0.3.0.md; docs/package_assurance/openflexure_microscope_mapping_definition_v0.3.0.md; docs/package_assurance/transformation_and_assumption_log_contract_v0.3.0.md; D-096; EV-097-EV-098</x:v>
      </x:c>
      <x:c r="H100" s="431" t="str">
        <x:v>Accepted by the CEO on 2026-07-20. PR #49 merged the exact reviewed mappings at main 53e19ad. Separate Git-ignored package preparation with populated logs was authorized; audit execution remained blocked pending output review.</x:v>
      </x:c>
    </x:row>
    <x:row r="101" ht="495" customHeight="1">
      <x:c r="A101" s="431" t="str">
        <x:v>D-098</x:v>
      </x:c>
      <x:c r="B101" s="431" t="n">
        <x:v>46223</x:v>
      </x:c>
      <x:c r="C101" s="431" t="str">
        <x:v>Accept the exact prepared NASA/JPL and OpenFlexure package trees and their populated transformation-and-assumption logs. Authorize one controlled audit-package run per package, executed sequentially but treated as co-equal trials.</x:v>
      </x:c>
      <x:c r="D101" s="431" t="str">
        <x:v>The prepared packages are independently verified and retain known authority gaps. Controlled execution now tests actual evaluator behavior on realistic imperfect public sources without changing package definitions or evaluator policy during the observation block.</x:v>
      </x:c>
      <x:c r="E101" s="431" t="str">
        <x:v>Accepted</x:v>
      </x:c>
      <x:c r="F101" s="431" t="str">
        <x:v>Dual controlled audit-execution gate</x:v>
      </x:c>
      <x:c r="G101" s="431" t="str">
        <x:v>docs/package_assurance/dual_public_package_preparation_review_2026-07-20.md; D-097; EV-099-EV-100; package trees 52aedc3e... and 71656da7...</x:v>
      </x:c>
      <x:c r="H101" s="431" t="str">
        <x:v>Accepted by the user on 2026-07-20. PR #50 merged the preparation review at exact main 7009fe2. Both exact package trees and accepted logs were authorized for one sequential controlled audit each, with a mandatory stop on unexpected behavior.</x:v>
      </x:c>
    </x:row>
    <x:row r="102" ht="540" customHeight="1">
      <x:c r="A102" s="431" t="str">
        <x:v>D-099</x:v>
      </x:c>
      <x:c r="B102" s="431" t="n">
        <x:v>46223</x:v>
      </x:c>
      <x:c r="C102" s="431" t="str">
        <x:v>Accept the stopped NASA/JPL audit and cross-package diagnosis as valid learning evidence. Authorize a separate narrow identifier/result-contract stabilization before any public-package rerun.</x:v>
      </x:c>
      <x:c r="D102" s="431" t="str">
        <x:v>The strict result schema correctly blocked malformed evaluator findings. The defect is not bad public data: accepted optional BOM references were absent, but the identifier gate treated absence as malformed syntax and promoted the invalid blank value into a canonical result field. A narrow fix can preserve strict mandatory identifiers, authority holds, and result schemas without changing either package.</x:v>
      </x:c>
      <x:c r="E102" s="431" t="str">
        <x:v>Accepted</x:v>
      </x:c>
      <x:c r="F102" s="431" t="str">
        <x:v>Public-package audit stabilization gate</x:v>
      </x:c>
      <x:c r="G102" s="431" t="str">
        <x:v>docs/package_assurance/dual_public_package_audit_failure_review_2026-07-20.md; local ignored NASA/JPL failure evidence; EV-101-EV-103; IMP-017; D-098</x:v>
      </x:c>
      <x:c r="H102" s="431" t="str">
        <x:v>Accepted by the CEO on 2026-07-20. PR #51 merged the failure review at exact main 624acce. The separate stabilization changed only optional blank handling and invalid-finding representation, with synthetic full-CLI proof and no public-package rerun.</x:v>
      </x:c>
    </x:row>
    <x:row r="103" ht="558" customHeight="1">
      <x:c r="A103" s="431" t="str">
        <x:v>D-100</x:v>
      </x:c>
      <x:c r="B103" s="431" t="n">
        <x:v>46223</x:v>
      </x:c>
      <x:c r="C103" s="431" t="str">
        <x:v>Accept the D-099 identifier/result-contract stabilization and synthetic proof. Merge the fix, then authorize exactly one unchanged NASA/JPL rerun before any OpenFlexure audit.</x:v>
      </x:c>
      <x:c r="D103" s="431" t="str">
        <x:v>The fix preserves strict schemas and malformed-value holds while restoring the accepted missing-authority path. Synthetic full-CLI tests publish all four outputs at exit 3 and exit 1. A controlled NASA/JPL rerun is now the smallest real-world confirmation, but OpenFlexure should remain blocked until that result is inspected.</x:v>
      </x:c>
      <x:c r="E103" s="431" t="str">
        <x:v>Accepted</x:v>
      </x:c>
      <x:c r="F103" s="431" t="str">
        <x:v>NASA/JPL stabilization confirmation gate</x:v>
      </x:c>
      <x:c r="G103" s="431" t="str">
        <x:v>docs/package_assurance/identifier_result_contract_stabilization_review_2026-07-20.md; EV-104-EV-106; IMP-017; D-099; focused 47; full 289/1; coverage 87.57%; validation 5/5; Ruff; baseline 9/9; demo 2/2</x:v>
      </x:c>
      <x:c r="H103" s="431" t="str">
        <x:v>Accepted by the CEO on 2026-07-20. PR #52 merged the stabilization at exact main 0611d916. The accepted authority permitted exactly one unchanged NASA/JPL audit and required a stop before OpenFlexure.</x:v>
      </x:c>
    </x:row>
    <x:row r="104" ht="585" customHeight="1">
      <x:c r="A104" s="431" t="str">
        <x:v>D-101</x:v>
      </x:c>
      <x:c r="B104" s="431" t="n">
        <x:v>46223</x:v>
      </x:c>
      <x:c r="C104" s="431" t="str">
        <x:v>Accept the single D-100 NASA/JPL observation as matching its exact contract. Close I-004, retain IMP-017, and authorize exactly one unchanged OpenFlexure audit before check 8 or any deferred capability.</x:v>
      </x:c>
      <x:c r="D104" s="431" t="str">
        <x:v>NASA/JPL completed on its one authorized invocation with the expected missing_authoritative_information state, release hold true, exit 3, and four schema-valid outputs. Inputs remained exact and OpenFlexure was not run. One controlled OpenFlexure observation is now the smallest useful next proof.</x:v>
      </x:c>
      <x:c r="E104" s="431" t="str">
        <x:v>Accepted</x:v>
      </x:c>
      <x:c r="F104" s="431" t="str">
        <x:v>OpenFlexure controlled audit gate</x:v>
      </x:c>
      <x:c r="G104" s="431" t="str">
        <x:v>docs/package_assurance/nasa_jpl_public_audit_confirmation_review_2026-07-20.md; EV-107-EV-110; I-004; IMP-016-IMP-017; RUN-20260721T001431760486Z-4f1b9817; focused 53; full 289/1; coverage 87.57%; validation 5/5; Ruff; baseline 9/9; demo 2/2</x:v>
      </x:c>
      <x:c r="H104" s="431" t="str">
        <x:v>Accepted by the CEO on 2026-07-20. PR #53 merged the NASA/JPL confirmation at exact main 65c9699b. The accepted authority closed I-004, retained IMP-017, and permitted exactly one unchanged OpenFlexure audit with a mandatory stop before check 8.</x:v>
      </x:c>
    </x:row>
    <x:row r="105" ht="612" customHeight="1">
      <x:c r="A105" s="431" t="str">
        <x:v>D-102</x:v>
      </x:c>
      <x:c r="B105" s="431" t="n">
        <x:v>46223</x:v>
      </x:c>
      <x:c r="C105" s="431" t="str">
        <x:v>Accept the single D-101 OpenFlexure observation and close the dual public-package sequence. Adopt package-scoped finding identity for future aggregation and authorize only check 8, equipment_datasheet_authority_presence, next.</x:v>
      </x:c>
      <x:c r="D105" s="431" t="str">
        <x:v>OpenFlexure matched the exact missing-authority state, hold, exit, schema, and four-output contract from unchanged inputs. Both public packages now prove safe real-world intake and refusal, but not relationship-fault detection because authority blocked every check. Check 8 is the next accepted structured slice and the fastest controlled path back to product breadth.</x:v>
      </x:c>
      <x:c r="E105" s="431" t="str">
        <x:v>Accepted</x:v>
      </x:c>
      <x:c r="F105" s="431" t="str">
        <x:v>Dual public observation closeout and check 8 gate</x:v>
      </x:c>
      <x:c r="G105" s="431" t="str">
        <x:v>docs/package_assurance/openflexure_public_audit_confirmation_review_2026-07-20.md; EV-111-EV-115; I-004; IMP-016-IMP-018; RUN-20260721T004222043918Z-254a2eca; focused 53; full 289/1; coverage 87.57%; validation 5/5; Ruff; baseline 9/9; demo 2/2</x:v>
      </x:c>
      <x:c r="H105" s="431" t="str">
        <x:v>Accepted by the CEO on 2026-07-20. PR #54 merged the OpenFlexure confirmation at exact main b0b32bb. The accepted authority closed the dual public-package sequence, adopted package-scoped finding identity for future aggregation, and authorized check 8 only under exact AUTH-SPEC-001.</x:v>
      </x:c>
    </x:row>
    <x:row r="106" ht="612" customHeight="1">
      <x:c r="A106" s="431" t="str">
        <x:v>D-103</x:v>
      </x:c>
      <x:c r="B106" s="431" t="n">
        <x:v>46223</x:v>
      </x:c>
      <x:c r="C106" s="431" t="str">
        <x:v>Accept check 8, equipment_datasheet_authority_presence, as matching D-102. Merge the implementation and authorize only check 9, equipment_datasheet_association, next under exact AUTH-SPEC-001.</x:v>
      </x:c>
      <x:c r="D106" s="431" t="str">
        <x:v>Check 8 passes the clean package and detects zero or competing authoritative datasheet records with deterministic evidence, missing-authority state, release hold, exit 3, and four consistent outputs. Check 9 is the next bounded value step because it compares the BOM datasheet ID with the single authority record established by check 8.</x:v>
      </x:c>
      <x:c r="E106" s="431" t="str">
        <x:v>Accepted</x:v>
      </x:c>
      <x:c r="F106" s="431" t="str">
        <x:v>Equipment/datasheet association gate</x:v>
      </x:c>
      <x:c r="G106" s="431" t="str">
        <x:v>docs/package_assurance/equipment_datasheet_authority_presence_implementation_review_2026-07-20.md; EV-116-EV-119; IMP-013-IMP-015; clean RUN-20260721T025957813425Z-a7aee64f; fault RUN-20260721T025913235840Z-be4840eb; focused 111; full 295/1; coverage 87.71%; validation 5/5; Ruff; baseline 9/9; demo 2/2</x:v>
      </x:c>
      <x:c r="H106" s="431" t="str">
        <x:v>Accepted by the CEO on 2026-07-20. PR #55 passed both GitHub validation checks and merged check 8 at exact main fb0113d, authorizing only check 9 under exact AUTH-SPEC-001.</x:v>
      </x:c>
    </x:row>
    <x:row r="107" ht="648" customHeight="1">
      <x:c r="A107" s="431" t="str">
        <x:v>D-104</x:v>
      </x:c>
      <x:c r="B107" s="431" t="n">
        <x:v>46223</x:v>
      </x:c>
      <x:c r="C107" s="431" t="str">
        <x:v>Accept check 9, equipment_datasheet_association, as matching D-103. Merge the implementation and authorize one narrow Windows publication-resilience stabilization before check 10.</x:v>
      </x:c>
      <x:c r="D107" s="431" t="str">
        <x:v>Check 9 detects the accepted wrong-but-valid BOM datasheet reference through the complete result path. One transient PermissionError during the final atomic rename was preserved and then cleared on an unchanged invocation. Reliable publication should be stabilized before expanding to check 10.</x:v>
      </x:c>
      <x:c r="E107" s="431" t="str">
        <x:v>Accepted</x:v>
      </x:c>
      <x:c r="F107" s="431" t="str">
        <x:v>Check-9 acceptance and publication-resilience gate</x:v>
      </x:c>
      <x:c r="G107" s="431" t="str">
        <x:v>docs/package_assurance/equipment_datasheet_association_implementation_review_2026-07-20.md; EV-120-EV-124; I-005; IMP-019; clean RUN-20260721T034251280706Z-6efeff51; fault RUN-20260721T034329189347Z-dc3cd02a; preserved failed RUN-20260721T034252120538Z-fa89f942; focused 88; full 299/1; coverage 87.86%; validation 5/5; Ruff; baseline 9/9; demo 2/2</x:v>
      </x:c>
      <x:c r="H107" s="431" t="str">
        <x:v>Accepted by the CEO on 2026-07-21. PR #56 passed both GitHub validation checks and merged check 9 at exact main 7146b23. The accepted authority approved one narrow final-rename publication-resilience stabilization before check 10.</x:v>
      </x:c>
    </x:row>
    <x:row r="108" ht="639" customHeight="1">
      <x:c r="A108" s="431" t="str">
        <x:v>D-105</x:v>
      </x:c>
      <x:c r="B108" s="431" t="n">
        <x:v>46224</x:v>
      </x:c>
      <x:c r="C108" s="431" t="str">
        <x:v>Accept the bounded final-rename publication-resilience stabilization as matching D-104. Close I-005 as controlled, retain IMP-019 as a permanent regression rule, and authorize only check 10, equipment_datasheet_manifest_reciprocity, next.</x:v>
      </x:c>
      <x:c r="D108" s="431" t="str">
        <x:v>Only PermissionError during the final same-parent rename receives five total attempts over 0.75 seconds. Collisions and other errors never retry; exhaustion preserves failure evidence and exit 70. Injected tests and 20 consecutive Windows audits prove the intended boundary without changing audit semantics.</x:v>
      </x:c>
      <x:c r="E108" s="431" t="str">
        <x:v>Proposed</x:v>
      </x:c>
      <x:c r="F108" s="431" t="str">
        <x:v>Publication resilience acceptance and check-10 gate</x:v>
      </x:c>
      <x:c r="G108" s="431" t="str">
        <x:v>docs/package_assurance/publication_resilience_stabilization_review_2026-07-21.md; EV-125-EV-128; I-005; IMP-019; Windows audit 20/20; focused 24; full 304/1; coverage 88.08%; validation 5/5; Ruff; baseline 9/9; demo 2/2</x:v>
      </x:c>
      <x:c r="H108" s="431" t="str">
        <x:v>CEO accepts or revises the stabilization and check-10-only authorization. If accepted, merge this branch, close I-005, retain IMP-019, and implement equipment_datasheet_manifest_reciprocity under exact AUTH-SPEC-001. Keep check 11 and later capabilities blocked pending separate review.</x:v>
      </x:c>
    </x:row>
  </x:sheetData>
  <x:mergeCells>
    <x:mergeCell ref="A1:H1"/>
  </x:mergeCells>
  <x:dataValidations count="1">
    <x:dataValidation type="list" sqref="E4:E100">
      <x:formula1>"Proposed,Active,Superseded,Deferred"</x:formula1>
    </x:dataValidation>
  </x:dataValidations>
  <x:pageMargins left="0.7" right="0.7" top="0.75" bottom="0.75" header="0.3" footer="0.3"/>
</x:worksheet>
</file>

<file path=xl/worksheets/sheet11.xml><?xml version="1.0" encoding="utf-8"?>
<x:worksheet xmlns:x="http://schemas.openxmlformats.org/spreadsheetml/2006/main">
  <x:sheetFormatPr defaultRowHeight="14.25"/>
  <x:cols>
    <x:col min="1" max="2" width="10" customWidth="1"/>
    <x:col min="3" max="3" width="42" customWidth="1"/>
    <x:col min="4" max="6" width="12" customWidth="1"/>
    <x:col min="7" max="7" width="48" customWidth="1"/>
    <x:col min="8" max="8" width="13" customWidth="1"/>
    <x:col min="9" max="9" width="12" customWidth="1"/>
    <x:col min="10" max="10" width="38" customWidth="1"/>
  </x:cols>
  <x:sheetData>
    <x:row r="1" ht="27.950000762939453" customHeight="1">
      <x:c r="A1" s="234" t="s">
        <x:v>561</x:v>
      </x:c>
      <x:c r="B1" s="235"/>
      <x:c r="C1" s="235"/>
      <x:c r="D1" s="235"/>
      <x:c r="E1" s="235"/>
      <x:c r="F1" s="235"/>
      <x:c r="G1" s="235"/>
      <x:c r="H1" s="235"/>
      <x:c r="I1" s="235"/>
      <x:c r="J1" s="235"/>
    </x:row>
    <x:row r="3" ht="30">
      <x:c r="A3" s="80" t="s">
        <x:v>0</x:v>
      </x:c>
      <x:c r="B3" s="80" t="s">
        <x:v>197</x:v>
      </x:c>
      <x:c r="C3" s="80" t="s">
        <x:v>562</x:v>
      </x:c>
      <x:c r="D3" s="80" t="s">
        <x:v>563</x:v>
      </x:c>
      <x:c r="E3" s="80" t="s">
        <x:v>564</x:v>
      </x:c>
      <x:c r="F3" s="80" t="s">
        <x:v>565</x:v>
      </x:c>
      <x:c r="G3" s="80" t="s">
        <x:v>566</x:v>
      </x:c>
      <x:c r="H3" s="80" t="s">
        <x:v>56</x:v>
      </x:c>
      <x:c r="I3" s="80" t="s">
        <x:v>567</x:v>
      </x:c>
      <x:c r="J3" s="80" t="s">
        <x:v>61</x:v>
      </x:c>
    </x:row>
    <x:row r="4" ht="28.5">
      <x:c r="A4" s="78" t="s">
        <x:v>568</x:v>
      </x:c>
      <x:c r="B4" s="78" t="s">
        <x:v>569</x:v>
      </x:c>
      <x:c r="C4" s="78" t="s">
        <x:v>570</x:v>
      </x:c>
      <x:c r="D4" s="78" t="s">
        <x:v>571</x:v>
      </x:c>
      <x:c r="E4" s="78" t="s">
        <x:v>571</x:v>
      </x:c>
      <x:c r="F4" s="78" t="s">
        <x:v>572</x:v>
      </x:c>
      <x:c r="G4" s="78" t="s">
        <x:v>573</x:v>
      </x:c>
      <x:c r="H4" s="78" t="s">
        <x:v>574</x:v>
      </x:c>
      <x:c r="I4" s="81">
        <x:v>46215</x:v>
      </x:c>
      <x:c r="J4" s="78" t="s">
        <x:v>575</x:v>
      </x:c>
    </x:row>
    <x:row r="5" ht="28.5">
      <x:c r="A5" s="78" t="s">
        <x:v>576</x:v>
      </x:c>
      <x:c r="B5" s="78" t="s">
        <x:v>569</x:v>
      </x:c>
      <x:c r="C5" s="78" t="s">
        <x:v>577</x:v>
      </x:c>
      <x:c r="D5" s="78" t="s">
        <x:v>571</x:v>
      </x:c>
      <x:c r="E5" s="78" t="s">
        <x:v>571</x:v>
      </x:c>
      <x:c r="F5" s="78" t="s">
        <x:v>572</x:v>
      </x:c>
      <x:c r="G5" s="78" t="s">
        <x:v>578</x:v>
      </x:c>
      <x:c r="H5" s="78" t="s">
        <x:v>579</x:v>
      </x:c>
      <x:c r="I5" s="81">
        <x:v>46215</x:v>
      </x:c>
      <x:c r="J5" s="78" t="s">
        <x:v>580</x:v>
      </x:c>
    </x:row>
    <x:row r="6" ht="28.5">
      <x:c r="A6" s="78" t="s">
        <x:v>581</x:v>
      </x:c>
      <x:c r="B6" s="78" t="s">
        <x:v>569</x:v>
      </x:c>
      <x:c r="C6" s="78" t="s">
        <x:v>582</x:v>
      </x:c>
      <x:c r="D6" s="78" t="s">
        <x:v>583</x:v>
      </x:c>
      <x:c r="E6" s="78" t="s">
        <x:v>571</x:v>
      </x:c>
      <x:c r="F6" s="78" t="s">
        <x:v>572</x:v>
      </x:c>
      <x:c r="G6" s="78" t="s">
        <x:v>584</x:v>
      </x:c>
      <x:c r="H6" s="78" t="str">
        <x:v>Mitigating</x:v>
      </x:c>
      <x:c r="I6" s="81" t="n">
        <x:v>46243</x:v>
      </x:c>
      <x:c r="J6" s="78" t="str">
        <x:v>All five current benchmark cases now have independent reference reconstruction and regression evidence. WBS 3.2 added case-specific verification documentation and end-to-end candidate tests. Continue the same admission standard for any future cases.</x:v>
      </x:c>
    </x:row>
    <x:row r="7" ht="54" customHeight="1">
      <x:c r="A7" s="78" t="s">
        <x:v>585</x:v>
      </x:c>
      <x:c r="B7" s="78" t="s">
        <x:v>569</x:v>
      </x:c>
      <x:c r="C7" s="78" t="s">
        <x:v>586</x:v>
      </x:c>
      <x:c r="D7" s="78" t="s">
        <x:v>583</x:v>
      </x:c>
      <x:c r="E7" s="78" t="s">
        <x:v>571</x:v>
      </x:c>
      <x:c r="F7" s="78" t="s">
        <x:v>572</x:v>
      </x:c>
      <x:c r="G7" s="78" t="s">
        <x:v>587</x:v>
      </x:c>
      <x:c r="H7" s="78" t="s">
        <x:v>579</x:v>
      </x:c>
      <x:c r="I7" s="81">
        <x:v>46257</x:v>
      </x:c>
      <x:c r="J7" s="78" t="s">
        <x:v>588</x:v>
      </x:c>
    </x:row>
    <x:row r="8" ht="28.5">
      <x:c r="A8" s="78" t="s">
        <x:v>589</x:v>
      </x:c>
      <x:c r="B8" s="78" t="s">
        <x:v>569</x:v>
      </x:c>
      <x:c r="C8" s="78" t="s">
        <x:v>590</x:v>
      </x:c>
      <x:c r="D8" s="78" t="s">
        <x:v>583</x:v>
      </x:c>
      <x:c r="E8" s="78" t="s">
        <x:v>583</x:v>
      </x:c>
      <x:c r="F8" s="78" t="s">
        <x:v>572</x:v>
      </x:c>
      <x:c r="G8" s="78" t="s">
        <x:v>591</x:v>
      </x:c>
      <x:c r="H8" s="78" t="s">
        <x:v>574</x:v>
      </x:c>
      <x:c r="I8" s="81">
        <x:v>46222</x:v>
      </x:c>
      <x:c r="J8" s="78" t="s">
        <x:v>592</x:v>
      </x:c>
    </x:row>
    <x:row r="9" ht="28.5">
      <x:c r="A9" s="78" t="s">
        <x:v>593</x:v>
      </x:c>
      <x:c r="B9" s="78" t="s">
        <x:v>569</x:v>
      </x:c>
      <x:c r="C9" s="78" t="s">
        <x:v>594</x:v>
      </x:c>
      <x:c r="D9" s="78" t="s">
        <x:v>595</x:v>
      </x:c>
      <x:c r="E9" s="78" t="s">
        <x:v>571</x:v>
      </x:c>
      <x:c r="F9" s="78" t="s">
        <x:v>572</x:v>
      </x:c>
      <x:c r="G9" s="78" t="s">
        <x:v>596</x:v>
      </x:c>
      <x:c r="H9" s="78" t="s">
        <x:v>574</x:v>
      </x:c>
      <x:c r="I9" s="81">
        <x:v>46257</x:v>
      </x:c>
      <x:c r="J9" s="78" t="s">
        <x:v>597</x:v>
      </x:c>
    </x:row>
    <x:row r="10" ht="28.5">
      <x:c r="A10" s="78" t="s">
        <x:v>598</x:v>
      </x:c>
      <x:c r="B10" s="78" t="s">
        <x:v>599</x:v>
      </x:c>
      <x:c r="C10" s="78" t="s">
        <x:v>600</x:v>
      </x:c>
      <x:c r="D10" s="78" t="s">
        <x:v>601</x:v>
      </x:c>
      <x:c r="E10" s="78" t="s">
        <x:v>595</x:v>
      </x:c>
      <x:c r="F10" s="78" t="s">
        <x:v>572</x:v>
      </x:c>
      <x:c r="G10" s="78" t="s">
        <x:v>602</x:v>
      </x:c>
      <x:c r="H10" s="78" t="s">
        <x:v>603</x:v>
      </x:c>
      <x:c r="I10" s="81">
        <x:v>46208</x:v>
      </x:c>
      <x:c r="J10" s="78" t="s">
        <x:v>604</x:v>
      </x:c>
    </x:row>
    <x:row r="11" ht="28.5">
      <x:c r="A11" s="78" t="s">
        <x:v>605</x:v>
      </x:c>
      <x:c r="B11" s="78" t="s">
        <x:v>599</x:v>
      </x:c>
      <x:c r="C11" s="78" t="s">
        <x:v>606</x:v>
      </x:c>
      <x:c r="D11" s="78" t="s">
        <x:v>601</x:v>
      </x:c>
      <x:c r="E11" s="78" t="s">
        <x:v>583</x:v>
      </x:c>
      <x:c r="F11" s="78" t="s">
        <x:v>572</x:v>
      </x:c>
      <x:c r="G11" s="78" t="s">
        <x:v>607</x:v>
      </x:c>
      <x:c r="H11" s="78" t="s">
        <x:v>603</x:v>
      </x:c>
      <x:c r="I11" s="81">
        <x:v>46209</x:v>
      </x:c>
      <x:c r="J11" s="78" t="s">
        <x:v>608</x:v>
      </x:c>
    </x:row>
    <x:row r="12">
      <x:c r="A12" s="78" t="str">
        <x:v>R-007</x:v>
      </x:c>
      <x:c r="B12" s="78" t="str">
        <x:v>Risk</x:v>
      </x:c>
      <x:c r="C12" s="78" t="str">
        <x:v>The held-out split becomes nominal because all cases, references, and candidate fixtures were authored before the split or later tuning uses held-out evidence.</x:v>
      </x:c>
      <x:c r="D12" s="78" t="str">
        <x:v>Medium</x:v>
      </x:c>
      <x:c r="E12" s="78" t="str">
        <x:v>High</x:v>
      </x:c>
      <x:c r="F12" s="78" t="str">
        <x:v>Jason</x:v>
      </x:c>
      <x:c r="G12" s="78" t="str">
        <x:v>Keep MECH-003 frozen; prohibit versioned candidate fixtures and tuning against held-out outcomes; report development and held-out results separately; preserve generated evidence; add newly authored unseen cases in a future benchmark version.</x:v>
      </x:c>
      <x:c r="H12" s="78" t="str">
        <x:v>Mitigating</x:v>
      </x:c>
      <x:c r="I12" s="78" t="n">
        <x:v>46208</x:v>
      </x:c>
      <x:c r="J12" s="78" t="str">
        <x:v>WBS 3.4 reported MECH-003 separately, preserved the prior-exposure disclosure, generated its oracle candidate only in temporary storage, and prohibited performance claims. Residual risk remains until a future benchmark freezes newly authored unseen cases before candidate development.</x:v>
      </x:c>
    </x:row>
    <x:row r="13">
      <x:c r="A13" s="78" t="str">
        <x:v>R-008</x:v>
      </x:c>
      <x:c r="B13" s="78" t="str">
        <x:v>Risk</x:v>
      </x:c>
      <x:c r="C13" s="78" t="str">
        <x:v>The portfolio demo becomes a polished narrative rather than a reproducible, auditable execution that proves pass, failure evidence, exit codes, and immutable result persistence.</x:v>
      </x:c>
      <x:c r="D13" s="78" t="str">
        <x:v>Medium</x:v>
      </x:c>
      <x:c r="E13" s="78" t="str">
        <x:v>Medium</x:v>
      </x:c>
      <x:c r="F13" s="78" t="str">
        <x:v>Jason</x:v>
      </x:c>
      <x:c r="G13" s="78" t="str">
        <x:v>Use a deterministic script over versioned MECH-002 candidate fixtures, isolate generated runs, assert expected outcomes, capture terminal evidence, and document exact reproduction without adding a frontend.</x:v>
      </x:c>
      <x:c r="H13" s="78" t="str">
        <x:v>Closed</x:v>
      </x:c>
      <x:c r="I13" s="78" t="n">
        <x:v>46208</x:v>
      </x:c>
      <x:c r="J13" s="78" t="str">
        <x:v>Resolved by WBS 5.1. The merged demo uses committed MECH-002 fixtures, asserts pass/fail exit codes and scores, verifies UNIT_ERROR evidence and immutable result paths, writes an auditable report, includes an end-to-end regression test, and adds no frontend.</x:v>
      </x:c>
    </x:row>
    <x:row r="14">
      <x:c r="A14" s="78" t="str">
        <x:v>R-009</x:v>
      </x:c>
      <x:c r="B14" s="78" t="str">
        <x:v>Risk</x:v>
      </x:c>
      <x:c r="C14" s="78" t="str">
        <x:v>Release notes or limitations overstate implemented capability, obscure benchmark contamination limits, or imply AI/agent performance or engineering authority not demonstrated by the MVP.</x:v>
      </x:c>
      <x:c r="D14" s="78" t="str">
        <x:v>Medium</x:v>
      </x:c>
      <x:c r="E14" s="78" t="str">
        <x:v>High</x:v>
      </x:c>
      <x:c r="F14" s="78" t="str">
        <x:v>Jason</x:v>
      </x:c>
      <x:c r="G14" s="78" t="str">
        <x:v>Derive every release claim from merged repository evidence; explicitly state JSON-only CLI scope, five synthetic cases, MECH-003 prior exposure, harness-verification baseline limits, generated evidence behaviour, qualified-human review requirement, and deferred API/database, multimodal, agent, observability, deployment, governance-pack, and RL work.</x:v>
      </x:c>
      <x:c r="H14" s="78" t="str">
        <x:v>Closed</x:v>
      </x:c>
      <x:c r="I14" s="78" t="n">
        <x:v>46208</x:v>
      </x:c>
      <x:c r="J14" s="78" t="str">
        <x:v>Resolved by WBS 5.2. Release notes and limitations are derived from merged repository evidence, explicitly disclose MECH-003 prior exposure, limit baseline/demo claims to harness behaviour, state the qualified-human review boundary, and identify deferred capabilities.</x:v>
      </x:c>
    </x:row>
    <x:row r="15">
      <x:c r="A15" s="78" t="str">
        <x:v>R-010</x:v>
      </x:c>
      <x:c r="B15" s="78" t="str">
        <x:v>Risk</x:v>
      </x:c>
      <x:c r="C15" s="78" t="str">
        <x:v>The final v0.2.0 tag is created before a clean, reproducible acceptance run or does not match package metadata, documentation, generated result versions, and the merged main commit.</x:v>
      </x:c>
      <x:c r="D15" s="78" t="str">
        <x:v>Low</x:v>
      </x:c>
      <x:c r="E15" s="78" t="str">
        <x:v>High</x:v>
      </x:c>
      <x:c r="F15" s="78" t="str">
        <x:v>Jason</x:v>
      </x:c>
      <x:c r="G15" s="78" t="str">
        <x:v>Use a dedicated release/v0.2.0 branch; verify pyproject.toml, installed package metadata, persisted harness_version, release documents, five-case validation, 121 tests, baseline reproduction, portfolio demo, clean Git status, and exact main commit before creating and pushing an annotated v0.2.0 tag.</x:v>
      </x:c>
      <x:c r="H15" s="78" t="str">
        <x:v>Closed</x:v>
      </x:c>
      <x:c r="I15" s="78" t="n">
        <x:v>46208</x:v>
      </x:c>
      <x:c r="J15" s="78" t="str">
        <x:v>Resolved by WBS 5.3. A fresh Python 3.12.6 clone matched origin/main and the release branch, installed package version 0.2.0, validated five cases, passed 121 tests, reproduced baseline 9/9 and demo 2/2, verified eleven result versions and claim boundaries, remained clean, and was tagged only after acceptance. Remote peeled tag v0.2.0 resolves to accepted commit 45336a2.</x:v>
      </x:c>
    </x:row>
    <x:row r="16" ht="84" customHeight="1">
      <x:c r="A16" s="447" t="str">
        <x:v>R-011</x:v>
      </x:c>
      <x:c r="B16" s="447" t="str">
        <x:v>Risk</x:v>
      </x:c>
      <x:c r="C16" s="447" t="str">
        <x:v>GPT-5.6 or another long-horizon coding agent takes unauthorized, destructive, external, or scope-expanding actions while attempting to complete the project.</x:v>
      </x:c>
      <x:c r="D16" s="447" t="str">
        <x:v>Medium</x:v>
      </x:c>
      <x:c r="E16" s="447" t="str">
        <x:v>High</x:v>
      </x:c>
      <x:c r="F16" s="447" t="str">
        <x:v>Jason</x:v>
      </x:c>
      <x:c r="G16" s="447" t="str">
        <x:v>Use explicit permissions and protected-file lists; work in isolated branches/worktrees; prohibit autonomous merge; require approval before destructive/external actions; inspect diffs, commands, tests, and generated evidence.</x:v>
      </x:c>
      <x:c r="H16" s="447" t="str">
        <x:v>Open</x:v>
      </x:c>
      <x:c r="I16" s="445" t="n">
        <x:v>46223</x:v>
      </x:c>
      <x:c r="J16" s="447" t="str">
        <x:v>Stronger persistence improves throughput but raises the control burden.</x:v>
      </x:c>
    </x:row>
    <x:row r="17" ht="84" customHeight="1">
      <x:c r="A17" s="447" t="str">
        <x:v>R-012</x:v>
      </x:c>
      <x:c r="B17" s="447" t="str">
        <x:v>Risk</x:v>
      </x:c>
      <x:c r="C17" s="447" t="str">
        <x:v>Ambiguous source authority or identifier normalization creates convincing false positives, false negatives, or contradictory findings.</x:v>
      </x:c>
      <x:c r="D17" s="447" t="str">
        <x:v>High</x:v>
      </x:c>
      <x:c r="E17" s="447" t="str">
        <x:v>High</x:v>
      </x:c>
      <x:c r="F17" s="447" t="str">
        <x:v>Jason</x:v>
      </x:c>
      <x:c r="G17" s="447" t="str">
        <x:v>P0.1 freezes canonical IDs, authority declarations, normalization, conflict routing, and missing-authority states. P0.2 requires exact oracle matches, clean-package review, and fail-closed evidence before release.</x:v>
      </x:c>
      <x:c r="H17" s="447" t="str">
        <x:v>Open</x:v>
      </x:c>
      <x:c r="I17" s="445" t="n">
        <x:v>46218</x:v>
      </x:c>
      <x:c r="J17" s="447" t="str">
        <x:v>Risk reduced by D-033 and D-035; remains open until P1-P4 implementation and benchmark evidence validate the contracts.</x:v>
      </x:c>
    </x:row>
    <x:row r="18" ht="84" customHeight="1">
      <x:c r="A18" s="447" t="str">
        <x:v>R-013</x:v>
      </x:c>
      <x:c r="B18" s="447" t="str">
        <x:v>Risk</x:v>
      </x:c>
      <x:c r="C18" s="447" t="str">
        <x:v>Synthetic package fixtures overfit the evaluator and do not represent messy real engineering packages.</x:v>
      </x:c>
      <x:c r="D18" s="447" t="str">
        <x:v>Medium</x:v>
      </x:c>
      <x:c r="E18" s="447" t="str">
        <x:v>High</x:v>
      </x:c>
      <x:c r="F18" s="447" t="str">
        <x:v>Jason</x:v>
      </x:c>
      <x:c r="G18" s="447" t="str">
        <x:v>Use the P0.2 materially-distinct held-out protocol, freeze before rule tuning, protect expected assets, preserve first runs, replace contaminated held-out cases, and disclose the synthetic/self-authored boundary.</x:v>
      </x:c>
      <x:c r="H18" s="447" t="str">
        <x:v>Open</x:v>
      </x:c>
      <x:c r="I18" s="445" t="n">
        <x:v>46218</x:v>
      </x:c>
      <x:c r="J18" s="447" t="str">
        <x:v>P0.2 establishes measurable controls but cannot prove external industrial validity; keep the risk open through P4.</x:v>
      </x:c>
    </x:row>
    <x:row r="19" ht="84" customHeight="1">
      <x:c r="A19" s="447" t="str">
        <x:v>R-014</x:v>
      </x:c>
      <x:c r="B19" s="447" t="str">
        <x:v>Risk</x:v>
      </x:c>
      <x:c r="C19" s="447" t="str">
        <x:v>PDF/CAD extraction, redlining, APIs, databases, dashboards, agents, RAG, or RL enter v0.3.0 and delay the first useful workflow.</x:v>
      </x:c>
      <x:c r="D19" s="447" t="str">
        <x:v>High</x:v>
      </x:c>
      <x:c r="E19" s="447" t="str">
        <x:v>High</x:v>
      </x:c>
      <x:c r="F19" s="447" t="str">
        <x:v>Jason</x:v>
      </x:c>
      <x:c r="G19" s="447" t="str">
        <x:v>Keep v0.3.0 structured CSV/JSON only. P0.2 stop conditions prohibit deferred implementation, and P1 may begin only after user gate acceptance on its own capability branch.</x:v>
      </x:c>
      <x:c r="H19" s="447" t="str">
        <x:v>Open</x:v>
      </x:c>
      <x:c r="I19" s="445" t="n">
        <x:v>46218</x:v>
      </x:c>
      <x:c r="J19" s="447" t="str">
        <x:v>No deferred implementation entered P0.1 or P0.2. Scope risk remains open for subsequent build phases.</x:v>
      </x:c>
    </x:row>
    <x:row r="20" ht="84" customHeight="1">
      <x:c r="A20" s="447" t="str">
        <x:v>R-015</x:v>
      </x:c>
      <x:c r="B20" s="447" t="str">
        <x:v>Risk</x:v>
      </x:c>
      <x:c r="C20" s="447" t="str">
        <x:v>A weighted aggregate score conceals a release-critical revision, missing-document, or authority failure.</x:v>
      </x:c>
      <x:c r="D20" s="447" t="str">
        <x:v>Medium</x:v>
      </x:c>
      <x:c r="E20" s="447" t="str">
        <x:v>High</x:v>
      </x:c>
      <x:c r="F20" s="447" t="str">
        <x:v>Jason</x:v>
      </x:c>
      <x:c r="G20" s="447" t="str">
        <x:v>Use mandatory gates and hold findings; route explicit result states; show score only as secondary diagnostic information; require qualified-human approval.</x:v>
      </x:c>
      <x:c r="H20" s="447" t="str">
        <x:v>Open</x:v>
      </x:c>
      <x:c r="I20" s="445" t="n">
        <x:v>46234</x:v>
      </x:c>
      <x:c r="J20" s="447" t="str">
        <x:v>Release readiness is state- and evidence-driven, not score-driven.</x:v>
      </x:c>
    </x:row>
    <x:row r="21" ht="126" customHeight="1">
      <x:c r="A21" s="78" t="str">
        <x:v>I-003</x:v>
      </x:c>
      <x:c r="B21" s="78" t="str">
        <x:v>Issue</x:v>
      </x:c>
      <x:c r="C21" s="78" t="str">
        <x:v>The accepted package-assurance feature chain had remained ahead of origin/main while review and integration were pending.</x:v>
      </x:c>
      <x:c r="D21" s="78" t="str">
        <x:v>N/A</x:v>
      </x:c>
      <x:c r="E21" s="78" t="str">
        <x:v>Medium</x:v>
      </x:c>
      <x:c r="F21" s="78" t="str">
        <x:v>Jason</x:v>
      </x:c>
      <x:c r="G21" s="78" t="str">
        <x:v>Resolved through reviewed PR #27, green GitHub CI, merge to main, and verification of merge commit 94d9117.</x:v>
      </x:c>
      <x:c r="H21" s="78" t="str">
        <x:v>Closed</x:v>
      </x:c>
      <x:c r="I21" s="78" t="n">
        <x:v>46220</x:v>
      </x:c>
      <x:c r="J21" s="78" t="str">
        <x:v>Closed on 2026-07-17. IMP-006 retains the permanent rule that accepted capability chains close through one reviewed integration PR with green checks.</x:v>
      </x:c>
    </x:row>
    <x:row r="22" ht="297" customHeight="1">
      <x:c r="A22" s="431" t="str">
        <x:v>I-004</x:v>
      </x:c>
      <x:c r="B22" s="431" t="str">
        <x:v>Issue</x:v>
      </x:c>
      <x:c r="C22" s="431" t="str">
        <x:v>The first real public-package audit cannot publish a result when accepted optional BOM references are blank: invalid-value findings violate the canonical affected-identifier schema.</x:v>
      </x:c>
      <x:c r="D22" s="431" t="str">
        <x:v>N/A</x:v>
      </x:c>
      <x:c r="E22" s="431" t="str">
        <x:v>High</x:v>
      </x:c>
      <x:c r="F22" s="431" t="str">
        <x:v>Jason</x:v>
      </x:c>
      <x:c r="G22" s="431" t="str">
        <x:v>Retain the optional-blank and canonical-finding regression tests. Preserve both public run records and treat any recurrence as an immediate release stop.</x:v>
      </x:c>
      <x:c r="H22" s="431" t="str">
        <x:v>Closed</x:v>
      </x:c>
      <x:c r="I22" s="431" t="n">
        <x:v>46223</x:v>
      </x:c>
      <x:c r="J22" s="431" t="str">
        <x:v>Closed under accepted D-101. NASA/JPL and OpenFlexure each completed exactly once with the expected state, hold, exit, and four schema-valid outputs; neither produced a malformed-identifier finding.</x:v>
      </x:c>
    </x:row>
    <x:row r="23" ht="324" customHeight="1">
      <x:c r="A23" s="431" t="str">
        <x:v>R-016</x:v>
      </x:c>
      <x:c r="B23" s="431" t="str">
        <x:v>Risk</x:v>
      </x:c>
      <x:c r="C23" s="431" t="str">
        <x:v>Stable semantic finding IDs can repeat across package results, so a future multi-package report or storage layer could collide if it assumes finding_id is globally unique.</x:v>
      </x:c>
      <x:c r="D23" s="431" t="str">
        <x:v>Medium</x:v>
      </x:c>
      <x:c r="E23" s="431" t="str">
        <x:v>Medium</x:v>
      </x:c>
      <x:c r="F23" s="431" t="str">
        <x:v>Jason</x:v>
      </x:c>
      <x:c r="G23" s="431" t="str">
        <x:v>Use package_id plus finding_id as the identity in every future aggregation. Require a separate reviewed contract before changing the accepted per-package finding-ID algorithm.</x:v>
      </x:c>
      <x:c r="H23" s="431" t="str">
        <x:v>Open</x:v>
      </x:c>
      <x:c r="I23" s="431" t="n">
        <x:v>46223</x:v>
      </x:c>
      <x:c r="J23" s="431" t="str">
        <x:v>No current per-package ambiguity exists. NASA/JPL and OpenFlexure both produced FND-1704FCB7F45DFE73 for the same authority gap while retaining distinct package IDs; IMP-018 records the prevention before any aggregation layer exists.</x:v>
      </x:c>
    </x:row>
    <x:row r="24" ht="405" customHeight="1">
      <x:c r="A24" s="431" t="str">
        <x:v>I-005</x:v>
      </x:c>
      <x:c r="B24" s="431" t="str">
        <x:v>Issue</x:v>
      </x:c>
      <x:c r="C24" s="431" t="str">
        <x:v>A valid package audit can generate all four staged outputs but fail the final Windows directory rename when a transient process holds the staging directory.</x:v>
      </x:c>
      <x:c r="D24" s="431" t="str">
        <x:v>N/A</x:v>
      </x:c>
      <x:c r="E24" s="431" t="str">
        <x:v>High</x:v>
      </x:c>
      <x:c r="F24" s="431" t="str">
        <x:v>Jason</x:v>
      </x:c>
      <x:c r="G24" s="431" t="str">
        <x:v>Retry only final same-parent rename PermissionError using fixed 50/100/200/400 ms waits. Never retry or overwrite a collision or retry another OSError; preserve failed evidence and exit 70 after exhaustion.</x:v>
      </x:c>
      <x:c r="H24" s="431" t="str">
        <x:v>Mitigating</x:v>
      </x:c>
      <x:c r="I24" s="431" t="n">
        <x:v>46224</x:v>
      </x:c>
      <x:c r="J24" s="431" t="str">
        <x:v>D-104 stabilization is implemented and awaits D-105 acceptance. Injected tests prove exact recovery and failure boundaries; 20 consecutive Windows audits passed with four outputs and no hidden failures. IMP-019 retains the permanent regression control.</x:v>
      </x:c>
    </x:row>
    <x:row r="25">
      <x:c r="A25" s="78"/>
      <x:c r="B25" s="78"/>
      <x:c r="C25" s="78"/>
      <x:c r="D25" s="78"/>
      <x:c r="E25" s="78"/>
      <x:c r="F25" s="78"/>
      <x:c r="G25" s="78"/>
      <x:c r="H25" s="78"/>
      <x:c r="I25" s="78"/>
      <x:c r="J25" s="78"/>
    </x:row>
    <x:row r="26">
      <x:c r="A26" s="78"/>
      <x:c r="B26" s="78"/>
      <x:c r="C26" s="78"/>
      <x:c r="D26" s="78"/>
      <x:c r="E26" s="78"/>
      <x:c r="F26" s="78"/>
      <x:c r="G26" s="78"/>
      <x:c r="H26" s="78"/>
      <x:c r="I26" s="78"/>
      <x:c r="J26" s="78"/>
    </x:row>
    <x:row r="27">
      <x:c r="A27" s="78"/>
      <x:c r="B27" s="78"/>
      <x:c r="C27" s="78"/>
      <x:c r="D27" s="78"/>
      <x:c r="E27" s="78"/>
      <x:c r="F27" s="78"/>
      <x:c r="G27" s="78"/>
      <x:c r="H27" s="78"/>
      <x:c r="I27" s="78"/>
      <x:c r="J27" s="78"/>
    </x:row>
    <x:row r="28">
      <x:c r="A28" s="78"/>
      <x:c r="B28" s="78"/>
      <x:c r="C28" s="78"/>
      <x:c r="D28" s="78"/>
      <x:c r="E28" s="78"/>
      <x:c r="F28" s="78"/>
      <x:c r="G28" s="78"/>
      <x:c r="H28" s="78"/>
      <x:c r="I28" s="78"/>
      <x:c r="J28" s="78"/>
    </x:row>
    <x:row r="29">
      <x:c r="A29" s="78"/>
      <x:c r="B29" s="78"/>
      <x:c r="C29" s="78"/>
      <x:c r="D29" s="78"/>
      <x:c r="E29" s="78"/>
      <x:c r="F29" s="78"/>
      <x:c r="G29" s="78"/>
      <x:c r="H29" s="78"/>
      <x:c r="I29" s="78"/>
      <x:c r="J29" s="78"/>
    </x:row>
    <x:row r="30">
      <x:c r="A30" s="78"/>
      <x:c r="B30" s="78"/>
      <x:c r="C30" s="78"/>
      <x:c r="D30" s="78"/>
      <x:c r="E30" s="78"/>
      <x:c r="F30" s="78"/>
      <x:c r="G30" s="78"/>
      <x:c r="H30" s="78"/>
      <x:c r="I30" s="78"/>
      <x:c r="J30" s="78"/>
    </x:row>
    <x:row r="31">
      <x:c r="A31" s="78"/>
      <x:c r="B31" s="78"/>
      <x:c r="C31" s="78"/>
      <x:c r="D31" s="78"/>
      <x:c r="E31" s="78"/>
      <x:c r="F31" s="78"/>
      <x:c r="G31" s="78"/>
      <x:c r="H31" s="78"/>
      <x:c r="I31" s="78"/>
      <x:c r="J31" s="78"/>
    </x:row>
    <x:row r="32">
      <x:c r="A32" s="78"/>
      <x:c r="B32" s="78"/>
      <x:c r="C32" s="78"/>
      <x:c r="D32" s="78"/>
      <x:c r="E32" s="78"/>
      <x:c r="F32" s="78"/>
      <x:c r="G32" s="78"/>
      <x:c r="H32" s="78"/>
      <x:c r="I32" s="78"/>
      <x:c r="J32" s="78"/>
    </x:row>
    <x:row r="33">
      <x:c r="A33" s="78"/>
      <x:c r="B33" s="78"/>
      <x:c r="C33" s="78"/>
      <x:c r="D33" s="78"/>
      <x:c r="E33" s="78"/>
      <x:c r="F33" s="78"/>
      <x:c r="G33" s="78"/>
      <x:c r="H33" s="78"/>
      <x:c r="I33" s="78"/>
      <x:c r="J33" s="78"/>
    </x:row>
    <x:row r="34">
      <x:c r="A34" s="78"/>
      <x:c r="B34" s="78"/>
      <x:c r="C34" s="78"/>
      <x:c r="D34" s="78"/>
      <x:c r="E34" s="78"/>
      <x:c r="F34" s="78"/>
      <x:c r="G34" s="78"/>
      <x:c r="H34" s="78"/>
      <x:c r="I34" s="78"/>
      <x:c r="J34" s="78"/>
    </x:row>
    <x:row r="35">
      <x:c r="A35" s="78"/>
      <x:c r="B35" s="78"/>
      <x:c r="C35" s="78"/>
      <x:c r="D35" s="78"/>
      <x:c r="E35" s="78"/>
      <x:c r="F35" s="78"/>
      <x:c r="G35" s="78"/>
      <x:c r="H35" s="78"/>
      <x:c r="I35" s="78"/>
      <x:c r="J35" s="78"/>
    </x:row>
    <x:row r="36">
      <x:c r="A36" s="78"/>
      <x:c r="B36" s="78"/>
      <x:c r="C36" s="78"/>
      <x:c r="D36" s="78"/>
      <x:c r="E36" s="78"/>
      <x:c r="F36" s="78"/>
      <x:c r="G36" s="78"/>
      <x:c r="H36" s="78"/>
      <x:c r="I36" s="78"/>
      <x:c r="J36" s="78"/>
    </x:row>
    <x:row r="37">
      <x:c r="A37" s="78"/>
      <x:c r="B37" s="78"/>
      <x:c r="C37" s="78"/>
      <x:c r="D37" s="78"/>
      <x:c r="E37" s="78"/>
      <x:c r="F37" s="78"/>
      <x:c r="G37" s="78"/>
      <x:c r="H37" s="78"/>
      <x:c r="I37" s="78"/>
      <x:c r="J37" s="78"/>
    </x:row>
    <x:row r="38">
      <x:c r="A38" s="78"/>
      <x:c r="B38" s="78"/>
      <x:c r="C38" s="78"/>
      <x:c r="D38" s="78"/>
      <x:c r="E38" s="78"/>
      <x:c r="F38" s="78"/>
      <x:c r="G38" s="78"/>
      <x:c r="H38" s="78"/>
      <x:c r="I38" s="78"/>
      <x:c r="J38" s="78"/>
    </x:row>
    <x:row r="39">
      <x:c r="A39" s="78"/>
      <x:c r="B39" s="78"/>
      <x:c r="C39" s="78"/>
      <x:c r="D39" s="78"/>
      <x:c r="E39" s="78"/>
      <x:c r="F39" s="78"/>
      <x:c r="G39" s="78"/>
      <x:c r="H39" s="78"/>
      <x:c r="I39" s="78"/>
      <x:c r="J39" s="78"/>
    </x:row>
    <x:row r="40">
      <x:c r="A40" s="78"/>
      <x:c r="B40" s="78"/>
      <x:c r="C40" s="78"/>
      <x:c r="D40" s="78"/>
      <x:c r="E40" s="78"/>
      <x:c r="F40" s="78"/>
      <x:c r="G40" s="78"/>
      <x:c r="H40" s="78"/>
      <x:c r="I40" s="78"/>
      <x:c r="J40" s="78"/>
    </x:row>
    <x:row r="41">
      <x:c r="A41" s="78"/>
      <x:c r="B41" s="78"/>
      <x:c r="C41" s="78"/>
      <x:c r="D41" s="78"/>
      <x:c r="E41" s="78"/>
      <x:c r="F41" s="78"/>
      <x:c r="G41" s="78"/>
      <x:c r="H41" s="78"/>
      <x:c r="I41" s="78"/>
      <x:c r="J41" s="78"/>
    </x:row>
    <x:row r="42">
      <x:c r="A42" s="78"/>
      <x:c r="B42" s="78"/>
      <x:c r="C42" s="78"/>
      <x:c r="D42" s="78"/>
      <x:c r="E42" s="78"/>
      <x:c r="F42" s="78"/>
      <x:c r="G42" s="78"/>
      <x:c r="H42" s="78"/>
      <x:c r="I42" s="78"/>
      <x:c r="J42" s="78"/>
    </x:row>
    <x:row r="43">
      <x:c r="A43" s="78"/>
      <x:c r="B43" s="78"/>
      <x:c r="C43" s="78"/>
      <x:c r="D43" s="78"/>
      <x:c r="E43" s="78"/>
      <x:c r="F43" s="78"/>
      <x:c r="G43" s="78"/>
      <x:c r="H43" s="78"/>
      <x:c r="I43" s="78"/>
      <x:c r="J43" s="78"/>
    </x:row>
    <x:row r="44">
      <x:c r="A44" s="78"/>
      <x:c r="B44" s="78"/>
      <x:c r="C44" s="78"/>
      <x:c r="D44" s="78"/>
      <x:c r="E44" s="78"/>
      <x:c r="F44" s="78"/>
      <x:c r="G44" s="78"/>
      <x:c r="H44" s="78"/>
      <x:c r="I44" s="78"/>
      <x:c r="J44" s="78"/>
    </x:row>
    <x:row r="45">
      <x:c r="A45" s="78"/>
      <x:c r="B45" s="78"/>
      <x:c r="C45" s="78"/>
      <x:c r="D45" s="78"/>
      <x:c r="E45" s="78"/>
      <x:c r="F45" s="78"/>
      <x:c r="G45" s="78"/>
      <x:c r="H45" s="78"/>
      <x:c r="I45" s="78"/>
      <x:c r="J45" s="78"/>
    </x:row>
    <x:row r="46">
      <x:c r="A46" s="78"/>
      <x:c r="B46" s="78"/>
      <x:c r="C46" s="78"/>
      <x:c r="D46" s="78"/>
      <x:c r="E46" s="78"/>
      <x:c r="F46" s="78"/>
      <x:c r="G46" s="78"/>
      <x:c r="H46" s="78"/>
      <x:c r="I46" s="78"/>
      <x:c r="J46" s="78"/>
    </x:row>
    <x:row r="47">
      <x:c r="A47" s="78"/>
      <x:c r="B47" s="78"/>
      <x:c r="C47" s="78"/>
      <x:c r="D47" s="78"/>
      <x:c r="E47" s="78"/>
      <x:c r="F47" s="78"/>
      <x:c r="G47" s="78"/>
      <x:c r="H47" s="78"/>
      <x:c r="I47" s="78"/>
      <x:c r="J47" s="78"/>
    </x:row>
    <x:row r="48">
      <x:c r="A48" s="78"/>
      <x:c r="B48" s="78"/>
      <x:c r="C48" s="78"/>
      <x:c r="D48" s="78"/>
      <x:c r="E48" s="78"/>
      <x:c r="F48" s="78"/>
      <x:c r="G48" s="78"/>
      <x:c r="H48" s="78"/>
      <x:c r="I48" s="78"/>
      <x:c r="J48" s="78"/>
    </x:row>
    <x:row r="49">
      <x:c r="A49" s="78"/>
      <x:c r="B49" s="78"/>
      <x:c r="C49" s="78"/>
      <x:c r="D49" s="78"/>
      <x:c r="E49" s="78"/>
      <x:c r="F49" s="78"/>
      <x:c r="G49" s="78"/>
      <x:c r="H49" s="78"/>
      <x:c r="I49" s="78"/>
      <x:c r="J49" s="78"/>
    </x:row>
    <x:row r="50">
      <x:c r="A50" s="78"/>
      <x:c r="B50" s="78"/>
      <x:c r="C50" s="78"/>
      <x:c r="D50" s="78"/>
      <x:c r="E50" s="78"/>
      <x:c r="F50" s="78"/>
      <x:c r="G50" s="78"/>
      <x:c r="H50" s="78"/>
      <x:c r="I50" s="78"/>
      <x:c r="J50" s="78"/>
    </x:row>
    <x:row r="51">
      <x:c r="A51" s="78"/>
      <x:c r="B51" s="78"/>
      <x:c r="C51" s="78"/>
      <x:c r="D51" s="78"/>
      <x:c r="E51" s="78"/>
      <x:c r="F51" s="78"/>
      <x:c r="G51" s="78"/>
      <x:c r="H51" s="78"/>
      <x:c r="I51" s="78"/>
      <x:c r="J51" s="78"/>
    </x:row>
    <x:row r="52">
      <x:c r="A52" s="78"/>
      <x:c r="B52" s="78"/>
      <x:c r="C52" s="78"/>
      <x:c r="D52" s="78"/>
      <x:c r="E52" s="78"/>
      <x:c r="F52" s="78"/>
      <x:c r="G52" s="78"/>
      <x:c r="H52" s="78"/>
      <x:c r="I52" s="78"/>
      <x:c r="J52" s="78"/>
    </x:row>
    <x:row r="53">
      <x:c r="A53" s="78"/>
      <x:c r="B53" s="78"/>
      <x:c r="C53" s="78"/>
      <x:c r="D53" s="78"/>
      <x:c r="E53" s="78"/>
      <x:c r="F53" s="78"/>
      <x:c r="G53" s="78"/>
      <x:c r="H53" s="78"/>
      <x:c r="I53" s="78"/>
      <x:c r="J53" s="78"/>
    </x:row>
    <x:row r="54">
      <x:c r="A54" s="78"/>
      <x:c r="B54" s="78"/>
      <x:c r="C54" s="78"/>
      <x:c r="D54" s="78"/>
      <x:c r="E54" s="78"/>
      <x:c r="F54" s="78"/>
      <x:c r="G54" s="78"/>
      <x:c r="H54" s="78"/>
      <x:c r="I54" s="78"/>
      <x:c r="J54" s="78"/>
    </x:row>
    <x:row r="55">
      <x:c r="A55" s="78"/>
      <x:c r="B55" s="78"/>
      <x:c r="C55" s="78"/>
      <x:c r="D55" s="78"/>
      <x:c r="E55" s="78"/>
      <x:c r="F55" s="78"/>
      <x:c r="G55" s="78"/>
      <x:c r="H55" s="78"/>
      <x:c r="I55" s="78"/>
      <x:c r="J55" s="78"/>
    </x:row>
    <x:row r="56">
      <x:c r="A56" s="78"/>
      <x:c r="B56" s="78"/>
      <x:c r="C56" s="78"/>
      <x:c r="D56" s="78"/>
      <x:c r="E56" s="78"/>
      <x:c r="F56" s="78"/>
      <x:c r="G56" s="78"/>
      <x:c r="H56" s="78"/>
      <x:c r="I56" s="78"/>
      <x:c r="J56" s="78"/>
    </x:row>
    <x:row r="57">
      <x:c r="A57" s="78"/>
      <x:c r="B57" s="78"/>
      <x:c r="C57" s="78"/>
      <x:c r="D57" s="78"/>
      <x:c r="E57" s="78"/>
      <x:c r="F57" s="78"/>
      <x:c r="G57" s="78"/>
      <x:c r="H57" s="78"/>
      <x:c r="I57" s="78"/>
      <x:c r="J57" s="78"/>
    </x:row>
    <x:row r="58">
      <x:c r="A58" s="78"/>
      <x:c r="B58" s="78"/>
      <x:c r="C58" s="78"/>
      <x:c r="D58" s="78"/>
      <x:c r="E58" s="78"/>
      <x:c r="F58" s="78"/>
      <x:c r="G58" s="78"/>
      <x:c r="H58" s="78"/>
      <x:c r="I58" s="78"/>
      <x:c r="J58" s="78"/>
    </x:row>
    <x:row r="59">
      <x:c r="A59" s="78"/>
      <x:c r="B59" s="78"/>
      <x:c r="C59" s="78"/>
      <x:c r="D59" s="78"/>
      <x:c r="E59" s="78"/>
      <x:c r="F59" s="78"/>
      <x:c r="G59" s="78"/>
      <x:c r="H59" s="78"/>
      <x:c r="I59" s="78"/>
      <x:c r="J59" s="78"/>
    </x:row>
    <x:row r="60">
      <x:c r="A60" s="78"/>
      <x:c r="B60" s="78"/>
      <x:c r="C60" s="78"/>
      <x:c r="D60" s="78"/>
      <x:c r="E60" s="78"/>
      <x:c r="F60" s="78"/>
      <x:c r="G60" s="78"/>
      <x:c r="H60" s="78"/>
      <x:c r="I60" s="78"/>
      <x:c r="J60" s="78"/>
    </x:row>
    <x:row r="61">
      <x:c r="A61" s="78"/>
      <x:c r="B61" s="78"/>
      <x:c r="C61" s="78"/>
      <x:c r="D61" s="78"/>
      <x:c r="E61" s="78"/>
      <x:c r="F61" s="78"/>
      <x:c r="G61" s="78"/>
      <x:c r="H61" s="78"/>
      <x:c r="I61" s="78"/>
      <x:c r="J61" s="78"/>
    </x:row>
    <x:row r="62">
      <x:c r="A62" s="78"/>
      <x:c r="B62" s="78"/>
      <x:c r="C62" s="78"/>
      <x:c r="D62" s="78"/>
      <x:c r="E62" s="78"/>
      <x:c r="F62" s="78"/>
      <x:c r="G62" s="78"/>
      <x:c r="H62" s="78"/>
      <x:c r="I62" s="78"/>
      <x:c r="J62" s="78"/>
    </x:row>
    <x:row r="63">
      <x:c r="A63" s="78"/>
      <x:c r="B63" s="78"/>
      <x:c r="C63" s="78"/>
      <x:c r="D63" s="78"/>
      <x:c r="E63" s="78"/>
      <x:c r="F63" s="78"/>
      <x:c r="G63" s="78"/>
      <x:c r="H63" s="78"/>
      <x:c r="I63" s="78"/>
      <x:c r="J63" s="78"/>
    </x:row>
    <x:row r="64">
      <x:c r="A64" s="78"/>
      <x:c r="B64" s="78"/>
      <x:c r="C64" s="78"/>
      <x:c r="D64" s="78"/>
      <x:c r="E64" s="78"/>
      <x:c r="F64" s="78"/>
      <x:c r="G64" s="78"/>
      <x:c r="H64" s="78"/>
      <x:c r="I64" s="78"/>
      <x:c r="J64" s="78"/>
    </x:row>
    <x:row r="65">
      <x:c r="A65" s="78"/>
      <x:c r="B65" s="78"/>
      <x:c r="C65" s="78"/>
      <x:c r="D65" s="78"/>
      <x:c r="E65" s="78"/>
      <x:c r="F65" s="78"/>
      <x:c r="G65" s="78"/>
      <x:c r="H65" s="78"/>
      <x:c r="I65" s="78"/>
      <x:c r="J65" s="78"/>
    </x:row>
    <x:row r="66">
      <x:c r="A66" s="78"/>
      <x:c r="B66" s="78"/>
      <x:c r="C66" s="78"/>
      <x:c r="D66" s="78"/>
      <x:c r="E66" s="78"/>
      <x:c r="F66" s="78"/>
      <x:c r="G66" s="78"/>
      <x:c r="H66" s="78"/>
      <x:c r="I66" s="78"/>
      <x:c r="J66" s="78"/>
    </x:row>
    <x:row r="67">
      <x:c r="A67" s="78"/>
      <x:c r="B67" s="78"/>
      <x:c r="C67" s="78"/>
      <x:c r="D67" s="78"/>
      <x:c r="E67" s="78"/>
      <x:c r="F67" s="78"/>
      <x:c r="G67" s="78"/>
      <x:c r="H67" s="78"/>
      <x:c r="I67" s="78"/>
      <x:c r="J67" s="78"/>
    </x:row>
    <x:row r="68">
      <x:c r="A68" s="78"/>
      <x:c r="B68" s="78"/>
      <x:c r="C68" s="78"/>
      <x:c r="D68" s="78"/>
      <x:c r="E68" s="78"/>
      <x:c r="F68" s="78"/>
      <x:c r="G68" s="78"/>
      <x:c r="H68" s="78"/>
      <x:c r="I68" s="78"/>
      <x:c r="J68" s="78"/>
    </x:row>
    <x:row r="69">
      <x:c r="A69" s="78"/>
      <x:c r="B69" s="78"/>
      <x:c r="C69" s="78"/>
      <x:c r="D69" s="78"/>
      <x:c r="E69" s="78"/>
      <x:c r="F69" s="78"/>
      <x:c r="G69" s="78"/>
      <x:c r="H69" s="78"/>
      <x:c r="I69" s="78"/>
      <x:c r="J69" s="78"/>
    </x:row>
    <x:row r="70">
      <x:c r="A70" s="78"/>
      <x:c r="B70" s="78"/>
      <x:c r="C70" s="78"/>
      <x:c r="D70" s="78"/>
      <x:c r="E70" s="78"/>
      <x:c r="F70" s="78"/>
      <x:c r="G70" s="78"/>
      <x:c r="H70" s="78"/>
      <x:c r="I70" s="78"/>
      <x:c r="J70" s="78"/>
    </x:row>
    <x:row r="71">
      <x:c r="A71" s="78"/>
      <x:c r="B71" s="78"/>
      <x:c r="C71" s="78"/>
      <x:c r="D71" s="78"/>
      <x:c r="E71" s="78"/>
      <x:c r="F71" s="78"/>
      <x:c r="G71" s="78"/>
      <x:c r="H71" s="78"/>
      <x:c r="I71" s="78"/>
      <x:c r="J71" s="78"/>
    </x:row>
    <x:row r="72">
      <x:c r="A72" s="78"/>
      <x:c r="B72" s="78"/>
      <x:c r="C72" s="78"/>
      <x:c r="D72" s="78"/>
      <x:c r="E72" s="78"/>
      <x:c r="F72" s="78"/>
      <x:c r="G72" s="78"/>
      <x:c r="H72" s="78"/>
      <x:c r="I72" s="78"/>
      <x:c r="J72" s="78"/>
    </x:row>
    <x:row r="73">
      <x:c r="A73" s="78"/>
      <x:c r="B73" s="78"/>
      <x:c r="C73" s="78"/>
      <x:c r="D73" s="78"/>
      <x:c r="E73" s="78"/>
      <x:c r="F73" s="78"/>
      <x:c r="G73" s="78"/>
      <x:c r="H73" s="78"/>
      <x:c r="I73" s="78"/>
      <x:c r="J73" s="78"/>
    </x:row>
    <x:row r="74">
      <x:c r="A74" s="78"/>
      <x:c r="B74" s="78"/>
      <x:c r="C74" s="78"/>
      <x:c r="D74" s="78"/>
      <x:c r="E74" s="78"/>
      <x:c r="F74" s="78"/>
      <x:c r="G74" s="78"/>
      <x:c r="H74" s="78"/>
      <x:c r="I74" s="78"/>
      <x:c r="J74" s="78"/>
    </x:row>
    <x:row r="75">
      <x:c r="A75" s="78"/>
      <x:c r="B75" s="78"/>
      <x:c r="C75" s="78"/>
      <x:c r="D75" s="78"/>
      <x:c r="E75" s="78"/>
      <x:c r="F75" s="78"/>
      <x:c r="G75" s="78"/>
      <x:c r="H75" s="78"/>
      <x:c r="I75" s="78"/>
      <x:c r="J75" s="78"/>
    </x:row>
    <x:row r="76">
      <x:c r="A76" s="78"/>
      <x:c r="B76" s="78"/>
      <x:c r="C76" s="78"/>
      <x:c r="D76" s="78"/>
      <x:c r="E76" s="78"/>
      <x:c r="F76" s="78"/>
      <x:c r="G76" s="78"/>
      <x:c r="H76" s="78"/>
      <x:c r="I76" s="78"/>
      <x:c r="J76" s="78"/>
    </x:row>
    <x:row r="77">
      <x:c r="A77" s="78"/>
      <x:c r="B77" s="78"/>
      <x:c r="C77" s="78"/>
      <x:c r="D77" s="78"/>
      <x:c r="E77" s="78"/>
      <x:c r="F77" s="78"/>
      <x:c r="G77" s="78"/>
      <x:c r="H77" s="78"/>
      <x:c r="I77" s="78"/>
      <x:c r="J77" s="78"/>
    </x:row>
    <x:row r="78">
      <x:c r="A78" s="78"/>
      <x:c r="B78" s="78"/>
      <x:c r="C78" s="78"/>
      <x:c r="D78" s="78"/>
      <x:c r="E78" s="78"/>
      <x:c r="F78" s="78"/>
      <x:c r="G78" s="78"/>
      <x:c r="H78" s="78"/>
      <x:c r="I78" s="78"/>
      <x:c r="J78" s="78"/>
    </x:row>
    <x:row r="79">
      <x:c r="A79" s="78"/>
      <x:c r="B79" s="78"/>
      <x:c r="C79" s="78"/>
      <x:c r="D79" s="78"/>
      <x:c r="E79" s="78"/>
      <x:c r="F79" s="78"/>
      <x:c r="G79" s="78"/>
      <x:c r="H79" s="78"/>
      <x:c r="I79" s="78"/>
      <x:c r="J79" s="78"/>
    </x:row>
    <x:row r="80">
      <x:c r="A80" s="78"/>
      <x:c r="B80" s="78"/>
      <x:c r="C80" s="78"/>
      <x:c r="D80" s="78"/>
      <x:c r="E80" s="78"/>
      <x:c r="F80" s="78"/>
      <x:c r="G80" s="78"/>
      <x:c r="H80" s="78"/>
      <x:c r="I80" s="78"/>
      <x:c r="J80" s="78"/>
    </x:row>
    <x:row r="81">
      <x:c r="A81" s="78"/>
      <x:c r="B81" s="78"/>
      <x:c r="C81" s="78"/>
      <x:c r="D81" s="78"/>
      <x:c r="E81" s="78"/>
      <x:c r="F81" s="78"/>
      <x:c r="G81" s="78"/>
      <x:c r="H81" s="78"/>
      <x:c r="I81" s="78"/>
      <x:c r="J81" s="78"/>
    </x:row>
    <x:row r="82">
      <x:c r="A82" s="78"/>
      <x:c r="B82" s="78"/>
      <x:c r="C82" s="78"/>
      <x:c r="D82" s="78"/>
      <x:c r="E82" s="78"/>
      <x:c r="F82" s="78"/>
      <x:c r="G82" s="78"/>
      <x:c r="H82" s="78"/>
      <x:c r="I82" s="78"/>
      <x:c r="J82" s="78"/>
    </x:row>
    <x:row r="83">
      <x:c r="A83" s="78"/>
      <x:c r="B83" s="78"/>
      <x:c r="C83" s="78"/>
      <x:c r="D83" s="78"/>
      <x:c r="E83" s="78"/>
      <x:c r="F83" s="78"/>
      <x:c r="G83" s="78"/>
      <x:c r="H83" s="78"/>
      <x:c r="I83" s="78"/>
      <x:c r="J83" s="78"/>
    </x:row>
    <x:row r="84">
      <x:c r="A84" s="78"/>
      <x:c r="B84" s="78"/>
      <x:c r="C84" s="78"/>
      <x:c r="D84" s="78"/>
      <x:c r="E84" s="78"/>
      <x:c r="F84" s="78"/>
      <x:c r="G84" s="78"/>
      <x:c r="H84" s="78"/>
      <x:c r="I84" s="78"/>
      <x:c r="J84" s="78"/>
    </x:row>
    <x:row r="85">
      <x:c r="A85" s="78"/>
      <x:c r="B85" s="78"/>
      <x:c r="C85" s="78"/>
      <x:c r="D85" s="78"/>
      <x:c r="E85" s="78"/>
      <x:c r="F85" s="78"/>
      <x:c r="G85" s="78"/>
      <x:c r="H85" s="78"/>
      <x:c r="I85" s="78"/>
      <x:c r="J85" s="78"/>
    </x:row>
    <x:row r="86">
      <x:c r="A86" s="78"/>
      <x:c r="B86" s="78"/>
      <x:c r="C86" s="78"/>
      <x:c r="D86" s="78"/>
      <x:c r="E86" s="78"/>
      <x:c r="F86" s="78"/>
      <x:c r="G86" s="78"/>
      <x:c r="H86" s="78"/>
      <x:c r="I86" s="78"/>
      <x:c r="J86" s="78"/>
    </x:row>
    <x:row r="87">
      <x:c r="A87" s="78"/>
      <x:c r="B87" s="78"/>
      <x:c r="C87" s="78"/>
      <x:c r="D87" s="78"/>
      <x:c r="E87" s="78"/>
      <x:c r="F87" s="78"/>
      <x:c r="G87" s="78"/>
      <x:c r="H87" s="78"/>
      <x:c r="I87" s="78"/>
      <x:c r="J87" s="78"/>
    </x:row>
    <x:row r="88">
      <x:c r="A88" s="78"/>
      <x:c r="B88" s="78"/>
      <x:c r="C88" s="78"/>
      <x:c r="D88" s="78"/>
      <x:c r="E88" s="78"/>
      <x:c r="F88" s="78"/>
      <x:c r="G88" s="78"/>
      <x:c r="H88" s="78"/>
      <x:c r="I88" s="78"/>
      <x:c r="J88" s="78"/>
    </x:row>
    <x:row r="89">
      <x:c r="A89" s="78"/>
      <x:c r="B89" s="78"/>
      <x:c r="C89" s="78"/>
      <x:c r="D89" s="78"/>
      <x:c r="E89" s="78"/>
      <x:c r="F89" s="78"/>
      <x:c r="G89" s="78"/>
      <x:c r="H89" s="78"/>
      <x:c r="I89" s="78"/>
      <x:c r="J89" s="78"/>
    </x:row>
    <x:row r="90">
      <x:c r="A90" s="78"/>
      <x:c r="B90" s="78"/>
      <x:c r="C90" s="78"/>
      <x:c r="D90" s="78"/>
      <x:c r="E90" s="78"/>
      <x:c r="F90" s="78"/>
      <x:c r="G90" s="78"/>
      <x:c r="H90" s="78"/>
      <x:c r="I90" s="78"/>
      <x:c r="J90" s="78"/>
    </x:row>
    <x:row r="91">
      <x:c r="A91" s="78"/>
      <x:c r="B91" s="78"/>
      <x:c r="C91" s="78"/>
      <x:c r="D91" s="78"/>
      <x:c r="E91" s="78"/>
      <x:c r="F91" s="78"/>
      <x:c r="G91" s="78"/>
      <x:c r="H91" s="78"/>
      <x:c r="I91" s="78"/>
      <x:c r="J91" s="78"/>
    </x:row>
    <x:row r="92">
      <x:c r="A92" s="78"/>
      <x:c r="B92" s="78"/>
      <x:c r="C92" s="78"/>
      <x:c r="D92" s="78"/>
      <x:c r="E92" s="78"/>
      <x:c r="F92" s="78"/>
      <x:c r="G92" s="78"/>
      <x:c r="H92" s="78"/>
      <x:c r="I92" s="78"/>
      <x:c r="J92" s="78"/>
    </x:row>
    <x:row r="93">
      <x:c r="A93" s="78"/>
      <x:c r="B93" s="78"/>
      <x:c r="C93" s="78"/>
      <x:c r="D93" s="78"/>
      <x:c r="E93" s="78"/>
      <x:c r="F93" s="78"/>
      <x:c r="G93" s="78"/>
      <x:c r="H93" s="78"/>
      <x:c r="I93" s="78"/>
      <x:c r="J93" s="78"/>
    </x:row>
    <x:row r="94">
      <x:c r="A94" s="78"/>
      <x:c r="B94" s="78"/>
      <x:c r="C94" s="78"/>
      <x:c r="D94" s="78"/>
      <x:c r="E94" s="78"/>
      <x:c r="F94" s="78"/>
      <x:c r="G94" s="78"/>
      <x:c r="H94" s="78"/>
      <x:c r="I94" s="78"/>
      <x:c r="J94" s="78"/>
    </x:row>
    <x:row r="95">
      <x:c r="A95" s="78"/>
      <x:c r="B95" s="78"/>
      <x:c r="C95" s="78"/>
      <x:c r="D95" s="78"/>
      <x:c r="E95" s="78"/>
      <x:c r="F95" s="78"/>
      <x:c r="G95" s="78"/>
      <x:c r="H95" s="78"/>
      <x:c r="I95" s="78"/>
      <x:c r="J95" s="78"/>
    </x:row>
    <x:row r="96">
      <x:c r="A96" s="78"/>
      <x:c r="B96" s="78"/>
      <x:c r="C96" s="78"/>
      <x:c r="D96" s="78"/>
      <x:c r="E96" s="78"/>
      <x:c r="F96" s="78"/>
      <x:c r="G96" s="78"/>
      <x:c r="H96" s="78"/>
      <x:c r="I96" s="78"/>
      <x:c r="J96" s="78"/>
    </x:row>
    <x:row r="97">
      <x:c r="A97" s="78"/>
      <x:c r="B97" s="78"/>
      <x:c r="C97" s="78"/>
      <x:c r="D97" s="78"/>
      <x:c r="E97" s="78"/>
      <x:c r="F97" s="78"/>
      <x:c r="G97" s="78"/>
      <x:c r="H97" s="78"/>
      <x:c r="I97" s="78"/>
      <x:c r="J97" s="78"/>
    </x:row>
    <x:row r="98">
      <x:c r="A98" s="78"/>
      <x:c r="B98" s="78"/>
      <x:c r="C98" s="78"/>
      <x:c r="D98" s="78"/>
      <x:c r="E98" s="78"/>
      <x:c r="F98" s="78"/>
      <x:c r="G98" s="78"/>
      <x:c r="H98" s="78"/>
      <x:c r="I98" s="78"/>
      <x:c r="J98" s="78"/>
    </x:row>
    <x:row r="99">
      <x:c r="A99" s="78"/>
      <x:c r="B99" s="78"/>
      <x:c r="C99" s="78"/>
      <x:c r="D99" s="78"/>
      <x:c r="E99" s="78"/>
      <x:c r="F99" s="78"/>
      <x:c r="G99" s="78"/>
      <x:c r="H99" s="78"/>
      <x:c r="I99" s="78"/>
      <x:c r="J99" s="78"/>
    </x:row>
    <x:row r="100">
      <x:c r="A100" s="78"/>
      <x:c r="B100" s="78"/>
      <x:c r="C100" s="78"/>
      <x:c r="D100" s="78"/>
      <x:c r="E100" s="78"/>
      <x:c r="F100" s="78"/>
      <x:c r="G100" s="78"/>
      <x:c r="H100" s="78"/>
      <x:c r="I100" s="78"/>
      <x:c r="J100" s="78"/>
    </x:row>
    <x:row r="101">
      <x:c r="A101" s="78"/>
      <x:c r="B101" s="78"/>
      <x:c r="C101" s="78"/>
      <x:c r="D101" s="78"/>
      <x:c r="E101" s="78"/>
      <x:c r="F101" s="78"/>
      <x:c r="G101" s="78"/>
      <x:c r="H101" s="78"/>
      <x:c r="I101" s="78"/>
      <x:c r="J101" s="78"/>
    </x:row>
    <x:row r="102">
      <x:c r="A102" s="78"/>
      <x:c r="B102" s="78"/>
      <x:c r="C102" s="78"/>
      <x:c r="D102" s="78"/>
      <x:c r="E102" s="78"/>
      <x:c r="F102" s="78"/>
      <x:c r="G102" s="78"/>
      <x:c r="H102" s="78"/>
      <x:c r="I102" s="78"/>
      <x:c r="J102" s="78"/>
    </x:row>
    <x:row r="103">
      <x:c r="A103" s="78"/>
      <x:c r="B103" s="78"/>
      <x:c r="C103" s="78"/>
      <x:c r="D103" s="78"/>
      <x:c r="E103" s="78"/>
      <x:c r="F103" s="78"/>
      <x:c r="G103" s="78"/>
      <x:c r="H103" s="78"/>
      <x:c r="I103" s="78"/>
      <x:c r="J103" s="78"/>
    </x:row>
    <x:row r="104">
      <x:c r="A104" s="78"/>
      <x:c r="B104" s="78"/>
      <x:c r="C104" s="78"/>
      <x:c r="D104" s="78"/>
      <x:c r="E104" s="78"/>
      <x:c r="F104" s="78"/>
      <x:c r="G104" s="78"/>
      <x:c r="H104" s="78"/>
      <x:c r="I104" s="78"/>
      <x:c r="J104" s="78"/>
    </x:row>
    <x:row r="105">
      <x:c r="A105" s="78"/>
      <x:c r="B105" s="78"/>
      <x:c r="C105" s="78"/>
      <x:c r="D105" s="78"/>
      <x:c r="E105" s="78"/>
      <x:c r="F105" s="78"/>
      <x:c r="G105" s="78"/>
      <x:c r="H105" s="78"/>
      <x:c r="I105" s="78"/>
      <x:c r="J105" s="78"/>
    </x:row>
    <x:row r="106">
      <x:c r="A106" s="78"/>
      <x:c r="B106" s="78"/>
      <x:c r="C106" s="78"/>
      <x:c r="D106" s="78"/>
      <x:c r="E106" s="78"/>
      <x:c r="F106" s="78"/>
      <x:c r="G106" s="78"/>
      <x:c r="H106" s="78"/>
      <x:c r="I106" s="78"/>
      <x:c r="J106" s="78"/>
    </x:row>
    <x:row r="107">
      <x:c r="A107" s="78"/>
      <x:c r="B107" s="78"/>
      <x:c r="C107" s="78"/>
      <x:c r="D107" s="78"/>
      <x:c r="E107" s="78"/>
      <x:c r="F107" s="78"/>
      <x:c r="G107" s="78"/>
      <x:c r="H107" s="78"/>
      <x:c r="I107" s="78"/>
      <x:c r="J107" s="78"/>
    </x:row>
    <x:row r="108">
      <x:c r="A108" s="78"/>
      <x:c r="B108" s="78"/>
      <x:c r="C108" s="78"/>
      <x:c r="D108" s="78"/>
      <x:c r="E108" s="78"/>
      <x:c r="F108" s="78"/>
      <x:c r="G108" s="78"/>
      <x:c r="H108" s="78"/>
      <x:c r="I108" s="78"/>
      <x:c r="J108" s="78"/>
    </x:row>
    <x:row r="109">
      <x:c r="A109" s="78"/>
      <x:c r="B109" s="78"/>
      <x:c r="C109" s="78"/>
      <x:c r="D109" s="78"/>
      <x:c r="E109" s="78"/>
      <x:c r="F109" s="78"/>
      <x:c r="G109" s="78"/>
      <x:c r="H109" s="78"/>
      <x:c r="I109" s="78"/>
      <x:c r="J109" s="78"/>
    </x:row>
    <x:row r="110">
      <x:c r="A110" s="78"/>
      <x:c r="B110" s="78"/>
      <x:c r="C110" s="78"/>
      <x:c r="D110" s="78"/>
      <x:c r="E110" s="78"/>
      <x:c r="F110" s="78"/>
      <x:c r="G110" s="78"/>
      <x:c r="H110" s="78"/>
      <x:c r="I110" s="78"/>
      <x:c r="J110" s="78"/>
    </x:row>
    <x:row r="111">
      <x:c r="A111" s="78"/>
      <x:c r="B111" s="78"/>
      <x:c r="C111" s="78"/>
      <x:c r="D111" s="78"/>
      <x:c r="E111" s="78"/>
      <x:c r="F111" s="78"/>
      <x:c r="G111" s="78"/>
      <x:c r="H111" s="78"/>
      <x:c r="I111" s="78"/>
      <x:c r="J111" s="78"/>
    </x:row>
    <x:row r="112">
      <x:c r="A112" s="78"/>
      <x:c r="B112" s="78"/>
      <x:c r="C112" s="78"/>
      <x:c r="D112" s="78"/>
      <x:c r="E112" s="78"/>
      <x:c r="F112" s="78"/>
      <x:c r="G112" s="78"/>
      <x:c r="H112" s="78"/>
      <x:c r="I112" s="78"/>
      <x:c r="J112" s="78"/>
    </x:row>
    <x:row r="113">
      <x:c r="A113" s="78"/>
      <x:c r="B113" s="78"/>
      <x:c r="C113" s="78"/>
      <x:c r="D113" s="78"/>
      <x:c r="E113" s="78"/>
      <x:c r="F113" s="78"/>
      <x:c r="G113" s="78"/>
      <x:c r="H113" s="78"/>
      <x:c r="I113" s="78"/>
      <x:c r="J113" s="78"/>
    </x:row>
    <x:row r="114">
      <x:c r="A114" s="78"/>
      <x:c r="B114" s="78"/>
      <x:c r="C114" s="78"/>
      <x:c r="D114" s="78"/>
      <x:c r="E114" s="78"/>
      <x:c r="F114" s="78"/>
      <x:c r="G114" s="78"/>
      <x:c r="H114" s="78"/>
      <x:c r="I114" s="78"/>
      <x:c r="J114" s="78"/>
    </x:row>
    <x:row r="115">
      <x:c r="A115" s="78"/>
      <x:c r="B115" s="78"/>
      <x:c r="C115" s="78"/>
      <x:c r="D115" s="78"/>
      <x:c r="E115" s="78"/>
      <x:c r="F115" s="78"/>
      <x:c r="G115" s="78"/>
      <x:c r="H115" s="78"/>
      <x:c r="I115" s="78"/>
      <x:c r="J115" s="78"/>
    </x:row>
    <x:row r="116">
      <x:c r="A116" s="78"/>
      <x:c r="B116" s="78"/>
      <x:c r="C116" s="78"/>
      <x:c r="D116" s="78"/>
      <x:c r="E116" s="78"/>
      <x:c r="F116" s="78"/>
      <x:c r="G116" s="78"/>
      <x:c r="H116" s="78"/>
      <x:c r="I116" s="78"/>
      <x:c r="J116" s="78"/>
    </x:row>
    <x:row r="117">
      <x:c r="A117" s="78"/>
      <x:c r="B117" s="78"/>
      <x:c r="C117" s="78"/>
      <x:c r="D117" s="78"/>
      <x:c r="E117" s="78"/>
      <x:c r="F117" s="78"/>
      <x:c r="G117" s="78"/>
      <x:c r="H117" s="78"/>
      <x:c r="I117" s="78"/>
      <x:c r="J117" s="78"/>
    </x:row>
    <x:row r="118">
      <x:c r="A118" s="78"/>
      <x:c r="B118" s="78"/>
      <x:c r="C118" s="78"/>
      <x:c r="D118" s="78"/>
      <x:c r="E118" s="78"/>
      <x:c r="F118" s="78"/>
      <x:c r="G118" s="78"/>
      <x:c r="H118" s="78"/>
      <x:c r="I118" s="78"/>
      <x:c r="J118" s="78"/>
    </x:row>
    <x:row r="119">
      <x:c r="A119" s="78"/>
      <x:c r="B119" s="78"/>
      <x:c r="C119" s="78"/>
      <x:c r="D119" s="78"/>
      <x:c r="E119" s="78"/>
      <x:c r="F119" s="78"/>
      <x:c r="G119" s="78"/>
      <x:c r="H119" s="78"/>
      <x:c r="I119" s="78"/>
      <x:c r="J119" s="78"/>
    </x:row>
    <x:row r="120">
      <x:c r="A120" s="78"/>
      <x:c r="B120" s="78"/>
      <x:c r="C120" s="78"/>
      <x:c r="D120" s="78"/>
      <x:c r="E120" s="78"/>
      <x:c r="F120" s="78"/>
      <x:c r="G120" s="78"/>
      <x:c r="H120" s="78"/>
      <x:c r="I120" s="78"/>
      <x:c r="J120" s="78"/>
    </x:row>
  </x:sheetData>
  <x:mergeCells>
    <x:mergeCell ref="A1:J1"/>
  </x:mergeCells>
  <x:dataValidations count="4">
    <x:dataValidation type="list" sqref="B4:B120">
      <x:formula1>"Risk,Issue"</x:formula1>
    </x:dataValidation>
    <x:dataValidation type="list" sqref="D4:D120">
      <x:formula1>"Low,Medium,High,N/A"</x:formula1>
    </x:dataValidation>
    <x:dataValidation type="list" sqref="E4:E120">
      <x:formula1>"Low,Medium,High"</x:formula1>
    </x:dataValidation>
    <x:dataValidation type="list" sqref="H4:H120">
      <x:formula1>"Open,Mitigating,Closed,Accepted"</x:formula1>
    </x:dataValidation>
  </x:dataValidations>
  <x:pageMargins left="0.7" right="0.7" top="0.75" bottom="0.75" header="0.3" footer="0.3"/>
</x:worksheet>
</file>

<file path=xl/worksheets/sheet12.xml><?xml version="1.0" encoding="utf-8"?>
<x:worksheet xmlns:x="http://schemas.openxmlformats.org/spreadsheetml/2006/main">
  <x:sheetFormatPr defaultRowHeight="14.25"/>
  <x:cols>
    <x:col min="1" max="2" width="12" customWidth="1"/>
    <x:col min="3" max="3" width="10" customWidth="1"/>
    <x:col min="4" max="4" width="46" customWidth="1"/>
    <x:col min="5" max="5" width="15" customWidth="1"/>
    <x:col min="6" max="6" width="28" customWidth="1"/>
    <x:col min="7" max="7" width="38" customWidth="1"/>
    <x:col min="8" max="8" width="12" customWidth="1"/>
    <x:col min="9" max="9" width="34" customWidth="1"/>
  </x:cols>
  <x:sheetData>
    <x:row r="1" ht="27.950000762939453" customHeight="1">
      <x:c r="A1" s="234" t="s">
        <x:v>609</x:v>
      </x:c>
      <x:c r="B1" s="235"/>
      <x:c r="C1" s="235"/>
      <x:c r="D1" s="235"/>
      <x:c r="E1" s="235"/>
      <x:c r="F1" s="235"/>
      <x:c r="G1" s="235"/>
      <x:c r="H1" s="235"/>
      <x:c r="I1" s="235"/>
    </x:row>
    <x:row r="3" ht="15">
      <x:c r="A3" s="80" t="s">
        <x:v>610</x:v>
      </x:c>
      <x:c r="B3" s="80" t="s">
        <x:v>449</x:v>
      </x:c>
      <x:c r="C3" s="80" t="s">
        <x:v>48</x:v>
      </x:c>
      <x:c r="D3" s="80" t="s">
        <x:v>181</x:v>
      </x:c>
      <x:c r="E3" s="80" t="s">
        <x:v>197</x:v>
      </x:c>
      <x:c r="F3" s="80" t="s">
        <x:v>611</x:v>
      </x:c>
      <x:c r="G3" s="80" t="s">
        <x:v>612</x:v>
      </x:c>
      <x:c r="H3" s="80" t="s">
        <x:v>56</x:v>
      </x:c>
      <x:c r="I3" s="80" t="s">
        <x:v>61</x:v>
      </x:c>
    </x:row>
    <x:row r="4" ht="28.5">
      <x:c r="A4" s="78" t="s">
        <x:v>613</x:v>
      </x:c>
      <x:c r="B4" s="81">
        <x:v>46201</x:v>
      </x:c>
      <x:c r="C4" s="78" t="s">
        <x:v>62</x:v>
      </x:c>
      <x:c r="D4" s="78" t="s">
        <x:v>614</x:v>
      </x:c>
      <x:c r="E4" s="78" t="s">
        <x:v>615</x:v>
      </x:c>
      <x:c r="F4" s="78" t="s">
        <x:v>616</x:v>
      </x:c>
      <x:c r="G4" s="78" t="s">
        <x:v>617</x:v>
      </x:c>
      <x:c r="H4" s="78" t="s">
        <x:v>618</x:v>
      </x:c>
      <x:c r="I4" s="78" t="s">
        <x:v>619</x:v>
      </x:c>
    </x:row>
    <x:row r="5" ht="28.5">
      <x:c r="A5" s="78" t="s">
        <x:v>620</x:v>
      </x:c>
      <x:c r="B5" s="81">
        <x:v>46203</x:v>
      </x:c>
      <x:c r="C5" s="78" t="s">
        <x:v>68</x:v>
      </x:c>
      <x:c r="D5" s="78" t="s">
        <x:v>621</x:v>
      </x:c>
      <x:c r="E5" s="78" t="s">
        <x:v>622</x:v>
      </x:c>
      <x:c r="F5" s="78" t="s">
        <x:v>623</x:v>
      </x:c>
      <x:c r="G5" s="78" t="s">
        <x:v>624</x:v>
      </x:c>
      <x:c r="H5" s="78" t="s">
        <x:v>618</x:v>
      </x:c>
      <x:c r="I5" s="78" t="s">
        <x:v>625</x:v>
      </x:c>
    </x:row>
    <x:row r="6" ht="28.5">
      <x:c r="A6" s="78" t="s">
        <x:v>626</x:v>
      </x:c>
      <x:c r="B6" s="81">
        <x:v>46207</x:v>
      </x:c>
      <x:c r="C6" s="78" t="s">
        <x:v>73</x:v>
      </x:c>
      <x:c r="D6" s="78" t="s">
        <x:v>627</x:v>
      </x:c>
      <x:c r="E6" s="78" t="s">
        <x:v>628</x:v>
      </x:c>
      <x:c r="F6" s="78" t="s">
        <x:v>629</x:v>
      </x:c>
      <x:c r="G6" s="78" t="s">
        <x:v>630</x:v>
      </x:c>
      <x:c r="H6" s="78" t="s">
        <x:v>618</x:v>
      </x:c>
      <x:c r="I6" s="78" t="s">
        <x:v>631</x:v>
      </x:c>
    </x:row>
    <x:row r="7" ht="28.5">
      <x:c r="A7" s="78" t="s">
        <x:v>632</x:v>
      </x:c>
      <x:c r="B7" s="81">
        <x:v>46207</x:v>
      </x:c>
      <x:c r="C7" s="78" t="s">
        <x:v>73</x:v>
      </x:c>
      <x:c r="D7" s="78" t="s">
        <x:v>633</x:v>
      </x:c>
      <x:c r="E7" s="78" t="s">
        <x:v>634</x:v>
      </x:c>
      <x:c r="F7" s="78" t="s">
        <x:v>635</x:v>
      </x:c>
      <x:c r="G7" s="78" t="s">
        <x:v>636</x:v>
      </x:c>
      <x:c r="H7" s="78" t="s">
        <x:v>618</x:v>
      </x:c>
      <x:c r="I7" s="78" t="s">
        <x:v>637</x:v>
      </x:c>
    </x:row>
    <x:row r="8">
      <x:c r="A8" s="78" t="s">
        <x:v>638</x:v>
      </x:c>
      <x:c r="B8" s="81">
        <x:v>46207</x:v>
      </x:c>
      <x:c r="C8" s="78" t="s">
        <x:v>73</x:v>
      </x:c>
      <x:c r="D8" s="78" t="s">
        <x:v>639</x:v>
      </x:c>
      <x:c r="E8" s="78" t="s">
        <x:v>634</x:v>
      </x:c>
      <x:c r="F8" s="78" t="s">
        <x:v>640</x:v>
      </x:c>
      <x:c r="G8" s="78" t="s">
        <x:v>641</x:v>
      </x:c>
      <x:c r="H8" s="78" t="s">
        <x:v>618</x:v>
      </x:c>
      <x:c r="I8" s="78" t="s">
        <x:v>642</x:v>
      </x:c>
    </x:row>
    <x:row r="9">
      <x:c r="A9" s="78" t="s">
        <x:v>643</x:v>
      </x:c>
      <x:c r="B9" s="81">
        <x:v>46207</x:v>
      </x:c>
      <x:c r="C9" s="78" t="s">
        <x:v>73</x:v>
      </x:c>
      <x:c r="D9" s="78" t="s">
        <x:v>644</x:v>
      </x:c>
      <x:c r="E9" s="78" t="s">
        <x:v>634</x:v>
      </x:c>
      <x:c r="F9" s="78" t="s">
        <x:v>645</x:v>
      </x:c>
      <x:c r="G9" s="78" t="s">
        <x:v>646</x:v>
      </x:c>
      <x:c r="H9" s="78" t="s">
        <x:v>618</x:v>
      </x:c>
      <x:c r="I9" s="78" t="s">
        <x:v>647</x:v>
      </x:c>
    </x:row>
    <x:row r="10" ht="28.5">
      <x:c r="A10" s="78" t="s">
        <x:v>648</x:v>
      </x:c>
      <x:c r="B10" s="81">
        <x:v>46207</x:v>
      </x:c>
      <x:c r="C10" s="78" t="s">
        <x:v>68</x:v>
      </x:c>
      <x:c r="D10" s="78" t="s">
        <x:v>649</x:v>
      </x:c>
      <x:c r="E10" s="78" t="s">
        <x:v>650</x:v>
      </x:c>
      <x:c r="F10" s="78" t="s">
        <x:v>208</x:v>
      </x:c>
      <x:c r="G10" s="78" t="s">
        <x:v>651</x:v>
      </x:c>
      <x:c r="H10" s="78" t="s">
        <x:v>618</x:v>
      </x:c>
      <x:c r="I10" s="78" t="s">
        <x:v>652</x:v>
      </x:c>
    </x:row>
    <x:row r="11" ht="28.5">
      <x:c r="A11" s="78" t="s">
        <x:v>653</x:v>
      </x:c>
      <x:c r="B11" s="81">
        <x:v>46207</x:v>
      </x:c>
      <x:c r="C11" s="78" t="s">
        <x:v>68</x:v>
      </x:c>
      <x:c r="D11" s="78" t="s">
        <x:v>654</x:v>
      </x:c>
      <x:c r="E11" s="78" t="s">
        <x:v>202</x:v>
      </x:c>
      <x:c r="F11" s="78" t="s">
        <x:v>655</x:v>
      </x:c>
      <x:c r="G11" s="78" t="s">
        <x:v>656</x:v>
      </x:c>
      <x:c r="H11" s="78" t="s">
        <x:v>618</x:v>
      </x:c>
      <x:c r="I11" s="78" t="s">
        <x:v>657</x:v>
      </x:c>
    </x:row>
    <x:row r="12" ht="28.5">
      <x:c r="A12" s="78" t="s">
        <x:v>658</x:v>
      </x:c>
      <x:c r="B12" s="81">
        <x:v>46207</x:v>
      </x:c>
      <x:c r="C12" s="78" t="s">
        <x:v>68</x:v>
      </x:c>
      <x:c r="D12" s="78" t="s">
        <x:v>659</x:v>
      </x:c>
      <x:c r="E12" s="78" t="s">
        <x:v>660</x:v>
      </x:c>
      <x:c r="F12" s="78" t="s">
        <x:v>661</x:v>
      </x:c>
      <x:c r="G12" s="78" t="s">
        <x:v>19</x:v>
      </x:c>
      <x:c r="H12" s="78" t="s">
        <x:v>618</x:v>
      </x:c>
      <x:c r="I12" s="78" t="s">
        <x:v>662</x:v>
      </x:c>
    </x:row>
    <x:row r="13" ht="60" customHeight="1">
      <x:c r="A13" s="198" t="s">
        <x:v>663</x:v>
      </x:c>
      <x:c r="B13" s="199">
        <x:v>46208</x:v>
      </x:c>
      <x:c r="C13" s="200" t="s">
        <x:v>664</x:v>
      </x:c>
      <x:c r="D13" s="200" t="s">
        <x:v>665</x:v>
      </x:c>
      <x:c r="E13" s="200" t="s">
        <x:v>666</x:v>
      </x:c>
      <x:c r="F13" s="200" t="s">
        <x:v>667</x:v>
      </x:c>
      <x:c r="G13" s="200" t="s">
        <x:v>668</x:v>
      </x:c>
      <x:c r="H13" s="200" t="s">
        <x:v>618</x:v>
      </x:c>
      <x:c r="I13" s="201" t="s">
        <x:v>669</x:v>
      </x:c>
    </x:row>
    <x:row r="14" ht="78" customHeight="1">
      <x:c r="A14" s="447" t="str">
        <x:v>EV-011</x:v>
      </x:c>
      <x:c r="B14" s="445" t="n">
        <x:v>46208</x:v>
      </x:c>
      <x:c r="C14" s="447" t="str">
        <x:v>1.1</x:v>
      </x:c>
      <x:c r="D14" s="447" t="str">
        <x:v>Extensible candidate artifact contract and loader implemented with controlled errors for missing, malformed, non-object, incomplete, and wrong-case candidates; six focused tests and 31 total tests pass.</x:v>
      </x:c>
      <x:c r="E14" s="447" t="str">
        <x:v>Code / Test / Documentation</x:v>
      </x:c>
      <x:c r="F14" s="447" t="str">
        <x:v>2b0b6e7; PR #6 / merge c419dc3; ba18051; schemas/candidate.schema.json; examples/candidates/MECH-002/valid.json</x:v>
      </x:c>
      <x:c r="G14" s="447" t="str">
        <x:v>WBS 1.1 — candidate artifact contract and loader</x:v>
      </x:c>
      <x:c r="H14" s="447" t="str">
        <x:v>Accepted</x:v>
      </x:c>
      <x:c r="I14" s="447" t="str">
        <x:v>Accepted and merged. WBS 1.1 operational closeout completed at 11:44 AM; 31 tests passed.</x:v>
      </x:c>
    </x:row>
    <x:row r="15" ht="78" customHeight="1">
      <x:c r="A15" s="447" t="str">
        <x:v>EV-012</x:v>
      </x:c>
      <x:c r="B15" s="445" t="n">
        <x:v>46208</x:v>
      </x:c>
      <x:c r="C15" s="447" t="str">
        <x:v>1.2</x:v>
      </x:c>
      <x:c r="D15" s="447" t="str">
        <x:v>Mandatory pre-scoring gate engine implemented with structured GateResult evidence and ordered short-circuit execution for missing files, malformed/non-object JSON, missing required payload fields, and declared field-type mismatches.</x:v>
      </x:c>
      <x:c r="E15" s="447" t="str">
        <x:v>Code / Test / Specification</x:v>
      </x:c>
      <x:c r="F15" s="447" t="str">
        <x:v>c05ef3d; merge 05c025b; src/mech_eval_harness/evaluation.py; tests/test_gate_engine.py</x:v>
      </x:c>
      <x:c r="G15" s="447" t="str">
        <x:v>WBS 1.2 — mandatory gate engine</x:v>
      </x:c>
      <x:c r="H15" s="447" t="str">
        <x:v>Accepted</x:v>
      </x:c>
      <x:c r="I15" s="447" t="str">
        <x:v>Seven focused tests and 38 total tests passed. Explicit regression confirms Boolean values do not satisfy numeric field declarations.</x:v>
      </x:c>
    </x:row>
    <x:row r="16">
      <x:c r="A16" s="78" t="str">
        <x:v>EV-013</x:v>
      </x:c>
      <x:c r="B16" s="78" t="n">
        <x:v>46208</x:v>
      </x:c>
      <x:c r="C16" s="78" t="str">
        <x:v>1.3</x:v>
      </x:c>
      <x:c r="D16" s="78" t="str">
        <x:v>Non-numeric deterministic check engine implemented with structured CheckResult records, JSON-type-sensitive exact matching, Boolean equality, set equality, contains-all logic, nested path resolution, failure evidence, and controlled configuration errors.</x:v>
      </x:c>
      <x:c r="E16" s="78" t="str">
        <x:v>Code / Test</x:v>
      </x:c>
      <x:c r="F16" s="78" t="str">
        <x:v>53f96cc; PR #8 / merge 7222c81; 269a070; src/mech_eval_harness/evaluation.py; tests/test_deterministic_checks.py</x:v>
      </x:c>
      <x:c r="G16" s="78" t="str">
        <x:v>WBS 1.3 — exact, Boolean, set, and contains checks</x:v>
      </x:c>
      <x:c r="H16" s="78" t="str">
        <x:v>Accepted</x:v>
      </x:c>
      <x:c r="I16" s="78" t="str">
        <x:v>Twelve focused tests and 50 total repository tests passed after merge. main and origin/main were synchronized through 269a070. No additional actual hours were added beyond the explicitly timed 2.85 h block.</x:v>
      </x:c>
    </x:row>
    <x:row r="17">
      <x:c r="A17" s="78" t="str">
        <x:v>EV-014</x:v>
      </x:c>
      <x:c r="B17" s="78" t="n">
        <x:v>46208</x:v>
      </x:c>
      <x:c r="C17" s="78" t="str">
        <x:v>1.4</x:v>
      </x:c>
      <x:c r="D17" s="78" t="str">
        <x:v>Numeric tolerance checks implemented with evaluator-declared absolute tolerance, inclusive exact-boundary behaviour, structured difference/tolerance evidence, numeric type enforcement, and controlled configuration errors.</x:v>
      </x:c>
      <x:c r="E17" s="78" t="str">
        <x:v>Code / Test</x:v>
      </x:c>
      <x:c r="F17" s="78" t="str">
        <x:v>31015c9; PR #9 / merge 1fbb45d; src/mech_eval_harness/evaluation.py; tests/test_numeric_tolerance.py</x:v>
      </x:c>
      <x:c r="G17" s="78" t="str">
        <x:v>WBS 1.4 — numeric tolerance checks</x:v>
      </x:c>
      <x:c r="H17" s="78" t="str">
        <x:v>Accepted</x:v>
      </x:c>
      <x:c r="I17" s="78" t="str">
        <x:v>Eleven focused numeric tests, eleven deterministic-check tests, and 60 total repository tests passed after merge. main and origin/main synchronized through 1fbb45d.</x:v>
      </x:c>
    </x:row>
    <x:row r="18">
      <x:c r="A18" s="78" t="str">
        <x:v>EV-015</x:v>
      </x:c>
      <x:c r="B18" s="78" t="n">
        <x:v>46208</x:v>
      </x:c>
      <x:c r="C18" s="78" t="str">
        <x:v>1.5</x:v>
      </x:c>
      <x:c r="D18" s="78" t="str">
        <x:v>Weighted scoring and structured failure-evidence aggregation implemented with gate-zeroing, passed-weight scoring, inclusive pass-threshold evaluation, configuration validation, and ordered gate/check failure evidence.</x:v>
      </x:c>
      <x:c r="E18" s="78" t="str">
        <x:v>Code / Test</x:v>
      </x:c>
      <x:c r="F18" s="78" t="str">
        <x:v>bd34af8; PR #10 / merge 27a8e59; src/mech_eval_harness/scoring.py; tests/test_weighted_scoring.py</x:v>
      </x:c>
      <x:c r="G18" s="78" t="str">
        <x:v>WBS 1.5 — weighted scoring and failure evidence; Gate 2</x:v>
      </x:c>
      <x:c r="H18" s="78" t="str">
        <x:v>Accepted</x:v>
      </x:c>
      <x:c r="I18" s="78" t="str">
        <x:v>Seventeen focused weighted-scoring tests and 77 total repository tests passed after merge. main and origin/main synchronized through 27a8e59.</x:v>
      </x:c>
    </x:row>
    <x:row r="19">
      <x:c r="A19" s="78" t="str">
        <x:v>EV-016</x:v>
      </x:c>
      <x:c r="B19" s="78" t="n">
        <x:v>46208</x:v>
      </x:c>
      <x:c r="C19" s="78" t="str">
        <x:v>2.1</x:v>
      </x:c>
      <x:c r="D19" s="78" t="str">
        <x:v>End-to-end evaluate CLI implemented with ordered gate execution, candidate validation, deterministic checks, weighted scoring, stable human-readable evidence, and documented exit-code behavior.</x:v>
      </x:c>
      <x:c r="E19" s="78" t="str">
        <x:v>Code / Test / CLI</x:v>
      </x:c>
      <x:c r="F19" s="78" t="str">
        <x:v>0ee3c48; src/mech_eval_harness/cli.py; tests/test_cli_evaluate.py; PR merged</x:v>
      </x:c>
      <x:c r="G19" s="78" t="str">
        <x:v>WBS 2.1 — evaluate CLI command</x:v>
      </x:c>
      <x:c r="H19" s="78" t="str">
        <x:v>Accepted</x:v>
      </x:c>
      <x:c r="I19" s="78" t="str">
        <x:v>Five focused CLI tests and 82 total repository tests passed. Installed console command verified exit 0 for pass, exit 1 for deterministic-check and missing-artifact failures, and exit 2 for unknown-case configuration failure. Main was merged and verified; the exact merge hash was not captured in this transcript.</x:v>
      </x:c>
    </x:row>
    <x:row r="20">
      <x:c r="A20" s="78" t="str">
        <x:v>EV-017</x:v>
      </x:c>
      <x:c r="B20" s="78" t="n">
        <x:v>46208</x:v>
      </x:c>
      <x:c r="C20" s="78" t="str">
        <x:v>2.2</x:v>
      </x:c>
      <x:c r="D20" s="78" t="str">
        <x:v>Versioned structured evaluation result schema and immutable Python result model implemented with JSON serialization, component versions, candidate/reference artifact references, aggregate scoring, complete gate/check records, typed expected/actual values, ordered failure evidence, and evidence-location/source-reference extension points.</x:v>
      </x:c>
      <x:c r="E20" s="78" t="str">
        <x:v>Code / Schema / Test</x:v>
      </x:c>
      <x:c r="F20" s="78" t="str">
        <x:v>b6d6c21; PR #12 / merge b56f217; schemas/result.schema.json; src/mech_eval_harness/results.py; tests/test_result_model.py</x:v>
      </x:c>
      <x:c r="G20" s="78" t="str">
        <x:v>WBS 2.2 — structured result schema and model</x:v>
      </x:c>
      <x:c r="H20" s="78" t="str">
        <x:v>Accepted</x:v>
      </x:c>
      <x:c r="I20" s="78" t="str">
        <x:v>Nine focused result-model tests and 91 total repository tests passed after merge. Passing, failed-check, and failed-gate records validate; inconsistent score/pass/timestamp/failure states are rejected. UTF-8 BOM issue was corrected without weakening the tests.</x:v>
      </x:c>
    </x:row>
    <x:row r="21">
      <x:c r="A21" s="78" t="str">
        <x:v>EV-018</x:v>
      </x:c>
      <x:c r="B21" s="78" t="n">
        <x:v>46208</x:v>
      </x:c>
      <x:c r="C21" s="78" t="str">
        <x:v>2.3</x:v>
      </x:c>
      <x:c r="D21" s="78" t="str">
        <x:v>Immutable local result persistence implemented with safe UTC run IDs, schema validation, exclusive run-directory creation, collision and traversal protection, atomic result.json writes, CLI integration for pass and evaluated-fail outcomes, and explicit suppression of records for configuration failures.</x:v>
      </x:c>
      <x:c r="E21" s="78" t="str">
        <x:v>Code / Test / CLI / Persistence</x:v>
      </x:c>
      <x:c r="F21" s="78" t="str">
        <x:v>e03a2e8; PR #13 / merge e56fc92; src/mech_eval_harness/persistence.py; src/mech_eval_harness/cli.py; tests/test_result_persistence.py; tests/test_cli_evaluate.py</x:v>
      </x:c>
      <x:c r="G21" s="78" t="str">
        <x:v>WBS 2.3 — immutable local result records</x:v>
      </x:c>
      <x:c r="H21" s="78" t="str">
        <x:v>Accepted</x:v>
      </x:c>
      <x:c r="I21" s="78" t="str">
        <x:v>Five persistence tests, five CLI integration tests, and 96 total repository tests passed after merge. Installed CLI smoke test wrote a BOM-free, schema-valid result.json to the default runs/ directory; Git correctly ignored generated evidence. Existing runs cannot be overwritten.</x:v>
      </x:c>
    </x:row>
    <x:row r="22">
      <x:c r="A22" s="78" t="str">
        <x:v>EV-019</x:v>
      </x:c>
      <x:c r="B22" s="78" t="n">
        <x:v>46208</x:v>
      </x:c>
      <x:c r="C22" s="78" t="str">
        <x:v>2.4</x:v>
      </x:c>
      <x:c r="D22" s="78" t="str">
        <x:v>Representative versioned MECH-002 candidate examples implemented and verified end-to-end: correct output passes at score 1.00, rpm-as-rad/s unit error fails angular_velocity at score 0.75 with UNIT_ERROR, and incomplete output fails the required_fields gate at score 0.00 with INCOMPLETE_DELIVERABLE.</x:v>
      </x:c>
      <x:c r="E22" s="78" t="str">
        <x:v>Candidate artifacts / Test / CLI / Documentation</x:v>
      </x:c>
      <x:c r="F22" s="78" t="str">
        <x:v>271224e; PR #14 / merge 7e38b3f; examples/candidates/MECH-002/{valid.json,unit-error.json,incomplete.json,README.md}; tests/test_example_candidates.py</x:v>
      </x:c>
      <x:c r="G22" s="78" t="str">
        <x:v>WBS 2.4 — example pass/fail candidate artifacts; Gate 3</x:v>
      </x:c>
      <x:c r="H22" s="78" t="str">
        <x:v>Accepted</x:v>
      </x:c>
      <x:c r="I22" s="78" t="str">
        <x:v>Three focused example-candidate tests and 99 total repository tests passed after merge. Installed CLI smoke test confirmed expected exit codes, scores, gate/check evidence, and immutable result records for all three fixtures. Temporary run evidence was removed and remains excluded from Git.</x:v>
      </x:c>
    </x:row>
    <x:row r="23">
      <x:c r="A23" s="78" t="str">
        <x:v>EV-020</x:v>
      </x:c>
      <x:c r="B23" s="78" t="n">
        <x:v>46208</x:v>
      </x:c>
      <x:c r="C23" s="78" t="str">
        <x:v>3.1</x:v>
      </x:c>
      <x:c r="D23" s="78" t="str">
        <x:v>Independent engineering verification completed for MECH-001 through MECH-003. Reference calculations, source inputs, tolerances, failure intent, and expected dispositions were reproduced and documented. Corrupted headings/formulas were corrected, and the MECH-003 release-disposition failure mode was corrected from WRONG_REVISION to UNAUTHORIZED_RELEASE.</x:v>
      </x:c>
      <x:c r="E23" s="78" t="str">
        <x:v>Engineering review / Documentation / Test</x:v>
      </x:c>
      <x:c r="F23" s="78" t="str">
        <x:v>e977b48; PR #15 / merge 318d5ce; docs/seed-case-verification.md; tests/test_seed_case_verification.py; cases/MECH-001–003; specs/evaluators/revision_audit_v1.json</x:v>
      </x:c>
      <x:c r="G23" s="78" t="str">
        <x:v>WBS 3.1 — independent seed-case verification</x:v>
      </x:c>
      <x:c r="H23" s="78" t="str">
        <x:v>Accepted</x:v>
      </x:c>
      <x:c r="I23" s="78" t="str">
        <x:v>Four focused verification tests and 103 total repository tests passed. All three cases passed repository validation. UTF-8 encoding audit passed for all seven changed files. The review preserves the human-approval boundary and records explicit tolerance and limitation rationale.</x:v>
      </x:c>
    </x:row>
    <x:row r="24">
      <x:c r="A24" s="78" t="str">
        <x:v>EV-021</x:v>
      </x:c>
      <x:c r="B24" s="78" t="n">
        <x:v>46208</x:v>
      </x:c>
      <x:c r="C24" s="78" t="str">
        <x:v>3.2</x:v>
      </x:c>
      <x:c r="D24" s="78" t="str">
        <x:v>Two additional reviewed synthetic benchmark cases were implemented and verified: MECH-004 cross-document BOM reconciliation and MECH-005 unconstrained thermal expansion. Each includes controlled inputs, authoritative reference output, deterministic evaluator checks, valid and representative failing candidates, independent engineering verification, and end-to-end regression tests.</x:v>
      </x:c>
      <x:c r="E24" s="78" t="str">
        <x:v>Case package / Test / Documentation / CLI</x:v>
      </x:c>
      <x:c r="F24" s="78" t="str">
        <x:v>634ef11; PR #16 / merge 50df7a9; cases/MECH-004–005; specs/tasks/{bom_reconciliation_v1,thermal_expansion_v1}.json; specs/evaluators/{bom_reconciliation_v1,thermal_expansion_v1}.json; docs/additional-case-verification.md; tests/test_mech_004_bom_reconciliation.py; tests/test_mech_005_thermal_expansion.py</x:v>
      </x:c>
      <x:c r="G24" s="78" t="str">
        <x:v>WBS 3.2 — five reviewed cases with distinct workflow and failure families</x:v>
      </x:c>
      <x:c r="H24" s="78" t="str">
        <x:v>Accepted</x:v>
      </x:c>
      <x:c r="I24" s="78" t="str">
        <x:v>MECH-004 covers missing/extra items, quantity mismatch, wrong revision, disposition, and verification. MECH-005 covers temperature difference, unit conversion, formula, sign, disposition, and verification. Valid/failing fixtures produced expected exit codes and scores. Thirty-three focused tests and 111 total tests passed; all five cases passed repository validation.</x:v>
      </x:c>
    </x:row>
    <x:row r="25">
      <x:c r="A25" s="447" t="str">
        <x:v>EV-022</x:v>
      </x:c>
      <x:c r="B25" s="447" t="n">
        <x:v>46208</x:v>
      </x:c>
      <x:c r="C25" s="447" t="str">
        <x:v>3.3</x:v>
      </x:c>
      <x:c r="D25" s="447" t="str">
        <x:v>MVP v1 benchmark split frozen with MECH-003 as the held-out validation case and MECH-001, MECH-002, MECH-004, and MECH-005 as development cases. The split manifest, completed review checklist, prior-exposure disclosure, no-tuning controls, and held-out candidate-leakage regression tests are versioned.</x:v>
      </x:c>
      <x:c r="E25" s="447" t="str">
        <x:v>Benchmark control / Documentation / Test</x:v>
      </x:c>
      <x:c r="F25" s="447" t="str">
        <x:v>ab63155; PR #17 / merge 825d7ff; benchmarks/mvp_v1/split.json; benchmarks/mvp_v1/review-checklist.md; cases/MECH-003/case.json; tests/test_benchmark_split.py</x:v>
      </x:c>
      <x:c r="G25" s="447" t="str">
        <x:v>WBS 3.3 — frozen held-out split and review controls</x:v>
      </x:c>
      <x:c r="H25" s="447" t="str">
        <x:v>Accepted</x:v>
      </x:c>
      <x:c r="I25" s="447" t="str">
        <x:v>Five focused split-control tests and 116 total repository tests passed. All five cases passed repository validation. MECH-003 has no versioned candidate example directory. The benchmark explicitly states that MECH-003 was historically seen during authoring and is a frozen validation case rather than a pristine blind set.</x:v>
      </x:c>
    </x:row>
    <x:row r="26">
      <x:c r="A26" s="78" t="str">
        <x:v>EV-023</x:v>
      </x:c>
      <x:c r="B26" s="78" t="n">
        <x:v>46208</x:v>
      </x:c>
      <x:c r="C26" s="78" t="str">
        <x:v>3.4</x:v>
      </x:c>
      <x:c r="D26" s="78" t="str">
        <x:v>Reproducible MVP v1 harness-verification baseline executed across the frozen five-case split. Four development oracle checks and one separately reported held-out oracle check passed; four curated fault injections produced the expected scores and failure modes. A versioned runner, machine-readable summary, portfolio report, isolated rerun regression, and nine immutable raw result records were produced.</x:v>
      </x:c>
      <x:c r="E26" s="78" t="str">
        <x:v>Benchmark / Test / CLI / Documentation</x:v>
      </x:c>
      <x:c r="F26" s="78" t="str">
        <x:v>e0746d7; PR #18 merged; scripts/run_mvp_baseline.py; evidence/mvp_v1_baseline/{summary.json,report.md}; tests/test_mvp_baseline.py; runs/baseline-mvp-v1/BASELINE-20260705T231620Z</x:v>
      </x:c>
      <x:c r="G26" s="78" t="str">
        <x:v>WBS 3.4 — reproducible baseline benchmark and failure summary; Gate 4</x:v>
      </x:c>
      <x:c r="H26" s="78" t="str">
        <x:v>Accepted</x:v>
      </x:c>
      <x:c r="I26" s="78" t="str">
        <x:v>All 9 scenarios met expectations: development oracle 4/4, held-out oracle 1/1, fault injections 4/4. Four focused baseline tests and 120 total tests passed; all five cases validated. The report explicitly rejects model/agent performance claims, separates held-out evidence, discloses prior exposure, and keeps raw run data outside versioned benchmark inputs.</x:v>
      </x:c>
    </x:row>
    <x:row r="27">
      <x:c r="A27" s="78" t="str">
        <x:v>EV-024</x:v>
      </x:c>
      <x:c r="B27" s="78" t="n">
        <x:v>46208</x:v>
      </x:c>
      <x:c r="C27" s="78" t="str">
        <x:v>4.2</x:v>
      </x:c>
      <x:c r="D27" s="78" t="str">
        <x:v>GitHub Actions CI quality gate implemented and verified on push and pull request. The workflow checks out the repository, installs Python 3.12, installs the project and development dependencies, validates all five evaluation cases, and runs the complete pytest suite. A controlled seeded-failure commit produced the expected red run; the corrected commit produced green push and pull-request checks before merge.</x:v>
      </x:c>
      <x:c r="E27" s="78" t="str">
        <x:v>CI / Test / Git</x:v>
      </x:c>
      <x:c r="F27" s="78" t="str">
        <x:v>.github/workflows/ci.yml; 80a26fe; 22713e4; PR #19 / merge 5dc3f41; GitHub Actions runs for seeded red, corrected green push, and green PR check</x:v>
      </x:c>
      <x:c r="G27" s="78" t="str">
        <x:v>WBS 4.2 — automated push/PR regression gate with demonstrated red/green behaviour</x:v>
      </x:c>
      <x:c r="H27" s="78" t="str">
        <x:v>Accepted</x:v>
      </x:c>
      <x:c r="I27" s="78" t="str">
        <x:v>Seeded run failed only at the intentional final step after install, case validation, and pytest passed. Corrected run succeeded in 12 seconds; the PR check was green; post-merge local verification passed five cases and 120 tests. One annotation warning was observed but did not affect execution or acceptance.</x:v>
      </x:c>
    </x:row>
    <x:row r="28">
      <x:c r="A28" s="78" t="str">
        <x:v>EV-025</x:v>
      </x:c>
      <x:c r="B28" s="78" t="n">
        <x:v>46208</x:v>
      </x:c>
      <x:c r="C28" s="78" t="str">
        <x:v>4.3</x:v>
      </x:c>
      <x:c r="D28" s="78" t="str">
        <x:v>README.md and docs/architecture.md were rewritten and verified against the implemented MVP. The documentation now covers clean setup, all four CLI commands, exit codes 0–3, the five-case benchmark, MECH-003 held-out and prior-exposure controls, harness-verification baseline limitations, deterministic gates/checks, weighted scoring, immutable result records, CI, architecture separation, failure layers, extension points, and the qualified-human review boundary.</x:v>
      </x:c>
      <x:c r="E28" s="78" t="str">
        <x:v>Documentation / CLI / Test / Git</x:v>
      </x:c>
      <x:c r="F28" s="78" t="str">
        <x:v>ac8d6dd; PR #20 / merge 2b98214; README.md; docs/architecture.md; five-case repository validation; 120-test suite; green PR CI</x:v>
      </x:c>
      <x:c r="G28" s="78" t="str">
        <x:v>WBS 4.3 — release-ready README and architecture documentation</x:v>
      </x:c>
      <x:c r="H28" s="78" t="str">
        <x:v>Accepted</x:v>
      </x:c>
      <x:c r="I28" s="78" t="str">
        <x:v>Stale-language scan found no Month 1, starter, or not-yet-implemented claims. MECH-003 displayed as held_out. Five cases validated and all 120 tests passed before commit and after merge. Only README.md and docs/architecture.md changed.</x:v>
      </x:c>
    </x:row>
    <x:row r="29">
      <x:c r="A29" s="78" t="str">
        <x:v>EV-026</x:v>
      </x:c>
      <x:c r="B29" s="78" t="n">
        <x:v>46208</x:v>
      </x:c>
      <x:c r="C29" s="78" t="str">
        <x:v>5.1</x:v>
      </x:c>
      <x:c r="D29" s="78" t="str">
        <x:v>Deterministic terminal-first portfolio demo executed and merged. A committed MECH-002 passing candidate returned exit code 0, score 1.00, no failures, and an immutable result record. A committed structurally valid unit-error candidate passed all mandatory gates, returned exit code 1, score 0.75, classified UNIT_ERROR at the angular-velocity check, and produced a second immutable result record. The wrapper verified all expected outcomes and returned demo exit code 0.</x:v>
      </x:c>
      <x:c r="E29" s="78" t="str">
        <x:v>Demo / CLI / Test / Documentation / Git</x:v>
      </x:c>
      <x:c r="F29" s="78" t="str">
        <x:v>599402c; PR #21 / merge c15393d; scripts/run_portfolio_demo.py; tests/test_portfolio_demo.py; docs/portfolio_demo.md; evidence/portfolio_demo/report.md; temporary post-merge verification records; green PR CI</x:v>
      </x:c>
      <x:c r="G29" s="78" t="str">
        <x:v>WBS 5.1 — reproducible portfolio demo; Gate 5</x:v>
      </x:c>
      <x:c r="H29" s="78" t="str">
        <x:v>Accepted</x:v>
      </x:c>
      <x:c r="I29" s="78" t="str">
        <x:v>Focused demo regression passed; complete suite reached 121 tests; all five cases validated; post-merge demo verified 2/2 scenarios from temporary paths and left main clean. Evidence is explicitly limited to harness behaviour and does not claim model/agent performance or engineering sign-off.</x:v>
      </x:c>
    </x:row>
    <x:row r="30">
      <x:c r="A30" s="78" t="str">
        <x:v>EV-027</x:v>
      </x:c>
      <x:c r="B30" s="78" t="n">
        <x:v>46208</x:v>
      </x:c>
      <x:c r="C30" s="78" t="str">
        <x:v>5.2</x:v>
      </x:c>
      <x:c r="D30" s="78" t="str">
        <x:v>Versioned release notes and claim-boundary documentation were created, audited, merged, and verified for release v0.2.0. The documents describe the implemented CLI and evaluator behaviour, five synthetic cases, development/held-out split, MECH-003 prior exposure, harness-verification baseline, deterministic portfolio demo, installation and verification commands, result-record limitations, security/interface constraints, deferred capabilities, and qualified-human review requirement.</x:v>
      </x:c>
      <x:c r="E30" s="78" t="str">
        <x:v>Documentation / Version Control / Test / Git</x:v>
      </x:c>
      <x:c r="F30" s="78" t="str">
        <x:v>64db931; PR #22 / merge 0f8adbe; README.md; docs/release_notes_v0.2.0.md; docs/limitations.md; pyproject.toml version 0.2.0; persisted harness_version 0.2.0; green PR CI</x:v>
      </x:c>
      <x:c r="G30" s="78" t="str">
        <x:v>WBS 5.2 — release notes, limitations, and release-version rebaseline</x:v>
      </x:c>
      <x:c r="H30" s="78" t="str">
        <x:v>Accepted</x:v>
      </x:c>
      <x:c r="I30" s="78" t="str">
        <x:v>Version-consistency and claim-boundary scans passed; no v0.1.0 references exist in the new release documents; README links both documents; all five cases validated and 121 tests passed before merge and after merge. Release tag remains intentionally uncreated pending WBS 5.3 acceptance.</x:v>
      </x:c>
    </x:row>
    <x:row r="31">
      <x:c r="A31" s="78" t="str">
        <x:v>EV-028</x:v>
      </x:c>
      <x:c r="B31" s="78" t="n">
        <x:v>46208</x:v>
      </x:c>
      <x:c r="C31" s="78" t="str">
        <x:v>4.1,5.3</x:v>
      </x:c>
      <x:c r="D31" s="78" t="str">
        <x:v>Final clean-clone acceptance and release evidence for v0.2.0. The accepted commit installed successfully in Python 3.12.6 as package version 0.2.0; five cases validated; 121 tests passed; the nine-scenario harness-verification baseline and two-scenario portfolio demo reproduced; eleven generated results reported harness_version 0.2.0; required release claim boundaries were present; and the clean-clone Git state remained clean. Annotated tag v0.2.0 was created and pushed, and the remote peeled tag resolves to the accepted commit.</x:v>
      </x:c>
      <x:c r="E31" s="78" t="str">
        <x:v>Release / Clean Clone / Test / Benchmark / Demo / Version / Git</x:v>
      </x:c>
      <x:c r="F31" s="78" t="str">
        <x:v>v0.2.0; accepted commit 45336a21c9c5f4dcd4b3bd009d05183621061b5d; tag object 8d426d295b883433a68a86f16abe4c4a170a41ee; evidence/final_acceptance_v0.2.0/report.md; evidence/final_acceptance_v0.2.0/summary.json; clean-clone acceptance transcript retained locally</x:v>
      </x:c>
      <x:c r="G31" s="78" t="str">
        <x:v>WBS 4.1 and 5.3 — regression closeout, final acceptance, release tag, and Gate 6</x:v>
      </x:c>
      <x:c r="H31" s="78" t="str">
        <x:v>Accepted</x:v>
      </x:c>
      <x:c r="I31" s="78" t="str">
        <x:v>Final matrix passed in a fresh clone: 5 cases, 121 tests, baseline 9/9, demo 2/2, 11 result records at version 0.2.0, claim boundaries present, clean tree. Two earlier wrapper-only failures were corrected and superseded; neither represented a harness failure. Tag v0.2.0 points exactly to the accepted commit.</x:v>
      </x:c>
    </x:row>
    <x:row r="32" ht="90" customHeight="1">
      <x:c r="A32" s="447" t="str">
        <x:v>EV-029</x:v>
      </x:c>
      <x:c r="B32" s="445" t="n">
        <x:v>46213</x:v>
      </x:c>
      <x:c r="C32" s="447" t="str">
        <x:v>Post-MVP / P0.1</x:v>
      </x:c>
      <x:c r="D32" s="447" t="str">
        <x:v>Project modernization package created: GPT-5.6 supervised operating instructions, v0.2.0 assessment, v0.3.0 package-assurance workflow contract and acceptance plan, target architecture, commercial service specification, source register, active Pilot Gantt, and Pilot Dashboard.</x:v>
      </x:c>
      <x:c r="E32" s="447" t="str">
        <x:v>Project control / Strategy / Documentation</x:v>
      </x:c>
      <x:c r="F32" s="447" t="str">
        <x:v>PR #24 / merge 3d10ae8; docs/strategy/modernization_2026-07-10.md; docs/package_assurance/; gantt.xlsx</x:v>
      </x:c>
      <x:c r="G32" s="447" t="str">
        <x:v>Selection and start readiness for v0.3.0 Package Assurance Pilot</x:v>
      </x:c>
      <x:c r="H32" s="447" t="str">
        <x:v>Accepted</x:v>
      </x:c>
      <x:c r="I32" s="447" t="str">
        <x:v>Modernization package merged into main at 3d10ae8. No actual duration was recorded; prospective time tracking was waived by D-034.</x:v>
      </x:c>
    </x:row>
    <x:row r="33">
      <x:c r="A33" s="78" t="str">
        <x:v>EV-030</x:v>
      </x:c>
      <x:c r="B33" s="78" t="n">
        <x:v>46218</x:v>
      </x:c>
      <x:c r="C33" s="78" t="str">
        <x:v>P0.1</x:v>
      </x:c>
      <x:c r="D33" s="78" t="str">
        <x:v>Reviewed workflow contract and authority-map example resolve the ten P0.1 review questions: mandatory source files, identifier scope, authority declarations, release holds, missing-value review routing, revision formats, duplicate representation, JSON/CSV evidence locators, CLI exit-code mapping, and future benchmark hidden data.</x:v>
      </x:c>
      <x:c r="E33" s="78" t="str">
        <x:v>Documentation / Project control / Authority model</x:v>
      </x:c>
      <x:c r="F33" s="78" t="str">
        <x:v>docs/package_assurance/workflow_contract_v0.3.0.md; docs/package_assurance/authority_map_example_v0.3.0.json; D-033</x:v>
      </x:c>
      <x:c r="G33" s="78" t="str">
        <x:v>P0.1 - workflow contract and authority map</x:v>
      </x:c>
      <x:c r="H33" s="78" t="str">
        <x:v>Accepted</x:v>
      </x:c>
      <x:c r="I33" s="78" t="str">
        <x:v>P0.1 was accepted by the user on 2026-07-15. No package-assurance implementation was added; P0.2 acceptance remains required before P1 implementation. Time tracking is waived by D-034.</x:v>
      </x:c>
    </x:row>
    <x:row r="34" ht="93.75" customHeight="1">
      <x:c r="A34" s="447" t="str">
        <x:v>EV-031</x:v>
      </x:c>
      <x:c r="B34" s="447" t="n">
        <x:v>46218</x:v>
      </x:c>
      <x:c r="C34" s="447" t="str">
        <x:v>P0.1 / P0.2</x:v>
      </x:c>
      <x:c r="D34" s="447" t="str">
        <x:v>The user accepted P0.1 and authorized P0.2. Prospective work-block time tracking was waived; historical hour records remain unchanged and duration is no longer acceptance evidence.</x:v>
      </x:c>
      <x:c r="E34" s="447" t="str">
        <x:v>User gate / Project control</x:v>
      </x:c>
      <x:c r="F34" s="447" t="str">
        <x:v>User direction 2026-07-15; commit 03f102e; D-034</x:v>
      </x:c>
      <x:c r="G34" s="447" t="str">
        <x:v>P0.1 user acceptance, P0.2 start authorization, and time-tracking policy</x:v>
      </x:c>
      <x:c r="H34" s="447" t="str">
        <x:v>Accepted</x:v>
      </x:c>
      <x:c r="I34" s="447" t="str">
        <x:v>No work-block log row or actual-hour value was added. Evidence-based gate acceptance remains controlling.</x:v>
      </x:c>
    </x:row>
    <x:row r="35" ht="127.5" customHeight="1">
      <x:c r="A35" s="447" t="str">
        <x:v>EV-032</x:v>
      </x:c>
      <x:c r="B35" s="447" t="n">
        <x:v>46218</x:v>
      </x:c>
      <x:c r="C35" s="447" t="str">
        <x:v>P0.2</x:v>
      </x:c>
      <x:c r="D35" s="447" t="str">
        <x:v>Reviewed acceptance plan and benchmark protocol resolve the ten P0.2 review questions and freeze benchmark units, minimum scenario/fault coverage, exact detection and incidental-finding rules, state and CLI expectations, evidence completeness, reproducibility, held-out freeze and contamination replacement, false-positive/false-negative review, bounded claims, and stop conditions.</x:v>
      </x:c>
      <x:c r="E35" s="447" t="str">
        <x:v>Documentation / Benchmark protocol / Project control</x:v>
      </x:c>
      <x:c r="F35" s="447" t="str">
        <x:v>docs/package_assurance/acceptance_plan_v0.3.0.md; docs/package_assurance/workflow_contract_v0.3.0.md; D-035</x:v>
      </x:c>
      <x:c r="G35" s="447" t="str">
        <x:v>P0.2 - acceptance plan and benchmark protocol</x:v>
      </x:c>
      <x:c r="H35" s="447" t="str">
        <x:v>Accepted</x:v>
      </x:c>
      <x:c r="I35" s="447" t="str">
        <x:v>P0.2 was accepted by the user on 2026-07-16. P1.1 is authorized after P0 integration; later implementation remains gated.</x:v>
      </x:c>
    </x:row>
    <x:row r="36" ht="142.5" customHeight="1">
      <x:c r="A36" s="447" t="str">
        <x:v>EV-033</x:v>
      </x:c>
      <x:c r="B36" s="447" t="n">
        <x:v>46219</x:v>
      </x:c>
      <x:c r="C36" s="447" t="str">
        <x:v>P0.2 / Project governance</x:v>
      </x:c>
      <x:c r="D36" s="447" t="str">
        <x:v>Senior management and project-management review confirmed the service-first structured package-assurance direction, found P0.2 fit for acceptance, separated technical and commercial proof, simplified the document-authority hierarchy, reconciled stale dashboard controls, archived completed modernization transfer files, and removed a generated spreadsheet inspection dump from version control.</x:v>
      </x:c>
      <x:c r="E36" s="447" t="str">
        <x:v>Management review / Project control / Documentation / Spreadsheet</x:v>
      </x:c>
      <x:c r="F36" s="447" t="str">
        <x:v>docs/strategy/management_review_2026-07-16.md; README.md; AGENTS.md; PROJECT_CONTEXT.md; NEXT_STEPS.md; docs/archive/modernization_2026-07-10/; gantt.xlsx; D-036</x:v>
      </x:c>
      <x:c r="G36" s="447" t="str">
        <x:v>Pre-P1 management review and governance cleanup</x:v>
      </x:c>
      <x:c r="H36" s="447" t="str">
        <x:v>Reviewed</x:v>
      </x:c>
      <x:c r="I36" s="447" t="str">
        <x:v>No P1 implementation or protected v0.2.0 asset was changed. P0.2 still requires explicit user acceptance before implementation.</x:v>
      </x:c>
    </x:row>
    <x:row r="37" ht="131.25" customHeight="1">
      <x:c r="A37" s="447" t="str">
        <x:v>EV-034</x:v>
      </x:c>
      <x:c r="B37" s="447" t="n">
        <x:v>46219</x:v>
      </x:c>
      <x:c r="C37" s="447" t="str">
        <x:v>P0.2 / P1.1</x:v>
      </x:c>
      <x:c r="D37" s="447" t="str">
        <x:v>The user accepted the reviewed P0.2 benchmark and acceptance protocol, authorized completion of the P0 gate, and instructed the project to begin the next step. P1.1 package manifest schema and loader work is authorized after P0 branch integration; P1.2 and later work remain blocked.</x:v>
      </x:c>
      <x:c r="E37" s="447" t="str">
        <x:v>User gate / Project control</x:v>
      </x:c>
      <x:c r="F37" s="447" t="str">
        <x:v>User direction 2026-07-16; docs/package_assurance/acceptance_plan_v0.3.0.md; commit 234b196; D-037</x:v>
      </x:c>
      <x:c r="G37" s="447" t="str">
        <x:v>P0.2 acceptance and P1.1 authorization</x:v>
      </x:c>
      <x:c r="H37" s="447" t="str">
        <x:v>Accepted</x:v>
      </x:c>
      <x:c r="I37" s="447" t="str">
        <x:v>No new work-block duration was recorded. Authorization is capability-bounded and does not change protected v0.2.0 assets or accepted P0 policy.</x:v>
      </x:c>
    </x:row>
    <x:row r="38" ht="165" customHeight="1">
      <x:c r="A38" s="447" t="str">
        <x:v>EV-035</x:v>
      </x:c>
      <x:c r="B38" s="447" t="n">
        <x:v>46219</x:v>
      </x:c>
      <x:c r="C38" s="447" t="str">
        <x:v>P1.1</x:v>
      </x:c>
      <x:c r="D38" s="447" t="str">
        <x:v>Implemented and independently exercised the v0.3.0 package manifest boundary: Draft 2020-12 schema validation; mandatory source declaration contract; package/document identifiers; four accepted revision schemes; document/file and relationship references; authority-map consistency; controlled files-root resolution; duplicate declaration rejection; stable missing, malformed, unsupported-version, and unsafe-path errors; and root/symlink containment defense.</x:v>
      </x:c>
      <x:c r="E38" s="447" t="str">
        <x:v>Implementation / Schema / Security / Tests</x:v>
      </x:c>
      <x:c r="F38" s="447" t="str">
        <x:v>feature/package-manifest; schemas/package_manifest.schema.json; src/mech_eval_harness/package_assurance/__init__.py; src/mech_eval_harness/package_assurance/manifest.py; tests/test_package_manifest.py; D-038</x:v>
      </x:c>
      <x:c r="G38" s="447" t="str">
        <x:v>P1.1 - package manifest schema and loader</x:v>
      </x:c>
      <x:c r="H38" s="447" t="str">
        <x:v>Ready for acceptance</x:v>
      </x:c>
      <x:c r="I38" s="447" t="str">
        <x:v>Focused: 31 passed, 1 skipped because Windows symlink creation was unavailable. Full regression: 152 passed, 1 skipped in 3.84s. Draft 2020-12 schema self-check and compileall passed. The loader intentionally defers source parsing, file-existence gates, and result-state routing; no P1.2 fixture or later implementation was added.</x:v>
      </x:c>
    </x:row>
    <x:row r="39">
      <x:c r="A39" s="78" t="str">
        <x:v>EV-036</x:v>
      </x:c>
      <x:c r="B39" s="78" t="n">
        <x:v>46219</x:v>
      </x:c>
      <x:c r="C39" s="78" t="str">
        <x:v>P1.1</x:v>
      </x:c>
      <x:c r="D39" s="78" t="str">
        <x:v>Recovered the force-closed P1.1 work block without reset: verified branch, HEAD, remote, staged state, working tree, and untracked state; audited the controlling workbook and committed implementation; closed manifest-local uniqueness and relationship-endpoint integrity gaps; and reran targeted and full suites.</x:v>
      </x:c>
      <x:c r="E39" s="78" t="str">
        <x:v>Recovery review / Implementation / Tests / Project control</x:v>
      </x:c>
      <x:c r="F39" s="78" t="str">
        <x:v>feature/package-manifest; commit 562ee96; schemas/package_manifest.schema.json; src/mech_eval_harness/package_assurance/manifest.py; tests/test_package_manifest.py; gantt.xlsx; D-039</x:v>
      </x:c>
      <x:c r="G39" s="78" t="str">
        <x:v>P1.1 recovery audit and final verification</x:v>
      </x:c>
      <x:c r="H39" s="78" t="str">
        <x:v>Ready for acceptance</x:v>
      </x:c>
      <x:c r="I39" s="78" t="str">
        <x:v>Initial recovery state was clean at 562ee96 and matched origin with no staged, unstaged, or untracked files. Focused: 40 passed, 1 skipped because Windows symlink creation was unavailable. Full regression: 161 passed, 1 skipped in 4.84s. Draft 2020-12 schema self-check and git diff --check passed. No P1.2 or deferred implementation was added; the final correction remains uncommitted for user review.</x:v>
      </x:c>
    </x:row>
    <x:row r="40" ht="108" customHeight="1">
      <x:c r="A40" s="78" t="str">
        <x:v>EV-037</x:v>
      </x:c>
      <x:c r="B40" s="78" t="n">
        <x:v>46219</x:v>
      </x:c>
      <x:c r="C40" s="78" t="str">
        <x:v>P1.1 / P1.2</x:v>
      </x:c>
      <x:c r="D40" s="78" t="str">
        <x:v>Verified final P1.1 commit 42ad037 matched origin/feature/package-manifest with a clean tree, interpreted the user's continue directive as P1.1 acceptance, fast-forwarded local main, and created feature/package-fixtures without rewriting or discarding history.</x:v>
      </x:c>
      <x:c r="E40" s="78" t="str">
        <x:v>User gate / Git / Project control</x:v>
      </x:c>
      <x:c r="F40" s="78" t="str">
        <x:v>User direction 2026-07-16; feature/package-manifest; commit 42ad037; local main 42ad037; feature/package-fixtures; D-040</x:v>
      </x:c>
      <x:c r="G40" s="78" t="str">
        <x:v>P1.1 acceptance and P1.2 authorization</x:v>
      </x:c>
      <x:c r="H40" s="78" t="str">
        <x:v>Accepted</x:v>
      </x:c>
      <x:c r="I40" s="78" t="str">
        <x:v>P1.1 final evidence remains focused 40 passed with 1 Windows symlink skip and full 161 passed with the same skip. origin/main was not pushed or otherwise changed by this work block; external integration remains under normal user-controlled Git workflow.</x:v>
      </x:c>
    </x:row>
    <x:row r="41" ht="135" customHeight="1">
      <x:c r="A41" s="78" t="str">
        <x:v>EV-038</x:v>
      </x:c>
      <x:c r="B41" s="78" t="n">
        <x:v>46219</x:v>
      </x:c>
      <x:c r="C41" s="78" t="str">
        <x:v>P1.2</x:v>
      </x:c>
      <x:c r="D41" s="78" t="str">
        <x:v>Authored and reviewed one clean synthetic development pump-skid package: 7 mandatory source declarations, 9 canonical documents and controlled file references, 20 manifest and golden relationships, exact CSV/JSON evidence locators, unchanged accepted authority behavior, hidden expected findings and package state, transparent file stubs, provenance notes, and a SHA-256 package-tree inventory.</x:v>
      </x:c>
      <x:c r="E41" s="78" t="str">
        <x:v>Fixture / Golden relationships / Integrity tests / Benchmark control</x:v>
      </x:c>
      <x:c r="F41" s="78" t="str">
        <x:v>feature/package-fixtures; benchmarks/package_assurance/development/pump_skid_clean_v1; tests/test_package_fixture.py; fixture hash a4b278e5bd20f3b64a85d52c478747b1115e15bbaf63b19bf47f5dffddfaf31a; D-041</x:v>
      </x:c>
      <x:c r="G41" s="78" t="str">
        <x:v>P1.2 clean development package</x:v>
      </x:c>
      <x:c r="H41" s="78" t="str">
        <x:v>Ready for acceptance</x:v>
      </x:c>
      <x:c r="I41" s="78" t="str">
        <x:v>Fixture checks: 4 passed. Combined P1 package checks: 44 passed, 1 skipped because Windows symlink creation was unavailable. Full frozen regression: 165 passed, 1 skipped in 4.22s. Draft 2020-12 schema self-check and 9 fixture JSON parses passed. No held-out package, source adapter, mandatory gate, rule engine, CLI, report, evaluator, PDF/CAD, agent, API, database, RAG, or frontend implementation was added.</x:v>
      </x:c>
    </x:row>
    <x:row r="42" ht="117" customHeight="1">
      <x:c r="A42" s="78" t="str">
        <x:v>EV-039</x:v>
      </x:c>
      <x:c r="B42" s="78" t="n">
        <x:v>46219</x:v>
      </x:c>
      <x:c r="C42" s="78" t="str">
        <x:v>P1.2 / P1.3</x:v>
      </x:c>
      <x:c r="D42" s="78" t="str">
        <x:v>The user accepted the verified P1.2 development fixture at pushed commit f26ed27 and instructed the project to continue. The accepted commit was established as the local main baseline and P1.3 held-out fixture work was opened without modifying the accepted development package.</x:v>
      </x:c>
      <x:c r="E42" s="78" t="str">
        <x:v>User gate / Git / Project control</x:v>
      </x:c>
      <x:c r="F42" s="78" t="str">
        <x:v>User direction 2026-07-16; feature/package-fixtures; commit f26ed27; local main f26ed27; D-042</x:v>
      </x:c>
      <x:c r="G42" s="78" t="str">
        <x:v>P1.2 acceptance and P1.3 authorization</x:v>
      </x:c>
      <x:c r="H42" s="78" t="str">
        <x:v>Accepted</x:v>
      </x:c>
      <x:c r="I42" s="78" t="str">
        <x:v>The branch matched origin/feature/package-fixtures and the working tree was clean at acceptance. P1.3 authorization is limited to held-out package inputs, controlled variants, protected exact oracles, hashes, material-distinction review, contamination status, and freeze evidence; P2 remains blocked.</x:v>
      </x:c>
    </x:row>
    <x:row r="43" ht="162" customHeight="1">
      <x:c r="A43" s="78" t="str">
        <x:v>EV-040</x:v>
      </x:c>
      <x:c r="B43" s="78" t="n">
        <x:v>46219</x:v>
      </x:c>
      <x:c r="C43" s="78" t="str">
        <x:v>P1.3</x:v>
      </x:c>
      <x:c r="D43" s="78" t="str">
        <x:v>Authored and independently integrity-checked a materially distinct synthetic held-out instrument-air family: one clean complete package, six single-fault packages, one compound package, 11 documents and controlled references per scenario, 31 protected relationship goldens, eight seeded fault records, seven release-blocking variants, evaluator-uncertainty coverage, exact finding/state/exit oracles, evidence locators, material-distinction review, access controls, per-scenario package inventories, and one reproducible freeze-set hash.</x:v>
      </x:c>
      <x:c r="E43" s="78" t="str">
        <x:v>Fixture / Oracle / Integrity tests / Benchmark control</x:v>
      </x:c>
      <x:c r="F43" s="78" t="str">
        <x:v>feature/package-fixtures; benchmarks/package_assurance/held_out/instrument_air_module_v1; tests/test_held_out_package_fixtures.py; freeze-set hash 428f8c31f35e5c4f20a345621b937628c686576617bb5348db60db4d90e25884; D-043</x:v>
      </x:c>
      <x:c r="G43" s="78" t="str">
        <x:v>P1.3 held-out freeze candidate</x:v>
      </x:c>
      <x:c r="H43" s="78" t="str">
        <x:v>Ready for acceptance</x:v>
      </x:c>
      <x:c r="I43" s="78" t="str">
        <x:v>Focused P1 package verification: 50 passed, 1 expected Windows symlink skip. Full frozen regression: 170 passed, 1 skipped. All eight manifests load; only the seeded missing-file scenario has an unresolved controlled reference. Exact mutations, locators, states, check IDs, inventories, protected-asset hashes, freeze-set hash, and required material distinction were reconstructed in tests. The candidate is self-authored pre-tuning and not independently blind. No source adapter, package gate, rule engine, evaluator, CLI/report, PDF/CAD, agent, API, database, RAG, or frontend implementation was added. P2 remains blocked pending user acceptance.</x:v>
      </x:c>
    </x:row>
    <x:row r="44" ht="144" customHeight="1">
      <x:c r="A44" s="78" t="str">
        <x:v>EV-041</x:v>
      </x:c>
      <x:c r="B44" s="78" t="n">
        <x:v>46219</x:v>
      </x:c>
      <x:c r="C44" s="78" t="str">
        <x:v>P1.3 / P2.1</x:v>
      </x:c>
      <x:c r="D44" s="78" t="str">
        <x:v>The user accepted the verified P1.3 freeze candidate at pushed commit 4b7516e. The activation rule now treats the held-out family as frozen_pre_tuning without changing protected content. Local main was fast-forwarded to the accepted commit and feature/package-inventory-gates was created for P2.1.</x:v>
      </x:c>
      <x:c r="E44" s="78" t="str">
        <x:v>User gate / Benchmark control / Git / Project control</x:v>
      </x:c>
      <x:c r="F44" s="78" t="str">
        <x:v>User direction 2026-07-16; commit 4b7516e; feature/package-fixtures; feature/package-inventory-gates; D-044</x:v>
      </x:c>
      <x:c r="G44" s="78" t="str">
        <x:v>P1.3 acceptance and P2.1 authorization</x:v>
      </x:c>
      <x:c r="H44" s="78" t="str">
        <x:v>Accepted</x:v>
      </x:c>
      <x:c r="I44" s="78" t="str">
        <x:v>P2.1 is limited to package inventory, parse, revision, authority, duplicate, evidence-locator, and controlled-file gates against development inputs. Held-out inspection/execution, P2.2 relationship checks, P2.3 consistency rules, P2.4 state routing, and later capabilities remain blocked.</x:v>
      </x:c>
    </x:row>
    <x:row r="45" ht="171" customHeight="1">
      <x:c r="A45" s="78" t="str">
        <x:v>EV-042</x:v>
      </x:c>
      <x:c r="B45" s="78" t="n">
        <x:v>46219</x:v>
      </x:c>
      <x:c r="C45" s="78" t="str">
        <x:v>P2.1</x:v>
      </x:c>
      <x:c r="D45" s="78" t="str">
        <x:v>P2.1 implements typed structured-source records, package-relative evidence locators, controlled adapter failures, deterministic finding IDs, eight ordered gate results, and explicit blocked_by prerequisite suppression. The clean development package passes all gates deterministically; targeted mutations cover unreadable/malformed manifests, missing or malformed sources, invalid CSV values, broken files, duplicate document identity, invalid revision format/progression, missing/contradictory/malformed authority, duplicate-policy incompleteness, and evidence-contract failure.</x:v>
      </x:c>
      <x:c r="E45" s="78" t="str">
        <x:v>Source / Tests / Git</x:v>
      </x:c>
      <x:c r="F45" s="78" t="str">
        <x:v>commit e1ada72; src/mech_eval_harness/package_assurance/{models.py,adapters.py,gates.py}; tests/test_package_gates.py; feature/package-inventory-gates</x:v>
      </x:c>
      <x:c r="G45" s="78" t="str">
        <x:v>P2.1 implementation and regression verification</x:v>
      </x:c>
      <x:c r="H45" s="78" t="str">
        <x:v>Verified - acceptance pending</x:v>
      </x:c>
      <x:c r="I45" s="78" t="str">
        <x:v>Gate tests: 16 passed. Combined manifest/development/gate suite: 60 passed, 1 expected Windows symlink skip. Full frozen regression: 187 passed, 1 expected skip. No P2.2 relationship logic, P2.3 consistency rules, P2.4 state router, CLI, reports, or deferred capabilities were added.</x:v>
      </x:c>
    </x:row>
    <x:row r="46" ht="207" customHeight="1">
      <x:c r="A46" s="78" t="str">
        <x:v>EV-043</x:v>
      </x:c>
      <x:c r="B46" s="78" t="n">
        <x:v>46219</x:v>
      </x:c>
      <x:c r="C46" s="78" t="str">
        <x:v>P1.2-P2.1</x:v>
      </x:c>
      <x:c r="D46" s="78" t="str">
        <x:v>The first in-place full suite produced 186 passes, one skip, and one held-out raw-size failure caused by core.autocrlf rewriting committed LF bytes to CRLF. A byte-faithful temporary materialization passed 187/1. After user approval, the working files were restored from committed blobs and .gitattributes was added to disable benchmark text normalization; the in-place full suite then passed 187/1. Tracked held-out path names were inadvertently enumerated during diagnosis, but protected file contents and oracles were not opened or used to tune gates.</x:v>
      </x:c>
      <x:c r="E46" s="78" t="str">
        <x:v>Git / Benchmark control / Tests</x:v>
      </x:c>
      <x:c r="F46" s="78" t="str">
        <x:v>.gitattributes; accepted fixture inventories; initial, materialized, and repaired full-suite runs; D-046</x:v>
      </x:c>
      <x:c r="G46" s="78" t="str">
        <x:v>Benchmark byte reproducibility and access disclosure</x:v>
      </x:c>
      <x:c r="H46" s="78" t="str">
        <x:v>Verified / disclosed</x:v>
      </x:c>
      <x:c r="I46" s="78" t="str">
        <x:v>No fixture semantic value, expected finding, expected state, inventory hash, or freeze-set hash changed. The family remains self-authored pre-tuning and must not be described as independently blind. First semantic held-out evaluator execution remains pending its controlled gate.</x:v>
      </x:c>
    </x:row>
    <x:row r="47" ht="198" customHeight="1">
      <x:c r="A47" s="78" t="str">
        <x:v>EV-044</x:v>
      </x:c>
      <x:c r="B47" s="78" t="n">
        <x:v>46220</x:v>
      </x:c>
      <x:c r="C47" s="78" t="str">
        <x:v>P2.1 / Project control</x:v>
      </x:c>
      <x:c r="D47" s="78" t="str">
        <x:v>The stabilization block rejects absolute, drive-relative, UNC, traversal, and backslash evidence source paths; rejects unsupported structured JSON fixture-profile versions with a controlled source-inventory failure and dependent skips; installs a reusable improvement loop; ignores Excel lock files; adds Ruff checks and an 80% coverage floor; and replaces the hard-coded P2 dashboard value with a formula over P2.1-P2.4 completion rows.</x:v>
      </x:c>
      <x:c r="E47" s="78" t="str">
        <x:v>Source / Tests / Project control</x:v>
      </x:c>
      <x:c r="F47" s="78" t="str">
        <x:v>codex/stabilization-improvement-loop; docs/quality/improvement_register.md; tests/test_package_models.py; tests/test_package_gates.py; .github/workflows/ci.yml; pyproject.toml; gantt.xlsx; D-047</x:v>
      </x:c>
      <x:c r="G47" s="78" t="str">
        <x:v>P2.1 stabilization and improvement loop</x:v>
      </x:c>
      <x:c r="H47" s="78" t="str">
        <x:v>Accepted</x:v>
      </x:c>
      <x:c r="I47" s="78" t="str">
        <x:v>Focused verification: 26 passed. Full frozen regression: 197 passed, 1 expected Windows symlink skip. Repository validation: 5/5. Ruff: passed. Coverage: 84.33%, above the 80% floor. Formula error scan and all-sheet visual review passed. No P2.2 relationship, package-state, report, CLI, PDF/CAD, agent, API/database, RAG, or frontend implementation was added.</x:v>
      </x:c>
    </x:row>
    <x:row r="48" ht="180" customHeight="1">
      <x:c r="A48" s="78" t="str">
        <x:v>EV-045</x:v>
      </x:c>
      <x:c r="B48" s="78" t="n">
        <x:v>46220</x:v>
      </x:c>
      <x:c r="C48" s="78" t="str">
        <x:v>P2.1 acceptance / P2.2 definition</x:v>
      </x:c>
      <x:c r="D48" s="78" t="str">
        <x:v>The user explicitly accepted stabilization and P2.1 and authorized creation of the integration pull request plus definition of one P2.2 relationship slice. The accepted branch is pushed at commit 13c2527 with a clean working tree and matching local/remote commit. No P2.2 implementation was present at acceptance.</x:v>
      </x:c>
      <x:c r="E48" s="78" t="str">
        <x:v>User decision / Git / Project control</x:v>
      </x:c>
      <x:c r="F48" s="78" t="str">
        <x:v>Codex acceptance message dated 2026-07-17; codex/stabilization-improvement-loop; commits 13c2527 and 4d8dc81; PR #27; main 94d9117; D-048</x:v>
      </x:c>
      <x:c r="G48" s="78" t="str">
        <x:v>P2.1 acceptance and P2.2 definition authorization</x:v>
      </x:c>
      <x:c r="H48" s="78" t="str">
        <x:v>Accepted</x:v>
      </x:c>
      <x:c r="I48" s="78" t="str">
        <x:v>Focused tests 26 passed; full frozen regression 197 passed/1 expected skip; repository validation 5/5; Ruff passed; coverage 84.33%. PR #27 merged to main at 94d9117 after green GitHub CI.</x:v>
      </x:c>
    </x:row>
    <x:row r="49" ht="216" customHeight="1">
      <x:c r="A49" s="78" t="str">
        <x:v>EV-046</x:v>
      </x:c>
      <x:c r="B49" s="78" t="n">
        <x:v>46220</x:v>
      </x:c>
      <x:c r="C49" s="78" t="str">
        <x:v>P2.2</x:v>
      </x:c>
      <x:c r="D49" s="78" t="str">
        <x:v>The P2.2 relationship-slice definition was reviewed against the accepted workflow contract, authority-map example and development authority map, acceptance plan, package manifest relationship contract, development drawing-register and drawing-metadata layouts, P2.1 gate boundary, evidence model, target architecture, and improvement register. It freezes one matched-drawing revision comparison and its downstream handoff without implementing it.</x:v>
      </x:c>
      <x:c r="E49" s="78" t="str">
        <x:v>Documentation / Contract review / Project control</x:v>
      </x:c>
      <x:c r="F49" s="78" t="str">
        <x:v>docs/package_assurance/p2_2_relationship_slice_definition_v0.3.0.md; commit d366cd7; docs/package_assurance/{workflow_contract_v0.3.0.md,acceptance_plan_v0.3.0.md,authority_map_example_v0.3.0.json}; schemas/package_manifest.schema.json; src/mech_eval_harness/package_assurance/{manifest.py,models.py,gates.py}; D-049</x:v>
      </x:c>
      <x:c r="G49" s="78" t="str">
        <x:v>First P2.2 relationship-slice definition</x:v>
      </x:c>
      <x:c r="H49" s="78" t="str">
        <x:v>Accepted</x:v>
      </x:c>
      <x:c r="I49" s="78" t="str">
        <x:v>The definition specifies check ID/version, authority, exact join and comparison, clean and fault outcomes, high-severity release hold, both source locators, stable finding identity, prerequisite skips, relationships.py boundary, future P2.4/P3 handoff, tests, and exclusions. No code, schema, accepted fixture, golden, held-out asset, or historical evidence was changed. Definition-block verification: repository validation 5/5, Ruff passed, full suite 197 passed/1 skipped, coverage 84.33%, formula scan found 0 errors, and the all-sheet visual review passed.</x:v>
      </x:c>
    </x:row>
    <x:row r="50" ht="207" customHeight="1">
      <x:c r="A50" s="78" t="str">
        <x:v>EV-047</x:v>
      </x:c>
      <x:c r="B50" s="78" t="n">
        <x:v>46220</x:v>
      </x:c>
      <x:c r="C50" s="78" t="str">
        <x:v>P2.1 integration / P2.2 acceptance</x:v>
      </x:c>
      <x:c r="D50" s="78" t="str">
        <x:v>PR #27 merged the accepted stabilization and P2.1 chain to main at 94d9117 after green GitHub CI. The user then explicitly accepted the first P2.2 relationship-slice definition and authorized only drawing_register_metadata_revision v0.3.0 for implementation. The accepted definition was committed at e9e1a31, pushed cleanly, and opened as draft PR #28.</x:v>
      </x:c>
      <x:c r="E50" s="78" t="str">
        <x:v>User decision / Git / Project control</x:v>
      </x:c>
      <x:c r="F50" s="78" t="str">
        <x:v>Codex acceptance message dated 2026-07-17; PR #27; main commit 94d9117; codex/p2.2-relationship-slice-definition at e9e1a31; draft PR #28; D-049; D-050; EV-046</x:v>
      </x:c>
      <x:c r="G50" s="78" t="str">
        <x:v>P2.2 definition acceptance and implementation authorization</x:v>
      </x:c>
      <x:c r="H50" s="78" t="str">
        <x:v>Accepted</x:v>
      </x:c>
      <x:c r="I50" s="78" t="str">
        <x:v>Authorization is limited to the frozen AUTH-DWG-001 revision comparison, result/evidence records needed by that check, and focused tests using temporary package copies. Other relationships, package routing, reports, CLI, semantic held-out execution, accepted fixture/golden changes, and deferred capabilities remain blocked.</x:v>
      </x:c>
    </x:row>
    <x:row r="51" ht="279" customHeight="1">
      <x:c r="A51" s="78" t="str">
        <x:v>EV-048</x:v>
      </x:c>
      <x:c r="B51" s="78" t="n">
        <x:v>46220</x:v>
      </x:c>
      <x:c r="C51" s="78" t="str">
        <x:v>P2.2 first implementation slice</x:v>
      </x:c>
      <x:c r="D51" s="78" t="str">
        <x:v>The accepted drawing_register_metadata_revision v0.3.0 slice is implemented in relationships.py. The clean development package passes with exact CSV/JSON evidence. A temporary drawing-metadata revision mutation from C to A leaves every P2.1 gate passing and emits exactly one stable DRAWING_REVISION_MISMATCH automatic_fail finding with high severity, a release hold, AUTH-DWG-001, DOC-DWG-001 and DWG-PSK-1001, expected C, actual A, document_control ownership, and both frozen locators. Failed P2.1 prerequisites skip the relationship check, and reordered source records preserve semantic finding IDs and order.</x:v>
      </x:c>
      <x:c r="E51" s="78" t="str">
        <x:v>Source / Tests / Project control</x:v>
      </x:c>
      <x:c r="F51" s="78" t="str">
        <x:v>definition commit e9e1a31; draft PR #28; implementation commit f33ef1b; draft PR #29; green GitHub CI; src/mech_eval_harness/package_assurance/{relationships.py,models.py,__init__.py}; tests/test_package_relationships.py; docs/package_assurance/p2_2_relationship_slice_definition_v0.3.0.md; D-051</x:v>
      </x:c>
      <x:c r="G51" s="78" t="str">
        <x:v>P2.2 first relationship-slice implementation</x:v>
      </x:c>
      <x:c r="H51" s="78" t="str">
        <x:v>Ready for acceptance</x:v>
      </x:c>
      <x:c r="I51" s="78" t="str">
        <x:v>Focused package-assurance verification: 30 passed. Full frozen regression: 201 passed, 1 expected Windows symlink skip. Repository validation: 5/5. Ruff: passed. Coverage: 84.64%, above the 80% floor. Both GitHub CI runs on draft PR #29 passed. Accepted schemas, development fixtures, goldens, held-out assets, and historical evidence were unchanged. No package-state routing, report, CLI, semantic held-out execution, or other relationship was added.</x:v>
      </x:c>
    </x:row>
    <x:row r="52" ht="225" customHeight="1">
      <x:c r="A52" s="78" t="str">
        <x:v>EV-049</x:v>
      </x:c>
      <x:c r="B52" s="78" t="n">
        <x:v>46220</x:v>
      </x:c>
      <x:c r="C52" s="78" t="str">
        <x:v>P2.2 first-slice acceptance / integration</x:v>
      </x:c>
      <x:c r="D52" s="78" t="str">
        <x:v>The user merged implementation PR #29 into the accepted definition branch on 2026-07-17. Merge commit d714f4e combines implementation commits f33ef1b and d7c9240 with the accepted definition chain. PR #28 now presents the complete definition-and-implementation diff against main and its two post-merge GitHub CI checks passed. PR #28 remains the required main-integration step.</x:v>
      </x:c>
      <x:c r="E52" s="78" t="str">
        <x:v>User decision / Git / CI / Project control</x:v>
      </x:c>
      <x:c r="F52" s="78" t="str">
        <x:v>PR #29; merge commit d714f4e; codex/p2.2-relationship-slice-definition; combined PR #28; green GitHub CI; D-052</x:v>
      </x:c>
      <x:c r="G52" s="78" t="str">
        <x:v>First P2.2 implementation acceptance and integration readiness</x:v>
      </x:c>
      <x:c r="H52" s="78" t="str">
        <x:v>Ready for integration</x:v>
      </x:c>
      <x:c r="I52" s="78" t="str">
        <x:v>The accepted behavior remains limited to drawing_register_metadata_revision v0.3.0. PR #29 did not merge to main directly because it was stacked on the definition branch. No additional relationship, package-state routing, report, CLI, semantic held-out execution, accepted fixture/golden change, or deferred capability was added.</x:v>
      </x:c>
    </x:row>
    <x:row r="53" ht="234" customHeight="1">
      <x:c r="A53" s="78" t="str">
        <x:v>EV-050</x:v>
      </x:c>
      <x:c r="B53" s="78" t="n">
        <x:v>46220</x:v>
      </x:c>
      <x:c r="C53" s="78" t="str">
        <x:v>P2.2 first-slice integration</x:v>
      </x:c>
      <x:c r="D53" s="78" t="str">
        <x:v>PR #28 merged the complete accepted first P2.2 definition-and-implementation chain to main at 5866212 on 2026-07-17. GitHub records the PR as merged with both CI checks successful. Local main was fast-forwarded to the exact merge commit and remained clean.</x:v>
      </x:c>
      <x:c r="E53" s="78" t="str">
        <x:v>Git / CI / Tests / Project control</x:v>
      </x:c>
      <x:c r="F53" s="78" t="str">
        <x:v>PR #28; merge commit 5866212; main; green GitHub CI; D-053</x:v>
      </x:c>
      <x:c r="G53" s="78" t="str">
        <x:v>First P2.2 relationship-slice main integration</x:v>
      </x:c>
      <x:c r="H53" s="78" t="str">
        <x:v>Accepted</x:v>
      </x:c>
      <x:c r="I53" s="78" t="str">
        <x:v>Exact merged-tree verification: focused package models, gates, and relationships 30 passed; full frozen regression 201 passed and 1 expected Windows symlink skip; repository validation 5/5; Ruff passed; coverage 84.64%. The merged diff contains the reviewed ten-file definition and implementation chain. No protected accepted fixture, golden, held-out content, or historical evidence changed.</x:v>
      </x:c>
    </x:row>
    <x:row r="54" ht="279" customHeight="1">
      <x:c r="A54" s="78" t="str">
        <x:v>EV-051</x:v>
      </x:c>
      <x:c r="B54" s="78" t="n">
        <x:v>46220</x:v>
      </x:c>
      <x:c r="C54" s="78" t="str">
        <x:v>P2.2 second-slice definition</x:v>
      </x:c>
      <x:c r="D54" s="78" t="str">
        <x:v>The proposed drawing metadata presence slice was reviewed against the workflow contract, accepted authority-map example, package-specific development authority map, acceptance plan, loaded source layouts, P2.1 gate boundary, accepted first P2.2 behavior, relationship evidence model, and improvement register. It freezes one register-to-metadata absence result without executable behavior.</x:v>
      </x:c>
      <x:c r="E54" s="78" t="str">
        <x:v>Documentation / Contract review / Project control</x:v>
      </x:c>
      <x:c r="F54" s="78" t="str">
        <x:v>docs/package_assurance/p2_2_drawing_metadata_presence_definition_v0.3.0.md; docs/package_assurance/{workflow_contract_v0.3.0.md,authority_map_example_v0.3.0.json,acceptance_plan_v0.3.0.md,p2_2_relationship_slice_definition_v0.3.0.md}; src/mech_eval_harness/package_assurance/{models.py,relationships.py}; D-054; IMP-009</x:v>
      </x:c>
      <x:c r="G54" s="78" t="str">
        <x:v>Second P2.2 directional relationship-slice definition</x:v>
      </x:c>
      <x:c r="H54" s="78" t="str">
        <x:v>Accepted</x:v>
      </x:c>
      <x:c r="I54" s="78" t="str">
        <x:v>The definition separates automatic-fail missing metadata from missing-authority orphan metadata, freezes check and finding IDs, exact join and membership behavior, negative evidence, stable identity and ordering, check ordering, future routing, acceptance tests, and exclusions. The user accepted it on 2026-07-17. No Python behavior, schema, authority rule, accepted fixture, golden, held-out asset, or historical evidence changed.</x:v>
      </x:c>
    </x:row>
    <x:row r="55" ht="234" customHeight="1">
      <x:c r="A55" s="78" t="str">
        <x:v>EV-052</x:v>
      </x:c>
      <x:c r="B55" s="78" t="n">
        <x:v>46220</x:v>
      </x:c>
      <x:c r="C55" s="78" t="str">
        <x:v>P2.2 second-slice acceptance</x:v>
      </x:c>
      <x:c r="D55" s="78" t="str">
        <x:v>The user explicitly accepted the drawing metadata presence definition on 2026-07-17 and authorized its narrow implementation after PR #30 integration. The definition branch was at 641b86f with two successful GitHub checks, a clean working baseline before acceptance recording, and no executable second-slice behavior.</x:v>
      </x:c>
      <x:c r="E55" s="78" t="str">
        <x:v>User decision / Git / CI / Project control</x:v>
      </x:c>
      <x:c r="F55" s="78" t="str">
        <x:v>User acceptance 2026-07-17; PR #30; codex/p2.2-drawing-counterpart-definition; 641b86f; D-055</x:v>
      </x:c>
      <x:c r="G55" s="78" t="str">
        <x:v>Second P2.2 directional relationship-slice acceptance</x:v>
      </x:c>
      <x:c r="H55" s="78" t="str">
        <x:v>Accepted</x:v>
      </x:c>
      <x:c r="I55" s="78" t="str">
        <x:v>The acceptance preserves the one-directional AUTH-DWG-001 scope and authorizes only drawing_register_metadata_presence v0.3.0 after verified integration. Reverse orphan detection and all broader relationship and downstream capabilities remain blocked.</x:v>
      </x:c>
    </x:row>
    <x:row r="56" ht="243" customHeight="1">
      <x:c r="A56" s="78" t="str">
        <x:v>EV-053</x:v>
      </x:c>
      <x:c r="B56" s="78" t="n">
        <x:v>46220</x:v>
      </x:c>
      <x:c r="C56" s="78" t="str">
        <x:v>P2.2 second-slice integration</x:v>
      </x:c>
      <x:c r="D56" s="78" t="str">
        <x:v>PR #30 merged the accepted drawing metadata presence definition to main at 551200b on 2026-07-17 after two successful GitHub CI checks. Local main was fast-forwarded to that exact commit, verified clean, and used to create codex/p2.2-drawing-metadata-presence-implementation.</x:v>
      </x:c>
      <x:c r="E56" s="78" t="str">
        <x:v>Git / CI / Tests / Project control</x:v>
      </x:c>
      <x:c r="F56" s="78" t="str">
        <x:v>PR #30; merge commit 551200b; main; codex/p2.2-drawing-metadata-presence-implementation; D-056</x:v>
      </x:c>
      <x:c r="G56" s="78" t="str">
        <x:v>Second P2.2 definition integration and implementation readiness</x:v>
      </x:c>
      <x:c r="H56" s="78" t="str">
        <x:v>Accepted</x:v>
      </x:c>
      <x:c r="I56" s="78" t="str">
        <x:v>Exact merged-tree verification: focused package models, gates, and relationships 30 passed; full frozen regression 201 passed and 1 expected Windows symlink skip; repository validation 5/5; Ruff passed; coverage 84.64%. No executable second-slice behavior, accepted fixture, golden, held-out content, or historical evidence changed.</x:v>
      </x:c>
    </x:row>
    <x:row r="57" ht="306" customHeight="1">
      <x:c r="A57" s="78" t="str">
        <x:v>EV-054</x:v>
      </x:c>
      <x:c r="B57" s="78" t="n">
        <x:v>46220</x:v>
      </x:c>
      <x:c r="C57" s="78" t="str">
        <x:v>P2.2 second-slice implementation</x:v>
      </x:c>
      <x:c r="D57" s="78" t="str">
        <x:v>Commit b24ca65 implements drawing_register_metadata_presence v0.3.0 as the second stable relationship check. The clean development package passes. Removing DWMETA-001 in a temporary copy leaves every P2.1 gate passing and emits exactly one DRAWING_METADATA_MISSING finding for DOC-DWG-001 / DWG-PSK-1001 with automatic_fail, high severity, release_hold true, AUTH-DWG-001, document_control ownership, the exact register locator, and the searched metadata /records membership. Removing both metadata records emits two sorted findings. Repeated and reordered runs preserve semantic IDs and normalized collection membership. Failed P2.1 prerequisites skip both checks in stable order.</x:v>
      </x:c>
      <x:c r="E57" s="78" t="str">
        <x:v>Source / Tests / CI / Project control</x:v>
      </x:c>
      <x:c r="F57" s="78" t="str">
        <x:v>commit b24ca65; draft PR #31; codex/p2.2-drawing-metadata-presence-implementation; src/mech_eval_harness/package_assurance/{relationships.py,__init__.py}; tests/test_package_relationships.py; D-057</x:v>
      </x:c>
      <x:c r="G57" s="78" t="str">
        <x:v>Second P2.2 directional relationship-slice implementation</x:v>
      </x:c>
      <x:c r="H57" s="78" t="str">
        <x:v>Ready for acceptance</x:v>
      </x:c>
      <x:c r="I57" s="78" t="str">
        <x:v>Focused package models, gates, and relationships: 35 passed. Full frozen regression: 206 passed, 1 expected Windows symlink skip. Repository validation: 5/5. Ruff: passed. Coverage: 84.93%. Both GitHub CI runs passed. Accepted fixtures, goldens, held-out assets, schemas, authority maps, and historical evidence were unchanged. No reverse orphan detection, package-state routing, report, CLI, semantic held-out execution, or deferred capability was added.</x:v>
      </x:c>
    </x:row>
    <x:row r="58" ht="252" customHeight="1">
      <x:c r="A58" s="78" t="str">
        <x:v>EV-055</x:v>
      </x:c>
      <x:c r="B58" s="78" t="n">
        <x:v>46220</x:v>
      </x:c>
      <x:c r="C58" s="78" t="str">
        <x:v>P2.2 second-slice acceptance</x:v>
      </x:c>
      <x:c r="D58" s="78" t="str">
        <x:v>The user explicitly accepted the drawing_register_metadata_presence v0.3.0 implementation on 2026-07-17 and authorized the necessary version-control and integration work. The accepted branch head was 56368e9, implementation behavior was at b24ca65, PR #31 was mergeable, and both final GitHub CI checks passed.</x:v>
      </x:c>
      <x:c r="E58" s="78" t="str">
        <x:v>User decision / Git / CI / Project control</x:v>
      </x:c>
      <x:c r="F58" s="78" t="str">
        <x:v>User acceptance 2026-07-17; b24ca65; 56368e9; PR #31; codex/p2.2-drawing-metadata-presence-implementation; D-058</x:v>
      </x:c>
      <x:c r="G58" s="78" t="str">
        <x:v>Second P2.2 directional relationship-slice implementation acceptance</x:v>
      </x:c>
      <x:c r="H58" s="78" t="str">
        <x:v>Accepted</x:v>
      </x:c>
      <x:c r="I58" s="78" t="str">
        <x:v>Acceptance is limited to drawing_register_metadata_presence v0.3.0 and its reviewed evidence. PR #31 integration and exact merged-tree verification remain required. No reverse orphan detection, additional relationship, routing, report, CLI, semantic held-out execution, protected-asset change, or deferred capability is authorized.</x:v>
      </x:c>
    </x:row>
    <x:row r="59" ht="261" customHeight="1">
      <x:c r="A59" s="78" t="str">
        <x:v>EV-056</x:v>
      </x:c>
      <x:c r="B59" s="78" t="n">
        <x:v>46220</x:v>
      </x:c>
      <x:c r="C59" s="78" t="str">
        <x:v>P2.2 second-slice main integration</x:v>
      </x:c>
      <x:c r="D59" s="78" t="str">
        <x:v>PR #31 merged the accepted drawing_register_metadata_presence v0.3.0 implementation and acceptance record to main at 36338c0 on 2026-07-17. The merged PR head was 8a5d56a, both final GitHub CI checks passed, local main fast-forwarded to the exact merge commit, and local HEAD matched origin/main with a clean tree.</x:v>
      </x:c>
      <x:c r="E59" s="78" t="str">
        <x:v>Git / CI / Tests / Project control</x:v>
      </x:c>
      <x:c r="F59" s="78" t="str">
        <x:v>PR #31; head 8a5d56a; merge commit 36338c0; main; D-059</x:v>
      </x:c>
      <x:c r="G59" s="78" t="str">
        <x:v>Second P2.2 directional relationship-slice integration</x:v>
      </x:c>
      <x:c r="H59" s="78" t="str">
        <x:v>Accepted</x:v>
      </x:c>
      <x:c r="I59" s="78" t="str">
        <x:v>Exact merged-tree verification: focused package models, gates, and relationships 35 passed; full frozen regression 206 passed and 1 expected Windows symlink skip; repository validation 5/5; Ruff passed; coverage 84.93%. No protected accepted fixture, golden, held-out content, schema, authority map, or historical evidence changed.</x:v>
      </x:c>
    </x:row>
    <x:row r="60" ht="324" customHeight="1">
      <x:c r="A60" s="78" t="str">
        <x:v>EV-057</x:v>
      </x:c>
      <x:c r="B60" s="78" t="n">
        <x:v>46220</x:v>
      </x:c>
      <x:c r="C60" s="78" t="str">
        <x:v>P2.2 third-slice definition review</x:v>
      </x:c>
      <x:c r="D60" s="78" t="str">
        <x:v>The proposed drawing_metadata_register_authority v0.3.0 definition was reviewed against the workflow contract, authority-map example and package rule AUTH-DWG-001, acceptance plan, both accepted P2.2 definitions and implementations, P2.1 gate boundary, loaded source layouts, current EvidenceLocator serialization, and improvement rule IMP-009. A temporary copy with DOC-DWG-001 removed from the register leaves all eight P2.1 gates and both accepted P2.2 checks passing. A second probe with both register data rows removed also leaves P2.1 passing.</x:v>
      </x:c>
      <x:c r="E60" s="78" t="str">
        <x:v>Documentation / Contract review / Source inspection / Temporary probes / Project control</x:v>
      </x:c>
      <x:c r="F60" s="78" t="str">
        <x:v>docs/package_assurance/p2_2_drawing_metadata_register_authority_definition_v0.3.0.md; docs/package_assurance/{workflow_contract_v0.3.0.md,authority_map_example_v0.3.0.json,acceptance_plan_v0.3.0.md}; src/mech_eval_harness/package_assurance/{models.py,relationships.py}; development drawing_register.csv and drawing_metadata.json; D-060; IMP-009</x:v>
      </x:c>
      <x:c r="G60" s="78" t="str">
        <x:v>Third P2.2 directional missing-authority definition</x:v>
      </x:c>
      <x:c r="H60" s="78" t="str">
        <x:v>Ready for acceptance</x:v>
      </x:c>
      <x:c r="I60" s="78" t="str">
        <x:v>The definition freezes check and finding IDs, the narrow AUTH-DWG-001 current-revision interpretation, exact authority routing, release hold, ownership, join and selection behavior, a contract-compliant row-1 header-anchored CSV membership locator, stable identity and order, third-check sequencing, temporary-copy tests, downstream handoff, and exclusions. No Python behavior, accepted fixture, schema, authority rule, golden, held-out asset, or historical evidence changed.</x:v>
      </x:c>
    </x:row>
    <x:row r="61" ht="288" customHeight="1">
      <x:c r="A61" s="78" t="str">
        <x:v>EV-058</x:v>
      </x:c>
      <x:c r="B61" s="78" t="n">
        <x:v>46220</x:v>
      </x:c>
      <x:c r="C61" s="78" t="str">
        <x:v>P2.2 third-slice definition acceptance</x:v>
      </x:c>
      <x:c r="D61" s="78" t="str">
        <x:v>The user explicitly accepted all three main drawing metadata register authority definition decisions on 2026-07-17 and instructed the project to continue to the next work block. The accepted branch head is b9b9c09, draft PR #32 is mergeable, and both GitHub CI checks pass.</x:v>
      </x:c>
      <x:c r="E61" s="78" t="str">
        <x:v>User decision / Git / CI / Project control</x:v>
      </x:c>
      <x:c r="F61" s="78" t="str">
        <x:v>User acceptance 2026-07-17; b9b9c09; draft PR #32; codex/p2.2-drawing-metadata-orphan-definition; D-061</x:v>
      </x:c>
      <x:c r="G61" s="78" t="str">
        <x:v>Third P2.2 directional missing-authority definition acceptance</x:v>
      </x:c>
      <x:c r="H61" s="78" t="str">
        <x:v>Accepted</x:v>
      </x:c>
      <x:c r="I61" s="78" t="str">
        <x:v>Acceptance covers missing_authoritative_information routing, narrow AUTH-DWG-001 current-revision authority, row-1 header-anchored register collection evidence, and the reviewed acceptance tests. PR #32 integration and exact merged-tree verification remain required. No executable third check, other relationship, routing, report, CLI, semantic held-out execution, protected-asset change, or deferred capability is yet authorized.</x:v>
      </x:c>
    </x:row>
    <x:row r="62" ht="270" customHeight="1">
      <x:c r="A62" s="78" t="str">
        <x:v>EV-059</x:v>
      </x:c>
      <x:c r="B62" s="78" t="n">
        <x:v>46220</x:v>
      </x:c>
      <x:c r="C62" s="78" t="str">
        <x:v>P2.2 third-slice definition integration</x:v>
      </x:c>
      <x:c r="D62" s="78" t="str">
        <x:v>PR #32 merged the accepted drawing_metadata_register_authority v0.3.0 definition and acceptance record to main at 6d1f2f2 on 2026-07-17. The merged PR head was 9eded29, both final GitHub CI checks passed, local main fast-forwarded to the exact merge commit, and local HEAD matched origin/main with a clean tree.</x:v>
      </x:c>
      <x:c r="E62" s="78" t="str">
        <x:v>Git / CI / Tests / Project control</x:v>
      </x:c>
      <x:c r="F62" s="78" t="str">
        <x:v>PR #32; head 9eded29; merge commit 6d1f2f2; main; D-062</x:v>
      </x:c>
      <x:c r="G62" s="78" t="str">
        <x:v>Third P2.2 directional missing-authority definition integration</x:v>
      </x:c>
      <x:c r="H62" s="78" t="str">
        <x:v>Accepted</x:v>
      </x:c>
      <x:c r="I62" s="78" t="str">
        <x:v>Exact merged-tree verification: focused package models, gates, and relationships 35 passed; full frozen regression 206 passed and 1 expected Windows symlink skip; repository validation 5/5; Ruff passed; coverage 84.93%. No executable third check, accepted fixture, golden, held-out content, schema, authority map, or historical evidence changed.</x:v>
      </x:c>
    </x:row>
    <x:row r="63" ht="324" customHeight="1">
      <x:c r="A63" s="78" t="str">
        <x:v>EV-060</x:v>
      </x:c>
      <x:c r="B63" s="78" t="n">
        <x:v>46220</x:v>
      </x:c>
      <x:c r="C63" s="78" t="str">
        <x:v>P2.2 third-slice implementation</x:v>
      </x:c>
      <x:c r="D63" s="78" t="str">
        <x:v>Commit 8eb431d implements drawing_metadata_register_authority v0.3.0 as the third stable relationship check. The clean package passes. Removing DOC-DWG-001 from a temporary register leaves all eight P2.1 gates and both earlier P2.2 checks passing, then emits exactly one DRAWING_REGISTER_AUTHORITY_MISSING result for DOC-DWG-001 / DWG-PSK-1001 with missing_authoritative_information, high severity, release_hold true, AUTH-DWG-001, document_control ownership, the exact metadata locator, and searched register membership anchored to row 1. Empty-register and reordered-source tests prove sorted, repeatable findings and normalized evidence. Draft PR #33 is open with both GitHub CI runs green.</x:v>
      </x:c>
      <x:c r="E63" s="78" t="str">
        <x:v>Source / Tests / Project control</x:v>
      </x:c>
      <x:c r="F63" s="78" t="str">
        <x:v>commit 8eb431d; draft PR #33; two green GitHub CI runs; codex/p2.2-drawing-metadata-register-authority-implementation; src/mech_eval_harness/package_assurance/{relationships.py,__init__.py}; tests/test_package_relationships.py; D-063</x:v>
      </x:c>
      <x:c r="G63" s="78" t="str">
        <x:v>Third P2.2 directional missing-authority implementation</x:v>
      </x:c>
      <x:c r="H63" s="78" t="str">
        <x:v>Ready for acceptance</x:v>
      </x:c>
      <x:c r="I63" s="78" t="str">
        <x:v>Relationship tests: 14 passed. Focused package models, gates, and relationships: 40 passed. Full frozen regression: 211 passed, 1 expected Windows symlink skip. Repository validation: 5/5. Ruff: passed. Coverage: 85.18%. Accepted fixtures, goldens, held-out assets, schemas, authority maps, and historical evidence were unchanged. No package-state routing, report, CLI, semantic held-out execution, or deferred capability was added.</x:v>
      </x:c>
    </x:row>
    <x:row r="64" ht="315" customHeight="1">
      <x:c r="A64" s="78" t="str">
        <x:v>EV-061</x:v>
      </x:c>
      <x:c r="B64" s="78" t="n">
        <x:v>46220</x:v>
      </x:c>
      <x:c r="C64" s="78" t="str">
        <x:v>P2.2 third-slice implementation acceptance</x:v>
      </x:c>
      <x:c r="D64" s="78" t="str">
        <x:v>The user explicitly accepted drawing_metadata_register_authority v0.3.0 implementation changes on 2026-07-17 and instructed the project to continue to the next work block. The accepted implementation is 8eb431d; branch head 3663a68 includes reviewed control evidence; draft PR #33 is mergeable; and both final GitHub CI checks pass.</x:v>
      </x:c>
      <x:c r="E64" s="78" t="str">
        <x:v>User decision / Git / CI / Project control</x:v>
      </x:c>
      <x:c r="F64" s="78" t="str">
        <x:v>User acceptance 2026-07-17; implementation 8eb431d; head 3663a68; draft PR #33; codex/p2.2-drawing-metadata-register-authority-implementation; D-064</x:v>
      </x:c>
      <x:c r="G64" s="78" t="str">
        <x:v>Third P2.2 directional missing-authority implementation acceptance</x:v>
      </x:c>
      <x:c r="H64" s="78" t="str">
        <x:v>Accepted</x:v>
      </x:c>
      <x:c r="I64" s="78" t="str">
        <x:v>Acceptance is limited to the reviewed third check and its exact evidence. PR #33 integration and exact merged-tree verification remain required. Only a subsequent definition block for the next bounded P2.2 relationship gap is authorized after integration; no additional executable relationship, routing, report, CLI, semantic held-out execution, protected-asset change, or deferred capability is authorized.</x:v>
      </x:c>
    </x:row>
    <x:row r="65" ht="279" customHeight="1">
      <x:c r="A65" s="78" t="str">
        <x:v>EV-062</x:v>
      </x:c>
      <x:c r="B65" s="78" t="n">
        <x:v>46220</x:v>
      </x:c>
      <x:c r="C65" s="78" t="str">
        <x:v>P2.2 third-slice main integration</x:v>
      </x:c>
      <x:c r="D65" s="78" t="str">
        <x:v>PR #33 merged the accepted drawing_metadata_register_authority v0.3.0 implementation and acceptance record to main at 8d7f314 on 2026-07-17. The merged PR head was 4067334, both final GitHub CI checks passed, local main fast-forwarded to the exact merge commit, and local HEAD matched origin/main with a clean tree.</x:v>
      </x:c>
      <x:c r="E65" s="78" t="str">
        <x:v>Git / CI / Tests / Project control</x:v>
      </x:c>
      <x:c r="F65" s="78" t="str">
        <x:v>PR #33; implementation 8eb431d; head 4067334; merge commit 8d7f314; main; D-065</x:v>
      </x:c>
      <x:c r="G65" s="78" t="str">
        <x:v>Third P2.2 directional missing-authority integration</x:v>
      </x:c>
      <x:c r="H65" s="78" t="str">
        <x:v>Accepted</x:v>
      </x:c>
      <x:c r="I65" s="78" t="str">
        <x:v>Exact merged-tree verification: focused package models, gates, and relationships 40 passed; full frozen regression 211 passed and 1 expected Windows symlink skip; repository validation 5/5; Ruff passed; coverage 85.37%. No protected accepted fixture, golden, held-out content, schema, authority map, or historical evidence changed.</x:v>
      </x:c>
    </x:row>
    <x:row r="66" ht="360" customHeight="1">
      <x:c r="A66" s="78" t="str">
        <x:v>EV-063</x:v>
      </x:c>
      <x:c r="B66" s="78" t="n">
        <x:v>46220</x:v>
      </x:c>
      <x:c r="C66" s="78" t="str">
        <x:v>P2.2 fourth-slice definition review</x:v>
      </x:c>
      <x:c r="D66" s="78" t="str">
        <x:v>The proposed drawing_register_metadata_file_reference v0.3.0 definition was reviewed against the workflow contract, exact authority rule AUTH-DWG-002, accepted authority-map example and development package authority map, P2.1 gate boundary, loaded manifest and source layouts, current EvidenceLocator serialization, and all three integrated P2.2 checks. A temporary development-package copy changed only DWMETA-001.file_ref_id from FILE-DWG-001 to existing FILE-DWG-002. All eight P2.1 gates and all three current relationship checks passed. Both references resolved inside the package to different controlled drawing paths. Definition commit d46d56f is published on mergeable draft PR #34 and both initial GitHub CI runs pass.</x:v>
      </x:c>
      <x:c r="E66" s="78" t="str">
        <x:v>Documentation / Contract review / Source inspection / Temporary probe / Project control</x:v>
      </x:c>
      <x:c r="F66" s="78" t="str">
        <x:v>definition commit d46d56f; draft PR #34; two green initial GitHub CI runs; docs/package_assurance/p2_2_drawing_file_reference_definition_v0.3.0.md; docs/package_assurance/{workflow_contract_v0.3.0.md,authority_map_example_v0.3.0.json}; development authority map, drawing_register.csv, drawing_metadata.json, package_manifest.json; src/mech_eval_harness/package_assurance/{models.py,relationships.py,gates.py}; D-066; IMP-010</x:v>
      </x:c>
      <x:c r="G66" s="78" t="str">
        <x:v>Fourth P2.2 drawing file-reference agreement definition</x:v>
      </x:c>
      <x:c r="H66" s="78" t="str">
        <x:v>Ready for acceptance</x:v>
      </x:c>
      <x:c r="I66" s="78" t="str">
        <x:v>The definition freezes ten review decisions, exact check and finding IDs, AUTH-DWG-002 conflict routing, stable selection and identity, four-locator evidence, fourth-check ordering, temporary-copy tests, downstream handoff, module boundary, and explicit exclusions. It records that shared undeclared references and full manifest reciprocity remain separate gaps. No Python behavior, accepted fixture, schema, authority rule, golden, held-out asset, or historical evidence changed.</x:v>
      </x:c>
    </x:row>
    <x:row r="67" ht="333" customHeight="1">
      <x:c r="A67" s="78" t="str">
        <x:v>EV-064</x:v>
      </x:c>
      <x:c r="B67" s="78" t="n">
        <x:v>46220</x:v>
      </x:c>
      <x:c r="C67" s="78" t="str">
        <x:v>P2.2 fourth-slice definition acceptance</x:v>
      </x:c>
      <x:c r="D67" s="78" t="str">
        <x:v>The user explicitly accepted the complete drawing_register_metadata_file_reference v0.3.0 definition on 2026-07-17 and instructed the project to continue. Acceptance covers the exact AUTH-DWG-002 conflict classification, four-locator evidence, stable order and identity, acceptance tests, module boundary, and explicit exclusions. Definition commit d46d56f is on draft PR #34 at reviewed head c15d42c; the PR is mergeable and both final pre-acceptance CI checks pass.</x:v>
      </x:c>
      <x:c r="E67" s="78" t="str">
        <x:v>User decision / Git / CI / Project control</x:v>
      </x:c>
      <x:c r="F67" s="78" t="str">
        <x:v>User acceptance 2026-07-17; definition d46d56f; head c15d42c; draft PR #34; two green GitHub CI runs; D-067</x:v>
      </x:c>
      <x:c r="G67" s="78" t="str">
        <x:v>Fourth P2.2 drawing file-reference agreement definition acceptance</x:v>
      </x:c>
      <x:c r="H67" s="78" t="str">
        <x:v>Accepted</x:v>
      </x:c>
      <x:c r="I67" s="78" t="str">
        <x:v>PR #34 integration and exact merged-tree verification remain required before implementation. Authorization is limited to the accepted fourth check. Shared undeclared references, manifest reciprocity, additional relationships, package-state routing, reports, CLI, semantic held-out execution, protected-asset changes, and deferred capabilities remain blocked.</x:v>
      </x:c>
    </x:row>
    <x:row r="68" ht="306" customHeight="1">
      <x:c r="A68" s="78" t="str">
        <x:v>EV-065</x:v>
      </x:c>
      <x:c r="B68" s="78" t="n">
        <x:v>46220</x:v>
      </x:c>
      <x:c r="C68" s="78" t="str">
        <x:v>P2.2 fourth-slice definition integration</x:v>
      </x:c>
      <x:c r="D68" s="78" t="str">
        <x:v>PR #34 merged the accepted drawing_register_metadata_file_reference v0.3.0 definition and acceptance record to main at 12c45dd on 2026-07-17. The merged PR head was 15080d5, both final GitHub CI checks passed, local main fast-forwarded to the exact merge commit, and local HEAD matched origin/main with a clean tree before the implementation branch was created.</x:v>
      </x:c>
      <x:c r="E68" s="78" t="str">
        <x:v>Git / CI / Tests / Project control</x:v>
      </x:c>
      <x:c r="F68" s="78" t="str">
        <x:v>PR #34; definition d46d56f; accepted head 15080d5; merge commit 12c45dd; main; D-068</x:v>
      </x:c>
      <x:c r="G68" s="78" t="str">
        <x:v>Fourth P2.2 drawing file-reference definition integration</x:v>
      </x:c>
      <x:c r="H68" s="78" t="str">
        <x:v>Accepted</x:v>
      </x:c>
      <x:c r="I68" s="78" t="str">
        <x:v>Exact merged-tree verification: focused package models, gates, and relationships 40 passed; full frozen regression 211 passed and 1 expected Windows symlink skip; repository validation 5/5; Ruff passed; coverage 85.37%. No executable fourth check, accepted fixture, golden, held-out content, schema, authority map, or historical evidence changed on the integration baseline.</x:v>
      </x:c>
    </x:row>
    <x:row r="69" ht="387" customHeight="1">
      <x:c r="A69" s="78" t="str">
        <x:v>EV-066</x:v>
      </x:c>
      <x:c r="B69" s="78" t="n">
        <x:v>46220</x:v>
      </x:c>
      <x:c r="C69" s="78" t="str">
        <x:v>P2.2 fourth-slice implementation</x:v>
      </x:c>
      <x:c r="D69" s="78" t="str">
        <x:v>Commit 74970c3 implements drawing_register_metadata_file_reference v0.3.0 as the fourth ordered relationship check. The clean package compares both exact drawing pairs and passes with deterministic source-field and manifest-resolution evidence. Changing only DWMETA-001.file_ref_id from FILE-DWG-001 to existing FILE-DWG-002 in a temporary copy leaves all eight P2.1 gates and the first three P2.2 checks passing, then emits exactly one DRAWING_FILE_REFERENCE_MISMATCH automatic-fail high-severity release hold with AUTH-DWG-002, document_control ownership, four exact locators, and no absolute path. Swapped references emit two sorted findings; repeated and reordered runs preserve substantive IDs and normalized evidence; a renamed authority rule skips only the dependent fourth check.</x:v>
      </x:c>
      <x:c r="E69" s="78" t="str">
        <x:v>Source / Tests / CI / Project control</x:v>
      </x:c>
      <x:c r="F69" s="78" t="str">
        <x:v>implementation commit 74970c3; draft PR #35; two green GitHub CI checks; codex/p2.2-drawing-file-reference-implementation; src/mech_eval_harness/package_assurance/{relationships.py,__init__.py}; tests/test_package_relationships.py; D-069; IMP-010-IMP-011</x:v>
      </x:c>
      <x:c r="G69" s="78" t="str">
        <x:v>Fourth P2.2 drawing file-reference agreement implementation</x:v>
      </x:c>
      <x:c r="H69" s="78" t="str">
        <x:v>Accepted</x:v>
      </x:c>
      <x:c r="I69" s="78" t="str">
        <x:v>Relationship tests: 19 passed. Focused package models, gates, and relationships: 45 passed. Full frozen regression: 216 passed, 1 expected Windows symlink skip. Repository validation: 5/5. Ruff: passed. Coverage: 85.47%. GitHub CI passed; D-070 accepted the implementation and D-071 closed integration at exact main e5db29e. Accepted fixtures, goldens, held-out assets, schemas, authority maps, and historical evidence are unchanged. No undeclared-reference control, manifest reciprocity, package-state routing, report, CLI, semantic held-out execution, or deferred capability was added.</x:v>
      </x:c>
    </x:row>
    <x:row r="70" ht="342" customHeight="1">
      <x:c r="A70" s="78" t="str">
        <x:v>EV-067</x:v>
      </x:c>
      <x:c r="B70" s="78" t="n">
        <x:v>46222</x:v>
      </x:c>
      <x:c r="C70" s="78" t="str">
        <x:v>P2.2 fourth-slice implementation acceptance</x:v>
      </x:c>
      <x:c r="D70" s="78" t="str">
        <x:v>The user explicitly accepted all drawing_register_metadata_file_reference v0.3.0 implementation and evidence changes on 2026-07-19 and authorized commit, push, acceptance, and integration. The accepted behavior is implementation commit 74970c3; evidence commit cce416e records the local review package; draft PR #35 was clean, mergeable, and had two successful pre-acceptance GitHub CI checks.</x:v>
      </x:c>
      <x:c r="E70" s="78" t="str">
        <x:v>User decision / Git / CI / Project control</x:v>
      </x:c>
      <x:c r="F70" s="78" t="str">
        <x:v>User acceptance 2026-07-19; implementation 74970c3; evidence cce416e; draft PR #35; two green GitHub CI checks; codex/p2.2-drawing-file-reference-implementation; D-070</x:v>
      </x:c>
      <x:c r="G70" s="78" t="str">
        <x:v>Fourth P2.2 drawing file-reference agreement implementation acceptance</x:v>
      </x:c>
      <x:c r="H70" s="78" t="str">
        <x:v>Accepted</x:v>
      </x:c>
      <x:c r="I70" s="78" t="str">
        <x:v>Acceptance covers only the reviewed exact-pair AUTH-DWG-002 check, finding classification, four-locator evidence, stable identity/order, prerequisite behavior, exact authority requirement, tests, and preserved boundaries. PR #35 integration and exact merged-tree verification remain required. No undeclared-reference control, manifest reciprocity, other relationship, package-state router, report, CLI behavior, semantic held-out execution, or deferred capability is authorized.</x:v>
      </x:c>
    </x:row>
    <x:row r="71" ht="360" customHeight="1">
      <x:c r="A71" s="78" t="str">
        <x:v>EV-068</x:v>
      </x:c>
      <x:c r="B71" s="78" t="n">
        <x:v>46222</x:v>
      </x:c>
      <x:c r="C71" s="78" t="str">
        <x:v>P2.2 fourth-slice integration closeout</x:v>
      </x:c>
      <x:c r="D71" s="78" t="str">
        <x:v>PR #35 integrated the accepted drawing_register_metadata_file_reference v0.3.0 implementation and evidence to main at e5db29e on 2026-07-19. The accepted PR head was 5d02872, GitHub recorded the PR as merged, local HEAD exactly matched origin/main, and the working tree was clean before the control-only closeout branch was created.</x:v>
      </x:c>
      <x:c r="E71" s="78" t="str">
        <x:v>Git / CI / Tests / Project control</x:v>
      </x:c>
      <x:c r="F71" s="78" t="str">
        <x:v>PR #35; implementation 74970c3; evidence cce416e; accepted head 5d02872; merge commit e5db29e; main; D-071</x:v>
      </x:c>
      <x:c r="G71" s="78" t="str">
        <x:v>Fourth P2.2 drawing file-reference implementation integration</x:v>
      </x:c>
      <x:c r="H71" s="78" t="str">
        <x:v>Accepted</x:v>
      </x:c>
      <x:c r="I71" s="78" t="str">
        <x:v>Exact merged-tree verification: relationship tests 19 passed; focused package models, gates, and relationships 45 passed; full frozen regression 216 passed and 1 expected Windows symlink skip; repository validation 5/5; Ruff passed; coverage 85.47%. Final GitHub CI reported 2/2 checks successful. The PR diff changed only the reviewed relationship source/exports/tests, current control documents, Gantt, and improvement register. Accepted fixtures, schemas, authority maps, goldens, held-out assets, release evidence, and historical records were unchanged.</x:v>
      </x:c>
    </x:row>
    <x:row r="72" ht="378" customHeight="1">
      <x:c r="A72" s="431" t="str">
        <x:v>EV-069</x:v>
      </x:c>
      <x:c r="B72" s="431" t="n">
        <x:v>46222</x:v>
      </x:c>
      <x:c r="C72" s="431" t="str">
        <x:v>First usable package-audit vertical-slice definition review package</x:v>
      </x:c>
      <x:c r="D72" s="431" t="str">
        <x:v>Architecture and management review traced the controlling Gantt, accepted workflow and acceptance contracts, eight P2.1 gates, four P2.2 checks, current intermediate result models, frozen v0.2 persistence and CLI, authority map, and clean development manifest. The review confirms that the current sequence delays all useful outputs behind broad rule expansion; identifies drawing-to-manifest reciprocity as the smallest remaining declaration gap; reuses existing AUTH-DWG-002 without changing protected authority maps; freezes state, completeness, output, failure, reproducibility, and CLI boundaries; and records the final-finding interface clarification required for an honest issue register.</x:v>
      </x:c>
      <x:c r="E72" s="431" t="str">
        <x:v>Architecture / Contract / Source / Project control</x:v>
      </x:c>
      <x:c r="F72" s="431" t="str">
        <x:v>docs/package_assurance/first_usable_audit_vertical_slice_definition_v0.3.0.md; main a18fc5f; codex/first-usable-audit-definition; gantt Start Here/AI Context/Pilot Gantt; workflow_contract_v0.3.0.md; acceptance_plan_v0.3.0.md; authority_map_example_v0.3.0.json; models.py; gates.py; relationships.py; persistence.py; cli.py; development package_manifest.json; D-072; IMP-012</x:v>
      </x:c>
      <x:c r="G72" s="431" t="str">
        <x:v>First usable audit definition and resequencing review</x:v>
      </x:c>
      <x:c r="H72" s="431" t="str">
        <x:v>Ready for review</x:v>
      </x:c>
      <x:c r="I72" s="431" t="str">
        <x:v>No executable behavior, schema, fixture, authority map, expected result, golden, held-out content, historical evidence, or accepted predecessor changed. Explicit user acceptance is required before implementation. GitHub CLI authentication is not part of product evidence and remains a publication dependency only.</x:v>
      </x:c>
    </x:row>
    <x:row r="73">
      <x:c r="A73" s="78" t="str">
        <x:v>EV-070</x:v>
      </x:c>
      <x:c r="B73" s="78" t="n">
        <x:v>46222</x:v>
      </x:c>
      <x:c r="C73" s="78" t="str">
        <x:v>First usable package-audit definition acceptance</x:v>
      </x:c>
      <x:c r="D73" s="78" t="str">
        <x:v>The user instructed the project to retry GitHub publication and begin the next step on 2026-07-19. All ten decisions in the reviewed vertical-slice definition are accepted. Acceptance authorizes the fifth P2.2 drawing-register-to-manifest reciprocity check on its own branch, followed only through separate review gates by P2.4 result core, P3 report views, P3 CLI integration, and broad P2.3 expansion before P4.</x:v>
      </x:c>
      <x:c r="E73" s="78" t="str">
        <x:v>User decision / Git / Project control</x:v>
      </x:c>
      <x:c r="F73" s="78" t="str">
        <x:v>User instruction 2026-07-19; draft PR #36; definition commit 58ebff7; codex/first-usable-audit-definition; D-072-D-073; EV-069; IMP-012</x:v>
      </x:c>
      <x:c r="G73" s="78" t="str">
        <x:v>First usable audit definition and resequencing acceptance</x:v>
      </x:c>
      <x:c r="H73" s="78" t="str">
        <x:v>Accepted</x:v>
      </x:c>
      <x:c r="I73" s="78" t="str">
        <x:v>No executable behavior, schema, accepted fixture, authority map, expected result, golden, held-out content, historical evidence, or v0.2 asset changed in the definition block. Authorization is limited to drawing_register_manifest_file_reciprocity v0.3.0. Each later implementation block retains its own review and integration gate.</x:v>
      </x:c>
    </x:row>
    <x:row r="74" ht="387" customHeight="1">
      <x:c r="A74" s="431" t="str">
        <x:v>EV-071</x:v>
      </x:c>
      <x:c r="B74" s="431" t="n">
        <x:v>46222</x:v>
      </x:c>
      <x:c r="C74" s="431" t="str">
        <x:v>P2.2 drawing-register-to-manifest reciprocity implementation</x:v>
      </x:c>
      <x:c r="D74" s="431" t="str">
        <x:v>Commit 4f06352 appends drawing_register_manifest_file_reciprocity v0.3.0 as the fifth stable relationship check. The clean development package passes with exact register, inventory, resolved-file, and required-relationship evidence. Temporary copies prove one missing mapping, a wrong-but-valid inventory and relationship target, an added conflicting required mapping, a shared undeclared register/metadata file reference, two sorted missing mappings, stable repeated output, exact AUTH-DWG-002 prerequisite behavior, and no absolute evidence path. Each failed authoritative drawing emits one deterministic DRAWING_DOCUMENT_FILE_RECIPROCITY_FAILED automatic-fail high-severity release hold owned by document_control.</x:v>
      </x:c>
      <x:c r="E74" s="431" t="str">
        <x:v>Source / Tests / Project control</x:v>
      </x:c>
      <x:c r="F74" s="431" t="str">
        <x:v>implementation 4f06352; codex/p2.2-drawing-register-manifest-reciprocity-implementation; accepted definition 0b9fc2e / PR #36; relationships.py; package_assurance/__init__.py; tests/test_package_relationships.py; D-074; IMP-012</x:v>
      </x:c>
      <x:c r="G74" s="431" t="str">
        <x:v>Fifth P2.2 drawing-manifest reciprocity implementation</x:v>
      </x:c>
      <x:c r="H74" s="431" t="str">
        <x:v>Ready for review</x:v>
      </x:c>
      <x:c r="I74" s="431" t="str">
        <x:v>Relationship tests: 25 passed. Focused package models, gates, and relationships: 51 passed. Full frozen regression: 222 passed, 1 expected Windows symlink skip. Repository validation: 5/5. Ruff: passed. Coverage: 85.64%. Accepted fixtures, schemas, authority maps, expected results, goldens, held-out assets, historical evidence, and v0.2 behavior are unchanged. No package-state router, report, CLI, semantic held-out execution, P2.3 expansion, or deferred capability was added. Explicit acceptance and integration remain required before P2.4.</x:v>
      </x:c>
    </x:row>
    <x:row r="75" ht="297" customHeight="1">
      <x:c r="A75" s="431" t="str">
        <x:v>EV-072</x:v>
      </x:c>
      <x:c r="B75" s="431" t="n">
        <x:v>46222</x:v>
      </x:c>
      <x:c r="C75" s="431" t="str">
        <x:v>P2.2 reciprocity acceptance and merge authorization</x:v>
      </x:c>
      <x:c r="D75" s="431" t="str">
        <x:v>The user explicitly accepted the fifth-check work and instructed the project to merge and continue. PR #36 and PR #37 were open, mergeable, and green before integration. The accepted implementation is 4f06352 with control evidence 96219f4.</x:v>
      </x:c>
      <x:c r="E75" s="431" t="str">
        <x:v>User decision / Git / CI / Project control</x:v>
      </x:c>
      <x:c r="F75" s="431" t="str">
        <x:v>User instruction 2026-07-19; PRs #36-#37; implementation 4f06352; evidence 96219f4; D-075</x:v>
      </x:c>
      <x:c r="G75" s="431" t="str">
        <x:v>P2.2 fifth drawing-manifest reciprocity acceptance</x:v>
      </x:c>
      <x:c r="H75" s="431" t="str">
        <x:v>Accepted</x:v>
      </x:c>
      <x:c r="I75" s="431" t="str">
        <x:v>Acceptance covers only the reviewed fifth check and its evidence. Integration and exact merged-tree verification were required before P2.4. No report, CLI, P2.3, held-out semantic, protected-asset, or deferred capability authorization was implied.</x:v>
      </x:c>
    </x:row>
    <x:row r="76" ht="342" customHeight="1">
      <x:c r="A76" s="78" t="str">
        <x:v>EV-073</x:v>
      </x:c>
      <x:c r="B76" s="78" t="n">
        <x:v>46222</x:v>
      </x:c>
      <x:c r="C76" s="78" t="str">
        <x:v>P2.2 reciprocity exact-main integration closeout</x:v>
      </x:c>
      <x:c r="D76" s="78" t="str">
        <x:v>PR #36 merged the accepted first-usable-audit definition at 5b32b6d. PR #37 was retargeted to main and merged the accepted fifth-check implementation at exact main 5571d2a. Local main exactly matched origin/main and the working tree was clean before the closeout branch was created.</x:v>
      </x:c>
      <x:c r="E76" s="78" t="str">
        <x:v>Git / CI / Tests / Project control</x:v>
      </x:c>
      <x:c r="F76" s="78" t="str">
        <x:v>PR #36 5b32b6d; PR #37 5571d2a; implementation 4f06352; evidence 96219f4; main; D-076</x:v>
      </x:c>
      <x:c r="G76" s="78" t="str">
        <x:v>P2.2 fifth drawing-manifest reciprocity integration</x:v>
      </x:c>
      <x:c r="H76" s="78" t="str">
        <x:v>Accepted</x:v>
      </x:c>
      <x:c r="I76" s="78" t="str">
        <x:v>Exact merged-tree verification: relationship tests 25 passed; focused package tests 51 passed; full regression 222 passed with 1 expected Windows symlink skip; repository validation 5/5; Ruff passed; coverage 85.64%; GitHub CI green. A first full-suite attempt under an overlong Windows temp path failed to create nested baseline output and passed unchanged from the shorter ignored scratch path. Protected assets and v0.2 behavior were unchanged.</x:v>
      </x:c>
    </x:row>
    <x:row r="77" ht="369" customHeight="1">
      <x:c r="A77" s="78" t="str">
        <x:v>EV-074</x:v>
      </x:c>
      <x:c r="B77" s="78" t="n">
        <x:v>46222</x:v>
      </x:c>
      <x:c r="C77" s="78" t="str">
        <x:v>P2.4 minimum package-result core implementation</x:v>
      </x:c>
      <x:c r="D77" s="78" t="str">
        <x:v>Commit cbcfc2b builds one deterministic package result from the accepted eight gates and five relationship checks. Completeness rejects missing, duplicate, reordered, and unexplained skipped results. Gate and relationship findings become one canonical list with exact authority or governing-control references. The router retains every observed blocking state in accepted precedence order. The input fingerprint includes sorted declared source and controlled file paths with raw-byte digests and excludes expected, output, and undeclared files. A separate v0.3.0 schema validates clean, controlled-failure, and incomplete-evaluator results before no-overwrite persistence.</x:v>
      </x:c>
      <x:c r="E77" s="78" t="str">
        <x:v>Source / Schema / Tests / Generated result / Project control</x:v>
      </x:c>
      <x:c r="F77" s="78" t="str">
        <x:v>implementation cbcfc2b; codex/p2.4-result-core; predecessor 1e7da37; schemas/package_result.schema.json; src/mech_eval_harness/package_assurance/{result_core.py,persistence.py}; tests/test_package_result_{core,persistence}.py; D-077; IMP-012</x:v>
      </x:c>
      <x:c r="G77" s="78" t="str">
        <x:v>P2.4 required-result completeness, state routing, canonical result, and immutable persistence</x:v>
      </x:c>
      <x:c r="H77" s="78" t="str">
        <x:v>Ready for review</x:v>
      </x:c>
      <x:c r="I77" s="78" t="str">
        <x:v>Focused result tests: 15 passed. Full frozen regression: 237 passed with 1 expected Windows symlink skip. Repository validation: 5/5. Ruff: passed. Coverage: 86.10%. Generated clean and controlled-incomplete package_result.json files were inspected under ignored scratch output. The frozen v0.2 schema and persistence path, accepted fixtures, authority maps, goldens, held-out assets, and historical evidence are unchanged. Reports, CLI, P2.3, semantic held-out execution, and deferred capabilities were not added.</x:v>
      </x:c>
    </x:row>
    <x:row r="78" ht="324" customHeight="1">
      <x:c r="A78" s="78" t="str">
        <x:v>EV-075</x:v>
      </x:c>
      <x:c r="B78" s="78" t="n">
        <x:v>46222</x:v>
      </x:c>
      <x:c r="C78" s="78" t="str">
        <x:v>P2.4 acceptance and exact-main integration closeout</x:v>
      </x:c>
      <x:c r="D78" s="78" t="str">
        <x:v>The user accepted P2.4 and authorized merge and continuation. PR #39 merged implementation cbcfc2b and review evidence 9caef2b at exact main cd9b52e. Local main exactly matched origin/main and was clean before the closeout branch was created.</x:v>
      </x:c>
      <x:c r="E78" s="78" t="str">
        <x:v>User decision / Git / CI / Tests / Project control</x:v>
      </x:c>
      <x:c r="F78" s="78" t="str">
        <x:v>User instruction 2026-07-19; PR #39; implementation cbcfc2b; review evidence 9caef2b; exact main cd9b52e; D-078; IMP-012</x:v>
      </x:c>
      <x:c r="G78" s="78" t="str">
        <x:v>P2.4 package-result core acceptance and integration</x:v>
      </x:c>
      <x:c r="H78" s="78" t="str">
        <x:v>Accepted</x:v>
      </x:c>
      <x:c r="I78" s="78" t="str">
        <x:v>Exact merged-tree verification: 15 focused result tests passed; full frozen regression 237 passed with 1 expected Windows symlink skip; repository validation 5/5; Ruff passed; coverage 86.10%; GitHub CI 2/2 green. The frozen v0.2 schema and persistence path, accepted fixtures, authority maps, goldens, held-out assets, and historical evidence remain unchanged. P3.1 only is authorized next.</x:v>
      </x:c>
    </x:row>
    <x:row r="79" ht="378" customHeight="1">
      <x:c r="A79" s="431" t="str">
        <x:v>EV-076</x:v>
      </x:c>
      <x:c r="B79" s="431" t="n">
        <x:v>46222</x:v>
      </x:c>
      <x:c r="C79" s="431" t="str">
        <x:v>P3.1 deterministic issue-register implementation</x:v>
      </x:c>
      <x:c r="D79" s="431" t="str">
        <x:v>Commit 2f93335 loads one strict schema-valid package_result.json and prepares deterministic CSV and Markdown views from its existing canonical findings. CSV evidence, affected identifiers, and expected/actual values remain parseable JSON. Markdown retains package/run identity, exact finding facts, and the engineering-review limitation. Clean output has one CSV header and zero rows. Rendering neither reruns evaluator logic nor writes report files.</x:v>
      </x:c>
      <x:c r="E79" s="431" t="str">
        <x:v>Source / Tests / Generated report / Project control</x:v>
      </x:c>
      <x:c r="F79" s="431" t="str">
        <x:v>implementation 2f93335; src/mech_eval_harness/package_assurance/issue_register.py; tests/test_package_issue_register.py; first usable audit definition; D-079; IMP-012</x:v>
      </x:c>
      <x:c r="G79" s="431" t="str">
        <x:v>P3.1 CSV and Markdown issue-register views</x:v>
      </x:c>
      <x:c r="H79" s="431" t="str">
        <x:v>Ready for review</x:v>
      </x:c>
      <x:c r="I79" s="431" t="str">
        <x:v>Renderer tests: 11 passed. Focused package-result/report tests: 26 passed. Full frozen regression: 248 passed with 1 expected Windows symlink skip. Repository validation: 5/5. Ruff: passed. Coverage: 86.49%; renderer module 99%. A generated drawing-revision conflict was inspected and round-tripped machine-readable evidence with package-relative paths and no approval language. The initial focused invocation could not create the sandboxed user-temp pytest directory; the unchanged tests passed using an ignored workspace basetemp. No result schema, gate/check behavior, fixture, authority map, golden, held-out asset, v0.2 behavior, or historical evidence changed.</x:v>
      </x:c>
    </x:row>
    <x:row r="80" ht="333" customHeight="1">
      <x:c r="A80" s="431" t="str">
        <x:v>EV-077</x:v>
      </x:c>
      <x:c r="B80" s="431" t="n">
        <x:v>46222</x:v>
      </x:c>
      <x:c r="C80" s="431" t="str">
        <x:v>P3.1 acceptance and exact-main integration closeout</x:v>
      </x:c>
      <x:c r="D80" s="431" t="str">
        <x:v>The user accepted P3.1 and authorized merge. The exact reviewed branch, containing implementation 2f93335 and review evidence 8f66b12, was fast-forwarded to main at 8f66b12. Local main exactly matched origin/main and was clean before the closeout branch was created.</x:v>
      </x:c>
      <x:c r="E80" s="431" t="str">
        <x:v>User decision / Git / Tests / Project control</x:v>
      </x:c>
      <x:c r="F80" s="431" t="str">
        <x:v>User instruction 2026-07-19; implementation 2f93335; review evidence 8f66b12; exact main 8f66b12; D-080; IMP-012</x:v>
      </x:c>
      <x:c r="G80" s="431" t="str">
        <x:v>P3.1 issue-register acceptance and integration</x:v>
      </x:c>
      <x:c r="H80" s="431" t="str">
        <x:v>Accepted</x:v>
      </x:c>
      <x:c r="I80" s="431" t="str">
        <x:v>Exact merged-tree verification: 26 focused package-result/report tests passed; full frozen regression 248 passed with 1 expected Windows symlink skip; repository validation 5/5; Ruff passed; coverage 86.49%. The accepted package-result schema, gate/check behavior, fixtures, authority map, goldens, held-out assets, frozen v0.2 behavior, and historical evidence remain unchanged. P3.2 summary rendering only is authorized next.</x:v>
      </x:c>
    </x:row>
    <x:row r="81" ht="351" customHeight="1">
      <x:c r="A81" s="431" t="str">
        <x:v>EV-078</x:v>
      </x:c>
      <x:c r="B81" s="431" t="n">
        <x:v>46222</x:v>
      </x:c>
      <x:c r="C81" s="431" t="str">
        <x:v>P3.2 deterministic non-approving release-readiness implementation</x:v>
      </x:c>
      <x:c r="D81" s="431" t="str">
        <x:v>Implementation 7536bea shares strict package-result loading with P3.1 and renders one deterministic in-memory Markdown summary from stored result fields only. It reports identity, package state, release hold, blocking states, gate/check status counts, finding counts by state, known output names, the exact limitation, and the required qualified-human decision.</x:v>
      </x:c>
      <x:c r="E81" s="431" t="str">
        <x:v>Source / Tests / Generated report / Project control</x:v>
      </x:c>
      <x:c r="F81" s="431" t="str">
        <x:v>implementation 7536bea; src/mech_eval_harness/package_assurance/release_readiness.py; src/mech_eval_harness/package_assurance/result_view.py; tests/test_package_release_readiness.py; inspected revision-conflict package_result.json and release_readiness.md; D-081; IMP-012</x:v>
      </x:c>
      <x:c r="G81" s="431" t="str">
        <x:v>P3.2 release-readiness implementation</x:v>
      </x:c>
      <x:c r="H81" s="431" t="str">
        <x:v>Ready for review</x:v>
      </x:c>
      <x:c r="I81" s="431" t="str">
        <x:v>Readiness tests: 10 passed. Focused package-result/report tests: 36 passed. Full frozen regression: 258 passed with 1 expected Windows symlink skip. Repository validation: 5/5. Ruff passed. Coverage: 86.75%. The initial focused invocation could not access the sandboxed Windows user-temp pytest directory and failed before tests executed; the unchanged tests passed with a workspace basetemp. Inspected fault evidence: package PKG-DEV-PUMP-SKID-001; automatic_fail; release hold true; blocking state automatic_fail; gates 8/0/0; relationships 4/1/0; one automatic_fail finding; package_result.json link; exact human-review limitation; no absolute path or approval claim. No accepted schema, gate/check behavior, fixture, authority map, golden, held-out asset, frozen v0.2 behavior, or historical evidence changed.</x:v>
      </x:c>
    </x:row>
    <x:row r="82" ht="351" customHeight="1">
      <x:c r="A82" s="431" t="str">
        <x:v>EV-079</x:v>
      </x:c>
      <x:c r="B82" s="431" t="n">
        <x:v>46222</x:v>
      </x:c>
      <x:c r="C82" s="431" t="str">
        <x:v>P3.2 acceptance, exact-main verification, and integration closeout</x:v>
      </x:c>
      <x:c r="D82" s="431" t="str">
        <x:v>The user accepted P3.2. The exact reviewed branch was fast-forwarded to main at 4b848b9 and pushed. Exact-main verification reproduced the accepted deterministic report behavior and preserved the frozen kernel and protected assets.</x:v>
      </x:c>
      <x:c r="E82" s="431" t="str">
        <x:v>User decision / Git / Tests / Project control</x:v>
      </x:c>
      <x:c r="F82" s="431" t="str">
        <x:v>User instruction 2026-07-19; implementation 7536bea; review evidence/main 4b848b9; exact origin/main 4b848b9; D-082; IMP-012</x:v>
      </x:c>
      <x:c r="G82" s="431" t="str">
        <x:v>P3.2 acceptance and integration closeout</x:v>
      </x:c>
      <x:c r="H82" s="431" t="str">
        <x:v>Accepted</x:v>
      </x:c>
      <x:c r="I82" s="431" t="str">
        <x:v>Focused package-result/report tests: 36 passed. Full frozen regression: 258 passed with 1 expected Windows symlink skip. Repository validation: 5/5. Ruff passed. Coverage: 86.75%. Local main exactly matched origin/main and was clean before the closeout branch. The inspected revision-conflict result and readiness summary agreed on package/run identity, automatic_fail state, release hold, blocking state, stored outcome counts, output name, limitation, and required qualified-human decision. No evaluator logic, accepted schema, fixture, authority map, golden, held-out asset, frozen v0.2 behavior, or historical evidence changed. P3.3 alone is authorized next.</x:v>
      </x:c>
    </x:row>
    <x:row r="83" ht="378" customHeight="1">
      <x:c r="A83" s="431" t="str">
        <x:v>EV-080</x:v>
      </x:c>
      <x:c r="B83" s="431" t="n">
        <x:v>46222</x:v>
      </x:c>
      <x:c r="C83" s="431" t="str">
        <x:v>P3.3 atomic audit-package implementation and end-to-end evidence</x:v>
      </x:c>
      <x:c r="D83" s="431" t="str">
        <x:v>Implementation b5f0fcd runs the accepted package pipeline and publishes package_result.json, issue_register.csv, issue_register.md, and release_readiness.md through one hidden staging directory and final atomic rename. Existing runs are not overwritten; failed publication cannot appear under a complete run name; controlled malformed-package results are retained when output remains usable.</x:v>
      </x:c>
      <x:c r="E83" s="431" t="str">
        <x:v>Source / Tests / CLI / Generated runs / Project control</x:v>
      </x:c>
      <x:c r="F83" s="431" t="str">
        <x:v>implementation b5f0fcd; src/mech_eval_harness/package_assurance/audit.py; publication.py; src/mech_eval_harness/cli.py; tests/test_cli_audit_package.py; tests/test_package_audit_publication.py; scratch/p33-evidence clean and removed-mapping fault runs; D-083; IMP-012</x:v>
      </x:c>
      <x:c r="G83" s="431" t="str">
        <x:v>P3.3 audit-package implementation</x:v>
      </x:c>
      <x:c r="H83" s="431" t="str">
        <x:v>Ready for review</x:v>
      </x:c>
      <x:c r="I83" s="431" t="str">
        <x:v>New P3.3 tests: 13 passed. Focused package-result/report/CLI tests: 49 passed. Full frozen regression: 271 passed with 1 expected Windows symlink skip. Repository validation: 5/5. Ruff passed. Coverage: 86.76%. The initial focused invocation used a missing workspace basetemp parent and failed before tests executed; the unchanged tests passed under the ignored scratch basetemp. Inspected clean run: package PKG-DEV-PUMP-SKID-001; automatic_pass; hold false; gates 8/0/0; checks 5/0/0; zero issues; exit 0. Inspected removed-mapping run: automatic_fail; hold true; gates 8/0/0; checks 4/1/0; one DRAWING_DOCUMENT_FILE_RECIPROCITY_FAILED under AUTH-DWG-002; exit 1. Both have exactly four outputs and zero absolute local paths. The v0.3 package-result schema retains its accepted singleton declaration and adds only the exact four-output P3.3 variant. Frozen v0.2 schemas/behavior, fixtures, authority map, goldens, held-out content, and historical evidence are unchanged.</x:v>
      </x:c>
    </x:row>
    <x:row r="84" ht="369" customHeight="1">
      <x:c r="A84" s="431" t="str">
        <x:v>EV-081</x:v>
      </x:c>
      <x:c r="B84" s="431" t="n">
        <x:v>46223</x:v>
      </x:c>
      <x:c r="C84" s="431" t="str">
        <x:v>P3.3 acceptance, PR #40 integration, and exact-main verification</x:v>
      </x:c>
      <x:c r="D84" s="431" t="str">
        <x:v>The user explicitly accepted P3.3. GitHub merged the exact reviewed branch through PR #40 at main e4080fd after two passing CI runs. Exact-main local verification reproduced the accepted package-result, reports, CLI, regression, validation, lint, and coverage evidence.</x:v>
      </x:c>
      <x:c r="E84" s="431" t="str">
        <x:v>User decision / GitHub / Git / Tests / Project control</x:v>
      </x:c>
      <x:c r="F84" s="431" t="str">
        <x:v>User instruction 2026-07-20; PR #40; implementation b5f0fcd; review evidence 411928e; merge/main e4080fd; D-084; IMP-012</x:v>
      </x:c>
      <x:c r="G84" s="431" t="str">
        <x:v>P3.3 acceptance and integration closeout</x:v>
      </x:c>
      <x:c r="H84" s="431" t="str">
        <x:v>Accepted</x:v>
      </x:c>
      <x:c r="I84" s="431" t="str">
        <x:v>PR #40 checks: 2 passed. Focused package-result/report/CLI tests: 49 passed. Full frozen regression: 271 passed with 1 expected Windows symlink skip. Repository validation: 5/5. Ruff passed. Coverage: 86.76%. Local main exactly matched origin/main and was clean before the closeout branch. Pytest emitted the known non-blocking cache warning because the pre-existing .pytest_cache cache path is unusable on Windows; all tests executed and passed. Frozen v0.2 behavior, fixtures, authority map, goldens, held-out content, and historical evidence are unchanged. P2.3 definition alone is authorized next.</x:v>
      </x:c>
    </x:row>
    <x:row r="85" ht="369" customHeight="1">
      <x:c r="A85" s="431" t="str">
        <x:v>EV-082</x:v>
      </x:c>
      <x:c r="B85" s="431" t="n">
        <x:v>46223</x:v>
      </x:c>
      <x:c r="C85" s="431" t="str">
        <x:v>P2.3 bounded relationship-expansion definition review package</x:v>
      </x:c>
      <x:c r="D85" s="431" t="str">
        <x:v>The definition reviews the accepted workflow, authority map, source layouts, manifest relationship declarations, current gates/checks, and end-to-end result/report/CLI path. It freezes six append-only checks with exact sources, authority, evidence, state/hold, faults, and order, and records six unsupported release claims as gaps rather than weak checks.</x:v>
      </x:c>
      <x:c r="E85" s="431" t="str">
        <x:v>Definition / Source review / Project control</x:v>
      </x:c>
      <x:c r="F85" s="431" t="str">
        <x:v>docs/package_assurance/p2_3_relationship_expansion_definition_v0.3.0.md; authority_map_example_v0.3.0.json; accepted development source layouts and manifest declarations; relationships.py; result_core.py; D-085; IMP-013</x:v>
      </x:c>
      <x:c r="G85" s="431" t="str">
        <x:v>P2.3 relationship-expansion definition</x:v>
      </x:c>
      <x:c r="H85" s="431" t="str">
        <x:v>Ready for review</x:v>
      </x:c>
      <x:c r="I85" s="431" t="str">
        <x:v>Six supported checks: item/equipment manifest reciprocity; equipment drawing presence; datasheet authority presence; equipment/datasheet agreement; equipment/datasheet manifest reciprocity; specification revision history. Six temporary isolated fault probes each passed all current eight gates and five checks with zero findings. Six blocked gaps: quantity reconciliation; part/material agreement; item/drawing agreement; equipment/specification association; datasheet revision history; controlled technical values. First proposed implementation is check 6 under exact AUTH-BOM-002. Repository validation 5/5; document consistency and diff checks pass. No executable code, schema, adapter, fixture, golden, authority map, held-out content, frozen v0.2 behavior, or historical evidence changed.</x:v>
      </x:c>
    </x:row>
    <x:row r="86" ht="369" customHeight="1">
      <x:c r="A86" s="431" t="str">
        <x:v>EV-083</x:v>
      </x:c>
      <x:c r="B86" s="431" t="n">
        <x:v>46223</x:v>
      </x:c>
      <x:c r="C86" s="431" t="str">
        <x:v>P2.3 definition acceptance and PR #41 integration</x:v>
      </x:c>
      <x:c r="D86" s="431" t="str">
        <x:v>The user accepted the six-check P2.3 definition and its six explicit authority/source gaps. GitHub merged the exact reviewed definition through PR #41 at main a855d99 after both CI runs passed. Only check 6 is authorized for implementation.</x:v>
      </x:c>
      <x:c r="E86" s="431" t="str">
        <x:v>User decision / GitHub / Git / Project control</x:v>
      </x:c>
      <x:c r="F86" s="431" t="str">
        <x:v>User instruction 2026-07-20; PR #41; definition 5a48dcb; merge/main a855d99; D-086; IMP-013</x:v>
      </x:c>
      <x:c r="G86" s="431" t="str">
        <x:v>P2.3 definition acceptance and integration closeout</x:v>
      </x:c>
      <x:c r="H86" s="431" t="str">
        <x:v>Accepted</x:v>
      </x:c>
      <x:c r="I86" s="431" t="str">
        <x:v>PR #41 checks: 2 passed. Local main exactly matched origin/main and was clean before the closeout branch. The accepted definition retains six supported checks and six blocked authority/source gaps. Check 6 must append after five accepted drawing checks and use exact AUTH-BOM-002; its implementation requires focused/full regression evidence and inspected clean/fault outputs before separate acceptance. No executable code, schema, adapter, fixture, golden, authority map, held-out content, frozen v0.2 behavior, or historical evidence changed in the definition merge.</x:v>
      </x:c>
    </x:row>
    <x:row r="87" ht="414" customHeight="1">
      <x:c r="A87" s="431" t="str">
        <x:v>EV-084</x:v>
      </x:c>
      <x:c r="B87" s="431" t="n">
        <x:v>46223</x:v>
      </x:c>
      <x:c r="C87" s="431" t="str">
        <x:v>P2.3 check 6 implementation and end-to-end review evidence</x:v>
      </x:c>
      <x:c r="D87" s="431" t="str">
        <x:v>Implementation c1dcc4a appends bom_item_equipment_manifest_reciprocity after the five accepted drawing checks. It reconciles every release-required BOM item with required manifest item_to_equipment declarations under exact AUTH-BOM-002 and emits one deterministic evidence-linked hold per affected item.</x:v>
      </x:c>
      <x:c r="E87" s="431" t="str">
        <x:v>Source / Tests / CLI / Generated runs / Project control</x:v>
      </x:c>
      <x:c r="F87" s="431" t="str">
        <x:v>implementation c1dcc4a; relationships.py; tests/test_package_relationships.py; tests/test_cli_audit_package.py; scratch/p23-check6-review-evidence clean and wrong-target runs; D-087; IMP-013-IMP-014</x:v>
      </x:c>
      <x:c r="G87" s="431" t="str">
        <x:v>P2.3 check 6 implementation</x:v>
      </x:c>
      <x:c r="H87" s="431" t="str">
        <x:v>Accepted</x:v>
      </x:c>
      <x:c r="I87" s="431" t="str">
        <x:v>Relationship tests: 31 passed. Focused relationship/result/report/CLI tests: 75 passed. Full frozen regression: 278 passed with 1 expected Windows symlink skip. Repository validation: 5/5. Ruff passed. Coverage: 87.02%. Clean run: package PKG-DEV-PUMP-SKID-001; automatic_pass; hold false; gates 8/8; checks 6/6; zero findings; exit 0. Wrong-valid REL-ITEM-EQ-001 target run: automatic_fail; hold true; gates 8/8; checks 5/6; one BOM_ITEM_EQUIPMENT_RECIPROCITY_FAILED under AUTH-BOM-002 for ITEM-PUMP-001, expected P-101A, actual M-101A; exit 1. Both publish exactly package_result.json, issue_register.csv, issue_register.md, and release_readiness.md with zero absolute local paths. Missing, extra, multiple, repeatability, exact authority, and unrelated authority behavior are tested. The known non-blocking Windows pytest cache warning remains. No accepted fixture, schema, authority map, golden, held-out content, frozen v0.2 behavior, or historical evidence changed.</x:v>
      </x:c>
    </x:row>
    <x:row r="88" ht="387" customHeight="1">
      <x:c r="A88" s="431" t="str">
        <x:v>EV-085</x:v>
      </x:c>
      <x:c r="B88" s="431" t="n">
        <x:v>46223</x:v>
      </x:c>
      <x:c r="C88" s="431" t="str">
        <x:v>P2.3 check 6 acceptance and PR #42 integration closeout</x:v>
      </x:c>
      <x:c r="D88" s="431" t="str">
        <x:v>The user accepted check 6. GitHub merged the exact reviewed branch through PR #42 at main 559bb81. Local main was synchronized and clean before the closeout branch. The accepted check expands the runnable audit to six ordered relationship checks without changing protected assets or deferred scope.</x:v>
      </x:c>
      <x:c r="E88" s="431" t="str">
        <x:v>User decision / GitHub / Git / Project control</x:v>
      </x:c>
      <x:c r="F88" s="431" t="str">
        <x:v>User instruction 2026-07-20; PR #42; implementation c1dcc4a; review evidence 0386b7f; merge/main 559bb81; D-087-D-088; IMP-013-IMP-014</x:v>
      </x:c>
      <x:c r="G88" s="431" t="str">
        <x:v>P2.3 check 6 acceptance and integration closeout</x:v>
      </x:c>
      <x:c r="H88" s="431" t="str">
        <x:v>Accepted</x:v>
      </x:c>
      <x:c r="I88" s="431" t="str">
        <x:v>PR #42 is merged at exact main 559bb81. Accepted review evidence remains relationship 31; focused 75; full 278 passed with one expected Windows symlink skip; repository validation 5/5; Ruff; coverage 87.02%; inspected clean automatic_pass and wrong-target automatic_fail runs with exactly four outputs and package-relative evidence. No schema, fixture, authority map, golden, held-out content, frozen v0.2 behavior, or historical evidence changed. The approved next action is behavior-preserving relationship maintainability stabilization before check 7.</x:v>
      </x:c>
    </x:row>
    <x:row r="89" ht="369" customHeight="1">
      <x:c r="A89" s="431" t="str">
        <x:v>EV-086</x:v>
      </x:c>
      <x:c r="B89" s="431" t="n">
        <x:v>46223</x:v>
      </x:c>
      <x:c r="C89" s="431" t="str">
        <x:v>Relationship maintainability stabilization and PR #44 integration</x:v>
      </x:c>
      <x:c r="D89" s="431" t="str">
        <x:v>The accepted relationship implementation was split into one small public coordinator, shared deterministic primitives, and separate drawing and BOM/equipment modules and focused tests. No evaluator behavior changed. GitHub merged PR #44 at exact main 56ac9d1 after both CI runs passed.</x:v>
      </x:c>
      <x:c r="E89" s="431" t="str">
        <x:v>Source / AST comparison / Tests / GitHub / Git / Project control</x:v>
      </x:c>
      <x:c r="F89" s="431" t="str">
        <x:v>implementation 1f34781; PR #44; merge/main 56ac9d1; relationships.py; drawing_relationships.py; bom_relationships.py; test_package_relationships.py; test_package_bom_relationships.py; D-089; IMP-015</x:v>
      </x:c>
      <x:c r="G89" s="431" t="str">
        <x:v>Relationship maintainability stabilization</x:v>
      </x:c>
      <x:c r="H89" s="431" t="str">
        <x:v>Accepted</x:v>
      </x:c>
      <x:c r="I89" s="431" t="str">
        <x:v>All 40 prior relationship function ASTs are identical after the split. Relationship tests: 31 passed. Focused tests: 75 passed. Full frozen regression: 278 passed with one expected Windows symlink skip. Repository validation: 5/5. Ruff passed. Coverage: 87.10%. Both GitHub CI runs passed. No schema, fixture, authority map, golden, held-out content, frozen v0.2 behavior, or historical evidence changed.</x:v>
      </x:c>
    </x:row>
    <x:row r="90" ht="405" customHeight="1">
      <x:c r="A90" s="431" t="str">
        <x:v>EV-087</x:v>
      </x:c>
      <x:c r="B90" s="431" t="n">
        <x:v>46223</x:v>
      </x:c>
      <x:c r="C90" s="431" t="str">
        <x:v>P2.3 check 7 implementation and end-to-end review evidence</x:v>
      </x:c>
      <x:c r="D90" s="431" t="str">
        <x:v>Check 7 requires every release-required BOM equipment tag to appear in drawing metadata under exact AUTH-BOM-002. The isolated removal of M-101A from DWMETA-001 produces one deterministic release hold for ITEM-MOTOR-001/M-101A while all predecessor checks pass.</x:v>
      </x:c>
      <x:c r="E90" s="431" t="str">
        <x:v>Source / Tests / CLI / Generated runs / Project control</x:v>
      </x:c>
      <x:c r="F90" s="431" t="str">
        <x:v>codex/p2.3-bom-equipment-drawing-presence; bom_relationships.py; relationships.py; tests/test_package_bom_relationships.py; tests/test_cli_audit_package.py; scratch/p23-check7-review-evidence; D-090; IMP-013-IMP-015</x:v>
      </x:c>
      <x:c r="G90" s="431" t="str">
        <x:v>P2.3 check 7 implementation</x:v>
      </x:c>
      <x:c r="H90" s="431" t="str">
        <x:v>Accepted</x:v>
      </x:c>
      <x:c r="I90" s="431" t="str">
        <x:v>Relationship tests: 35 passed. Focused relationship/result/report/CLI tests: 80 passed. Full frozen regression: 283 passed with one expected Windows symlink skip. Repository validation: 5/5. Ruff passed. Coverage: 87.25%. Clean and isolated-fault four-output runs were inspected. Implementation 01a70c2 was merged through PR #45 at exact main 273c36a after both GitHub checks passed. No accepted fixture, schema, authority map, golden, held-out content, frozen v0.2 behavior, or historical evidence changed.</x:v>
      </x:c>
    </x:row>
    <x:row r="91" ht="279" customHeight="1">
      <x:c r="A91" s="431" t="str">
        <x:v>EV-088</x:v>
      </x:c>
      <x:c r="B91" s="431" t="n">
        <x:v>46223</x:v>
      </x:c>
      <x:c r="C91" s="431" t="str">
        <x:v>P2.3 check 7 GitHub integration evidence</x:v>
      </x:c>
      <x:c r="D91" s="431" t="str">
        <x:v>GitHub independently ran both required validation-and-test workflows for PR #45. Both passed before the pull request was merged at exact main 273c36a.</x:v>
      </x:c>
      <x:c r="E91" s="431" t="str">
        <x:v>GitHub / Git / Project control</x:v>
      </x:c>
      <x:c r="F91" s="431" t="str">
        <x:v>PR #45; implementation 01a70c2; merge/main 273c36a; D-090; EV-087</x:v>
      </x:c>
      <x:c r="G91" s="431" t="str">
        <x:v>P2.3 check 7 integration</x:v>
      </x:c>
      <x:c r="H91" s="431" t="str">
        <x:v>Accepted</x:v>
      </x:c>
      <x:c r="I91" s="431" t="str">
        <x:v>Both required GitHub checks passed: one in 42 seconds and one in 32 seconds. PR #45 merged without changing the reviewed implementation. Local main was fast-forwarded and clean at 273c36a.</x:v>
      </x:c>
    </x:row>
    <x:row r="92" ht="315" customHeight="1">
      <x:c r="A92" s="431" t="str">
        <x:v>EV-089</x:v>
      </x:c>
      <x:c r="B92" s="431" t="n">
        <x:v>46223</x:v>
      </x:c>
      <x:c r="C92" s="431" t="str">
        <x:v>Authorized structured-package trial decision package</x:v>
      </x:c>
      <x:c r="D92" s="431" t="str">
        <x:v>The trial charter freezes the CEO decision, permitted data sources, default privacy and retention boundary, structured-data limits, sequence, non-time success measures, stop conditions, outputs, and improvement-loop handoff.</x:v>
      </x:c>
      <x:c r="E92" s="431" t="str">
        <x:v>Document / Project control</x:v>
      </x:c>
      <x:c r="F92" s="431" t="str">
        <x:v>docs/package_assurance/authorized_structured_package_trial_v0.3.0.md; codex/p2.3-real-package-structured-trial; D-091</x:v>
      </x:c>
      <x:c r="G92" s="431" t="str">
        <x:v>Practical-use trial entry gate</x:v>
      </x:c>
      <x:c r="H92" s="431" t="str">
        <x:v>Ready for CEO review</x:v>
      </x:c>
      <x:c r="I92" s="431" t="str">
        <x:v>No package content was accessed or changed. Original material remains outside Git by default. The CEO must identify the package, confirm permitted use and sanitization/retention boundaries, and name a qualified reviewer. Checks 8-11 and all deferred capabilities remain blocked.</x:v>
      </x:c>
    </x:row>
    <x:row r="93" ht="279" customHeight="1">
      <x:c r="A93" s="431" t="str">
        <x:v>EV-090</x:v>
      </x:c>
      <x:c r="B93" s="431" t="n">
        <x:v>46223</x:v>
      </x:c>
      <x:c r="C93" s="431" t="str">
        <x:v>P2.3 trial-charter GitHub integration evidence</x:v>
      </x:c>
      <x:c r="D93" s="431" t="str">
        <x:v>PR #46 integrated the reviewed structured-package trial charter and project-control update. Both required GitHub validation-and-test workflows passed before merge.</x:v>
      </x:c>
      <x:c r="E93" s="431" t="str">
        <x:v>GitHub / Git / Project control</x:v>
      </x:c>
      <x:c r="F93" s="431" t="str">
        <x:v>PR #46; implementation d4e530f; merge/main 361cc77; D-091; EV-089</x:v>
      </x:c>
      <x:c r="G93" s="431" t="str">
        <x:v>P2.3 practical-use trial entry gate</x:v>
      </x:c>
      <x:c r="H93" s="431" t="str">
        <x:v>Accepted</x:v>
      </x:c>
      <x:c r="I93" s="431" t="str">
        <x:v>Both required GitHub checks passed in 33 seconds and 34 seconds. PR #46 merged at exact main 361cc77. Local main was fast-forwarded and clean before the public-package research branch was created.</x:v>
      </x:c>
    </x:row>
    <x:row r="94" ht="342" customHeight="1">
      <x:c r="A94" s="431" t="str">
        <x:v>EV-091</x:v>
      </x:c>
      <x:c r="B94" s="431" t="n">
        <x:v>46223</x:v>
      </x:c>
      <x:c r="C94" s="431" t="str">
        <x:v>Public structured-package trial shortlist</x:v>
      </x:c>
      <x:c r="D94" s="431" t="str">
        <x:v>Official publisher and repository sources were reviewed for three public mechanical packages. The comparison records workflow fit, provenance, licensing, preparation burden, limitations, and the recommended candidate without downloading source files.</x:v>
      </x:c>
      <x:c r="E94" s="431" t="str">
        <x:v>Official public sources / Document / Project control</x:v>
      </x:c>
      <x:c r="F94" s="431" t="str">
        <x:v>docs/package_assurance/public_trial_package_shortlist_2026-07-20.md; Precious Plastic package and license pages; NASA/JPL repository and v4.0.0 release; OpenFlexure repository and v7 release documentation; D-092</x:v>
      </x:c>
      <x:c r="G94" s="431" t="str">
        <x:v>Public trial package selection</x:v>
      </x:c>
      <x:c r="H94" s="431" t="str">
        <x:v>Ready for CEO review</x:v>
      </x:c>
      <x:c r="I94" s="431" t="str">
        <x:v>Precious Plastic Shredder Basic 3.3 is recommended. NASA/JPL Open Source Rover v4.0.0 and OpenFlexure Microscope v7.0.0-beta5 remain viable alternatives. No files were downloaded or transformed. Current verification: 27 repository tests passed; full regression 283 passed with one expected Windows symlink skip; repository validation 5/5; workbook formula errors 0; all six control sheets visually inspected. The recommendation is not engineering approval, a safety conclusion, or a legal opinion.</x:v>
      </x:c>
    </x:row>
    <x:row r="95" ht="342" customHeight="1">
      <x:c r="A95" s="431" t="str">
        <x:v>EV-092</x:v>
      </x:c>
      <x:c r="B95" s="431" t="n">
        <x:v>46223</x:v>
      </x:c>
      <x:c r="C95" s="431" t="str">
        <x:v>CEO public-package selection and sequential-trial authorization</x:v>
      </x:c>
      <x:c r="D95" s="431" t="str">
        <x:v>The CEO selected Precious Plastic Shredder Basic 3.3 and authorized controlled intake and fit-gap assessment. The CEO also approved NASA/JPL Open Source Rover v4.0.0 and OpenFlexure Microscope v7.0.0-beta5 as later sequential trials subject to independent acceptance gates.</x:v>
      </x:c>
      <x:c r="E95" s="431" t="str">
        <x:v>User instruction / Project control</x:v>
      </x:c>
      <x:c r="F95" s="431" t="str">
        <x:v>CEO instruction 2026-07-20; D-092-D-093; EV-091; docs/package_assurance/authorized_structured_package_trial_v0.3.0.md; docs/package_assurance/public_trial_package_shortlist_2026-07-20.md</x:v>
      </x:c>
      <x:c r="G95" s="431" t="str">
        <x:v>Public trial authorization</x:v>
      </x:c>
      <x:c r="H95" s="431" t="str">
        <x:v>Accepted</x:v>
      </x:c>
      <x:c r="I95" s="431" t="str">
        <x:v>Trial 1 is limited to official-source and license verification, local Git-ignored download, preservation, hashing, inventory, and fit-gap reporting. Trial 2 cannot begin until trial 1 is reviewed and accepted; trial 3 cannot begin until trial 2 is reviewed and accepted. No transformation or audit execution is authorized by this decision.</x:v>
      </x:c>
    </x:row>
    <x:row r="96" ht="342" customHeight="1">
      <x:c r="A96" s="431" t="str">
        <x:v>EV-093</x:v>
      </x:c>
      <x:c r="B96" s="431" t="n">
        <x:v>46223</x:v>
      </x:c>
      <x:c r="C96" s="431" t="str">
        <x:v>Precious Plastic official-access stop evidence</x:v>
      </x:c>
      <x:c r="D96" s="431" t="str">
        <x:v>The official source requires a signed-in Precious Plastic Community account. The user cannot create or access an account, so the trial stopped without downloading or transforming any package file.</x:v>
      </x:c>
      <x:c r="E96" s="431" t="str">
        <x:v>User instruction / Official public source / Local intake state</x:v>
      </x:c>
      <x:c r="F96" s="431" t="str">
        <x:v>CEO instruction 2026-07-20; https://community.preciousplastic.com/library/shr---33-; scratch/public-package-intake/precious-plastic-shredder-3.3/intake_state.json; D-094</x:v>
      </x:c>
      <x:c r="G96" s="431" t="str">
        <x:v>Public trial access control</x:v>
      </x:c>
      <x:c r="H96" s="431" t="str">
        <x:v>Accepted</x:v>
      </x:c>
      <x:c r="I96" s="431" t="str">
        <x:v>The Git-ignored source directory is empty. Download filename, timestamp, SHA-256, size, and source-file count remain null. No login workaround or publisher-control bypass was attempted.</x:v>
      </x:c>
    </x:row>
    <x:row r="97" ht="342" customHeight="1">
      <x:c r="A97" s="431" t="str">
        <x:v>EV-094</x:v>
      </x:c>
      <x:c r="B97" s="431" t="n">
        <x:v>46223</x:v>
      </x:c>
      <x:c r="C97" s="431" t="str">
        <x:v>Co-equal dual public-package intake authorization</x:v>
      </x:c>
      <x:c r="D97" s="431" t="str">
        <x:v>The CEO authorized NASA/JPL Open Source Rover v4.0.0 and OpenFlexure Microscope v7.0.0-beta5 to proceed together under identical official-source, license, preservation, hashing, inventory, source-family, authority-gap, and evidence controls.</x:v>
      </x:c>
      <x:c r="E97" s="431" t="str">
        <x:v>User instruction / Project control</x:v>
      </x:c>
      <x:c r="F97" s="431" t="str">
        <x:v>CEO instruction 2026-07-20; D-095; docs/package_assurance/authorized_structured_package_trial_v0.3.0.md; docs/package_assurance/public_trial_package_shortlist_2026-07-20.md</x:v>
      </x:c>
      <x:c r="G97" s="431" t="str">
        <x:v>Dual public-package trial authorization</x:v>
      </x:c>
      <x:c r="H97" s="431" t="str">
        <x:v>Accepted</x:v>
      </x:c>
      <x:c r="I97" s="431" t="str">
        <x:v>Each source remains separate and Git-ignored. Complete both fit-gap assessments before comparison. No transformation, audit run, PDF/CAD engineering-content extraction, schema or rule change, held-out execution, or protected-asset change is authorized.</x:v>
      </x:c>
    </x:row>
    <x:row r="98" ht="414" customHeight="1">
      <x:c r="A98" s="431" t="str">
        <x:v>EV-095</x:v>
      </x:c>
      <x:c r="B98" s="431" t="n">
        <x:v>46223</x:v>
      </x:c>
      <x:c r="C98" s="431" t="str">
        <x:v>Dual public-package preserved intake evidence</x:v>
      </x:c>
      <x:c r="D98" s="431" t="str">
        <x:v>Both official version-specific archives were downloaded to separate Git-ignored areas, kept unchanged, SHA-256 hashed, ZIP-validated, and inventoried from central-directory metadata without opening PDF or CAD engineering content.</x:v>
      </x:c>
      <x:c r="E98" s="431" t="str">
        <x:v>Official public sources / Local generated evidence</x:v>
      </x:c>
      <x:c r="F98" s="431" t="str">
        <x:v>NASA/JPL v4.0.0 release and archive; OpenFlexure v7.0.0-beta5 release and source.zip; ignored intake_state.json and inventory.csv files; D-095</x:v>
      </x:c>
      <x:c r="G98" s="431" t="str">
        <x:v>Dual source preservation and inventory</x:v>
      </x:c>
      <x:c r="H98" s="431" t="str">
        <x:v>Accepted</x:v>
      </x:c>
      <x:c r="I98" s="431" t="str">
        <x:v>Accepted by the CEO on 2026-07-20. Both archive hashes and ZIP-native inventories remain the controlling source evidence; raw materials stay separate and Git-ignored.</x:v>
      </x:c>
    </x:row>
    <x:row r="99" ht="360" customHeight="1">
      <x:c r="A99" s="431" t="str">
        <x:v>EV-096</x:v>
      </x:c>
      <x:c r="B99" s="431" t="n">
        <x:v>46223</x:v>
      </x:c>
      <x:c r="C99" s="431" t="str">
        <x:v>Dual public-package combined fit-gap assessment</x:v>
      </x:c>
      <x:c r="D99" s="431" t="str">
        <x:v>The balanced assessment compares the same required source families, authority signals, revision evidence, preparation blockers, and current-audit gaps for NASA/JPL and OpenFlexure without ranking either package.</x:v>
      </x:c>
      <x:c r="E99" s="431" t="str">
        <x:v>Reviewed document / Project control</x:v>
      </x:c>
      <x:c r="F99" s="431" t="str">
        <x:v>docs/package_assurance/dual_public_package_intake_fit_gap_2026-07-20.md; EV-095; D-096</x:v>
      </x:c>
      <x:c r="G99" s="431" t="str">
        <x:v>Dual public-package fit-gap review</x:v>
      </x:c>
      <x:c r="H99" s="431" t="str">
        <x:v>Accepted</x:v>
      </x:c>
      <x:c r="I99" s="431" t="str">
        <x:v>Accepted by the CEO on 2026-07-20 and integrated through PR #48 at exact main 99d16b6. The acceptance authorizes mapping definitions only, not transformation or audit execution.</x:v>
      </x:c>
    </x:row>
    <x:row r="100" ht="324" customHeight="1">
      <x:c r="A100" s="431" t="str">
        <x:v>EV-097</x:v>
      </x:c>
      <x:c r="B100" s="431" t="n">
        <x:v>46223</x:v>
      </x:c>
      <x:c r="C100" s="431" t="str">
        <x:v>Dual intake acceptance and integration evidence</x:v>
      </x:c>
      <x:c r="D100" s="431" t="str">
        <x:v>The CEO accepted D-096. PR #48 merged the exact reviewed NASA/JPL and OpenFlexure intake, preservation, inventory, and combined fit-gap evidence to main.</x:v>
      </x:c>
      <x:c r="E100" s="431" t="str">
        <x:v>User instruction / GitHub integration / Project control</x:v>
      </x:c>
      <x:c r="F100" s="431" t="str">
        <x:v>CEO instruction 2026-07-20; PR #48; exact main 99d16b6; docs/package_assurance/dual_public_package_intake_fit_gap_2026-07-20.md; D-096</x:v>
      </x:c>
      <x:c r="G100" s="431" t="str">
        <x:v>Dual intake gate closeout</x:v>
      </x:c>
      <x:c r="H100" s="431" t="str">
        <x:v>Accepted</x:v>
      </x:c>
      <x:c r="I100" s="431" t="str">
        <x:v>The accepted boundary authorizes two manual mapping definitions and one shared traceability-log contract. It does not authorize source conversion, working-package creation, or audit execution.</x:v>
      </x:c>
    </x:row>
    <x:row r="101" ht="423" customHeight="1">
      <x:c r="A101" s="431" t="str">
        <x:v>EV-098</x:v>
      </x:c>
      <x:c r="B101" s="431" t="n">
        <x:v>46223</x:v>
      </x:c>
      <x:c r="C101" s="431" t="str">
        <x:v>Dual source-to-audit mapping definitions and traceability-log contract</x:v>
      </x:c>
      <x:c r="D101" s="431" t="str">
        <x:v>The NASA/JPL mechanical-rover and OpenFlexure high-resolution-microscope mappings freeze exact trial boundaries, source hierarchies, direct/derived/missing/not-applicable classifications, canonical-ID rules, expected holds, preparation checks, and one shared append-only transformation-and-assumption log format.</x:v>
      </x:c>
      <x:c r="E101" s="431" t="str">
        <x:v>Reviewed documents / Official public sources / Project control</x:v>
      </x:c>
      <x:c r="F101" s="431" t="str">
        <x:v>docs/package_assurance/nasa_jpl_open_source_rover_mapping_definition_v0.3.0.md; docs/package_assurance/openflexure_microscope_mapping_definition_v0.3.0.md; docs/package_assurance/transformation_and_assumption_log_contract_v0.3.0.md; docs/package_assurance/transformation_and_assumption_log_template_v0.3.0.csv; D-097</x:v>
      </x:c>
      <x:c r="G101" s="431" t="str">
        <x:v>Dual public-package mapping review</x:v>
      </x:c>
      <x:c r="H101" s="431" t="str">
        <x:v>Accepted</x:v>
      </x:c>
      <x:c r="I101" s="431" t="str">
        <x:v>Accepted through D-097 and merged through PR #49 at exact main 53e19ad. The acceptance authorized controlled preparation, not audit execution.</x:v>
      </x:c>
    </x:row>
    <x:row r="102" ht="369" customHeight="1">
      <x:c r="A102" s="431" t="str">
        <x:v>EV-099</x:v>
      </x:c>
      <x:c r="B102" s="431" t="n">
        <x:v>46223</x:v>
      </x:c>
      <x:c r="C102" s="431" t="str">
        <x:v>Dual mapping acceptance and integration evidence</x:v>
      </x:c>
      <x:c r="D102" s="431" t="str">
        <x:v>The CEO accepted D-097. PR #49 merged the exact reviewed NASA/JPL and OpenFlexure mappings, shared transformation contract, template, and IMP-016 control evidence to main.</x:v>
      </x:c>
      <x:c r="E102" s="431" t="str">
        <x:v>User instruction / GitHub integration / Project control</x:v>
      </x:c>
      <x:c r="F102" s="431" t="str">
        <x:v>CEO instruction 2026-07-20; PR #49; exact main 53e19ad; docs/package_assurance/nasa_jpl_open_source_rover_mapping_definition_v0.3.0.md; docs/package_assurance/openflexure_microscope_mapping_definition_v0.3.0.md; docs/package_assurance/transformation_and_assumption_log_contract_v0.3.0.md; D-097</x:v>
      </x:c>
      <x:c r="G102" s="431" t="str">
        <x:v>Dual mapping gate closeout</x:v>
      </x:c>
      <x:c r="H102" s="431" t="str">
        <x:v>Accepted</x:v>
      </x:c>
      <x:c r="I102" s="431" t="str">
        <x:v>The accepted boundary authorized separate Git-ignored working-package preparation and populated logs. Audit execution remained blocked pending independent preparation review.</x:v>
      </x:c>
    </x:row>
    <x:row r="103" ht="486" customHeight="1">
      <x:c r="A103" s="431" t="str">
        <x:v>EV-100</x:v>
      </x:c>
      <x:c r="B103" s="431" t="n">
        <x:v>46223</x:v>
      </x:c>
      <x:c r="C103" s="431" t="str">
        <x:v>Dual public-package preparation and independent verification</x:v>
      </x:c>
      <x:c r="D103" s="431" t="str">
        <x:v>Separate Git-ignored NASA/JPL and OpenFlexure working packages were prepared under the accepted mappings. The evidence includes exact package tree hashes, source-copy indices, populated logs, valid structured sources, required item relationships, and a separate verification record.</x:v>
      </x:c>
      <x:c r="E103" s="431" t="str">
        <x:v>Generated local evidence / Reviewed document / Deterministic verification</x:v>
      </x:c>
      <x:c r="F103" s="431" t="str">
        <x:v>docs/package_assurance/dual_public_package_preparation_review_2026-07-20.md; scratch/prep/dual_preparation_summary.json; scratch/prep/independent_preparation_verification.json; scratch/prep/osr-v4; scratch/prep/ofm-beta5-high-res; D-097-D-098</x:v>
      </x:c>
      <x:c r="G103" s="431" t="str">
        <x:v>Dual public-package preparation review</x:v>
      </x:c>
      <x:c r="H103" s="431" t="str">
        <x:v>Accepted</x:v>
      </x:c>
      <x:c r="I103" s="431" t="str">
        <x:v>Accepted through D-098 and merged through PR #50 at exact main 7009fe2. Both exact preparations were authorized for controlled sequential execution with a mandatory stop on unexpected behavior.</x:v>
      </x:c>
    </x:row>
    <x:row r="104" ht="382.5" customHeight="1">
      <x:c r="A104" s="431" t="str">
        <x:v>EV-101</x:v>
      </x:c>
      <x:c r="B104" s="431" t="n">
        <x:v>46223</x:v>
      </x:c>
      <x:c r="C104" s="431" t="str">
        <x:v>Dual preparation acceptance and integration evidence</x:v>
      </x:c>
      <x:c r="D104" s="431" t="str">
        <x:v>The user accepted D-098. PR #50 merged the exact reviewed preparation report and controls. Both 1,764-row logs were marked accepted with before/after hashes, and both package trees were reverified unchanged before execution.</x:v>
      </x:c>
      <x:c r="E104" s="431" t="str">
        <x:v>User instruction / GitHub integration / Local deterministic evidence</x:v>
      </x:c>
      <x:c r="F104" s="431" t="str">
        <x:v>User instruction 2026-07-20; PR #50; exact main 7009fe2; scratch/prep/pre_audit_acceptance.json; docs/package_assurance/dual_public_package_preparation_review_2026-07-20.md; D-098</x:v>
      </x:c>
      <x:c r="G104" s="431" t="str">
        <x:v>Dual audit gate closeout</x:v>
      </x:c>
      <x:c r="H104" s="431" t="str">
        <x:v>Accepted</x:v>
      </x:c>
      <x:c r="I104" s="431" t="str">
        <x:v>Accepted NASA/JPL tree 52aedc3e... and log d1d910f0...; accepted OpenFlexure tree 71656da7... and log a8ba53e5.... Execution remained sequential and stop-controlled.</x:v>
      </x:c>
    </x:row>
    <x:row r="105" ht="468" customHeight="1">
      <x:c r="A105" s="431" t="str">
        <x:v>EV-102</x:v>
      </x:c>
      <x:c r="B105" s="431" t="n">
        <x:v>46223</x:v>
      </x:c>
      <x:c r="C105" s="431" t="str">
        <x:v>NASA/JPL first audit stopped before publication</x:v>
      </x:c>
      <x:c r="D105" s="431" t="str">
        <x:v>The accepted NASA/JPL package tree was reverified immediately before audit-package. The command returned internal exit 70 because result-schema validation rejected blank affected identifiers. Atomic publication created zero outputs, and the OpenFlexure audit was stopped.</x:v>
      </x:c>
      <x:c r="E105" s="431" t="str">
        <x:v>CLI execution / Local ignored failure evidence / Deterministic diagnosis</x:v>
      </x:c>
      <x:c r="F105" s="431" t="str">
        <x:v>scratch/public-package-audit-runs/osr-v4-failed-20260720/failure_evidence.json; package tree 52aedc3eaf6753305dbf29d01366f324dd959fe57e14ace6295e62f3801fd8ce; accepted log d1d910f02a89830f551e9daf949e48931471320e3764551fe3718a441125a9ec; D-098</x:v>
      </x:c>
      <x:c r="G105" s="431" t="str">
        <x:v>First public-package execution failure</x:v>
      </x:c>
      <x:c r="H105" s="431" t="str">
        <x:v>Accepted failure evidence</x:v>
      </x:c>
      <x:c r="I105" s="431" t="str">
        <x:v>Expected missing_authoritative_information/exit 3/four outputs. Actual internal exit 70/zero outputs. Gate diagnostic: authority missing 1 expected finding; identifier gate 174 blank-value findings; all seven relationship checks skipped. Both package and Git tree remained unchanged.</x:v>
      </x:c>
    </x:row>
    <x:row r="106" ht="513" customHeight="1">
      <x:c r="A106" s="431" t="str">
        <x:v>EV-103</x:v>
      </x:c>
      <x:c r="B106" s="431" t="n">
        <x:v>46223</x:v>
      </x:c>
      <x:c r="C106" s="431" t="str">
        <x:v>Cross-package identifier/result-contract root-cause review</x:v>
      </x:c>
      <x:c r="D106" s="431" t="str">
        <x:v>The accepted mappings require unavailable BOM drawing, datasheet, and specification references to remain blank. The identifier gate conflates absence with malformed syntax, then uses the invalid raw value as a canonical affected identifier. A read-only OpenFlexure diagnostic confirms 99 equivalent findings without executing its audit.</x:v>
      </x:c>
      <x:c r="E106" s="431" t="str">
        <x:v>Reviewed source and contracts / Read-only gate diagnostic / Project control</x:v>
      </x:c>
      <x:c r="F106" s="431" t="str">
        <x:v>docs/package_assurance/dual_public_package_audit_failure_review_2026-07-20.md; docs/package_assurance/nasa_jpl_open_source_rover_mapping_definition_v0.3.0.md; docs/package_assurance/openflexure_microscope_mapping_definition_v0.3.0.md; src/mech_eval_harness/package_assurance/gates.py; schemas/package_result.schema.json; IMP-017; D-099</x:v>
      </x:c>
      <x:c r="G106" s="431" t="str">
        <x:v>Public-package audit stabilization review</x:v>
      </x:c>
      <x:c r="H106" s="431" t="str">
        <x:v>Ready for CEO review</x:v>
      </x:c>
      <x:c r="I106" s="431" t="str">
        <x:v>Recommended fix keeps the strict result schema, skips syntax checks only for exactly blank optional BOM references, keeps mandatory/nonblank identifiers strict, retains raw invalid values in evidence, adds synthetic full-output CLI proof, and forbids public-package changes or reruns before fix review.</x:v>
      </x:c>
    </x:row>
    <x:row r="107" ht="459" customHeight="1">
      <x:c r="A107" s="431" t="str">
        <x:v>EV-104</x:v>
      </x:c>
      <x:c r="B107" s="431" t="n">
        <x:v>46223</x:v>
      </x:c>
      <x:c r="C107" s="431" t="str">
        <x:v>D-099 acceptance and failure-review integration</x:v>
      </x:c>
      <x:c r="D107" s="431" t="str">
        <x:v>The CEO accepted D-099. PR #51 merged the exact failure review and controls at main 624acce, authorizing only the narrow identifier/result-contract stabilization and synthetic proof before public reruns.</x:v>
      </x:c>
      <x:c r="E107" s="431" t="str">
        <x:v>User instruction / GitHub integration / Project control</x:v>
      </x:c>
      <x:c r="F107" s="431" t="str">
        <x:v>User instruction 2026-07-20; PR #51; exact main 624acce; docs/package_assurance/dual_public_package_audit_failure_review_2026-07-20.md; D-099</x:v>
      </x:c>
      <x:c r="G107" s="431" t="str">
        <x:v>Stabilization authority</x:v>
      </x:c>
      <x:c r="H107" s="431" t="str">
        <x:v>Accepted</x:v>
      </x:c>
      <x:c r="I107" s="431" t="str">
        <x:v>No schema weakening, package change, public rerun, check 8, held-out execution, or deferred capability was authorized.</x:v>
      </x:c>
    </x:row>
    <x:row r="108" ht="540" customHeight="1">
      <x:c r="A108" s="431" t="str">
        <x:v>EV-105</x:v>
      </x:c>
      <x:c r="B108" s="431" t="n">
        <x:v>46223</x:v>
      </x:c>
      <x:c r="C108" s="431" t="str">
        <x:v>Identifier/result-contract stabilization and synthetic CLI proof</x:v>
      </x:c>
      <x:c r="D108" s="431" t="str">
        <x:v>The identifier gate now skips syntax only for exact blanks in three approved optional equipment-item reference fields. Malformed present and required identifiers remain automatic holds. Invalid raw values stay in evidence and canonical findings use a valid parent identifier or an empty list. Synthetic full-CLI cases publish exactly four outputs at missing-authority exit 3 and automatic-fail exit 1.</x:v>
      </x:c>
      <x:c r="E108" s="431" t="str">
        <x:v>Reviewed implementation / Synthetic end-to-end tests / Generated temporary outputs</x:v>
      </x:c>
      <x:c r="F108" s="431" t="str">
        <x:v>src/mech_eval_harness/package_assurance/gates.py; tests/test_package_gates.py; tests/test_cli_audit_package.py; docs/package_assurance/identifier_result_contract_stabilization_review_2026-07-20.md; IMP-017; D-099</x:v>
      </x:c>
      <x:c r="G108" s="431" t="str">
        <x:v>D-099 stabilization implementation</x:v>
      </x:c>
      <x:c r="H108" s="431" t="str">
        <x:v>Accepted</x:v>
      </x:c>
      <x:c r="I108" s="431" t="str">
        <x:v>No package schema, result schema, authority map, fixture, golden, held-out asset, relationship check, state precedence, exit mapping, or publication contract changed.</x:v>
      </x:c>
    </x:row>
    <x:row r="109" ht="513" customHeight="1">
      <x:c r="A109" s="431" t="str">
        <x:v>EV-106</x:v>
      </x:c>
      <x:c r="B109" s="431" t="n">
        <x:v>46223</x:v>
      </x:c>
      <x:c r="C109" s="431" t="str">
        <x:v>Stabilization regression and public-package integrity verification</x:v>
      </x:c>
      <x:c r="D109" s="431" t="str">
        <x:v>Focused gates/result/publication/CLI tests passed 47. The full suite passed 289 with one expected Windows skip at 87.57% coverage. Repository validation passed 5/5; Ruff, baseline 9/9, and demo 2/2 passed. Both accepted public package trees and all 1,764 accepted log rows remain exact, and no public rerun directory exists.</x:v>
      </x:c>
      <x:c r="E109" s="431" t="str">
        <x:v>Local deterministic verification / Hash reconciliation / Frozen baseline replay</x:v>
      </x:c>
      <x:c r="F109" s="431" t="str">
        <x:v>docs/package_assurance/identifier_result_contract_stabilization_review_2026-07-20.md; scratch/verification/identifier-stabilization-20260720; package trees 52aedc3e... and 71656da7...; accepted logs d1d910f0... and a8ba53e5...; D-100</x:v>
      </x:c>
      <x:c r="G109" s="431" t="str">
        <x:v>Stabilization review evidence</x:v>
      </x:c>
      <x:c r="H109" s="431" t="str">
        <x:v>Accepted</x:v>
      </x:c>
      <x:c r="I109" s="431" t="str">
        <x:v>Real-world confirmation remains open. D-100 proposes exactly one NASA/JPL rerun after integration and requires review before OpenFlexure.</x:v>
      </x:c>
    </x:row>
    <x:row r="110" ht="486" customHeight="1">
      <x:c r="A110" s="431" t="str">
        <x:v>EV-107</x:v>
      </x:c>
      <x:c r="B110" s="431" t="n">
        <x:v>46223</x:v>
      </x:c>
      <x:c r="C110" s="431" t="str">
        <x:v>D-100 acceptance and stabilization integration</x:v>
      </x:c>
      <x:c r="D110" s="431" t="str">
        <x:v>The CEO accepted D-100. PR #52 passed both GitHub validation checks and merged the narrow identifier/result-contract stabilization at exact main 0611d916, authorizing exactly one unchanged NASA/JPL observation and a mandatory stop before OpenFlexure.</x:v>
      </x:c>
      <x:c r="E110" s="431" t="str">
        <x:v>User instruction / GitHub checks and merge / Project control</x:v>
      </x:c>
      <x:c r="F110" s="431" t="str">
        <x:v>User instruction 2026-07-20; PR #52; exact main 0611d916; docs/package_assurance/identifier_result_contract_stabilization_review_2026-07-20.md; D-100</x:v>
      </x:c>
      <x:c r="G110" s="431" t="str">
        <x:v>NASA/JPL one-run authority</x:v>
      </x:c>
      <x:c r="H110" s="431" t="str">
        <x:v>Accepted</x:v>
      </x:c>
      <x:c r="I110" s="431" t="str">
        <x:v>No evaluator, package, authority-map, expected-state, schema, check 8, held-out, or deferred-capability change was authorized during observation.</x:v>
      </x:c>
    </x:row>
    <x:row r="111" ht="540" customHeight="1">
      <x:c r="A111" s="431" t="str">
        <x:v>EV-108</x:v>
      </x:c>
      <x:c r="B111" s="431" t="n">
        <x:v>46223</x:v>
      </x:c>
      <x:c r="C111" s="431" t="str">
        <x:v>NASA/JPL exact-input and single-execution proof</x:v>
      </x:c>
      <x:c r="D111" s="431" t="str">
        <x:v>Before and after the one authorized run, the package remained 133 files at tree SHA-256 52aedc3e... and the accepted mapping log remained 1,144 rows at d1d910f0.... Run RUN-20260721T001431760486Z-4f1b9817 was the only invocation and returned exit 3. OpenFlexure remained unexecuted and unchanged.</x:v>
      </x:c>
      <x:c r="E111" s="431" t="str">
        <x:v>Read-only hash reconciliation / Controlled CLI execution / Execution record</x:v>
      </x:c>
      <x:c r="F111" s="431" t="str">
        <x:v>scratch/public-package-audit-runs/osr-v4-control-20260720/execution_record.json; scratch/public-package-audit-runs/osr-v4-control-20260720/post_audit_integrity.json; docs/package_assurance/nasa_jpl_public_audit_confirmation_review_2026-07-20.md; D-100</x:v>
      </x:c>
      <x:c r="G111" s="431" t="str">
        <x:v>NASA/JPL observation integrity</x:v>
      </x:c>
      <x:c r="H111" s="431" t="str">
        <x:v>Accepted</x:v>
      </x:c>
      <x:c r="I111" s="431" t="str">
        <x:v>The accepted OpenFlexure tree 71656da7... and log a8ba53e5... also remained exact; no OpenFlexure audit root exists.</x:v>
      </x:c>
    </x:row>
    <x:row r="112" ht="576" customHeight="1">
      <x:c r="A112" s="431" t="str">
        <x:v>EV-109</x:v>
      </x:c>
      <x:c r="B112" s="431" t="n">
        <x:v>46223</x:v>
      </x:c>
      <x:c r="C112" s="431" t="str">
        <x:v>NASA/JPL four-output result and consistency review</x:v>
      </x:c>
      <x:c r="D112" s="431" t="str">
        <x:v>The immutable result is schema-valid and records missing_authoritative_information, release hold true, one AUTHORITY_REQUIRED_RULE_MISSING finding, four passed gates, one failed authority gate, three skipped gates, and seven skipped relationship checks. Exactly four outputs publish, and all three report views reproduce from the canonical result without absolute local paths or approval claims.</x:v>
      </x:c>
      <x:c r="E112" s="431" t="str">
        <x:v>Schema validation / Deterministic report reproduction / Output hash review</x:v>
      </x:c>
      <x:c r="F112" s="431" t="str">
        <x:v>scratch/public-package-audit-runs/osr-v4/RUN-20260721T001431760486Z-4f1b9817; scratch/public-package-audit-runs/osr-v4-control-20260720/verification_summary.json; docs/package_assurance/nasa_jpl_public_audit_confirmation_review_2026-07-20.md; D-101</x:v>
      </x:c>
      <x:c r="G112" s="431" t="str">
        <x:v>NASA/JPL result review</x:v>
      </x:c>
      <x:c r="H112" s="431" t="str">
        <x:v>Accepted</x:v>
      </x:c>
      <x:c r="I112" s="431" t="str">
        <x:v>Output SHA-256 values are recorded in the tracked review. This evidence is a correct hold and not engineering sign-off or release approval.</x:v>
      </x:c>
    </x:row>
    <x:row r="113" ht="522" customHeight="1">
      <x:c r="A113" s="431" t="str">
        <x:v>EV-110</x:v>
      </x:c>
      <x:c r="B113" s="431" t="n">
        <x:v>46223</x:v>
      </x:c>
      <x:c r="C113" s="431" t="str">
        <x:v>NASA/JPL confirmation regression and frozen-baseline verification</x:v>
      </x:c>
      <x:c r="D113" s="431" t="str">
        <x:v>Focused gate/result/publication/CLI tests passed 53. The full suite passed 289 with one expected Windows skip at 87.57% coverage. Repository validation passed 5/5; Ruff, frozen baseline 9/9, and portfolio demo 2/2 passed. PR #52 had two green GitHub validation checks before merge.</x:v>
      </x:c>
      <x:c r="E113" s="431" t="str">
        <x:v>Local deterministic verification / Frozen baseline replay / GitHub CI</x:v>
      </x:c>
      <x:c r="F113" s="431" t="str">
        <x:v>scratch/verification/nasa-confirmation-20260720; docs/package_assurance/nasa_jpl_public_audit_confirmation_review_2026-07-20.md; PR #52; exact main 0611d916; D-101</x:v>
      </x:c>
      <x:c r="G113" s="431" t="str">
        <x:v>NASA/JPL confirmation closeout</x:v>
      </x:c>
      <x:c r="H113" s="431" t="str">
        <x:v>Accepted</x:v>
      </x:c>
      <x:c r="I113" s="431" t="str">
        <x:v>Only documentation and project-control records changed on the confirmation branch. No product code, public package, schema, fixture, golden, held-out asset, or acceptance criterion changed.</x:v>
      </x:c>
    </x:row>
    <x:row r="114" ht="504" customHeight="1">
      <x:c r="A114" s="431" t="str">
        <x:v>EV-111</x:v>
      </x:c>
      <x:c r="B114" s="431" t="n">
        <x:v>46223</x:v>
      </x:c>
      <x:c r="C114" s="431" t="str">
        <x:v>D-101 acceptance and NASA/JPL confirmation integration</x:v>
      </x:c>
      <x:c r="D114" s="431" t="str">
        <x:v>The CEO accepted D-101. PR #53 passed both GitHub validation checks and merged the NASA/JPL confirmation at exact main 65c9699b, closing I-004, retaining IMP-017, and authorizing exactly one unchanged OpenFlexure observation before check 8.</x:v>
      </x:c>
      <x:c r="E114" s="431" t="str">
        <x:v>User instruction / GitHub checks and merge / Project control</x:v>
      </x:c>
      <x:c r="F114" s="431" t="str">
        <x:v>User instruction 2026-07-20; PR #53; exact main 65c9699b; docs/package_assurance/nasa_jpl_public_audit_confirmation_review_2026-07-20.md; D-101</x:v>
      </x:c>
      <x:c r="G114" s="431" t="str">
        <x:v>OpenFlexure one-run authority</x:v>
      </x:c>
      <x:c r="H114" s="431" t="str">
        <x:v>Accepted</x:v>
      </x:c>
      <x:c r="I114" s="431" t="str">
        <x:v>No evaluator, package, authority-map, expected-state, schema, check 8, held-out, or deferred-capability change was authorized during observation.</x:v>
      </x:c>
    </x:row>
    <x:row r="115" ht="558" customHeight="1">
      <x:c r="A115" s="431" t="str">
        <x:v>EV-112</x:v>
      </x:c>
      <x:c r="B115" s="431" t="n">
        <x:v>46223</x:v>
      </x:c>
      <x:c r="C115" s="431" t="str">
        <x:v>OpenFlexure exact-input and single-execution proof</x:v>
      </x:c>
      <x:c r="D115" s="431" t="str">
        <x:v>Before and after the one authorized run, OpenFlexure remained 58 files at tree SHA-256 71656da7... and its accepted mapping log remained 620 rows at a8ba53e5.... Run RUN-20260721T004222043918Z-254a2eca was the only invocation and returned exit 3. NASA/JPL also remained unchanged with one run.</x:v>
      </x:c>
      <x:c r="E115" s="431" t="str">
        <x:v>Read-only hash reconciliation / Controlled CLI execution / Execution record</x:v>
      </x:c>
      <x:c r="F115" s="431" t="str">
        <x:v>scratch/public-package-audit-runs/ofm-beta5-high-res-control-20260720/execution_record.json; scratch/public-package-audit-runs/ofm-beta5-high-res-control-20260720/post_audit_integrity.json; docs/package_assurance/openflexure_public_audit_confirmation_review_2026-07-20.md; D-101</x:v>
      </x:c>
      <x:c r="G115" s="431" t="str">
        <x:v>OpenFlexure observation integrity</x:v>
      </x:c>
      <x:c r="H115" s="431" t="str">
        <x:v>Ready for CEO review</x:v>
      </x:c>
      <x:c r="I115" s="431" t="str">
        <x:v>Both package trees and all 1,764 accepted log rows remain exact after one authorized audit each; no unexpected additional public audit exists.</x:v>
      </x:c>
    </x:row>
    <x:row r="116" ht="576" customHeight="1">
      <x:c r="A116" s="431" t="str">
        <x:v>EV-113</x:v>
      </x:c>
      <x:c r="B116" s="431" t="n">
        <x:v>46223</x:v>
      </x:c>
      <x:c r="C116" s="431" t="str">
        <x:v>OpenFlexure four-output result and consistency review</x:v>
      </x:c>
      <x:c r="D116" s="431" t="str">
        <x:v>The immutable result is schema-valid and records missing_authoritative_information, release hold true, one AUTHORITY_REQUIRED_RULE_MISSING finding, four passed gates, one failed authority gate, three skipped gates, and seven skipped relationship checks. Exactly four outputs publish and all report views reproduce from the canonical result without absolute paths or approval claims.</x:v>
      </x:c>
      <x:c r="E116" s="431" t="str">
        <x:v>Schema validation / Deterministic report reproduction / Output hash review</x:v>
      </x:c>
      <x:c r="F116" s="431" t="str">
        <x:v>scratch/public-package-audit-runs/ofm-beta5-high-res/RUN-20260721T004222043918Z-254a2eca; scratch/public-package-audit-runs/ofm-beta5-high-res-control-20260720/verification_summary.json; docs/package_assurance/openflexure_public_audit_confirmation_review_2026-07-20.md; D-102</x:v>
      </x:c>
      <x:c r="G116" s="431" t="str">
        <x:v>OpenFlexure result review</x:v>
      </x:c>
      <x:c r="H116" s="431" t="str">
        <x:v>Ready for CEO review</x:v>
      </x:c>
      <x:c r="I116" s="431" t="str">
        <x:v>Output SHA-256 values are recorded in the tracked review. This is a correct hold, not engineering sign-off or package approval.</x:v>
      </x:c>
    </x:row>
    <x:row r="117" ht="603" customHeight="1">
      <x:c r="A117" s="431" t="str">
        <x:v>EV-114</x:v>
      </x:c>
      <x:c r="B117" s="431" t="n">
        <x:v>46223</x:v>
      </x:c>
      <x:c r="C117" s="431" t="str">
        <x:v>Dual public-package comparison and improvement-loop closeout</x:v>
      </x:c>
      <x:c r="D117" s="431" t="str">
        <x:v>NASA/JPL and OpenFlexure differ in size and source structure but both produced the exact expected safety result. This proves real-world intake and refusal, not real-world relationship-fault detection because authority skipped all seven checks. I-004 closes; IMP-017 is retained; IMP-016 remains open. The repeated semantic finding ID establishes IMP-018 and package-scoped identity before aggregation.</x:v>
      </x:c>
      <x:c r="E117" s="431" t="str">
        <x:v>Cross-package result comparison / Management review / Improvement loop</x:v>
      </x:c>
      <x:c r="F117" s="431" t="str">
        <x:v>scratch/public-package-audit-runs/ofm-beta5-high-res-control-20260720/cross_package_comparison.json; docs/package_assurance/openflexure_public_audit_confirmation_review_2026-07-20.md; I-004; IMP-016-IMP-018; D-102</x:v>
      </x:c>
      <x:c r="G117" s="431" t="str">
        <x:v>Dual public observation closeout</x:v>
      </x:c>
      <x:c r="H117" s="431" t="str">
        <x:v>Ready for CEO review</x:v>
      </x:c>
      <x:c r="I117" s="431" t="str">
        <x:v>The fastest controlled next step is check 8. Inventing authority for the public repositories is explicitly rejected.</x:v>
      </x:c>
    </x:row>
    <x:row r="118" ht="540" customHeight="1">
      <x:c r="A118" s="431" t="str">
        <x:v>EV-115</x:v>
      </x:c>
      <x:c r="B118" s="431" t="n">
        <x:v>46223</x:v>
      </x:c>
      <x:c r="C118" s="431" t="str">
        <x:v>OpenFlexure confirmation regression and frozen-baseline verification</x:v>
      </x:c>
      <x:c r="D118" s="431" t="str">
        <x:v>Focused gate/result/publication/CLI tests passed 53. The full suite passed 289 with one expected Windows skip at 87.57% coverage. Repository validation passed 5/5; Ruff, frozen baseline 9/9, and portfolio demo 2/2 passed. PR #53 had two green GitHub validation checks before merge.</x:v>
      </x:c>
      <x:c r="E118" s="431" t="str">
        <x:v>Local deterministic verification / Frozen baseline replay / GitHub CI</x:v>
      </x:c>
      <x:c r="F118" s="431" t="str">
        <x:v>scratch/verification/openflexure-confirmation-20260720; docs/package_assurance/openflexure_public_audit_confirmation_review_2026-07-20.md; PR #53; exact main 65c9699b; D-102</x:v>
      </x:c>
      <x:c r="G118" s="431" t="str">
        <x:v>OpenFlexure confirmation closeout</x:v>
      </x:c>
      <x:c r="H118" s="431" t="str">
        <x:v>Ready for CEO review</x:v>
      </x:c>
      <x:c r="I118" s="431" t="str">
        <x:v>Only documentation and project-control records changed on the confirmation branch. No product code, public package, schema, fixture, golden, held-out asset, or acceptance criterion changed.</x:v>
      </x:c>
    </x:row>
    <x:row r="119" ht="486" customHeight="1">
      <x:c r="A119" s="431" t="str">
        <x:v>EV-116</x:v>
      </x:c>
      <x:c r="B119" s="431" t="n">
        <x:v>46223</x:v>
      </x:c>
      <x:c r="C119" s="431" t="str">
        <x:v>D-102 acceptance and OpenFlexure confirmation integration</x:v>
      </x:c>
      <x:c r="D119" s="431" t="str">
        <x:v>The CEO accepted D-102. PR #54 passed both GitHub validation checks and merged the OpenFlexure confirmation at exact main b0b32bb, closing the dual public-package observation sequence, adopting package-scoped finding identity, and authorizing check 8 only.</x:v>
      </x:c>
      <x:c r="E119" s="431" t="str">
        <x:v>User instruction / GitHub checks and merge / Project control</x:v>
      </x:c>
      <x:c r="F119" s="431" t="str">
        <x:v>User instruction 2026-07-20; PR #54; exact main b0b32bb; docs/package_assurance/openflexure_public_audit_confirmation_review_2026-07-20.md; D-102</x:v>
      </x:c>
      <x:c r="G119" s="431" t="str">
        <x:v>Check-8 implementation authority</x:v>
      </x:c>
      <x:c r="H119" s="431" t="str">
        <x:v>Accepted</x:v>
      </x:c>
      <x:c r="I119" s="431" t="str">
        <x:v>No check 9-11, public rerun, held-out execution, protected-asset change, or deferred capability was authorized.</x:v>
      </x:c>
    </x:row>
    <x:row r="120" ht="567" customHeight="1">
      <x:c r="A120" s="431" t="str">
        <x:v>EV-117</x:v>
      </x:c>
      <x:c r="B120" s="431" t="n">
        <x:v>46223</x:v>
      </x:c>
      <x:c r="C120" s="431" t="str">
        <x:v>Equipment datasheet authority presence implementation proof</x:v>
      </x:c>
      <x:c r="D120" s="431" t="str">
        <x:v>Check 8 is appended after checks 1-7 in a separate datasheet-domain module. It requires exactly one release-required datasheet record per release-required BOM equipment tag under exact AUTH-SPEC-001. Missing and competing records produce stable high-severity missing-authority holds; source reordering preserves semantic identity; unrelated drawing and BOM authority gaps do not suppress the check.</x:v>
      </x:c>
      <x:c r="E120" s="431" t="str">
        <x:v>Code review / Deterministic relationship tests / Authority isolation tests</x:v>
      </x:c>
      <x:c r="F120" s="431" t="str">
        <x:v>src/mech_eval_harness/package_assurance/datasheet_relationships.py; tests/test_package_datasheet_relationships.py; docs/package_assurance/equipment_datasheet_authority_presence_implementation_review_2026-07-20.md; D-102-D-103</x:v>
      </x:c>
      <x:c r="G120" s="431" t="str">
        <x:v>Check-8 contract evidence</x:v>
      </x:c>
      <x:c r="H120" s="431" t="str">
        <x:v>Accepted</x:v>
      </x:c>
      <x:c r="I120" s="431" t="str">
        <x:v>Check 9 association, checks 10-11, and all six authority-gap claims remain unimplemented.</x:v>
      </x:c>
    </x:row>
    <x:row r="121" ht="603" customHeight="1">
      <x:c r="A121" s="431" t="str">
        <x:v>EV-118</x:v>
      </x:c>
      <x:c r="B121" s="431" t="n">
        <x:v>46223</x:v>
      </x:c>
      <x:c r="C121" s="431" t="str">
        <x:v>Check-8 clean and isolated-fault four-output inspection</x:v>
      </x:c>
      <x:c r="D121" s="431" t="str">
        <x:v>Clean run RUN-20260721T025957813425Z-a7aee64f returned automatic_pass, hold false, exit 0, eight passed checks, and four exact outputs. Fault run RUN-20260721T025913235840Z-be4840eb returned missing_authoritative_information, hold true, exit 3, seven passed and one failed check, one FND-55D33CACFBF70823 finding, and four exact outputs. Both results pass the strict schema and all report views reproduce exactly.</x:v>
      </x:c>
      <x:c r="E121" s="431" t="str">
        <x:v>Controlled CLI execution / Schema validation / Deterministic report reproduction</x:v>
      </x:c>
      <x:c r="F121" s="431" t="str">
        <x:v>scratch/verification/check8-implementation-20260720/check8-clean-runs; scratch/verification/check8-implementation-20260720/check8-fault-runs-bomfree; docs/package_assurance/equipment_datasheet_authority_presence_implementation_review_2026-07-20.md</x:v>
      </x:c>
      <x:c r="G121" s="431" t="str">
        <x:v>Check-8 output evidence</x:v>
      </x:c>
      <x:c r="H121" s="431" t="str">
        <x:v>Accepted</x:v>
      </x:c>
      <x:c r="I121" s="431" t="str">
        <x:v>The first manual fault copy used BOM-encoded UTF-8, correctly failed closed at parsing with exit 4, and remains preserved separately; accepted inputs were untouched.</x:v>
      </x:c>
    </x:row>
    <x:row r="122" ht="540" customHeight="1">
      <x:c r="A122" s="431" t="str">
        <x:v>EV-119</x:v>
      </x:c>
      <x:c r="B122" s="431" t="n">
        <x:v>46223</x:v>
      </x:c>
      <x:c r="C122" s="431" t="str">
        <x:v>Check-8 regression and frozen-baseline verification</x:v>
      </x:c>
      <x:c r="D122" s="431" t="str">
        <x:v>Focused gate/relationship/result/report/CLI tests passed 111. The full suite passed 295 with one expected Windows skip at 87.71% coverage. Repository validation passed 5/5; Ruff, frozen baseline 9/9, and portfolio demo 2/2 passed. The tracked diff changes only check-8 code, tests, documentation, and project controls.</x:v>
      </x:c>
      <x:c r="E122" s="431" t="str">
        <x:v>Local deterministic verification / Frozen baseline replay / Diff review</x:v>
      </x:c>
      <x:c r="F122" s="431" t="str">
        <x:v>scratch/verification/check8-implementation-20260720; docs/package_assurance/equipment_datasheet_authority_presence_implementation_review_2026-07-20.md; D-103</x:v>
      </x:c>
      <x:c r="G122" s="431" t="str">
        <x:v>Check-8 implementation closeout</x:v>
      </x:c>
      <x:c r="H122" s="431" t="str">
        <x:v>Accepted</x:v>
      </x:c>
      <x:c r="I122" s="431" t="str">
        <x:v>No accepted fixture, authority map, schema, golden, held-out asset, historical result, v0.2 behavior, or acceptance criterion changed.</x:v>
      </x:c>
    </x:row>
    <x:row r="123" ht="504" customHeight="1">
      <x:c r="A123" s="431" t="str">
        <x:v>EV-120</x:v>
      </x:c>
      <x:c r="B123" s="431" t="n">
        <x:v>46223</x:v>
      </x:c>
      <x:c r="C123" s="431" t="str">
        <x:v>D-103 acceptance and check-8 integration</x:v>
      </x:c>
      <x:c r="D123" s="431" t="str">
        <x:v>The CEO accepted D-103. PR #55 passed both GitHub validation checks and merged check 8 at exact main fb0113d, authorizing check 9 only under exact AUTH-SPEC-001.</x:v>
      </x:c>
      <x:c r="E123" s="431" t="str">
        <x:v>User instruction / GitHub checks and merge / Project control</x:v>
      </x:c>
      <x:c r="F123" s="431" t="str">
        <x:v>User instruction 2026-07-20; PR #55; exact main fb0113d; docs/package_assurance/equipment_datasheet_authority_presence_implementation_review_2026-07-20.md; D-103</x:v>
      </x:c>
      <x:c r="G123" s="431" t="str">
        <x:v>Check-9 implementation authority</x:v>
      </x:c>
      <x:c r="H123" s="431" t="str">
        <x:v>Accepted</x:v>
      </x:c>
      <x:c r="I123" s="431" t="str">
        <x:v>No check 10-11, public rerun, held-out execution, protected-asset change, publication behavior change, or deferred capability was authorized.</x:v>
      </x:c>
    </x:row>
    <x:row r="124" ht="585" customHeight="1">
      <x:c r="A124" s="431" t="str">
        <x:v>EV-121</x:v>
      </x:c>
      <x:c r="B124" s="431" t="n">
        <x:v>46223</x:v>
      </x:c>
      <x:c r="C124" s="431" t="str">
        <x:v>Equipment/datasheet association implementation proof</x:v>
      </x:c>
      <x:c r="D124" s="431" t="str">
        <x:v>Check 9 is appended after checks 1-8 in the datasheet-domain module. Under exact AUTH-SPEC-001 it compares BOM datasheet_id with the single authoritative metadata datasheet_id for the same equipment tag. Wrong-but-valid IDs produce stable automatic-fail holds; missing or ambiguous authority remains owned by check 8; source reordering preserves semantic identity.</x:v>
      </x:c>
      <x:c r="E124" s="431" t="str">
        <x:v>Code review / Deterministic relationship tests / Authority and ownership tests</x:v>
      </x:c>
      <x:c r="F124" s="431" t="str">
        <x:v>src/mech_eval_harness/package_assurance/datasheet_relationships.py; tests/test_package_datasheet_relationships.py; docs/package_assurance/equipment_datasheet_association_implementation_review_2026-07-20.md; D-103-D-104</x:v>
      </x:c>
      <x:c r="G124" s="431" t="str">
        <x:v>Check-9 contract evidence</x:v>
      </x:c>
      <x:c r="H124" s="431" t="str">
        <x:v>Accepted</x:v>
      </x:c>
      <x:c r="I124" s="431" t="str">
        <x:v>Check 10 manifest reciprocity, check 11, and all six authority-gap claims remain unimplemented.</x:v>
      </x:c>
    </x:row>
    <x:row r="125" ht="603" customHeight="1">
      <x:c r="A125" s="431" t="str">
        <x:v>EV-122</x:v>
      </x:c>
      <x:c r="B125" s="431" t="n">
        <x:v>46223</x:v>
      </x:c>
      <x:c r="C125" s="431" t="str">
        <x:v>Check-9 clean and wrong-ID four-output inspection</x:v>
      </x:c>
      <x:c r="D125" s="431" t="str">
        <x:v>Clean run RUN-20260721T034251280706Z-6efeff51 returned automatic_pass, hold false, exit 0, nine passed checks, and four exact outputs. Wrong-ID run RUN-20260721T034329189347Z-dc3cd02a returned automatic_fail, hold true, exit 1, eight passed and one failed check, one FND-91304712BCB20CEE finding, and four exact outputs. Both results pass the strict schema and all report views reproduce exactly.</x:v>
      </x:c>
      <x:c r="E125" s="431" t="str">
        <x:v>Controlled CLI execution / Schema validation / Deterministic report reproduction</x:v>
      </x:c>
      <x:c r="F125" s="431" t="str">
        <x:v>scratch/verification/check9-implementation-20260720/verification_summary.json; docs/package_assurance/equipment_datasheet_association_implementation_review_2026-07-20.md</x:v>
      </x:c>
      <x:c r="G125" s="431" t="str">
        <x:v>Check-9 output evidence</x:v>
      </x:c>
      <x:c r="H125" s="431" t="str">
        <x:v>Accepted</x:v>
      </x:c>
      <x:c r="I125" s="431" t="str">
        <x:v>The wrong-ID fault changes only one temporary BOM value from DS-P-101 to existing valid DS-M-101; accepted inputs remain untouched.</x:v>
      </x:c>
    </x:row>
    <x:row r="126" ht="630" customHeight="1">
      <x:c r="A126" s="431" t="str">
        <x:v>EV-123</x:v>
      </x:c>
      <x:c r="B126" s="431" t="n">
        <x:v>46223</x:v>
      </x:c>
      <x:c r="C126" s="431" t="str">
        <x:v>Preserved Windows publication-finalization failure</x:v>
      </x:c>
      <x:c r="D126" s="431" t="str">
        <x:v>The first wrong-ID invocation generated the correct result and three reports, then the final staging-directory rename failed with PermissionError. The workflow returned exit 70, published no complete final run, and preserved all staged files plus its failure marker. An immediate unchanged invocation succeeded. I-005 and IMP-019 retain the reliability gap for a separate stabilization block.</x:v>
      </x:c>
      <x:c r="E126" s="431" t="str">
        <x:v>Preserved failed run / Failure review / Improvement loop</x:v>
      </x:c>
      <x:c r="F126" s="431" t="str">
        <x:v>scratch/verification/check9-implementation-20260720/wrong-id-runs/.RUN-20260721T034252120538Z-fa89f942.publication-failed-2f10bb08; docs/package_assurance/equipment_datasheet_association_implementation_review_2026-07-20.md; I-005; IMP-019</x:v>
      </x:c>
      <x:c r="G126" s="431" t="str">
        <x:v>Publication reliability evidence</x:v>
      </x:c>
      <x:c r="H126" s="431" t="str">
        <x:v>Accepted</x:v>
      </x:c>
      <x:c r="I126" s="431" t="str">
        <x:v>This is a transient Windows publication risk, not a check-9 evaluator defect. No publication retry behavior changed on this branch.</x:v>
      </x:c>
    </x:row>
    <x:row r="127" ht="558" customHeight="1">
      <x:c r="A127" s="431" t="str">
        <x:v>EV-124</x:v>
      </x:c>
      <x:c r="B127" s="431" t="n">
        <x:v>46223</x:v>
      </x:c>
      <x:c r="C127" s="431" t="str">
        <x:v>Check-9 regression and frozen-baseline verification</x:v>
      </x:c>
      <x:c r="D127" s="431" t="str">
        <x:v>Focused relationship/result/report/CLI tests passed 88. The full suite passed 299 with one expected Windows skip at 87.86% coverage. Repository validation passed 5/5; Ruff, frozen baseline 9/9, and portfolio demo 2/2 passed. The tracked diff changes only check-9 code, tests, documentation, and project controls.</x:v>
      </x:c>
      <x:c r="E127" s="431" t="str">
        <x:v>Local deterministic verification / Frozen baseline replay / Diff review</x:v>
      </x:c>
      <x:c r="F127" s="431" t="str">
        <x:v>scratch/verification/check9-implementation-20260720; docs/package_assurance/equipment_datasheet_association_implementation_review_2026-07-20.md; D-104</x:v>
      </x:c>
      <x:c r="G127" s="431" t="str">
        <x:v>Check-9 implementation closeout</x:v>
      </x:c>
      <x:c r="H127" s="431" t="str">
        <x:v>Accepted</x:v>
      </x:c>
      <x:c r="I127" s="431" t="str">
        <x:v>No accepted fixture, authority map, schema, golden, held-out asset, public package, historical result, v0.2 behavior, or acceptance criterion changed.</x:v>
      </x:c>
    </x:row>
    <x:row r="128" ht="504" customHeight="1">
      <x:c r="A128" s="431" t="str">
        <x:v>EV-125</x:v>
      </x:c>
      <x:c r="B128" s="431" t="n">
        <x:v>46224</x:v>
      </x:c>
      <x:c r="C128" s="431" t="str">
        <x:v>D-104 acceptance and check-9 integration</x:v>
      </x:c>
      <x:c r="D128" s="431" t="str">
        <x:v>The CEO accepted D-104. PR #56 passed both GitHub validation checks and merged check 9 at exact main 7146b23, authorizing one narrow final-rename publication-resilience stabilization before check 10.</x:v>
      </x:c>
      <x:c r="E128" s="431" t="str">
        <x:v>User instruction / GitHub checks and merge / Project control</x:v>
      </x:c>
      <x:c r="F128" s="431" t="str">
        <x:v>User instruction 2026-07-21; PR #56; exact main 7146b23; docs/package_assurance/equipment_datasheet_association_implementation_review_2026-07-20.md; D-104</x:v>
      </x:c>
      <x:c r="G128" s="431" t="str">
        <x:v>Publication stabilization authority</x:v>
      </x:c>
      <x:c r="H128" s="431" t="str">
        <x:v>Accepted</x:v>
      </x:c>
      <x:c r="I128" s="431" t="str">
        <x:v>No check 10-11, public rerun, held-out execution, protected-asset change, or deferred capability was authorized.</x:v>
      </x:c>
    </x:row>
    <x:row r="129" ht="603" customHeight="1">
      <x:c r="A129" s="431" t="str">
        <x:v>EV-126</x:v>
      </x:c>
      <x:c r="B129" s="431" t="n">
        <x:v>46224</x:v>
      </x:c>
      <x:c r="C129" s="431" t="str">
        <x:v>Bounded final-rename retry implementation proof</x:v>
      </x:c>
      <x:c r="D129" s="431" t="str">
        <x:v>Final publication makes five total attempts with fixed 50/100/200/400 ms waits only after PermissionError. A final-directory collision or other OSError never retries. Exhaustion follows the existing failed-publication path. Four injected publication tests plus one CLI test prove recovery, exact delays, exhaustion, no-overwrite collision behavior, other-error behavior, four staged outputs, failure marker, and exit 70.</x:v>
      </x:c>
      <x:c r="E129" s="431" t="str">
        <x:v>Code review / Injected deterministic tests / CLI failure proof</x:v>
      </x:c>
      <x:c r="F129" s="431" t="str">
        <x:v>src/mech_eval_harness/package_assurance/publication.py; tests/test_package_audit_publication.py; tests/test_cli_audit_package.py; docs/package_assurance/publication_resilience_stabilization_review_2026-07-21.md; D-104-D-105</x:v>
      </x:c>
      <x:c r="G129" s="431" t="str">
        <x:v>Publication resilience contract evidence</x:v>
      </x:c>
      <x:c r="H129" s="431" t="str">
        <x:v>Ready for CEO review</x:v>
      </x:c>
      <x:c r="I129" s="431" t="str">
        <x:v>The retry is limited to the final same-parent rename. No loader, evaluator, result, report, schema, fixture, authority, or protected asset changed.</x:v>
      </x:c>
    </x:row>
    <x:row r="130" ht="576" customHeight="1">
      <x:c r="A130" s="431" t="str">
        <x:v>EV-127</x:v>
      </x:c>
      <x:c r="B130" s="431" t="n">
        <x:v>46224</x:v>
      </x:c>
      <x:c r="C130" s="431" t="str">
        <x:v>Repeated Windows publication execution proof</x:v>
      </x:c>
      <x:c r="D130" s="431" t="str">
        <x:v>Twenty consecutive real audit-package commands on Microsoft Windows returned exit 0, automatic_pass, hold false, eight passed gates, nine passed relationship checks, zero findings, and exactly four outputs. No hidden staging or failed-publication directory remained. First run RUN-20260721T153603113434Z-ab8f3cbd; last run RUN-20260721T153614063468Z-b74ed8fd.</x:v>
      </x:c>
      <x:c r="E130" s="431" t="str">
        <x:v>Controlled Windows CLI execution / Output inspection</x:v>
      </x:c>
      <x:c r="F130" s="431" t="str">
        <x:v>scratch/verification/publication-resilience-20260721/repeated_windows_audit_summary.json; scratch/verification/publication-resilience-20260721/repeated-runs; docs/package_assurance/publication_resilience_stabilization_review_2026-07-21.md</x:v>
      </x:c>
      <x:c r="G130" s="431" t="str">
        <x:v>Windows publication reliability evidence</x:v>
      </x:c>
      <x:c r="H130" s="431" t="str">
        <x:v>Ready for CEO review</x:v>
      </x:c>
      <x:c r="I130" s="431" t="str">
        <x:v>The real execution proves a stable normal path. Injected tests, not this repeated run, prove the transient PermissionError branches.</x:v>
      </x:c>
    </x:row>
    <x:row r="131" ht="558" customHeight="1">
      <x:c r="A131" s="431" t="str">
        <x:v>EV-128</x:v>
      </x:c>
      <x:c r="B131" s="431" t="n">
        <x:v>46224</x:v>
      </x:c>
      <x:c r="C131" s="431" t="str">
        <x:v>Publication stabilization regression and frozen-baseline verification</x:v>
      </x:c>
      <x:c r="D131" s="431" t="str">
        <x:v>Publication and CLI focused tests passed 24. The full suite passed 304 with one expected Windows skip at 88.08% coverage. Repository validation passed 5/5; Ruff, frozen baseline 9/9, and portfolio demo 2/2 passed. The tracked diff changes only final publication resilience, tests, documentation, and project controls.</x:v>
      </x:c>
      <x:c r="E131" s="431" t="str">
        <x:v>Local deterministic verification / Frozen baseline replay / Diff review</x:v>
      </x:c>
      <x:c r="F131" s="431" t="str">
        <x:v>scratch/verification/publication-resilience-20260721; docs/package_assurance/publication_resilience_stabilization_review_2026-07-21.md; D-105</x:v>
      </x:c>
      <x:c r="G131" s="431" t="str">
        <x:v>Publication stabilization closeout</x:v>
      </x:c>
      <x:c r="H131" s="431" t="str">
        <x:v>Ready for CEO review</x:v>
      </x:c>
      <x:c r="I131" s="431" t="str">
        <x:v>No accepted fixture, authority map, schema, golden, held-out asset, public package, historical result, v0.2 behavior, check behavior, or acceptance criterion changed.</x:v>
      </x:c>
    </x:row>
  </x:sheetData>
  <x:mergeCells>
    <x:mergeCell ref="A1:I1"/>
  </x:mergeCells>
  <x:dataValidations count="1">
    <x:dataValidation type="list" sqref="H4:H120">
      <x:formula1>"Pending,Accepted,Rejected,Superseded"</x:formula1>
    </x:dataValidation>
  </x:dataValidations>
  <x:pageMargins left="0.7" right="0.7" top="0.75" bottom="0.75" header="0.3" footer="0.3"/>
</x:worksheet>
</file>

<file path=xl/worksheets/sheet13.xml><?xml version="1.0" encoding="utf-8"?>
<x:worksheet xmlns:x="http://schemas.openxmlformats.org/spreadsheetml/2006/main">
  <x:sheetFormatPr defaultRowHeight="14.25"/>
  <x:cols>
    <x:col min="1" max="1" width="9" customWidth="1"/>
    <x:col min="2" max="2" width="18" customWidth="1"/>
    <x:col min="3" max="3" width="38" customWidth="1"/>
    <x:col min="4" max="5" width="42" customWidth="1"/>
    <x:col min="6" max="6" width="11" customWidth="1"/>
    <x:col min="7" max="7" width="12" customWidth="1"/>
    <x:col min="8" max="8" width="26" customWidth="1"/>
    <x:col min="9" max="9" width="12" customWidth="1"/>
  </x:cols>
  <x:sheetData>
    <x:row r="1" ht="27.950000762939453" customHeight="1">
      <x:c r="A1" s="234" t="str">
        <x:v>Post-MVP Expansion Backlog — v0.3.0 Selection Recorded</x:v>
      </x:c>
      <x:c r="B1" s="235"/>
      <x:c r="C1" s="235"/>
      <x:c r="D1" s="235"/>
      <x:c r="E1" s="235"/>
      <x:c r="F1" s="235"/>
      <x:c r="G1" s="235"/>
      <x:c r="H1" s="235"/>
      <x:c r="I1" s="235"/>
    </x:row>
    <x:row r="2">
      <x:c r="A2" s="233" t="str">
        <x:v>X-13 is selected as the active v0.3.0 structured Package Assurance Pilot. Other capabilities remain deferred until the pilot passes its own held-out benchmark and clean-clone release gate.</x:v>
      </x:c>
      <x:c r="B2" s="233"/>
      <x:c r="C2" s="233"/>
      <x:c r="D2" s="233"/>
      <x:c r="E2" s="233"/>
      <x:c r="F2" s="233"/>
      <x:c r="G2" s="233"/>
      <x:c r="H2" s="233"/>
      <x:c r="I2" s="233"/>
    </x:row>
    <x:row r="4" ht="30">
      <x:c r="A4" s="80" t="s">
        <x:v>0</x:v>
      </x:c>
      <x:c r="B4" s="80" t="s">
        <x:v>670</x:v>
      </x:c>
      <x:c r="C4" s="80" t="s">
        <x:v>671</x:v>
      </x:c>
      <x:c r="D4" s="80" t="s">
        <x:v>672</x:v>
      </x:c>
      <x:c r="E4" s="80" t="s">
        <x:v>673</x:v>
      </x:c>
      <x:c r="F4" s="80" t="s">
        <x:v>674</x:v>
      </x:c>
      <x:c r="G4" s="80" t="s">
        <x:v>675</x:v>
      </x:c>
      <x:c r="H4" s="80" t="s">
        <x:v>676</x:v>
      </x:c>
      <x:c r="I4" s="80" t="s">
        <x:v>56</x:v>
      </x:c>
    </x:row>
    <x:row r="5" ht="28.5">
      <x:c r="A5" s="78" t="s">
        <x:v>677</x:v>
      </x:c>
      <x:c r="B5" s="78" t="s">
        <x:v>678</x:v>
      </x:c>
      <x:c r="C5" s="78" t="s">
        <x:v>679</x:v>
      </x:c>
      <x:c r="D5" s="78" t="s">
        <x:v>680</x:v>
      </x:c>
      <x:c r="E5" s="78" t="s">
        <x:v>681</x:v>
      </x:c>
      <x:c r="F5" s="78" t="s">
        <x:v>682</x:v>
      </x:c>
      <x:c r="G5" s="78" t="s">
        <x:v>683</x:v>
      </x:c>
      <x:c r="H5" s="78" t="s">
        <x:v>684</x:v>
      </x:c>
      <x:c r="I5" s="78" t="str">
        <x:v>Deferred — expand selectively through package benchmark</x:v>
      </x:c>
    </x:row>
    <x:row r="6" ht="57">
      <x:c r="A6" s="78" t="s">
        <x:v>685</x:v>
      </x:c>
      <x:c r="B6" s="78" t="s">
        <x:v>686</x:v>
      </x:c>
      <x:c r="C6" s="78" t="s">
        <x:v>687</x:v>
      </x:c>
      <x:c r="D6" s="78" t="s">
        <x:v>688</x:v>
      </x:c>
      <x:c r="E6" s="78" t="s">
        <x:v>689</x:v>
      </x:c>
      <x:c r="F6" s="78" t="s">
        <x:v>571</x:v>
      </x:c>
      <x:c r="G6" s="78" t="s">
        <x:v>690</x:v>
      </x:c>
      <x:c r="H6" s="78" t="s">
        <x:v>686</x:v>
      </x:c>
      <x:c r="I6" s="78" t="str">
        <x:v>Deferred — v0.4+; structured manifests first</x:v>
      </x:c>
    </x:row>
    <x:row r="7" ht="57">
      <x:c r="A7" s="78" t="s">
        <x:v>691</x:v>
      </x:c>
      <x:c r="B7" s="78" t="s">
        <x:v>692</x:v>
      </x:c>
      <x:c r="C7" s="78" t="s">
        <x:v>693</x:v>
      </x:c>
      <x:c r="D7" s="78" t="s">
        <x:v>694</x:v>
      </x:c>
      <x:c r="E7" s="78" t="s">
        <x:v>695</x:v>
      </x:c>
      <x:c r="F7" s="78" t="s">
        <x:v>571</x:v>
      </x:c>
      <x:c r="G7" s="78" t="s">
        <x:v>696</x:v>
      </x:c>
      <x:c r="H7" s="78" t="s">
        <x:v>697</x:v>
      </x:c>
      <x:c r="I7" s="78" t="str">
        <x:v>Deferred — after package evaluator and sandbox/trace plan</x:v>
      </x:c>
    </x:row>
    <x:row r="8" ht="57">
      <x:c r="A8" s="78" t="s">
        <x:v>698</x:v>
      </x:c>
      <x:c r="B8" s="78" t="s">
        <x:v>699</x:v>
      </x:c>
      <x:c r="C8" s="78" t="s">
        <x:v>700</x:v>
      </x:c>
      <x:c r="D8" s="78" t="s">
        <x:v>701</x:v>
      </x:c>
      <x:c r="E8" s="78" t="s">
        <x:v>702</x:v>
      </x:c>
      <x:c r="F8" s="78" t="s">
        <x:v>571</x:v>
      </x:c>
      <x:c r="G8" s="78" t="s">
        <x:v>683</x:v>
      </x:c>
      <x:c r="H8" s="78" t="s">
        <x:v>703</x:v>
      </x:c>
      <x:c r="I8" s="78" t="s">
        <x:v>704</x:v>
      </x:c>
    </x:row>
    <x:row r="9" ht="28.5">
      <x:c r="A9" s="78" t="s">
        <x:v>705</x:v>
      </x:c>
      <x:c r="B9" s="78" t="s">
        <x:v>706</x:v>
      </x:c>
      <x:c r="C9" s="78" t="s">
        <x:v>707</x:v>
      </x:c>
      <x:c r="D9" s="78" t="s">
        <x:v>708</x:v>
      </x:c>
      <x:c r="E9" s="78" t="s">
        <x:v>709</x:v>
      </x:c>
      <x:c r="F9" s="78" t="s">
        <x:v>583</x:v>
      </x:c>
      <x:c r="G9" s="78" t="s">
        <x:v>683</x:v>
      </x:c>
      <x:c r="H9" s="78" t="s">
        <x:v>710</x:v>
      </x:c>
      <x:c r="I9" s="78" t="s">
        <x:v>704</x:v>
      </x:c>
    </x:row>
    <x:row r="10" ht="28.5">
      <x:c r="A10" s="78" t="s">
        <x:v>711</x:v>
      </x:c>
      <x:c r="B10" s="78" t="s">
        <x:v>712</x:v>
      </x:c>
      <x:c r="C10" s="78" t="s">
        <x:v>713</x:v>
      </x:c>
      <x:c r="D10" s="78" t="s">
        <x:v>714</x:v>
      </x:c>
      <x:c r="E10" s="78" t="s">
        <x:v>715</x:v>
      </x:c>
      <x:c r="F10" s="78" t="s">
        <x:v>583</x:v>
      </x:c>
      <x:c r="G10" s="78" t="s">
        <x:v>716</x:v>
      </x:c>
      <x:c r="H10" s="78" t="s">
        <x:v>712</x:v>
      </x:c>
      <x:c r="I10" s="78" t="s">
        <x:v>704</x:v>
      </x:c>
    </x:row>
    <x:row r="11" ht="28.5">
      <x:c r="A11" s="78" t="s">
        <x:v>717</x:v>
      </x:c>
      <x:c r="B11" s="78" t="s">
        <x:v>718</x:v>
      </x:c>
      <x:c r="C11" s="78" t="s">
        <x:v>719</x:v>
      </x:c>
      <x:c r="D11" s="78" t="s">
        <x:v>720</x:v>
      </x:c>
      <x:c r="E11" s="78" t="s">
        <x:v>721</x:v>
      </x:c>
      <x:c r="F11" s="78" t="s">
        <x:v>583</x:v>
      </x:c>
      <x:c r="G11" s="78" t="s">
        <x:v>722</x:v>
      </x:c>
      <x:c r="H11" s="78" t="s">
        <x:v>723</x:v>
      </x:c>
      <x:c r="I11" s="78" t="s">
        <x:v>704</x:v>
      </x:c>
    </x:row>
    <x:row r="12" ht="28.5">
      <x:c r="A12" s="78" t="s">
        <x:v>724</x:v>
      </x:c>
      <x:c r="B12" s="78" t="s">
        <x:v>725</x:v>
      </x:c>
      <x:c r="C12" s="78" t="s">
        <x:v>726</x:v>
      </x:c>
      <x:c r="D12" s="78" t="s">
        <x:v>727</x:v>
      </x:c>
      <x:c r="E12" s="78" t="s">
        <x:v>728</x:v>
      </x:c>
      <x:c r="F12" s="78" t="s">
        <x:v>595</x:v>
      </x:c>
      <x:c r="G12" s="78" t="s">
        <x:v>696</x:v>
      </x:c>
      <x:c r="H12" s="78" t="s">
        <x:v>725</x:v>
      </x:c>
      <x:c r="I12" s="78" t="s">
        <x:v>704</x:v>
      </x:c>
    </x:row>
    <x:row r="13" ht="28.5">
      <x:c r="A13" s="78" t="s">
        <x:v>729</x:v>
      </x:c>
      <x:c r="B13" s="78" t="s">
        <x:v>723</x:v>
      </x:c>
      <x:c r="C13" s="78" t="s">
        <x:v>730</x:v>
      </x:c>
      <x:c r="D13" s="78" t="s">
        <x:v>731</x:v>
      </x:c>
      <x:c r="E13" s="78" t="s">
        <x:v>732</x:v>
      </x:c>
      <x:c r="F13" s="78" t="s">
        <x:v>583</x:v>
      </x:c>
      <x:c r="G13" s="78" t="s">
        <x:v>716</x:v>
      </x:c>
      <x:c r="H13" s="78" t="s">
        <x:v>723</x:v>
      </x:c>
      <x:c r="I13" s="78" t="s">
        <x:v>704</x:v>
      </x:c>
    </x:row>
    <x:row r="14" ht="28.5">
      <x:c r="A14" s="78" t="s">
        <x:v>733</x:v>
      </x:c>
      <x:c r="B14" s="78" t="s">
        <x:v>734</x:v>
      </x:c>
      <x:c r="C14" s="78" t="s">
        <x:v>735</x:v>
      </x:c>
      <x:c r="D14" s="78" t="s">
        <x:v>736</x:v>
      </x:c>
      <x:c r="E14" s="78" t="s">
        <x:v>737</x:v>
      </x:c>
      <x:c r="F14" s="78" t="s">
        <x:v>583</x:v>
      </x:c>
      <x:c r="G14" s="78" t="s">
        <x:v>738</x:v>
      </x:c>
      <x:c r="H14" s="78" t="s">
        <x:v>734</x:v>
      </x:c>
      <x:c r="I14" s="78" t="s">
        <x:v>704</x:v>
      </x:c>
    </x:row>
    <x:row r="15" ht="28.5">
      <x:c r="A15" s="78" t="s">
        <x:v>739</x:v>
      </x:c>
      <x:c r="B15" s="78" t="s">
        <x:v>740</x:v>
      </x:c>
      <x:c r="C15" s="78" t="s">
        <x:v>741</x:v>
      </x:c>
      <x:c r="D15" s="78" t="s">
        <x:v>742</x:v>
      </x:c>
      <x:c r="E15" s="78" t="s">
        <x:v>743</x:v>
      </x:c>
      <x:c r="F15" s="78" t="s">
        <x:v>595</x:v>
      </x:c>
      <x:c r="G15" s="78" t="s">
        <x:v>744</x:v>
      </x:c>
      <x:c r="H15" s="78" t="s">
        <x:v>745</x:v>
      </x:c>
      <x:c r="I15" s="78" t="s">
        <x:v>704</x:v>
      </x:c>
    </x:row>
    <x:row r="16" ht="28.5">
      <x:c r="A16" s="78" t="s">
        <x:v>746</x:v>
      </x:c>
      <x:c r="B16" s="78" t="s">
        <x:v>747</x:v>
      </x:c>
      <x:c r="C16" s="78" t="s">
        <x:v>748</x:v>
      </x:c>
      <x:c r="D16" s="78" t="s">
        <x:v>749</x:v>
      </x:c>
      <x:c r="E16" s="78" t="s">
        <x:v>750</x:v>
      </x:c>
      <x:c r="F16" s="78" t="s">
        <x:v>595</x:v>
      </x:c>
      <x:c r="G16" s="78" t="s">
        <x:v>751</x:v>
      </x:c>
      <x:c r="H16" s="78" t="s">
        <x:v>747</x:v>
      </x:c>
      <x:c r="I16" s="78" t="s">
        <x:v>704</x:v>
      </x:c>
    </x:row>
    <x:row r="17" ht="72" customHeight="1">
      <x:c r="A17" s="182" t="s">
        <x:v>752</x:v>
      </x:c>
      <x:c r="B17" s="183" t="s">
        <x:v>753</x:v>
      </x:c>
      <x:c r="C17" s="183" t="s">
        <x:v>754</x:v>
      </x:c>
      <x:c r="D17" s="183" t="s">
        <x:v>755</x:v>
      </x:c>
      <x:c r="E17" s="183" t="str">
        <x:v>MVP v0.2.0 released; P0 contract and authority map approved; structured package manifests and reviewed ground truth available.</x:v>
      </x:c>
      <x:c r="F17" s="183" t="str">
        <x:v>Now</x:v>
      </x:c>
      <x:c r="G17" s="183" t="str">
        <x:v>46</x:v>
      </x:c>
      <x:c r="H17" s="183" t="s">
        <x:v>756</x:v>
      </x:c>
      <x:c r="I17" s="184" t="str">
        <x:v>Selected — v0.3.0</x:v>
      </x:c>
    </x:row>
    <x:row r="18" ht="72" customHeight="1">
      <x:c r="A18" s="185" t="s">
        <x:v>757</x:v>
      </x:c>
      <x:c r="B18" s="83" t="s">
        <x:v>758</x:v>
      </x:c>
      <x:c r="C18" s="83" t="s">
        <x:v>759</x:v>
      </x:c>
      <x:c r="D18" s="83" t="s">
        <x:v>760</x:v>
      </x:c>
      <x:c r="E18" s="83" t="s">
        <x:v>761</x:v>
      </x:c>
      <x:c r="F18" s="83" t="s">
        <x:v>571</x:v>
      </x:c>
      <x:c r="G18" s="83" t="s">
        <x:v>762</x:v>
      </x:c>
      <x:c r="H18" s="83" t="s">
        <x:v>763</x:v>
      </x:c>
      <x:c r="I18" s="186" t="s">
        <x:v>704</x:v>
      </x:c>
    </x:row>
    <x:row r="19" ht="72" customHeight="1">
      <x:c r="A19" s="187" t="s">
        <x:v>764</x:v>
      </x:c>
      <x:c r="B19" s="188" t="s">
        <x:v>765</x:v>
      </x:c>
      <x:c r="C19" s="188" t="s">
        <x:v>766</x:v>
      </x:c>
      <x:c r="D19" s="188" t="s">
        <x:v>767</x:v>
      </x:c>
      <x:c r="E19" s="188" t="s">
        <x:v>768</x:v>
      </x:c>
      <x:c r="F19" s="188" t="s">
        <x:v>571</x:v>
      </x:c>
      <x:c r="G19" s="188" t="s">
        <x:v>751</x:v>
      </x:c>
      <x:c r="H19" s="188" t="s">
        <x:v>769</x:v>
      </x:c>
      <x:c r="I19" s="189" t="s">
        <x:v>704</x:v>
      </x:c>
    </x:row>
    <x:row r="20">
      <x:c r="A20" s="78"/>
      <x:c r="B20" s="78"/>
      <x:c r="C20" s="78"/>
      <x:c r="D20" s="78"/>
      <x:c r="E20" s="78"/>
      <x:c r="F20" s="78"/>
      <x:c r="G20" s="78"/>
      <x:c r="H20" s="78"/>
      <x:c r="I20" s="78"/>
    </x:row>
    <x:row r="21">
      <x:c r="A21" s="78"/>
      <x:c r="B21" s="78"/>
      <x:c r="C21" s="78"/>
      <x:c r="D21" s="78"/>
      <x:c r="E21" s="78"/>
      <x:c r="F21" s="78"/>
      <x:c r="G21" s="78"/>
      <x:c r="H21" s="78"/>
      <x:c r="I21" s="78"/>
    </x:row>
    <x:row r="22">
      <x:c r="A22" s="78"/>
      <x:c r="B22" s="78"/>
      <x:c r="C22" s="78"/>
      <x:c r="D22" s="78"/>
      <x:c r="E22" s="78"/>
      <x:c r="F22" s="78"/>
      <x:c r="G22" s="78"/>
      <x:c r="H22" s="78"/>
      <x:c r="I22" s="78"/>
    </x:row>
    <x:row r="23">
      <x:c r="A23" s="78"/>
      <x:c r="B23" s="78"/>
      <x:c r="C23" s="78"/>
      <x:c r="D23" s="78"/>
      <x:c r="E23" s="78"/>
      <x:c r="F23" s="78"/>
      <x:c r="G23" s="78"/>
      <x:c r="H23" s="78"/>
      <x:c r="I23" s="78"/>
    </x:row>
    <x:row r="24">
      <x:c r="A24" s="78"/>
      <x:c r="B24" s="78"/>
      <x:c r="C24" s="78"/>
      <x:c r="D24" s="78"/>
      <x:c r="E24" s="78"/>
      <x:c r="F24" s="78"/>
      <x:c r="G24" s="78"/>
      <x:c r="H24" s="78"/>
      <x:c r="I24" s="78"/>
    </x:row>
    <x:row r="25">
      <x:c r="A25" s="78"/>
      <x:c r="B25" s="78"/>
      <x:c r="C25" s="78"/>
      <x:c r="D25" s="78"/>
      <x:c r="E25" s="78"/>
      <x:c r="F25" s="78"/>
      <x:c r="G25" s="78"/>
      <x:c r="H25" s="78"/>
      <x:c r="I25" s="78"/>
    </x:row>
    <x:row r="26">
      <x:c r="A26" s="78"/>
      <x:c r="B26" s="78"/>
      <x:c r="C26" s="78"/>
      <x:c r="D26" s="78"/>
      <x:c r="E26" s="78"/>
      <x:c r="F26" s="78"/>
      <x:c r="G26" s="78"/>
      <x:c r="H26" s="78"/>
      <x:c r="I26" s="78"/>
    </x:row>
    <x:row r="27">
      <x:c r="A27" s="78"/>
      <x:c r="B27" s="78"/>
      <x:c r="C27" s="78"/>
      <x:c r="D27" s="78"/>
      <x:c r="E27" s="78"/>
      <x:c r="F27" s="78"/>
      <x:c r="G27" s="78"/>
      <x:c r="H27" s="78"/>
      <x:c r="I27" s="78"/>
    </x:row>
    <x:row r="28">
      <x:c r="A28" s="78"/>
      <x:c r="B28" s="78"/>
      <x:c r="C28" s="78"/>
      <x:c r="D28" s="78"/>
      <x:c r="E28" s="78"/>
      <x:c r="F28" s="78"/>
      <x:c r="G28" s="78"/>
      <x:c r="H28" s="78"/>
      <x:c r="I28" s="78"/>
    </x:row>
    <x:row r="29">
      <x:c r="A29" s="78"/>
      <x:c r="B29" s="78"/>
      <x:c r="C29" s="78"/>
      <x:c r="D29" s="78"/>
      <x:c r="E29" s="78"/>
      <x:c r="F29" s="78"/>
      <x:c r="G29" s="78"/>
      <x:c r="H29" s="78"/>
      <x:c r="I29" s="78"/>
    </x:row>
    <x:row r="30">
      <x:c r="A30" s="78"/>
      <x:c r="B30" s="78"/>
      <x:c r="C30" s="78"/>
      <x:c r="D30" s="78"/>
      <x:c r="E30" s="78"/>
      <x:c r="F30" s="78"/>
      <x:c r="G30" s="78"/>
      <x:c r="H30" s="78"/>
      <x:c r="I30" s="78"/>
    </x:row>
    <x:row r="31">
      <x:c r="A31" s="78"/>
      <x:c r="B31" s="78"/>
      <x:c r="C31" s="78"/>
      <x:c r="D31" s="78"/>
      <x:c r="E31" s="78"/>
      <x:c r="F31" s="78"/>
      <x:c r="G31" s="78"/>
      <x:c r="H31" s="78"/>
      <x:c r="I31" s="78"/>
    </x:row>
    <x:row r="32">
      <x:c r="A32" s="78"/>
      <x:c r="B32" s="78"/>
      <x:c r="C32" s="78"/>
      <x:c r="D32" s="78"/>
      <x:c r="E32" s="78"/>
      <x:c r="F32" s="78"/>
      <x:c r="G32" s="78"/>
      <x:c r="H32" s="78"/>
      <x:c r="I32" s="78"/>
    </x:row>
    <x:row r="33">
      <x:c r="A33" s="78"/>
      <x:c r="B33" s="78"/>
      <x:c r="C33" s="78"/>
      <x:c r="D33" s="78"/>
      <x:c r="E33" s="78"/>
      <x:c r="F33" s="78"/>
      <x:c r="G33" s="78"/>
      <x:c r="H33" s="78"/>
      <x:c r="I33" s="78"/>
    </x:row>
    <x:row r="34">
      <x:c r="A34" s="78"/>
      <x:c r="B34" s="78"/>
      <x:c r="C34" s="78"/>
      <x:c r="D34" s="78"/>
      <x:c r="E34" s="78"/>
      <x:c r="F34" s="78"/>
      <x:c r="G34" s="78"/>
      <x:c r="H34" s="78"/>
      <x:c r="I34" s="78"/>
    </x:row>
    <x:row r="35">
      <x:c r="A35" s="78"/>
      <x:c r="B35" s="78"/>
      <x:c r="C35" s="78"/>
      <x:c r="D35" s="78"/>
      <x:c r="E35" s="78"/>
      <x:c r="F35" s="78"/>
      <x:c r="G35" s="78"/>
      <x:c r="H35" s="78"/>
      <x:c r="I35" s="78"/>
    </x:row>
    <x:row r="36">
      <x:c r="A36" s="78"/>
      <x:c r="B36" s="78"/>
      <x:c r="C36" s="78"/>
      <x:c r="D36" s="78"/>
      <x:c r="E36" s="78"/>
      <x:c r="F36" s="78"/>
      <x:c r="G36" s="78"/>
      <x:c r="H36" s="78"/>
      <x:c r="I36" s="78"/>
    </x:row>
    <x:row r="37">
      <x:c r="A37" s="78"/>
      <x:c r="B37" s="78"/>
      <x:c r="C37" s="78"/>
      <x:c r="D37" s="78"/>
      <x:c r="E37" s="78"/>
      <x:c r="F37" s="78"/>
      <x:c r="G37" s="78"/>
      <x:c r="H37" s="78"/>
      <x:c r="I37" s="78"/>
    </x:row>
    <x:row r="38">
      <x:c r="A38" s="78"/>
      <x:c r="B38" s="78"/>
      <x:c r="C38" s="78"/>
      <x:c r="D38" s="78"/>
      <x:c r="E38" s="78"/>
      <x:c r="F38" s="78"/>
      <x:c r="G38" s="78"/>
      <x:c r="H38" s="78"/>
      <x:c r="I38" s="78"/>
    </x:row>
    <x:row r="39">
      <x:c r="A39" s="78"/>
      <x:c r="B39" s="78"/>
      <x:c r="C39" s="78"/>
      <x:c r="D39" s="78"/>
      <x:c r="E39" s="78"/>
      <x:c r="F39" s="78"/>
      <x:c r="G39" s="78"/>
      <x:c r="H39" s="78"/>
      <x:c r="I39" s="78"/>
    </x:row>
    <x:row r="40">
      <x:c r="A40" s="78"/>
      <x:c r="B40" s="78"/>
      <x:c r="C40" s="78"/>
      <x:c r="D40" s="78"/>
      <x:c r="E40" s="78"/>
      <x:c r="F40" s="78"/>
      <x:c r="G40" s="78"/>
      <x:c r="H40" s="78"/>
      <x:c r="I40" s="78"/>
    </x:row>
    <x:row r="41">
      <x:c r="A41" s="78"/>
      <x:c r="B41" s="78"/>
      <x:c r="C41" s="78"/>
      <x:c r="D41" s="78"/>
      <x:c r="E41" s="78"/>
      <x:c r="F41" s="78"/>
      <x:c r="G41" s="78"/>
      <x:c r="H41" s="78"/>
      <x:c r="I41" s="78"/>
    </x:row>
    <x:row r="42">
      <x:c r="A42" s="78"/>
      <x:c r="B42" s="78"/>
      <x:c r="C42" s="78"/>
      <x:c r="D42" s="78"/>
      <x:c r="E42" s="78"/>
      <x:c r="F42" s="78"/>
      <x:c r="G42" s="78"/>
      <x:c r="H42" s="78"/>
      <x:c r="I42" s="78"/>
    </x:row>
    <x:row r="43">
      <x:c r="A43" s="78"/>
      <x:c r="B43" s="78"/>
      <x:c r="C43" s="78"/>
      <x:c r="D43" s="78"/>
      <x:c r="E43" s="78"/>
      <x:c r="F43" s="78"/>
      <x:c r="G43" s="78"/>
      <x:c r="H43" s="78"/>
      <x:c r="I43" s="78"/>
    </x:row>
    <x:row r="44">
      <x:c r="A44" s="78"/>
      <x:c r="B44" s="78"/>
      <x:c r="C44" s="78"/>
      <x:c r="D44" s="78"/>
      <x:c r="E44" s="78"/>
      <x:c r="F44" s="78"/>
      <x:c r="G44" s="78"/>
      <x:c r="H44" s="78"/>
      <x:c r="I44" s="78"/>
    </x:row>
    <x:row r="45">
      <x:c r="A45" s="78"/>
      <x:c r="B45" s="78"/>
      <x:c r="C45" s="78"/>
      <x:c r="D45" s="78"/>
      <x:c r="E45" s="78"/>
      <x:c r="F45" s="78"/>
      <x:c r="G45" s="78"/>
      <x:c r="H45" s="78"/>
      <x:c r="I45" s="78"/>
    </x:row>
    <x:row r="46">
      <x:c r="A46" s="78"/>
      <x:c r="B46" s="78"/>
      <x:c r="C46" s="78"/>
      <x:c r="D46" s="78"/>
      <x:c r="E46" s="78"/>
      <x:c r="F46" s="78"/>
      <x:c r="G46" s="78"/>
      <x:c r="H46" s="78"/>
      <x:c r="I46" s="78"/>
    </x:row>
    <x:row r="47">
      <x:c r="A47" s="78"/>
      <x:c r="B47" s="78"/>
      <x:c r="C47" s="78"/>
      <x:c r="D47" s="78"/>
      <x:c r="E47" s="78"/>
      <x:c r="F47" s="78"/>
      <x:c r="G47" s="78"/>
      <x:c r="H47" s="78"/>
      <x:c r="I47" s="78"/>
    </x:row>
    <x:row r="48">
      <x:c r="A48" s="78"/>
      <x:c r="B48" s="78"/>
      <x:c r="C48" s="78"/>
      <x:c r="D48" s="78"/>
      <x:c r="E48" s="78"/>
      <x:c r="F48" s="78"/>
      <x:c r="G48" s="78"/>
      <x:c r="H48" s="78"/>
      <x:c r="I48" s="78"/>
    </x:row>
    <x:row r="49">
      <x:c r="A49" s="78"/>
      <x:c r="B49" s="78"/>
      <x:c r="C49" s="78"/>
      <x:c r="D49" s="78"/>
      <x:c r="E49" s="78"/>
      <x:c r="F49" s="78"/>
      <x:c r="G49" s="78"/>
      <x:c r="H49" s="78"/>
      <x:c r="I49" s="78"/>
    </x:row>
    <x:row r="50">
      <x:c r="A50" s="78"/>
      <x:c r="B50" s="78"/>
      <x:c r="C50" s="78"/>
      <x:c r="D50" s="78"/>
      <x:c r="E50" s="78"/>
      <x:c r="F50" s="78"/>
      <x:c r="G50" s="78"/>
      <x:c r="H50" s="78"/>
      <x:c r="I50" s="78"/>
    </x:row>
    <x:row r="51">
      <x:c r="A51" s="78"/>
      <x:c r="B51" s="78"/>
      <x:c r="C51" s="78"/>
      <x:c r="D51" s="78"/>
      <x:c r="E51" s="78"/>
      <x:c r="F51" s="78"/>
      <x:c r="G51" s="78"/>
      <x:c r="H51" s="78"/>
      <x:c r="I51" s="78"/>
    </x:row>
    <x:row r="52">
      <x:c r="A52" s="78"/>
      <x:c r="B52" s="78"/>
      <x:c r="C52" s="78"/>
      <x:c r="D52" s="78"/>
      <x:c r="E52" s="78"/>
      <x:c r="F52" s="78"/>
      <x:c r="G52" s="78"/>
      <x:c r="H52" s="78"/>
      <x:c r="I52" s="78"/>
    </x:row>
    <x:row r="53">
      <x:c r="A53" s="78"/>
      <x:c r="B53" s="78"/>
      <x:c r="C53" s="78"/>
      <x:c r="D53" s="78"/>
      <x:c r="E53" s="78"/>
      <x:c r="F53" s="78"/>
      <x:c r="G53" s="78"/>
      <x:c r="H53" s="78"/>
      <x:c r="I53" s="78"/>
    </x:row>
    <x:row r="54">
      <x:c r="A54" s="78"/>
      <x:c r="B54" s="78"/>
      <x:c r="C54" s="78"/>
      <x:c r="D54" s="78"/>
      <x:c r="E54" s="78"/>
      <x:c r="F54" s="78"/>
      <x:c r="G54" s="78"/>
      <x:c r="H54" s="78"/>
      <x:c r="I54" s="78"/>
    </x:row>
    <x:row r="55">
      <x:c r="A55" s="78"/>
      <x:c r="B55" s="78"/>
      <x:c r="C55" s="78"/>
      <x:c r="D55" s="78"/>
      <x:c r="E55" s="78"/>
      <x:c r="F55" s="78"/>
      <x:c r="G55" s="78"/>
      <x:c r="H55" s="78"/>
      <x:c r="I55" s="78"/>
    </x:row>
    <x:row r="56">
      <x:c r="A56" s="78"/>
      <x:c r="B56" s="78"/>
      <x:c r="C56" s="78"/>
      <x:c r="D56" s="78"/>
      <x:c r="E56" s="78"/>
      <x:c r="F56" s="78"/>
      <x:c r="G56" s="78"/>
      <x:c r="H56" s="78"/>
      <x:c r="I56" s="78"/>
    </x:row>
    <x:row r="57">
      <x:c r="A57" s="78"/>
      <x:c r="B57" s="78"/>
      <x:c r="C57" s="78"/>
      <x:c r="D57" s="78"/>
      <x:c r="E57" s="78"/>
      <x:c r="F57" s="78"/>
      <x:c r="G57" s="78"/>
      <x:c r="H57" s="78"/>
      <x:c r="I57" s="78"/>
    </x:row>
    <x:row r="58">
      <x:c r="A58" s="78"/>
      <x:c r="B58" s="78"/>
      <x:c r="C58" s="78"/>
      <x:c r="D58" s="78"/>
      <x:c r="E58" s="78"/>
      <x:c r="F58" s="78"/>
      <x:c r="G58" s="78"/>
      <x:c r="H58" s="78"/>
      <x:c r="I58" s="78"/>
    </x:row>
    <x:row r="59">
      <x:c r="A59" s="78"/>
      <x:c r="B59" s="78"/>
      <x:c r="C59" s="78"/>
      <x:c r="D59" s="78"/>
      <x:c r="E59" s="78"/>
      <x:c r="F59" s="78"/>
      <x:c r="G59" s="78"/>
      <x:c r="H59" s="78"/>
      <x:c r="I59" s="78"/>
    </x:row>
    <x:row r="60">
      <x:c r="A60" s="78"/>
      <x:c r="B60" s="78"/>
      <x:c r="C60" s="78"/>
      <x:c r="D60" s="78"/>
      <x:c r="E60" s="78"/>
      <x:c r="F60" s="78"/>
      <x:c r="G60" s="78"/>
      <x:c r="H60" s="78"/>
      <x:c r="I60" s="78"/>
    </x:row>
    <x:row r="61">
      <x:c r="A61" s="78"/>
      <x:c r="B61" s="78"/>
      <x:c r="C61" s="78"/>
      <x:c r="D61" s="78"/>
      <x:c r="E61" s="78"/>
      <x:c r="F61" s="78"/>
      <x:c r="G61" s="78"/>
      <x:c r="H61" s="78"/>
      <x:c r="I61" s="78"/>
    </x:row>
    <x:row r="62">
      <x:c r="A62" s="78"/>
      <x:c r="B62" s="78"/>
      <x:c r="C62" s="78"/>
      <x:c r="D62" s="78"/>
      <x:c r="E62" s="78"/>
      <x:c r="F62" s="78"/>
      <x:c r="G62" s="78"/>
      <x:c r="H62" s="78"/>
      <x:c r="I62" s="78"/>
    </x:row>
    <x:row r="63">
      <x:c r="A63" s="78"/>
      <x:c r="B63" s="78"/>
      <x:c r="C63" s="78"/>
      <x:c r="D63" s="78"/>
      <x:c r="E63" s="78"/>
      <x:c r="F63" s="78"/>
      <x:c r="G63" s="78"/>
      <x:c r="H63" s="78"/>
      <x:c r="I63" s="78"/>
    </x:row>
    <x:row r="64">
      <x:c r="A64" s="78"/>
      <x:c r="B64" s="78"/>
      <x:c r="C64" s="78"/>
      <x:c r="D64" s="78"/>
      <x:c r="E64" s="78"/>
      <x:c r="F64" s="78"/>
      <x:c r="G64" s="78"/>
      <x:c r="H64" s="78"/>
      <x:c r="I64" s="78"/>
    </x:row>
    <x:row r="65">
      <x:c r="A65" s="78"/>
      <x:c r="B65" s="78"/>
      <x:c r="C65" s="78"/>
      <x:c r="D65" s="78"/>
      <x:c r="E65" s="78"/>
      <x:c r="F65" s="78"/>
      <x:c r="G65" s="78"/>
      <x:c r="H65" s="78"/>
      <x:c r="I65" s="78"/>
    </x:row>
    <x:row r="66">
      <x:c r="A66" s="78"/>
      <x:c r="B66" s="78"/>
      <x:c r="C66" s="78"/>
      <x:c r="D66" s="78"/>
      <x:c r="E66" s="78"/>
      <x:c r="F66" s="78"/>
      <x:c r="G66" s="78"/>
      <x:c r="H66" s="78"/>
      <x:c r="I66" s="78"/>
    </x:row>
    <x:row r="67">
      <x:c r="A67" s="78"/>
      <x:c r="B67" s="78"/>
      <x:c r="C67" s="78"/>
      <x:c r="D67" s="78"/>
      <x:c r="E67" s="78"/>
      <x:c r="F67" s="78"/>
      <x:c r="G67" s="78"/>
      <x:c r="H67" s="78"/>
      <x:c r="I67" s="78"/>
    </x:row>
    <x:row r="68">
      <x:c r="A68" s="78"/>
      <x:c r="B68" s="78"/>
      <x:c r="C68" s="78"/>
      <x:c r="D68" s="78"/>
      <x:c r="E68" s="78"/>
      <x:c r="F68" s="78"/>
      <x:c r="G68" s="78"/>
      <x:c r="H68" s="78"/>
      <x:c r="I68" s="78"/>
    </x:row>
    <x:row r="69">
      <x:c r="A69" s="78"/>
      <x:c r="B69" s="78"/>
      <x:c r="C69" s="78"/>
      <x:c r="D69" s="78"/>
      <x:c r="E69" s="78"/>
      <x:c r="F69" s="78"/>
      <x:c r="G69" s="78"/>
      <x:c r="H69" s="78"/>
      <x:c r="I69" s="78"/>
    </x:row>
    <x:row r="70">
      <x:c r="A70" s="78"/>
      <x:c r="B70" s="78"/>
      <x:c r="C70" s="78"/>
      <x:c r="D70" s="78"/>
      <x:c r="E70" s="78"/>
      <x:c r="F70" s="78"/>
      <x:c r="G70" s="78"/>
      <x:c r="H70" s="78"/>
      <x:c r="I70" s="78"/>
    </x:row>
    <x:row r="71">
      <x:c r="A71" s="78"/>
      <x:c r="B71" s="78"/>
      <x:c r="C71" s="78"/>
      <x:c r="D71" s="78"/>
      <x:c r="E71" s="78"/>
      <x:c r="F71" s="78"/>
      <x:c r="G71" s="78"/>
      <x:c r="H71" s="78"/>
      <x:c r="I71" s="78"/>
    </x:row>
    <x:row r="72">
      <x:c r="A72" s="78"/>
      <x:c r="B72" s="78"/>
      <x:c r="C72" s="78"/>
      <x:c r="D72" s="78"/>
      <x:c r="E72" s="78"/>
      <x:c r="F72" s="78"/>
      <x:c r="G72" s="78"/>
      <x:c r="H72" s="78"/>
      <x:c r="I72" s="78"/>
    </x:row>
    <x:row r="73">
      <x:c r="A73" s="78"/>
      <x:c r="B73" s="78"/>
      <x:c r="C73" s="78"/>
      <x:c r="D73" s="78"/>
      <x:c r="E73" s="78"/>
      <x:c r="F73" s="78"/>
      <x:c r="G73" s="78"/>
      <x:c r="H73" s="78"/>
      <x:c r="I73" s="78"/>
    </x:row>
    <x:row r="74">
      <x:c r="A74" s="78"/>
      <x:c r="B74" s="78"/>
      <x:c r="C74" s="78"/>
      <x:c r="D74" s="78"/>
      <x:c r="E74" s="78"/>
      <x:c r="F74" s="78"/>
      <x:c r="G74" s="78"/>
      <x:c r="H74" s="78"/>
      <x:c r="I74" s="78"/>
    </x:row>
    <x:row r="75">
      <x:c r="A75" s="78"/>
      <x:c r="B75" s="78"/>
      <x:c r="C75" s="78"/>
      <x:c r="D75" s="78"/>
      <x:c r="E75" s="78"/>
      <x:c r="F75" s="78"/>
      <x:c r="G75" s="78"/>
      <x:c r="H75" s="78"/>
      <x:c r="I75" s="78"/>
    </x:row>
    <x:row r="76">
      <x:c r="A76" s="78"/>
      <x:c r="B76" s="78"/>
      <x:c r="C76" s="78"/>
      <x:c r="D76" s="78"/>
      <x:c r="E76" s="78"/>
      <x:c r="F76" s="78"/>
      <x:c r="G76" s="78"/>
      <x:c r="H76" s="78"/>
      <x:c r="I76" s="78"/>
    </x:row>
    <x:row r="77">
      <x:c r="A77" s="78"/>
      <x:c r="B77" s="78"/>
      <x:c r="C77" s="78"/>
      <x:c r="D77" s="78"/>
      <x:c r="E77" s="78"/>
      <x:c r="F77" s="78"/>
      <x:c r="G77" s="78"/>
      <x:c r="H77" s="78"/>
      <x:c r="I77" s="78"/>
    </x:row>
    <x:row r="78">
      <x:c r="A78" s="78"/>
      <x:c r="B78" s="78"/>
      <x:c r="C78" s="78"/>
      <x:c r="D78" s="78"/>
      <x:c r="E78" s="78"/>
      <x:c r="F78" s="78"/>
      <x:c r="G78" s="78"/>
      <x:c r="H78" s="78"/>
      <x:c r="I78" s="78"/>
    </x:row>
    <x:row r="79">
      <x:c r="A79" s="78"/>
      <x:c r="B79" s="78"/>
      <x:c r="C79" s="78"/>
      <x:c r="D79" s="78"/>
      <x:c r="E79" s="78"/>
      <x:c r="F79" s="78"/>
      <x:c r="G79" s="78"/>
      <x:c r="H79" s="78"/>
      <x:c r="I79" s="78"/>
    </x:row>
    <x:row r="80">
      <x:c r="A80" s="78"/>
      <x:c r="B80" s="78"/>
      <x:c r="C80" s="78"/>
      <x:c r="D80" s="78"/>
      <x:c r="E80" s="78"/>
      <x:c r="F80" s="78"/>
      <x:c r="G80" s="78"/>
      <x:c r="H80" s="78"/>
      <x:c r="I80" s="78"/>
    </x:row>
    <x:row r="81">
      <x:c r="A81" s="78"/>
      <x:c r="B81" s="78"/>
      <x:c r="C81" s="78"/>
      <x:c r="D81" s="78"/>
      <x:c r="E81" s="78"/>
      <x:c r="F81" s="78"/>
      <x:c r="G81" s="78"/>
      <x:c r="H81" s="78"/>
      <x:c r="I81" s="78"/>
    </x:row>
    <x:row r="82">
      <x:c r="A82" s="78"/>
      <x:c r="B82" s="78"/>
      <x:c r="C82" s="78"/>
      <x:c r="D82" s="78"/>
      <x:c r="E82" s="78"/>
      <x:c r="F82" s="78"/>
      <x:c r="G82" s="78"/>
      <x:c r="H82" s="78"/>
      <x:c r="I82" s="78"/>
    </x:row>
    <x:row r="83">
      <x:c r="A83" s="78"/>
      <x:c r="B83" s="78"/>
      <x:c r="C83" s="78"/>
      <x:c r="D83" s="78"/>
      <x:c r="E83" s="78"/>
      <x:c r="F83" s="78"/>
      <x:c r="G83" s="78"/>
      <x:c r="H83" s="78"/>
      <x:c r="I83" s="78"/>
    </x:row>
    <x:row r="84">
      <x:c r="A84" s="78"/>
      <x:c r="B84" s="78"/>
      <x:c r="C84" s="78"/>
      <x:c r="D84" s="78"/>
      <x:c r="E84" s="78"/>
      <x:c r="F84" s="78"/>
      <x:c r="G84" s="78"/>
      <x:c r="H84" s="78"/>
      <x:c r="I84" s="78"/>
    </x:row>
    <x:row r="85">
      <x:c r="A85" s="78"/>
      <x:c r="B85" s="78"/>
      <x:c r="C85" s="78"/>
      <x:c r="D85" s="78"/>
      <x:c r="E85" s="78"/>
      <x:c r="F85" s="78"/>
      <x:c r="G85" s="78"/>
      <x:c r="H85" s="78"/>
      <x:c r="I85" s="78"/>
    </x:row>
    <x:row r="86">
      <x:c r="A86" s="78"/>
      <x:c r="B86" s="78"/>
      <x:c r="C86" s="78"/>
      <x:c r="D86" s="78"/>
      <x:c r="E86" s="78"/>
      <x:c r="F86" s="78"/>
      <x:c r="G86" s="78"/>
      <x:c r="H86" s="78"/>
      <x:c r="I86" s="78"/>
    </x:row>
    <x:row r="87">
      <x:c r="A87" s="78"/>
      <x:c r="B87" s="78"/>
      <x:c r="C87" s="78"/>
      <x:c r="D87" s="78"/>
      <x:c r="E87" s="78"/>
      <x:c r="F87" s="78"/>
      <x:c r="G87" s="78"/>
      <x:c r="H87" s="78"/>
      <x:c r="I87" s="78"/>
    </x:row>
    <x:row r="88">
      <x:c r="A88" s="78"/>
      <x:c r="B88" s="78"/>
      <x:c r="C88" s="78"/>
      <x:c r="D88" s="78"/>
      <x:c r="E88" s="78"/>
      <x:c r="F88" s="78"/>
      <x:c r="G88" s="78"/>
      <x:c r="H88" s="78"/>
      <x:c r="I88" s="78"/>
    </x:row>
    <x:row r="89">
      <x:c r="A89" s="78"/>
      <x:c r="B89" s="78"/>
      <x:c r="C89" s="78"/>
      <x:c r="D89" s="78"/>
      <x:c r="E89" s="78"/>
      <x:c r="F89" s="78"/>
      <x:c r="G89" s="78"/>
      <x:c r="H89" s="78"/>
      <x:c r="I89" s="78"/>
    </x:row>
    <x:row r="90">
      <x:c r="A90" s="78"/>
      <x:c r="B90" s="78"/>
      <x:c r="C90" s="78"/>
      <x:c r="D90" s="78"/>
      <x:c r="E90" s="78"/>
      <x:c r="F90" s="78"/>
      <x:c r="G90" s="78"/>
      <x:c r="H90" s="78"/>
      <x:c r="I90" s="78"/>
    </x:row>
    <x:row r="91">
      <x:c r="A91" s="78"/>
      <x:c r="B91" s="78"/>
      <x:c r="C91" s="78"/>
      <x:c r="D91" s="78"/>
      <x:c r="E91" s="78"/>
      <x:c r="F91" s="78"/>
      <x:c r="G91" s="78"/>
      <x:c r="H91" s="78"/>
      <x:c r="I91" s="78"/>
    </x:row>
    <x:row r="92">
      <x:c r="A92" s="78"/>
      <x:c r="B92" s="78"/>
      <x:c r="C92" s="78"/>
      <x:c r="D92" s="78"/>
      <x:c r="E92" s="78"/>
      <x:c r="F92" s="78"/>
      <x:c r="G92" s="78"/>
      <x:c r="H92" s="78"/>
      <x:c r="I92" s="78"/>
    </x:row>
    <x:row r="93">
      <x:c r="A93" s="78"/>
      <x:c r="B93" s="78"/>
      <x:c r="C93" s="78"/>
      <x:c r="D93" s="78"/>
      <x:c r="E93" s="78"/>
      <x:c r="F93" s="78"/>
      <x:c r="G93" s="78"/>
      <x:c r="H93" s="78"/>
      <x:c r="I93" s="78"/>
    </x:row>
    <x:row r="94">
      <x:c r="A94" s="78"/>
      <x:c r="B94" s="78"/>
      <x:c r="C94" s="78"/>
      <x:c r="D94" s="78"/>
      <x:c r="E94" s="78"/>
      <x:c r="F94" s="78"/>
      <x:c r="G94" s="78"/>
      <x:c r="H94" s="78"/>
      <x:c r="I94" s="78"/>
    </x:row>
    <x:row r="95">
      <x:c r="A95" s="78"/>
      <x:c r="B95" s="78"/>
      <x:c r="C95" s="78"/>
      <x:c r="D95" s="78"/>
      <x:c r="E95" s="78"/>
      <x:c r="F95" s="78"/>
      <x:c r="G95" s="78"/>
      <x:c r="H95" s="78"/>
      <x:c r="I95" s="78"/>
    </x:row>
    <x:row r="96">
      <x:c r="A96" s="78"/>
      <x:c r="B96" s="78"/>
      <x:c r="C96" s="78"/>
      <x:c r="D96" s="78"/>
      <x:c r="E96" s="78"/>
      <x:c r="F96" s="78"/>
      <x:c r="G96" s="78"/>
      <x:c r="H96" s="78"/>
      <x:c r="I96" s="78"/>
    </x:row>
    <x:row r="97">
      <x:c r="A97" s="78"/>
      <x:c r="B97" s="78"/>
      <x:c r="C97" s="78"/>
      <x:c r="D97" s="78"/>
      <x:c r="E97" s="78"/>
      <x:c r="F97" s="78"/>
      <x:c r="G97" s="78"/>
      <x:c r="H97" s="78"/>
      <x:c r="I97" s="78"/>
    </x:row>
    <x:row r="98">
      <x:c r="A98" s="78"/>
      <x:c r="B98" s="78"/>
      <x:c r="C98" s="78"/>
      <x:c r="D98" s="78"/>
      <x:c r="E98" s="78"/>
      <x:c r="F98" s="78"/>
      <x:c r="G98" s="78"/>
      <x:c r="H98" s="78"/>
      <x:c r="I98" s="78"/>
    </x:row>
    <x:row r="99">
      <x:c r="A99" s="78"/>
      <x:c r="B99" s="78"/>
      <x:c r="C99" s="78"/>
      <x:c r="D99" s="78"/>
      <x:c r="E99" s="78"/>
      <x:c r="F99" s="78"/>
      <x:c r="G99" s="78"/>
      <x:c r="H99" s="78"/>
      <x:c r="I99" s="78"/>
    </x:row>
    <x:row r="100">
      <x:c r="A100" s="78"/>
      <x:c r="B100" s="78"/>
      <x:c r="C100" s="78"/>
      <x:c r="D100" s="78"/>
      <x:c r="E100" s="78"/>
      <x:c r="F100" s="78"/>
      <x:c r="G100" s="78"/>
      <x:c r="H100" s="78"/>
      <x:c r="I100" s="78"/>
    </x:row>
  </x:sheetData>
  <x:mergeCells>
    <x:mergeCell ref="A1:I1"/>
    <x:mergeCell ref="A2:I2"/>
  </x:mergeCells>
  <x:dataValidations count="2">
    <x:dataValidation type="list" sqref="F5:F100">
      <x:formula1>"Next,High,Medium,Low"</x:formula1>
    </x:dataValidation>
    <x:dataValidation type="list" sqref="I5:I100">
      <x:formula1>"Deferred,Candidate,Approved,In Progress,Complete"</x:formula1>
    </x:dataValidation>
  </x:dataValidations>
  <x:pageMargins left="0.7" right="0.7" top="0.75" bottom="0.75" header="0.3" footer="0.3"/>
</x:worksheet>
</file>

<file path=xl/worksheets/sheet14.xml><?xml version="1.0" encoding="utf-8"?>
<x:worksheet xmlns:x="http://schemas.openxmlformats.org/spreadsheetml/2006/main">
  <x:sheetFormatPr defaultRowHeight="14.25"/>
  <x:cols>
    <x:col min="1" max="1" width="18" customWidth="1"/>
    <x:col min="2" max="2" width="34" hidden="0" customWidth="1"/>
    <x:col min="3" max="3" width="18" customWidth="1"/>
    <x:col min="4" max="4" width="36" customWidth="1"/>
    <x:col min="5" max="5" width="34" hidden="0" customWidth="1"/>
    <x:col min="6" max="6" width="28" customWidth="1"/>
    <x:col min="7" max="7" width="18" customWidth="1"/>
    <x:col min="8" max="8" width="22" customWidth="1"/>
  </x:cols>
  <x:sheetData>
    <x:row r="1" ht="27.950000762939453" customHeight="1">
      <x:c r="A1" s="598" t="str">
        <x:v>AI Project Context — v0.3.0 Package Assurance Pilot</x:v>
      </x:c>
      <x:c r="B1" s="447"/>
      <x:c r="C1" s="447"/>
      <x:c r="D1" s="447"/>
      <x:c r="E1" s="447"/>
      <x:c r="F1" s="447"/>
      <x:c r="G1" s="447"/>
      <x:c r="H1" s="447"/>
    </x:row>
    <x:row r="2" ht="32.099998474121094" customHeight="1">
      <x:c r="A2" s="609" t="str">
        <x:v>Read this sheet at the start of every work block. Product Vision sets strategy; Pilot Gantt is the active operational baseline. Detailed Gantt and MVP Dashboard preserve the frozen v0.2.0 release history.</x:v>
      </x:c>
      <x:c r="B2" s="609"/>
      <x:c r="C2" s="609"/>
      <x:c r="D2" s="609"/>
      <x:c r="E2" s="609"/>
      <x:c r="F2" s="609"/>
      <x:c r="G2" s="609"/>
      <x:c r="H2" s="609"/>
    </x:row>
    <x:row r="3">
      <x:c r="A3" s="447"/>
      <x:c r="B3" s="447"/>
      <x:c r="C3" s="447"/>
      <x:c r="D3" s="447"/>
      <x:c r="E3" s="447"/>
      <x:c r="F3" s="447"/>
      <x:c r="G3" s="447"/>
      <x:c r="H3" s="447"/>
    </x:row>
    <x:row r="4" ht="15.75">
      <x:c r="A4" s="723" t="str">
        <x:v>Current State</x:v>
      </x:c>
      <x:c r="B4" s="447"/>
      <x:c r="C4" s="447"/>
      <x:c r="D4" s="447"/>
      <x:c r="E4" s="447"/>
      <x:c r="F4" s="447"/>
      <x:c r="G4" s="447"/>
      <x:c r="H4" s="447"/>
    </x:row>
    <x:row r="5" ht="42" customHeight="1">
      <x:c r="A5" s="449" t="str">
        <x:v>Last updated</x:v>
      </x:c>
      <x:c r="B5" s="445" t="n">
        <x:v>46224</x:v>
      </x:c>
      <x:c r="C5" s="449" t="str">
        <x:v>Control baseline</x:v>
      </x:c>
      <x:c r="D5" s="447" t="str">
        <x:v>Program v3.0 / gate-based control</x:v>
      </x:c>
      <x:c r="E5" s="449" t="str">
        <x:v>Schedule</x:v>
      </x:c>
      <x:c r="F5" s="447" t="str">
        <x:v>Historical baseline only</x:v>
      </x:c>
      <x:c r="G5" s="449" t="str">
        <x:v>Time tracking</x:v>
      </x:c>
      <x:c r="H5" s="447" t="str">
        <x:v>Waived prospectively; historical workbook values retained</x:v>
      </x:c>
    </x:row>
    <x:row r="6" ht="67.5" hidden="0" customHeight="1">
      <x:c r="A6" s="765" t="str">
        <x:v>Repository state</x:v>
      </x:c>
      <x:c r="B6" s="431" t="str">
        <x:v>v0.2.0 released and frozen at accepted commit 45336a2</x:v>
      </x:c>
      <x:c r="C6" s="765" t="str">
        <x:v>Verification</x:v>
      </x:c>
      <x:c r="D6" s="431" t="str">
        <x:v>121 tests; clean-clone acceptance; baseline 9/9; demo 2/2</x:v>
      </x:c>
      <x:c r="E6" s="765" t="str">
        <x:v>Active release</x:v>
      </x:c>
      <x:c r="F6" s="431" t="str">
        <x:v>v0.3.0 Package Assurance Pilot</x:v>
      </x:c>
      <x:c r="G6" s="765" t="str">
        <x:v>Active WBS</x:v>
      </x:c>
      <x:c r="H6" s="431" t="str">
        <x:v>P2.3 publication resilience implemented; D-105 review required</x:v>
      </x:c>
    </x:row>
    <x:row r="7" ht="130.5" hidden="0" customHeight="1">
      <x:c r="A7" s="765" t="str">
        <x:v>Released capability</x:v>
      </x:c>
      <x:c r="B7" s="431" t="str">
        <x:v>Model/runtime-agnostic deterministic evaluation kernel with candidate loading, mandatory gates, deterministic checks, weighted scoring, structured evidence, evaluate CLI, immutable results, five reviewed cases, frozen split, CI, docs, demo, and release proof.</x:v>
      </x:c>
      <x:c r="C7" s="765" t="str">
        <x:v>Current gap</x:v>
      </x:c>
      <x:c r="D7" s="431" t="str">
        <x:v>Nine relationship checks are integrated. Final publication now tolerates a short PermissionError through a fixed 0.75-second retry budget while collisions, other errors, and exhaustion remain fail closed. Check 10 remains unimplemented.</x:v>
      </x:c>
      <x:c r="E7" s="765" t="str">
        <x:v>Product interpretation</x:v>
      </x:c>
      <x:c r="F7" s="431" t="str">
        <x:v>Successful kernel; not yet a complete economically useful workflow.</x:v>
      </x:c>
      <x:c r="G7" s="765" t="str">
        <x:v>Response</x:v>
      </x:c>
      <x:c r="H7" s="431" t="str">
        <x:v>Review D-105 before check 10 or any new capability.</x:v>
      </x:c>
    </x:row>
    <x:row r="8" ht="153" hidden="0" customHeight="1">
      <x:c r="A8" s="765" t="str">
        <x:v>Immediate next action</x:v>
      </x:c>
      <x:c r="B8" s="431" t="str">
        <x:v>Accept or revise D-105: accept publication resilience, close I-005 as controlled, retain IMP-019, and authorize check 10 only.</x:v>
      </x:c>
      <x:c r="C8" s="765" t="str">
        <x:v>Selected vertical</x:v>
      </x:c>
      <x:c r="D8" s="431" t="str">
        <x:v>Publication resilience review -&gt; D-105 -&gt; check 10 -&gt; separate check 11 gate -&gt; authority-gap decision -&gt; P4 benchmark -&gt; terminal demo.</x:v>
      </x:c>
      <x:c r="E8" s="765" t="str">
        <x:v>Primary deliverable</x:v>
      </x:c>
      <x:c r="F8" s="431" t="str">
        <x:v>Evidence-linked issue register plus release-readiness summary.</x:v>
      </x:c>
      <x:c r="G8" s="765" t="str">
        <x:v>Scope rule</x:v>
      </x:c>
      <x:c r="H8" s="431" t="str">
        <x:v>Structured CSV/JSON manifests and file references first; no PDF/CAD extraction in v0.3.0.</x:v>
      </x:c>
    </x:row>
    <x:row r="9" ht="72" customHeight="1">
      <x:c r="A9" s="450" t="str">
        <x:v>Agent operating model</x:v>
      </x:c>
      <x:c r="B9" s="451" t="str">
        <x:v>Use capable long-horizon agents for repository, implementation, and artifact work under provider-independent controls and independent verification.</x:v>
      </x:c>
      <x:c r="C9" s="450" t="str">
        <x:v>Supervision rule</x:v>
      </x:c>
      <x:c r="D9" s="451" t="str">
        <x:v>Explicitly bound actions, use isolated branches/worktrees, review diffs and commands, require tests/evidence, and obtain approval before destructive or external actions.</x:v>
      </x:c>
      <x:c r="E9" s="450" t="str">
        <x:v>Parallelism rule</x:v>
      </x:c>
      <x:c r="F9" s="451" t="str">
        <x:v>Parallelize only independent workstreams with non-overlapping files and acceptance criteria.</x:v>
      </x:c>
      <x:c r="G9" s="450" t="str">
        <x:v>Verification rule</x:v>
      </x:c>
      <x:c r="H9" s="451" t="str">
        <x:v>Completion claims require command output, tests, generated artifacts, and a clean diff/state; never accept plausible narrative alone.</x:v>
      </x:c>
    </x:row>
    <x:row r="10" ht="15.75">
      <x:c r="A10" s="723" t="str">
        <x:v>Required Start-of-Block Protocol</x:v>
      </x:c>
      <x:c r="B10" s="447"/>
      <x:c r="C10" s="447"/>
      <x:c r="D10" s="723" t="str">
        <x:v>Required End-of-Block Protocol</x:v>
      </x:c>
      <x:c r="E10" s="447"/>
      <x:c r="F10" s="447"/>
      <x:c r="G10" s="447"/>
      <x:c r="H10" s="447"/>
    </x:row>
    <x:row r="11" ht="42" customHeight="1">
      <x:c r="A11" s="449" t="n">
        <x:v>1</x:v>
      </x:c>
      <x:c r="B11" s="447" t="str">
        <x:v>Read Start Here, AI Context, and the active/next rows in Pilot Gantt.</x:v>
      </x:c>
      <x:c r="C11" s="447"/>
      <x:c r="D11" s="449" t="n">
        <x:v>1</x:v>
      </x:c>
      <x:c r="E11" s="447" t="str">
        <x:v>Preserve historical time records; prospective work-block time tracking is waived.</x:v>
      </x:c>
      <x:c r="F11" s="447"/>
      <x:c r="G11" s="447"/>
      <x:c r="H11" s="447"/>
    </x:row>
    <x:row r="12" ht="42" customHeight="1">
      <x:c r="A12" s="449" t="n">
        <x:v>2</x:v>
      </x:c>
      <x:c r="B12" s="447" t="str">
        <x:v>Read the last three Work Block Log rows and open risks/decisions/evidence.</x:v>
      </x:c>
      <x:c r="C12" s="447"/>
      <x:c r="D12" s="449" t="n">
        <x:v>2</x:v>
      </x:c>
      <x:c r="E12" s="447" t="str">
        <x:v>Update Pilot Gantt status, percent complete, evidence, notes, and exact next action.</x:v>
      </x:c>
      <x:c r="F12" s="447"/>
      <x:c r="G12" s="447"/>
      <x:c r="H12" s="447"/>
    </x:row>
    <x:row r="13" ht="42" customHeight="1">
      <x:c r="A13" s="449" t="n">
        <x:v>3</x:v>
      </x:c>
      <x:c r="B13" s="447" t="str">
        <x:v>State active WBS, objective, branch, and definition of done. Do not request or estimate work-block duration.</x:v>
      </x:c>
      <x:c r="C13" s="447"/>
      <x:c r="D13" s="449" t="n">
        <x:v>3</x:v>
      </x:c>
      <x:c r="E13" s="447" t="str">
        <x:v>Add accepted artifacts to Evidence Register; record material decisions and risks.</x:v>
      </x:c>
      <x:c r="F13" s="447"/>
      <x:c r="G13" s="447"/>
      <x:c r="H13" s="447"/>
    </x:row>
    <x:row r="14" ht="42" customHeight="1">
      <x:c r="A14" s="449" t="n">
        <x:v>4</x:v>
      </x:c>
      <x:c r="B14" s="447" t="str">
        <x:v>Identify authoritative files and protected assets before allowing edits.</x:v>
      </x:c>
      <x:c r="C14" s="447"/>
      <x:c r="D14" s="449" t="n">
        <x:v>4</x:v>
      </x:c>
      <x:c r="E14" s="447" t="str">
        <x:v>Run focused tests, full tests when justified, and inspect generated outputs/diffs.</x:v>
      </x:c>
      <x:c r="F14" s="447"/>
      <x:c r="G14" s="447"/>
      <x:c r="H14" s="447"/>
    </x:row>
    <x:row r="15" ht="42" customHeight="1">
      <x:c r="A15" s="449" t="n">
        <x:v>5</x:v>
      </x:c>
      <x:c r="B15" s="447" t="str">
        <x:v>Reject work that does not directly advance the active v0.3.0 deliverable.</x:v>
      </x:c>
      <x:c r="C15" s="447"/>
      <x:c r="D15" s="449" t="n">
        <x:v>5</x:v>
      </x:c>
      <x:c r="E15" s="447" t="str">
        <x:v>Confirm branch/commit/clean-state evidence and state unresolved blockers honestly.</x:v>
      </x:c>
      <x:c r="F15" s="447"/>
      <x:c r="G15" s="447"/>
      <x:c r="H15" s="447"/>
    </x:row>
    <x:row r="16">
      <x:c r="A16" s="447"/>
      <x:c r="B16" s="447"/>
      <x:c r="C16" s="447"/>
      <x:c r="D16" s="447"/>
      <x:c r="E16" s="447"/>
      <x:c r="F16" s="447"/>
      <x:c r="G16" s="447"/>
      <x:c r="H16" s="447"/>
    </x:row>
    <x:row r="17" ht="15.75">
      <x:c r="A17" s="723" t="str">
        <x:v>Architecture and Product Boundaries</x:v>
      </x:c>
      <x:c r="B17" s="447"/>
      <x:c r="C17" s="447"/>
      <x:c r="D17" s="723" t="str">
        <x:v>v0.3.0 Definition of Done</x:v>
      </x:c>
      <x:c r="E17" s="447"/>
      <x:c r="F17" s="447"/>
      <x:c r="G17" s="447"/>
      <x:c r="H17" s="447"/>
    </x:row>
    <x:row r="18" ht="49.5" customHeight="1">
      <x:c r="A18" s="766" t="str">
        <x:v>Task</x:v>
      </x:c>
      <x:c r="B18" s="698" t="str">
        <x:v>Instructions, controlled inputs, deliverable, constraints, authority model, and evaluation intent.</x:v>
      </x:c>
      <x:c r="C18" s="698"/>
      <x:c r="D18" s="766" t="n">
        <x:v>1</x:v>
      </x:c>
      <x:c r="E18" s="698" t="str">
        <x:v>Approved workflow contract and authority map.</x:v>
      </x:c>
      <x:c r="F18" s="698"/>
      <x:c r="G18" s="698"/>
      <x:c r="H18" s="698"/>
    </x:row>
    <x:row r="19" ht="49.5" customHeight="1">
      <x:c r="A19" s="766" t="str">
        <x:v>Agent</x:v>
      </x:c>
      <x:c r="B19" s="698" t="str">
        <x:v>Direct model, Codex/OpenClaw/another harness, deterministic software, or human producer remains replaceable.</x:v>
      </x:c>
      <x:c r="C19" s="698"/>
      <x:c r="D19" s="766" t="n">
        <x:v>2</x:v>
      </x:c>
      <x:c r="E19" s="698" t="str">
        <x:v>Versioned package manifest plus development and held-out packages.</x:v>
      </x:c>
      <x:c r="F19" s="698"/>
      <x:c r="G19" s="698"/>
      <x:c r="H19" s="698"/>
    </x:row>
    <x:row r="20" ht="49.5" customHeight="1">
      <x:c r="A20" s="766" t="str">
        <x:v>Environment</x:v>
      </x:c>
      <x:c r="B20" s="698" t="str">
        <x:v>Files, tools, permissions, shell/GUI state, network access, and destructive/external actions are explicitly bounded.</x:v>
      </x:c>
      <x:c r="C20" s="698"/>
      <x:c r="D20" s="766" t="n">
        <x:v>3</x:v>
      </x:c>
      <x:c r="E20" s="698" t="str">
        <x:v>Mandatory package gates before consistency scoring.</x:v>
      </x:c>
      <x:c r="F20" s="698"/>
      <x:c r="G20" s="698"/>
      <x:c r="H20" s="698"/>
    </x:row>
    <x:row r="21" ht="49.5" customHeight="1">
      <x:c r="A21" s="766" t="str">
        <x:v>Trace / Artifacts</x:v>
      </x:c>
      <x:c r="B21" s="698" t="str">
        <x:v>Actions, tool calls, file states, errors, corrections, candidate artifacts, and generated reports are preserved.</x:v>
      </x:c>
      <x:c r="C21" s="698"/>
      <x:c r="D21" s="766" t="n">
        <x:v>4</x:v>
      </x:c>
      <x:c r="E21" s="698" t="str">
        <x:v>Deterministic cross-document checks with evidence.</x:v>
      </x:c>
      <x:c r="F21" s="698"/>
      <x:c r="G21" s="698"/>
      <x:c r="H21" s="698"/>
    </x:row>
    <x:row r="22" ht="49.5" customHeight="1">
      <x:c r="A22" s="766" t="str">
        <x:v>Evaluator</x:v>
      </x:c>
      <x:c r="B22" s="698" t="str">
        <x:v>Independent gates, rules, tolerances, authority resolution, result-state routing, and failure evidence.</x:v>
      </x:c>
      <x:c r="C22" s="698"/>
      <x:c r="D22" s="766" t="n">
        <x:v>5</x:v>
      </x:c>
      <x:c r="E22" s="698" t="str">
        <x:v>Explicit pass/fail/review/missing-authority/tool-failure/uncertainty states.</x:v>
      </x:c>
      <x:c r="F22" s="698"/>
      <x:c r="G22" s="698"/>
      <x:c r="H22" s="698"/>
    </x:row>
    <x:row r="23" ht="49.5" customHeight="1">
      <x:c r="A23" s="766" t="str">
        <x:v>Results</x:v>
      </x:c>
      <x:c r="B23" s="698" t="str">
        <x:v>Immutable package result, issue register, release summary, artifact references, versions, and benchmark status.</x:v>
      </x:c>
      <x:c r="C23" s="698"/>
      <x:c r="D23" s="766" t="n">
        <x:v>6</x:v>
      </x:c>
      <x:c r="E23" s="698" t="str">
        <x:v>audit-package CLI plus immutable result and report views.</x:v>
      </x:c>
      <x:c r="F23" s="698"/>
      <x:c r="G23" s="698"/>
      <x:c r="H23" s="698"/>
    </x:row>
    <x:row r="24" ht="49.5" customHeight="1">
      <x:c r="A24" s="766" t="str">
        <x:v>Separation rule</x:v>
      </x:c>
      <x:c r="B24" s="698" t="str">
        <x:v>Benchmark case definitions and golden relationships are versioned inputs; runs and reports are generated evidence.</x:v>
      </x:c>
      <x:c r="C24" s="698"/>
      <x:c r="D24" s="766" t="n">
        <x:v>7</x:v>
      </x:c>
      <x:c r="E24" s="698" t="str">
        <x:v>Frozen development/held-out benchmark and false-negative review.</x:v>
      </x:c>
      <x:c r="F24" s="698"/>
      <x:c r="G24" s="698"/>
      <x:c r="H24" s="698"/>
    </x:row>
    <x:row r="25" ht="49.5" customHeight="1">
      <x:c r="A25" s="766" t="str">
        <x:v>Engineering boundary</x:v>
      </x:c>
      <x:c r="B25" s="698" t="str">
        <x:v>No engineering sign-off, stamped deliverables, autonomous release, code-compliance opinion, or final safety-critical decision.</x:v>
      </x:c>
      <x:c r="C25" s="698"/>
      <x:c r="D25" s="766" t="n">
        <x:v>8</x:v>
      </x:c>
      <x:c r="E25" s="698" t="str">
        <x:v>Tests, CI, clean-clone acceptance, docs, demo, service specification, and v0.3.0 tag.</x:v>
      </x:c>
      <x:c r="F25" s="698"/>
      <x:c r="G25" s="698"/>
      <x:c r="H25" s="698"/>
    </x:row>
    <x:row r="26" ht="42" customHeight="1">
      <x:c r="A26" s="447"/>
      <x:c r="B26" s="447"/>
      <x:c r="C26" s="447"/>
      <x:c r="D26" s="447"/>
      <x:c r="E26" s="447"/>
      <x:c r="F26" s="447"/>
      <x:c r="G26" s="447"/>
      <x:c r="H26" s="447"/>
    </x:row>
    <x:row r="27" ht="15.75">
      <x:c r="A27" s="723" t="str">
        <x:v>Current Evidence and Known Gaps</x:v>
      </x:c>
      <x:c r="B27" s="447"/>
      <x:c r="C27" s="447"/>
      <x:c r="D27" s="447"/>
      <x:c r="E27" s="447"/>
      <x:c r="F27" s="447"/>
      <x:c r="G27" s="447"/>
      <x:c r="H27" s="447"/>
    </x:row>
    <x:row r="28" ht="63" hidden="0" customHeight="1">
      <x:c r="A28" s="766" t="str">
        <x:v>Evidence</x:v>
      </x:c>
      <x:c r="B28" s="698" t="str">
        <x:v>v0.2.0 is released at accepted commit 45336a2 with five reviewed cases, 121 tests, clean-clone acceptance, baseline 9/9, demo 2/2, immutable results, CI, documentation, and an annotated tag.</x:v>
      </x:c>
      <x:c r="C28" s="766" t="str">
        <x:v>Gap</x:v>
      </x:c>
      <x:c r="D28" s="698" t="str">
        <x:v>The evidence proves the kernel, not a realistic package-assurance outcome.</x:v>
      </x:c>
      <x:c r="E28" s="766" t="str">
        <x:v>Response</x:v>
      </x:c>
      <x:c r="F28" s="698" t="str">
        <x:v>Preserve v0.2.0; build v0.3.0 as a separate vertical release.</x:v>
      </x:c>
      <x:c r="G28" s="766" t="str">
        <x:v>Owner</x:v>
      </x:c>
      <x:c r="H28" s="698" t="str">
        <x:v>Jason</x:v>
      </x:c>
    </x:row>
    <x:row r="29" ht="63" hidden="0" customHeight="1">
      <x:c r="A29" s="766" t="str">
        <x:v>Evidence</x:v>
      </x:c>
      <x:c r="B29" s="698" t="str">
        <x:v>Existing cases already exercise revision auditing, BOM reconciliation, unit errors, and structured failure evidence.</x:v>
      </x:c>
      <x:c r="C29" s="766" t="str">
        <x:v>Gap</x:v>
      </x:c>
      <x:c r="D29" s="698" t="str">
        <x:v>They are isolated case files rather than one coherent multi-document release package.</x:v>
      </x:c>
      <x:c r="E29" s="766" t="str">
        <x:v>Response</x:v>
      </x:c>
      <x:c r="F29" s="698" t="str">
        <x:v>Create a package manifest and relationship model that composes those concepts.</x:v>
      </x:c>
      <x:c r="G29" s="766" t="str">
        <x:v>Owner</x:v>
      </x:c>
      <x:c r="H29" s="698" t="str">
        <x:v>Jason</x:v>
      </x:c>
    </x:row>
    <x:row r="30" ht="63" hidden="0" customHeight="1">
      <x:c r="A30" s="766" t="str">
        <x:v>Evidence</x:v>
      </x:c>
      <x:c r="B30" s="698" t="str">
        <x:v>MECH-003 is frozen as held-out but was historically seen before the split.</x:v>
      </x:c>
      <x:c r="C30" s="766" t="str">
        <x:v>Gap</x:v>
      </x:c>
      <x:c r="D30" s="698" t="str">
        <x:v>It is not a pristine blind benchmark.</x:v>
      </x:c>
      <x:c r="E30" s="766" t="str">
        <x:v>Response</x:v>
      </x:c>
      <x:c r="F30" s="698" t="str">
        <x:v>Author and freeze a materially distinct held-out package before rule tuning.</x:v>
      </x:c>
      <x:c r="G30" s="766" t="str">
        <x:v>Owner</x:v>
      </x:c>
      <x:c r="H30" s="698" t="str">
        <x:v>Jason</x:v>
      </x:c>
    </x:row>
    <x:row r="31" ht="63" customHeight="1">
      <x:c r="A31" s="766" t="str">
        <x:v>Evidence</x:v>
      </x:c>
      <x:c r="B31" s="698" t="str">
        <x:v>Capable long-horizon coding agents improve repository work, tool use, and artifact production.</x:v>
      </x:c>
      <x:c r="C31" s="766" t="str">
        <x:v>Gap</x:v>
      </x:c>
      <x:c r="D31" s="698" t="str">
        <x:v>Stronger agents can also overreach, take unauthorized actions, or overclaim completion.</x:v>
      </x:c>
      <x:c r="E31" s="766" t="str">
        <x:v>Response</x:v>
      </x:c>
      <x:c r="F31" s="698" t="str">
        <x:v>Use supervised worktrees, explicit permissions, independent verification, and deterministic acceptance gates.</x:v>
      </x:c>
      <x:c r="G31" s="766" t="str">
        <x:v>Owner</x:v>
      </x:c>
      <x:c r="H31" s="698" t="str">
        <x:v>Jason</x:v>
      </x:c>
    </x:row>
    <x:row r="32" ht="63" customHeight="1">
      <x:c r="A32" s="766" t="str">
        <x:v>Control rule</x:v>
      </x:c>
      <x:c r="B32" s="698" t="str">
        <x:v>One branch per coherent capability; tests support the product; failed runs and uncertainty are evidence.</x:v>
      </x:c>
      <x:c r="C32" s="766" t="str">
        <x:v>Risk</x:v>
      </x:c>
      <x:c r="D32" s="698" t="str">
        <x:v>Planning, framework work, or extraction complexity can displace the actual package workflow.</x:v>
      </x:c>
      <x:c r="E32" s="766" t="str">
        <x:v>Response</x:v>
      </x:c>
      <x:c r="F32" s="698" t="str">
        <x:v>P1.3 remains frozen pre-tuning. Tracked path metadata was inadvertently enumerated and opaque integrity tests ran; protected source/oracle content was not opened or used for tuning. First semantic held-out evaluation remains gated.</x:v>
      </x:c>
      <x:c r="G32" s="766" t="str">
        <x:v>Owner</x:v>
      </x:c>
      <x:c r="H32" s="698" t="str">
        <x:v>Jason</x:v>
      </x:c>
    </x:row>
    <x:row r="33">
      <x:c r="A33" s="447"/>
      <x:c r="B33" s="447"/>
      <x:c r="C33" s="447"/>
      <x:c r="D33" s="447"/>
      <x:c r="E33" s="447"/>
      <x:c r="F33" s="447"/>
      <x:c r="G33" s="447"/>
      <x:c r="H33" s="447"/>
    </x:row>
    <x:row r="34" ht="15">
      <x:c r="A34" s="724" t="str">
        <x:v>Strategic Product Direction</x:v>
      </x:c>
      <x:c r="B34" s="724"/>
      <x:c r="C34" s="724"/>
      <x:c r="D34" s="724"/>
      <x:c r="E34" s="724"/>
      <x:c r="F34" s="724"/>
      <x:c r="G34" s="724"/>
      <x:c r="H34" s="724"/>
    </x:row>
    <x:row r="35" ht="30" customHeight="1">
      <x:c r="A35" s="604" t="str">
        <x:v>Current product</x:v>
      </x:c>
      <x:c r="B35" s="605"/>
      <x:c r="C35" s="606" t="str">
        <x:v>Mechanical Technical Document Evaluation Harness v0.2.0 — frozen evaluation kernel.</x:v>
      </x:c>
      <x:c r="D35" s="607"/>
      <x:c r="E35" s="607"/>
      <x:c r="F35" s="607"/>
      <x:c r="G35" s="607"/>
      <x:c r="H35" s="608"/>
    </x:row>
    <x:row r="36" ht="30" customHeight="1">
      <x:c r="A36" s="604" t="str">
        <x:v>Active release</x:v>
      </x:c>
      <x:c r="B36" s="605"/>
      <x:c r="C36" s="606" t="str">
        <x:v>v0.3.0 Package Assurance Pilot — structured mechanical package consistency audit.</x:v>
      </x:c>
      <x:c r="D36" s="607"/>
      <x:c r="E36" s="607"/>
      <x:c r="F36" s="607"/>
      <x:c r="G36" s="607"/>
      <x:c r="H36" s="608"/>
    </x:row>
    <x:row r="37" ht="30" customHeight="1">
      <x:c r="A37" s="604" t="str">
        <x:v>Highest-value workflow</x:v>
      </x:c>
      <x:c r="B37" s="605"/>
      <x:c r="C37" s="606" t="str">
        <x:v>Pre-release checking of controlled document sets to prevent wrong revisions, missing items, inconsistent tags, quantities, specifications, and datasheet associations.</x:v>
      </x:c>
      <x:c r="D37" s="607"/>
      <x:c r="E37" s="607"/>
      <x:c r="F37" s="607"/>
      <x:c r="G37" s="607"/>
      <x:c r="H37" s="608"/>
    </x:row>
    <x:row r="38" ht="30" customHeight="1">
      <x:c r="A38" s="604" t="str">
        <x:v>Output</x:v>
      </x:c>
      <x:c r="B38" s="605"/>
      <x:c r="C38" s="606" t="str">
        <x:v>Evidence-linked issue register, mandatory-hold findings, release-readiness summary, uncertainty/authority gaps, and reproducible result record.</x:v>
      </x:c>
      <x:c r="D38" s="607"/>
      <x:c r="E38" s="607"/>
      <x:c r="F38" s="607"/>
      <x:c r="G38" s="607"/>
      <x:c r="H38" s="608"/>
    </x:row>
    <x:row r="39" ht="30" customHeight="1">
      <x:c r="A39" s="604" t="str">
        <x:v>Commercial position</x:v>
      </x:c>
      <x:c r="B39" s="605"/>
      <x:c r="C39" s="606" t="str">
        <x:v>Service-first Mechanical Document Consistency Audit and engineering-domain AI evaluation packages; the harness remains the internal production and verification engine.</x:v>
      </x:c>
      <x:c r="D39" s="607"/>
      <x:c r="E39" s="607"/>
      <x:c r="F39" s="607"/>
      <x:c r="G39" s="607"/>
      <x:c r="H39" s="608"/>
    </x:row>
    <x:row r="40" ht="30" customHeight="1">
      <x:c r="A40" s="604" t="str">
        <x:v>Architecture invariant</x:v>
      </x:c>
      <x:c r="B40" s="605"/>
      <x:c r="C40" s="606" t="str">
        <x:v>The producing agent remains replaceable and the evaluator independent; task, environment, trace/artifacts, evaluator, and results stay separate.</x:v>
      </x:c>
      <x:c r="D40" s="607"/>
      <x:c r="E40" s="607"/>
      <x:c r="F40" s="607"/>
      <x:c r="G40" s="607"/>
      <x:c r="H40" s="608"/>
    </x:row>
    <x:row r="41" ht="387" hidden="0" customHeight="1">
      <x:c r="A41" s="604" t="str">
        <x:v>Immediate implication</x:v>
      </x:c>
      <x:c r="B41" s="605"/>
      <x:c r="C41" s="606" t="str">
        <x:v>D-104 was accepted and PR #56 merged check 9 at exact main 7146b23. Publication now retries only the final same-parent staging-directory rename after PermissionError, using five total attempts and fixed waits of 50, 100, 200, and 400 milliseconds. A collision or any other OSError does not retry; permission exhaustion retains the existing failed-publication evidence and CLI exit 70. Injected tests prove recovery, exhaustion, collision, other-error, and CLI behavior. Twenty consecutive Windows audits passed with automatic_pass, hold false, 8/8 gates, 9/9 relationships, exactly four outputs, and no hidden staging or failure directory. Focused 24, full 304/1, coverage 88.08%, validation 5/5, Ruff, baseline 9/9, and demo 2/2 pass. No accepted result schema, output set, package state, authority, fixture, golden, held-out asset, public package, or v0.2 behavior changed. D-105 proposes check 10 only; check 11, authority gaps, held-out semantics, public reruns, PDF/CAD extraction, and deferred capabilities remain blocked.</x:v>
      </x:c>
      <x:c r="D41" s="607"/>
      <x:c r="E41" s="607"/>
      <x:c r="F41" s="607"/>
      <x:c r="G41" s="607"/>
      <x:c r="H41" s="608"/>
    </x:row>
  </x:sheetData>
  <x:mergeCells>
    <x:mergeCell ref="A40:B40"/>
    <x:mergeCell ref="C40:H40"/>
    <x:mergeCell ref="A41:B41"/>
    <x:mergeCell ref="C41:H41"/>
    <x:mergeCell ref="A2:H2"/>
    <x:mergeCell ref="A37:B37"/>
    <x:mergeCell ref="C37:H37"/>
    <x:mergeCell ref="A38:B38"/>
    <x:mergeCell ref="C38:H38"/>
    <x:mergeCell ref="A39:B39"/>
    <x:mergeCell ref="C39:H39"/>
    <x:mergeCell ref="A27:H27"/>
    <x:mergeCell ref="A34:H34"/>
    <x:mergeCell ref="A35:B35"/>
    <x:mergeCell ref="C35:H35"/>
    <x:mergeCell ref="A36:B36"/>
    <x:mergeCell ref="C36:H36"/>
    <x:mergeCell ref="A1:H1"/>
    <x:mergeCell ref="A4:H4"/>
    <x:mergeCell ref="A10:B10"/>
    <x:mergeCell ref="D10:H10"/>
    <x:mergeCell ref="A17:B17"/>
    <x:mergeCell ref="D17:H17"/>
  </x:mergeCells>
  <x:pageMargins left="0.7" right="0.7" top="0.75" bottom="0.75" header="0.3" footer="0.3"/>
</x:worksheet>
</file>

<file path=xl/worksheets/sheet15.xml><?xml version="1.0" encoding="utf-8"?>
<x:worksheet xmlns:x="http://schemas.openxmlformats.org/spreadsheetml/2006/main">
  <x:sheetFormatPr defaultRowHeight="14.25"/>
  <x:cols>
    <x:col min="1" max="1" width="24" customWidth="1"/>
    <x:col min="2" max="2" width="14" customWidth="1"/>
    <x:col min="3" max="3" width="20" customWidth="1"/>
    <x:col min="4" max="4" width="46" customWidth="1"/>
    <x:col min="5" max="5" width="18" customWidth="1"/>
    <x:col min="6" max="6" width="24" hidden="0" customWidth="1"/>
    <x:col min="7" max="14" width="14" customWidth="1"/>
    <x:col min="7" max="7" width="42" hidden="0" customWidth="1"/>
    <x:col min="8" max="8" width="20" hidden="0" customWidth="1"/>
  </x:cols>
  <x:sheetData>
    <x:row r="1" ht="26" customHeight="1">
      <x:c r="A1" s="234" t="str">
        <x:v>v0.2.0 Release Dashboard — Historical Baseline</x:v>
      </x:c>
      <x:c r="B1" s="235"/>
      <x:c r="C1" s="235"/>
      <x:c r="D1" s="235"/>
      <x:c r="E1" s="235"/>
      <x:c r="F1" s="235"/>
      <x:c r="G1" s="235"/>
      <x:c r="H1" s="235"/>
      <x:c r="I1" s="235"/>
      <x:c r="J1" s="235"/>
      <x:c r="K1" s="235"/>
      <x:c r="L1" s="235"/>
      <x:c r="M1" s="235"/>
      <x:c r="N1" s="235"/>
    </x:row>
    <x:row r="2" ht="30" customHeight="1">
      <x:c r="A2" s="651" t="str">
        <x:v>This sheet preserves the accepted v0.2.0 release evidence. Active planning and progress are now controlled by Pilot Dashboard and Pilot Gantt.</x:v>
      </x:c>
      <x:c r="B2" s="651"/>
      <x:c r="C2" s="651"/>
      <x:c r="D2" s="651"/>
      <x:c r="E2" s="651"/>
      <x:c r="F2" s="651"/>
      <x:c r="G2" s="651"/>
      <x:c r="H2" s="651"/>
    </x:row>
    <x:row r="3" ht="15.75">
      <x:c r="A3" s="237" t="s">
        <x:v>770</x:v>
      </x:c>
      <x:c r="B3" s="235"/>
      <x:c r="C3" s="235"/>
      <x:c r="D3" s="235"/>
      <x:c r="F3" s="237" t="s">
        <x:v>771</x:v>
      </x:c>
      <x:c r="G3" s="235"/>
      <x:c r="H3" s="235"/>
      <x:c r="I3" s="235"/>
      <x:c r="J3" s="235"/>
      <x:c r="K3" s="235"/>
      <x:c r="L3" s="235"/>
      <x:c r="M3" s="235"/>
      <x:c r="N3" s="235"/>
    </x:row>
    <x:row r="4" ht="26.399999618530273" hidden="0" customHeight="1">
      <x:c r="A4" s="79" t="s">
        <x:v>44</x:v>
      </x:c>
      <x:c r="B4" s="166">
        <x:v>46257</x:v>
      </x:c>
      <x:c r="F4" s="449" t="s">
        <x:v>772</x:v>
      </x:c>
      <x:c r="G4" s="610" t="str">
        <x:v>Post-MVP — Select next expansion</x:v>
      </x:c>
      <x:c r="H4" s="610"/>
      <x:c r="I4" s="246"/>
      <x:c r="J4" s="245"/>
      <x:c r="K4" s="245"/>
      <x:c r="L4" s="246"/>
      <x:c r="M4" s="245"/>
      <x:c r="N4" s="245"/>
    </x:row>
    <x:row r="5" ht="14.25" hidden="0" customHeight="1">
      <x:c r="A5" s="79" t="s">
        <x:v>2</x:v>
      </x:c>
      <x:c r="B5" s="167">
        <x:v>76</x:v>
      </x:c>
      <x:c r="F5" s="449" t="s">
        <x:v>773</x:v>
      </x:c>
      <x:c r="G5" s="610" t="str">
        <x:v>Define acceptance criteria for the selected expansion</x:v>
      </x:c>
      <x:c r="H5" s="610"/>
      <x:c r="I5" s="246"/>
      <x:c r="J5" s="245"/>
      <x:c r="K5" s="245"/>
      <x:c r="L5" s="246"/>
      <x:c r="M5" s="245"/>
      <x:c r="N5" s="245"/>
    </x:row>
    <x:row r="6" ht="92.4000015258789" hidden="0" customHeight="1">
      <x:c r="A6" s="79" t="s">
        <x:v>774</x:v>
      </x:c>
      <x:c r="B6" s="168" t="n">
        <x:f>'Phase Summary'!D10</x:f>
        <x:v>17.39</x:v>
      </x:c>
      <x:c r="F6" s="449" t="s">
        <x:v>775</x:v>
      </x:c>
      <x:c r="G6" s="610" t="str">
        <x:v>MVP v0.2.0 is released. The deterministic JSON-first evaluation kernel, five-case benchmark, frozen split, baseline, immutable evidence, CI, documentation, portfolio demo, limitations, clean-clone acceptance, and annotated tag are complete.</x:v>
      </x:c>
      <x:c r="H6" s="610"/>
      <x:c r="I6" s="246"/>
      <x:c r="J6" s="245"/>
      <x:c r="K6" s="245"/>
      <x:c r="L6" s="246"/>
      <x:c r="M6" s="245"/>
      <x:c r="N6" s="245"/>
    </x:row>
    <x:row r="7" ht="52.79999923706055" hidden="0" customHeight="1">
      <x:c r="A7" s="79" t="s">
        <x:v>776</x:v>
      </x:c>
      <x:c r="B7" s="169" t="n">
        <x:f>'Phase Summary'!E10</x:f>
        <x:v>1</x:v>
      </x:c>
      <x:c r="F7" s="449" t="s">
        <x:v>777</x:v>
      </x:c>
      <x:c r="G7" s="610" t="str">
        <x:v>Freeze the v0.2.0 baseline and run a separate backlog-selection decision using market value, artifact potential, engineering/QA fit, measurable completion, compute/cost, confidentiality, and professional-safety criteria.</x:v>
      </x:c>
      <x:c r="H7" s="610"/>
      <x:c r="I7" s="246"/>
      <x:c r="J7" s="245"/>
      <x:c r="K7" s="245"/>
      <x:c r="L7" s="246"/>
      <x:c r="M7" s="245"/>
      <x:c r="N7" s="245"/>
    </x:row>
    <x:row r="8" ht="52.79999923706055" hidden="0" customHeight="1">
      <x:c r="A8" s="79" t="s">
        <x:v>778</x:v>
      </x:c>
      <x:c r="B8" s="167" t="n">
        <x:v>121</x:v>
      </x:c>
      <x:c r="F8" s="449" t="s">
        <x:v>779</x:v>
      </x:c>
      <x:c r="G8" s="610" t="str">
        <x:v>Post-MVP scope drift: do not begin multimodal, agent, API/database, observability, deployment, governance-pack, or RL implementation without a selected workflow and explicit acceptance criteria.</x:v>
      </x:c>
      <x:c r="H8" s="610"/>
      <x:c r="I8" s="246"/>
      <x:c r="J8" s="245"/>
      <x:c r="K8" s="245"/>
      <x:c r="L8" s="246"/>
      <x:c r="M8" s="245"/>
      <x:c r="N8" s="245"/>
    </x:row>
    <x:row r="9" ht="26.399999618530273" hidden="0" customHeight="1">
      <x:c r="A9" s="79" t="str">
        <x:v>Reviewed Cases</x:v>
      </x:c>
      <x:c r="B9" s="167" t="n">
        <x:v>5</x:v>
      </x:c>
      <x:c r="F9" s="449" t="s">
        <x:v>704</x:v>
      </x:c>
      <x:c r="G9" s="610" t="str">
        <x:v>All expansion work until one backlog item is selected.</x:v>
      </x:c>
      <x:c r="H9" s="610"/>
      <x:c r="I9" s="246"/>
      <x:c r="J9" s="245"/>
      <x:c r="K9" s="245"/>
      <x:c r="L9" s="246"/>
      <x:c r="M9" s="245"/>
      <x:c r="N9" s="245"/>
    </x:row>
    <x:row r="10" ht="14.25" hidden="0" customHeight="1">
      <x:c r="A10" s="79" t="s">
        <x:v>780</x:v>
      </x:c>
      <x:c r="B10" s="167" t="n">
        <x:v>22</x:v>
      </x:c>
      <x:c r="F10" s="156" t="s">
        <x:v>781</x:v>
      </x:c>
      <x:c r="G10" s="610" t="str">
        <x:v>Public, synthetic, self-authored, or authorized data only.</x:v>
      </x:c>
      <x:c r="H10" s="610"/>
      <x:c r="I10" s="245"/>
      <x:c r="J10" s="245"/>
      <x:c r="K10" s="245"/>
      <x:c r="L10" s="245"/>
      <x:c r="M10" s="245"/>
      <x:c r="N10" s="245"/>
    </x:row>
    <x:row r="11" ht="32" customHeight="1">
      <x:c r="A11" s="79" t="str">
        <x:v>Current Main</x:v>
      </x:c>
      <x:c r="B11" s="167" t="str">
        <x:v>MVP v0.2.0 released; accepted commit 45336a2; tag object 8d426d2; Gates 1–6 passed; five cases; 121 tests</x:v>
      </x:c>
    </x:row>
    <x:row r="13" ht="15.75">
      <x:c r="A13" s="237" t="s">
        <x:v>782</x:v>
      </x:c>
      <x:c r="B13" s="235"/>
      <x:c r="C13" s="235"/>
      <x:c r="D13" s="235"/>
      <x:c r="E13" s="235"/>
    </x:row>
    <x:row r="14" ht="30">
      <x:c r="A14" s="80" t="s">
        <x:v>1</x:v>
      </x:c>
      <x:c r="B14" s="80" t="s">
        <x:v>2</x:v>
      </x:c>
      <x:c r="C14" s="80" t="s">
        <x:v>3</x:v>
      </x:c>
      <x:c r="D14" s="80" t="s">
        <x:v>4</x:v>
      </x:c>
      <x:c r="E14" s="80" t="s">
        <x:v>148</x:v>
      </x:c>
    </x:row>
    <x:row r="15" ht="28.5">
      <x:c r="A15" s="78" t="s">
        <x:v>18</x:v>
      </x:c>
      <x:c r="B15" s="82">
        <x:v>8</x:v>
      </x:c>
      <x:c r="C15" s="82" t="n">
        <x:f>SUMIF('Detailed Gantt'!$B$6:$B$27,A15,'Detailed Gantt'!$M$6:$M$27)</x:f>
        <x:v>7.550000000000001</x:v>
      </x:c>
      <x:c r="D15" s="170" t="n">
        <x:f>IF(B15=0,0,SUMPRODUCT(('Detailed Gantt'!$B$6:$B$27=A15)*'Detailed Gantt'!$F$6:$F$27*'Detailed Gantt'!$L$6:$L$27)/B15)</x:f>
        <x:v>1</x:v>
      </x:c>
      <x:c r="E15" s="78" t="s">
        <x:v>19</x:v>
      </x:c>
    </x:row>
    <x:row r="16" ht="42.75">
      <x:c r="A16" s="78" t="s">
        <x:v>23</x:v>
      </x:c>
      <x:c r="B16" s="82">
        <x:v>24</x:v>
      </x:c>
      <x:c r="C16" s="82" t="n">
        <x:f>SUMIF('Detailed Gantt'!$B$6:$B$27,A16,'Detailed Gantt'!$M$6:$M$27)</x:f>
        <x:v>4.9</x:v>
      </x:c>
      <x:c r="D16" s="170" t="n">
        <x:f>IF(B16=0,0,SUMPRODUCT(('Detailed Gantt'!$B$6:$B$27=A16)*'Detailed Gantt'!$F$6:$F$27*'Detailed Gantt'!$L$6:$L$27)/B16)</x:f>
        <x:v>1</x:v>
      </x:c>
      <x:c r="E16" s="78" t="s">
        <x:v>24</x:v>
      </x:c>
    </x:row>
    <x:row r="17" ht="28.5">
      <x:c r="A17" s="78" t="s">
        <x:v>27</x:v>
      </x:c>
      <x:c r="B17" s="82">
        <x:v>14</x:v>
      </x:c>
      <x:c r="C17" s="82" t="n">
        <x:f>SUMIF('Detailed Gantt'!$B$6:$B$27,A17,'Detailed Gantt'!$M$6:$M$27)</x:f>
        <x:v>1.5799999999999998</x:v>
      </x:c>
      <x:c r="D17" s="170" t="n">
        <x:f>IF(B17=0,0,SUMPRODUCT(('Detailed Gantt'!$B$6:$B$27=A17)*'Detailed Gantt'!$F$6:$F$27*'Detailed Gantt'!$L$6:$L$27)/B17)</x:f>
        <x:v>1</x:v>
      </x:c>
      <x:c r="E17" s="78" t="s">
        <x:v>28</x:v>
      </x:c>
    </x:row>
    <x:row r="18" ht="28.5">
      <x:c r="A18" s="78" t="s">
        <x:v>31</x:v>
      </x:c>
      <x:c r="B18" s="82">
        <x:v>14</x:v>
      </x:c>
      <x:c r="C18" s="82" t="n">
        <x:f>SUMIF('Detailed Gantt'!$B$6:$B$27,A18,'Detailed Gantt'!$M$6:$M$27)</x:f>
        <x:v>1.97</x:v>
      </x:c>
      <x:c r="D18" s="170" t="n">
        <x:f>IF(B18=0,0,SUMPRODUCT(('Detailed Gantt'!$B$6:$B$27=A18)*'Detailed Gantt'!$F$6:$F$27*'Detailed Gantt'!$L$6:$L$27)/B18)</x:f>
        <x:v>1</x:v>
      </x:c>
      <x:c r="E18" s="78" t="s">
        <x:v>32</x:v>
      </x:c>
    </x:row>
    <x:row r="19" ht="42.75">
      <x:c r="A19" s="78" t="s">
        <x:v>35</x:v>
      </x:c>
      <x:c r="B19" s="82">
        <x:v>8</x:v>
      </x:c>
      <x:c r="C19" s="82" t="n">
        <x:f>SUMIF('Detailed Gantt'!$B$6:$B$27,A19,'Detailed Gantt'!$M$6:$M$27)</x:f>
        <x:v>0.72</x:v>
      </x:c>
      <x:c r="D19" s="170" t="n">
        <x:f>IF(B19=0,0,SUMPRODUCT(('Detailed Gantt'!$B$6:$B$27=A19)*'Detailed Gantt'!$F$6:$F$27*'Detailed Gantt'!$L$6:$L$27)/B19)</x:f>
        <x:v>1</x:v>
      </x:c>
      <x:c r="E19" s="78" t="s">
        <x:v>36</x:v>
      </x:c>
    </x:row>
    <x:row r="20" ht="28.5">
      <x:c r="A20" s="78" t="s">
        <x:v>39</x:v>
      </x:c>
      <x:c r="B20" s="82">
        <x:v>8</x:v>
      </x:c>
      <x:c r="C20" s="82" t="n">
        <x:f>SUMIF('Detailed Gantt'!$B$6:$B$27,A20,'Detailed Gantt'!$M$6:$M$27)</x:f>
        <x:v>0.6699999999999999</x:v>
      </x:c>
      <x:c r="D20" s="170" t="n">
        <x:f>IF(B20=0,0,SUMPRODUCT(('Detailed Gantt'!$B$6:$B$27=A20)*'Detailed Gantt'!$F$6:$F$27*'Detailed Gantt'!$L$6:$L$27)/B20)</x:f>
        <x:v>1</x:v>
      </x:c>
      <x:c r="E20" s="78" t="str">
        <x:v>Gate 6 — MVP v0.2.0 release</x:v>
      </x:c>
    </x:row>
    <x:row r="23" ht="15.75">
      <x:c r="A23" s="237" t="s">
        <x:v>783</x:v>
      </x:c>
      <x:c r="B23" s="235"/>
      <x:c r="C23" s="235"/>
      <x:c r="D23" s="235"/>
      <x:c r="E23" s="235"/>
      <x:c r="F23" s="235"/>
      <x:c r="G23" s="235"/>
      <x:c r="H23" s="235"/>
      <x:c r="I23" s="235"/>
      <x:c r="J23" s="235"/>
      <x:c r="K23" s="235"/>
      <x:c r="L23" s="235"/>
      <x:c r="M23" s="235"/>
      <x:c r="N23" s="235"/>
    </x:row>
    <x:row r="24" ht="30" customHeight="1">
      <x:c r="A24" s="175" t="s">
        <x:v>674</x:v>
      </x:c>
      <x:c r="B24" s="175" t="s">
        <x:v>48</x:v>
      </x:c>
      <x:c r="C24" s="175" t="s">
        <x:v>784</x:v>
      </x:c>
      <x:c r="D24" s="175" t="s">
        <x:v>785</x:v>
      </x:c>
      <x:c r="E24" s="175" t="s">
        <x:v>178</x:v>
      </x:c>
      <x:c r="F24" s="175" t="s">
        <x:v>786</x:v>
      </x:c>
      <x:c r="G24" s="175" t="s">
        <x:v>181</x:v>
      </x:c>
      <x:c r="H24" s="175" t="s">
        <x:v>565</x:v>
      </x:c>
    </x:row>
    <x:row r="25" ht="72" customHeight="1">
      <x:c r="A25" s="564" t="n">
        <x:v>1</x:v>
      </x:c>
      <x:c r="B25" s="564" t="str">
        <x:v>Post-MVP</x:v>
      </x:c>
      <x:c r="C25" s="431" t="str">
        <x:v>Select next expansion backlog item</x:v>
      </x:c>
      <x:c r="D25" s="431" t="str">
        <x:v>One capability is selected using durable-skill, engineering/QA fit, artifact, paid-role, reuse, measurable-completion, compute/cost, confidentiality, and safety criteria.</x:v>
      </x:c>
      <x:c r="E25" s="564" t="n">
        <x:v>9</x:v>
      </x:c>
      <x:c r="F25" s="431" t="str">
        <x:v>planning/post-mvp-selection</x:v>
      </x:c>
      <x:c r="G25" s="431" t="str">
        <x:v>Recorded decision, ranked alternatives, and explicit reason for selection</x:v>
      </x:c>
      <x:c r="H25" s="564" t="str">
        <x:v>Jason</x:v>
      </x:c>
    </x:row>
    <x:row r="26" ht="60" customHeight="1">
      <x:c r="A26" s="564" t="n">
        <x:v>2</x:v>
      </x:c>
      <x:c r="B26" s="564" t="str">
        <x:v>Post-MVP</x:v>
      </x:c>
      <x:c r="C26" s="431" t="str">
        <x:v>Define acceptance criteria</x:v>
      </x:c>
      <x:c r="D26" s="431" t="str">
        <x:v>The selected capability has a bounded workflow, inputs, deliverable, deterministic evaluation plan, test cases, evidence, risks, and stop condition.</x:v>
      </x:c>
      <x:c r="E26" s="564" t="n">
        <x:v>9</x:v>
      </x:c>
      <x:c r="F26" s="431" t="str">
        <x:v>TBD after selection</x:v>
      </x:c>
      <x:c r="G26" s="431" t="str">
        <x:v>One scoped work package and definition of done</x:v>
      </x:c>
      <x:c r="H26" s="564" t="str">
        <x:v>Jason</x:v>
      </x:c>
    </x:row>
    <x:row r="27" ht="78" customHeight="1">
      <x:c r="A27" s="564" t="n">
        <x:v>3</x:v>
      </x:c>
      <x:c r="B27" s="564" t="str">
        <x:v>Post-MVP</x:v>
      </x:c>
      <x:c r="C27" s="431" t="str">
        <x:v>Begin highest-value expansion</x:v>
      </x:c>
      <x:c r="D27" s="431" t="str">
        <x:v>Implementation starts only after the selected work package directly advances a measurable mechanical workflow-assurance use case.</x:v>
      </x:c>
      <x:c r="E27" s="564" t="n">
        <x:v>9</x:v>
      </x:c>
      <x:c r="F27" s="431" t="str">
        <x:v>TBD</x:v>
      </x:c>
      <x:c r="G27" s="431" t="str">
        <x:v>One approved capability branch with runnable acceptance evidence</x:v>
      </x:c>
      <x:c r="H27" s="564" t="str">
        <x:v>Jason</x:v>
      </x:c>
    </x:row>
  </x:sheetData>
  <x:mergeCells>
    <x:mergeCell ref="A1:N1"/>
    <x:mergeCell ref="A3:D3"/>
    <x:mergeCell ref="F3:N3"/>
    <x:mergeCell ref="A13:E13"/>
    <x:mergeCell ref="A23:N23"/>
  </x:mergeCells>
  <x:conditionalFormatting sqref="D15:D20">
    <x:cfRule type="dataBar" priority="1">
      <x:dataBar>
        <x:cfvo type="min"/>
        <x:cfvo type="max"/>
        <x:color rgb="FF2F75B5"/>
      </x:dataBar>
    </x:cfRule>
    <x:cfRule type="dataBar" priority="2">
      <x:dataBar>
        <x:cfvo type="min"/>
        <x:cfvo type="max"/>
        <x:color rgb="FF2F75B5"/>
      </x:dataBar>
      <x:extLst>
        <x:ext xmlns:x14="http://schemas.microsoft.com/office/spreadsheetml/2009/9/main" uri="{B025F937-C7B1-47D3-B67F-A62EFF666E3E}">
          <x14:id>{D1214ACC-5D14-E3A4-5673-BCFD96F7FC1E}</x14:id>
        </x:ext>
      </x:extLst>
    </x:cfRule>
  </x:conditionalFormatting>
  <x:pageMargins left="0.7" right="0.7" top="0.75" bottom="0.75" header="0.3" footer="0.3"/>
  <x:drawing xmlns:r="http://schemas.openxmlformats.org/officeDocument/2006/relationships" r:id="Rf0c87cae303a45fc"/>
  <x:extLst>
    <x:ext xmlns:x14="http://schemas.microsoft.com/office/spreadsheetml/2009/9/main" xmlns:xm="http://schemas.microsoft.com/office/excel/2006/main" uri="{78C0D931-6437-407d-A8EE-F0AAD7539E65}">
      <x14:conditionalFormattings>
        <x14:conditionalFormatting>
          <x14:cfRule type="dataBar" priority="2" id="{D1214ACC-5D14-E3A4-5673-BCFD96F7FC1E}">
            <x14:dataBar>
              <x14:cfvo type="min"/>
              <x14:cfvo type="max"/>
              <x14:fillColor rgb="FF2F75B5"/>
              <x14:negativeFillColor auto="1"/>
              <x14:axisColor auto="1"/>
            </x14:dataBar>
          </x14:cfRule>
          <xm:sqref>D15:D20</xm:sqref>
        </x14:conditionalFormatting>
      </x14:conditionalFormattings>
    </x:ext>
  </x:extLst>
</x:worksheet>
</file>

<file path=xl/worksheets/sheet16.xml><?xml version="1.0" encoding="utf-8"?>
<x:worksheet xmlns:x="http://schemas.openxmlformats.org/spreadsheetml/2006/main">
  <x:sheetFormatPr defaultRowHeight="14.25"/>
  <x:cols>
    <x:col min="1" max="1" width="12" customWidth="1"/>
    <x:col min="2" max="2" width="18" customWidth="1"/>
    <x:col min="3" max="3" width="22" customWidth="1"/>
    <x:col min="4" max="5" width="28" customWidth="1"/>
    <x:col min="6" max="6" width="24" customWidth="1"/>
    <x:col min="7" max="7" width="14" customWidth="1"/>
    <x:col min="8" max="8" width="24" customWidth="1"/>
  </x:cols>
  <x:sheetData>
    <x:row r="1" ht="27.950000762939453" customHeight="1">
      <x:c r="A1" s="247" t="str">
        <x:v>Mechanical Engineering Workflow Assurance Platform — Product Vision</x:v>
      </x:c>
      <x:c r="B1" s="247"/>
      <x:c r="C1" s="247"/>
      <x:c r="D1" s="247"/>
      <x:c r="E1" s="247"/>
      <x:c r="F1" s="247"/>
      <x:c r="G1" s="247"/>
      <x:c r="H1" s="247"/>
    </x:row>
    <x:row r="2" ht="42" customHeight="1">
      <x:c r="A2" s="248" t="str">
        <x:v>The v0.2.0 Mechanical Technical Document Evaluation Harness is the frozen, model- and runtime-agnostic evaluation kernel. The active v0.3.0 release adds one economically meaningful structured package-assurance workflow without turning the repository into a generic agent framework.</x:v>
      </x:c>
      <x:c r="B2" s="248"/>
      <x:c r="C2" s="248"/>
      <x:c r="D2" s="248"/>
      <x:c r="E2" s="248"/>
      <x:c r="F2" s="248"/>
      <x:c r="G2" s="248"/>
      <x:c r="H2" s="248"/>
    </x:row>
    <x:row r="4" ht="15">
      <x:c r="A4" s="238" t="s">
        <x:v>787</x:v>
      </x:c>
      <x:c r="B4" s="238"/>
      <x:c r="C4" s="238"/>
      <x:c r="D4" s="238"/>
      <x:c r="E4" s="238"/>
      <x:c r="F4" s="238"/>
      <x:c r="G4" s="238"/>
      <x:c r="H4" s="238"/>
    </x:row>
    <x:row r="5" ht="33.95000076293945" customHeight="1">
      <x:c r="A5" s="239" t="s">
        <x:v>788</x:v>
      </x:c>
      <x:c r="B5" s="240"/>
      <x:c r="C5" s="241" t="s">
        <x:v>789</x:v>
      </x:c>
      <x:c r="D5" s="242"/>
      <x:c r="E5" s="242"/>
      <x:c r="F5" s="242"/>
      <x:c r="G5" s="242"/>
      <x:c r="H5" s="243"/>
    </x:row>
    <x:row r="6" ht="33.95000076293945" customHeight="1">
      <x:c r="A6" s="239" t="s">
        <x:v>790</x:v>
      </x:c>
      <x:c r="B6" s="240"/>
      <x:c r="C6" s="241" t="str">
        <x:v>Mechanical Technical Document Evaluation Harness v0.2.0 — released evaluation kernel</x:v>
      </x:c>
      <x:c r="D6" s="242"/>
      <x:c r="E6" s="242"/>
      <x:c r="F6" s="242"/>
      <x:c r="G6" s="242"/>
      <x:c r="H6" s="243"/>
    </x:row>
    <x:row r="7" ht="33.95000076293945" customHeight="1">
      <x:c r="A7" s="239" t="s">
        <x:v>791</x:v>
      </x:c>
      <x:c r="B7" s="240"/>
      <x:c r="C7" s="241" t="s">
        <x:v>792</x:v>
      </x:c>
      <x:c r="D7" s="242"/>
      <x:c r="E7" s="242"/>
      <x:c r="F7" s="242"/>
      <x:c r="G7" s="242"/>
      <x:c r="H7" s="243"/>
    </x:row>
    <x:row r="8" ht="33.95000076293945" customHeight="1">
      <x:c r="A8" s="239" t="s">
        <x:v>793</x:v>
      </x:c>
      <x:c r="B8" s="240"/>
      <x:c r="C8" s="241" t="str">
        <x:v>Reduce review labour and prevent wrong-revision, missing-document, tag, quantity, material/specification, procurement, fabrication, field, and turnover errors before release.</x:v>
      </x:c>
      <x:c r="D8" s="242"/>
      <x:c r="E8" s="242"/>
      <x:c r="F8" s="242"/>
      <x:c r="G8" s="242"/>
      <x:c r="H8" s="243"/>
    </x:row>
    <x:row r="9" ht="33.95000076293945" customHeight="1">
      <x:c r="A9" s="239" t="s">
        <x:v>794</x:v>
      </x:c>
      <x:c r="B9" s="240"/>
      <x:c r="C9" s="241" t="s">
        <x:v>795</x:v>
      </x:c>
      <x:c r="D9" s="242"/>
      <x:c r="E9" s="242"/>
      <x:c r="F9" s="242"/>
      <x:c r="G9" s="242"/>
      <x:c r="H9" s="243"/>
    </x:row>
    <x:row r="11" ht="15">
      <x:c r="A11" s="238" t="s">
        <x:v>796</x:v>
      </x:c>
      <x:c r="B11" s="238"/>
      <x:c r="C11" s="238"/>
      <x:c r="D11" s="238"/>
      <x:c r="E11" s="238"/>
      <x:c r="F11" s="238"/>
      <x:c r="G11" s="238"/>
      <x:c r="H11" s="238"/>
    </x:row>
    <x:row r="12" ht="33.95000076293945" customHeight="1">
      <x:c r="A12" s="179" t="s">
        <x:v>797</x:v>
      </x:c>
      <x:c r="B12" s="180" t="s">
        <x:v>798</x:v>
      </x:c>
      <x:c r="C12" s="180" t="s">
        <x:v>799</x:v>
      </x:c>
      <x:c r="D12" s="180" t="s">
        <x:v>800</x:v>
      </x:c>
      <x:c r="E12" s="180" t="s">
        <x:v>801</x:v>
      </x:c>
      <x:c r="F12" s="180" t="s">
        <x:v>673</x:v>
      </x:c>
      <x:c r="G12" s="180" t="s">
        <x:v>56</x:v>
      </x:c>
      <x:c r="H12" s="181" t="s">
        <x:v>802</x:v>
      </x:c>
    </x:row>
    <x:row r="13" ht="78" customHeight="1">
      <x:c r="A13" s="182" t="s">
        <x:v>17</x:v>
      </x:c>
      <x:c r="B13" s="183" t="s">
        <x:v>803</x:v>
      </x:c>
      <x:c r="C13" s="183" t="s">
        <x:v>804</x:v>
      </x:c>
      <x:c r="D13" s="183" t="s">
        <x:v>805</x:v>
      </x:c>
      <x:c r="E13" s="183" t="s">
        <x:v>806</x:v>
      </x:c>
      <x:c r="F13" s="183" t="s">
        <x:v>807</x:v>
      </x:c>
      <x:c r="G13" s="183" t="str">
        <x:v>Released</x:v>
      </x:c>
      <x:c r="H13" s="184" t="str">
        <x:v>Frozen at v0.2.0; corrective releases only unless explicitly approved.</x:v>
      </x:c>
    </x:row>
    <x:row r="14" ht="78" customHeight="1">
      <x:c r="A14" s="185" t="s">
        <x:v>22</x:v>
      </x:c>
      <x:c r="B14" s="83" t="s">
        <x:v>808</x:v>
      </x:c>
      <x:c r="C14" s="83" t="s">
        <x:v>809</x:v>
      </x:c>
      <x:c r="D14" s="83" t="s">
        <x:v>810</x:v>
      </x:c>
      <x:c r="E14" s="83" t="s">
        <x:v>811</x:v>
      </x:c>
      <x:c r="F14" s="83" t="s">
        <x:v>812</x:v>
      </x:c>
      <x:c r="G14" s="83" t="str">
        <x:v>Active — v0.3.0</x:v>
      </x:c>
      <x:c r="H14" s="186" t="str">
        <x:v>Structured manifests and file references first; issue register and release summary required.</x:v>
      </x:c>
    </x:row>
    <x:row r="15" ht="78" customHeight="1">
      <x:c r="A15" s="185" t="s">
        <x:v>26</x:v>
      </x:c>
      <x:c r="B15" s="83" t="s">
        <x:v>808</x:v>
      </x:c>
      <x:c r="C15" s="83" t="s">
        <x:v>813</x:v>
      </x:c>
      <x:c r="D15" s="83" t="s">
        <x:v>814</x:v>
      </x:c>
      <x:c r="E15" s="83" t="s">
        <x:v>815</x:v>
      </x:c>
      <x:c r="F15" s="83" t="s">
        <x:v>816</x:v>
      </x:c>
      <x:c r="G15" s="83" t="str">
        <x:v>Deferred — v0.4+</x:v>
      </x:c>
      <x:c r="H15" s="186" t="str">
        <x:v>Add extraction adapters only after the structured workflow benchmark is stable.</x:v>
      </x:c>
    </x:row>
    <x:row r="16" ht="78" customHeight="1">
      <x:c r="A16" s="185" t="s">
        <x:v>30</x:v>
      </x:c>
      <x:c r="B16" s="83" t="s">
        <x:v>808</x:v>
      </x:c>
      <x:c r="C16" s="83" t="s">
        <x:v>817</x:v>
      </x:c>
      <x:c r="D16" s="83" t="s">
        <x:v>818</x:v>
      </x:c>
      <x:c r="E16" s="83" t="s">
        <x:v>819</x:v>
      </x:c>
      <x:c r="F16" s="83" t="s">
        <x:v>820</x:v>
      </x:c>
      <x:c r="G16" s="83" t="str">
        <x:v>Active in structured form</x:v>
      </x:c>
      <x:c r="H16" s="186" t="str">
        <x:v>v0.3.0 implements register/metadata/BOM/datasheet/revision consistency; native document adapters remain deferred.</x:v>
      </x:c>
    </x:row>
    <x:row r="17" ht="78" customHeight="1">
      <x:c r="A17" s="185" t="s">
        <x:v>34</x:v>
      </x:c>
      <x:c r="B17" s="83" t="s">
        <x:v>808</x:v>
      </x:c>
      <x:c r="C17" s="83" t="s">
        <x:v>821</x:v>
      </x:c>
      <x:c r="D17" s="83" t="s">
        <x:v>822</x:v>
      </x:c>
      <x:c r="E17" s="83" t="s">
        <x:v>823</x:v>
      </x:c>
      <x:c r="F17" s="83" t="s">
        <x:v>824</x:v>
      </x:c>
      <x:c r="G17" s="83" t="str">
        <x:v>Deferred</x:v>
      </x:c>
      <x:c r="H17" s="186" t="str">
        <x:v>Require sandbox, least privilege, trace schema, and independent artifact evaluator.</x:v>
      </x:c>
    </x:row>
    <x:row r="18" ht="78" customHeight="1">
      <x:c r="A18" s="185" t="s">
        <x:v>38</x:v>
      </x:c>
      <x:c r="B18" s="83" t="s">
        <x:v>808</x:v>
      </x:c>
      <x:c r="C18" s="83" t="s">
        <x:v>825</x:v>
      </x:c>
      <x:c r="D18" s="83" t="s">
        <x:v>826</x:v>
      </x:c>
      <x:c r="E18" s="83" t="s">
        <x:v>827</x:v>
      </x:c>
      <x:c r="F18" s="83" t="s">
        <x:v>828</x:v>
      </x:c>
      <x:c r="G18" s="83" t="str">
        <x:v>Deferred</x:v>
      </x:c>
      <x:c r="H18" s="186" t="str">
        <x:v>Requires controlled standards access, calibrated cases, and qualified human review.</x:v>
      </x:c>
    </x:row>
    <x:row r="19" ht="78" customHeight="1">
      <x:c r="A19" s="187" t="s">
        <x:v>439</x:v>
      </x:c>
      <x:c r="B19" s="188" t="s">
        <x:v>829</x:v>
      </x:c>
      <x:c r="C19" s="188" t="s">
        <x:v>830</x:v>
      </x:c>
      <x:c r="D19" s="188" t="s">
        <x:v>831</x:v>
      </x:c>
      <x:c r="E19" s="188" t="s">
        <x:v>832</x:v>
      </x:c>
      <x:c r="F19" s="188" t="s">
        <x:v>833</x:v>
      </x:c>
      <x:c r="G19" s="188" t="str">
        <x:v>Future</x:v>
      </x:c>
      <x:c r="H19" s="189" t="str">
        <x:v>Productize only after repeatable pilot evidence and controlled false-negative risk.</x:v>
      </x:c>
    </x:row>
    <x:row r="21" ht="15">
      <x:c r="A21" s="238" t="s">
        <x:v>834</x:v>
      </x:c>
      <x:c r="B21" s="238"/>
      <x:c r="C21" s="238"/>
      <x:c r="D21" s="238"/>
      <x:c r="E21" s="238"/>
      <x:c r="F21" s="238"/>
      <x:c r="G21" s="238"/>
      <x:c r="H21" s="238"/>
    </x:row>
    <x:row r="22" ht="38.099998474121094" customHeight="1">
      <x:c r="A22" s="239" t="s">
        <x:v>835</x:v>
      </x:c>
      <x:c r="B22" s="240"/>
      <x:c r="C22" s="241" t="s">
        <x:v>836</x:v>
      </x:c>
      <x:c r="D22" s="242"/>
      <x:c r="E22" s="242"/>
      <x:c r="F22" s="242"/>
      <x:c r="G22" s="242"/>
      <x:c r="H22" s="243"/>
    </x:row>
    <x:row r="23" ht="38.099998474121094" customHeight="1">
      <x:c r="A23" s="239" t="s">
        <x:v>837</x:v>
      </x:c>
      <x:c r="B23" s="240"/>
      <x:c r="C23" s="241" t="s">
        <x:v>838</x:v>
      </x:c>
      <x:c r="D23" s="242"/>
      <x:c r="E23" s="242"/>
      <x:c r="F23" s="242"/>
      <x:c r="G23" s="242"/>
      <x:c r="H23" s="243"/>
    </x:row>
    <x:row r="24" ht="38.099998474121094" customHeight="1">
      <x:c r="A24" s="239" t="s">
        <x:v>839</x:v>
      </x:c>
      <x:c r="B24" s="240"/>
      <x:c r="C24" s="241" t="s">
        <x:v>840</x:v>
      </x:c>
      <x:c r="D24" s="242"/>
      <x:c r="E24" s="242"/>
      <x:c r="F24" s="242"/>
      <x:c r="G24" s="242"/>
      <x:c r="H24" s="243"/>
    </x:row>
    <x:row r="25" ht="38.099998474121094" customHeight="1">
      <x:c r="A25" s="239" t="s">
        <x:v>841</x:v>
      </x:c>
      <x:c r="B25" s="240"/>
      <x:c r="C25" s="241" t="s">
        <x:v>842</x:v>
      </x:c>
      <x:c r="D25" s="242"/>
      <x:c r="E25" s="242"/>
      <x:c r="F25" s="242"/>
      <x:c r="G25" s="242"/>
      <x:c r="H25" s="243"/>
    </x:row>
    <x:row r="26" ht="38.099998474121094" customHeight="1">
      <x:c r="A26" s="239" t="s">
        <x:v>843</x:v>
      </x:c>
      <x:c r="B26" s="240"/>
      <x:c r="C26" s="241" t="s">
        <x:v>844</x:v>
      </x:c>
      <x:c r="D26" s="242"/>
      <x:c r="E26" s="242"/>
      <x:c r="F26" s="242"/>
      <x:c r="G26" s="242"/>
      <x:c r="H26" s="243"/>
    </x:row>
    <x:row r="27" ht="38.099998474121094" customHeight="1">
      <x:c r="A27" s="239" t="s">
        <x:v>845</x:v>
      </x:c>
      <x:c r="B27" s="240"/>
      <x:c r="C27" s="241" t="s">
        <x:v>846</x:v>
      </x:c>
      <x:c r="D27" s="242"/>
      <x:c r="E27" s="242"/>
      <x:c r="F27" s="242"/>
      <x:c r="G27" s="242"/>
      <x:c r="H27" s="243"/>
    </x:row>
    <x:row r="28" ht="38.099998474121094" customHeight="1">
      <x:c r="A28" s="239" t="s">
        <x:v>847</x:v>
      </x:c>
      <x:c r="B28" s="240"/>
      <x:c r="C28" s="241" t="s">
        <x:v>848</x:v>
      </x:c>
      <x:c r="D28" s="242"/>
      <x:c r="E28" s="242"/>
      <x:c r="F28" s="242"/>
      <x:c r="G28" s="242"/>
      <x:c r="H28" s="243"/>
    </x:row>
    <x:row r="29" ht="38.099998474121094" customHeight="1">
      <x:c r="A29" s="239" t="s">
        <x:v>849</x:v>
      </x:c>
      <x:c r="B29" s="240"/>
      <x:c r="C29" s="241" t="s">
        <x:v>850</x:v>
      </x:c>
      <x:c r="D29" s="242"/>
      <x:c r="E29" s="242"/>
      <x:c r="F29" s="242"/>
      <x:c r="G29" s="242"/>
      <x:c r="H29" s="243"/>
    </x:row>
    <x:row r="31" ht="15">
      <x:c r="A31" s="238" t="str">
        <x:v>Selected v0.3.0 Workflow</x:v>
      </x:c>
      <x:c r="B31" s="238"/>
      <x:c r="C31" s="238" t="str">
        <x:v>Structured Mechanical Package Consistency Audit for drawing register ↔ drawing metadata ↔ BOM/equipment list ↔ datasheet/specification metadata ↔ revision history.</x:v>
      </x:c>
      <x:c r="D31" s="238"/>
      <x:c r="E31" s="238"/>
      <x:c r="F31" s="238"/>
      <x:c r="G31" s="238"/>
      <x:c r="H31" s="238"/>
    </x:row>
    <x:row r="32" ht="39.95000076293945" customHeight="1">
      <x:c r="A32" s="239" t="s">
        <x:v>851</x:v>
      </x:c>
      <x:c r="B32" s="240"/>
      <x:c r="C32" s="241" t="str">
        <x:v>Versioned package manifest, controlled structured tables, authority declarations, canonical identifiers, revision relationships, and file references. PDF/CAD extraction is explicitly outside v0.3.0.</x:v>
      </x:c>
      <x:c r="D32" s="242"/>
      <x:c r="E32" s="242"/>
      <x:c r="F32" s="242"/>
      <x:c r="G32" s="242"/>
      <x:c r="H32" s="243"/>
    </x:row>
    <x:row r="33" ht="39.95000076293945" customHeight="1">
      <x:c r="A33" s="239" t="s">
        <x:v>852</x:v>
      </x:c>
      <x:c r="B33" s="240"/>
      <x:c r="C33" s="241" t="str">
        <x:v>A replaceable producer may assemble or propose package data, but v0.3.0 evaluates committed structured artifacts independently and does not require an agent runtime.</x:v>
      </x:c>
      <x:c r="D33" s="242"/>
      <x:c r="E33" s="242"/>
      <x:c r="F33" s="242"/>
      <x:c r="G33" s="242"/>
      <x:c r="H33" s="243"/>
    </x:row>
    <x:row r="34" ht="39.95000076293945" customHeight="1">
      <x:c r="A34" s="239" t="s">
        <x:v>853</x:v>
      </x:c>
      <x:c r="B34" s="240"/>
      <x:c r="C34" s="241" t="str">
        <x:v>Enforce package gates, source precedence, document/tag relationships, item/quantity/revision/specification consistency, mandatory holds, and explicit uncertainty states.</x:v>
      </x:c>
      <x:c r="D34" s="242"/>
      <x:c r="E34" s="242"/>
      <x:c r="F34" s="242"/>
      <x:c r="G34" s="242"/>
      <x:c r="H34" s="243"/>
    </x:row>
    <x:row r="35" ht="39.95000076293945" customHeight="1">
      <x:c r="A35" s="239" t="s">
        <x:v>854</x:v>
      </x:c>
      <x:c r="B35" s="240"/>
      <x:c r="C35" s="241" t="str">
        <x:v>Immutable result JSON, evidence-linked issue register, release-readiness summary, benchmark report, and human review package.</x:v>
      </x:c>
      <x:c r="D35" s="242"/>
      <x:c r="E35" s="242"/>
      <x:c r="F35" s="242"/>
      <x:c r="G35" s="242"/>
      <x:c r="H35" s="243"/>
    </x:row>
    <x:row r="36" ht="39.95000076293945" customHeight="1">
      <x:c r="A36" s="239" t="s">
        <x:v>855</x:v>
      </x:c>
      <x:c r="B36" s="240"/>
      <x:c r="C36" s="241" t="str">
        <x:v>Reduce coordinator/checker time and prevent avoidable procurement, fabrication, rework, field modification, client rejection, and turnover delays.</x:v>
      </x:c>
      <x:c r="D36" s="242"/>
      <x:c r="E36" s="242"/>
      <x:c r="F36" s="242"/>
      <x:c r="G36" s="242"/>
      <x:c r="H36" s="243"/>
    </x:row>
    <x:row r="37" ht="39.95000076293945" customHeight="1">
      <x:c r="A37" s="239" t="s">
        <x:v>856</x:v>
      </x:c>
      <x:c r="B37" s="240"/>
      <x:c r="C37" s="241" t="str">
        <x:v>Start as a fixed-scope service and portfolio workflow. Use repeated external evidence—not model hype—to decide the next adapter or vertical.</x:v>
      </x:c>
      <x:c r="D37" s="242"/>
      <x:c r="E37" s="242"/>
      <x:c r="F37" s="242"/>
      <x:c r="G37" s="242"/>
      <x:c r="H37" s="243"/>
    </x:row>
    <x:row r="38" ht="39.95000076293945" customHeight="1">
      <x:c r="A38" s="239" t="s">
        <x:v>857</x:v>
      </x:c>
      <x:c r="B38" s="240"/>
      <x:c r="C38" s="241" t="s">
        <x:v>858</x:v>
      </x:c>
      <x:c r="D38" s="242"/>
      <x:c r="E38" s="242"/>
      <x:c r="F38" s="242"/>
      <x:c r="G38" s="242"/>
      <x:c r="H38" s="243"/>
    </x:row>
    <x:row r="39">
      <x:c r="A39" t="str">
        <x:v>Release Guardrail and Immediate Interface Requirements</x:v>
      </x:c>
    </x:row>
    <x:row r="40" ht="15">
      <x:c r="A40" s="238" t="str">
        <x:v>v0.2.0 remains</x:v>
      </x:c>
      <x:c r="B40" s="238"/>
      <x:c r="C40" s="238" t="str">
        <x:v>The frozen JSON candidate loader, gates, deterministic checks, weighted scoring, failure evidence, evaluate CLI, immutable results, five-case benchmark, CI, docs, demo, and release proof.</x:v>
      </x:c>
      <x:c r="D40" s="238"/>
      <x:c r="E40" s="238"/>
      <x:c r="F40" s="238"/>
      <x:c r="G40" s="238"/>
      <x:c r="H40" s="238"/>
    </x:row>
    <x:row r="41" ht="42" customHeight="1">
      <x:c r="A41" s="239" t="str">
        <x:v>v0.3.0 adds</x:v>
      </x:c>
      <x:c r="B41" s="240"/>
      <x:c r="C41" s="241" t="str">
        <x:v>A package manifest, authority model, package gates, cross-document checks, explicit result-state routing, issue register, release summary, audit-package CLI, two-package benchmark, and commercial demo.</x:v>
      </x:c>
      <x:c r="D41" s="242"/>
      <x:c r="E41" s="242"/>
      <x:c r="F41" s="242"/>
      <x:c r="G41" s="242"/>
      <x:c r="H41" s="243"/>
    </x:row>
    <x:row r="42" ht="42" customHeight="1">
      <x:c r="A42" s="239" t="str">
        <x:v>Still deferred</x:v>
      </x:c>
      <x:c r="B42" s="240"/>
      <x:c r="C42" s="241" t="str">
        <x:v>PDF/CAD extraction, redline editing, standards databases, GD&amp;T generation, agent runtime integration, APIs/databases, observability, RAG, hosted deployment, reward models, and RL.</x:v>
      </x:c>
      <x:c r="D42" s="242"/>
      <x:c r="E42" s="242"/>
      <x:c r="F42" s="242"/>
      <x:c r="G42" s="242"/>
      <x:c r="H42" s="243"/>
    </x:row>
    <x:row r="43" ht="42" customHeight="1">
      <x:c r="A43" s="239" t="str">
        <x:v>P0 requirement</x:v>
      </x:c>
      <x:c r="B43" s="240"/>
      <x:c r="C43" s="241" t="str">
        <x:v>Freeze scope, canonical identifiers, authoritative fields, source precedence, result states, human-review boundaries, benchmark protocol, and stop conditions before code.</x:v>
      </x:c>
      <x:c r="D43" s="242"/>
      <x:c r="E43" s="242"/>
      <x:c r="F43" s="242"/>
      <x:c r="G43" s="242"/>
      <x:c r="H43" s="243"/>
    </x:row>
    <x:row r="44" ht="42" customHeight="1">
      <x:c r="A44" s="239" t="str">
        <x:v>P1–P3 requirement</x:v>
      </x:c>
      <x:c r="B44" s="240"/>
      <x:c r="C44" s="241" t="str">
        <x:v>Extend existing candidate/result/persistence interfaces; preserve expected/actual evidence, artifact location, source reference, severity, state, regression status, and version metadata.</x:v>
      </x:c>
      <x:c r="D44" s="242"/>
      <x:c r="E44" s="242"/>
      <x:c r="F44" s="242"/>
      <x:c r="G44" s="242"/>
      <x:c r="H44" s="243"/>
    </x:row>
    <x:row r="45" ht="42" customHeight="1">
      <x:c r="A45" s="239" t="str">
        <x:v>Change trigger</x:v>
      </x:c>
      <x:c r="B45" s="240"/>
      <x:c r="C45" s="241" t="str">
        <x:v>Pull another capability forward only through a recorded decision after v0.3.0 passes clean-clone acceptance and its frozen held-out benchmark, or when a concrete interface conflict makes it unavoidable.</x:v>
      </x:c>
      <x:c r="D45" s="242"/>
      <x:c r="E45" s="242"/>
      <x:c r="F45" s="242"/>
      <x:c r="G45" s="242"/>
      <x:c r="H45" s="243"/>
    </x:row>
  </x:sheetData>
  <x:mergeCells>
    <x:mergeCell ref="A43:B43"/>
    <x:mergeCell ref="C43:H43"/>
    <x:mergeCell ref="A44:B44"/>
    <x:mergeCell ref="C44:H44"/>
    <x:mergeCell ref="A45:B45"/>
    <x:mergeCell ref="C45:H45"/>
    <x:mergeCell ref="A40:H40"/>
    <x:mergeCell ref="A41:B41"/>
    <x:mergeCell ref="C41:H41"/>
    <x:mergeCell ref="A42:B42"/>
    <x:mergeCell ref="C42:H42"/>
    <x:mergeCell ref="A36:B36"/>
    <x:mergeCell ref="C36:H36"/>
    <x:mergeCell ref="A37:B37"/>
    <x:mergeCell ref="C37:H37"/>
    <x:mergeCell ref="A38:B38"/>
    <x:mergeCell ref="C38:H38"/>
    <x:mergeCell ref="A33:B33"/>
    <x:mergeCell ref="C33:H33"/>
    <x:mergeCell ref="A34:B34"/>
    <x:mergeCell ref="C34:H34"/>
    <x:mergeCell ref="A35:B35"/>
    <x:mergeCell ref="C35:H35"/>
    <x:mergeCell ref="A29:B29"/>
    <x:mergeCell ref="C29:H29"/>
    <x:mergeCell ref="A31:H31"/>
    <x:mergeCell ref="A32:B32"/>
    <x:mergeCell ref="C32:H32"/>
    <x:mergeCell ref="A26:B26"/>
    <x:mergeCell ref="C26:H26"/>
    <x:mergeCell ref="A27:B27"/>
    <x:mergeCell ref="C27:H27"/>
    <x:mergeCell ref="A28:B28"/>
    <x:mergeCell ref="C28:H28"/>
    <x:mergeCell ref="A23:B23"/>
    <x:mergeCell ref="C23:H23"/>
    <x:mergeCell ref="A24:B24"/>
    <x:mergeCell ref="C24:H24"/>
    <x:mergeCell ref="A25:B25"/>
    <x:mergeCell ref="C25:H25"/>
    <x:mergeCell ref="A9:B9"/>
    <x:mergeCell ref="C9:H9"/>
    <x:mergeCell ref="A11:H11"/>
    <x:mergeCell ref="A21:H21"/>
    <x:mergeCell ref="A22:B22"/>
    <x:mergeCell ref="C22:H22"/>
    <x:mergeCell ref="A6:B6"/>
    <x:mergeCell ref="C6:H6"/>
    <x:mergeCell ref="A7:B7"/>
    <x:mergeCell ref="C7:H7"/>
    <x:mergeCell ref="A8:B8"/>
    <x:mergeCell ref="C8:H8"/>
    <x:mergeCell ref="A1:H1"/>
    <x:mergeCell ref="A2:H2"/>
    <x:mergeCell ref="A4:H4"/>
    <x:mergeCell ref="A5:B5"/>
    <x:mergeCell ref="C5:H5"/>
  </x:mergeCells>
  <x:pageMargins left="0.7" right="0.7" top="0.75" bottom="0.75" header="0.3" footer="0.3"/>
</x:worksheet>
</file>

<file path=xl/worksheets/sheet17.xml><?xml version="1.0" encoding="utf-8"?>
<x:worksheet xmlns:x="http://schemas.openxmlformats.org/spreadsheetml/2006/main">
  <x:sheetFormatPr defaultRowHeight="15"/>
  <x:cols>
    <x:col min="1" max="1" width="10" hidden="0" customWidth="1"/>
    <x:col min="2" max="2" width="24" hidden="0" customWidth="1"/>
    <x:col min="3" max="3" width="30" hidden="0" customWidth="1"/>
    <x:col min="4" max="4" width="58" hidden="0" customWidth="1"/>
    <x:col min="5" max="5" width="16" hidden="0" customWidth="1"/>
    <x:col min="6" max="6" width="12" hidden="0" customWidth="1"/>
    <x:col min="7" max="7" width="10" hidden="0" customWidth="1"/>
    <x:col min="8" max="8" width="10" hidden="0" customWidth="1"/>
    <x:col min="9" max="9" width="12" hidden="0" customWidth="1"/>
    <x:col min="10" max="10" width="12" hidden="0" customWidth="1"/>
    <x:col min="11" max="11" width="14" hidden="0" customWidth="1"/>
    <x:col min="12" max="12" width="11" hidden="0" customWidth="1"/>
    <x:col min="13" max="13" width="12" hidden="0" customWidth="1"/>
    <x:col min="14" max="14" width="14" hidden="0" customWidth="1"/>
    <x:col min="15" max="15" width="12" hidden="0" customWidth="1"/>
    <x:col min="16" max="16" width="28" hidden="0" customWidth="1"/>
    <x:col min="17" max="17" width="42" hidden="0" customWidth="1"/>
    <x:col min="18" max="18" width="40" hidden="0" customWidth="1"/>
    <x:col min="19" max="19" width="8" hidden="0" customWidth="1"/>
    <x:col min="20" max="20" width="8" hidden="0" customWidth="1"/>
    <x:col min="21" max="21" width="8" hidden="0" customWidth="1"/>
    <x:col min="22" max="22" width="8" hidden="0" customWidth="1"/>
    <x:col min="23" max="23" width="8" hidden="0" customWidth="1"/>
    <x:col min="24" max="24" width="8" hidden="0" customWidth="1"/>
  </x:cols>
  <x:sheetData>
    <x:row r="1" ht="28" customHeight="1">
      <x:c r="A1" s="647" t="str">
        <x:v>Baseline Start</x:v>
      </x:c>
      <x:c r="B1" s="648" t="n">
        <x:v>46216</x:v>
      </x:c>
      <x:c r="C1" s="647"/>
      <x:c r="D1" s="647" t="str">
        <x:v>Total Planned Hours</x:v>
      </x:c>
      <x:c r="E1" s="647" t="n">
        <x:f>SUM(F6:F22)</x:f>
        <x:v>46</x:v>
      </x:c>
      <x:c r="F1" s="647"/>
      <x:c r="G1" s="647" t="str">
        <x:v>Target Finish</x:v>
      </x:c>
      <x:c r="H1" s="648" t="n">
        <x:v>46257</x:v>
      </x:c>
      <x:c r="I1" s="647"/>
      <x:c r="J1" s="647" t="str">
        <x:v>Control Baseline</x:v>
      </x:c>
      <x:c r="K1" s="647" t="str">
        <x:v>v0.3.0 — 6-week Package Assurance Pilot</x:v>
      </x:c>
    </x:row>
    <x:row r="3" ht="36" customHeight="1">
      <x:c r="A3" s="652" t="str">
        <x:v>Active controlling WBS for v0.3.0. Actual hours are calculated from Work Block Log. Do not alter the frozen v0.2.0 release, golden references, or held-out assets merely to make a run pass.</x:v>
      </x:c>
      <x:c r="B3" s="652"/>
      <x:c r="C3" s="652"/>
      <x:c r="D3" s="652"/>
      <x:c r="E3" s="652"/>
      <x:c r="F3" s="652"/>
      <x:c r="G3" s="652"/>
      <x:c r="H3" s="652"/>
      <x:c r="I3" s="652"/>
      <x:c r="J3" s="652"/>
      <x:c r="K3" s="652"/>
      <x:c r="L3" s="652"/>
      <x:c r="M3" s="652"/>
      <x:c r="N3" s="652"/>
      <x:c r="O3" s="652"/>
      <x:c r="P3" s="652"/>
      <x:c r="Q3" s="652"/>
      <x:c r="R3" s="652"/>
      <x:c r="S3" s="652"/>
      <x:c r="T3" s="652"/>
      <x:c r="U3" s="652"/>
      <x:c r="V3" s="652"/>
      <x:c r="W3" s="652"/>
      <x:c r="X3" s="652"/>
    </x:row>
    <x:row r="4">
      <x:c r="S4" s="661" t="n">
        <x:v>46216</x:v>
      </x:c>
      <x:c r="T4" s="661" t="n">
        <x:v>46223</x:v>
      </x:c>
      <x:c r="U4" s="661" t="n">
        <x:v>46230</x:v>
      </x:c>
      <x:c r="V4" s="661" t="n">
        <x:v>46237</x:v>
      </x:c>
      <x:c r="W4" s="661" t="n">
        <x:v>46244</x:v>
      </x:c>
      <x:c r="X4" s="661" t="n">
        <x:v>46251</x:v>
      </x:c>
    </x:row>
    <x:row r="5">
      <x:c r="A5" s="657" t="str">
        <x:v>WBS</x:v>
      </x:c>
      <x:c r="B5" s="657" t="str">
        <x:v>Phase</x:v>
      </x:c>
      <x:c r="C5" s="657" t="str">
        <x:v>Work Package</x:v>
      </x:c>
      <x:c r="D5" s="657" t="str">
        <x:v>Deliverable / Acceptance Evidence</x:v>
      </x:c>
      <x:c r="E5" s="657" t="str">
        <x:v>Predecessor</x:v>
      </x:c>
      <x:c r="F5" s="657" t="str">
        <x:v>Planned Hours</x:v>
      </x:c>
      <x:c r="G5" s="657" t="str">
        <x:v>Start Week</x:v>
      </x:c>
      <x:c r="H5" s="657" t="str">
        <x:v>Finish Week</x:v>
      </x:c>
      <x:c r="I5" s="657" t="str">
        <x:v>Start Date</x:v>
      </x:c>
      <x:c r="J5" s="657" t="str">
        <x:v>Finish Date</x:v>
      </x:c>
      <x:c r="K5" s="657" t="str">
        <x:v>Status</x:v>
      </x:c>
      <x:c r="L5" s="657" t="str">
        <x:v>% Complete</x:v>
      </x:c>
      <x:c r="M5" s="657" t="str">
        <x:v>Actual Hours</x:v>
      </x:c>
      <x:c r="N5" s="657" t="str">
        <x:v>Remaining Planned</x:v>
      </x:c>
      <x:c r="O5" s="657" t="str">
        <x:v>Hour Variance</x:v>
      </x:c>
      <x:c r="P5" s="657" t="str">
        <x:v>Branch / Evidence</x:v>
      </x:c>
      <x:c r="Q5" s="657" t="str">
        <x:v>Next Action</x:v>
      </x:c>
      <x:c r="R5" s="657" t="str">
        <x:v>Notes</x:v>
      </x:c>
      <x:c r="S5" s="657" t="str">
        <x:v>W1</x:v>
      </x:c>
      <x:c r="T5" s="657" t="str">
        <x:v>W2</x:v>
      </x:c>
      <x:c r="U5" s="657" t="str">
        <x:v>W3</x:v>
      </x:c>
      <x:c r="V5" s="657" t="str">
        <x:v>W4</x:v>
      </x:c>
      <x:c r="W5" s="657" t="str">
        <x:v>W5</x:v>
      </x:c>
      <x:c r="X5" s="657" t="str">
        <x:v>W6</x:v>
      </x:c>
    </x:row>
    <x:row r="6" ht="64" customHeight="1">
      <x:c r="A6" s="431" t="str">
        <x:v>P0.1</x:v>
      </x:c>
      <x:c r="B6" s="431" t="str">
        <x:v>P0 Definition &amp; Control</x:v>
      </x:c>
      <x:c r="C6" s="431" t="str">
        <x:v>Define workflow contract and authority map</x:v>
      </x:c>
      <x:c r="D6" s="431" t="str">
        <x:v>Approved contract identifies package scope, document types, canonical identifiers, authoritative fields, source precedence, permitted result states, exclusions, and human-review boundaries.</x:v>
      </x:c>
      <x:c r="E6" s="431" t="str">
        <x:v>-</x:v>
      </x:c>
      <x:c r="F6" s="662" t="n">
        <x:v>2</x:v>
      </x:c>
      <x:c r="G6" s="431" t="n">
        <x:v>1</x:v>
      </x:c>
      <x:c r="H6" s="431" t="n">
        <x:v>1</x:v>
      </x:c>
      <x:c r="I6" s="429" t="n">
        <x:f>$B$1+(G6-1)*7</x:f>
        <x:v>46216</x:v>
      </x:c>
      <x:c r="J6" s="429" t="n">
        <x:f>$B$1+H6*7-1</x:f>
        <x:v>46222</x:v>
      </x:c>
      <x:c r="K6" s="431" t="str">
        <x:v>Complete</x:v>
      </x:c>
      <x:c r="L6" s="664" t="n">
        <x:v>1</x:v>
      </x:c>
      <x:c r="M6" s="662" t="n">
        <x:f>SUMIF('Work Block Log'!$E$5:$E$200,A6,'Work Block Log'!$F$5:$F$200)</x:f>
        <x:v>0</x:v>
      </x:c>
      <x:c r="N6" s="662" t="n">
        <x:f>MAX(F6*(1-L6),0)</x:f>
        <x:v>0</x:v>
      </x:c>
      <x:c r="O6" s="662" t="n">
        <x:f>M6-F6</x:f>
        <x:v>-2</x:v>
      </x:c>
      <x:c r="P6" s="431" t="str">
        <x:v>feature/package-assurance-contract; commit 03f102e; docs/package_assurance/workflow_contract_v0.3.0.md; docs/package_assurance/authority_map_example_v0.3.0.json; D-033; D-034; EV-030; EV-031</x:v>
      </x:c>
      <x:c r="Q6" s="431" t="str">
        <x:v>P0.1 accepted by the user on 2026-07-15. P0.2 review is complete; no further P0.1 action.</x:v>
      </x:c>
      <x:c r="R6" s="431" t="str">
        <x:v>P0.1 review questions resolved and committed. Prospective time tracking is waived. No package-assurance implementation was added.</x:v>
      </x:c>
      <x:c r="S6" s="669" t="str">
        <x:v>■</x:v>
      </x:c>
      <x:c r="T6" s="669"/>
      <x:c r="U6" s="669"/>
      <x:c r="V6" s="669"/>
      <x:c r="W6" s="669"/>
      <x:c r="X6" s="669"/>
    </x:row>
    <x:row r="7" ht="64" customHeight="1">
      <x:c r="A7" s="431" t="str">
        <x:v>P0.2</x:v>
      </x:c>
      <x:c r="B7" s="431" t="str">
        <x:v>P0 Definition &amp; Control</x:v>
      </x:c>
      <x:c r="C7" s="431" t="str">
        <x:v>Define acceptance plan and benchmark protocol</x:v>
      </x:c>
      <x:c r="D7" s="431" t="str">
        <x:v>Acceptance plan defines deterministic checks, package-level gates, benchmark split, fault-injection matrix, false-negative review, evidence requirements, release claims, and stop conditions.</x:v>
      </x:c>
      <x:c r="E7" s="431" t="str">
        <x:v>P0.1</x:v>
      </x:c>
      <x:c r="F7" s="662" t="n">
        <x:v>2</x:v>
      </x:c>
      <x:c r="G7" s="431" t="n">
        <x:v>1</x:v>
      </x:c>
      <x:c r="H7" s="431" t="n">
        <x:v>1</x:v>
      </x:c>
      <x:c r="I7" s="429" t="n">
        <x:f>$B$1+(G7-1)*7</x:f>
        <x:v>46216</x:v>
      </x:c>
      <x:c r="J7" s="429" t="n">
        <x:f>$B$1+H7*7-1</x:f>
        <x:v>46222</x:v>
      </x:c>
      <x:c r="K7" s="431" t="str">
        <x:v>Complete</x:v>
      </x:c>
      <x:c r="L7" s="664" t="n">
        <x:v>1</x:v>
      </x:c>
      <x:c r="M7" s="662" t="n">
        <x:f>SUMIF('Work Block Log'!$E$5:$E$200,A7,'Work Block Log'!$F$5:$F$200)</x:f>
        <x:v>0</x:v>
      </x:c>
      <x:c r="N7" s="662" t="n">
        <x:f>MAX(F7*(1-L7),0)</x:f>
        <x:v>0</x:v>
      </x:c>
      <x:c r="O7" s="662" t="n">
        <x:f>M7-F7</x:f>
        <x:v>-2</x:v>
      </x:c>
      <x:c r="P7" s="431" t="str">
        <x:v>feature/package-assurance-contract; commit 234b196; docs/package_assurance/acceptance_plan_v0.3.0.md; D-035; D-037; EV-032; EV-034</x:v>
      </x:c>
      <x:c r="Q7" s="431" t="str">
        <x:v>P0.2 is accepted, integrated, and closed; no further action.</x:v>
      </x:c>
      <x:c r="R7" s="431" t="str">
        <x:v>The user accepted P0.2 on 2026-07-16 and authorized the next gate. Benchmark policy is frozen; P1.1 only is authorized.</x:v>
      </x:c>
      <x:c r="S7" s="669" t="str">
        <x:v>■</x:v>
      </x:c>
      <x:c r="T7" s="669"/>
      <x:c r="U7" s="669"/>
      <x:c r="V7" s="669"/>
      <x:c r="W7" s="669"/>
      <x:c r="X7" s="669"/>
    </x:row>
    <x:row r="8" ht="108" customHeight="1">
      <x:c r="A8" s="431" t="str">
        <x:v>P1.1</x:v>
      </x:c>
      <x:c r="B8" s="431" t="str">
        <x:v>P1 Package Model &amp; Fixtures</x:v>
      </x:c>
      <x:c r="C8" s="431" t="str">
        <x:v>Implement package manifest schema and loader</x:v>
      </x:c>
      <x:c r="D8" s="431" t="str">
        <x:v>Versioned package manifest validates package metadata, document inventory, identifiers, revisions, relationships, authoritative-source declarations, file references, and controlled missing/malformed errors.</x:v>
      </x:c>
      <x:c r="E8" s="431" t="str">
        <x:v>P0.2</x:v>
      </x:c>
      <x:c r="F8" s="662" t="n">
        <x:v>3</x:v>
      </x:c>
      <x:c r="G8" s="431" t="n">
        <x:v>1</x:v>
      </x:c>
      <x:c r="H8" s="431" t="n">
        <x:v>2</x:v>
      </x:c>
      <x:c r="I8" s="429" t="n">
        <x:f>$B$1+(G8-1)*7</x:f>
        <x:v>46216</x:v>
      </x:c>
      <x:c r="J8" s="429" t="n">
        <x:f>$B$1+H8*7-1</x:f>
        <x:v>46229</x:v>
      </x:c>
      <x:c r="K8" s="431" t="str">
        <x:v>Complete</x:v>
      </x:c>
      <x:c r="L8" s="664" t="n">
        <x:v>1</x:v>
      </x:c>
      <x:c r="M8" s="662" t="n">
        <x:v>0</x:v>
      </x:c>
      <x:c r="N8" s="662" t="n">
        <x:v>0</x:v>
      </x:c>
      <x:c r="O8" s="662" t="n">
        <x:v>-3</x:v>
      </x:c>
      <x:c r="P8" s="431" t="str">
        <x:v>feature/package-manifest; commit 42ad037; origin/feature/package-manifest; package_manifest.schema.json; manifest.py; test_package_manifest.py; focused 40 passed/1 skipped; full 161 passed/1 skipped; D-038; D-039; D-040; EV-035; EV-036; EV-037</x:v>
      </x:c>
      <x:c r="Q8" s="431" t="str">
        <x:v>P1.1 is accepted and closed; no further action.</x:v>
      </x:c>
      <x:c r="R8" s="431" t="str">
        <x:v>The user committed and pushed final P1.1 changes, then instructed the project to continue. Local main was fast-forwarded to 42ad037 for branch sequencing; remote integration remains outside this work block. Time tracking remains waived.</x:v>
      </x:c>
      <x:c r="S8" s="669" t="str">
        <x:v>■</x:v>
      </x:c>
      <x:c r="T8" s="669" t="str">
        <x:v>■</x:v>
      </x:c>
      <x:c r="U8" s="669"/>
      <x:c r="V8" s="669"/>
      <x:c r="W8" s="669"/>
      <x:c r="X8" s="669"/>
    </x:row>
    <x:row r="9" ht="126" customHeight="1">
      <x:c r="A9" s="431" t="str">
        <x:v>P1.2</x:v>
      </x:c>
      <x:c r="B9" s="431" t="str">
        <x:v>P1 Package Model &amp; Fixtures</x:v>
      </x:c>
      <x:c r="C9" s="431" t="str">
        <x:v>Author development synthetic package</x:v>
      </x:c>
      <x:c r="D9" s="431" t="str">
        <x:v>A realistic structured release package includes drawing register, drawing metadata, BOM/equipment list, datasheet/spec metadata, and revision history with reviewed golden relationships.</x:v>
      </x:c>
      <x:c r="E9" s="431" t="str">
        <x:v>P1.1</x:v>
      </x:c>
      <x:c r="F9" s="662" t="n">
        <x:v>3</x:v>
      </x:c>
      <x:c r="G9" s="431" t="n">
        <x:v>2</x:v>
      </x:c>
      <x:c r="H9" s="431" t="n">
        <x:v>2</x:v>
      </x:c>
      <x:c r="I9" s="429" t="n">
        <x:f>$B$1+(G9-1)*7</x:f>
        <x:v>46223</x:v>
      </x:c>
      <x:c r="J9" s="429" t="n">
        <x:f>$B$1+H9*7-1</x:f>
        <x:v>46229</x:v>
      </x:c>
      <x:c r="K9" s="431" t="str">
        <x:v>Complete</x:v>
      </x:c>
      <x:c r="L9" s="664" t="n">
        <x:v>1</x:v>
      </x:c>
      <x:c r="M9" s="662" t="n">
        <x:v>0</x:v>
      </x:c>
      <x:c r="N9" s="662" t="n">
        <x:v>0</x:v>
      </x:c>
      <x:c r="O9" s="662" t="n">
        <x:v>-3</x:v>
      </x:c>
      <x:c r="P9" s="431" t="str">
        <x:v>feature/package-fixtures; commit f26ed27; origin/feature/package-fixtures; benchmarks/package_assurance/development/pump_skid_clean_v1; fixture hash a4b278e5bd20f3b64a85d52c478747b1115e15bbaf63b19bf47f5dffddfaf31a; focused 44 passed/1 skipped; full 165 passed/1 skipped; D-040; D-041; D-042; EV-037; EV-038; EV-039</x:v>
      </x:c>
      <x:c r="Q9" s="431" t="str">
        <x:v>P1.2 is accepted and closed; no further action.</x:v>
      </x:c>
      <x:c r="R9" s="431" t="str">
        <x:v>The user accepted P1.2 on 2026-07-16. Its clean development fixture and protected goldens remain unchanged as the P1.3 predecessor baseline.</x:v>
      </x:c>
      <x:c r="S9" s="669"/>
      <x:c r="T9" s="669" t="str">
        <x:v>■</x:v>
      </x:c>
      <x:c r="U9" s="669"/>
      <x:c r="V9" s="669"/>
      <x:c r="W9" s="669"/>
      <x:c r="X9" s="669"/>
    </x:row>
    <x:row r="10" ht="117" customHeight="1">
      <x:c r="A10" s="431" t="str">
        <x:v>P1.3</x:v>
      </x:c>
      <x:c r="B10" s="431" t="str">
        <x:v>P1 Package Model &amp; Fixtures</x:v>
      </x:c>
      <x:c r="C10" s="431" t="str">
        <x:v>Author held-out package and fault variants</x:v>
      </x:c>
      <x:c r="D10" s="431" t="str">
        <x:v>A second package is frozen before rule tuning; at least six seeded fault variants cover missing document, revision mismatch, orphan tag, quantity mismatch, wrong datasheet mapping, and ambiguous authority.</x:v>
      </x:c>
      <x:c r="E10" s="431" t="str">
        <x:v>P1.2</x:v>
      </x:c>
      <x:c r="F10" s="662" t="n">
        <x:v>2</x:v>
      </x:c>
      <x:c r="G10" s="431" t="n">
        <x:v>2</x:v>
      </x:c>
      <x:c r="H10" s="431" t="n">
        <x:v>2</x:v>
      </x:c>
      <x:c r="I10" s="429" t="n">
        <x:f>$B$1+(G10-1)*7</x:f>
        <x:v>46223</x:v>
      </x:c>
      <x:c r="J10" s="429" t="n">
        <x:f>$B$1+H10*7-1</x:f>
        <x:v>46229</x:v>
      </x:c>
      <x:c r="K10" s="431" t="str">
        <x:v>Complete</x:v>
      </x:c>
      <x:c r="L10" s="664" t="n">
        <x:v>1</x:v>
      </x:c>
      <x:c r="M10" s="662" t="n">
        <x:f>SUMIF('Work Block Log'!$E$5:$E$200,A10,'Work Block Log'!$F$5:$F$200)</x:f>
        <x:v>0</x:v>
      </x:c>
      <x:c r="N10" s="662" t="n">
        <x:f>MAX(F10*(1-L10),0)</x:f>
        <x:v>0</x:v>
      </x:c>
      <x:c r="O10" s="662" t="n">
        <x:f>M10-F10</x:f>
        <x:v>-2</x:v>
      </x:c>
      <x:c r="P10" s="431" t="str">
        <x:v>feature/package-fixtures; commit 4b7516e; freeze-set hash 428f8c31f35e5c4f20a345621b937628c686576617bb5348db60db4d90e25884; focused 50 passed/1 skipped; full 170 passed/1 skipped; D-042; D-043; D-044; EV-039; EV-040; EV-041</x:v>
      </x:c>
      <x:c r="Q10" s="431" t="str">
        <x:v>P1.3 is accepted and closed; preserve the freeze and do not inspect the held-out family before controlled execution.</x:v>
      </x:c>
      <x:c r="R10" s="431" t="str">
        <x:v>The user accepted P1.3 at pushed commit 4b7516e on 2026-07-16. frozen_pre_tuning is active through the recorded activation rule; protected fixture content was not changed. P2.1 only is authorized.</x:v>
      </x:c>
      <x:c r="S10" s="669"/>
      <x:c r="T10" s="669" t="str">
        <x:v>■</x:v>
      </x:c>
      <x:c r="U10" s="669"/>
      <x:c r="V10" s="669"/>
      <x:c r="W10" s="669"/>
      <x:c r="X10" s="669"/>
    </x:row>
    <x:row r="11" ht="162" customHeight="1">
      <x:c r="A11" s="431" t="str">
        <x:v>P2.1</x:v>
      </x:c>
      <x:c r="B11" s="431" t="str">
        <x:v>P2 Consistency Rules</x:v>
      </x:c>
      <x:c r="C11" s="431" t="str">
        <x:v>Implement inventory, parse, revision, and authority gates</x:v>
      </x:c>
      <x:c r="D11" s="431" t="str">
        <x:v>Package-level gates fail closed on unreadable manifests, missing required source sets, duplicate document IDs, invalid revisions, unresolved authority declarations, and broken file references.</x:v>
      </x:c>
      <x:c r="E11" s="431" t="str">
        <x:v>P1.3</x:v>
      </x:c>
      <x:c r="F11" s="662" t="n">
        <x:v>3</x:v>
      </x:c>
      <x:c r="G11" s="431" t="n">
        <x:v>2</x:v>
      </x:c>
      <x:c r="H11" s="431" t="n">
        <x:v>3</x:v>
      </x:c>
      <x:c r="I11" s="429" t="n">
        <x:f>$B$1+(G11-1)*7</x:f>
        <x:v>46223</x:v>
      </x:c>
      <x:c r="J11" s="429" t="n">
        <x:f>$B$1+H11*7-1</x:f>
        <x:v>46236</x:v>
      </x:c>
      <x:c r="K11" s="431" t="str">
        <x:v>Complete</x:v>
      </x:c>
      <x:c r="L11" s="664" t="n">
        <x:v>1</x:v>
      </x:c>
      <x:c r="M11" s="662" t="n">
        <x:f>SUMIF('Work Block Log'!$E$5:$E$200,A11,'Work Block Log'!$F$5:$F$200)</x:f>
        <x:v>0</x:v>
      </x:c>
      <x:c r="N11" s="662" t="n">
        <x:f>MAX(F11*(1-L11),0)</x:f>
        <x:v>0</x:v>
      </x:c>
      <x:c r="O11" s="662" t="n">
        <x:f>M11-F11</x:f>
        <x:v>-3</x:v>
      </x:c>
      <x:c r="P11" s="431" t="str">
        <x:v>main merge 94d9117; PR #27; commits e1ada72, 13c2527, and 4d8dc81; CI green; 26 focused tests passed; full 197 passed/1 skipped; validation 5/5; Ruff passed; coverage 84.33%; D-047; D-048; EV-044; EV-045; EV-047</x:v>
      </x:c>
      <x:c r="Q11" s="431" t="str">
        <x:v>P2.1 is integrated and closed. Preserve it as the accepted predecessor for P2.2; no further P2.1 action.</x:v>
      </x:c>
      <x:c r="R11" s="431" t="str">
        <x:v>The user accepted stabilization and P2.1 on 2026-07-17. Stabilization closed cross-platform evidence-path and JSON source-version gaps, installed the improvement register and CI quality floor, and corrected dashboard progress. No P2.2 behavior was included.</x:v>
      </x:c>
      <x:c r="S11" s="669"/>
      <x:c r="T11" s="669" t="str">
        <x:v>■</x:v>
      </x:c>
      <x:c r="U11" s="669" t="str">
        <x:v>■</x:v>
      </x:c>
      <x:c r="V11" s="669"/>
      <x:c r="W11" s="669"/>
      <x:c r="X11" s="669"/>
    </x:row>
    <x:row r="12" ht="171" customHeight="1">
      <x:c r="A12" s="431" t="str">
        <x:v>P2.2</x:v>
      </x:c>
      <x:c r="B12" s="431" t="str">
        <x:v>P2 Consistency Rules</x:v>
      </x:c>
      <x:c r="C12" s="431" t="str">
        <x:v>Implement document and tag relationship checks</x:v>
      </x:c>
      <x:c r="D12" s="431" t="str">
        <x:v>Deterministic checks identify missing/extra documents, duplicate tags, orphan tags, inconsistent tag-to-document mappings, and register-to-metadata conflicts.</x:v>
      </x:c>
      <x:c r="E12" s="431" t="str">
        <x:v>P2.1</x:v>
      </x:c>
      <x:c r="F12" s="662" t="n">
        <x:v>4</x:v>
      </x:c>
      <x:c r="G12" s="431" t="n">
        <x:v>3</x:v>
      </x:c>
      <x:c r="H12" s="431" t="n">
        <x:v>3</x:v>
      </x:c>
      <x:c r="I12" s="429" t="n">
        <x:f>$B$1+(G12-1)*7</x:f>
        <x:v>46230</x:v>
      </x:c>
      <x:c r="J12" s="429" t="n">
        <x:f>$B$1+H12*7-1</x:f>
        <x:v>46236</x:v>
      </x:c>
      <x:c r="K12" s="431" t="str">
        <x:v>Complete</x:v>
      </x:c>
      <x:c r="L12" s="664" t="n">
        <x:v>1</x:v>
      </x:c>
      <x:c r="M12" s="662" t="n">
        <x:f>SUMIF('Work Block Log'!$E$5:$E$200,A12,'Work Block Log'!$F$5:$F$200)</x:f>
        <x:v>0</x:v>
      </x:c>
      <x:c r="N12" s="662" t="n">
        <x:f>MAX(F12*(1-L12),0)</x:f>
        <x:v>0</x:v>
      </x:c>
      <x:c r="O12" s="662" t="n">
        <x:f>M12-F12</x:f>
        <x:v>-4</x:v>
      </x:c>
      <x:c r="P12" s="431" t="str">
        <x:v>five ordered drawing checks accepted and integrated; implementation 4f06352; PR #36 merge 5b32b6d; PR #37 exact main 5571d2a; D-072-D-076; EV-069-EV-073; IMP-012</x:v>
      </x:c>
      <x:c r="Q12" s="431" t="str">
        <x:v>P2.2 is closed for the accepted vertical slice. Preserve the five-check order and behavior as the accepted predecessor for P2.4.</x:v>
      </x:c>
      <x:c r="R12" s="431" t="str">
        <x:v>Exact merged-tree verification: relationship 25; focused 51; full 222/1; validation 5/5; Ruff; coverage 85.64%; GitHub CI green. Protected assets and v0.2 behavior unchanged.</x:v>
      </x:c>
      <x:c r="S12" s="669"/>
      <x:c r="T12" s="669"/>
      <x:c r="U12" s="669" t="str">
        <x:v>■</x:v>
      </x:c>
      <x:c r="V12" s="669"/>
      <x:c r="W12" s="669"/>
      <x:c r="X12" s="669"/>
    </x:row>
    <x:row r="13" ht="567" customHeight="1">
      <x:c r="A13" s="431" t="str">
        <x:v>P2.3</x:v>
      </x:c>
      <x:c r="B13" s="431" t="str">
        <x:v>P2 Consistency Rules</x:v>
      </x:c>
      <x:c r="C13" s="431" t="str">
        <x:v>Implement BOM, equipment-list, and datasheet checks</x:v>
      </x:c>
      <x:c r="D13" s="431" t="str">
        <x:v>Checks identify item presence, quantity, part/equipment identifier, revision, material/specification reference, and datasheet-association discrepancies with evidence.</x:v>
      </x:c>
      <x:c r="E13" s="431" t="str">
        <x:v>P3.3</x:v>
      </x:c>
      <x:c r="F13" s="662" t="n">
        <x:v>4</x:v>
      </x:c>
      <x:c r="G13" s="431" t="n">
        <x:v>3</x:v>
      </x:c>
      <x:c r="H13" s="431" t="n">
        <x:v>4</x:v>
      </x:c>
      <x:c r="I13" s="429" t="n">
        <x:f>$B$1+(G13-1)*7</x:f>
        <x:v>46230</x:v>
      </x:c>
      <x:c r="J13" s="429" t="n">
        <x:f>$B$1+H13*7-1</x:f>
        <x:v>46243</x:v>
      </x:c>
      <x:c r="K13" s="431" t="str">
        <x:v>In Progress</x:v>
      </x:c>
      <x:c r="L13" s="664" t="n">
        <x:v>0.92</x:v>
      </x:c>
      <x:c r="M13" s="662" t="n">
        <x:f>SUMIF('Work Block Log'!$E$5:$E$200,A13,'Work Block Log'!$F$5:$F$200)</x:f>
        <x:v>0</x:v>
      </x:c>
      <x:c r="N13" s="662" t="n">
        <x:f>MAX(F13*(1-L13),0)</x:f>
        <x:v>0.31999999999999984</x:v>
      </x:c>
      <x:c r="O13" s="662" t="n">
        <x:f>M13-F13</x:f>
        <x:v>-4</x:v>
      </x:c>
      <x:c r="P13" s="431" t="str">
        <x:v>checks 6-9 integrated; PR #56 exact main 7146b23; D-085-D-105; EV-082-EV-128; I-005 mitigating; IMP-013-IMP-019; D-104 accepted; bounded final-rename PermissionError retry implemented; five total attempts over 0.75 seconds; collision/other-error/exhaustion fail closed; Windows audit 20/20; focused 24; full 304/1; coverage 88.08%; validation 5/5; Ruff; baseline 9/9; demo 2/2</x:v>
      </x:c>
      <x:c r="Q13" s="431" t="str">
        <x:v>CEO reviews publication_resilience_stabilization_review_2026-07-21.md and accepts or revises D-105.</x:v>
      </x:c>
      <x:c r="R13" s="431" t="str">
        <x:v>D-105 may close I-005, retain IMP-019, and authorize check 10 only. Keep check 11, authority gaps, public reruns, held-out semantics, PDF/CAD extraction, and deferred capabilities blocked until their gates.</x:v>
      </x:c>
      <x:c r="S13" s="669"/>
      <x:c r="T13" s="669"/>
      <x:c r="U13" s="669" t="str">
        <x:v>■</x:v>
      </x:c>
      <x:c r="V13" s="669" t="str">
        <x:v>■</x:v>
      </x:c>
      <x:c r="W13" s="669"/>
      <x:c r="X13" s="669"/>
    </x:row>
    <x:row r="14" ht="171" customHeight="1">
      <x:c r="A14" s="431" t="str">
        <x:v>P2.4</x:v>
      </x:c>
      <x:c r="B14" s="431" t="str">
        <x:v>P2 Consistency Rules</x:v>
      </x:c>
      <x:c r="C14" s="431" t="str">
        <x:v>Implement authority conflicts and result-state routing</x:v>
      </x:c>
      <x:c r="D14" s="431" t="str">
        <x:v>Findings route to automatic pass, automatic fail, engineering review required, missing authoritative information, extraction/tool failure, or evaluator uncertainty; mandatory-hold rules override aggregate score.</x:v>
      </x:c>
      <x:c r="E14" s="431" t="str">
        <x:v>P2.2</x:v>
      </x:c>
      <x:c r="F14" s="662" t="n">
        <x:v>3</x:v>
      </x:c>
      <x:c r="G14" s="431" t="n">
        <x:v>4</x:v>
      </x:c>
      <x:c r="H14" s="431" t="n">
        <x:v>4</x:v>
      </x:c>
      <x:c r="I14" s="429" t="n">
        <x:f>$B$1+(G14-1)*7</x:f>
        <x:v>46237</x:v>
      </x:c>
      <x:c r="J14" s="429" t="n">
        <x:f>$B$1+H14*7-1</x:f>
        <x:v>46243</x:v>
      </x:c>
      <x:c r="K14" s="431" t="str">
        <x:v>Complete</x:v>
      </x:c>
      <x:c r="L14" s="664" t="n">
        <x:v>1</x:v>
      </x:c>
      <x:c r="M14" s="662" t="n">
        <x:f>SUMIF('Work Block Log'!$E$5:$E$200,A14,'Work Block Log'!$F$5:$F$200)</x:f>
        <x:v>0</x:v>
      </x:c>
      <x:c r="N14" s="662" t="n">
        <x:f>MAX(F14*(1-L14),0)</x:f>
        <x:v>0</x:v>
      </x:c>
      <x:c r="O14" s="662" t="n">
        <x:f>M14-F14</x:f>
        <x:v>-3</x:v>
      </x:c>
      <x:c r="P14" s="431" t="str">
        <x:v>accepted implementation cbcfc2b; review evidence 9caef2b; PR #39 exact main cd9b52e; D-077-D-078; EV-074-EV-075; focused result 15; full 237/1; validation 5/5; Ruff; coverage 86.10%; CI green; IMP-012</x:v>
      </x:c>
      <x:c r="Q14" s="431" t="str">
        <x:v>P2.4 is accepted and closed. Preserve package_result.json as the sole source for P3 views and CLI rendering.</x:v>
      </x:c>
      <x:c r="R14" s="431" t="str">
        <x:v>Exact merged-tree behavior matches reviewed evidence. Frozen v0.2 result behavior and protected assets are unchanged.</x:v>
      </x:c>
      <x:c r="S14" s="669"/>
      <x:c r="T14" s="669"/>
      <x:c r="U14" s="669"/>
      <x:c r="V14" s="669" t="str">
        <x:v>■</x:v>
      </x:c>
      <x:c r="W14" s="669"/>
      <x:c r="X14" s="669"/>
    </x:row>
    <x:row r="15" ht="216" customHeight="1">
      <x:c r="A15" s="431" t="str">
        <x:v>P3.1</x:v>
      </x:c>
      <x:c r="B15" s="431" t="str">
        <x:v>P3 Issue Register &amp; CLI</x:v>
      </x:c>
      <x:c r="C15" s="431" t="str">
        <x:v>Create evidence-linked issue register</x:v>
      </x:c>
      <x:c r="D15" s="431" t="str">
        <x:v>Structured issue records include finding ID, severity, state, check ID, affected documents/tags, expected/actual values, authoritative source, evidence locations, disposition, and reviewer requirement.</x:v>
      </x:c>
      <x:c r="E15" s="431" t="str">
        <x:v>P2.4</x:v>
      </x:c>
      <x:c r="F15" s="662" t="n">
        <x:v>4</x:v>
      </x:c>
      <x:c r="G15" s="431" t="n">
        <x:v>4</x:v>
      </x:c>
      <x:c r="H15" s="431" t="n">
        <x:v>4</x:v>
      </x:c>
      <x:c r="I15" s="429" t="n">
        <x:f>$B$1+(G15-1)*7</x:f>
        <x:v>46237</x:v>
      </x:c>
      <x:c r="J15" s="429" t="n">
        <x:f>$B$1+H15*7-1</x:f>
        <x:v>46243</x:v>
      </x:c>
      <x:c r="K15" s="431" t="str">
        <x:v>Complete</x:v>
      </x:c>
      <x:c r="L15" s="664" t="n">
        <x:v>1</x:v>
      </x:c>
      <x:c r="M15" s="662" t="n">
        <x:f>SUMIF('Work Block Log'!$E$5:$E$200,A15,'Work Block Log'!$F$5:$F$200)</x:f>
        <x:v>0</x:v>
      </x:c>
      <x:c r="N15" s="662" t="n">
        <x:f>MAX(F15*(1-L15),0)</x:f>
        <x:v>0</x:v>
      </x:c>
      <x:c r="O15" s="662" t="n">
        <x:f>M15-F15</x:f>
        <x:v>-4</x:v>
      </x:c>
      <x:c r="P15" s="431" t="str">
        <x:v>accepted implementation 2f93335; review evidence 8f66b12; exact main 8f66b12; D-079-D-080; EV-076-EV-077; focused result/report 26; full 248/1; validation 5/5; Ruff; coverage 86.49%; inspected issue views; IMP-012</x:v>
      </x:c>
      <x:c r="Q15" s="431" t="str">
        <x:v>P3.1 is accepted and closed. Preserve its strict result-loading and pure view behavior as the predecessor for P3.2 and P3.3.</x:v>
      </x:c>
      <x:c r="R15" s="431" t="str">
        <x:v>Exact merged-tree behavior matches reviewed evidence. Frozen v0.2 behavior and protected assets are unchanged.</x:v>
      </x:c>
      <x:c r="S15" s="669"/>
      <x:c r="T15" s="669"/>
      <x:c r="U15" s="669"/>
      <x:c r="V15" s="669" t="str">
        <x:v>■</x:v>
      </x:c>
      <x:c r="W15" s="669"/>
      <x:c r="X15" s="669"/>
    </x:row>
    <x:row r="16" ht="216" customHeight="1">
      <x:c r="A16" s="431" t="str">
        <x:v>P3.2</x:v>
      </x:c>
      <x:c r="B16" s="431" t="str">
        <x:v>P3 Issue Register &amp; CLI</x:v>
      </x:c>
      <x:c r="C16" s="431" t="str">
        <x:v>Create release-readiness summary</x:v>
      </x:c>
      <x:c r="D16" s="431" t="str">
        <x:v>Summary reports package inventory, gate status, mandatory holds, findings by severity/state, unresolved authority gaps, benchmark metadata, and explicit human approval requirement.</x:v>
      </x:c>
      <x:c r="E16" s="431" t="str">
        <x:v>P3.1</x:v>
      </x:c>
      <x:c r="F16" s="662" t="n">
        <x:v>2</x:v>
      </x:c>
      <x:c r="G16" s="431" t="n">
        <x:v>4</x:v>
      </x:c>
      <x:c r="H16" s="431" t="n">
        <x:v>4</x:v>
      </x:c>
      <x:c r="I16" s="429" t="n">
        <x:f>$B$1+(G16-1)*7</x:f>
        <x:v>46237</x:v>
      </x:c>
      <x:c r="J16" s="429" t="n">
        <x:f>$B$1+H16*7-1</x:f>
        <x:v>46243</x:v>
      </x:c>
      <x:c r="K16" s="431" t="str">
        <x:v>Complete</x:v>
      </x:c>
      <x:c r="L16" s="664" t="n">
        <x:v>1</x:v>
      </x:c>
      <x:c r="M16" s="662" t="n">
        <x:f>SUMIF('Work Block Log'!$E$5:$E$200,A16,'Work Block Log'!$F$5:$F$200)</x:f>
        <x:v>0</x:v>
      </x:c>
      <x:c r="N16" s="662" t="n">
        <x:f>MAX(F16*(1-L16),0)</x:f>
        <x:v>0</x:v>
      </x:c>
      <x:c r="O16" s="662" t="n">
        <x:f>M16-F16</x:f>
        <x:v>-2</x:v>
      </x:c>
      <x:c r="P16" s="431" t="str">
        <x:v>accepted implementation 7536bea; review evidence/main 4b848b9; exact main 4b848b9; D-081-D-082; EV-078-EV-079; readiness 10; focused result/report 36; full 258/1; validation 5/5; Ruff; coverage 86.75%; inspected fault summary; IMP-012</x:v>
      </x:c>
      <x:c r="Q16" s="431" t="str">
        <x:v>P3.2 is accepted and closed. Preserve its strict result loading and pure non-approving view as an input to P3.3 publication.</x:v>
      </x:c>
      <x:c r="R16" s="431" t="str">
        <x:v>Exact merged-tree behavior matches reviewed evidence. Frozen v0.2 behavior and protected assets are unchanged.</x:v>
      </x:c>
      <x:c r="S16" s="669"/>
      <x:c r="T16" s="669"/>
      <x:c r="U16" s="669"/>
      <x:c r="V16" s="669" t="str">
        <x:v>■</x:v>
      </x:c>
      <x:c r="W16" s="669"/>
      <x:c r="X16" s="669"/>
    </x:row>
    <x:row r="17" ht="216" customHeight="1">
      <x:c r="A17" s="431" t="str">
        <x:v>P3.3</x:v>
      </x:c>
      <x:c r="B17" s="431" t="str">
        <x:v>P3 Issue Register &amp; CLI</x:v>
      </x:c>
      <x:c r="C17" s="431" t="str">
        <x:v>Add audit-package CLI workflow</x:v>
      </x:c>
      <x:c r="D17" s="431" t="str">
        <x:v>One command loads a package manifest, runs gates/checks, writes immutable result, issue register, and release summary, and returns stable exit codes for pass, fail, and review-required states.</x:v>
      </x:c>
      <x:c r="E17" s="431" t="str">
        <x:v>P3.1,P3.2</x:v>
      </x:c>
      <x:c r="F17" s="662" t="n">
        <x:v>2</x:v>
      </x:c>
      <x:c r="G17" s="431" t="n">
        <x:v>5</x:v>
      </x:c>
      <x:c r="H17" s="431" t="n">
        <x:v>5</x:v>
      </x:c>
      <x:c r="I17" s="429" t="n">
        <x:f>$B$1+(G17-1)*7</x:f>
        <x:v>46244</x:v>
      </x:c>
      <x:c r="J17" s="429" t="n">
        <x:f>$B$1+H17*7-1</x:f>
        <x:v>46250</x:v>
      </x:c>
      <x:c r="K17" s="431" t="str">
        <x:v>Complete</x:v>
      </x:c>
      <x:c r="L17" s="664" t="n">
        <x:v>1</x:v>
      </x:c>
      <x:c r="M17" s="662" t="n">
        <x:f>SUMIF('Work Block Log'!$E$5:$E$200,A17,'Work Block Log'!$F$5:$F$200)</x:f>
        <x:v>0</x:v>
      </x:c>
      <x:c r="N17" s="662" t="n">
        <x:f>MAX(F17*(1-L17),0)</x:f>
        <x:v>0</x:v>
      </x:c>
      <x:c r="O17" s="662" t="n">
        <x:f>M17-F17</x:f>
        <x:v>-2</x:v>
      </x:c>
      <x:c r="P17" s="431" t="str">
        <x:v>accepted implementation b5f0fcd; review evidence 411928e; PR #40 exact main e4080fd; D-083-D-084; EV-080-EV-081; focused result/report/CLI 49; full 271/1; validation 5/5; Ruff; coverage 86.76%; inspected clean/fifth-check fault; IMP-012</x:v>
      </x:c>
      <x:c r="Q17" s="431" t="str">
        <x:v>P3.3 is accepted and closed. Preserve atomic four-output publication, stable exits, controlled-failure evidence, and unchanged v0.2 commands as the P2.3 execution path.</x:v>
      </x:c>
      <x:c r="R17" s="431" t="str">
        <x:v>Exact merged-tree behavior matches reviewed evidence. P2.3 definition is authorized; semantic held-out execution and deferred capabilities remain blocked.</x:v>
      </x:c>
      <x:c r="S17" s="669"/>
      <x:c r="T17" s="669"/>
      <x:c r="U17" s="669"/>
      <x:c r="V17" s="669"/>
      <x:c r="W17" s="669" t="str">
        <x:v>■</x:v>
      </x:c>
      <x:c r="X17" s="669"/>
    </x:row>
    <x:row r="18" ht="64" customHeight="1">
      <x:c r="A18" s="431" t="str">
        <x:v>P4.1</x:v>
      </x:c>
      <x:c r="B18" s="431" t="str">
        <x:v>P4 Benchmark &amp; Reliability</x:v>
      </x:c>
      <x:c r="C18" s="431" t="str">
        <x:v>Add regression tests and fault-injection coverage</x:v>
      </x:c>
      <x:c r="D18" s="431" t="str">
        <x:v>Important package gates, cross-document checks, state routing, immutable outputs, and malformed-input handling are protected without redundant test-only architecture.</x:v>
      </x:c>
      <x:c r="E18" s="431" t="str">
        <x:v>P2.3</x:v>
      </x:c>
      <x:c r="F18" s="662" t="n">
        <x:v>3</x:v>
      </x:c>
      <x:c r="G18" s="431" t="n">
        <x:v>5</x:v>
      </x:c>
      <x:c r="H18" s="431" t="n">
        <x:v>5</x:v>
      </x:c>
      <x:c r="I18" s="429" t="n">
        <x:f>$B$1+(G18-1)*7</x:f>
        <x:v>46244</x:v>
      </x:c>
      <x:c r="J18" s="429" t="n">
        <x:f>$B$1+H18*7-1</x:f>
        <x:v>46250</x:v>
      </x:c>
      <x:c r="K18" s="431" t="str">
        <x:v>Not Started</x:v>
      </x:c>
      <x:c r="L18" s="664" t="n">
        <x:v>0</x:v>
      </x:c>
      <x:c r="M18" s="662" t="n">
        <x:f>SUMIF('Work Block Log'!$E$5:$E$200,A18,'Work Block Log'!$F$5:$F$200)</x:f>
        <x:v>0</x:v>
      </x:c>
      <x:c r="N18" s="662" t="n">
        <x:f>MAX(F18*(1-L18),0)</x:f>
        <x:v>3</x:v>
      </x:c>
      <x:c r="O18" s="662" t="n">
        <x:f>M18-F18</x:f>
        <x:v>-3</x:v>
      </x:c>
      <x:c r="P18" s="431" t="str">
        <x:v>feature/package-benchmark</x:v>
      </x:c>
      <x:c r="Q18" s="431" t="str">
        <x:v>Protect failure handling and scoring/hold correctness.</x:v>
      </x:c>
      <x:c r="R18" s="431" t="str">
        <x:v>P4 cannot begin until the first usable audit and the required P2.3 expansion are accepted. Tests support the workflow; stop when marginal coverage is low.</x:v>
      </x:c>
      <x:c r="S18" s="669"/>
      <x:c r="T18" s="669"/>
      <x:c r="U18" s="669"/>
      <x:c r="V18" s="669"/>
      <x:c r="W18" s="669" t="str">
        <x:v>■</x:v>
      </x:c>
      <x:c r="X18" s="669"/>
    </x:row>
    <x:row r="19" ht="64" customHeight="1">
      <x:c r="A19" s="431" t="str">
        <x:v>P4.2</x:v>
      </x:c>
      <x:c r="B19" s="431" t="str">
        <x:v>P4 Benchmark &amp; Reliability</x:v>
      </x:c>
      <x:c r="C19" s="431" t="str">
        <x:v>Run development and held-out benchmark</x:v>
      </x:c>
      <x:c r="D19" s="431" t="str">
        <x:v>Benchmark reports clean-package pass, seeded fault detection, held-out results, false positives, known false negatives, uncertainty states, and bounded claims; failed runs are preserved.</x:v>
      </x:c>
      <x:c r="E19" s="431" t="str">
        <x:v>P4.1</x:v>
      </x:c>
      <x:c r="F19" s="662" t="n">
        <x:v>3</x:v>
      </x:c>
      <x:c r="G19" s="431" t="n">
        <x:v>5</x:v>
      </x:c>
      <x:c r="H19" s="431" t="n">
        <x:v>6</x:v>
      </x:c>
      <x:c r="I19" s="429" t="n">
        <x:f>$B$1+(G19-1)*7</x:f>
        <x:v>46244</x:v>
      </x:c>
      <x:c r="J19" s="429" t="n">
        <x:f>$B$1+H19*7-1</x:f>
        <x:v>46257</x:v>
      </x:c>
      <x:c r="K19" s="431" t="str">
        <x:v>Not Started</x:v>
      </x:c>
      <x:c r="L19" s="664" t="n">
        <x:v>0</x:v>
      </x:c>
      <x:c r="M19" s="662" t="n">
        <x:f>SUMIF('Work Block Log'!$E$5:$E$200,A19,'Work Block Log'!$F$5:$F$200)</x:f>
        <x:v>0</x:v>
      </x:c>
      <x:c r="N19" s="662" t="n">
        <x:f>MAX(F19*(1-L19),0)</x:f>
        <x:v>3</x:v>
      </x:c>
      <x:c r="O19" s="662" t="n">
        <x:f>M19-F19</x:f>
        <x:v>-3</x:v>
      </x:c>
      <x:c r="P19" s="431" t="str">
        <x:v>feature/package-benchmark</x:v>
      </x:c>
      <x:c r="Q19" s="431" t="str">
        <x:v>Run frozen development and held-out packages without modifying golden assets.</x:v>
      </x:c>
      <x:c r="R19" s="431" t="str">
        <x:v>No model/agent performance claim unless a producing system is explicitly evaluated.</x:v>
      </x:c>
      <x:c r="S19" s="669"/>
      <x:c r="T19" s="669"/>
      <x:c r="U19" s="669"/>
      <x:c r="V19" s="669"/>
      <x:c r="W19" s="669" t="str">
        <x:v>■</x:v>
      </x:c>
      <x:c r="X19" s="669" t="str">
        <x:v>■</x:v>
      </x:c>
    </x:row>
    <x:row r="20" ht="64" customHeight="1">
      <x:c r="A20" s="431" t="str">
        <x:v>P4.3</x:v>
      </x:c>
      <x:c r="B20" s="431" t="str">
        <x:v>P4 Benchmark &amp; Reliability</x:v>
      </x:c>
      <x:c r="C20" s="431" t="str">
        <x:v>Clean-clone acceptance and v0.3.0 release</x:v>
      </x:c>
      <x:c r="D20" s="431" t="str">
        <x:v>Fresh-clone install, validation, full tests, package demo, benchmark, version consistency, claim boundaries, clean Git state, and annotated v0.3.0 tag all pass.</x:v>
      </x:c>
      <x:c r="E20" s="431" t="str">
        <x:v>P4.2</x:v>
      </x:c>
      <x:c r="F20" s="662" t="n">
        <x:v>2</x:v>
      </x:c>
      <x:c r="G20" s="431" t="n">
        <x:v>6</x:v>
      </x:c>
      <x:c r="H20" s="431" t="n">
        <x:v>6</x:v>
      </x:c>
      <x:c r="I20" s="429" t="n">
        <x:f>$B$1+(G20-1)*7</x:f>
        <x:v>46251</x:v>
      </x:c>
      <x:c r="J20" s="429" t="n">
        <x:f>$B$1+H20*7-1</x:f>
        <x:v>46257</x:v>
      </x:c>
      <x:c r="K20" s="431" t="str">
        <x:v>Not Started</x:v>
      </x:c>
      <x:c r="L20" s="664" t="n">
        <x:v>0</x:v>
      </x:c>
      <x:c r="M20" s="662" t="n">
        <x:f>SUMIF('Work Block Log'!$E$5:$E$200,A20,'Work Block Log'!$F$5:$F$200)</x:f>
        <x:v>0</x:v>
      </x:c>
      <x:c r="N20" s="662" t="n">
        <x:f>MAX(F20*(1-L20),0)</x:f>
        <x:v>2</x:v>
      </x:c>
      <x:c r="O20" s="662" t="n">
        <x:f>M20-F20</x:f>
        <x:v>-2</x:v>
      </x:c>
      <x:c r="P20" s="431" t="str">
        <x:v>release/v0.3.0</x:v>
      </x:c>
      <x:c r="Q20" s="431" t="str">
        <x:v>Execute only after all prior gates are accepted.</x:v>
      </x:c>
      <x:c r="R20" s="431" t="str">
        <x:v>Release evidence must identify exact commit and generated artifact versions.</x:v>
      </x:c>
      <x:c r="S20" s="669"/>
      <x:c r="T20" s="669"/>
      <x:c r="U20" s="669"/>
      <x:c r="V20" s="669"/>
      <x:c r="W20" s="669"/>
      <x:c r="X20" s="669" t="str">
        <x:v>■</x:v>
      </x:c>
    </x:row>
    <x:row r="21" ht="64" customHeight="1">
      <x:c r="A21" s="431" t="str">
        <x:v>P5.1</x:v>
      </x:c>
      <x:c r="B21" s="431" t="str">
        <x:v>P5 Portfolio &amp; Commercial Proof</x:v>
      </x:c>
      <x:c r="C21" s="431" t="str">
        <x:v>Create package-assurance portfolio demonstration</x:v>
      </x:c>
      <x:c r="D21" s="431" t="str">
        <x:v>A reviewer can run a clean package and at least three realistic faults, inspect evidence-linked findings, and understand why each result state was assigned.</x:v>
      </x:c>
      <x:c r="E21" s="431" t="str">
        <x:v>P4.2</x:v>
      </x:c>
      <x:c r="F21" s="662" t="n">
        <x:v>2</x:v>
      </x:c>
      <x:c r="G21" s="431" t="n">
        <x:v>6</x:v>
      </x:c>
      <x:c r="H21" s="431" t="n">
        <x:v>6</x:v>
      </x:c>
      <x:c r="I21" s="429" t="n">
        <x:f>$B$1+(G21-1)*7</x:f>
        <x:v>46251</x:v>
      </x:c>
      <x:c r="J21" s="429" t="n">
        <x:f>$B$1+H21*7-1</x:f>
        <x:v>46257</x:v>
      </x:c>
      <x:c r="K21" s="431" t="str">
        <x:v>Not Started</x:v>
      </x:c>
      <x:c r="L21" s="664" t="n">
        <x:v>0</x:v>
      </x:c>
      <x:c r="M21" s="662" t="n">
        <x:f>SUMIF('Work Block Log'!$E$5:$E$200,A21,'Work Block Log'!$F$5:$F$200)</x:f>
        <x:v>0</x:v>
      </x:c>
      <x:c r="N21" s="662" t="n">
        <x:f>MAX(F21*(1-L21),0)</x:f>
        <x:v>2</x:v>
      </x:c>
      <x:c r="O21" s="662" t="n">
        <x:f>M21-F21</x:f>
        <x:v>-2</x:v>
      </x:c>
      <x:c r="P21" s="431" t="str">
        <x:v>docs/package-assurance-demo</x:v>
      </x:c>
      <x:c r="Q21" s="431" t="str">
        <x:v>Create a terminal-first demonstration and concise case study.</x:v>
      </x:c>
      <x:c r="R21" s="431" t="str">
        <x:v>Show economic workflow value, not generic AI capability.</x:v>
      </x:c>
      <x:c r="S21" s="669"/>
      <x:c r="T21" s="669"/>
      <x:c r="U21" s="669"/>
      <x:c r="V21" s="669"/>
      <x:c r="W21" s="669"/>
      <x:c r="X21" s="669" t="str">
        <x:v>■</x:v>
      </x:c>
    </x:row>
    <x:row r="22" ht="64" customHeight="1">
      <x:c r="A22" s="431" t="str">
        <x:v>P5.2</x:v>
      </x:c>
      <x:c r="B22" s="431" t="str">
        <x:v>P5 Portfolio &amp; Commercial Proof</x:v>
      </x:c>
      <x:c r="C22" s="431" t="str">
        <x:v>Define bounded service offer and limitations</x:v>
      </x:c>
      <x:c r="D22" s="431" t="str">
        <x:v>Service specification defines input limits, deliverables, acceptance criteria, data/security boundaries, client responsibilities, human approval, exclusions, and pilot pricing hypothesis without engineering sign-off.</x:v>
      </x:c>
      <x:c r="E22" s="431" t="str">
        <x:v>P5.1</x:v>
      </x:c>
      <x:c r="F22" s="662" t="n">
        <x:v>2</x:v>
      </x:c>
      <x:c r="G22" s="431" t="n">
        <x:v>6</x:v>
      </x:c>
      <x:c r="H22" s="431" t="n">
        <x:v>6</x:v>
      </x:c>
      <x:c r="I22" s="429" t="n">
        <x:f>$B$1+(G22-1)*7</x:f>
        <x:v>46251</x:v>
      </x:c>
      <x:c r="J22" s="429" t="n">
        <x:f>$B$1+H22*7-1</x:f>
        <x:v>46257</x:v>
      </x:c>
      <x:c r="K22" s="431" t="str">
        <x:v>Not Started</x:v>
      </x:c>
      <x:c r="L22" s="664" t="n">
        <x:v>0</x:v>
      </x:c>
      <x:c r="M22" s="662" t="n">
        <x:f>SUMIF('Work Block Log'!$E$5:$E$200,A22,'Work Block Log'!$F$5:$F$200)</x:f>
        <x:v>0</x:v>
      </x:c>
      <x:c r="N22" s="662" t="n">
        <x:f>MAX(F22*(1-L22),0)</x:f>
        <x:v>2</x:v>
      </x:c>
      <x:c r="O22" s="662" t="n">
        <x:f>M22-F22</x:f>
        <x:v>-2</x:v>
      </x:c>
      <x:c r="P22" s="431" t="str">
        <x:v>docs/package-assurance-service</x:v>
      </x:c>
      <x:c r="Q22" s="431" t="str">
        <x:v>Publish only after the workflow and evidence are reproducible.</x:v>
      </x:c>
      <x:c r="R22" s="431" t="str">
        <x:v>Service-first; no SaaS or enterprise integration claims.</x:v>
      </x:c>
      <x:c r="S22" s="669"/>
      <x:c r="T22" s="669"/>
      <x:c r="U22" s="669"/>
      <x:c r="V22" s="669"/>
      <x:c r="W22" s="669"/>
      <x:c r="X22" s="669" t="str">
        <x:v>■</x:v>
      </x:c>
    </x:row>
    <x:row r="23">
      <x:c r="F23" s="663"/>
      <x:c r="L23" s="665"/>
      <x:c r="M23" s="663"/>
      <x:c r="N23" s="663"/>
      <x:c r="O23" s="663"/>
    </x:row>
    <x:row r="24" ht="24" customHeight="1">
      <x:c r="A24" s="682" t="str">
        <x:v>TOTAL PILOT</x:v>
      </x:c>
      <x:c r="B24" s="682"/>
      <x:c r="C24" s="682"/>
      <x:c r="D24" s="682"/>
      <x:c r="E24" s="682"/>
      <x:c r="F24" s="683" t="n">
        <x:f>SUM(F6:F22)</x:f>
        <x:v>46</x:v>
      </x:c>
      <x:c r="G24" s="682"/>
      <x:c r="H24" s="682"/>
      <x:c r="I24" s="682"/>
      <x:c r="J24" s="682"/>
      <x:c r="K24" s="682"/>
      <x:c r="L24" s="684" t="n">
        <x:f>SUMPRODUCT(F6:F22,L6:L22)/F24</x:f>
        <x:v>0.7321739130434782</x:v>
      </x:c>
      <x:c r="M24" s="683" t="n">
        <x:f>SUM(M6:M22)</x:f>
        <x:v>0</x:v>
      </x:c>
      <x:c r="N24" s="683" t="n">
        <x:f>SUM(N6:N22)</x:f>
        <x:v>12.32</x:v>
      </x:c>
      <x:c r="O24" s="683" t="n">
        <x:f>M24-F24</x:f>
        <x:v>-46</x:v>
      </x:c>
      <x:c r="P24" s="682"/>
      <x:c r="Q24" s="682"/>
      <x:c r="R24" s="682"/>
      <x:c r="S24" s="682"/>
      <x:c r="T24" s="682"/>
      <x:c r="U24" s="682"/>
      <x:c r="V24" s="682"/>
      <x:c r="W24" s="682"/>
      <x:c r="X24" s="682"/>
    </x:row>
  </x:sheetData>
  <x:mergeCells>
    <x:mergeCell ref="A3:X3"/>
  </x:mergeCells>
  <x:conditionalFormatting sqref="L6:L22">
    <x:cfRule type="dataBar" priority="1">
      <x:dataBar>
        <x:cfvo type="min"/>
        <x:cfvo type="max"/>
        <x:color rgb="FF5B9BD5"/>
      </x:dataBar>
      <x:extLst>
        <x:ext xmlns:x14="http://schemas.microsoft.com/office/spreadsheetml/2009/9/main" uri="{B025F937-C7B1-47D3-B67F-A62EFF666E3E}">
          <x14:id>{844017FF-989B-8A4F-B6DA-73335C8E3FF2}</x14:id>
        </x:ext>
      </x:extLst>
    </x:cfRule>
  </x:conditionalFormatting>
  <x:conditionalFormatting sqref="K6:K22">
    <x:cfRule type="expression" dxfId="15" priority="2">
      <x:formula>K6="Complete"</x:formula>
    </x:cfRule>
    <x:cfRule type="expression" dxfId="16" priority="3">
      <x:formula>K6="Blocked"</x:formula>
    </x:cfRule>
    <x:cfRule type="expression" dxfId="17" priority="4">
      <x:formula>K6="In Progress"</x:formula>
    </x:cfRule>
    <x:cfRule type="expression" dxfId="18" priority="5">
      <x:formula>K6="Ready"</x:formula>
    </x:cfRule>
  </x:conditionalFormatting>
  <x:dataValidations count="1">
    <x:dataValidation type="list" sqref="K6:K22">
      <x:formula1>"Ready,Not Started,In Progress,Blocked,Complete,Deferred"</x:formula1>
    </x:dataValidation>
  </x:dataValidations>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1" id="{844017FF-989B-8A4F-B6DA-73335C8E3FF2}">
            <x14:dataBar gradient="1">
              <x14:cfvo type="min"/>
              <x14:cfvo type="max"/>
              <x14:fillColor rgb="FF5B9BD5"/>
            </x14:dataBar>
          </x14:cfRule>
          <xm:sqref>L6:L22</xm:sqref>
        </x14:conditionalFormatting>
      </x14:conditionalFormattings>
    </x:ext>
  </x:extLst>
</x:worksheet>
</file>

<file path=xl/worksheets/sheet18.xml><?xml version="1.0" encoding="utf-8"?>
<x:worksheet xmlns:x="http://schemas.openxmlformats.org/spreadsheetml/2006/main">
  <x:sheetFormatPr defaultRowHeight="15"/>
  <x:cols>
    <x:col min="1" max="1" width="26" hidden="0" customWidth="1"/>
    <x:col min="2" max="2" width="16" hidden="0" customWidth="1"/>
    <x:col min="3" max="3" width="16" hidden="0" customWidth="1"/>
    <x:col min="4" max="4" width="23" hidden="0" customWidth="1"/>
    <x:col min="5" max="5" width="30" hidden="0" customWidth="1"/>
    <x:col min="6" max="6" width="20" hidden="0" customWidth="1"/>
    <x:col min="7" max="7" width="38" hidden="0" customWidth="1"/>
    <x:col min="8" max="8" width="25" hidden="0" customWidth="1"/>
  </x:cols>
  <x:sheetData>
    <x:row r="1" ht="28" customHeight="1">
      <x:c r="A1" s="686" t="str">
        <x:v>v0.3.0 Package Assurance Pilot Dashboard - Publication Resilience Review</x:v>
      </x:c>
      <x:c r="B1" s="686"/>
      <x:c r="C1" s="686"/>
      <x:c r="D1" s="686"/>
      <x:c r="E1" s="686"/>
      <x:c r="F1" s="686"/>
      <x:c r="G1" s="686"/>
      <x:c r="H1" s="686"/>
    </x:row>
    <x:row r="3">
      <x:c r="A3" s="687" t="str">
        <x:v>Key Metrics</x:v>
      </x:c>
      <x:c r="B3" s="687"/>
      <x:c r="C3" s="687"/>
      <x:c r="D3" s="687"/>
      <x:c r="F3" s="687" t="str">
        <x:v>Current Focus</x:v>
      </x:c>
      <x:c r="G3" s="687"/>
      <x:c r="H3" s="687"/>
    </x:row>
    <x:row r="4" ht="54" customHeight="1">
      <x:c r="A4" s="688" t="str">
        <x:v>Control Basis</x:v>
      </x:c>
      <x:c r="B4" s="692" t="str">
        <x:v>Gate and evidence based</x:v>
      </x:c>
      <x:c r="C4" s="691"/>
      <x:c r="D4" s="691"/>
      <x:c r="F4" s="696" t="str">
        <x:v>Active WBS</x:v>
      </x:c>
      <x:c r="G4" s="697" t="str">
        <x:v>P2.3 - publication-resilience stabilization review</x:v>
      </x:c>
      <x:c r="H4" s="697"/>
    </x:row>
    <x:row r="5" ht="72" customHeight="1">
      <x:c r="A5" s="688" t="str">
        <x:v>Schedule Baseline</x:v>
      </x:c>
      <x:c r="B5" s="693" t="str">
        <x:v>Legacy only; not controlling</x:v>
      </x:c>
      <x:c r="C5" s="691"/>
      <x:c r="D5" s="691"/>
      <x:c r="F5" s="696" t="str">
        <x:v>Objective</x:v>
      </x:c>
      <x:c r="G5" s="697" t="str">
        <x:v>Recover from a short-lived permission/sharing lock only during the final atomic publication rename.</x:v>
      </x:c>
      <x:c r="H5" s="697"/>
    </x:row>
    <x:row r="6" ht="63" customHeight="1">
      <x:c r="A6" s="688" t="str">
        <x:v>Time Tracking</x:v>
      </x:c>
      <x:c r="B6" s="693" t="str">
        <x:v>Waived prospectively</x:v>
      </x:c>
      <x:c r="C6" s="691"/>
      <x:c r="D6" s="691"/>
      <x:c r="F6" s="696" t="str">
        <x:v>Gate Status</x:v>
      </x:c>
      <x:c r="G6" s="697" t="str">
        <x:v>Five total attempts over 0.75 seconds; collisions, other errors, and exhaustion remain fail closed.</x:v>
      </x:c>
      <x:c r="H6" s="697"/>
    </x:row>
    <x:row r="7" ht="81" customHeight="1">
      <x:c r="A7" s="688" t="str">
        <x:v>Current Gate</x:v>
      </x:c>
      <x:c r="B7" s="694" t="str">
        <x:v>P2.3 D-104 publication stabilization and D-105 review</x:v>
      </x:c>
      <x:c r="C7" s="691"/>
      <x:c r="D7" s="691"/>
      <x:c r="F7" s="696" t="str">
        <x:v>Definition of Done</x:v>
      </x:c>
      <x:c r="G7" s="697" t="str">
        <x:v>CEO accepts or revises D-105.</x:v>
      </x:c>
      <x:c r="H7" s="697"/>
    </x:row>
    <x:row r="8" ht="63" customHeight="1">
      <x:c r="A8" s="688" t="str">
        <x:v>Released Kernel</x:v>
      </x:c>
      <x:c r="B8" s="691" t="str">
        <x:v>v0.2.0 / commit 45336a2</x:v>
      </x:c>
      <x:c r="C8" s="691"/>
      <x:c r="D8" s="691"/>
      <x:c r="F8" s="696" t="str">
        <x:v>Immediate Next Action</x:v>
      </x:c>
      <x:c r="G8" s="697" t="str">
        <x:v>Review publication_resilience_stabilization_review_2026-07-21.md.</x:v>
      </x:c>
      <x:c r="H8" s="697"/>
    </x:row>
    <x:row r="9" ht="72" customHeight="1">
      <x:c r="A9" s="688" t="str">
        <x:v>Release Target</x:v>
      </x:c>
      <x:c r="B9" s="691" t="str">
        <x:v>v0.3.0</x:v>
      </x:c>
      <x:c r="C9" s="691"/>
      <x:c r="D9" s="691"/>
      <x:c r="F9" s="696" t="str">
        <x:v>Primary Risk</x:v>
      </x:c>
      <x:c r="G9" s="697" t="str">
        <x:v>Primary residual risk is a persistent filesystem problem, which intentionally remains an exit-70 operator issue.</x:v>
      </x:c>
      <x:c r="H9" s="697"/>
    </x:row>
    <x:row r="10" ht="81" customHeight="1">
      <x:c r="A10" s="688" t="str">
        <x:v>Baseline Test Count</x:v>
      </x:c>
      <x:c r="B10" s="691" t="n">
        <x:v>121</x:v>
      </x:c>
      <x:c r="C10" s="691"/>
      <x:c r="D10" s="691"/>
      <x:c r="F10" s="696" t="str">
        <x:v>Deferred</x:v>
      </x:c>
      <x:c r="G10" s="697" t="str">
        <x:v>Check 10, check 11, authority gaps, public reruns, held-out semantics, and deferred capabilities remain blocked.</x:v>
      </x:c>
      <x:c r="H10" s="697"/>
    </x:row>
    <x:row r="11" ht="63" customHeight="1">
      <x:c r="A11" s="688" t="str">
        <x:v>Fixture Package Families</x:v>
      </x:c>
      <x:c r="B11" s="691" t="n">
        <x:v>2</x:v>
      </x:c>
      <x:c r="C11" s="691"/>
      <x:c r="D11" s="691"/>
      <x:c r="F11" s="696" t="str">
        <x:v>Data Boundary</x:v>
      </x:c>
      <x:c r="G11" s="697" t="str">
        <x:v>Accepted development, held-out, public-package, schema, golden, and v0.2 assets remain unchanged.</x:v>
      </x:c>
      <x:c r="H11" s="697"/>
    </x:row>
    <x:row r="13">
      <x:c r="A13" s="687" t="str">
        <x:v>Pilot Phase Gate Status</x:v>
      </x:c>
      <x:c r="B13" s="687"/>
      <x:c r="C13" s="687"/>
      <x:c r="D13" s="687"/>
      <x:c r="E13" s="687"/>
    </x:row>
    <x:row r="14">
      <x:c r="A14" s="657" t="str">
        <x:v>Phase</x:v>
      </x:c>
      <x:c r="B14" s="657" t="str">
        <x:v>Status</x:v>
      </x:c>
      <x:c r="C14" s="657" t="str">
        <x:v>Acceptance State</x:v>
      </x:c>
      <x:c r="D14" s="657" t="str">
        <x:v>% Complete</x:v>
      </x:c>
      <x:c r="E14" s="657" t="str">
        <x:v>Gate / Hold Point</x:v>
      </x:c>
    </x:row>
    <x:row r="15" ht="36" customHeight="1">
      <x:c r="A15" s="698" t="str">
        <x:v>P0 Definition &amp; Control</x:v>
      </x:c>
      <x:c r="B15" s="699" t="str">
        <x:v>Accepted</x:v>
      </x:c>
      <x:c r="C15" s="699" t="str">
        <x:v>P0.2 accepted 2026-07-16</x:v>
      </x:c>
      <x:c r="D15" s="700" t="n">
        <x:v>1</x:v>
      </x:c>
      <x:c r="E15" s="698" t="str">
        <x:v>Gate P0 - workflow contract and acceptance plan accepted</x:v>
      </x:c>
    </x:row>
    <x:row r="16" ht="36" customHeight="1">
      <x:c r="A16" s="698" t="str">
        <x:v>P1 Package Model &amp; Fixtures</x:v>
      </x:c>
      <x:c r="B16" s="699" t="str">
        <x:v>Complete</x:v>
      </x:c>
      <x:c r="C16" s="699" t="str">
        <x:v>P1 accepted and frozen</x:v>
      </x:c>
      <x:c r="D16" s="700" t="n">
        <x:v>1</x:v>
      </x:c>
      <x:c r="E16" s="698" t="str">
        <x:v>Gate P1 - two validated packages and frozen held-out split</x:v>
      </x:c>
    </x:row>
    <x:row r="17" ht="63" customHeight="1">
      <x:c r="A17" s="698" t="str">
        <x:v>P2 Consistency Rules</x:v>
      </x:c>
      <x:c r="B17" s="699" t="str">
        <x:v>In Progress</x:v>
      </x:c>
      <x:c r="C17" s="699" t="str">
        <x:v>D-105 review required</x:v>
      </x:c>
      <x:c r="D17" s="700" t="n">
        <x:v>0.92</x:v>
      </x:c>
      <x:c r="E17" s="698" t="str">
        <x:v>Gate P2 - deterministic audit core and result-state routing</x:v>
      </x:c>
    </x:row>
    <x:row r="18" ht="36" customHeight="1">
      <x:c r="A18" s="698" t="str">
        <x:v>P3 Issue Register &amp; CLI</x:v>
      </x:c>
      <x:c r="B18" s="699" t="str">
        <x:v>Complete</x:v>
      </x:c>
      <x:c r="C18" s="699" t="str">
        <x:v>P3.3 accepted and integrated</x:v>
      </x:c>
      <x:c r="D18" s="700" t="n">
        <x:v>1</x:v>
      </x:c>
      <x:c r="E18" s="698" t="str">
        <x:v>Gate P3 - reproducible issue register and audit-package command</x:v>
      </x:c>
    </x:row>
    <x:row r="19" ht="36" customHeight="1">
      <x:c r="A19" s="698" t="str">
        <x:v>P4 Benchmark &amp; Reliability</x:v>
      </x:c>
      <x:c r="B19" s="699" t="str">
        <x:v>Not Started</x:v>
      </x:c>
      <x:c r="C19" s="699" t="str">
        <x:v>Blocked until accepted P2.3 checks complete</x:v>
      </x:c>
      <x:c r="D19" s="700" t="n">
        <x:v>0</x:v>
      </x:c>
      <x:c r="E19" s="698" t="str">
        <x:v>Gate P4 - held-out benchmark and clean-clone release acceptance</x:v>
      </x:c>
    </x:row>
    <x:row r="20" ht="36" customHeight="1">
      <x:c r="A20" s="698" t="str">
        <x:v>P5 Portfolio &amp; Commercial Proof</x:v>
      </x:c>
      <x:c r="B20" s="699" t="str">
        <x:v>Not Started</x:v>
      </x:c>
      <x:c r="C20" s="699" t="str">
        <x:v>Blocked by P4</x:v>
      </x:c>
      <x:c r="D20" s="700" t="n">
        <x:v>0</x:v>
      </x:c>
      <x:c r="E20" s="698" t="str">
        <x:v>Gate P5 - auditable demo and bounded service specification</x:v>
      </x:c>
    </x:row>
    <x:row r="22">
      <x:c r="A22" s="687" t="str">
        <x:v>Current Gate Sequence</x:v>
      </x:c>
      <x:c r="B22" s="687"/>
      <x:c r="C22" s="687"/>
      <x:c r="D22" s="687"/>
      <x:c r="E22" s="687"/>
      <x:c r="F22" s="687"/>
      <x:c r="G22" s="687"/>
      <x:c r="H22" s="687"/>
    </x:row>
    <x:row r="23">
      <x:c r="A23" s="657" t="str">
        <x:v>Priority</x:v>
      </x:c>
      <x:c r="B23" s="657" t="str">
        <x:v>WBS</x:v>
      </x:c>
      <x:c r="C23" s="657" t="str">
        <x:v>Deliverable</x:v>
      </x:c>
      <x:c r="D23" s="657" t="str">
        <x:v>Definition of Done</x:v>
      </x:c>
      <x:c r="E23" s="657" t="str">
        <x:v>Status</x:v>
      </x:c>
      <x:c r="F23" s="657" t="str">
        <x:v>Branch</x:v>
      </x:c>
      <x:c r="G23" s="657" t="str">
        <x:v>Evidence</x:v>
      </x:c>
      <x:c r="H23" s="657" t="str">
        <x:v>Owner</x:v>
      </x:c>
    </x:row>
    <x:row r="24" ht="81" customHeight="1">
      <x:c r="A24" s="431" t="n">
        <x:v>1</x:v>
      </x:c>
      <x:c r="B24" s="431" t="str">
        <x:v>P1.2</x:v>
      </x:c>
      <x:c r="C24" s="431" t="str">
        <x:v>Clean development package</x:v>
      </x:c>
      <x:c r="D24" s="431" t="str">
        <x:v>Synthetic pump-skid package has all mandatory sources, 20 relationship goldens, exact evidence locators, and a reproducible package-tree hash.</x:v>
      </x:c>
      <x:c r="E24" s="431" t="str">
        <x:v>Accepted</x:v>
      </x:c>
      <x:c r="F24" s="431" t="str">
        <x:v>feature/package-fixtures</x:v>
      </x:c>
      <x:c r="G24" s="431" t="str">
        <x:v>commit f26ed27; D-041; D-042; EV-038; EV-039</x:v>
      </x:c>
      <x:c r="H24" s="431" t="str">
        <x:v>Jason</x:v>
      </x:c>
    </x:row>
    <x:row r="25" ht="81" customHeight="1">
      <x:c r="A25" s="431" t="n">
        <x:v>2</x:v>
      </x:c>
      <x:c r="B25" s="431" t="str">
        <x:v>P1.3</x:v>
      </x:c>
      <x:c r="C25" s="431" t="str">
        <x:v>Held-out package and fault variants</x:v>
      </x:c>
      <x:c r="D25" s="431" t="str">
        <x:v>Materially distinct held-out family is hash-stable, protected, and frozen before rule tuning.</x:v>
      </x:c>
      <x:c r="E25" s="431" t="str">
        <x:v>Accepted</x:v>
      </x:c>
      <x:c r="F25" s="431" t="str">
        <x:v>feature/package-fixtures</x:v>
      </x:c>
      <x:c r="G25" s="431" t="str">
        <x:v>commit 4b7516e; D-043; D-044; EV-040; EV-041</x:v>
      </x:c>
      <x:c r="H25" s="431" t="str">
        <x:v>Jason</x:v>
      </x:c>
    </x:row>
    <x:row r="26" ht="108" customHeight="1">
      <x:c r="A26" s="431" t="n">
        <x:v>3</x:v>
      </x:c>
      <x:c r="B26" s="431" t="str">
        <x:v>P2.1</x:v>
      </x:c>
      <x:c r="C26" s="431" t="str">
        <x:v>Package inventory gates and stabilization</x:v>
      </x:c>
      <x:c r="D26" s="431" t="str">
        <x:v>Eight fail-closed package gates are implementation-complete. Cross-platform path and source-profile gaps are closed; tests, lint, coverage, and project controls are verified.</x:v>
      </x:c>
      <x:c r="E26" s="431" t="str">
        <x:v>Accepted</x:v>
      </x:c>
      <x:c r="F26" s="431" t="str">
        <x:v>codex/stabilization-improvement-loop</x:v>
      </x:c>
      <x:c r="G26" s="431" t="str">
        <x:v>e1ada72; 13c2527; 4d8dc81; PR #27; main 94d9117; CI green; D-045; D-046; D-047; D-048; EV-042; EV-043; EV-044; EV-045; EV-047; focused 26; full 197/1; coverage 84.33%</x:v>
      </x:c>
      <x:c r="H26" s="431" t="str">
        <x:v>Jason</x:v>
      </x:c>
    </x:row>
    <x:row r="27" ht="171" customHeight="1">
      <x:c r="A27" s="431" t="n">
        <x:v>4</x:v>
      </x:c>
      <x:c r="B27" s="431" t="str">
        <x:v>P2.2</x:v>
      </x:c>
      <x:c r="C27" s="431" t="str">
        <x:v>Fourth drawing check integration closeout</x:v>
      </x:c>
      <x:c r="D27" s="431" t="str">
        <x:v>Record exact PR #35 integration evidence and select the next bounded gate without beginning implementation.</x:v>
      </x:c>
      <x:c r="E27" s="431" t="str">
        <x:v>Integrated / Next gate pending</x:v>
      </x:c>
      <x:c r="F27" s="431" t="str">
        <x:v>codex/p2.2-drawing-file-reference-integration-closeout</x:v>
      </x:c>
      <x:c r="G27" s="431" t="str">
        <x:v>PR #35 main e5db29e; implementation 74970c3; evidence cce416e and 5d02872; user accepted 2026-07-19; final CI 2/2; D-065-D-071; EV-062-EV-068; relationship 19; focused 45; full 216/1; validation 5/5; Ruff; coverage 85.47%; protected assets unchanged; adjacent declaration/reciprocity and vertical-result gaps remain open</x:v>
      </x:c>
      <x:c r="H27" s="431" t="str">
        <x:v>Jason</x:v>
      </x:c>
    </x:row>
    <x:row r="28" ht="198" customHeight="1">
      <x:c r="A28" s="431" t="n">
        <x:v>5</x:v>
      </x:c>
      <x:c r="B28" s="431" t="str">
        <x:v>P2.4</x:v>
      </x:c>
      <x:c r="C28" s="431" t="str">
        <x:v>Minimum package-result core</x:v>
      </x:c>
      <x:c r="D28" s="431" t="str">
        <x:v>Require the exact gate/check set, canonicalize findings, select state by accepted precedence, validate a versioned package result, and persist it immutably.</x:v>
      </x:c>
      <x:c r="E28" s="431" t="str">
        <x:v>Accepted</x:v>
      </x:c>
      <x:c r="F28" s="431" t="str">
        <x:v>codex/p2.4-result-core</x:v>
      </x:c>
      <x:c r="G28" s="431" t="str">
        <x:v>implementation cbcfc2b; evidence 9caef2b; PR #39 exact main cd9b52e; D-077-D-078; EV-074-EV-075; focused result 15; full 237/1; validation 5/5; Ruff; coverage 86.10%; CI green; v0.2 and protected assets unchanged</x:v>
      </x:c>
      <x:c r="H28" s="431" t="str">
        <x:v>Jason</x:v>
      </x:c>
    </x:row>
    <x:row r="29" ht="198" customHeight="1">
      <x:c r="A29" s="431" t="n">
        <x:v>6</x:v>
      </x:c>
      <x:c r="B29" s="431" t="str">
        <x:v>P3.1</x:v>
      </x:c>
      <x:c r="C29" s="431" t="str">
        <x:v>Evidence-linked issue register</x:v>
      </x:c>
      <x:c r="D29" s="431" t="str">
        <x:v>Render CSV and Markdown issue registers from canonical package-result findings without recomputing evaluator logic.</x:v>
      </x:c>
      <x:c r="E29" s="431" t="str">
        <x:v>Accepted</x:v>
      </x:c>
      <x:c r="F29" s="431" t="str">
        <x:v>codex/p3.1-issue-register</x:v>
      </x:c>
      <x:c r="G29" s="431" t="str">
        <x:v>implementation 2f93335; exact main 8f66b12; D-079-D-080; EV-076-EV-077; focused 26; full 248/1; validation 5/5; Ruff; coverage 86.49%; inspected issue views</x:v>
      </x:c>
      <x:c r="H29" s="431" t="str">
        <x:v>Jason</x:v>
      </x:c>
    </x:row>
    <x:row r="30" ht="198" customHeight="1">
      <x:c r="A30" s="431" t="n">
        <x:v>7</x:v>
      </x:c>
      <x:c r="B30" s="431" t="str">
        <x:v>P3.2</x:v>
      </x:c>
      <x:c r="C30" s="431" t="str">
        <x:v>Release-readiness summary</x:v>
      </x:c>
      <x:c r="D30" s="431" t="str">
        <x:v>Render one concise, non-approving Markdown readiness view from the immutable canonical package result.</x:v>
      </x:c>
      <x:c r="E30" s="431" t="str">
        <x:v>Accepted</x:v>
      </x:c>
      <x:c r="F30" s="431" t="str">
        <x:v>codex/p3.2-release-readiness-summary</x:v>
      </x:c>
      <x:c r="G30" s="431" t="str">
        <x:v>implementation 7536bea; exact main 4b848b9; D-081-D-082; EV-078-EV-079; readiness 10; focused 36; full 258/1; validation 5/5; Ruff; coverage 86.75%; inspected fault summary</x:v>
      </x:c>
      <x:c r="H30" s="431" t="str">
        <x:v>Jason</x:v>
      </x:c>
    </x:row>
    <x:row r="31" ht="198" customHeight="1">
      <x:c r="A31" s="431" t="n">
        <x:v>8</x:v>
      </x:c>
      <x:c r="B31" s="431" t="str">
        <x:v>P3.3</x:v>
      </x:c>
      <x:c r="C31" s="431" t="str">
        <x:v>Runnable audit-package workflow</x:v>
      </x:c>
      <x:c r="D31" s="431" t="str">
        <x:v>Run the accepted audit and atomically publish the immutable result, issue registers, and readiness summary with stable exits.</x:v>
      </x:c>
      <x:c r="E31" s="431" t="str">
        <x:v>Accepted</x:v>
      </x:c>
      <x:c r="F31" s="431" t="str">
        <x:v>codex/p3.3-audit-package-cli</x:v>
      </x:c>
      <x:c r="G31" s="431" t="str">
        <x:v>implementation b5f0fcd; review evidence 411928e; PR #40 main e4080fd; D-083-D-084; EV-080-EV-081; focused 49; full 271/1; validation 5/5; Ruff; coverage 86.76%; inspected clean/fault runs; IMP-012</x:v>
      </x:c>
      <x:c r="H31" s="431" t="str">
        <x:v>Jason</x:v>
      </x:c>
    </x:row>
    <x:row r="32" ht="207" customHeight="1">
      <x:c r="A32" s="431" t="n">
        <x:v>9</x:v>
      </x:c>
      <x:c r="B32" s="431" t="str">
        <x:v>P2.3</x:v>
      </x:c>
      <x:c r="C32" s="431" t="str">
        <x:v>Relationship expansion - check 6</x:v>
      </x:c>
      <x:c r="D32" s="431" t="str">
        <x:v>Append BOM item/equipment manifest reciprocity under exact AUTH-BOM-002 and prove it through the accepted audit outputs.</x:v>
      </x:c>
      <x:c r="E32" s="431" t="str">
        <x:v>Accepted</x:v>
      </x:c>
      <x:c r="F32" s="431" t="str">
        <x:v>codex/p2.3-bom-item-equipment-reciprocity</x:v>
      </x:c>
      <x:c r="G32" s="431" t="str">
        <x:v>implementation c1dcc4a; review 0386b7f; PR #42 main 559bb81; D-085-D-088; EV-082-EV-085; relationship 31; focused 75; full 278/1; validation 5/5; Ruff; coverage 87.02%</x:v>
      </x:c>
      <x:c r="H32" s="431" t="str">
        <x:v>Jason</x:v>
      </x:c>
    </x:row>
    <x:row r="33" ht="216" customHeight="1">
      <x:c r="A33" s="431" t="n">
        <x:v>10</x:v>
      </x:c>
      <x:c r="B33" s="431" t="str">
        <x:v>P2.3</x:v>
      </x:c>
      <x:c r="C33" s="431" t="str">
        <x:v>Relationship maintainability stabilization</x:v>
      </x:c>
      <x:c r="D33" s="431" t="str">
        <x:v>Split accepted relationship code and tests by engineering domain without changing behavior.</x:v>
      </x:c>
      <x:c r="E33" s="431" t="str">
        <x:v>Accepted</x:v>
      </x:c>
      <x:c r="F33" s="431" t="str">
        <x:v>codex/p2.3-relationship-maintainability</x:v>
      </x:c>
      <x:c r="G33" s="431" t="str">
        <x:v>implementation 1f34781; PR #44 main 56ac9d1; D-088-D-089; EV-086; IMP-015; AST 40/40; focused 75; full 278/1; validation 5/5; Ruff; coverage 87.10%</x:v>
      </x:c>
      <x:c r="H33" s="431" t="str">
        <x:v>Jason</x:v>
      </x:c>
    </x:row>
    <x:row r="34" ht="220.5" customHeight="1">
      <x:c r="A34" s="431" t="n">
        <x:v>11</x:v>
      </x:c>
      <x:c r="B34" s="431" t="str">
        <x:v>P2.3</x:v>
      </x:c>
      <x:c r="C34" s="431" t="str">
        <x:v>Relationship expansion - check 7</x:v>
      </x:c>
      <x:c r="D34" s="431" t="str">
        <x:v>Require each release-required BOM equipment tag to appear in drawing metadata under exact AUTH-BOM-002.</x:v>
      </x:c>
      <x:c r="E34" s="431" t="str">
        <x:v>Accepted</x:v>
      </x:c>
      <x:c r="F34" s="431" t="str">
        <x:v>codex/p2.3-bom-equipment-drawing-presence</x:v>
      </x:c>
      <x:c r="G34" s="431" t="str">
        <x:v>implementation 01a70c2; PR #45 main 273c36a; D-089-D-090; EV-087-EV-088; relationship 35; focused 80; full 283/1; validation 5/5; Ruff; coverage 87.25%; both GitHub checks passed</x:v>
      </x:c>
      <x:c r="H34" s="431" t="str">
        <x:v>Jason</x:v>
      </x:c>
    </x:row>
    <x:row r="35" ht="216" customHeight="1">
      <x:c r="A35" s="431" t="n">
        <x:v>12</x:v>
      </x:c>
      <x:c r="B35" s="431" t="str">
        <x:v>P2.3</x:v>
      </x:c>
      <x:c r="C35" s="431" t="str">
        <x:v>Authorized structured-package trial gate</x:v>
      </x:c>
      <x:c r="D35" s="431" t="str">
        <x:v>Freeze permitted sources, privacy, preparation, reviewer, and learning boundaries before intake.</x:v>
      </x:c>
      <x:c r="E35" s="431" t="str">
        <x:v>Integrated / Selection Pending</x:v>
      </x:c>
      <x:c r="F35" s="431" t="str">
        <x:v>codex/p2.3-real-package-structured-trial</x:v>
      </x:c>
      <x:c r="G35" s="431" t="str">
        <x:v>implementation d4e530f; PR #46 exact main 361cc77; D-091; EV-089-EV-090; both GitHub checks passed; no package content accessed</x:v>
      </x:c>
      <x:c r="H35" s="431" t="str">
        <x:v>Jason</x:v>
      </x:c>
    </x:row>
    <x:row r="36" ht="229.5" customHeight="1">
      <x:c r="A36" s="431" t="n">
        <x:v>13</x:v>
      </x:c>
      <x:c r="B36" s="431" t="str">
        <x:v>P2.3</x:v>
      </x:c>
      <x:c r="C36" s="431" t="str">
        <x:v>Public trial package shortlist</x:v>
      </x:c>
      <x:c r="D36" s="431" t="str">
        <x:v>Compare three public mechanical packages and recommend the best first practical-use trial input before any download.</x:v>
      </x:c>
      <x:c r="E36" s="431" t="str">
        <x:v>Accepted</x:v>
      </x:c>
      <x:c r="F36" s="431" t="str">
        <x:v>codex/p2.3-public-trial-package-shortlist</x:v>
      </x:c>
      <x:c r="G36" s="431" t="str">
        <x:v>implementation 2dccf7c; PR #47; D-092-D-093; EV-090-EV-092; Precious Plastic selected; NASA/JPL and OpenFlexure approved sequentially; no candidate files downloaded at selection closeout</x:v>
      </x:c>
      <x:c r="H36" s="431" t="str">
        <x:v>Jason</x:v>
      </x:c>
    </x:row>
    <x:row r="37" ht="229.5" customHeight="1">
      <x:c r="A37" s="431" t="n">
        <x:v>14</x:v>
      </x:c>
      <x:c r="B37" s="431" t="str">
        <x:v>P2.3</x:v>
      </x:c>
      <x:c r="C37" s="431" t="str">
        <x:v>Precious Plastic controlled intake</x:v>
      </x:c>
      <x:c r="D37" s="431" t="str">
        <x:v>Verify source and license, preserve and hash untouched files, inventory contents, and produce a fit-gap assessment before transformation or audit execution.</x:v>
      </x:c>
      <x:c r="E37" s="431" t="str">
        <x:v>Stopped - Access Unavailable</x:v>
      </x:c>
      <x:c r="F37" s="431" t="str">
        <x:v>codex/p2.3-precious-plastic-intake</x:v>
      </x:c>
      <x:c r="G37" s="431" t="str">
        <x:v>D-092-D-094; EV-091-EV-093; official source required an inaccessible account; no files downloaded and no bypass attempted</x:v>
      </x:c>
      <x:c r="H37" s="431" t="str">
        <x:v>Jason</x:v>
      </x:c>
    </x:row>
    <x:row r="38" ht="229.5" customHeight="1">
      <x:c r="A38" s="431" t="n">
        <x:v>15</x:v>
      </x:c>
      <x:c r="B38" s="431" t="str">
        <x:v>P2.3</x:v>
      </x:c>
      <x:c r="C38" s="431" t="str">
        <x:v>Dual public-package intake</x:v>
      </x:c>
      <x:c r="D38" s="431" t="str">
        <x:v>Apply one controlled intake and fit-gap protocol equally to NASA/JPL Open Source Rover v4.0.0 and OpenFlexure Microscope v7.0.0-beta5.</x:v>
      </x:c>
      <x:c r="E38" s="431" t="str">
        <x:v>Accepted</x:v>
      </x:c>
      <x:c r="F38" s="431" t="str">
        <x:v>codex/p2.3-dual-public-package-intake</x:v>
      </x:c>
      <x:c r="G38" s="431" t="str">
        <x:v>D-095-D-096; EV-094-EV-097; PR #48 exact main 99d16b6; both source archives preserved and fit-assessed; mapping definitions authorized; no source conversion or audit execution</x:v>
      </x:c>
      <x:c r="H38" s="431" t="str">
        <x:v>Jason</x:v>
      </x:c>
    </x:row>
    <x:row r="39" ht="247.5" customHeight="1">
      <x:c r="A39" s="431" t="n">
        <x:v>16</x:v>
      </x:c>
      <x:c r="B39" s="431" t="str">
        <x:v>P2.3</x:v>
      </x:c>
      <x:c r="C39" s="431" t="str">
        <x:v>Dual public-package mapping definitions</x:v>
      </x:c>
      <x:c r="D39" s="431" t="str">
        <x:v>Freeze bounded NASA/JPL and OpenFlexure mappings plus one shared transformation-and-assumption log before controlled preparation.</x:v>
      </x:c>
      <x:c r="E39" s="431" t="str">
        <x:v>Accepted</x:v>
      </x:c>
      <x:c r="F39" s="431" t="str">
        <x:v>codex/p2.3-dual-public-package-mapping-definition</x:v>
      </x:c>
      <x:c r="G39" s="431" t="str">
        <x:v>D-096-D-097; EV-097-EV-099; PR #49 exact main 53e19ad; two mapping definitions and shared log contract accepted; preparation authorized; audit remained blocked</x:v>
      </x:c>
      <x:c r="H39" s="431" t="str">
        <x:v>Jason</x:v>
      </x:c>
    </x:row>
    <x:row r="40" ht="270" customHeight="1">
      <x:c r="A40" s="431" t="n">
        <x:v>17</x:v>
      </x:c>
      <x:c r="B40" s="431" t="str">
        <x:v>P2.3</x:v>
      </x:c>
      <x:c r="C40" s="431" t="str">
        <x:v>Dual public-package preparation</x:v>
      </x:c>
      <x:c r="D40" s="431" t="str">
        <x:v>Prepare and independently verify both real-world working packages and populated logs without running the audit.</x:v>
      </x:c>
      <x:c r="E40" s="431" t="str">
        <x:v>Accepted</x:v>
      </x:c>
      <x:c r="F40" s="431" t="str">
        <x:v>codex/p2.3-dual-public-package-preparation</x:v>
      </x:c>
      <x:c r="G40" s="431" t="str">
        <x:v>D-097-D-098; EV-099-EV-101; PR #50 exact main 7009fe2; two exact package trees and 1,764 accepted log rows; controlled audit execution authorized with mandatory unexpected-behavior stop</x:v>
      </x:c>
      <x:c r="H40" s="431" t="str">
        <x:v>Jason</x:v>
      </x:c>
    </x:row>
    <x:row r="41" ht="288" customHeight="1">
      <x:c r="A41" s="431" t="n">
        <x:v>18</x:v>
      </x:c>
      <x:c r="B41" s="431" t="str">
        <x:v>P2.3</x:v>
      </x:c>
      <x:c r="C41" s="431" t="str">
        <x:v>First public-package audit and stabilization review</x:v>
      </x:c>
      <x:c r="D41" s="431" t="str">
        <x:v>Execute NASA/JPL under D-098, stop on unexpected behavior, preserve failure evidence, confirm cross-package scope, and define a narrow reviewed fix before rerun.</x:v>
      </x:c>
      <x:c r="E41" s="431" t="str">
        <x:v>Accepted</x:v>
      </x:c>
      <x:c r="F41" s="431" t="str">
        <x:v>codex/p2.3-dual-public-package-audit-execution</x:v>
      </x:c>
      <x:c r="G41" s="431" t="str">
        <x:v>D-098-D-099; EV-101-EV-104; IMP-017; PR #51 exact main 624acce; NASA/JPL exit 70/zero outputs preserved; OpenFlexure not audited; narrow stabilization authorized</x:v>
      </x:c>
      <x:c r="H41" s="431" t="str">
        <x:v>Jason</x:v>
      </x:c>
    </x:row>
    <x:row r="42" ht="315" customHeight="1">
      <x:c r="A42" s="431" t="n">
        <x:v>19</x:v>
      </x:c>
      <x:c r="B42" s="431" t="str">
        <x:v>P2.3</x:v>
      </x:c>
      <x:c r="C42" s="431" t="str">
        <x:v>Identifier/result-contract stabilization review</x:v>
      </x:c>
      <x:c r="D42" s="431" t="str">
        <x:v>Implement D-099 narrowly, prove schema-valid full-CLI behavior for optional blanks and malformed present identifiers, preserve both public packages, and define the one-run confirmation gate.</x:v>
      </x:c>
      <x:c r="E42" s="431" t="str">
        <x:v>Accepted</x:v>
      </x:c>
      <x:c r="F42" s="431" t="str">
        <x:v>codex/p2.3-identifier-result-stabilization</x:v>
      </x:c>
      <x:c r="G42" s="431" t="str">
        <x:v>D-099-D-100; EV-104-EV-107; IMP-017; PR #52 exact main 0611d916; focused 47; full 289/1; coverage 87.57%; validation 5/5; Ruff; baseline 9/9; demo 2/2; exit 3/four outputs; exit 1/four outputs; public trees/logs unchanged before observation</x:v>
      </x:c>
      <x:c r="H42" s="431" t="str">
        <x:v>Jason</x:v>
      </x:c>
    </x:row>
    <x:row r="43" ht="360" customHeight="1">
      <x:c r="A43" s="431" t="n">
        <x:v>20</x:v>
      </x:c>
      <x:c r="B43" s="431" t="str">
        <x:v>P2.3</x:v>
      </x:c>
      <x:c r="C43" s="431" t="str">
        <x:v>NASA/JPL public-audit confirmation review</x:v>
      </x:c>
      <x:c r="D43" s="431" t="str">
        <x:v>Execute exactly one unchanged NASA/JPL audit under D-100, inspect the state, hold, exit, all four outputs, schema and report consistency, reverify both public input sets, and stop before OpenFlexure.</x:v>
      </x:c>
      <x:c r="E43" s="431" t="str">
        <x:v>Accepted</x:v>
      </x:c>
      <x:c r="F43" s="431" t="str">
        <x:v>codex/p2.3-nasa-public-audit-confirmation</x:v>
      </x:c>
      <x:c r="G43" s="431" t="str">
        <x:v>D-100-D-101; EV-107-EV-111; I-004; IMP-016-IMP-017; PR #53 exact main 65c9699b; run RUN-20260721T001431760486Z-4f1b9817; state missing_authoritative_information; hold true; exit 3; four schema-valid outputs; one authority finding; source hashes exact; focused 53; full 289/1; coverage 87.57%; validation 5/5; Ruff; baseline 9/9; demo 2/2</x:v>
      </x:c>
      <x:c r="H43" s="431" t="str">
        <x:v>Jason</x:v>
      </x:c>
    </x:row>
    <x:row r="44" ht="387" customHeight="1">
      <x:c r="A44" s="431" t="n">
        <x:v>21</x:v>
      </x:c>
      <x:c r="B44" s="431" t="str">
        <x:v>P2.3</x:v>
      </x:c>
      <x:c r="C44" s="431" t="str">
        <x:v>OpenFlexure public-audit confirmation review</x:v>
      </x:c>
      <x:c r="D44" s="431" t="str">
        <x:v>Execute exactly one unchanged OpenFlexure audit under D-101, inspect every output, reconcile both public packages, close the original execution defect, capture cross-package learning, and stop before check 8.</x:v>
      </x:c>
      <x:c r="E44" s="431" t="str">
        <x:v>Accepted</x:v>
      </x:c>
      <x:c r="F44" s="431" t="str">
        <x:v>codex/p2.3-openflexure-public-audit-confirmation</x:v>
      </x:c>
      <x:c r="G44" s="431" t="str">
        <x:v>D-101-D-102; EV-111-EV-116; I-004 closed; IMP-016-IMP-018; PR #54 exact main b0b32bb; one authorized run per public package; both expected holds and all source hashes exact</x:v>
      </x:c>
      <x:c r="H44" s="431" t="str">
        <x:v>Jason</x:v>
      </x:c>
    </x:row>
    <x:row r="45" ht="387" customHeight="1">
      <x:c r="A45" s="431" t="n">
        <x:v>22</x:v>
      </x:c>
      <x:c r="B45" s="431" t="str">
        <x:v>P2.3</x:v>
      </x:c>
      <x:c r="C45" s="431" t="str">
        <x:v>Equipment datasheet authority presence - check 8</x:v>
      </x:c>
      <x:c r="D45" s="431" t="str">
        <x:v>Append check 8 under exact AUTH-SPEC-001; require one release-required datasheet record per release-required BOM equipment tag; prove clean, missing, ambiguous, authority, ordering, canonical result, reports, CLI exit, and four-output behavior.</x:v>
      </x:c>
      <x:c r="E45" s="431" t="str">
        <x:v>Accepted</x:v>
      </x:c>
      <x:c r="F45" s="431" t="str">
        <x:v>codex/p2.3-equipment-datasheet-authority-presence</x:v>
      </x:c>
      <x:c r="G45" s="431" t="str">
        <x:v>D-102-D-103; EV-116-EV-120; IMP-013-IMP-015; PR #55 exact main fb0113d; clean 8/8; missing-authority exit 3/four outputs; focused 111; full 295/1; coverage 87.71%; validation 5/5; Ruff; baseline 9/9; demo 2/2</x:v>
      </x:c>
      <x:c r="H45" s="431" t="str">
        <x:v>Jason</x:v>
      </x:c>
    </x:row>
    <x:row r="46" ht="423" customHeight="1">
      <x:c r="A46" s="431" t="n">
        <x:v>23</x:v>
      </x:c>
      <x:c r="B46" s="431" t="str">
        <x:v>P2.3</x:v>
      </x:c>
      <x:c r="C46" s="431" t="str">
        <x:v>Equipment/datasheet association - check 9</x:v>
      </x:c>
      <x:c r="D46" s="431" t="str">
        <x:v>Append check 9 under exact AUTH-SPEC-001; compare BOM and authoritative metadata datasheet IDs only after check 8 establishes one record; prove clean, wrong-valid, ownership, authority, ordering, result, reports, CLI exit, and four-output behavior.</x:v>
      </x:c>
      <x:c r="E46" s="431" t="str">
        <x:v>Accepted</x:v>
      </x:c>
      <x:c r="F46" s="431" t="str">
        <x:v>codex/p2.3-equipment-datasheet-association</x:v>
      </x:c>
      <x:c r="G46" s="431" t="str">
        <x:v>D-103-D-104; EV-120-EV-125; I-005; IMP-013-IMP-015; IMP-019; PR #56 exact main 7146b23; clean 9/9; wrong-ID automatic_fail/hold/exit-1/four outputs; full 299/1; coverage 87.86%</x:v>
      </x:c>
      <x:c r="H46" s="431" t="str">
        <x:v>Jason</x:v>
      </x:c>
    </x:row>
    <x:row r="47" ht="432" customHeight="1">
      <x:c r="A47" s="431" t="n">
        <x:v>24</x:v>
      </x:c>
      <x:c r="B47" s="431" t="str">
        <x:v>P2.3</x:v>
      </x:c>
      <x:c r="C47" s="431" t="str">
        <x:v>Publication resilience stabilization</x:v>
      </x:c>
      <x:c r="D47" s="431" t="str">
        <x:v>Retry only final same-parent rename PermissionError using five total attempts over 0.75 seconds; never retry collisions or other errors; preserve failure evidence and exit 70 after exhaustion; prove injected and repeated Windows behavior.</x:v>
      </x:c>
      <x:c r="E47" s="431" t="str">
        <x:v>Ready for Review</x:v>
      </x:c>
      <x:c r="F47" s="431" t="str">
        <x:v>codex/p2.3-publication-resilience</x:v>
      </x:c>
      <x:c r="G47" s="431" t="str">
        <x:v>D-104-D-105; EV-125-EV-128; I-005 mitigating; IMP-019; focused 24; full 304/1; coverage 88.08%; validation 5/5; Ruff; Windows audit 20/20; baseline 9/9; demo 2/2; no protected asset changed</x:v>
      </x:c>
      <x:c r="H47" s="431" t="str">
        <x:v>Jason</x:v>
      </x:c>
    </x:row>
  </x:sheetData>
  <x:mergeCells>
    <x:mergeCell ref="A1:H1"/>
    <x:mergeCell ref="A3:D3"/>
    <x:mergeCell ref="F3:H3"/>
    <x:mergeCell ref="G4:H4"/>
    <x:mergeCell ref="G5:H5"/>
    <x:mergeCell ref="G6:H6"/>
    <x:mergeCell ref="G7:H7"/>
    <x:mergeCell ref="G8:H8"/>
    <x:mergeCell ref="G9:H9"/>
    <x:mergeCell ref="G10:H10"/>
    <x:mergeCell ref="G11:H11"/>
    <x:mergeCell ref="A13:E13"/>
    <x:mergeCell ref="A22:H22"/>
  </x:mergeCells>
  <x:conditionalFormatting sqref="B7:B7">
    <x:cfRule type="dataBar" priority="1">
      <x:dataBar>
        <x:cfvo type="min"/>
        <x:cfvo type="max"/>
        <x:color rgb="FF5B9BD5"/>
      </x:dataBar>
      <x:extLst>
        <x:ext xmlns:x14="http://schemas.microsoft.com/office/spreadsheetml/2009/9/main" uri="{B025F937-C7B1-47D3-B67F-A62EFF666E3E}">
          <x14:id>{7D85DDEE-AD7E-FCA4-D649-88C018333592}</x14:id>
        </x:ext>
      </x:extLst>
    </x:cfRule>
  </x:conditionalFormatting>
  <x:conditionalFormatting sqref="D15:D20">
    <x:cfRule type="dataBar" priority="2">
      <x:dataBar>
        <x:cfvo type="min"/>
        <x:cfvo type="max"/>
        <x:color rgb="FF5B9BD5"/>
      </x:dataBar>
      <x:extLst>
        <x:ext xmlns:x14="http://schemas.microsoft.com/office/spreadsheetml/2009/9/main" uri="{B025F937-C7B1-47D3-B67F-A62EFF666E3E}">
          <x14:id>{25A6C5E8-C840-7DE4-8C0F-8EEE77CEC4EA}</x14:id>
        </x:ext>
      </x:extLst>
    </x:cfRule>
  </x:conditionalFormatting>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1" id="{7D85DDEE-AD7E-FCA4-D649-88C018333592}">
            <x14:dataBar gradient="1">
              <x14:cfvo type="min"/>
              <x14:cfvo type="max"/>
              <x14:fillColor rgb="FF5B9BD5"/>
            </x14:dataBar>
          </x14:cfRule>
          <xm:sqref>B7:B7</xm:sqref>
        </x14:conditionalFormatting>
        <x14:conditionalFormatting>
          <x14:cfRule type="dataBar" priority="2" id="{25A6C5E8-C840-7DE4-8C0F-8EEE77CEC4EA}">
            <x14:dataBar gradient="1">
              <x14:cfvo type="min"/>
              <x14:cfvo type="max"/>
              <x14:fillColor rgb="FF5B9BD5"/>
            </x14:dataBar>
          </x14:cfRule>
          <xm:sqref>D15:D20</xm:sqref>
        </x14:conditionalFormatting>
      </x14:conditionalFormattings>
    </x:ext>
  </x:extLst>
</x:worksheet>
</file>