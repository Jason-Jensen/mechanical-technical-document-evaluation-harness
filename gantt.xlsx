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be7c82c75c4976" /></Relationships>
</file>

<file path=xl/workbook.xml><?xml version="1.0" encoding="utf-8"?>
<x:workbook xmlns:x="http://schemas.openxmlformats.org/spreadsheetml/2006/main">
  <x:sheets>
    <x:sheet xmlns:r="http://schemas.openxmlformats.org/officeDocument/2006/relationships" name="Start Here" sheetId="1" r:id="R88d2ad86fe2645d0"/>
    <x:sheet xmlns:r="http://schemas.openxmlformats.org/officeDocument/2006/relationships" name="Executive Gantt" sheetId="2" r:id="R705431037a8a4063"/>
    <x:sheet xmlns:r="http://schemas.openxmlformats.org/officeDocument/2006/relationships" name="Detailed Gantt" sheetId="3" r:id="R5de8ad56b0524558"/>
    <x:sheet xmlns:r="http://schemas.openxmlformats.org/officeDocument/2006/relationships" name="Weekly Control" sheetId="4" r:id="R652bad4120ca4e61"/>
    <x:sheet xmlns:r="http://schemas.openxmlformats.org/officeDocument/2006/relationships" name="Phase Summary" sheetId="5" r:id="Ra9fe834ff7db4988"/>
    <x:sheet xmlns:r="http://schemas.openxmlformats.org/officeDocument/2006/relationships" name="Assumptions &amp; Gates" sheetId="6" r:id="Re393e241a13c4af5"/>
    <x:sheet xmlns:r="http://schemas.openxmlformats.org/officeDocument/2006/relationships" name="Sources" sheetId="7" r:id="R4cba5e7225424063"/>
    <x:sheet xmlns:r="http://schemas.openxmlformats.org/officeDocument/2006/relationships" name="Legacy Baseline" sheetId="8" r:id="R0fd5f4c95dcc4571"/>
    <x:sheet xmlns:r="http://schemas.openxmlformats.org/officeDocument/2006/relationships" name="Work Block Log" sheetId="9" r:id="Ra40d627b9e4f4a0c"/>
    <x:sheet xmlns:r="http://schemas.openxmlformats.org/officeDocument/2006/relationships" name="Decision Register" sheetId="10" r:id="R4bae492933b449a7"/>
    <x:sheet xmlns:r="http://schemas.openxmlformats.org/officeDocument/2006/relationships" name="Risks &amp; Issues" sheetId="11" r:id="R8ee78d5e6265471f"/>
    <x:sheet xmlns:r="http://schemas.openxmlformats.org/officeDocument/2006/relationships" name="Evidence Register" sheetId="12" r:id="R38f34d211c8f42d2"/>
    <x:sheet xmlns:r="http://schemas.openxmlformats.org/officeDocument/2006/relationships" name="Expansion Backlog" sheetId="13" r:id="Rf6f7f94a249f420c"/>
    <x:sheet xmlns:r="http://schemas.openxmlformats.org/officeDocument/2006/relationships" name="AI Context" sheetId="14" r:id="R1764c1d6d07949ef"/>
    <x:sheet xmlns:r="http://schemas.openxmlformats.org/officeDocument/2006/relationships" name="MVP Dashboard" sheetId="15" r:id="Rb65412aec25d4c08"/>
    <x:sheet xmlns:r="http://schemas.openxmlformats.org/officeDocument/2006/relationships" name="Product Vision" sheetId="16" r:id="Rf0f1411a378b4419"/>
    <x:sheet xmlns:r="http://schemas.openxmlformats.org/officeDocument/2006/relationships" name="Pilot Gantt" sheetId="17" r:id="R63faa1baa93c4b07"/>
    <x:sheet xmlns:r="http://schemas.openxmlformats.org/officeDocument/2006/relationships" name="Pilot Dashboard" sheetId="18" r:id="Raf850ae6ad2444b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<x:sst xmlns:x="http://schemas.openxmlformats.org/spreadsheetml/2006/main">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</x:sst>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fad064e057f4a1b" /><Relationship Type="http://schemas.openxmlformats.org/officeDocument/2006/relationships/theme" Target="/xl/theme/theme1.xml" Id="Readfc0c44aa54437" /><Relationship Type="http://schemas.openxmlformats.org/officeDocument/2006/relationships/sharedStrings" Target="/xl/sharedStrings.xml" Id="R3b987d9ce9674468" /><Relationship Type="http://schemas.openxmlformats.org/officeDocument/2006/relationships/worksheet" Target="/xl/worksheets/sheet1.xml" Id="R88d2ad86fe2645d0" /><Relationship Type="http://schemas.openxmlformats.org/officeDocument/2006/relationships/worksheet" Target="/xl/worksheets/sheet2.xml" Id="R705431037a8a4063" /><Relationship Type="http://schemas.openxmlformats.org/officeDocument/2006/relationships/worksheet" Target="/xl/worksheets/sheet3.xml" Id="R5de8ad56b0524558" /><Relationship Type="http://schemas.openxmlformats.org/officeDocument/2006/relationships/worksheet" Target="/xl/worksheets/sheet4.xml" Id="R652bad4120ca4e61" /><Relationship Type="http://schemas.openxmlformats.org/officeDocument/2006/relationships/worksheet" Target="/xl/worksheets/sheet5.xml" Id="Ra9fe834ff7db4988" /><Relationship Type="http://schemas.openxmlformats.org/officeDocument/2006/relationships/worksheet" Target="/xl/worksheets/sheet6.xml" Id="Re393e241a13c4af5" /><Relationship Type="http://schemas.openxmlformats.org/officeDocument/2006/relationships/worksheet" Target="/xl/worksheets/sheet7.xml" Id="R4cba5e7225424063" /><Relationship Type="http://schemas.openxmlformats.org/officeDocument/2006/relationships/worksheet" Target="/xl/worksheets/sheet8.xml" Id="R0fd5f4c95dcc4571" /><Relationship Type="http://schemas.openxmlformats.org/officeDocument/2006/relationships/worksheet" Target="/xl/worksheets/sheet9.xml" Id="Ra40d627b9e4f4a0c" /><Relationship Type="http://schemas.openxmlformats.org/officeDocument/2006/relationships/worksheet" Target="/xl/worksheets/sheet10.xml" Id="R4bae492933b449a7" /><Relationship Type="http://schemas.openxmlformats.org/officeDocument/2006/relationships/worksheet" Target="/xl/worksheets/sheet11.xml" Id="R8ee78d5e6265471f" /><Relationship Type="http://schemas.openxmlformats.org/officeDocument/2006/relationships/worksheet" Target="/xl/worksheets/sheet12.xml" Id="R38f34d211c8f42d2" /><Relationship Type="http://schemas.openxmlformats.org/officeDocument/2006/relationships/worksheet" Target="/xl/worksheets/sheet13.xml" Id="Rf6f7f94a249f420c" /><Relationship Type="http://schemas.openxmlformats.org/officeDocument/2006/relationships/worksheet" Target="/xl/worksheets/sheet14.xml" Id="R1764c1d6d07949ef" /><Relationship Type="http://schemas.openxmlformats.org/officeDocument/2006/relationships/worksheet" Target="/xl/worksheets/sheet15.xml" Id="Rb65412aec25d4c08" /><Relationship Type="http://schemas.openxmlformats.org/officeDocument/2006/relationships/worksheet" Target="/xl/worksheets/sheet16.xml" Id="Rf0f1411a378b4419" /><Relationship Type="http://schemas.openxmlformats.org/officeDocument/2006/relationships/worksheet" Target="/xl/worksheets/sheet17.xml" Id="R63faa1baa93c4b07" /><Relationship Type="http://schemas.openxmlformats.org/officeDocument/2006/relationships/worksheet" Target="/xl/worksheets/sheet18.xml" Id="Raf850ae6ad2444b2" /></Relationships>
</file>

<file path=xl/drawings/_rels/drawing1.xml.rels>&#65279;<?xml version="1.0" encoding="utf-8"?><Relationships xmlns="http://schemas.openxmlformats.org/package/2006/relationships"><Relationship Type="http://schemas.openxmlformats.org/officeDocument/2006/relationships/chart" Target="/xl/drawings/charts/chart1.xml" Id="R7fab4fb19128418b" /></Relationships>
</file>

<file path=xl/drawings/_rels/drawing2.xml.rels>&#65279;<?xml version="1.0" encoding="utf-8"?><Relationships xmlns="http://schemas.openxmlformats.org/package/2006/relationships"><Relationship Type="http://schemas.openxmlformats.org/officeDocument/2006/relationships/chart" Target="/xl/drawings/charts/chart2.xml" Id="R41e71eea82a44113" /></Relationships>
</file>

<file path=xl/drawings/_rels/drawing3.xml.rels>&#65279;<?xml version="1.0" encoding="utf-8"?><Relationships xmlns="http://schemas.openxmlformats.org/package/2006/relationships"><Relationship Type="http://schemas.openxmlformats.org/officeDocument/2006/relationships/chart" Target="/xl/drawings/charts/chart3.xml" Id="R5731174297994dc2"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fab4fb19128418b"/>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e71eea82a4411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731174297994dc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f5ff4e462d4547db" /></Relationships>
</file>

<file path=xl/worksheets/_rels/sheet5.xml.rels>&#65279;<?xml version="1.0" encoding="utf-8"?><Relationships xmlns="http://schemas.openxmlformats.org/package/2006/relationships"><Relationship Type="http://schemas.openxmlformats.org/officeDocument/2006/relationships/drawing" Target="/xl/drawings/drawing2.xml" Id="R44c9f0ff47934cf5" /></Relationships>
</file>

<file path=xl/worksheets/_rels/sheet15.xml.rels>&#65279;<?xml version="1.0" encoding="utf-8"?><Relationships xmlns="http://schemas.openxmlformats.org/package/2006/relationships"><Relationship Type="http://schemas.openxmlformats.org/officeDocument/2006/relationships/drawing" Target="/xl/drawings/drawing3.xml" Id="Rf3f8c8fb96b94d4f"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definition accepted; check 6 authorized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check 6 implementation</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Implement BOM item/equipment manifest reciprocity</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Implement and review check 6; do not merge without explicit acceptance</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The P2.3 relationship-expansion definition was accepted by the user and merged through PR #41 at exact main a855d99. D-086 and EV-083 authorize only check 6, bom_item_equipment_manifest_reciprocity, under exact AUTH-BOM-002 on codex/p2.3-bom-item-equipment-reciprocity. The check must append after the five accepted drawing checks and prove clean plus wrong-but-valid manifest-target behavior through the accepted result/report/CLI path. Checks 7-11, six authority/source gaps, semantic held-out execution, protected-asset changes, and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f5ff4e462d4547db"/>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44c9f0ff47934cf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definition accepted; check 6 implementation active</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Six P2.3 checks are frozen under accepted authority; only check 6 is authorized now, while six unsupported claims remain blocked.</x:v>
      </x:c>
      <x:c r="E7" s="765" t="str">
        <x:v>Product interpretation</x:v>
      </x:c>
      <x:c r="F7" s="431" t="str">
        <x:v>Successful kernel; not yet a complete economically useful workflow.</x:v>
      </x:c>
      <x:c r="G7" s="765" t="str">
        <x:v>Response</x:v>
      </x:c>
      <x:c r="H7" s="431" t="str">
        <x:v>Implement exact AUTH-BOM-002 reciprocity, preserve checks 1-5, and prove clean plus wrong-but-valid target behavior end to end.</x:v>
      </x:c>
    </x:row>
    <x:row r="8" ht="99" hidden="0" customHeight="1">
      <x:c r="A8" s="765" t="str">
        <x:v>Immediate next action</x:v>
      </x:c>
      <x:c r="B8" s="431" t="str">
        <x:v>Implement and review check 6 on its dedicated branch. Separate explicit acceptance is required before integration.</x:v>
      </x:c>
      <x:c r="C8" s="765" t="str">
        <x:v>Selected vertical</x:v>
      </x:c>
      <x:c r="D8" s="431" t="str">
        <x:v>Accepted audit path -&gt; accepted P2.3 definition -&gt; check 6 implementation/review -&gt; later individually accepted slices -&gt; benchmark gate.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P2.3 definition was accepted and integrated through PR #41 at exact main a855d99. D-086 and EV-083 authorize only check 6, BOM item/equipment manifest reciprocity under exact AUTH-BOM-002. The implementation must append after the five accepted drawing checks and use one isolated wrong-but-valid manifest-target fault while preserving current gates and earlier checks. Checks 7-11, six authority/source gaps, semantic held-out execution, protected content,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f3f8c8fb96b94d4f"/>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216"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0.35</x:v>
      </x:c>
      <x:c r="M13" s="662" t="n">
        <x:f>SUMIF('Work Block Log'!$E$5:$E$200,A13,'Work Block Log'!$F$5:$F$200)</x:f>
        <x:v>0</x:v>
      </x:c>
      <x:c r="N13" s="662" t="n">
        <x:f>MAX(F13*(1-L13),0)</x:f>
        <x:v>2.6</x:v>
      </x:c>
      <x:c r="O13" s="662" t="n">
        <x:f>M13-F13</x:f>
        <x:v>-4</x:v>
      </x:c>
      <x:c r="P13" s="431" t="str">
        <x:v>accepted definition p2_3_relationship_expansion_definition_v0.3.0.md; PR #41 exact main a855d99; D-085-D-086; EV-082-EV-083; IMP-013; six supported checks; six authority/source gaps</x:v>
      </x:c>
      <x:c r="Q13" s="431" t="str">
        <x:v>Implement and review only check 6 bom_item_equipment_manifest_reciprocity on codex/p2.3-bom-item-equipment-reciprocity. Require separate acceptance before integration.</x:v>
      </x:c>
      <x:c r="R13" s="431" t="str">
        <x:v>Definition accepted. Check 6 authorized under exact AUTH-BOM-002; checks 7-11, authority-gap claims, protected changes, held-out semantics, and deferred capabilities remain blocked.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0.6826086956521739</x:v>
      </x:c>
      <x:c r="M24" s="683" t="n">
        <x:f>SUM(M6:M22)</x:f>
        <x:v>0</x:v>
      </x:c>
      <x:c r="N24" s="683" t="n">
        <x:f>SUM(N6:N22)</x:f>
        <x:v>14.6</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P2.3 Check 6</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Implement check 6 BOM item/equipment manifest reciprocity</x:v>
      </x:c>
      <x:c r="H4" s="697"/>
    </x:row>
    <x:row r="5" ht="72" customHeight="1">
      <x:c r="A5" s="688" t="str">
        <x:v>Schedule Baseline</x:v>
      </x:c>
      <x:c r="B5" s="693" t="str">
        <x:v>Legacy only; not controlling</x:v>
      </x:c>
      <x:c r="C5" s="691"/>
      <x:c r="D5" s="691"/>
      <x:c r="F5" s="696" t="str">
        <x:v>Objective</x:v>
      </x:c>
      <x:c r="G5" s="697" t="str">
        <x:v>Add one evidence-backed reciprocity check under exact AUTH-BOM-002 without broadening claims.</x:v>
      </x:c>
      <x:c r="H5" s="697"/>
    </x:row>
    <x:row r="6" ht="63" customHeight="1">
      <x:c r="A6" s="688" t="str">
        <x:v>Time Tracking</x:v>
      </x:c>
      <x:c r="B6" s="693" t="str">
        <x:v>Waived prospectively</x:v>
      </x:c>
      <x:c r="C6" s="691"/>
      <x:c r="D6" s="691"/>
      <x:c r="F6" s="696" t="str">
        <x:v>Gate Status</x:v>
      </x:c>
      <x:c r="G6" s="697" t="str">
        <x:v>The definition is accepted through PR #41; only check 6 implementation is authorized.</x:v>
      </x:c>
      <x:c r="H6" s="697"/>
    </x:row>
    <x:row r="7" ht="81" customHeight="1">
      <x:c r="A7" s="688" t="str">
        <x:v>Current Gate</x:v>
      </x:c>
      <x:c r="B7" s="694" t="str">
        <x:v>P2.3 check 6 implementation</x:v>
      </x:c>
      <x:c r="C7" s="691"/>
      <x:c r="D7" s="691"/>
      <x:c r="F7" s="696" t="str">
        <x:v>Definition of Done</x:v>
      </x:c>
      <x:c r="G7" s="697" t="str">
        <x:v>Six checks remain frozen in order; six unsupported claims remain visible authority/source gaps.</x:v>
      </x:c>
      <x:c r="H7" s="697"/>
    </x:row>
    <x:row r="8" ht="63" customHeight="1">
      <x:c r="A8" s="688" t="str">
        <x:v>Released Kernel</x:v>
      </x:c>
      <x:c r="B8" s="691" t="str">
        <x:v>v0.2.0 / commit 45336a2</x:v>
      </x:c>
      <x:c r="C8" s="691"/>
      <x:c r="D8" s="691"/>
      <x:c r="F8" s="696" t="str">
        <x:v>Immediate Next Action</x:v>
      </x:c>
      <x:c r="G8" s="697" t="str">
        <x:v>Implement, test, inspect, and present check 6 for separate acceptance.</x:v>
      </x:c>
      <x:c r="H8" s="697"/>
    </x:row>
    <x:row r="9" ht="72" customHeight="1">
      <x:c r="A9" s="688" t="str">
        <x:v>Release Target</x:v>
      </x:c>
      <x:c r="B9" s="691" t="str">
        <x:v>v0.3.0</x:v>
      </x:c>
      <x:c r="C9" s="691"/>
      <x:c r="D9" s="691"/>
      <x:c r="F9" s="696" t="str">
        <x:v>Primary Risk</x:v>
      </x:c>
      <x:c r="G9" s="697" t="str">
        <x:v>Primary risk is accepting structurally valid but incorrect item-to-equipment declarations.</x:v>
      </x:c>
      <x:c r="H9" s="697"/>
    </x:row>
    <x:row r="10" ht="81" customHeight="1">
      <x:c r="A10" s="688" t="str">
        <x:v>Baseline Test Count</x:v>
      </x:c>
      <x:c r="B10" s="691" t="n">
        <x:v>121</x:v>
      </x:c>
      <x:c r="C10" s="691"/>
      <x:c r="D10" s="691"/>
      <x:c r="F10" s="696" t="str">
        <x:v>Deferred</x:v>
      </x:c>
      <x:c r="G10" s="697" t="str">
        <x:v>No schema, fixture, golden, authority-map, held-out semantic, or deferred-capability change is authorized.</x:v>
      </x:c>
      <x:c r="H10" s="697"/>
    </x:row>
    <x:row r="11" ht="63" customHeight="1">
      <x:c r="A11" s="688" t="str">
        <x:v>Fixture Package Families</x:v>
      </x:c>
      <x:c r="B11" s="691" t="n">
        <x:v>2</x:v>
      </x:c>
      <x:c r="C11" s="691"/>
      <x:c r="D11" s="691"/>
      <x:c r="F11" s="696" t="str">
        <x:v>Data Boundary</x:v>
      </x:c>
      <x:c r="G11" s="697" t="str">
        <x:v>Do not merge the implementation without explicit user acceptance.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P2.3 check 6 implementation</x:v>
      </x:c>
      <x:c r="D17" s="700" t="n">
        <x:v>0.35</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198"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In Progress</x:v>
      </x:c>
      <x:c r="F32" s="431" t="str">
        <x:v>codex/p2.3-bom-item-equipment-reciprocity</x:v>
      </x:c>
      <x:c r="G32" s="431" t="str">
        <x:v>definition accepted through PR #41 exact main a855d99; D-085-D-086; EV-082-EV-083; IMP-013; only check 6 authorized; checks 7-11 and six authority/source gaps blocked</x:v>
      </x:c>
      <x:c r="H3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