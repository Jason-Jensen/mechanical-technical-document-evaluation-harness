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295bc1d66924f95" /></Relationships>
</file>

<file path=xl/workbook.xml><?xml version="1.0" encoding="utf-8"?>
<x:workbook xmlns:x="http://schemas.openxmlformats.org/spreadsheetml/2006/main">
  <x:sheets>
    <x:sheet xmlns:r="http://schemas.openxmlformats.org/officeDocument/2006/relationships" name="Start Here" sheetId="1" r:id="R34e1ba22846d44a5"/>
    <x:sheet xmlns:r="http://schemas.openxmlformats.org/officeDocument/2006/relationships" name="Executive Gantt" sheetId="2" r:id="R00cdc4f860e740f2"/>
    <x:sheet xmlns:r="http://schemas.openxmlformats.org/officeDocument/2006/relationships" name="Detailed Gantt" sheetId="3" r:id="R9de0396d63954580"/>
    <x:sheet xmlns:r="http://schemas.openxmlformats.org/officeDocument/2006/relationships" name="Weekly Control" sheetId="4" r:id="Rdda41abbb9e042cb"/>
    <x:sheet xmlns:r="http://schemas.openxmlformats.org/officeDocument/2006/relationships" name="Phase Summary" sheetId="5" r:id="Rc315d7878fc94593"/>
    <x:sheet xmlns:r="http://schemas.openxmlformats.org/officeDocument/2006/relationships" name="Assumptions &amp; Gates" sheetId="6" r:id="R1285fdb3af7d4848"/>
    <x:sheet xmlns:r="http://schemas.openxmlformats.org/officeDocument/2006/relationships" name="Sources" sheetId="7" r:id="Rcca09e0149334f9a"/>
    <x:sheet xmlns:r="http://schemas.openxmlformats.org/officeDocument/2006/relationships" name="Legacy Baseline" sheetId="8" r:id="Ra521cdff9dc94774"/>
    <x:sheet xmlns:r="http://schemas.openxmlformats.org/officeDocument/2006/relationships" name="Work Block Log" sheetId="9" r:id="Re81748078e0945e1"/>
    <x:sheet xmlns:r="http://schemas.openxmlformats.org/officeDocument/2006/relationships" name="Decision Register" sheetId="10" r:id="R712803cea8d14d5d"/>
    <x:sheet xmlns:r="http://schemas.openxmlformats.org/officeDocument/2006/relationships" name="Risks &amp; Issues" sheetId="11" r:id="Rc3bb8da2bac64860"/>
    <x:sheet xmlns:r="http://schemas.openxmlformats.org/officeDocument/2006/relationships" name="Evidence Register" sheetId="12" r:id="R541421f9c5174e98"/>
    <x:sheet xmlns:r="http://schemas.openxmlformats.org/officeDocument/2006/relationships" name="Expansion Backlog" sheetId="13" r:id="R36307ce2c1d04778"/>
    <x:sheet xmlns:r="http://schemas.openxmlformats.org/officeDocument/2006/relationships" name="AI Context" sheetId="14" r:id="R6050e9dfbbeb45b1"/>
    <x:sheet xmlns:r="http://schemas.openxmlformats.org/officeDocument/2006/relationships" name="MVP Dashboard" sheetId="15" r:id="R3504b605f2174912"/>
    <x:sheet xmlns:r="http://schemas.openxmlformats.org/officeDocument/2006/relationships" name="Product Vision" sheetId="16" r:id="Rfb244ceaf0d24d51"/>
    <x:sheet xmlns:r="http://schemas.openxmlformats.org/officeDocument/2006/relationships" name="Pilot Gantt" sheetId="17" r:id="R07a1d4577137467d"/>
    <x:sheet xmlns:r="http://schemas.openxmlformats.org/officeDocument/2006/relationships" name="Pilot Dashboard" sheetId="18" r:id="Rbf750777087c4fc4"/>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<x:sst xmlns:x="http://schemas.openxmlformats.org/spreadsheetml/2006/main">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</x:sst>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6">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
      <x:patternFill patternType="solid">
        <x:fgColor rgb="FF2F75B5"/>
      </x:patternFill>
    </x:fill>
    <x:fill>
      <x:patternFill patternType="solid">
        <x:fgColor rgb="FF2F75B5"/>
      </x:patternFill>
    </x:fill>
    <x:fill>
      <x:patternFill patternType="solid">
        <x:fgColor rgb="FF2F75B5"/>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80">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xf numFmtId="164" fontId="23" fillId="52" borderId="0" xfId="0" applyNumberFormat="1" applyFont="1" applyFill="1" applyBorder="1" applyAlignment="1">
      <x:alignment vertical="top" wrapText="1"/>
    </x:xf>
    <x:xf numFmtId="0" fontId="24" fillId="33" borderId="0" xfId="0" applyNumberFormat="1" applyFont="1" applyFill="1" applyBorder="1" applyAlignment="1">
      <x:alignment horizontal="center" vertical="top" wrapText="1"/>
    </x:xf>
    <x:xf numFmtId="202" fontId="23" fillId="52" borderId="0" xfId="0" applyNumberFormat="1" applyFont="1" applyFill="1" applyBorder="1" applyAlignment="1">
      <x:alignment vertical="top" wrapText="1"/>
    </x:xf>
    <x:xf numFmtId="0" fontId="23" fillId="5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xf numFmtId="201" fontId="0" fillId="0" borderId="0" xfId="0" applyNumberFormat="1" applyFont="1" applyFill="1" applyBorder="1" applyAlignment="1">
      <x:alignment wrapText="1"/>
    </x:xf>
    <x:xf numFmtId="202" fontId="0" fillId="0" borderId="0" xfId="0" applyNumberFormat="1" applyFont="1" applyFill="1" applyBorder="1" applyAlignment="1">
      <x:alignment wrapText="1"/>
    </x:xf>
    <x:xf numFmtId="200" fontId="3" fillId="4" borderId="0" xfId="0" applyNumberFormat="1" applyFont="1" applyFill="1" applyBorder="1" applyAlignment="1">
      <x:alignment vertical="top" wrapText="1"/>
    </x:xf>
    <x:xf numFmtId="0" fontId="3" fillId="53" borderId="0" xfId="0" applyNumberFormat="1" applyFont="1" applyFill="1" applyBorder="1" applyAlignment="1">
      <x:alignment vertical="top" wrapText="1"/>
    </x:xf>
    <x:xf numFmtId="0" fontId="2" fillId="53" borderId="0" xfId="0" applyNumberFormat="1" applyFont="1" applyFill="1" applyBorder="1" applyAlignment="1">
      <x:alignment vertical="top" wrapText="1"/>
    </x:xf>
    <x:xf numFmtId="0" fontId="2" fillId="54" borderId="0" xfId="0" applyNumberFormat="1" applyFont="1" applyFill="1" applyBorder="1" applyAlignment="1">
      <x:alignment vertical="top" wrapText="1"/>
    </x:xf>
    <x:xf numFmtId="0" fontId="2" fillId="55" borderId="0" xfId="0" applyNumberFormat="1" applyFont="1" applyFill="1" applyBorder="1" applyAlignment="1">
      <x:alignment vertical="top" wrapText="1"/>
    </x:xf>
    <x:xf numFmtId="200" fontId="3" fillId="0" borderId="0" xfId="0" applyNumberFormat="1" applyFont="1" applyFill="1" applyBorder="1" applyAlignment="1">
      <x:alignment vertical="top"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deadbe4c226439a" /><Relationship Type="http://schemas.openxmlformats.org/officeDocument/2006/relationships/theme" Target="/xl/theme/theme1.xml" Id="R13a291424bc14e3d" /><Relationship Type="http://schemas.openxmlformats.org/officeDocument/2006/relationships/sharedStrings" Target="/xl/sharedStrings.xml" Id="R8dffe04d9bf84fea" /><Relationship Type="http://schemas.openxmlformats.org/officeDocument/2006/relationships/worksheet" Target="/xl/worksheets/sheet1.xml" Id="R34e1ba22846d44a5" /><Relationship Type="http://schemas.openxmlformats.org/officeDocument/2006/relationships/worksheet" Target="/xl/worksheets/sheet2.xml" Id="R00cdc4f860e740f2" /><Relationship Type="http://schemas.openxmlformats.org/officeDocument/2006/relationships/worksheet" Target="/xl/worksheets/sheet3.xml" Id="R9de0396d63954580" /><Relationship Type="http://schemas.openxmlformats.org/officeDocument/2006/relationships/worksheet" Target="/xl/worksheets/sheet4.xml" Id="Rdda41abbb9e042cb" /><Relationship Type="http://schemas.openxmlformats.org/officeDocument/2006/relationships/worksheet" Target="/xl/worksheets/sheet5.xml" Id="Rc315d7878fc94593" /><Relationship Type="http://schemas.openxmlformats.org/officeDocument/2006/relationships/worksheet" Target="/xl/worksheets/sheet6.xml" Id="R1285fdb3af7d4848" /><Relationship Type="http://schemas.openxmlformats.org/officeDocument/2006/relationships/worksheet" Target="/xl/worksheets/sheet7.xml" Id="Rcca09e0149334f9a" /><Relationship Type="http://schemas.openxmlformats.org/officeDocument/2006/relationships/worksheet" Target="/xl/worksheets/sheet8.xml" Id="Ra521cdff9dc94774" /><Relationship Type="http://schemas.openxmlformats.org/officeDocument/2006/relationships/worksheet" Target="/xl/worksheets/sheet9.xml" Id="Re81748078e0945e1" /><Relationship Type="http://schemas.openxmlformats.org/officeDocument/2006/relationships/worksheet" Target="/xl/worksheets/sheet10.xml" Id="R712803cea8d14d5d" /><Relationship Type="http://schemas.openxmlformats.org/officeDocument/2006/relationships/worksheet" Target="/xl/worksheets/sheet11.xml" Id="Rc3bb8da2bac64860" /><Relationship Type="http://schemas.openxmlformats.org/officeDocument/2006/relationships/worksheet" Target="/xl/worksheets/sheet12.xml" Id="R541421f9c5174e98" /><Relationship Type="http://schemas.openxmlformats.org/officeDocument/2006/relationships/worksheet" Target="/xl/worksheets/sheet13.xml" Id="R36307ce2c1d04778" /><Relationship Type="http://schemas.openxmlformats.org/officeDocument/2006/relationships/worksheet" Target="/xl/worksheets/sheet14.xml" Id="R6050e9dfbbeb45b1" /><Relationship Type="http://schemas.openxmlformats.org/officeDocument/2006/relationships/worksheet" Target="/xl/worksheets/sheet15.xml" Id="R3504b605f2174912" /><Relationship Type="http://schemas.openxmlformats.org/officeDocument/2006/relationships/worksheet" Target="/xl/worksheets/sheet16.xml" Id="Rfb244ceaf0d24d51" /><Relationship Type="http://schemas.openxmlformats.org/officeDocument/2006/relationships/worksheet" Target="/xl/worksheets/sheet17.xml" Id="R07a1d4577137467d" /><Relationship Type="http://schemas.openxmlformats.org/officeDocument/2006/relationships/worksheet" Target="/xl/worksheets/sheet18.xml" Id="Rbf750777087c4f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dd919bc15e4bed" /></Relationships>
</file>

<file path=xl/drawings/_rels/drawing2.xml.rels>&#65279;<?xml version="1.0" encoding="utf-8"?><Relationships xmlns="http://schemas.openxmlformats.org/package/2006/relationships"><Relationship Type="http://schemas.openxmlformats.org/officeDocument/2006/relationships/chart" Target="/xl/drawings/charts/chart2.xml" Id="R08a5455f93344425" /></Relationships>
</file>

<file path=xl/drawings/_rels/drawing3.xml.rels>&#65279;<?xml version="1.0" encoding="utf-8"?><Relationships xmlns="http://schemas.openxmlformats.org/package/2006/relationships"><Relationship Type="http://schemas.openxmlformats.org/officeDocument/2006/relationships/chart" Target="/xl/drawings/charts/chart3.xml" Id="R90af842ba8ca4fe3"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dd919bc15e4bed"/>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8a5455f93344425"/>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af842ba8ca4fe3"/>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81c53fed418b467c" /></Relationships>
</file>

<file path=xl/worksheets/_rels/sheet5.xml.rels>&#65279;<?xml version="1.0" encoding="utf-8"?><Relationships xmlns="http://schemas.openxmlformats.org/package/2006/relationships"><Relationship Type="http://schemas.openxmlformats.org/officeDocument/2006/relationships/drawing" Target="/xl/drawings/drawing2.xml" Id="R2436233b347742a9" /></Relationships>
</file>

<file path=xl/worksheets/_rels/sheet15.xml.rels>&#65279;<?xml version="1.0" encoding="utf-8"?><Relationships xmlns="http://schemas.openxmlformats.org/package/2006/relationships"><Relationship Type="http://schemas.openxmlformats.org/officeDocument/2006/relationships/drawing" Target="/xl/drawings/drawing3.xml" Id="R6720436ca344498f"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9.5" customHeight="1">
      <x:c r="A4" s="495" t="str">
        <x:v>Control revision</x:v>
      </x:c>
      <x:c r="B4" s="767" t="str">
        <x:v>Program v3.0 - P4.2 D-117 external benchmark result 2026-07-23</x:v>
      </x:c>
      <x:c r="C4" s="438"/>
      <x:c r="D4" s="768" t="n">
        <x:v>1</x:v>
      </x:c>
      <x:c r="E4" s="754"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63" customHeight="1">
      <x:c r="A10" s="495" t="str">
        <x:v>Current gate</x:v>
      </x:c>
      <x:c r="B10" s="769" t="str">
        <x:v>D-117 complete; benchmark family invalid for target performance; D-118 owner review</x:v>
      </x:c>
      <x:c r="C10" s="438"/>
      <x:c r="D10" s="768" t="n">
        <x:v>7</x:v>
      </x:c>
      <x:c r="E10" s="754"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9.5" hidden="0" customHeight="1">
      <x:c r="A12" s="495" t="str">
        <x:v>Active WBS</x:v>
      </x:c>
      <x:c r="B12" s="770" t="str">
        <x:v>P4.2 - D-117 one-shot execution, verification, and protected comparison</x:v>
      </x:c>
      <x:c r="C12" s="438"/>
      <x:c r="D12" s="438"/>
      <x:c r="E12" s="438"/>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67.5" hidden="0" customHeight="1">
      <x:c r="A13" s="495" t="str">
        <x:v>Next build WBS</x:v>
      </x:c>
      <x:c r="B13" s="770" t="str">
        <x:v>Review D-117 result and proposed D-118 benchmark-authoring corrective action</x:v>
      </x:c>
      <x:c r="C13" s="438"/>
      <x:c r="D13" s="438"/>
      <x:c r="E13" s="438"/>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file-reference, and supported revision relationship checks with evidence; explicitly deferred claims remain excluded.</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170" hidden="0" customHeight="1">
      <x:c r="A28" s="597" t="str">
        <x:v>PR #69 merged the verified D-116 freeze at exact main 04d919f. D-117 then authorized and consumed exactly one invocation of RUNNER-D116-CIM-20260723-04 against eight opaque scenarios in FAM-D116-CIM-20260723-01. All eight attempts ran once and published four schema-valid outputs; no retry, resume, repair, overwrite, tuning, second invocation, or in-runner oracle access occurred. The 73-file read-only raw set froze at aggregate f9bc8135...cb5c. Oracle-blind verifier revision 3 passed 14/14 after two verifier-assumption failures were preserved. Separate protected comparison found 7/8 state matches but 0/8 exact finding matches, 0/7 expected finding true positives, eight unexpected authority findings, one clean-package false positive, and 0/7 intended target checks executed. All eight authority maps incorrectly applied to the family ID instead of each scenario package ID. The evaluator correctly failed GATE-PKG-AUTHORITY-001 and all downstream checks were skipped. D-117 therefore proves complete one-shot publication and fail-closed authority enforcement, not downstream relationship accuracy. NC-002 and AIR-011 record the ineffective benchmark-authoring freeze. Local proof passes: governance 22/22; protected-safe full 340/1 at 88.33%; validation 5/5; Ruff; sentinel 4 outputs; development benchmark 22/22; baseline 9/9; demo 2/2. A preserved long-temp-root regression failure produced IMP-039; the unchanged suite passed under short runs/t117f. AIR-003, AIR-011, NC-002, and pending D-118 hold release. No repair, rerun, reuse, new family, semantic execution, tuning, P4.3, or release claim is authorized.</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0.42</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17.14</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x:v>
      </x:c>
      <x:c r="N27" s="627" t="n">
        <x:f t="shared" si="3">MAX(F27*(1-L27),0)</x:f>
        <x:v>0</x:v>
      </x:c>
      <x:c r="O27" s="627" t="n">
        <x:f t="shared" si="4">M27-F27</x:f>
        <x:v>-3</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17.14</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17.14</x:v>
      </x:c>
      <x:c r="F5" s="68" t="n">
        <x:f t="shared" ref="F5:F35" si="0">IF(E5="","",E5-D5)</x:f>
        <x:v>9.14</x:v>
      </x:c>
      <x:c r="G5" s="68" t="n">
        <x:f t="shared" ref="G5:G36" si="2">SUM($D$5:D5)</x:f>
        <x:v>8</x:v>
      </x:c>
      <x:c r="H5" s="68" t="n">
        <x:f t="shared" ref="H5:H36" si="3">SUM($E$5:E5)</x:f>
        <x:v>17.14</x:v>
      </x:c>
      <x:c r="I5" s="68" t="n">
        <x:f t="shared" ref="I5:I35" si="1">MAX($G$13-H5,0)</x:f>
        <x:v>58.86</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17.14</x:v>
      </x:c>
      <x:c r="I6" s="68" t="n">
        <x:f t="shared" si="1">MAX($G$13-H6,0)</x:f>
        <x:v>58.86</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17.14</x:v>
      </x:c>
      <x:c r="I7" s="68" t="n">
        <x:f t="shared" si="1">MAX($G$13-H7,0)</x:f>
        <x:v>58.86</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17.14</x:v>
      </x:c>
      <x:c r="I8" s="68" t="n">
        <x:f t="shared" si="1">MAX($G$13-H8,0)</x:f>
        <x:v>58.86</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17.14</x:v>
      </x:c>
      <x:c r="I9" s="68" t="n">
        <x:f t="shared" si="1">MAX($G$13-H9,0)</x:f>
        <x:v>58.86</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17.14</x:v>
      </x:c>
      <x:c r="I10" s="68" t="n">
        <x:f t="shared" si="1">MAX($G$13-H10,0)</x:f>
        <x:v>58.86</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17.14</x:v>
      </x:c>
      <x:c r="I11" s="68" t="n">
        <x:f t="shared" si="1">MAX($G$13-H11,0)</x:f>
        <x:v>58.86</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17.14</x:v>
      </x:c>
      <x:c r="I12" s="140" t="n">
        <x:f t="shared" si="1">MAX($G$13-H12,0)</x:f>
        <x:v>58.86</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81c53fed418b467c"/>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0.42</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17.14</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2436233b347742a9"/>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40.5" customHeight="1">
      <x:c r="A27" s="778" t="str">
        <x:v>AI Management Gate / Hold Point</x:v>
      </x:c>
      <x:c r="B27" s="778"/>
      <x:c r="C27" s="778"/>
      <x:c r="D27" s="778"/>
      <x:c r="E27" s="778"/>
      <x:c r="F27" s="778"/>
      <x:c r="G27" s="778"/>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80" customHeight="1">
      <x:c r="A28" s="771" t="str">
        <x:v>AIMS Gate</x:v>
      </x:c>
      <x:c r="B28" s="485" t="str">
        <x:v>Continuous</x:v>
      </x:c>
      <x:c r="C28" s="774" t="n">
        <x:v>46226</x:v>
      </x:c>
      <x:c r="D28" s="485" t="str">
        <x:v>Active / Release Held</x:v>
      </x:c>
      <x:c r="E28" s="485" t="str">
        <x:v>The binding AI management policy and machine-readable control plane remain valid. Release-ready mode must pass before any release claim.</x:v>
      </x:c>
      <x:c r="F28" s="485" t="str">
        <x:v>PR #67 main 540a1f6; D-115; PR #69 main 04d919f; D-117 result; AIMS-AUD-002; NC-002; EV-185-EV-190; governance 22/22; full 340/1 at 88.33%; validation 5/5; Ruff; sentinel; development benchmark 22/22; baseline 9/9; demo 2/2</x:v>
      </x:c>
      <x:c r="G28" s="485" t="str">
        <x:v>G0.1 remains active. Preserve AIR-003, AIR-011, NC-002, and pending D-118; strict release-ready mode must continue to fail.</x:v>
      </x:c>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4" customHeight="1">
      <x:c r="A30" s="597" t="str">
        <x:v>P4.2 Recovery Gate / Hold Point</x:v>
      </x:c>
      <x:c r="B30" s="597"/>
      <x:c r="C30" s="597"/>
      <x:c r="D30" s="597"/>
      <x:c r="E30" s="597"/>
      <x:c r="F30" s="597"/>
      <x:c r="G30" s="597"/>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45" customHeight="1">
      <x:c r="A31" s="438" t="str">
        <x:v>P4.2 Result / Corrective Action Gate</x:v>
      </x:c>
      <x:c r="B31" s="438" t="str">
        <x:v>Owner review</x:v>
      </x:c>
      <x:c r="C31" s="779" t="n">
        <x:v>46226</x:v>
      </x:c>
      <x:c r="D31" s="438" t="str">
        <x:v>D-117 Complete / D-118 Proposed / Release Held</x:v>
      </x:c>
      <x:c r="E31" s="438" t="str">
        <x:v>The exact one-shot sequence and separate comparison are complete. A shared benchmark-authoring authority defect blocked all intended downstream targets; the consumed family is invalid for intended performance claims.</x:v>
      </x:c>
      <x:c r="F31" s="438" t="str">
        <x:v>D-117; EV-185-EV-190; NC-002; AIR-003; AIR-011; I-011; IMP-036-IMP-039; raw 73 files f9bc8135...cb5c; verifier 14/14; exact findings 0/8; target checks 0/7; proposed D-118</x:v>
      </x:c>
      <x:c r="G31" s="438" t="str">
        <x:v>Review and accept or revise D-118. Preserve all evidence. Do not repair, rerun, reuse, create a new external family, execute another benchmark, tune the evaluator, begin P4.3, or make release/performance claims.</x:v>
      </x:c>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9:G30"/>
    <x:mergeCell ref="A27:G27"/>
    <x:mergeCell ref="A30: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194</x:v>
      </x:c>
      <x:c r="B3" s="494" t="s">
        <x:v>195</x:v>
      </x:c>
      <x:c r="C3" s="494" t="s">
        <x:v>196</x:v>
      </x:c>
      <x:c r="D3" s="494" t="s">
        <x:v>197</x:v>
      </x:c>
      <x:c r="E3" s="494" t="s">
        <x:v>198</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199</x:v>
      </x:c>
      <x:c r="B4" s="438" t="s">
        <x:v>200</x:v>
      </x:c>
      <x:c r="C4" s="438" t="s">
        <x:v>201</x:v>
      </x:c>
      <x:c r="D4" s="438" t="s">
        <x:v>202</x:v>
      </x:c>
      <x:c r="E4" s="448" t="s">
        <x:v>203</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204</x:v>
      </x:c>
      <x:c r="B5" s="438" t="s">
        <x:v>205</x:v>
      </x:c>
      <x:c r="C5" s="438" t="s">
        <x:v>201</x:v>
      </x:c>
      <x:c r="D5" s="438" t="str">
        <x:v>gantt_v0.3_package_assurance_pilot.xlsx</x:v>
      </x:c>
      <x:c r="E5" s="448" t="s">
        <x:v>206</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207</x:v>
      </x:c>
      <x:c r="B6" s="438" t="s">
        <x:v>208</x:v>
      </x:c>
      <x:c r="C6" s="438" t="s">
        <x:v>209</x:v>
      </x:c>
      <x:c r="D6" s="438" t="s">
        <x:v>210</x:v>
      </x:c>
      <x:c r="E6" s="448" t="s">
        <x:v>211</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212</x:v>
      </x:c>
      <x:c r="B7" s="438" t="s">
        <x:v>213</x:v>
      </x:c>
      <x:c r="C7" s="438" t="s">
        <x:v>214</x:v>
      </x:c>
      <x:c r="D7" s="438" t="s">
        <x:v>215</x:v>
      </x:c>
      <x:c r="E7" s="448" t="s">
        <x:v>216</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217</x:v>
      </x:c>
      <x:c r="B8" s="438" t="s">
        <x:v>218</x:v>
      </x:c>
      <x:c r="C8" s="438" t="s">
        <x:v>214</x:v>
      </x:c>
      <x:c r="D8" s="438" t="s">
        <x:v>215</x:v>
      </x:c>
      <x:c r="E8" s="448" t="s">
        <x:v>219</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220</x:v>
      </x:c>
      <x:c r="B9" s="438" t="s">
        <x:v>221</x:v>
      </x:c>
      <x:c r="C9" s="438" t="s">
        <x:v>222</x:v>
      </x:c>
      <x:c r="D9" s="438" t="s">
        <x:v>223</x:v>
      </x:c>
      <x:c r="E9" s="448" t="s">
        <x:v>224</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225</x:v>
      </x:c>
      <x:c r="B10" s="448" t="s">
        <x:v>226</x:v>
      </x:c>
      <x:c r="C10" s="448" t="s">
        <x:v>222</x:v>
      </x:c>
      <x:c r="D10" s="448" t="s">
        <x:v>227</x:v>
      </x:c>
      <x:c r="E10" s="448" t="s">
        <x:v>228</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229</x:v>
      </x:c>
      <x:c r="B11" s="448" t="s">
        <x:v>230</x:v>
      </x:c>
      <x:c r="C11" s="448" t="s">
        <x:v>222</x:v>
      </x:c>
      <x:c r="D11" s="448" t="s">
        <x:v>231</x:v>
      </x:c>
      <x:c r="E11" s="448" t="s">
        <x:v>228</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232</x:v>
      </x:c>
      <x:c r="B12" s="448" t="s">
        <x:v>233</x:v>
      </x:c>
      <x:c r="C12" s="448" t="s">
        <x:v>214</x:v>
      </x:c>
      <x:c r="D12" s="448" t="s">
        <x:v>215</x:v>
      </x:c>
      <x:c r="E12" s="448" t="s">
        <x:v>234</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26" customHeight="1">
      <x:c r="A17" s="438" t="str">
        <x:v>ISO/IEC 42001:2023 official public record</x:v>
      </x:c>
      <x:c r="B17" s="438" t="str">
        <x:v>Defines the public purpose and management-system basis for establishing, implementing, maintaining, and continually improving responsible AI governance.</x:v>
      </x:c>
      <x:c r="C17" s="438" t="str">
        <x:v>Official ISO source</x:v>
      </x:c>
      <x:c r="D17" s="438" t="str">
        <x:v>https://www.iso.org/standard/42001</x:v>
      </x:c>
      <x:c r="E17" s="438" t="str">
        <x:v>High-level alignment only. A licensed copy and independent assessment are required for formal conformity.</x:v>
      </x:c>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26" customHeight="1">
      <x:c r="A18" s="438" t="str">
        <x:v>ISO/IEC 23894:2023 official public record</x:v>
      </x:c>
      <x:c r="B18" s="438" t="str">
        <x:v>Confirms the role of AI-specific risk management across organizations that develop, provide, deploy, or use AI systems.</x:v>
      </x:c>
      <x:c r="C18" s="438" t="str">
        <x:v>Official ISO source</x:v>
      </x:c>
      <x:c r="D18" s="438" t="str">
        <x:v>https://www.iso.org/standard/77304.html</x:v>
      </x:c>
      <x:c r="E18" s="438" t="str">
        <x:v>Risk-reference summary only; do not reproduce the standard.</x:v>
      </x:c>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26" customHeight="1">
      <x:c r="A19" s="438" t="str">
        <x:v>NIST AI Risk Management Framework 1.0</x:v>
      </x:c>
      <x:c r="B19" s="438" t="str">
        <x:v>Provides voluntary operational practices for governing, mapping, measuring, and managing AI risk.</x:v>
      </x:c>
      <x:c r="C19" s="438" t="str">
        <x:v>Official NIST source</x:v>
      </x:c>
      <x:c r="D19" s="438" t="str">
        <x:v>https://www.nist.gov/itl/ai-risk-management-framework</x:v>
      </x:c>
      <x:c r="E19" s="438" t="str">
        <x:v>Operational supplement, not certification. NIST says 1.0 is being updated; a published revision triggers governance review.</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26" customHeight="1">
      <x:c r="A20" s="438" t="str">
        <x:v>NIST AI RMF Generative AI Profile</x:v>
      </x:c>
      <x:c r="B20" s="438" t="str">
        <x:v>Adds public generative-AI risk guidance for project-assistant use and future model capabilities.</x:v>
      </x:c>
      <x:c r="C20" s="438" t="str">
        <x:v>Official NIST source</x:v>
      </x:c>
      <x:c r="D20" s="438" t="str">
        <x:v>https://doi.org/10.6028/NIST.AI.600-1</x:v>
      </x:c>
      <x:c r="E20" s="438" t="str">
        <x:v>Used for project-specific risk treatment and monitoring controls.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235</x:v>
      </x:c>
      <x:c r="B1" s="232"/>
      <x:c r="C1" s="232"/>
      <x:c r="D1" s="232"/>
      <x:c r="E1" s="232"/>
      <x:c r="F1" s="232"/>
      <x:c r="G1" s="232"/>
      <x:c r="H1" s="232"/>
      <x:c r="I1" s="232"/>
      <x:c r="J1" s="232"/>
      <x:c r="K1" s="232"/>
      <x:c r="L1" s="232"/>
      <x:c r="M1" s="232"/>
      <x:c r="N1" s="232"/>
      <x:c r="O1" s="232"/>
      <x:c r="P1" s="232"/>
      <x:c r="Q1" s="232"/>
      <x:c r="R1" s="232"/>
      <x:c r="S1" s="232"/>
      <x:c r="T1" s="232"/>
    </x:row>
    <x:row r="2">
      <x:c r="A2" s="233" t="s">
        <x:v>236</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237</x:v>
      </x:c>
      <x:c r="L4" t="s">
        <x:v>238</x:v>
      </x:c>
    </x:row>
    <x:row r="6">
      <x:c r="A6" t="s">
        <x:v>239</x:v>
      </x:c>
      <x:c r="C6" t="s">
        <x:v>240</x:v>
      </x:c>
    </x:row>
    <x:row r="8">
      <x:c r="A8" t="s">
        <x:v>48</x:v>
      </x:c>
      <x:c r="B8" t="s">
        <x:v>1</x:v>
      </x:c>
      <x:c r="C8" t="s">
        <x:v>49</x:v>
      </x:c>
      <x:c r="D8" t="s">
        <x:v>50</x:v>
      </x:c>
      <x:c r="E8" t="s">
        <x:v>51</x:v>
      </x:c>
      <x:c r="F8" t="s">
        <x:v>2</x:v>
      </x:c>
      <x:c r="G8" t="s">
        <x:v>52</x:v>
      </x:c>
      <x:c r="H8" t="s">
        <x:v>53</x:v>
      </x:c>
      <x:c r="I8" t="s">
        <x:v>241</x:v>
      </x:c>
      <x:c r="J8" t="s">
        <x:v>54</x:v>
      </x:c>
      <x:c r="K8" t="s">
        <x:v>55</x:v>
      </x:c>
      <x:c r="L8" t="s">
        <x:v>56</x:v>
      </x:c>
      <x:c r="M8" t="s">
        <x:v>4</x:v>
      </x:c>
      <x:c r="N8" t="s">
        <x:v>3</x:v>
      </x:c>
      <x:c r="O8" t="s">
        <x:v>58</x:v>
      </x:c>
      <x:c r="P8" t="s">
        <x:v>57</x:v>
      </x:c>
      <x:c r="Q8" t="s">
        <x:v>61</x:v>
      </x:c>
    </x:row>
    <x:row r="9">
      <x:c r="A9" t="s">
        <x:v>62</x:v>
      </x:c>
      <x:c r="B9" t="s">
        <x:v>242</x:v>
      </x:c>
      <x:c r="C9" t="s">
        <x:v>243</x:v>
      </x:c>
      <x:c r="D9" t="s">
        <x:v>244</x:v>
      </x:c>
      <x:c r="E9" t="s">
        <x:v>65</x:v>
      </x:c>
      <x:c r="F9">
        <x:v>4</x:v>
      </x:c>
      <x:c r="G9">
        <x:v>1</x:v>
      </x:c>
      <x:c r="H9">
        <x:v>1</x:v>
      </x:c>
      <x:c r="I9">
        <x:v>1</x:v>
      </x:c>
      <x:c r="J9">
        <x:v>46202</x:v>
      </x:c>
      <x:c r="K9">
        <x:v>46208</x:v>
      </x:c>
      <x:c r="L9" t="s">
        <x:v>245</x:v>
      </x:c>
      <x:c r="M9">
        <x:v>1</x:v>
      </x:c>
      <x:c r="N9">
        <x:v>1.5</x:v>
      </x:c>
      <x:c r="O9">
        <x:v>-2.5</x:v>
      </x:c>
      <x:c r="P9">
        <x:v>0</x:v>
      </x:c>
      <x:c r="Q9" t="s">
        <x:v>246</x:v>
      </x:c>
    </x:row>
    <x:row r="10">
      <x:c r="A10" t="s">
        <x:v>68</x:v>
      </x:c>
      <x:c r="B10" t="s">
        <x:v>242</x:v>
      </x:c>
      <x:c r="C10" t="s">
        <x:v>247</x:v>
      </x:c>
      <x:c r="D10" t="s">
        <x:v>248</x:v>
      </x:c>
      <x:c r="E10" t="s">
        <x:v>62</x:v>
      </x:c>
      <x:c r="F10">
        <x:v>4</x:v>
      </x:c>
      <x:c r="G10">
        <x:v>1</x:v>
      </x:c>
      <x:c r="H10">
        <x:v>1</x:v>
      </x:c>
      <x:c r="I10">
        <x:v>1</x:v>
      </x:c>
      <x:c r="J10">
        <x:v>46202</x:v>
      </x:c>
      <x:c r="K10">
        <x:v>46208</x:v>
      </x:c>
      <x:c r="L10" t="s">
        <x:v>245</x:v>
      </x:c>
      <x:c r="M10">
        <x:v>1</x:v>
      </x:c>
      <x:c r="P10">
        <x:v>0</x:v>
      </x:c>
      <x:c r="Q10" t="s">
        <x:v>249</x:v>
      </x:c>
    </x:row>
    <x:row r="11">
      <x:c r="A11" t="s">
        <x:v>73</x:v>
      </x:c>
      <x:c r="B11" t="s">
        <x:v>242</x:v>
      </x:c>
      <x:c r="C11" t="s">
        <x:v>250</x:v>
      </x:c>
      <x:c r="D11" t="s">
        <x:v>251</x:v>
      </x:c>
      <x:c r="E11" t="s">
        <x:v>62</x:v>
      </x:c>
      <x:c r="F11">
        <x:v>4</x:v>
      </x:c>
      <x:c r="G11">
        <x:v>1</x:v>
      </x:c>
      <x:c r="H11">
        <x:v>2</x:v>
      </x:c>
      <x:c r="I11">
        <x:v>2</x:v>
      </x:c>
      <x:c r="J11">
        <x:v>46202</x:v>
      </x:c>
      <x:c r="K11">
        <x:v>46215</x:v>
      </x:c>
      <x:c r="L11" t="s">
        <x:v>252</x:v>
      </x:c>
      <x:c r="M11">
        <x:v>0.5</x:v>
      </x:c>
      <x:c r="P11">
        <x:v>2</x:v>
      </x:c>
      <x:c r="Q11" t="s">
        <x:v>253</x:v>
      </x:c>
    </x:row>
    <x:row r="12">
      <x:c r="A12" t="s">
        <x:v>254</x:v>
      </x:c>
      <x:c r="B12" t="s">
        <x:v>242</x:v>
      </x:c>
      <x:c r="C12" t="s">
        <x:v>255</x:v>
      </x:c>
      <x:c r="D12" t="s">
        <x:v>256</x:v>
      </x:c>
      <x:c r="E12" t="s">
        <x:v>68</x:v>
      </x:c>
      <x:c r="F12">
        <x:v>4</x:v>
      </x:c>
      <x:c r="G12">
        <x:v>2</x:v>
      </x:c>
      <x:c r="H12">
        <x:v>2</x:v>
      </x:c>
      <x:c r="I12">
        <x:v>1</x:v>
      </x:c>
      <x:c r="J12">
        <x:v>46209</x:v>
      </x:c>
      <x:c r="K12">
        <x:v>46215</x:v>
      </x:c>
      <x:c r="L12" t="s">
        <x:v>142</x:v>
      </x:c>
      <x:c r="M12">
        <x:v>0</x:v>
      </x:c>
      <x:c r="P12">
        <x:v>4</x:v>
      </x:c>
    </x:row>
    <x:row r="13">
      <x:c r="A13" t="s">
        <x:v>257</x:v>
      </x:c>
      <x:c r="B13" t="s">
        <x:v>242</x:v>
      </x:c>
      <x:c r="C13" t="s">
        <x:v>258</x:v>
      </x:c>
      <x:c r="D13" t="s">
        <x:v>259</x:v>
      </x:c>
      <x:c r="E13" t="s">
        <x:v>254</x:v>
      </x:c>
      <x:c r="F13">
        <x:v>12</x:v>
      </x:c>
      <x:c r="G13">
        <x:v>1</x:v>
      </x:c>
      <x:c r="H13">
        <x:v>52</x:v>
      </x:c>
      <x:c r="I13">
        <x:v>52</x:v>
      </x:c>
      <x:c r="J13">
        <x:v>46202</x:v>
      </x:c>
      <x:c r="K13">
        <x:v>46565</x:v>
      </x:c>
      <x:c r="L13" t="s">
        <x:v>252</x:v>
      </x:c>
      <x:c r="M13">
        <x:v>0.02</x:v>
      </x:c>
      <x:c r="P13">
        <x:v>11.76</x:v>
      </x:c>
      <x:c r="Q13" t="s">
        <x:v>260</x:v>
      </x:c>
    </x:row>
    <x:row r="14">
      <x:c r="A14" t="s">
        <x:v>261</x:v>
      </x:c>
      <x:c r="B14" t="s">
        <x:v>242</x:v>
      </x:c>
      <x:c r="C14" t="s">
        <x:v>262</x:v>
      </x:c>
      <x:c r="D14" t="s">
        <x:v>263</x:v>
      </x:c>
      <x:c r="E14" t="s">
        <x:v>254</x:v>
      </x:c>
      <x:c r="F14">
        <x:v>6</x:v>
      </x:c>
      <x:c r="G14">
        <x:v>4</x:v>
      </x:c>
      <x:c r="H14">
        <x:v>52</x:v>
      </x:c>
      <x:c r="I14">
        <x:v>49</x:v>
      </x:c>
      <x:c r="J14">
        <x:v>46223</x:v>
      </x:c>
      <x:c r="K14">
        <x:v>46565</x:v>
      </x:c>
      <x:c r="L14" t="s">
        <x:v>142</x:v>
      </x:c>
      <x:c r="M14">
        <x:v>0</x:v>
      </x:c>
      <x:c r="P14">
        <x:v>6</x:v>
      </x:c>
    </x:row>
    <x:row r="15">
      <x:c r="A15" t="s">
        <x:v>264</x:v>
      </x:c>
      <x:c r="B15" t="s">
        <x:v>242</x:v>
      </x:c>
      <x:c r="C15" t="s">
        <x:v>265</x:v>
      </x:c>
      <x:c r="D15" t="s">
        <x:v>266</x:v>
      </x:c>
      <x:c r="E15" t="s">
        <x:v>254</x:v>
      </x:c>
      <x:c r="F15">
        <x:v>6</x:v>
      </x:c>
      <x:c r="G15">
        <x:v>9</x:v>
      </x:c>
      <x:c r="H15">
        <x:v>52</x:v>
      </x:c>
      <x:c r="I15">
        <x:v>44</x:v>
      </x:c>
      <x:c r="J15">
        <x:v>46258</x:v>
      </x:c>
      <x:c r="K15">
        <x:v>46565</x:v>
      </x:c>
      <x:c r="L15" t="s">
        <x:v>142</x:v>
      </x:c>
      <x:c r="M15">
        <x:v>0</x:v>
      </x:c>
      <x:c r="P15">
        <x:v>6</x:v>
      </x:c>
    </x:row>
    <x:row r="16">
      <x:c r="A16" t="s">
        <x:v>78</x:v>
      </x:c>
      <x:c r="B16" t="s">
        <x:v>267</x:v>
      </x:c>
      <x:c r="C16" t="s">
        <x:v>268</x:v>
      </x:c>
      <x:c r="D16" t="s">
        <x:v>269</x:v>
      </x:c>
      <x:c r="E16" t="s">
        <x:v>73</x:v>
      </x:c>
      <x:c r="F16">
        <x:v>8</x:v>
      </x:c>
      <x:c r="G16">
        <x:v>3</x:v>
      </x:c>
      <x:c r="H16">
        <x:v>3</x:v>
      </x:c>
      <x:c r="I16">
        <x:v>1</x:v>
      </x:c>
      <x:c r="J16">
        <x:v>46216</x:v>
      </x:c>
      <x:c r="K16">
        <x:v>46222</x:v>
      </x:c>
      <x:c r="L16" t="s">
        <x:v>142</x:v>
      </x:c>
      <x:c r="M16">
        <x:v>0</x:v>
      </x:c>
      <x:c r="P16">
        <x:v>8</x:v>
      </x:c>
    </x:row>
    <x:row r="17">
      <x:c r="A17" t="s">
        <x:v>81</x:v>
      </x:c>
      <x:c r="B17" t="s">
        <x:v>267</x:v>
      </x:c>
      <x:c r="C17" t="s">
        <x:v>270</x:v>
      </x:c>
      <x:c r="D17" t="s">
        <x:v>271</x:v>
      </x:c>
      <x:c r="E17" t="s">
        <x:v>78</x:v>
      </x:c>
      <x:c r="F17">
        <x:v>6</x:v>
      </x:c>
      <x:c r="G17">
        <x:v>3</x:v>
      </x:c>
      <x:c r="H17">
        <x:v>4</x:v>
      </x:c>
      <x:c r="I17">
        <x:v>2</x:v>
      </x:c>
      <x:c r="J17">
        <x:v>46216</x:v>
      </x:c>
      <x:c r="K17">
        <x:v>46229</x:v>
      </x:c>
      <x:c r="L17" t="s">
        <x:v>142</x:v>
      </x:c>
      <x:c r="M17">
        <x:v>0</x:v>
      </x:c>
      <x:c r="P17">
        <x:v>6</x:v>
      </x:c>
    </x:row>
    <x:row r="18">
      <x:c r="A18" t="s">
        <x:v>84</x:v>
      </x:c>
      <x:c r="B18" t="s">
        <x:v>267</x:v>
      </x:c>
      <x:c r="C18" t="s">
        <x:v>272</x:v>
      </x:c>
      <x:c r="D18" t="s">
        <x:v>273</x:v>
      </x:c>
      <x:c r="E18" t="s">
        <x:v>81</x:v>
      </x:c>
      <x:c r="F18">
        <x:v>14</x:v>
      </x:c>
      <x:c r="G18">
        <x:v>4</x:v>
      </x:c>
      <x:c r="H18">
        <x:v>5</x:v>
      </x:c>
      <x:c r="I18">
        <x:v>2</x:v>
      </x:c>
      <x:c r="J18">
        <x:v>46223</x:v>
      </x:c>
      <x:c r="K18">
        <x:v>46236</x:v>
      </x:c>
      <x:c r="L18" t="s">
        <x:v>142</x:v>
      </x:c>
      <x:c r="M18">
        <x:v>0</x:v>
      </x:c>
      <x:c r="P18">
        <x:v>14</x:v>
      </x:c>
    </x:row>
    <x:row r="19">
      <x:c r="A19" t="s">
        <x:v>87</x:v>
      </x:c>
      <x:c r="B19" t="s">
        <x:v>267</x:v>
      </x:c>
      <x:c r="C19" t="s">
        <x:v>274</x:v>
      </x:c>
      <x:c r="D19" t="s">
        <x:v>275</x:v>
      </x:c>
      <x:c r="E19" t="s">
        <x:v>84</x:v>
      </x:c>
      <x:c r="F19">
        <x:v>18</x:v>
      </x:c>
      <x:c r="G19">
        <x:v>5</x:v>
      </x:c>
      <x:c r="H19">
        <x:v>7</x:v>
      </x:c>
      <x:c r="I19">
        <x:v>3</x:v>
      </x:c>
      <x:c r="J19">
        <x:v>46230</x:v>
      </x:c>
      <x:c r="K19">
        <x:v>46250</x:v>
      </x:c>
      <x:c r="L19" t="s">
        <x:v>142</x:v>
      </x:c>
      <x:c r="M19">
        <x:v>0</x:v>
      </x:c>
      <x:c r="P19">
        <x:v>18</x:v>
      </x:c>
    </x:row>
    <x:row r="20">
      <x:c r="A20" t="s">
        <x:v>90</x:v>
      </x:c>
      <x:c r="B20" t="s">
        <x:v>267</x:v>
      </x:c>
      <x:c r="C20" t="s">
        <x:v>276</x:v>
      </x:c>
      <x:c r="D20" t="s">
        <x:v>277</x:v>
      </x:c>
      <x:c r="E20" t="s">
        <x:v>87</x:v>
      </x:c>
      <x:c r="F20">
        <x:v>6</x:v>
      </x:c>
      <x:c r="G20">
        <x:v>7</x:v>
      </x:c>
      <x:c r="H20">
        <x:v>8</x:v>
      </x:c>
      <x:c r="I20">
        <x:v>2</x:v>
      </x:c>
      <x:c r="J20">
        <x:v>46244</x:v>
      </x:c>
      <x:c r="K20">
        <x:v>46257</x:v>
      </x:c>
      <x:c r="L20" t="s">
        <x:v>142</x:v>
      </x:c>
      <x:c r="M20">
        <x:v>0</x:v>
      </x:c>
      <x:c r="P20">
        <x:v>6</x:v>
      </x:c>
    </x:row>
    <x:row r="21">
      <x:c r="A21" t="s">
        <x:v>278</x:v>
      </x:c>
      <x:c r="B21" t="s">
        <x:v>267</x:v>
      </x:c>
      <x:c r="C21" t="s">
        <x:v>279</x:v>
      </x:c>
      <x:c r="D21" t="s">
        <x:v>280</x:v>
      </x:c>
      <x:c r="E21" t="s">
        <x:v>90</x:v>
      </x:c>
      <x:c r="F21">
        <x:v>6</x:v>
      </x:c>
      <x:c r="G21">
        <x:v>8</x:v>
      </x:c>
      <x:c r="H21">
        <x:v>8</x:v>
      </x:c>
      <x:c r="I21">
        <x:v>1</x:v>
      </x:c>
      <x:c r="J21">
        <x:v>46251</x:v>
      </x:c>
      <x:c r="K21">
        <x:v>46257</x:v>
      </x:c>
      <x:c r="L21" t="s">
        <x:v>142</x:v>
      </x:c>
      <x:c r="M21">
        <x:v>0</x:v>
      </x:c>
      <x:c r="P21">
        <x:v>6</x:v>
      </x:c>
    </x:row>
    <x:row r="22">
      <x:c r="A22" t="s">
        <x:v>281</x:v>
      </x:c>
      <x:c r="B22" t="s">
        <x:v>267</x:v>
      </x:c>
      <x:c r="C22" t="s">
        <x:v>282</x:v>
      </x:c>
      <x:c r="D22" t="s">
        <x:v>283</x:v>
      </x:c>
      <x:c r="E22" t="s">
        <x:v>278</x:v>
      </x:c>
      <x:c r="F22">
        <x:v>6</x:v>
      </x:c>
      <x:c r="G22">
        <x:v>9</x:v>
      </x:c>
      <x:c r="H22">
        <x:v>9</x:v>
      </x:c>
      <x:c r="I22">
        <x:v>1</x:v>
      </x:c>
      <x:c r="J22">
        <x:v>46258</x:v>
      </x:c>
      <x:c r="K22">
        <x:v>46264</x:v>
      </x:c>
      <x:c r="L22" t="s">
        <x:v>142</x:v>
      </x:c>
      <x:c r="M22">
        <x:v>0</x:v>
      </x:c>
      <x:c r="P22">
        <x:v>6</x:v>
      </x:c>
    </x:row>
    <x:row r="23">
      <x:c r="A23" t="s">
        <x:v>94</x:v>
      </x:c>
      <x:c r="B23" t="s">
        <x:v>284</x:v>
      </x:c>
      <x:c r="C23" t="s">
        <x:v>285</x:v>
      </x:c>
      <x:c r="D23" t="s">
        <x:v>286</x:v>
      </x:c>
      <x:c r="E23" t="s">
        <x:v>281</x:v>
      </x:c>
      <x:c r="F23">
        <x:v>10</x:v>
      </x:c>
      <x:c r="G23">
        <x:v>10</x:v>
      </x:c>
      <x:c r="H23">
        <x:v>10</x:v>
      </x:c>
      <x:c r="I23">
        <x:v>1</x:v>
      </x:c>
      <x:c r="J23">
        <x:v>46265</x:v>
      </x:c>
      <x:c r="K23">
        <x:v>46271</x:v>
      </x:c>
      <x:c r="L23" t="s">
        <x:v>252</x:v>
      </x:c>
      <x:c r="M23">
        <x:v>0.2</x:v>
      </x:c>
      <x:c r="P23">
        <x:v>8</x:v>
      </x:c>
      <x:c r="Q23" t="s">
        <x:v>287</x:v>
      </x:c>
    </x:row>
    <x:row r="24">
      <x:c r="A24" t="s">
        <x:v>97</x:v>
      </x:c>
      <x:c r="B24" t="s">
        <x:v>284</x:v>
      </x:c>
      <x:c r="C24" t="s">
        <x:v>288</x:v>
      </x:c>
      <x:c r="D24" t="s">
        <x:v>289</x:v>
      </x:c>
      <x:c r="E24" t="s">
        <x:v>94</x:v>
      </x:c>
      <x:c r="F24">
        <x:v>12</x:v>
      </x:c>
      <x:c r="G24">
        <x:v>10</x:v>
      </x:c>
      <x:c r="H24">
        <x:v>11</x:v>
      </x:c>
      <x:c r="I24">
        <x:v>2</x:v>
      </x:c>
      <x:c r="J24">
        <x:v>46265</x:v>
      </x:c>
      <x:c r="K24">
        <x:v>46278</x:v>
      </x:c>
      <x:c r="L24" t="s">
        <x:v>252</x:v>
      </x:c>
      <x:c r="M24">
        <x:v>0.15</x:v>
      </x:c>
      <x:c r="N24">
        <x:v>0.62</x:v>
      </x:c>
      <x:c r="O24">
        <x:v>-11.38</x:v>
      </x:c>
      <x:c r="P24">
        <x:v>10.199999999999999</x:v>
      </x:c>
      <x:c r="Q24" t="s">
        <x:v>290</x:v>
      </x:c>
    </x:row>
    <x:row r="25">
      <x:c r="A25" t="s">
        <x:v>100</x:v>
      </x:c>
      <x:c r="B25" t="s">
        <x:v>284</x:v>
      </x:c>
      <x:c r="C25" t="s">
        <x:v>291</x:v>
      </x:c>
      <x:c r="D25" t="s">
        <x:v>292</x:v>
      </x:c>
      <x:c r="E25" t="s">
        <x:v>97</x:v>
      </x:c>
      <x:c r="F25">
        <x:v>14</x:v>
      </x:c>
      <x:c r="G25">
        <x:v>11</x:v>
      </x:c>
      <x:c r="H25">
        <x:v>12</x:v>
      </x:c>
      <x:c r="I25">
        <x:v>2</x:v>
      </x:c>
      <x:c r="J25">
        <x:v>46272</x:v>
      </x:c>
      <x:c r="K25">
        <x:v>46285</x:v>
      </x:c>
      <x:c r="L25" t="s">
        <x:v>245</x:v>
      </x:c>
      <x:c r="M25">
        <x:v>1</x:v>
      </x:c>
      <x:c r="P25">
        <x:v>0</x:v>
      </x:c>
      <x:c r="Q25" t="s">
        <x:v>293</x:v>
      </x:c>
    </x:row>
    <x:row r="26">
      <x:c r="A26" t="s">
        <x:v>103</x:v>
      </x:c>
      <x:c r="B26" t="s">
        <x:v>284</x:v>
      </x:c>
      <x:c r="C26" t="s">
        <x:v>294</x:v>
      </x:c>
      <x:c r="D26" t="s">
        <x:v>295</x:v>
      </x:c>
      <x:c r="E26" t="s">
        <x:v>100</x:v>
      </x:c>
      <x:c r="F26">
        <x:v>10</x:v>
      </x:c>
      <x:c r="G26">
        <x:v>12</x:v>
      </x:c>
      <x:c r="H26">
        <x:v>13</x:v>
      </x:c>
      <x:c r="I26">
        <x:v>2</x:v>
      </x:c>
      <x:c r="J26">
        <x:v>46279</x:v>
      </x:c>
      <x:c r="K26">
        <x:v>46292</x:v>
      </x:c>
      <x:c r="L26" t="s">
        <x:v>142</x:v>
      </x:c>
      <x:c r="M26">
        <x:v>0</x:v>
      </x:c>
      <x:c r="P26">
        <x:v>10</x:v>
      </x:c>
    </x:row>
    <x:row r="27">
      <x:c r="A27" t="s">
        <x:v>296</x:v>
      </x:c>
      <x:c r="B27" t="s">
        <x:v>284</x:v>
      </x:c>
      <x:c r="C27" t="s">
        <x:v>297</x:v>
      </x:c>
      <x:c r="D27" t="s">
        <x:v>298</x:v>
      </x:c>
      <x:c r="E27" t="s">
        <x:v>100</x:v>
      </x:c>
      <x:c r="F27">
        <x:v>10</x:v>
      </x:c>
      <x:c r="G27">
        <x:v>13</x:v>
      </x:c>
      <x:c r="H27">
        <x:v>14</x:v>
      </x:c>
      <x:c r="I27">
        <x:v>2</x:v>
      </x:c>
      <x:c r="J27">
        <x:v>46286</x:v>
      </x:c>
      <x:c r="K27">
        <x:v>46299</x:v>
      </x:c>
      <x:c r="L27" t="s">
        <x:v>142</x:v>
      </x:c>
      <x:c r="M27">
        <x:v>0</x:v>
      </x:c>
      <x:c r="P27">
        <x:v>10</x:v>
      </x:c>
    </x:row>
    <x:row r="28">
      <x:c r="A28" t="s">
        <x:v>299</x:v>
      </x:c>
      <x:c r="B28" t="s">
        <x:v>284</x:v>
      </x:c>
      <x:c r="C28" t="s">
        <x:v>300</x:v>
      </x:c>
      <x:c r="D28" t="s">
        <x:v>301</x:v>
      </x:c>
      <x:c r="E28" t="s">
        <x:v>103</x:v>
      </x:c>
      <x:c r="F28">
        <x:v>8</x:v>
      </x:c>
      <x:c r="G28">
        <x:v>14</x:v>
      </x:c>
      <x:c r="H28">
        <x:v>15</x:v>
      </x:c>
      <x:c r="I28">
        <x:v>2</x:v>
      </x:c>
      <x:c r="J28">
        <x:v>46293</x:v>
      </x:c>
      <x:c r="K28">
        <x:v>46306</x:v>
      </x:c>
      <x:c r="L28" t="s">
        <x:v>142</x:v>
      </x:c>
      <x:c r="M28">
        <x:v>0</x:v>
      </x:c>
      <x:c r="P28">
        <x:v>8</x:v>
      </x:c>
    </x:row>
    <x:row r="29">
      <x:c r="A29" t="s">
        <x:v>302</x:v>
      </x:c>
      <x:c r="B29" t="s">
        <x:v>284</x:v>
      </x:c>
      <x:c r="C29" t="s">
        <x:v>303</x:v>
      </x:c>
      <x:c r="D29" t="s">
        <x:v>304</x:v>
      </x:c>
      <x:c r="E29" t="s">
        <x:v>296</x:v>
      </x:c>
      <x:c r="F29">
        <x:v>4</x:v>
      </x:c>
      <x:c r="G29">
        <x:v>15</x:v>
      </x:c>
      <x:c r="H29">
        <x:v>15</x:v>
      </x:c>
      <x:c r="I29">
        <x:v>1</x:v>
      </x:c>
      <x:c r="J29">
        <x:v>46300</x:v>
      </x:c>
      <x:c r="K29">
        <x:v>46306</x:v>
      </x:c>
      <x:c r="L29" t="s">
        <x:v>142</x:v>
      </x:c>
      <x:c r="M29">
        <x:v>0</x:v>
      </x:c>
      <x:c r="P29">
        <x:v>4</x:v>
      </x:c>
    </x:row>
    <x:row r="30">
      <x:c r="A30" t="s">
        <x:v>305</x:v>
      </x:c>
      <x:c r="B30" t="s">
        <x:v>284</x:v>
      </x:c>
      <x:c r="C30" t="s">
        <x:v>306</x:v>
      </x:c>
      <x:c r="D30" t="s">
        <x:v>307</x:v>
      </x:c>
      <x:c r="E30" t="s">
        <x:v>299</x:v>
      </x:c>
      <x:c r="F30">
        <x:v>4</x:v>
      </x:c>
      <x:c r="G30">
        <x:v>16</x:v>
      </x:c>
      <x:c r="H30">
        <x:v>16</x:v>
      </x:c>
      <x:c r="I30">
        <x:v>1</x:v>
      </x:c>
      <x:c r="J30">
        <x:v>46307</x:v>
      </x:c>
      <x:c r="K30">
        <x:v>46313</x:v>
      </x:c>
      <x:c r="L30" t="s">
        <x:v>142</x:v>
      </x:c>
      <x:c r="M30">
        <x:v>0</x:v>
      </x:c>
      <x:c r="P30">
        <x:v>4</x:v>
      </x:c>
    </x:row>
    <x:row r="31">
      <x:c r="A31" t="s">
        <x:v>107</x:v>
      </x:c>
      <x:c r="B31" t="s">
        <x:v>308</x:v>
      </x:c>
      <x:c r="C31" t="s">
        <x:v>309</x:v>
      </x:c>
      <x:c r="D31" t="s">
        <x:v>310</x:v>
      </x:c>
      <x:c r="E31" t="s">
        <x:v>305</x:v>
      </x:c>
      <x:c r="F31">
        <x:v>18</x:v>
      </x:c>
      <x:c r="G31">
        <x:v>17</x:v>
      </x:c>
      <x:c r="H31">
        <x:v>18</x:v>
      </x:c>
      <x:c r="I31">
        <x:v>2</x:v>
      </x:c>
      <x:c r="J31">
        <x:v>46314</x:v>
      </x:c>
      <x:c r="K31">
        <x:v>46327</x:v>
      </x:c>
      <x:c r="L31" t="s">
        <x:v>142</x:v>
      </x:c>
      <x:c r="M31">
        <x:v>0</x:v>
      </x:c>
      <x:c r="P31">
        <x:v>18</x:v>
      </x:c>
    </x:row>
    <x:row r="32">
      <x:c r="A32" t="s">
        <x:v>110</x:v>
      </x:c>
      <x:c r="B32" t="s">
        <x:v>308</x:v>
      </x:c>
      <x:c r="C32" t="s">
        <x:v>311</x:v>
      </x:c>
      <x:c r="D32" t="s">
        <x:v>312</x:v>
      </x:c>
      <x:c r="E32" t="s">
        <x:v>107</x:v>
      </x:c>
      <x:c r="F32">
        <x:v>12</x:v>
      </x:c>
      <x:c r="G32">
        <x:v>18</x:v>
      </x:c>
      <x:c r="H32">
        <x:v>19</x:v>
      </x:c>
      <x:c r="I32">
        <x:v>2</x:v>
      </x:c>
      <x:c r="J32">
        <x:v>46321</x:v>
      </x:c>
      <x:c r="K32">
        <x:v>46334</x:v>
      </x:c>
      <x:c r="L32" t="s">
        <x:v>142</x:v>
      </x:c>
      <x:c r="M32">
        <x:v>0</x:v>
      </x:c>
      <x:c r="P32">
        <x:v>12</x:v>
      </x:c>
    </x:row>
    <x:row r="33">
      <x:c r="A33" t="s">
        <x:v>114</x:v>
      </x:c>
      <x:c r="B33" t="s">
        <x:v>308</x:v>
      </x:c>
      <x:c r="C33" t="s">
        <x:v>313</x:v>
      </x:c>
      <x:c r="D33" t="s">
        <x:v>314</x:v>
      </x:c>
      <x:c r="E33" t="s">
        <x:v>110</x:v>
      </x:c>
      <x:c r="F33">
        <x:v>12</x:v>
      </x:c>
      <x:c r="G33">
        <x:v>19</x:v>
      </x:c>
      <x:c r="H33">
        <x:v>20</x:v>
      </x:c>
      <x:c r="I33">
        <x:v>2</x:v>
      </x:c>
      <x:c r="J33">
        <x:v>46328</x:v>
      </x:c>
      <x:c r="K33">
        <x:v>46341</x:v>
      </x:c>
      <x:c r="L33" t="s">
        <x:v>142</x:v>
      </x:c>
      <x:c r="M33">
        <x:v>0</x:v>
      </x:c>
      <x:c r="P33">
        <x:v>12</x:v>
      </x:c>
    </x:row>
    <x:row r="34">
      <x:c r="A34" t="s">
        <x:v>117</x:v>
      </x:c>
      <x:c r="B34" t="s">
        <x:v>308</x:v>
      </x:c>
      <x:c r="C34" t="s">
        <x:v>315</x:v>
      </x:c>
      <x:c r="D34" t="s">
        <x:v>316</x:v>
      </x:c>
      <x:c r="E34" t="s">
        <x:v>114</x:v>
      </x:c>
      <x:c r="F34">
        <x:v>8</x:v>
      </x:c>
      <x:c r="G34">
        <x:v>20</x:v>
      </x:c>
      <x:c r="H34">
        <x:v>20</x:v>
      </x:c>
      <x:c r="I34">
        <x:v>1</x:v>
      </x:c>
      <x:c r="J34">
        <x:v>46335</x:v>
      </x:c>
      <x:c r="K34">
        <x:v>46341</x:v>
      </x:c>
      <x:c r="L34" t="s">
        <x:v>142</x:v>
      </x:c>
      <x:c r="M34">
        <x:v>0</x:v>
      </x:c>
      <x:c r="P34">
        <x:v>8</x:v>
      </x:c>
    </x:row>
    <x:row r="35">
      <x:c r="A35" t="s">
        <x:v>317</x:v>
      </x:c>
      <x:c r="B35" t="s">
        <x:v>308</x:v>
      </x:c>
      <x:c r="C35" t="s">
        <x:v>318</x:v>
      </x:c>
      <x:c r="D35" t="s">
        <x:v>319</x:v>
      </x:c>
      <x:c r="E35" t="s">
        <x:v>117</x:v>
      </x:c>
      <x:c r="F35">
        <x:v>10</x:v>
      </x:c>
      <x:c r="G35">
        <x:v>21</x:v>
      </x:c>
      <x:c r="H35">
        <x:v>21</x:v>
      </x:c>
      <x:c r="I35">
        <x:v>1</x:v>
      </x:c>
      <x:c r="J35">
        <x:v>46342</x:v>
      </x:c>
      <x:c r="K35">
        <x:v>46348</x:v>
      </x:c>
      <x:c r="L35" t="s">
        <x:v>142</x:v>
      </x:c>
      <x:c r="M35">
        <x:v>0</x:v>
      </x:c>
      <x:c r="P35">
        <x:v>10</x:v>
      </x:c>
    </x:row>
    <x:row r="36">
      <x:c r="A36" t="s">
        <x:v>320</x:v>
      </x:c>
      <x:c r="B36" t="s">
        <x:v>308</x:v>
      </x:c>
      <x:c r="C36" t="s">
        <x:v>321</x:v>
      </x:c>
      <x:c r="D36" t="s">
        <x:v>322</x:v>
      </x:c>
      <x:c r="E36" t="s">
        <x:v>317</x:v>
      </x:c>
      <x:c r="F36">
        <x:v>10</x:v>
      </x:c>
      <x:c r="G36">
        <x:v>21</x:v>
      </x:c>
      <x:c r="H36">
        <x:v>22</x:v>
      </x:c>
      <x:c r="I36">
        <x:v>2</x:v>
      </x:c>
      <x:c r="J36">
        <x:v>46342</x:v>
      </x:c>
      <x:c r="K36">
        <x:v>46355</x:v>
      </x:c>
      <x:c r="L36" t="s">
        <x:v>142</x:v>
      </x:c>
      <x:c r="M36">
        <x:v>0</x:v>
      </x:c>
      <x:c r="P36">
        <x:v>10</x:v>
      </x:c>
    </x:row>
    <x:row r="37">
      <x:c r="A37" t="s">
        <x:v>323</x:v>
      </x:c>
      <x:c r="B37" t="s">
        <x:v>308</x:v>
      </x:c>
      <x:c r="C37" t="s">
        <x:v>324</x:v>
      </x:c>
      <x:c r="D37" t="s">
        <x:v>325</x:v>
      </x:c>
      <x:c r="E37" t="s">
        <x:v>320</x:v>
      </x:c>
      <x:c r="F37">
        <x:v>10</x:v>
      </x:c>
      <x:c r="G37">
        <x:v>22</x:v>
      </x:c>
      <x:c r="H37">
        <x:v>23</x:v>
      </x:c>
      <x:c r="I37">
        <x:v>2</x:v>
      </x:c>
      <x:c r="J37">
        <x:v>46349</x:v>
      </x:c>
      <x:c r="K37">
        <x:v>46362</x:v>
      </x:c>
      <x:c r="L37" t="s">
        <x:v>142</x:v>
      </x:c>
      <x:c r="M37">
        <x:v>0</x:v>
      </x:c>
      <x:c r="P37">
        <x:v>10</x:v>
      </x:c>
    </x:row>
    <x:row r="38">
      <x:c r="A38" t="s">
        <x:v>326</x:v>
      </x:c>
      <x:c r="B38" t="s">
        <x:v>308</x:v>
      </x:c>
      <x:c r="C38" t="s">
        <x:v>327</x:v>
      </x:c>
      <x:c r="D38" t="s">
        <x:v>328</x:v>
      </x:c>
      <x:c r="E38" t="s">
        <x:v>323</x:v>
      </x:c>
      <x:c r="F38">
        <x:v>8</x:v>
      </x:c>
      <x:c r="G38">
        <x:v>24</x:v>
      </x:c>
      <x:c r="H38">
        <x:v>24</x:v>
      </x:c>
      <x:c r="I38">
        <x:v>1</x:v>
      </x:c>
      <x:c r="J38">
        <x:v>46363</x:v>
      </x:c>
      <x:c r="K38">
        <x:v>46369</x:v>
      </x:c>
      <x:c r="L38" t="s">
        <x:v>142</x:v>
      </x:c>
      <x:c r="M38">
        <x:v>0</x:v>
      </x:c>
      <x:c r="P38">
        <x:v>8</x:v>
      </x:c>
    </x:row>
    <x:row r="39">
      <x:c r="A39" t="s">
        <x:v>121</x:v>
      </x:c>
      <x:c r="B39" t="s">
        <x:v>329</x:v>
      </x:c>
      <x:c r="C39" t="s">
        <x:v>330</x:v>
      </x:c>
      <x:c r="D39" t="s">
        <x:v>331</x:v>
      </x:c>
      <x:c r="E39" t="s">
        <x:v>326</x:v>
      </x:c>
      <x:c r="F39">
        <x:v>8</x:v>
      </x:c>
      <x:c r="G39">
        <x:v>25</x:v>
      </x:c>
      <x:c r="H39">
        <x:v>25</x:v>
      </x:c>
      <x:c r="I39">
        <x:v>1</x:v>
      </x:c>
      <x:c r="J39">
        <x:v>46370</x:v>
      </x:c>
      <x:c r="K39">
        <x:v>46376</x:v>
      </x:c>
      <x:c r="L39" t="s">
        <x:v>142</x:v>
      </x:c>
      <x:c r="M39">
        <x:v>0</x:v>
      </x:c>
      <x:c r="P39">
        <x:v>8</x:v>
      </x:c>
    </x:row>
    <x:row r="40">
      <x:c r="A40" t="s">
        <x:v>124</x:v>
      </x:c>
      <x:c r="B40" t="s">
        <x:v>329</x:v>
      </x:c>
      <x:c r="C40" t="s">
        <x:v>332</x:v>
      </x:c>
      <x:c r="D40" t="s">
        <x:v>333</x:v>
      </x:c>
      <x:c r="E40" t="s">
        <x:v>121</x:v>
      </x:c>
      <x:c r="F40">
        <x:v>10</x:v>
      </x:c>
      <x:c r="G40">
        <x:v>25</x:v>
      </x:c>
      <x:c r="H40">
        <x:v>26</x:v>
      </x:c>
      <x:c r="I40">
        <x:v>2</x:v>
      </x:c>
      <x:c r="J40">
        <x:v>46370</x:v>
      </x:c>
      <x:c r="K40">
        <x:v>46383</x:v>
      </x:c>
      <x:c r="L40" t="s">
        <x:v>142</x:v>
      </x:c>
      <x:c r="M40">
        <x:v>0</x:v>
      </x:c>
      <x:c r="P40">
        <x:v>10</x:v>
      </x:c>
    </x:row>
    <x:row r="41">
      <x:c r="A41" t="s">
        <x:v>127</x:v>
      </x:c>
      <x:c r="B41" t="s">
        <x:v>329</x:v>
      </x:c>
      <x:c r="C41" t="s">
        <x:v>334</x:v>
      </x:c>
      <x:c r="D41" t="s">
        <x:v>335</x:v>
      </x:c>
      <x:c r="E41" t="s">
        <x:v>124</x:v>
      </x:c>
      <x:c r="F41">
        <x:v>18</x:v>
      </x:c>
      <x:c r="G41">
        <x:v>26</x:v>
      </x:c>
      <x:c r="H41">
        <x:v>28</x:v>
      </x:c>
      <x:c r="I41">
        <x:v>3</x:v>
      </x:c>
      <x:c r="J41">
        <x:v>46377</x:v>
      </x:c>
      <x:c r="K41">
        <x:v>46397</x:v>
      </x:c>
      <x:c r="L41" t="s">
        <x:v>142</x:v>
      </x:c>
      <x:c r="M41">
        <x:v>0</x:v>
      </x:c>
      <x:c r="P41">
        <x:v>18</x:v>
      </x:c>
    </x:row>
    <x:row r="42">
      <x:c r="A42" t="s">
        <x:v>336</x:v>
      </x:c>
      <x:c r="B42" t="s">
        <x:v>329</x:v>
      </x:c>
      <x:c r="C42" t="s">
        <x:v>337</x:v>
      </x:c>
      <x:c r="D42" t="s">
        <x:v>338</x:v>
      </x:c>
      <x:c r="E42" t="s">
        <x:v>127</x:v>
      </x:c>
      <x:c r="F42">
        <x:v>14</x:v>
      </x:c>
      <x:c r="G42">
        <x:v>28</x:v>
      </x:c>
      <x:c r="H42">
        <x:v>29</x:v>
      </x:c>
      <x:c r="I42">
        <x:v>2</x:v>
      </x:c>
      <x:c r="J42">
        <x:v>46391</x:v>
      </x:c>
      <x:c r="K42">
        <x:v>46404</x:v>
      </x:c>
      <x:c r="L42" t="s">
        <x:v>142</x:v>
      </x:c>
      <x:c r="M42">
        <x:v>0</x:v>
      </x:c>
      <x:c r="P42">
        <x:v>14</x:v>
      </x:c>
    </x:row>
    <x:row r="43">
      <x:c r="A43" t="s">
        <x:v>339</x:v>
      </x:c>
      <x:c r="B43" t="s">
        <x:v>329</x:v>
      </x:c>
      <x:c r="C43" t="s">
        <x:v>340</x:v>
      </x:c>
      <x:c r="D43" t="s">
        <x:v>341</x:v>
      </x:c>
      <x:c r="E43" t="s">
        <x:v>127</x:v>
      </x:c>
      <x:c r="F43">
        <x:v>14</x:v>
      </x:c>
      <x:c r="G43">
        <x:v>29</x:v>
      </x:c>
      <x:c r="H43">
        <x:v>30</x:v>
      </x:c>
      <x:c r="I43">
        <x:v>2</x:v>
      </x:c>
      <x:c r="J43">
        <x:v>46398</x:v>
      </x:c>
      <x:c r="K43">
        <x:v>46411</x:v>
      </x:c>
      <x:c r="L43" t="s">
        <x:v>142</x:v>
      </x:c>
      <x:c r="M43">
        <x:v>0</x:v>
      </x:c>
      <x:c r="P43">
        <x:v>14</x:v>
      </x:c>
    </x:row>
    <x:row r="44">
      <x:c r="A44" t="s">
        <x:v>342</x:v>
      </x:c>
      <x:c r="B44" t="s">
        <x:v>329</x:v>
      </x:c>
      <x:c r="C44" t="s">
        <x:v>343</x:v>
      </x:c>
      <x:c r="D44" t="s">
        <x:v>344</x:v>
      </x:c>
      <x:c r="E44" t="s">
        <x:v>336</x:v>
      </x:c>
      <x:c r="F44">
        <x:v>20</x:v>
      </x:c>
      <x:c r="G44">
        <x:v>30</x:v>
      </x:c>
      <x:c r="H44">
        <x:v>31</x:v>
      </x:c>
      <x:c r="I44">
        <x:v>2</x:v>
      </x:c>
      <x:c r="J44">
        <x:v>46405</x:v>
      </x:c>
      <x:c r="K44">
        <x:v>46418</x:v>
      </x:c>
      <x:c r="L44" t="s">
        <x:v>142</x:v>
      </x:c>
      <x:c r="M44">
        <x:v>0</x:v>
      </x:c>
      <x:c r="P44">
        <x:v>20</x:v>
      </x:c>
    </x:row>
    <x:row r="45">
      <x:c r="A45" t="s">
        <x:v>345</x:v>
      </x:c>
      <x:c r="B45" t="s">
        <x:v>329</x:v>
      </x:c>
      <x:c r="C45" t="s">
        <x:v>346</x:v>
      </x:c>
      <x:c r="D45" t="s">
        <x:v>347</x:v>
      </x:c>
      <x:c r="E45" t="s">
        <x:v>342</x:v>
      </x:c>
      <x:c r="F45">
        <x:v>12</x:v>
      </x:c>
      <x:c r="G45">
        <x:v>32</x:v>
      </x:c>
      <x:c r="H45">
        <x:v>32</x:v>
      </x:c>
      <x:c r="I45">
        <x:v>1</x:v>
      </x:c>
      <x:c r="J45">
        <x:v>46419</x:v>
      </x:c>
      <x:c r="K45">
        <x:v>46425</x:v>
      </x:c>
      <x:c r="L45" t="s">
        <x:v>142</x:v>
      </x:c>
      <x:c r="M45">
        <x:v>0</x:v>
      </x:c>
      <x:c r="P45">
        <x:v>12</x:v>
      </x:c>
    </x:row>
    <x:row r="46">
      <x:c r="A46" t="s">
        <x:v>131</x:v>
      </x:c>
      <x:c r="B46" t="s">
        <x:v>348</x:v>
      </x:c>
      <x:c r="C46" t="s">
        <x:v>349</x:v>
      </x:c>
      <x:c r="D46" t="s">
        <x:v>350</x:v>
      </x:c>
      <x:c r="E46" t="s">
        <x:v>345</x:v>
      </x:c>
      <x:c r="F46">
        <x:v>10</x:v>
      </x:c>
      <x:c r="G46">
        <x:v>33</x:v>
      </x:c>
      <x:c r="H46">
        <x:v>33</x:v>
      </x:c>
      <x:c r="I46">
        <x:v>1</x:v>
      </x:c>
      <x:c r="J46">
        <x:v>46426</x:v>
      </x:c>
      <x:c r="K46">
        <x:v>46432</x:v>
      </x:c>
      <x:c r="L46" t="s">
        <x:v>142</x:v>
      </x:c>
      <x:c r="M46">
        <x:v>0</x:v>
      </x:c>
      <x:c r="P46">
        <x:v>10</x:v>
      </x:c>
    </x:row>
    <x:row r="47">
      <x:c r="A47" t="s">
        <x:v>135</x:v>
      </x:c>
      <x:c r="B47" t="s">
        <x:v>348</x:v>
      </x:c>
      <x:c r="C47" t="s">
        <x:v>351</x:v>
      </x:c>
      <x:c r="D47" t="s">
        <x:v>352</x:v>
      </x:c>
      <x:c r="E47" t="s">
        <x:v>131</x:v>
      </x:c>
      <x:c r="F47">
        <x:v>16</x:v>
      </x:c>
      <x:c r="G47">
        <x:v>34</x:v>
      </x:c>
      <x:c r="H47">
        <x:v>35</x:v>
      </x:c>
      <x:c r="I47">
        <x:v>2</x:v>
      </x:c>
      <x:c r="J47">
        <x:v>46433</x:v>
      </x:c>
      <x:c r="K47">
        <x:v>46446</x:v>
      </x:c>
      <x:c r="L47" t="s">
        <x:v>142</x:v>
      </x:c>
      <x:c r="M47">
        <x:v>0</x:v>
      </x:c>
      <x:c r="P47">
        <x:v>16</x:v>
      </x:c>
    </x:row>
    <x:row r="48">
      <x:c r="A48" t="s">
        <x:v>138</x:v>
      </x:c>
      <x:c r="B48" t="s">
        <x:v>348</x:v>
      </x:c>
      <x:c r="C48" t="s">
        <x:v>353</x:v>
      </x:c>
      <x:c r="D48" t="s">
        <x:v>354</x:v>
      </x:c>
      <x:c r="E48" t="s">
        <x:v>135</x:v>
      </x:c>
      <x:c r="F48">
        <x:v>12</x:v>
      </x:c>
      <x:c r="G48">
        <x:v>35</x:v>
      </x:c>
      <x:c r="H48">
        <x:v>36</x:v>
      </x:c>
      <x:c r="I48">
        <x:v>2</x:v>
      </x:c>
      <x:c r="J48">
        <x:v>46440</x:v>
      </x:c>
      <x:c r="K48">
        <x:v>46453</x:v>
      </x:c>
      <x:c r="L48" t="s">
        <x:v>142</x:v>
      </x:c>
      <x:c r="M48">
        <x:v>0</x:v>
      </x:c>
      <x:c r="P48">
        <x:v>12</x:v>
      </x:c>
    </x:row>
    <x:row r="49">
      <x:c r="A49" t="s">
        <x:v>355</x:v>
      </x:c>
      <x:c r="B49" t="s">
        <x:v>348</x:v>
      </x:c>
      <x:c r="C49" t="s">
        <x:v>356</x:v>
      </x:c>
      <x:c r="D49" t="s">
        <x:v>357</x:v>
      </x:c>
      <x:c r="E49" t="s">
        <x:v>138</x:v>
      </x:c>
      <x:c r="F49">
        <x:v>10</x:v>
      </x:c>
      <x:c r="G49">
        <x:v>36</x:v>
      </x:c>
      <x:c r="H49">
        <x:v>36</x:v>
      </x:c>
      <x:c r="I49">
        <x:v>1</x:v>
      </x:c>
      <x:c r="J49">
        <x:v>46447</x:v>
      </x:c>
      <x:c r="K49">
        <x:v>46453</x:v>
      </x:c>
      <x:c r="L49" t="s">
        <x:v>142</x:v>
      </x:c>
      <x:c r="M49">
        <x:v>0</x:v>
      </x:c>
      <x:c r="P49">
        <x:v>10</x:v>
      </x:c>
    </x:row>
    <x:row r="50">
      <x:c r="A50" t="s">
        <x:v>358</x:v>
      </x:c>
      <x:c r="B50" t="s">
        <x:v>348</x:v>
      </x:c>
      <x:c r="C50" t="s">
        <x:v>359</x:v>
      </x:c>
      <x:c r="D50" t="s">
        <x:v>360</x:v>
      </x:c>
      <x:c r="E50" t="s">
        <x:v>355</x:v>
      </x:c>
      <x:c r="F50">
        <x:v>16</x:v>
      </x:c>
      <x:c r="G50">
        <x:v>37</x:v>
      </x:c>
      <x:c r="H50">
        <x:v>38</x:v>
      </x:c>
      <x:c r="I50">
        <x:v>2</x:v>
      </x:c>
      <x:c r="J50">
        <x:v>46454</x:v>
      </x:c>
      <x:c r="K50">
        <x:v>46467</x:v>
      </x:c>
      <x:c r="L50" t="s">
        <x:v>142</x:v>
      </x:c>
      <x:c r="M50">
        <x:v>0</x:v>
      </x:c>
      <x:c r="P50">
        <x:v>16</x:v>
      </x:c>
    </x:row>
    <x:row r="51">
      <x:c r="A51" t="s">
        <x:v>361</x:v>
      </x:c>
      <x:c r="B51" t="s">
        <x:v>348</x:v>
      </x:c>
      <x:c r="C51" t="s">
        <x:v>362</x:v>
      </x:c>
      <x:c r="D51" t="s">
        <x:v>363</x:v>
      </x:c>
      <x:c r="E51" t="s">
        <x:v>358</x:v>
      </x:c>
      <x:c r="F51">
        <x:v>14</x:v>
      </x:c>
      <x:c r="G51">
        <x:v>38</x:v>
      </x:c>
      <x:c r="H51">
        <x:v>39</x:v>
      </x:c>
      <x:c r="I51">
        <x:v>2</x:v>
      </x:c>
      <x:c r="J51">
        <x:v>46461</x:v>
      </x:c>
      <x:c r="K51">
        <x:v>46474</x:v>
      </x:c>
      <x:c r="L51" t="s">
        <x:v>142</x:v>
      </x:c>
      <x:c r="M51">
        <x:v>0</x:v>
      </x:c>
      <x:c r="P51">
        <x:v>14</x:v>
      </x:c>
    </x:row>
    <x:row r="52">
      <x:c r="A52" t="s">
        <x:v>364</x:v>
      </x:c>
      <x:c r="B52" t="s">
        <x:v>348</x:v>
      </x:c>
      <x:c r="C52" t="s">
        <x:v>365</x:v>
      </x:c>
      <x:c r="D52" t="s">
        <x:v>366</x:v>
      </x:c>
      <x:c r="E52" t="s">
        <x:v>361</x:v>
      </x:c>
      <x:c r="F52">
        <x:v>16</x:v>
      </x:c>
      <x:c r="G52">
        <x:v>40</x:v>
      </x:c>
      <x:c r="H52">
        <x:v>41</x:v>
      </x:c>
      <x:c r="I52">
        <x:v>2</x:v>
      </x:c>
      <x:c r="J52">
        <x:v>46475</x:v>
      </x:c>
      <x:c r="K52">
        <x:v>46488</x:v>
      </x:c>
      <x:c r="L52" t="s">
        <x:v>142</x:v>
      </x:c>
      <x:c r="M52">
        <x:v>0</x:v>
      </x:c>
      <x:c r="P52">
        <x:v>16</x:v>
      </x:c>
    </x:row>
    <x:row r="53">
      <x:c r="A53" t="s">
        <x:v>367</x:v>
      </x:c>
      <x:c r="B53" t="s">
        <x:v>348</x:v>
      </x:c>
      <x:c r="C53" t="s">
        <x:v>368</x:v>
      </x:c>
      <x:c r="D53" t="s">
        <x:v>369</x:v>
      </x:c>
      <x:c r="E53" t="s">
        <x:v>364</x:v>
      </x:c>
      <x:c r="F53">
        <x:v>10</x:v>
      </x:c>
      <x:c r="G53">
        <x:v>42</x:v>
      </x:c>
      <x:c r="H53">
        <x:v>42</x:v>
      </x:c>
      <x:c r="I53">
        <x:v>1</x:v>
      </x:c>
      <x:c r="J53">
        <x:v>46489</x:v>
      </x:c>
      <x:c r="K53">
        <x:v>46495</x:v>
      </x:c>
      <x:c r="L53" t="s">
        <x:v>142</x:v>
      </x:c>
      <x:c r="M53">
        <x:v>0</x:v>
      </x:c>
      <x:c r="P53">
        <x:v>10</x:v>
      </x:c>
    </x:row>
    <x:row r="54">
      <x:c r="A54" t="s">
        <x:v>370</x:v>
      </x:c>
      <x:c r="B54" t="s">
        <x:v>371</x:v>
      </x:c>
      <x:c r="C54" t="s">
        <x:v>372</x:v>
      </x:c>
      <x:c r="D54" t="s">
        <x:v>373</x:v>
      </x:c>
      <x:c r="E54" t="s">
        <x:v>367</x:v>
      </x:c>
      <x:c r="F54">
        <x:v>6</x:v>
      </x:c>
      <x:c r="G54">
        <x:v>43</x:v>
      </x:c>
      <x:c r="H54">
        <x:v>43</x:v>
      </x:c>
      <x:c r="I54">
        <x:v>1</x:v>
      </x:c>
      <x:c r="J54">
        <x:v>46496</x:v>
      </x:c>
      <x:c r="K54">
        <x:v>46502</x:v>
      </x:c>
      <x:c r="L54" t="s">
        <x:v>142</x:v>
      </x:c>
      <x:c r="M54">
        <x:v>0</x:v>
      </x:c>
      <x:c r="P54">
        <x:v>6</x:v>
      </x:c>
    </x:row>
    <x:row r="55">
      <x:c r="A55" t="s">
        <x:v>374</x:v>
      </x:c>
      <x:c r="B55" t="s">
        <x:v>371</x:v>
      </x:c>
      <x:c r="C55" t="s">
        <x:v>375</x:v>
      </x:c>
      <x:c r="D55" t="s">
        <x:v>376</x:v>
      </x:c>
      <x:c r="E55" t="s">
        <x:v>370</x:v>
      </x:c>
      <x:c r="F55">
        <x:v>10</x:v>
      </x:c>
      <x:c r="G55">
        <x:v>43</x:v>
      </x:c>
      <x:c r="H55">
        <x:v>44</x:v>
      </x:c>
      <x:c r="I55">
        <x:v>2</x:v>
      </x:c>
      <x:c r="J55">
        <x:v>46496</x:v>
      </x:c>
      <x:c r="K55">
        <x:v>46509</x:v>
      </x:c>
      <x:c r="L55" t="s">
        <x:v>142</x:v>
      </x:c>
      <x:c r="M55">
        <x:v>0</x:v>
      </x:c>
      <x:c r="P55">
        <x:v>10</x:v>
      </x:c>
    </x:row>
    <x:row r="56">
      <x:c r="A56" t="s">
        <x:v>377</x:v>
      </x:c>
      <x:c r="B56" t="s">
        <x:v>371</x:v>
      </x:c>
      <x:c r="C56" t="s">
        <x:v>378</x:v>
      </x:c>
      <x:c r="D56" t="s">
        <x:v>379</x:v>
      </x:c>
      <x:c r="E56" t="s">
        <x:v>374</x:v>
      </x:c>
      <x:c r="F56">
        <x:v>14</x:v>
      </x:c>
      <x:c r="G56">
        <x:v>44</x:v>
      </x:c>
      <x:c r="H56">
        <x:v>45</x:v>
      </x:c>
      <x:c r="I56">
        <x:v>2</x:v>
      </x:c>
      <x:c r="J56">
        <x:v>46503</x:v>
      </x:c>
      <x:c r="K56">
        <x:v>46516</x:v>
      </x:c>
      <x:c r="L56" t="s">
        <x:v>142</x:v>
      </x:c>
      <x:c r="M56">
        <x:v>0</x:v>
      </x:c>
      <x:c r="P56">
        <x:v>14</x:v>
      </x:c>
    </x:row>
    <x:row r="57">
      <x:c r="A57" t="s">
        <x:v>380</x:v>
      </x:c>
      <x:c r="B57" t="s">
        <x:v>371</x:v>
      </x:c>
      <x:c r="C57" t="s">
        <x:v>381</x:v>
      </x:c>
      <x:c r="D57" t="s">
        <x:v>382</x:v>
      </x:c>
      <x:c r="E57" t="s">
        <x:v>377</x:v>
      </x:c>
      <x:c r="F57">
        <x:v>8</x:v>
      </x:c>
      <x:c r="G57">
        <x:v>45</x:v>
      </x:c>
      <x:c r="H57">
        <x:v>46</x:v>
      </x:c>
      <x:c r="I57">
        <x:v>2</x:v>
      </x:c>
      <x:c r="J57">
        <x:v>46510</x:v>
      </x:c>
      <x:c r="K57">
        <x:v>46523</x:v>
      </x:c>
      <x:c r="L57" t="s">
        <x:v>142</x:v>
      </x:c>
      <x:c r="M57">
        <x:v>0</x:v>
      </x:c>
      <x:c r="P57">
        <x:v>8</x:v>
      </x:c>
    </x:row>
    <x:row r="58">
      <x:c r="A58" t="s">
        <x:v>383</x:v>
      </x:c>
      <x:c r="B58" t="s">
        <x:v>371</x:v>
      </x:c>
      <x:c r="C58" t="s">
        <x:v>384</x:v>
      </x:c>
      <x:c r="D58" t="s">
        <x:v>385</x:v>
      </x:c>
      <x:c r="E58" t="s">
        <x:v>380</x:v>
      </x:c>
      <x:c r="F58">
        <x:v>10</x:v>
      </x:c>
      <x:c r="G58">
        <x:v>46</x:v>
      </x:c>
      <x:c r="H58">
        <x:v>47</x:v>
      </x:c>
      <x:c r="I58">
        <x:v>2</x:v>
      </x:c>
      <x:c r="J58">
        <x:v>46517</x:v>
      </x:c>
      <x:c r="K58">
        <x:v>46530</x:v>
      </x:c>
      <x:c r="L58" t="s">
        <x:v>142</x:v>
      </x:c>
      <x:c r="M58">
        <x:v>0</x:v>
      </x:c>
      <x:c r="P58">
        <x:v>10</x:v>
      </x:c>
    </x:row>
    <x:row r="59">
      <x:c r="A59" t="s">
        <x:v>386</x:v>
      </x:c>
      <x:c r="B59" t="s">
        <x:v>371</x:v>
      </x:c>
      <x:c r="C59" t="s">
        <x:v>387</x:v>
      </x:c>
      <x:c r="D59" t="s">
        <x:v>388</x:v>
      </x:c>
      <x:c r="E59" t="s">
        <x:v>383</x:v>
      </x:c>
      <x:c r="F59">
        <x:v>4</x:v>
      </x:c>
      <x:c r="G59">
        <x:v>47</x:v>
      </x:c>
      <x:c r="H59">
        <x:v>47</x:v>
      </x:c>
      <x:c r="I59">
        <x:v>1</x:v>
      </x:c>
      <x:c r="J59">
        <x:v>46524</x:v>
      </x:c>
      <x:c r="K59">
        <x:v>46530</x:v>
      </x:c>
      <x:c r="L59" t="s">
        <x:v>142</x:v>
      </x:c>
      <x:c r="M59">
        <x:v>0</x:v>
      </x:c>
      <x:c r="P59">
        <x:v>4</x:v>
      </x:c>
    </x:row>
    <x:row r="60">
      <x:c r="A60" t="s">
        <x:v>389</x:v>
      </x:c>
      <x:c r="B60" t="s">
        <x:v>390</x:v>
      </x:c>
      <x:c r="C60" t="s">
        <x:v>391</x:v>
      </x:c>
      <x:c r="D60" t="s">
        <x:v>392</x:v>
      </x:c>
      <x:c r="E60" t="s">
        <x:v>386</x:v>
      </x:c>
      <x:c r="F60">
        <x:v>12</x:v>
      </x:c>
      <x:c r="G60">
        <x:v>48</x:v>
      </x:c>
      <x:c r="H60">
        <x:v>48</x:v>
      </x:c>
      <x:c r="I60">
        <x:v>1</x:v>
      </x:c>
      <x:c r="J60">
        <x:v>46531</x:v>
      </x:c>
      <x:c r="K60">
        <x:v>46537</x:v>
      </x:c>
      <x:c r="L60" t="s">
        <x:v>142</x:v>
      </x:c>
      <x:c r="M60">
        <x:v>0</x:v>
      </x:c>
      <x:c r="P60">
        <x:v>12</x:v>
      </x:c>
    </x:row>
    <x:row r="61">
      <x:c r="A61" t="s">
        <x:v>393</x:v>
      </x:c>
      <x:c r="B61" t="s">
        <x:v>390</x:v>
      </x:c>
      <x:c r="C61" t="s">
        <x:v>394</x:v>
      </x:c>
      <x:c r="D61" t="s">
        <x:v>395</x:v>
      </x:c>
      <x:c r="E61" t="s">
        <x:v>389</x:v>
      </x:c>
      <x:c r="F61">
        <x:v>10</x:v>
      </x:c>
      <x:c r="G61">
        <x:v>48</x:v>
      </x:c>
      <x:c r="H61">
        <x:v>49</x:v>
      </x:c>
      <x:c r="I61">
        <x:v>2</x:v>
      </x:c>
      <x:c r="J61">
        <x:v>46531</x:v>
      </x:c>
      <x:c r="K61">
        <x:v>46544</x:v>
      </x:c>
      <x:c r="L61" t="s">
        <x:v>142</x:v>
      </x:c>
      <x:c r="M61">
        <x:v>0</x:v>
      </x:c>
      <x:c r="P61">
        <x:v>10</x:v>
      </x:c>
    </x:row>
    <x:row r="62">
      <x:c r="A62" t="s">
        <x:v>396</x:v>
      </x:c>
      <x:c r="B62" t="s">
        <x:v>390</x:v>
      </x:c>
      <x:c r="C62" t="s">
        <x:v>397</x:v>
      </x:c>
      <x:c r="D62" t="s">
        <x:v>398</x:v>
      </x:c>
      <x:c r="E62" t="s">
        <x:v>389</x:v>
      </x:c>
      <x:c r="F62">
        <x:v>10</x:v>
      </x:c>
      <x:c r="G62">
        <x:v>49</x:v>
      </x:c>
      <x:c r="H62">
        <x:v>50</x:v>
      </x:c>
      <x:c r="I62">
        <x:v>2</x:v>
      </x:c>
      <x:c r="J62">
        <x:v>46538</x:v>
      </x:c>
      <x:c r="K62">
        <x:v>46551</x:v>
      </x:c>
      <x:c r="L62" t="s">
        <x:v>142</x:v>
      </x:c>
      <x:c r="M62">
        <x:v>0</x:v>
      </x:c>
      <x:c r="P62">
        <x:v>10</x:v>
      </x:c>
    </x:row>
    <x:row r="63">
      <x:c r="A63" t="s">
        <x:v>399</x:v>
      </x:c>
      <x:c r="B63" t="s">
        <x:v>390</x:v>
      </x:c>
      <x:c r="C63" t="s">
        <x:v>400</x:v>
      </x:c>
      <x:c r="D63" t="s">
        <x:v>401</x:v>
      </x:c>
      <x:c r="E63" t="s">
        <x:v>393</x:v>
      </x:c>
      <x:c r="F63">
        <x:v>10</x:v>
      </x:c>
      <x:c r="G63">
        <x:v>50</x:v>
      </x:c>
      <x:c r="H63">
        <x:v>50</x:v>
      </x:c>
      <x:c r="I63">
        <x:v>1</x:v>
      </x:c>
      <x:c r="J63">
        <x:v>46545</x:v>
      </x:c>
      <x:c r="K63">
        <x:v>46551</x:v>
      </x:c>
      <x:c r="L63" t="s">
        <x:v>142</x:v>
      </x:c>
      <x:c r="M63">
        <x:v>0</x:v>
      </x:c>
      <x:c r="P63">
        <x:v>10</x:v>
      </x:c>
    </x:row>
    <x:row r="64">
      <x:c r="A64" t="s">
        <x:v>402</x:v>
      </x:c>
      <x:c r="B64" t="s">
        <x:v>390</x:v>
      </x:c>
      <x:c r="C64" t="s">
        <x:v>403</x:v>
      </x:c>
      <x:c r="D64" t="s">
        <x:v>404</x:v>
      </x:c>
      <x:c r="E64" t="s">
        <x:v>396</x:v>
      </x:c>
      <x:c r="F64">
        <x:v>8</x:v>
      </x:c>
      <x:c r="G64">
        <x:v>51</x:v>
      </x:c>
      <x:c r="H64">
        <x:v>51</x:v>
      </x:c>
      <x:c r="I64">
        <x:v>1</x:v>
      </x:c>
      <x:c r="J64">
        <x:v>46552</x:v>
      </x:c>
      <x:c r="K64">
        <x:v>46558</x:v>
      </x:c>
      <x:c r="L64" t="s">
        <x:v>142</x:v>
      </x:c>
      <x:c r="M64">
        <x:v>0</x:v>
      </x:c>
      <x:c r="P64">
        <x:v>8</x:v>
      </x:c>
    </x:row>
    <x:row r="65">
      <x:c r="A65" t="s">
        <x:v>405</x:v>
      </x:c>
      <x:c r="B65" t="s">
        <x:v>390</x:v>
      </x:c>
      <x:c r="C65" t="s">
        <x:v>406</x:v>
      </x:c>
      <x:c r="D65" t="s">
        <x:v>407</x:v>
      </x:c>
      <x:c r="E65" t="s">
        <x:v>399</x:v>
      </x:c>
      <x:c r="F65">
        <x:v>6</x:v>
      </x:c>
      <x:c r="G65">
        <x:v>51</x:v>
      </x:c>
      <x:c r="H65">
        <x:v>52</x:v>
      </x:c>
      <x:c r="I65">
        <x:v>2</x:v>
      </x:c>
      <x:c r="J65">
        <x:v>46552</x:v>
      </x:c>
      <x:c r="K65">
        <x:v>46565</x:v>
      </x:c>
      <x:c r="L65" t="s">
        <x:v>142</x:v>
      </x:c>
      <x:c r="M65">
        <x:v>0</x:v>
      </x:c>
      <x:c r="P65">
        <x:v>6</x:v>
      </x:c>
    </x:row>
    <x:row r="66">
      <x:c r="A66" t="s">
        <x:v>408</x:v>
      </x:c>
      <x:c r="B66" t="s">
        <x:v>390</x:v>
      </x:c>
      <x:c r="C66" t="s">
        <x:v>409</x:v>
      </x:c>
      <x:c r="D66" t="s">
        <x:v>410</x:v>
      </x:c>
      <x:c r="E66" t="s">
        <x:v>402</x:v>
      </x:c>
      <x:c r="F66">
        <x:v>4</x:v>
      </x:c>
      <x:c r="G66">
        <x:v>52</x:v>
      </x:c>
      <x:c r="H66">
        <x:v>52</x:v>
      </x:c>
      <x:c r="I66">
        <x:v>1</x:v>
      </x:c>
      <x:c r="J66">
        <x:v>46559</x:v>
      </x:c>
      <x:c r="K66">
        <x:v>46565</x:v>
      </x:c>
      <x:c r="L66" t="s">
        <x:v>142</x:v>
      </x:c>
      <x:c r="M66">
        <x:v>0</x:v>
      </x:c>
      <x:c r="P66">
        <x:v>4</x:v>
      </x:c>
    </x:row>
    <x:row r="69">
      <x:c r="A69" t="s">
        <x:v>411</x:v>
      </x:c>
    </x:row>
    <x:row r="70">
      <x:c r="A70" t="s">
        <x:v>48</x:v>
      </x:c>
      <x:c r="B70" t="s">
        <x:v>1</x:v>
      </x:c>
      <x:c r="C70" t="s">
        <x:v>412</x:v>
      </x:c>
      <x:c r="D70" t="s">
        <x:v>413</x:v>
      </x:c>
      <x:c r="E70" t="s">
        <x:v>5</x:v>
      </x:c>
      <x:c r="F70" t="s">
        <x:v>6</x:v>
      </x:c>
      <x:c r="G70" t="s">
        <x:v>7</x:v>
      </x:c>
      <x:c r="H70" t="s">
        <x:v>8</x:v>
      </x:c>
      <x:c r="I70" t="s">
        <x:v>414</x:v>
      </x:c>
      <x:c r="J70" t="s">
        <x:v>415</x:v>
      </x:c>
      <x:c r="K70" t="s">
        <x:v>416</x:v>
      </x:c>
      <x:c r="L70" t="s">
        <x:v>417</x:v>
      </x:c>
      <x:c r="M70" t="s">
        <x:v>418</x:v>
      </x:c>
      <x:c r="N70" t="s">
        <x:v>419</x:v>
      </x:c>
      <x:c r="O70" t="s">
        <x:v>420</x:v>
      </x:c>
      <x:c r="P70" t="s">
        <x:v>421</x:v>
      </x:c>
      <x:c r="Q70" t="s">
        <x:v>422</x:v>
      </x:c>
      <x:c r="R70" t="s">
        <x:v>423</x:v>
      </x:c>
      <x:c r="S70" t="s">
        <x:v>424</x:v>
      </x:c>
      <x:c r="T70" t="s">
        <x:v>425</x:v>
      </x:c>
    </x:row>
    <x:row r="71">
      <x:c r="A71" t="s">
        <x:v>17</x:v>
      </x:c>
      <x:c r="B71" t="s">
        <x:v>242</x:v>
      </x:c>
      <x:c r="C71">
        <x:v>40</x:v>
      </x:c>
      <x:c r="D71">
        <x:v>6.9444444444444448E-2</x:v>
      </x:c>
      <x:c r="E71">
        <x:v>46202</x:v>
      </x:c>
      <x:c r="F71">
        <x:v>46565</x:v>
      </x:c>
      <x:c r="G71" t="s">
        <x:v>426</x:v>
      </x:c>
      <x:c r="H71" t="s">
        <x:v>427</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267</x:v>
      </x:c>
      <x:c r="C72">
        <x:v>64</x:v>
      </x:c>
      <x:c r="D72">
        <x:v>0.1111111111111111</x:v>
      </x:c>
      <x:c r="E72">
        <x:v>46216</x:v>
      </x:c>
      <x:c r="F72">
        <x:v>46264</x:v>
      </x:c>
      <x:c r="G72" t="s">
        <x:v>428</x:v>
      </x:c>
      <x:c r="H72" t="s">
        <x:v>429</x:v>
      </x:c>
      <x:c r="I72" t="s">
        <x:v>21</x:v>
      </x:c>
      <x:c r="J72" t="s">
        <x:v>21</x:v>
      </x:c>
    </x:row>
    <x:row r="73">
      <x:c r="A73" t="s">
        <x:v>26</x:v>
      </x:c>
      <x:c r="B73" t="s">
        <x:v>284</x:v>
      </x:c>
      <x:c r="C73">
        <x:v>72</x:v>
      </x:c>
      <x:c r="D73">
        <x:v>0.125</x:v>
      </x:c>
      <x:c r="E73">
        <x:v>46265</x:v>
      </x:c>
      <x:c r="F73">
        <x:v>46313</x:v>
      </x:c>
      <x:c r="G73" t="s">
        <x:v>430</x:v>
      </x:c>
      <x:c r="H73" t="s">
        <x:v>431</x:v>
      </x:c>
      <x:c r="J73" t="s">
        <x:v>21</x:v>
      </x:c>
      <x:c r="K73" t="s">
        <x:v>21</x:v>
      </x:c>
      <x:c r="L73" t="s">
        <x:v>21</x:v>
      </x:c>
    </x:row>
    <x:row r="74">
      <x:c r="A74" t="s">
        <x:v>30</x:v>
      </x:c>
      <x:c r="B74" t="s">
        <x:v>308</x:v>
      </x:c>
      <x:c r="C74">
        <x:v>88</x:v>
      </x:c>
      <x:c r="D74">
        <x:v>0.15277777777777779</x:v>
      </x:c>
      <x:c r="E74">
        <x:v>46314</x:v>
      </x:c>
      <x:c r="F74">
        <x:v>46369</x:v>
      </x:c>
      <x:c r="G74" t="s">
        <x:v>432</x:v>
      </x:c>
      <x:c r="H74" t="s">
        <x:v>433</x:v>
      </x:c>
      <x:c r="L74" t="s">
        <x:v>21</x:v>
      </x:c>
      <x:c r="M74" t="s">
        <x:v>21</x:v>
      </x:c>
      <x:c r="N74" t="s">
        <x:v>21</x:v>
      </x:c>
    </x:row>
    <x:row r="75">
      <x:c r="A75" t="s">
        <x:v>34</x:v>
      </x:c>
      <x:c r="B75" t="s">
        <x:v>329</x:v>
      </x:c>
      <x:c r="C75">
        <x:v>96</x:v>
      </x:c>
      <x:c r="D75">
        <x:v>0.16666666666666666</x:v>
      </x:c>
      <x:c r="E75">
        <x:v>46370</x:v>
      </x:c>
      <x:c r="F75">
        <x:v>46425</x:v>
      </x:c>
      <x:c r="G75" t="s">
        <x:v>434</x:v>
      </x:c>
      <x:c r="H75" t="s">
        <x:v>435</x:v>
      </x:c>
      <x:c r="N75" t="s">
        <x:v>21</x:v>
      </x:c>
      <x:c r="O75" t="s">
        <x:v>21</x:v>
      </x:c>
      <x:c r="P75" t="s">
        <x:v>21</x:v>
      </x:c>
    </x:row>
    <x:row r="76">
      <x:c r="A76" t="s">
        <x:v>38</x:v>
      </x:c>
      <x:c r="B76" t="s">
        <x:v>348</x:v>
      </x:c>
      <x:c r="C76">
        <x:v>104</x:v>
      </x:c>
      <x:c r="D76">
        <x:v>0.18055555555555555</x:v>
      </x:c>
      <x:c r="E76">
        <x:v>46426</x:v>
      </x:c>
      <x:c r="F76">
        <x:v>46495</x:v>
      </x:c>
      <x:c r="G76" t="s">
        <x:v>436</x:v>
      </x:c>
      <x:c r="H76" t="s">
        <x:v>437</x:v>
      </x:c>
      <x:c r="P76" t="s">
        <x:v>21</x:v>
      </x:c>
      <x:c r="Q76" t="s">
        <x:v>21</x:v>
      </x:c>
      <x:c r="R76" t="s">
        <x:v>21</x:v>
      </x:c>
    </x:row>
    <x:row r="77">
      <x:c r="A77" t="s">
        <x:v>438</x:v>
      </x:c>
      <x:c r="B77" t="s">
        <x:v>371</x:v>
      </x:c>
      <x:c r="C77">
        <x:v>52</x:v>
      </x:c>
      <x:c r="D77">
        <x:v>9.0277777777777776E-2</x:v>
      </x:c>
      <x:c r="E77">
        <x:v>46496</x:v>
      </x:c>
      <x:c r="F77">
        <x:v>46530</x:v>
      </x:c>
      <x:c r="G77" t="s">
        <x:v>439</x:v>
      </x:c>
      <x:c r="H77" t="s">
        <x:v>440</x:v>
      </x:c>
      <x:c r="R77" t="s">
        <x:v>21</x:v>
      </x:c>
      <x:c r="S77" t="s">
        <x:v>21</x:v>
      </x:c>
    </x:row>
    <x:row r="78">
      <x:c r="A78" t="s">
        <x:v>441</x:v>
      </x:c>
      <x:c r="B78" t="s">
        <x:v>390</x:v>
      </x:c>
      <x:c r="C78">
        <x:v>60</x:v>
      </x:c>
      <x:c r="D78">
        <x:v>0.10416666666666667</x:v>
      </x:c>
      <x:c r="E78">
        <x:v>46531</x:v>
      </x:c>
      <x:c r="F78">
        <x:v>46565</x:v>
      </x:c>
      <x:c r="G78" t="s">
        <x:v>442</x:v>
      </x:c>
      <x:c r="H78" t="s">
        <x:v>443</x:v>
      </x:c>
      <x:c r="S78" t="s">
        <x:v>21</x:v>
      </x:c>
      <x:c r="T78" t="s">
        <x:v>21</x:v>
      </x:c>
    </x:row>
    <x:row r="79">
      <x:c r="A79" t="s">
        <x:v>444</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445</x:v>
      </x:c>
      <x:c r="B1" s="235"/>
      <x:c r="C1" s="235"/>
      <x:c r="D1" s="235"/>
      <x:c r="E1" s="235"/>
      <x:c r="F1" s="235"/>
      <x:c r="G1" s="235"/>
      <x:c r="H1" s="235"/>
      <x:c r="I1" s="235"/>
      <x:c r="J1" s="235"/>
      <x:c r="K1" s="235"/>
      <x:c r="L1" s="235"/>
      <x:c r="M1" s="235"/>
    </x:row>
    <x:row r="2">
      <x:c r="A2" s="236" t="s">
        <x:v>446</x:v>
      </x:c>
      <x:c r="B2" s="236"/>
      <x:c r="C2" s="236"/>
      <x:c r="D2" s="236"/>
      <x:c r="E2" s="236"/>
      <x:c r="F2" s="236"/>
      <x:c r="G2" s="236"/>
      <x:c r="H2" s="236"/>
      <x:c r="I2" s="236"/>
      <x:c r="J2" s="236"/>
      <x:c r="K2" s="236"/>
      <x:c r="L2" s="236"/>
      <x:c r="M2" s="236"/>
    </x:row>
    <x:row r="4" ht="30">
      <x:c r="A4" s="80" t="s">
        <x:v>447</x:v>
      </x:c>
      <x:c r="B4" s="80" t="s">
        <x:v>448</x:v>
      </x:c>
      <x:c r="C4" s="80" t="s">
        <x:v>5</x:v>
      </x:c>
      <x:c r="D4" s="80" t="s">
        <x:v>449</x:v>
      </x:c>
      <x:c r="E4" s="80" t="s">
        <x:v>450</x:v>
      </x:c>
      <x:c r="F4" s="80" t="s">
        <x:v>3</x:v>
      </x:c>
      <x:c r="G4" s="80" t="s">
        <x:v>451</x:v>
      </x:c>
      <x:c r="H4" s="80" t="s">
        <x:v>56</x:v>
      </x:c>
      <x:c r="I4" s="80" t="s">
        <x:v>452</x:v>
      </x:c>
      <x:c r="J4" s="80" t="s">
        <x:v>453</x:v>
      </x:c>
      <x:c r="K4" s="80" t="s">
        <x:v>454</x:v>
      </x:c>
      <x:c r="L4" s="80" t="s">
        <x:v>60</x:v>
      </x:c>
      <x:c r="M4" s="80" t="s">
        <x:v>455</x:v>
      </x:c>
    </x:row>
    <x:row r="5" ht="42.75">
      <x:c r="A5" s="83" t="s">
        <x:v>456</x:v>
      </x:c>
      <x:c r="B5" s="84">
        <x:v>46201</x:v>
      </x:c>
      <x:c r="C5" s="83"/>
      <x:c r="D5" s="83"/>
      <x:c r="E5" s="83" t="s">
        <x:v>62</x:v>
      </x:c>
      <x:c r="F5" s="85">
        <x:v>2.5</x:v>
      </x:c>
      <x:c r="G5" s="178" t="n">
        <x:f t="shared" ref="G5:G10" si="0">IF(B5="","",MAX(1,INT((B5-DATE(2026,6,29))/7)+1))</x:f>
        <x:v>1</x:v>
      </x:c>
      <x:c r="H5" s="83" t="s">
        <x:v>245</x:v>
      </x:c>
      <x:c r="I5" s="83" t="s">
        <x:v>457</x:v>
      </x:c>
      <x:c r="J5" s="83" t="s">
        <x:v>458</x:v>
      </x:c>
      <x:c r="K5" s="83" t="s">
        <x:v>459</x:v>
      </x:c>
      <x:c r="L5" s="83" t="s">
        <x:v>460</x:v>
      </x:c>
      <x:c r="M5" s="83" t="s">
        <x:v>461</x:v>
      </x:c>
    </x:row>
    <x:row r="6" ht="42.75">
      <x:c r="A6" s="83" t="s">
        <x:v>462</x:v>
      </x:c>
      <x:c r="B6" s="84">
        <x:v>46203</x:v>
      </x:c>
      <x:c r="C6" s="83"/>
      <x:c r="D6" s="83"/>
      <x:c r="E6" s="83" t="s">
        <x:v>68</x:v>
      </x:c>
      <x:c r="F6" s="85">
        <x:v>1.5</x:v>
      </x:c>
      <x:c r="G6" s="178">
        <x:f t="shared" si="0"/>
        <x:v>1</x:v>
      </x:c>
      <x:c r="H6" s="83" t="s">
        <x:v>245</x:v>
      </x:c>
      <x:c r="I6" s="83" t="s">
        <x:v>463</x:v>
      </x:c>
      <x:c r="J6" s="83" t="s">
        <x:v>464</x:v>
      </x:c>
      <x:c r="K6" s="83" t="s">
        <x:v>465</x:v>
      </x:c>
      <x:c r="L6" s="83" t="s">
        <x:v>466</x:v>
      </x:c>
      <x:c r="M6" s="83" t="s">
        <x:v>467</x:v>
      </x:c>
    </x:row>
    <x:row r="7" ht="42.75">
      <x:c r="A7" s="83" t="s">
        <x:v>468</x:v>
      </x:c>
      <x:c r="B7" s="84">
        <x:v>46207</x:v>
      </x:c>
      <x:c r="C7" s="83" t="s">
        <x:v>469</x:v>
      </x:c>
      <x:c r="D7" s="83" t="s">
        <x:v>470</x:v>
      </x:c>
      <x:c r="E7" s="83" t="s">
        <x:v>73</x:v>
      </x:c>
      <x:c r="F7" s="85">
        <x:v>0.62</x:v>
      </x:c>
      <x:c r="G7" s="178">
        <x:f t="shared" si="0"/>
        <x:v>1</x:v>
      </x:c>
      <x:c r="H7" s="83" t="s">
        <x:v>245</x:v>
      </x:c>
      <x:c r="I7" s="83" t="s">
        <x:v>471</x:v>
      </x:c>
      <x:c r="J7" s="83" t="s">
        <x:v>472</x:v>
      </x:c>
      <x:c r="K7" s="83" t="s">
        <x:v>473</x:v>
      </x:c>
      <x:c r="L7" s="83" t="s">
        <x:v>474</x:v>
      </x:c>
      <x:c r="M7" s="83" t="s">
        <x:v>475</x:v>
      </x:c>
    </x:row>
    <x:row r="8" ht="57">
      <x:c r="A8" s="83" t="s">
        <x:v>476</x:v>
      </x:c>
      <x:c r="B8" s="84">
        <x:v>46207</x:v>
      </x:c>
      <x:c r="C8" s="83" t="s">
        <x:v>470</x:v>
      </x:c>
      <x:c r="D8" s="83" t="s">
        <x:v>477</x:v>
      </x:c>
      <x:c r="E8" s="83" t="s">
        <x:v>73</x:v>
      </x:c>
      <x:c r="F8" s="85">
        <x:v>1.53</x:v>
      </x:c>
      <x:c r="G8" s="178">
        <x:f t="shared" si="0"/>
        <x:v>1</x:v>
      </x:c>
      <x:c r="H8" s="83" t="s">
        <x:v>245</x:v>
      </x:c>
      <x:c r="I8" s="83" t="s">
        <x:v>478</x:v>
      </x:c>
      <x:c r="J8" s="83" t="s">
        <x:v>479</x:v>
      </x:c>
      <x:c r="K8" s="83" t="s">
        <x:v>480</x:v>
      </x:c>
      <x:c r="L8" s="83" t="s">
        <x:v>481</x:v>
      </x:c>
      <x:c r="M8" s="83" t="s">
        <x:v>482</x:v>
      </x:c>
    </x:row>
    <x:row r="9" ht="42.75">
      <x:c r="A9" s="83" t="s">
        <x:v>483</x:v>
      </x:c>
      <x:c r="B9" s="84">
        <x:v>46207</x:v>
      </x:c>
      <x:c r="C9" s="83" t="s">
        <x:v>477</x:v>
      </x:c>
      <x:c r="D9" s="83" t="s">
        <x:v>484</x:v>
      </x:c>
      <x:c r="E9" s="83" t="s">
        <x:v>68</x:v>
      </x:c>
      <x:c r="F9" s="85">
        <x:v>1.33</x:v>
      </x:c>
      <x:c r="G9" s="178">
        <x:f t="shared" si="0"/>
        <x:v>1</x:v>
      </x:c>
      <x:c r="H9" s="83" t="s">
        <x:v>245</x:v>
      </x:c>
      <x:c r="I9" s="83" t="s">
        <x:v>485</x:v>
      </x:c>
      <x:c r="J9" s="83" t="s">
        <x:v>486</x:v>
      </x:c>
      <x:c r="K9" s="83" t="s">
        <x:v>487</x:v>
      </x:c>
      <x:c r="L9" s="83" t="s">
        <x:v>488</x:v>
      </x:c>
      <x:c r="M9" s="83" t="s">
        <x:v>489</x:v>
      </x:c>
    </x:row>
    <x:row r="10" ht="42.75">
      <x:c r="A10" s="83" t="s">
        <x:v>490</x:v>
      </x:c>
      <x:c r="B10" s="84">
        <x:v>46207</x:v>
      </x:c>
      <x:c r="C10" s="83" t="s">
        <x:v>484</x:v>
      </x:c>
      <x:c r="D10" s="83" t="s">
        <x:v>491</x:v>
      </x:c>
      <x:c r="E10" s="83" t="s">
        <x:v>68</x:v>
      </x:c>
      <x:c r="F10" s="85">
        <x:v>7.0000000000000007E-2</x:v>
      </x:c>
      <x:c r="G10" s="178">
        <x:f t="shared" si="0"/>
        <x:v>1</x:v>
      </x:c>
      <x:c r="H10" s="83" t="s">
        <x:v>245</x:v>
      </x:c>
      <x:c r="I10" s="83" t="s">
        <x:v>492</x:v>
      </x:c>
      <x:c r="J10" s="83" t="s">
        <x:v>493</x:v>
      </x:c>
      <x:c r="K10" s="83" t="s">
        <x:v>494</x:v>
      </x:c>
      <x:c r="L10" s="83" t="s">
        <x:v>495</x:v>
      </x:c>
      <x:c r="M10" s="83" t="s">
        <x:v>496</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ht="675" customHeight="1">
      <x:c r="A29" s="431" t="str">
        <x:v>WB-026</x:v>
      </x:c>
      <x:c r="B29" s="491" t="n">
        <x:v>46225</x:v>
      </x:c>
      <x:c r="C29" s="431"/>
      <x:c r="D29" s="431"/>
      <x:c r="E29" s="431" t="str">
        <x:v>G0.1</x:v>
      </x:c>
      <x:c r="F29" s="432"/>
      <x:c r="G29" s="433" t="n">
        <x:v>6</x:v>
      </x:c>
      <x:c r="H29" s="431" t="str">
        <x:v>Complete / Review</x:v>
      </x:c>
      <x:c r="I29" s="431" t="str">
        <x:v>Implement a highest-level internal AI management and quality-control system aligned at a public-guidance level with ISO/IEC 42001 and operationalized with NIST AI risk practices.</x:v>
      </x:c>
      <x:c r="J29" s="431" t="str">
        <x:v>Added binding policy, manual, impact and alignment assessments, 3-system inventory, 13-risk register, 20 controls, 8 gates, 6 objectives, audit, management review, JSON Schema, validator, 22 focused tests, and CI enforcement. Validator coverage is 84%; full protected-safe regression passed 335/1 at 88.33%; validation 5/5, Ruff, baseline 9/9, and demo 2/2 passed.</x:v>
      </x:c>
      <x:c r="K29" s="431" t="str">
        <x:v>D-115 adopted. The visibly third-party-licensed ISO PDF stayed outside Git and was not used as project evidence. Internal alignment is not conformity or certification. Normal governance validation passes while strict release-ready mode correctly fails on AIR-003, AIR-010, and NC-001. D-114 remains pending.</x:v>
      </x:c>
      <x:c r="L29" s="431" t="str">
        <x:v>Review and integrate G0.1; then accept or revise D-114 separately. Preserve the D-113 no-rerun boundary and release hold.</x:v>
      </x:c>
      <x:c r="M29" s="431" t="str">
        <x:v>codex/iso-42001-ai-quality-system; D-115; EV-165-EV-170; R-017; IMP-029-IMP-030</x:v>
      </x:c>
    </x:row>
    <x:row r="30">
      <x:c r="A30" s="83" t="str">
        <x:v>WB-027</x:v>
      </x:c>
      <x:c r="B30" s="84" t="n">
        <x:v>46225</x:v>
      </x:c>
      <x:c r="C30" s="83"/>
      <x:c r="D30" s="83"/>
      <x:c r="E30" s="83" t="str">
        <x:v>P4.2</x:v>
      </x:c>
      <x:c r="F30" s="85"/>
      <x:c r="G30" s="178" t="n">
        <x:v>6</x:v>
      </x:c>
      <x:c r="H30" s="83" t="str">
        <x:v>Complete / D-116 Review</x:v>
      </x:c>
      <x:c r="I30" s="83" t="str">
        <x:v>Accept D-114, reproduce and isolate the atomic publication failure with development-only evidence, implement the smallest correction, install a production-equivalent sentinel, and return a separate external-benchmark recovery definition.</x:v>
      </x:c>
      <x:c r="J30" s="83" t="str">
        <x:v>Merged PR #67 at exact main 540a1f6; reproduced pre-fix child exit 70; identified write_package_result FileNotFoundError/errno 2 at a 263-character legacy staged path; added short internal publication names, exact diagnostics, fallback marker, sentinel script, CI gate, review/evidence records, and proposed D-116. PR #68 implementation 1c5216e passes both hosted checks; Linux sentinel publishes four outputs at an adapted 223-character root and full regression passes 341 at 88.50%. Local proof: 53 focused, full 340/1 at 88.48%, validation 5/5, Ruff, development benchmark 22/22, baseline 9/9, demo 2/2.</x:v>
      </x:c>
      <x:c r="K30" s="83" t="str">
        <x:v>D-114 accepted and implemented. NC-001 is closed and AIR-010 controlled without clearing AIR-003. Controlled reproduction used development inputs only. A final broad search traversed tracked release-ineligible historical held-out folders; no external D-113 or future D-116 family was accessed, semantic execution count remains zero, and IMP-032 now mandates exclusions. D-116 remains pending.</x:v>
      </x:c>
      <x:c r="L30" s="83" t="str">
        <x:v>Review and merge PR #68. Accept or revise D-116 before any new external family preparation; require a separate freeze decision before semantic execution.</x:v>
      </x:c>
      <x:c r="M30" s="83" t="str">
        <x:v>codex/p4.2-publication-stabilization; PR #68; implementation 1c5216e; D-114; proposed D-116; EV-171-EV-178; I-009; R-018; IMP-028; IMP-030-IMP-032</x:v>
      </x:c>
    </x:row>
    <x:row r="31" ht="190" customHeight="1">
      <x:c r="A31" s="431" t="str">
        <x:v>WB-028</x:v>
      </x:c>
      <x:c r="B31" s="491" t="n">
        <x:v>46226</x:v>
      </x:c>
      <x:c r="C31" s="431"/>
      <x:c r="D31" s="431"/>
      <x:c r="E31" s="431" t="str">
        <x:v>P4.2</x:v>
      </x:c>
      <x:c r="F31" s="432"/>
      <x:c r="G31" s="433" t="n">
        <x:v>6</x:v>
      </x:c>
      <x:c r="H31" s="431" t="str">
        <x:v>Complete / D-117 Review</x:v>
      </x:c>
      <x:c r="I31" s="431" t="str">
        <x:v>Accept D-116, integrate D-114, prepare one materially distinct external family and oracle-blind runner under separated custody, prove the final physical publication path, and return an exact zero-run D-117 gate.</x:v>
      </x:c>
      <x:c r="J31" s="431" t="str">
        <x:v>Merged PR #68 at exact main 3a6766f; authored eight opaque carton-indexing conveyor scenarios outside Git; verified rights, manifests, authority/oracle contract, and zero leakage; preserved three rejected runner revisions; froze short-root runner R4 with exact evaluator, local dependency environment, bytecode and path controls; passed 8/8 mandatory and 51/51 detailed controls plus one four-output development sentinel. Local governance 22/22; full 340/1 at 88.33%; validation 5/5; Ruff; repository sentinel; development benchmark 22/22; baseline 9/9; demo 2/2. PR #69 hosted workflows 2/2; Linux sentinel 4 outputs at runs path 223; full 341 at 88.50%.</x:v>
      </x:c>
      <x:c r="K31" s="431" t="str">
        <x:v>D-116 is complete, but no benchmark-performance evidence exists yet. Opaque semantic executions, held-out publications, and protected comparisons remain zero; D-117 authorization is absent. Failed runners and failed sentinel evidence remain immutable. This is internal AI-assisted review, not external independent assurance.</x:v>
      </x:c>
      <x:c r="L31" s="431" t="str">
        <x:v>Review the D-116 freeze and proposed D-117. Do not create authorization or run the exact command until the owner explicitly accepts D-117.</x:v>
      </x:c>
      <x:c r="M31" s="431" t="str">
        <x:v>codex/p4.2-external-benchmark-recovery-preparation; PR #68 main 3a6766f; D-116; proposed D-117; EV-179-EV-184; I-010; IMP-033-IMP-035; AIR-003</x:v>
      </x:c>
    </x:row>
    <x:row r="32" ht="205" customHeight="1">
      <x:c r="A32" s="431" t="str">
        <x:v>WB-029</x:v>
      </x:c>
      <x:c r="B32" s="491" t="n">
        <x:v>46226</x:v>
      </x:c>
      <x:c r="C32" s="431"/>
      <x:c r="D32" s="431"/>
      <x:c r="E32" s="431" t="str">
        <x:v>P4.2</x:v>
      </x:c>
      <x:c r="F32" s="432"/>
      <x:c r="G32" s="433"/>
      <x:c r="H32" s="431" t="str">
        <x:v>Complete / D-118 Review</x:v>
      </x:c>
      <x:c r="I32" s="431" t="str">
        <x:v>Execute D-117 exactly once, freeze and verify raw evidence without oracle access, perform one separate protected comparison, classify the result honestly, and return the next bounded owner gate.</x:v>
      </x:c>
      <x:c r="J32" s="431" t="str">
        <x:v>Merged PR #69 at exact main 04d919f; created exact authorization; invoked runner once; completed 8/8 attempts and publications; froze 73 read-only files at f9bc8135...cb5c; passed raw verifier 14/14 after preserving two failed verifier revisions; completed protected comparison; identified shared authority-map defect; opened NC-002 and AIR-011; authored D-118 and AIMS-AUD-002. Local governance 22/22; full 340/1 at 88.33%; validation 5/5; Ruff; sentinel 4; development benchmark 22/22; baseline 9/9; demo 2/2.</x:v>
      </x:c>
      <x:c r="K32" s="431" t="str">
        <x:v>D-117 cannot support intended relationship-performance claims: exact findings 0/8, expected finding true positives 0/7, unexpected findings 8, clean false positives 1/1, and target checks executed 0/7. A preserved long-temp-root regression failure produced IMP-039; the unchanged suite passed under short runs/t117f.</x:v>
      </x:c>
      <x:c r="L32" s="431" t="str">
        <x:v>Review proposed D-118. Do not repair, rerun, reuse, create a new external family, execute another semantic benchmark, tune the evaluator, begin P4.3, or make release/performance claims.</x:v>
      </x:c>
      <x:c r="M32" s="431" t="str">
        <x:v>codex/p4.2-external-benchmark-first-run; PR #69 main 04d919f; D-117; proposed D-118; EV-185-EV-190; I-011; NC-002; AIR-003; AIR-011; IMP-036-IMP-039</x:v>
      </x:c>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497</x:v>
      </x:c>
      <x:c r="B1" s="235"/>
      <x:c r="C1" s="235"/>
      <x:c r="D1" s="235"/>
      <x:c r="E1" s="235"/>
      <x:c r="F1" s="235"/>
      <x:c r="G1" s="235"/>
      <x:c r="H1" s="235"/>
    </x:row>
    <x:row r="3" ht="15">
      <x:c r="A3" s="80" t="s">
        <x:v>498</x:v>
      </x:c>
      <x:c r="B3" s="80" t="s">
        <x:v>448</x:v>
      </x:c>
      <x:c r="C3" s="80" t="s">
        <x:v>499</x:v>
      </x:c>
      <x:c r="D3" s="80" t="s">
        <x:v>500</x:v>
      </x:c>
      <x:c r="E3" s="80" t="s">
        <x:v>56</x:v>
      </x:c>
      <x:c r="F3" s="80" t="s">
        <x:v>501</x:v>
      </x:c>
      <x:c r="G3" s="80" t="s">
        <x:v>502</x:v>
      </x:c>
      <x:c r="H3" s="80" t="s">
        <x:v>503</x:v>
      </x:c>
    </x:row>
    <x:row r="4" ht="28.5">
      <x:c r="A4" s="78" t="s">
        <x:v>504</x:v>
      </x:c>
      <x:c r="B4" s="81">
        <x:v>46200</x:v>
      </x:c>
      <x:c r="C4" s="78" t="s">
        <x:v>505</x:v>
      </x:c>
      <x:c r="D4" s="78" t="s">
        <x:v>506</x:v>
      </x:c>
      <x:c r="E4" s="78" t="s">
        <x:v>507</x:v>
      </x:c>
      <x:c r="F4" s="78" t="s">
        <x:v>508</x:v>
      </x:c>
      <x:c r="G4" s="78" t="s">
        <x:v>509</x:v>
      </x:c>
      <x:c r="H4" s="78" t="s">
        <x:v>510</x:v>
      </x:c>
    </x:row>
    <x:row r="5" ht="28.5">
      <x:c r="A5" s="78" t="s">
        <x:v>511</x:v>
      </x:c>
      <x:c r="B5" s="81">
        <x:v>46200</x:v>
      </x:c>
      <x:c r="C5" s="78" t="s">
        <x:v>512</x:v>
      </x:c>
      <x:c r="D5" s="78" t="s">
        <x:v>513</x:v>
      </x:c>
      <x:c r="E5" s="78" t="s">
        <x:v>507</x:v>
      </x:c>
      <x:c r="F5" s="78" t="s">
        <x:v>508</x:v>
      </x:c>
      <x:c r="G5" s="78" t="s">
        <x:v>207</x:v>
      </x:c>
      <x:c r="H5" s="78" t="s">
        <x:v>514</x:v>
      </x:c>
    </x:row>
    <x:row r="6" ht="28.5">
      <x:c r="A6" s="78" t="s">
        <x:v>515</x:v>
      </x:c>
      <x:c r="B6" s="81">
        <x:v>46207</x:v>
      </x:c>
      <x:c r="C6" s="78" t="s">
        <x:v>516</x:v>
      </x:c>
      <x:c r="D6" s="78" t="s">
        <x:v>517</x:v>
      </x:c>
      <x:c r="E6" s="78" t="s">
        <x:v>507</x:v>
      </x:c>
      <x:c r="F6" s="78" t="s">
        <x:v>68</x:v>
      </x:c>
      <x:c r="G6" s="78" t="s">
        <x:v>518</x:v>
      </x:c>
      <x:c r="H6" s="78" t="s">
        <x:v>519</x:v>
      </x:c>
    </x:row>
    <x:row r="7" ht="28.5">
      <x:c r="A7" s="78" t="s">
        <x:v>520</x:v>
      </x:c>
      <x:c r="B7" s="81">
        <x:v>46207</x:v>
      </x:c>
      <x:c r="C7" s="78" t="s">
        <x:v>521</x:v>
      </x:c>
      <x:c r="D7" s="78" t="s">
        <x:v>522</x:v>
      </x:c>
      <x:c r="E7" s="78" t="s">
        <x:v>507</x:v>
      </x:c>
      <x:c r="F7" s="78" t="s">
        <x:v>523</x:v>
      </x:c>
      <x:c r="G7" s="78" t="s">
        <x:v>524</x:v>
      </x:c>
      <x:c r="H7" s="78" t="s">
        <x:v>525</x:v>
      </x:c>
    </x:row>
    <x:row r="8" ht="28.5">
      <x:c r="A8" s="78" t="s">
        <x:v>526</x:v>
      </x:c>
      <x:c r="B8" s="81">
        <x:v>46207</x:v>
      </x:c>
      <x:c r="C8" s="78" t="s">
        <x:v>161</x:v>
      </x:c>
      <x:c r="D8" s="78" t="s">
        <x:v>527</x:v>
      </x:c>
      <x:c r="E8" s="78" t="s">
        <x:v>507</x:v>
      </x:c>
      <x:c r="F8" s="78" t="s">
        <x:v>528</x:v>
      </x:c>
      <x:c r="G8" s="78" t="s">
        <x:v>529</x:v>
      </x:c>
      <x:c r="H8" s="78" t="s">
        <x:v>530</x:v>
      </x:c>
    </x:row>
    <x:row r="9" ht="28.5">
      <x:c r="A9" s="78" t="s">
        <x:v>531</x:v>
      </x:c>
      <x:c r="B9" s="81">
        <x:v>46207</x:v>
      </x:c>
      <x:c r="C9" s="78" t="s">
        <x:v>532</x:v>
      </x:c>
      <x:c r="D9" s="78" t="s">
        <x:v>533</x:v>
      </x:c>
      <x:c r="E9" s="78" t="s">
        <x:v>507</x:v>
      </x:c>
      <x:c r="F9" s="78" t="s">
        <x:v>534</x:v>
      </x:c>
      <x:c r="G9" s="78" t="s">
        <x:v>535</x:v>
      </x:c>
      <x:c r="H9" s="78" t="s">
        <x:v>536</x:v>
      </x:c>
    </x:row>
    <x:row r="10" ht="28.5">
      <x:c r="A10" s="78" t="s">
        <x:v>537</x:v>
      </x:c>
      <x:c r="B10" s="81">
        <x:v>46207</x:v>
      </x:c>
      <x:c r="C10" s="78" t="s">
        <x:v>538</x:v>
      </x:c>
      <x:c r="D10" s="78" t="s">
        <x:v>539</x:v>
      </x:c>
      <x:c r="E10" s="78" t="s">
        <x:v>507</x:v>
      </x:c>
      <x:c r="F10" s="78" t="s">
        <x:v>540</x:v>
      </x:c>
      <x:c r="G10" s="78" t="s">
        <x:v>541</x:v>
      </x:c>
      <x:c r="H10" s="78" t="s">
        <x:v>542</x:v>
      </x:c>
    </x:row>
    <x:row r="11" ht="28.5">
      <x:c r="A11" s="78" t="s">
        <x:v>543</x:v>
      </x:c>
      <x:c r="B11" s="81">
        <x:v>46207</x:v>
      </x:c>
      <x:c r="C11" s="78" t="s">
        <x:v>544</x:v>
      </x:c>
      <x:c r="D11" s="78" t="s">
        <x:v>545</x:v>
      </x:c>
      <x:c r="E11" s="78" t="s">
        <x:v>507</x:v>
      </x:c>
      <x:c r="F11" s="78" t="s">
        <x:v>546</x:v>
      </x:c>
      <x:c r="G11" s="78" t="s">
        <x:v>202</x:v>
      </x:c>
      <x:c r="H11" s="78" t="s">
        <x:v>547</x:v>
      </x:c>
    </x:row>
    <x:row r="12" ht="62.099998474121094" customHeight="1">
      <x:c r="A12" s="182" t="s">
        <x:v>548</x:v>
      </x:c>
      <x:c r="B12" s="196">
        <x:v>46208</x:v>
      </x:c>
      <x:c r="C12" s="183" t="s">
        <x:v>549</x:v>
      </x:c>
      <x:c r="D12" s="183" t="s">
        <x:v>550</x:v>
      </x:c>
      <x:c r="E12" s="183" t="s">
        <x:v>507</x:v>
      </x:c>
      <x:c r="F12" s="183" t="s">
        <x:v>551</x:v>
      </x:c>
      <x:c r="G12" s="183" t="s">
        <x:v>552</x:v>
      </x:c>
      <x:c r="H12" s="184" t="s">
        <x:v>553</x:v>
      </x:c>
    </x:row>
    <x:row r="13" ht="62.099998474121094" customHeight="1">
      <x:c r="A13" s="187" t="s">
        <x:v>554</x:v>
      </x:c>
      <x:c r="B13" s="197">
        <x:v>46208</x:v>
      </x:c>
      <x:c r="C13" s="188" t="s">
        <x:v>555</x:v>
      </x:c>
      <x:c r="D13" s="188" t="s">
        <x:v>556</x:v>
      </x:c>
      <x:c r="E13" s="188" t="s">
        <x:v>507</x:v>
      </x:c>
      <x:c r="F13" s="188" t="s">
        <x:v>557</x:v>
      </x:c>
      <x:c r="G13" s="188" t="s">
        <x:v>558</x:v>
      </x:c>
      <x:c r="H13" s="189" t="s">
        <x:v>559</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ht="369" customHeight="1">
      <x:c r="A87" s="431" t="str">
        <x:v>D-084</x:v>
      </x:c>
      <x:c r="B87" s="431" t="n">
        <x:v>46223</x:v>
      </x:c>
      <x:c r="C87" s="431" t="str">
        <x:v>Accept P3.3 implementation b5f0fcd and review evidence 411928e as the bounded first runnable package audit, integrated through PR #40 at exact main e4080fd. Close P3.3 and authorize only a definition block for the remaining P2.3 BOM, equipment, datasheet, specification, and revision relationships.</x:v>
      </x:c>
      <x:c r="D87" s="431" t="str">
        <x:v>The user explicitly accepted P3.3 and instructed the project to begin P2.3. Both GitHub Actions checks passed before merge, and exact-main verification reproduced the reviewed focused/full tests, validation, Ruff, and coverage. A definition gate is required because P2.3 contains several authority relationships and single-source fields that must not be conflated into one broad implementation.</x:v>
      </x:c>
      <x:c r="E87" s="431" t="str">
        <x:v>Accepted</x:v>
      </x:c>
      <x:c r="F87" s="431" t="str">
        <x:v>P3.3 acceptance and P2.3 definition authorization</x:v>
      </x:c>
      <x:c r="G87" s="431" t="str">
        <x:v>User instruction 2026-07-20; PR #40; implementation b5f0fcd; review evidence 411928e; exact main e4080fd; focused 49; full 271/1; validation 5/5; Ruff; coverage 86.76%; EV-081; IMP-012</x:v>
      </x:c>
      <x:c r="H87" s="431" t="str">
        <x:v>Create codex/p2.3-relationship-expansion-definition from the P3.3 integration closeout. Freeze ordered checks, authority dependencies, evidence, state/hold routing, prerequisites, tests, and exclusions. No P2.3 implementation or held-out semantic execution before definition acceptance.</x:v>
      </x:c>
    </x:row>
    <x:row r="88" ht="369" customHeight="1">
      <x:c r="A88" s="431" t="str">
        <x:v>D-085</x:v>
      </x:c>
      <x:c r="B88" s="431" t="n">
        <x:v>46223</x:v>
      </x:c>
      <x:c r="C88" s="431" t="str">
        <x:v>Propose the P2.3 relationship-expansion definition with six ordered existing-authority checks and six explicit authority/source gaps. Require one check per implementation and acceptance slice, beginning with BOM item/equipment manifest reciprocity under exact AUTH-BOM-002. Do not represent single-source structural validation as cross-document reconciliation.</x:v>
      </x:c>
      <x:c r="D88" s="431" t="str">
        <x:v>The accepted package can support deterministic BOM item/equipment reciprocity, equipment drawing presence, datasheet authority presence and agreement, datasheet manifest reciprocity, and specification revision-history checks. Quantity, part/material, item/drawing, specification association, datasheet revision, and technical-value claims lack an exact comparison source or authority rule. Separating them prevents false assurance while allowing useful P2.3 work to proceed.</x:v>
      </x:c>
      <x:c r="E88" s="431" t="str">
        <x:v>Proposed</x:v>
      </x:c>
      <x:c r="F88" s="431" t="str">
        <x:v>P2.3 relationship-expansion definition review</x:v>
      </x:c>
      <x:c r="G88" s="431" t="str">
        <x:v>docs/package_assurance/p2_3_relationship_expansion_definition_v0.3.0.md; baseline 26b7aa2; exact authority rules AUTH-BOM-002, AUTH-SPEC-001, AUTH-SPEC-003; EV-082; IMP-013</x:v>
      </x:c>
      <x:c r="H88" s="431" t="str">
        <x:v>Review and explicitly accept, revise, or reject the definition. If accepted, create codex/p2.3-bom-item-equipment-reciprocity and implement only check 6. Authority-gap claims and held-out semantics remain blocked.</x:v>
      </x:c>
    </x:row>
    <x:row r="89" ht="369" customHeight="1">
      <x:c r="A89" s="431" t="str">
        <x:v>D-086</x:v>
      </x:c>
      <x:c r="B89" s="431" t="n">
        <x:v>46223</x:v>
      </x:c>
      <x:c r="C89" s="431" t="str">
        <x:v>Accept the P2.3 relationship-expansion definition integrated through PR #41 at exact main a855d99. Authorize only check 6, bom_item_equipment_manifest_reciprocity v0.3.0, under exact AUTH-BOM-002 on its dedicated branch. Require separate explicit acceptance before implementation integration.</x:v>
      </x:c>
      <x:c r="D89" s="431" t="str">
        <x:v>The user explicitly accepted the definition and directed implementation of check 6. The reviewed definition proves six uncovered relationship conditions, freezes one-check-per-slice delivery, and keeps six unsupported claims visible as authority/source gaps rather than weak assurance claims.</x:v>
      </x:c>
      <x:c r="E89" s="431" t="str">
        <x:v>Accepted</x:v>
      </x:c>
      <x:c r="F89" s="431" t="str">
        <x:v>P2.3 definition acceptance and check 6 authorization</x:v>
      </x:c>
      <x:c r="G89" s="431" t="str">
        <x:v>User instruction 2026-07-20; PR #41; definition 5a48dcb; exact main a855d99; D-085; EV-082-EV-083; IMP-013</x:v>
      </x:c>
      <x:c r="H89" s="431" t="str">
        <x:v>Create codex/p2.3-bom-item-equipment-reciprocity from the accepted closeout. Implement only check 6 and prove it through relationships, canonical result, reports, publication, and CLI. Do not implement checks 7-11 or any blocked authority-gap claim.</x:v>
      </x:c>
    </x:row>
    <x:row r="90" ht="387" customHeight="1">
      <x:c r="A90" s="431" t="str">
        <x:v>D-087</x:v>
      </x:c>
      <x:c r="B90" s="431" t="n">
        <x:v>46223</x:v>
      </x:c>
      <x:c r="C90" s="431" t="str">
        <x:v>Propose acceptance of P2.3 check 6 implementation c1dcc4a as the bounded bom_item_equipment_manifest_reciprocity v0.3.0 control. Require exact AUTH-BOM-002, one stable high-severity automatic-fail release hold per affected item, independent authority prerequisites, and unchanged gates, checks 1-5, result routing, report meaning, publication, and exits.</x:v>
      </x:c>
      <x:c r="D90" s="431" t="str">
        <x:v>The implementation closes the accepted wrong-valid declaration gap without adding schemas, fixtures, authority rules, or broader reconciliation claims. Missing, extra, wrong, and multiple declarations are deterministic and evidence-linked; an unrelated drawing-authority failure does not block valid BOM evidence.</x:v>
      </x:c>
      <x:c r="E90" s="431" t="str">
        <x:v>Accepted</x:v>
      </x:c>
      <x:c r="F90" s="431" t="str">
        <x:v>P2.3 check 6 implementation review</x:v>
      </x:c>
      <x:c r="G90" s="431" t="str">
        <x:v>Implementation c1dcc4a; relationship 31; focused 75; full 278/1; validation 5/5; Ruff; coverage 87.02%; inspected scratch/p23-check6-review-evidence clean and wrong-target runs; EV-084; IMP-013-IMP-014</x:v>
      </x:c>
      <x:c r="H90" s="431" t="str">
        <x:v>Integrated through PR #42 at exact main 559bb81. Proceed with the approved bounded relationship-maintainability stabilization before implementing check 7. Checks 8-11, authority gaps, held-out semantics, and deferred capabilities retain their gates.</x:v>
      </x:c>
    </x:row>
    <x:row r="91" ht="387" customHeight="1">
      <x:c r="A91" s="431" t="str">
        <x:v>D-088</x:v>
      </x:c>
      <x:c r="B91" s="431" t="n">
        <x:v>46223</x:v>
      </x:c>
      <x:c r="C91" s="431" t="str">
        <x:v>Accept P2.3 check 6 and its integration through PR #42 at exact main 559bb81. Authorize a bounded behavior-preserving maintainability stabilization of the relationship implementation and focused-test structure before check 7, followed by only bom_equipment_drawing_presence under the already accepted P2.3 contract.</x:v>
      </x:c>
      <x:c r="D91" s="431" t="str">
        <x:v>The user accepted check 6 and approved the management-review sequence. The current relationship source and focused test modules exceed 1,700 lines before five additional checks. A small domain split now reduces review and regression risk without changing product behavior or creating a generic rule engine.</x:v>
      </x:c>
      <x:c r="E91" s="431" t="str">
        <x:v>Accepted</x:v>
      </x:c>
      <x:c r="F91" s="431" t="str">
        <x:v>Check 6 closeout and maintainability stabilization authorization</x:v>
      </x:c>
      <x:c r="G91" s="431" t="str">
        <x:v>User instruction 2026-07-20; PR #42; implementation c1dcc4a; review evidence 0386b7f; merge/main 559bb81; D-087; EV-084-EV-085; IMP-013-IMP-014</x:v>
      </x:c>
      <x:c r="H91" s="431" t="str">
        <x:v>Refactor only relationship implementation and tests into clear domain boundaries with exact behavior preservation. Run focused/full regression, validation, Ruff, and coverage. Then implement only accepted check 7. No protected, held-out, schema, authority, or deferred-capability change.</x:v>
      </x:c>
    </x:row>
    <x:row r="92" ht="369" customHeight="1">
      <x:c r="A92" s="431" t="str">
        <x:v>D-089</x:v>
      </x:c>
      <x:c r="B92" s="431" t="n">
        <x:v>46223</x:v>
      </x:c>
      <x:c r="C92" s="431" t="str">
        <x:v>Accept the behavior-preserving relationship maintainability stabilization integrated through PR #44 at exact main 56ac9d1 and authorize check 7, bom_equipment_drawing_presence, under the already accepted P2.3 contract and exact AUTH-BOM-002.</x:v>
      </x:c>
      <x:c r="D92" s="431" t="str">
        <x:v>The user approved the management sequence. The split preserves every prior function AST and all accepted behavior while making the BOM/equipment domain independently reviewable. Both GitHub CI runs passed. The accepted check 7 contract is already frozen and requires no new source, schema, or authority rule.</x:v>
      </x:c>
      <x:c r="E92" s="431" t="str">
        <x:v>Accepted</x:v>
      </x:c>
      <x:c r="F92" s="431" t="str">
        <x:v>Relationship stabilization acceptance and check 7 authorization</x:v>
      </x:c>
      <x:c r="G92" s="431" t="str">
        <x:v>User instruction 2026-07-20; PR #44; implementation 1f34781; merge/main 56ac9d1; EV-086; IMP-015</x:v>
      </x:c>
      <x:c r="H92" s="431" t="str">
        <x:v>Implement only bom_equipment_drawing_presence. Require exact AUTH-BOM-002, one evidence-linked hold per missing BOM equipment tag, stable order and identity, and unchanged prior checks/result/report/CLI behavior.</x:v>
      </x:c>
    </x:row>
    <x:row r="93" ht="387" customHeight="1">
      <x:c r="A93" s="431" t="str">
        <x:v>D-090</x:v>
      </x:c>
      <x:c r="B93" s="431" t="n">
        <x:v>46223</x:v>
      </x:c>
      <x:c r="C93" s="431" t="str">
        <x:v>Accept and integrate P2.3 check 7, bom_equipment_drawing_presence v0.3.0, through PR #45 at exact main 273c36a. Every release-required BOM equipment tag must appear in drawing metadata under exact AUTH-BOM-002 without treating the BOM drawing_number as authoritative.</x:v>
      </x:c>
      <x:c r="D93" s="431" t="str">
        <x:v>The user accepted check 7 and authorized the executive sequence. The implementation produces one deterministic high-severity automatic-fail release hold per missing BOM item/tag and preserves all predecessor, result, report, publication, and CLI contracts. Both GitHub checks passed before merge.</x:v>
      </x:c>
      <x:c r="E93" s="431" t="str">
        <x:v>Accepted</x:v>
      </x:c>
      <x:c r="F93" s="431" t="str">
        <x:v>P2.3 check 7 acceptance and integration</x:v>
      </x:c>
      <x:c r="G93" s="431" t="str">
        <x:v>User instruction 2026-07-20; implementation 01a70c2; PR #45; merge/main 273c36a; EV-087-EV-088; IMP-013-IMP-015</x:v>
      </x:c>
      <x:c r="H93" s="431" t="str">
        <x:v>Preserve check 7 as accepted. Open the authorized structured-package trial decision. Checks 8-11, authority gaps, held-out semantics, protected assets, and deferred capabilities remain blocked.</x:v>
      </x:c>
    </x:row>
    <x:row r="94" ht="360" customHeight="1">
      <x:c r="A94" s="431" t="str">
        <x:v>D-091</x:v>
      </x:c>
      <x:c r="B94" s="431" t="n">
        <x:v>46223</x:v>
      </x:c>
      <x:c r="C94" s="431" t="str">
        <x:v>Select and authorize one sanitized structured mechanical package for a development-only practical-use trial under authorized_structured_package_trial_v0.3.0.md.</x:v>
      </x:c>
      <x:c r="D94" s="431" t="str">
        <x:v>A realistic package is now more valuable than another isolated rule because it can expose preparation burden, evidence usability, false findings, missed conditions, and authority gaps. The trial is not benchmark evidence, engineering approval, or a production claim.</x:v>
      </x:c>
      <x:c r="E94" s="431" t="str">
        <x:v>Proposed</x:v>
      </x:c>
      <x:c r="F94" s="431" t="str">
        <x:v>Authorized structured-package trial entry decision</x:v>
      </x:c>
      <x:c r="G94" s="431" t="str">
        <x:v>codex/p2.3-real-package-structured-trial; docs/package_assurance/authorized_structured_package_trial_v0.3.0.md; EV-088-EV-089</x:v>
      </x:c>
      <x:c r="H94" s="431" t="str">
        <x:v>CEO identifies the package location, confirms permitted use and sanitization/retention boundaries, and names a qualified reviewer. Stop before package intake until all four inputs are recorded.</x:v>
      </x:c>
    </x:row>
    <x:row r="95" ht="387" customHeight="1">
      <x:c r="A95" s="431" t="str">
        <x:v>D-092</x:v>
      </x:c>
      <x:c r="B95" s="431" t="n">
        <x:v>46223</x:v>
      </x:c>
      <x:c r="C95" s="431" t="str">
        <x:v>Select Precious Plastic Shredder Basic 3.3 as the recommended first public practical-use trial package after comparing it with NASA/JPL Open Source Rover v4.0.0 and OpenFlexure Microscope v7.0.0-beta5.</x:v>
      </x:c>
      <x:c r="D95" s="431" t="str">
        <x:v>Precious Plastic most closely matches the target workflow because one bounded fabrication package is described as containing CAD, DXF, blueprint PDFs, schematics, a BOM, and supporting manufacturing material. Its likely revision and authority gaps are useful trial learning and must be reported rather than filled in.</x:v>
      </x:c>
      <x:c r="E95" s="431" t="str">
        <x:v>Accepted</x:v>
      </x:c>
      <x:c r="F95" s="431" t="str">
        <x:v>Public trial package selection</x:v>
      </x:c>
      <x:c r="G95" s="431" t="str">
        <x:v>docs/package_assurance/public_trial_package_shortlist_2026-07-20.md; official publisher sources; PR #46; exact main 361cc77; EV-090-EV-091</x:v>
      </x:c>
      <x:c r="H95" s="431" t="str">
        <x:v>Integrate the selection record, then perform official-source verification, local Git-ignored intake, hashing, inventory, and a fit-and-gap assessment for Precious Plastic before transformation or audit execution.</x:v>
      </x:c>
    </x:row>
    <x:row r="96" ht="387" customHeight="1">
      <x:c r="A96" s="431" t="str">
        <x:v>D-093</x:v>
      </x:c>
      <x:c r="B96" s="431" t="n">
        <x:v>46223</x:v>
      </x:c>
      <x:c r="C96" s="431" t="str">
        <x:v>Approve a sequential three-package practical-use program: Precious Plastic Shredder Basic 3.3 as trial 1, NASA/JPL Open Source Rover v4.0.0 as trial 2, and OpenFlexure Microscope v7.0.0-beta5 as trial 3. A later trial cannot begin until the preceding package is reviewed and accepted.</x:v>
      </x:c>
      <x:c r="D96" s="431" t="str">
        <x:v>Multiple independent packages are needed to distinguish package-specific friction from repeatable product behavior. Sequential gates preserve evidence independence, prevent premature rule changes from contaminating later trials, and keep the first real-package learning bounded.</x:v>
      </x:c>
      <x:c r="E96" s="431" t="str">
        <x:v>Accepted</x:v>
      </x:c>
      <x:c r="F96" s="431" t="str">
        <x:v>Sequential public-package trial program</x:v>
      </x:c>
      <x:c r="G96" s="431" t="str">
        <x:v>CEO instruction 2026-07-20; docs/package_assurance/public_trial_package_shortlist_2026-07-20.md; docs/package_assurance/authorized_structured_package_trial_v0.3.0.md; EV-091-EV-092</x:v>
      </x:c>
      <x:c r="H96" s="431" t="str">
        <x:v>Complete and review Precious Plastic intake and fit-gap assessment. Do not begin NASA/JPL until trial 1 is accepted; do not begin OpenFlexure until trial 2 is accepted.</x:v>
      </x:c>
    </x:row>
    <x:row r="97" ht="351" customHeight="1">
      <x:c r="A97" s="431" t="str">
        <x:v>D-094</x:v>
      </x:c>
      <x:c r="B97" s="431" t="n">
        <x:v>46223</x:v>
      </x:c>
      <x:c r="C97" s="431" t="str">
        <x:v>Stop the Precious Plastic Shredder Basic 3.3 trial because the official package source requires an account the user cannot create or access. Preserve the access-stop evidence and do not attempt an authentication workaround.</x:v>
      </x:c>
      <x:c r="D97" s="431" t="str">
        <x:v>A practical-use trial must use source material obtained through permitted, reproducible access. An unavailable official download cannot support preservation, hashing, inventory, or an independently repeatable review.</x:v>
      </x:c>
      <x:c r="E97" s="431" t="str">
        <x:v>Accepted</x:v>
      </x:c>
      <x:c r="F97" s="431" t="str">
        <x:v>Precious Plastic access-stop decision</x:v>
      </x:c>
      <x:c r="G97" s="431" t="str">
        <x:v>CEO instruction 2026-07-20; local Git-ignored intake state; docs/package_assurance/public_trial_package_shortlist_2026-07-20.md; EV-093</x:v>
      </x:c>
      <x:c r="H97" s="431" t="str">
        <x:v>Record that no files were downloaded, retain null archive evidence, and remove Precious Plastic from active execution without erasing the original selection history.</x:v>
      </x:c>
    </x:row>
    <x:row r="98" ht="387" customHeight="1">
      <x:c r="A98" s="431" t="str">
        <x:v>D-095</x:v>
      </x:c>
      <x:c r="B98" s="431" t="n">
        <x:v>46223</x:v>
      </x:c>
      <x:c r="C98" s="431" t="str">
        <x:v>Run NASA/JPL Open Source Rover v4.0.0 and OpenFlexure Microscope v7.0.0-beta5 as co-equal public-package intake and fit-gap trials under one evidence protocol.</x:v>
      </x:c>
      <x:c r="D98" s="431" t="str">
        <x:v>Using identical controls prevents package-specific convenience from becoming a hidden quality difference. Completing both before comparison provides broader product learning across a conventional assembly repository and a generated parametric release.</x:v>
      </x:c>
      <x:c r="E98" s="431" t="str">
        <x:v>Accepted</x:v>
      </x:c>
      <x:c r="F98" s="431" t="str">
        <x:v>Co-equal dual public-package trial</x:v>
      </x:c>
      <x:c r="G98" s="431" t="str">
        <x:v>CEO instruction 2026-07-20; D-093-D-094; docs/package_assurance/authorized_structured_package_trial_v0.3.0.md; docs/package_assurance/public_trial_package_shortlist_2026-07-20.md; EV-093-EV-094</x:v>
      </x:c>
      <x:c r="H98" s="431" t="str">
        <x:v>Verify official release source and license, preserve and hash each untouched archive, inventory files, assess source families and authority gaps, and return one combined fit-gap review before transformation or audit execution.</x:v>
      </x:c>
    </x:row>
    <x:row r="99" ht="387" customHeight="1">
      <x:c r="A99" s="431" t="str">
        <x:v>D-096</x:v>
      </x:c>
      <x:c r="B99" s="431" t="n">
        <x:v>46223</x:v>
      </x:c>
      <x:c r="C99" s="431" t="str">
        <x:v>Accept the completed NASA/JPL and OpenFlexure intakes and authorize one controlled manual source-to-audit mapping definition for each package under a shared transformation-and-assumption log.</x:v>
      </x:c>
      <x:c r="D99" s="431" t="str">
        <x:v>Both packages provide useful and complementary real-world structures, but neither can enter the accepted audit unchanged. Defining mappings before transformation prevents missing authority from being invented and tests preparation burden without weakening evaluator contracts.</x:v>
      </x:c>
      <x:c r="E99" s="431" t="str">
        <x:v>Accepted</x:v>
      </x:c>
      <x:c r="F99" s="431" t="str">
        <x:v>Dual controlled mapping-definition gate</x:v>
      </x:c>
      <x:c r="G99" s="431" t="str">
        <x:v>docs/package_assurance/dual_public_package_intake_fit_gap_2026-07-20.md; D-094-D-095; EV-093-EV-096</x:v>
      </x:c>
      <x:c r="H99" s="431" t="str">
        <x:v>Accepted by the CEO on 2026-07-20. PR #48 merged the reviewed dual intake and fit-gap at exact main 99d16b6. Mapping definitions are authorized; source conversion, working-package creation, and audit execution remain blocked.</x:v>
      </x:c>
    </x:row>
    <x:row r="100" ht="450" customHeight="1">
      <x:c r="A100" s="431" t="str">
        <x:v>D-097</x:v>
      </x:c>
      <x:c r="B100" s="431" t="n">
        <x:v>46223</x:v>
      </x:c>
      <x:c r="C100" s="431" t="str">
        <x:v>Accept the bounded NASA/JPL v4.0.0 mechanical-rover and OpenFlexure v7.0.0-beta5 high-resolution-microscope source-to-audit mappings plus the shared transformation-and-assumption log contract. Authorize controlled local working-copy preparation for both packages with populated logs, followed by review before audit execution.</x:v>
      </x:c>
      <x:c r="D100" s="431" t="str">
        <x:v>The mappings distinguish publisher facts, deterministic trial preparation, missing authority, and true non-applicability. Preparing both packages under one traceability contract tests real-world input burden without weakening accepted evaluator contracts or hiding expected missing-authority holds.</x:v>
      </x:c>
      <x:c r="E100" s="431" t="str">
        <x:v>Accepted</x:v>
      </x:c>
      <x:c r="F100" s="431" t="str">
        <x:v>Dual controlled preparation gate</x:v>
      </x:c>
      <x:c r="G100" s="431" t="str">
        <x:v>docs/package_assurance/nasa_jpl_open_source_rover_mapping_definition_v0.3.0.md; docs/package_assurance/openflexure_microscope_mapping_definition_v0.3.0.md; docs/package_assurance/transformation_and_assumption_log_contract_v0.3.0.md; D-096; EV-097-EV-098</x:v>
      </x:c>
      <x:c r="H100" s="431" t="str">
        <x:v>Accepted by the CEO on 2026-07-20. PR #49 merged the exact reviewed mappings at main 53e19ad. Separate Git-ignored package preparation with populated logs was authorized; audit execution remained blocked pending output review.</x:v>
      </x:c>
    </x:row>
    <x:row r="101" ht="495" customHeight="1">
      <x:c r="A101" s="431" t="str">
        <x:v>D-098</x:v>
      </x:c>
      <x:c r="B101" s="431" t="n">
        <x:v>46223</x:v>
      </x:c>
      <x:c r="C101" s="431" t="str">
        <x:v>Accept the exact prepared NASA/JPL and OpenFlexure package trees and their populated transformation-and-assumption logs. Authorize one controlled audit-package run per package, executed sequentially but treated as co-equal trials.</x:v>
      </x:c>
      <x:c r="D101" s="431" t="str">
        <x:v>The prepared packages are independently verified and retain known authority gaps. Controlled execution now tests actual evaluator behavior on realistic imperfect public sources without changing package definitions or evaluator policy during the observation block.</x:v>
      </x:c>
      <x:c r="E101" s="431" t="str">
        <x:v>Accepted</x:v>
      </x:c>
      <x:c r="F101" s="431" t="str">
        <x:v>Dual controlled audit-execution gate</x:v>
      </x:c>
      <x:c r="G101" s="431" t="str">
        <x:v>docs/package_assurance/dual_public_package_preparation_review_2026-07-20.md; D-097; EV-099-EV-100; package trees 52aedc3e... and 71656da7...</x:v>
      </x:c>
      <x:c r="H101" s="431" t="str">
        <x:v>Accepted by the user on 2026-07-20. PR #50 merged the preparation review at exact main 7009fe2. Both exact package trees and accepted logs were authorized for one sequential controlled audit each, with a mandatory stop on unexpected behavior.</x:v>
      </x:c>
    </x:row>
    <x:row r="102" ht="540" customHeight="1">
      <x:c r="A102" s="431" t="str">
        <x:v>D-099</x:v>
      </x:c>
      <x:c r="B102" s="431" t="n">
        <x:v>46223</x:v>
      </x:c>
      <x:c r="C102" s="431" t="str">
        <x:v>Accept the stopped NASA/JPL audit and cross-package diagnosis as valid learning evidence. Authorize a separate narrow identifier/result-contract stabilization before any public-package rerun.</x:v>
      </x:c>
      <x:c r="D102" s="431" t="str">
        <x:v>The strict result schema correctly blocked malformed evaluator findings. The defect is not bad public data: accepted optional BOM references were absent, but the identifier gate treated absence as malformed syntax and promoted the invalid blank value into a canonical result field. A narrow fix can preserve strict mandatory identifiers, authority holds, and result schemas without changing either package.</x:v>
      </x:c>
      <x:c r="E102" s="431" t="str">
        <x:v>Accepted</x:v>
      </x:c>
      <x:c r="F102" s="431" t="str">
        <x:v>Public-package audit stabilization gate</x:v>
      </x:c>
      <x:c r="G102" s="431" t="str">
        <x:v>docs/package_assurance/dual_public_package_audit_failure_review_2026-07-20.md; local ignored NASA/JPL failure evidence; EV-101-EV-103; IMP-017; D-098</x:v>
      </x:c>
      <x:c r="H102" s="431" t="str">
        <x:v>Accepted by the CEO on 2026-07-20. PR #51 merged the failure review at exact main 624acce. The separate stabilization changed only optional blank handling and invalid-finding representation, with synthetic full-CLI proof and no public-package rerun.</x:v>
      </x:c>
    </x:row>
    <x:row r="103" ht="558" customHeight="1">
      <x:c r="A103" s="431" t="str">
        <x:v>D-100</x:v>
      </x:c>
      <x:c r="B103" s="431" t="n">
        <x:v>46223</x:v>
      </x:c>
      <x:c r="C103" s="431" t="str">
        <x:v>Accept the D-099 identifier/result-contract stabilization and synthetic proof. Merge the fix, then authorize exactly one unchanged NASA/JPL rerun before any OpenFlexure audit.</x:v>
      </x:c>
      <x:c r="D103" s="431" t="str">
        <x:v>The fix preserves strict schemas and malformed-value holds while restoring the accepted missing-authority path. Synthetic full-CLI tests publish all four outputs at exit 3 and exit 1. A controlled NASA/JPL rerun is now the smallest real-world confirmation, but OpenFlexure should remain blocked until that result is inspected.</x:v>
      </x:c>
      <x:c r="E103" s="431" t="str">
        <x:v>Accepted</x:v>
      </x:c>
      <x:c r="F103" s="431" t="str">
        <x:v>NASA/JPL stabilization confirmation gate</x:v>
      </x:c>
      <x:c r="G103" s="431" t="str">
        <x:v>docs/package_assurance/identifier_result_contract_stabilization_review_2026-07-20.md; EV-104-EV-106; IMP-017; D-099; focused 47; full 289/1; coverage 87.57%; validation 5/5; Ruff; baseline 9/9; demo 2/2</x:v>
      </x:c>
      <x:c r="H103" s="431" t="str">
        <x:v>Accepted by the CEO on 2026-07-20. PR #52 merged the stabilization at exact main 0611d916. The accepted authority permitted exactly one unchanged NASA/JPL audit and required a stop before OpenFlexure.</x:v>
      </x:c>
    </x:row>
    <x:row r="104" ht="585" customHeight="1">
      <x:c r="A104" s="431" t="str">
        <x:v>D-101</x:v>
      </x:c>
      <x:c r="B104" s="431" t="n">
        <x:v>46223</x:v>
      </x:c>
      <x:c r="C104" s="431" t="str">
        <x:v>Accept the single D-100 NASA/JPL observation as matching its exact contract. Close I-004, retain IMP-017, and authorize exactly one unchanged OpenFlexure audit before check 8 or any deferred capability.</x:v>
      </x:c>
      <x:c r="D104" s="431" t="str">
        <x:v>NASA/JPL completed on its one authorized invocation with the expected missing_authoritative_information state, release hold true, exit 3, and four schema-valid outputs. Inputs remained exact and OpenFlexure was not run. One controlled OpenFlexure observation is now the smallest useful next proof.</x:v>
      </x:c>
      <x:c r="E104" s="431" t="str">
        <x:v>Accepted</x:v>
      </x:c>
      <x:c r="F104" s="431" t="str">
        <x:v>OpenFlexure controlled audit gate</x:v>
      </x:c>
      <x:c r="G104" s="431" t="str">
        <x:v>docs/package_assurance/nasa_jpl_public_audit_confirmation_review_2026-07-20.md; EV-107-EV-110; I-004; IMP-016-IMP-017; RUN-20260721T001431760486Z-4f1b9817; focused 53; full 289/1; coverage 87.57%; validation 5/5; Ruff; baseline 9/9; demo 2/2</x:v>
      </x:c>
      <x:c r="H104" s="431" t="str">
        <x:v>Accepted by the CEO on 2026-07-20. PR #53 merged the NASA/JPL confirmation at exact main 65c9699b. The accepted authority closed I-004, retained IMP-017, and permitted exactly one unchanged OpenFlexure audit with a mandatory stop before check 8.</x:v>
      </x:c>
    </x:row>
    <x:row r="105" ht="612" customHeight="1">
      <x:c r="A105" s="431" t="str">
        <x:v>D-102</x:v>
      </x:c>
      <x:c r="B105" s="431" t="n">
        <x:v>46223</x:v>
      </x:c>
      <x:c r="C105" s="431" t="str">
        <x:v>Accept the single D-101 OpenFlexure observation and close the dual public-package sequence. Adopt package-scoped finding identity for future aggregation and authorize only check 8, equipment_datasheet_authority_presence, next.</x:v>
      </x:c>
      <x:c r="D105" s="431" t="str">
        <x:v>OpenFlexure matched the exact missing-authority state, hold, exit, schema, and four-output contract from unchanged inputs. Both public packages now prove safe real-world intake and refusal, but not relationship-fault detection because authority blocked every check. Check 8 is the next accepted structured slice and the fastest controlled path back to product breadth.</x:v>
      </x:c>
      <x:c r="E105" s="431" t="str">
        <x:v>Accepted</x:v>
      </x:c>
      <x:c r="F105" s="431" t="str">
        <x:v>Dual public observation closeout and check 8 gate</x:v>
      </x:c>
      <x:c r="G105" s="431" t="str">
        <x:v>docs/package_assurance/openflexure_public_audit_confirmation_review_2026-07-20.md; EV-111-EV-115; I-004; IMP-016-IMP-018; RUN-20260721T004222043918Z-254a2eca; focused 53; full 289/1; coverage 87.57%; validation 5/5; Ruff; baseline 9/9; demo 2/2</x:v>
      </x:c>
      <x:c r="H105" s="431" t="str">
        <x:v>Accepted by the CEO on 2026-07-20. PR #54 merged the OpenFlexure confirmation at exact main b0b32bb. The accepted authority closed the dual public-package sequence, adopted package-scoped finding identity for future aggregation, and authorized check 8 only under exact AUTH-SPEC-001.</x:v>
      </x:c>
    </x:row>
    <x:row r="106" ht="612" customHeight="1">
      <x:c r="A106" s="431" t="str">
        <x:v>D-103</x:v>
      </x:c>
      <x:c r="B106" s="431" t="n">
        <x:v>46223</x:v>
      </x:c>
      <x:c r="C106" s="431" t="str">
        <x:v>Accept check 8, equipment_datasheet_authority_presence, as matching D-102. Merge the implementation and authorize only check 9, equipment_datasheet_association, next under exact AUTH-SPEC-001.</x:v>
      </x:c>
      <x:c r="D106" s="431" t="str">
        <x:v>Check 8 passes the clean package and detects zero or competing authoritative datasheet records with deterministic evidence, missing-authority state, release hold, exit 3, and four consistent outputs. Check 9 is the next bounded value step because it compares the BOM datasheet ID with the single authority record established by check 8.</x:v>
      </x:c>
      <x:c r="E106" s="431" t="str">
        <x:v>Accepted</x:v>
      </x:c>
      <x:c r="F106" s="431" t="str">
        <x:v>Equipment/datasheet association gate</x:v>
      </x:c>
      <x:c r="G106" s="431" t="str">
        <x:v>docs/package_assurance/equipment_datasheet_authority_presence_implementation_review_2026-07-20.md; EV-116-EV-119; IMP-013-IMP-015; clean RUN-20260721T025957813425Z-a7aee64f; fault RUN-20260721T025913235840Z-be4840eb; focused 111; full 295/1; coverage 87.71%; validation 5/5; Ruff; baseline 9/9; demo 2/2</x:v>
      </x:c>
      <x:c r="H106" s="431" t="str">
        <x:v>Accepted by the CEO on 2026-07-20. PR #55 passed both GitHub validation checks and merged check 8 at exact main fb0113d, authorizing only check 9 under exact AUTH-SPEC-001.</x:v>
      </x:c>
    </x:row>
    <x:row r="107" ht="648" customHeight="1">
      <x:c r="A107" s="431" t="str">
        <x:v>D-104</x:v>
      </x:c>
      <x:c r="B107" s="431" t="n">
        <x:v>46223</x:v>
      </x:c>
      <x:c r="C107" s="431" t="str">
        <x:v>Accept check 9, equipment_datasheet_association, as matching D-103. Merge the implementation and authorize one narrow Windows publication-resilience stabilization before check 10.</x:v>
      </x:c>
      <x:c r="D107" s="431" t="str">
        <x:v>Check 9 detects the accepted wrong-but-valid BOM datasheet reference through the complete result path. One transient PermissionError during the final atomic rename was preserved and then cleared on an unchanged invocation. Reliable publication should be stabilized before expanding to check 10.</x:v>
      </x:c>
      <x:c r="E107" s="431" t="str">
        <x:v>Accepted</x:v>
      </x:c>
      <x:c r="F107" s="431" t="str">
        <x:v>Check-9 acceptance and publication-resilience gate</x:v>
      </x:c>
      <x:c r="G107" s="431" t="str">
        <x:v>docs/package_assurance/equipment_datasheet_association_implementation_review_2026-07-20.md; EV-120-EV-124; I-005; IMP-019; clean RUN-20260721T034251280706Z-6efeff51; fault RUN-20260721T034329189347Z-dc3cd02a; preserved failed RUN-20260721T034252120538Z-fa89f942; focused 88; full 299/1; coverage 87.86%; validation 5/5; Ruff; baseline 9/9; demo 2/2</x:v>
      </x:c>
      <x:c r="H107" s="431" t="str">
        <x:v>Accepted by the CEO on 2026-07-21. PR #56 passed both GitHub validation checks and merged check 9 at exact main 7146b23. The accepted authority approved one narrow final-rename publication-resilience stabilization before check 10.</x:v>
      </x:c>
    </x:row>
    <x:row r="108" ht="639" customHeight="1">
      <x:c r="A108" s="431" t="str">
        <x:v>D-105</x:v>
      </x:c>
      <x:c r="B108" s="431" t="n">
        <x:v>46224</x:v>
      </x:c>
      <x:c r="C108" s="431" t="str">
        <x:v>Accept the bounded final-rename publication-resilience stabilization as matching D-104. Close I-005 as controlled, retain IMP-019 as a permanent regression rule, and authorize only check 10, equipment_datasheet_manifest_reciprocity, next.</x:v>
      </x:c>
      <x:c r="D108" s="431" t="str">
        <x:v>Only PermissionError during the final same-parent rename receives five total attempts over 0.75 seconds. Collisions and other errors never retry; exhaustion preserves failure evidence and exit 70. Injected tests and 20 consecutive Windows audits prove the intended boundary without changing audit semantics.</x:v>
      </x:c>
      <x:c r="E108" s="431" t="str">
        <x:v>Accepted</x:v>
      </x:c>
      <x:c r="F108" s="431" t="str">
        <x:v>Publication resilience acceptance and check-10 gate</x:v>
      </x:c>
      <x:c r="G108" s="431" t="str">
        <x:v>docs/package_assurance/publication_resilience_stabilization_review_2026-07-21.md; EV-125-EV-128; I-005; IMP-019; Windows audit 20/20; focused 24; full 304/1; coverage 88.08%; validation 5/5; Ruff; baseline 9/9; demo 2/2</x:v>
      </x:c>
      <x:c r="H108" s="431" t="str">
        <x:v>Accepted by the CEO on 2026-07-21. PR #57 passed both GitHub validation checks and merged the bounded publication stabilization at exact main dbcd242. I-005 closed as controlled, IMP-019 was retained, and check 10 was authorized under exact AUTH-SPEC-001.</x:v>
      </x:c>
    </x:row>
    <x:row r="109" ht="675" customHeight="1">
      <x:c r="A109" s="431" t="str">
        <x:v>D-106</x:v>
      </x:c>
      <x:c r="B109" s="431" t="n">
        <x:v>46224</x:v>
      </x:c>
      <x:c r="C109" s="431" t="str">
        <x:v>Accept check 10, equipment_datasheet_manifest_reciprocity, as matching D-105 and authorize only check 11, specification_revision_history, next.</x:v>
      </x:c>
      <x:c r="D109" s="431" t="str">
        <x:v>Check 10 compares required authoritative metadata and manifest equipment_to_datasheet mappings in both directions, preserves check 8 authority ownership, emits one stable automatic-fail hold for the isolated wrong-valid target, and reaches all four outputs without changing accepted contracts or protected assets.</x:v>
      </x:c>
      <x:c r="E109" s="431" t="str">
        <x:v>Accepted</x:v>
      </x:c>
      <x:c r="F109" s="431" t="str">
        <x:v>Check-10 acceptance and check-11 gate</x:v>
      </x:c>
      <x:c r="G109" s="431" t="str">
        <x:v>docs/package_assurance/equipment_datasheet_manifest_reciprocity_implementation_review_2026-07-21.md; EV-129-EV-132; clean RUN-20260721T161152356249Z-a4995c89; fault RUN-20260721T161152970951Z-ace6c987; focused 93; full 308/1; coverage 88.27%; validation 5/5; Ruff; baseline 9/9; demo 2/2</x:v>
      </x:c>
      <x:c r="H109" s="431" t="str">
        <x:v>Accepted by the CEO on 2026-07-21. PR #58 passed GitHub CI and merged check 10 at exact main 761ac76. The accepted authority authorized check 11 only under exact AUTH-SPEC-003.</x:v>
      </x:c>
    </x:row>
    <x:row r="110" ht="702" customHeight="1">
      <x:c r="A110" s="431" t="str">
        <x:v>D-107</x:v>
      </x:c>
      <x:c r="B110" s="431" t="n">
        <x:v>46224</x:v>
      </x:c>
      <x:c r="C110" s="431" t="str">
        <x:v>Accept check 11, specification_revision_history, as matching D-106 and authorize only a P2.3 authority-gap disposition and completion-definition block next.</x:v>
      </x:c>
      <x:c r="D110" s="431" t="str">
        <x:v>Check 11 requires every release-required specification revision to match exactly one current revision-history record under exact AUTH-SPEC-003. It emits stable automatic-fail holds for missing, multiple, or mismatched history and reaches all four outputs without changing accepted contracts or protected assets. All six checks supportable by current P2.3 authority are now implemented.</x:v>
      </x:c>
      <x:c r="E110" s="431" t="str">
        <x:v>Accepted</x:v>
      </x:c>
      <x:c r="F110" s="431" t="str">
        <x:v>Check-11 acceptance and P2.3 completion-definition gate</x:v>
      </x:c>
      <x:c r="G110" s="431" t="str">
        <x:v>docs/package_assurance/specification_revision_history_implementation_review_2026-07-21.md; EV-133-EV-136; clean RUN-20260721T164400783739Z-e5fdce3c; fault RUN-20260721T164405746563Z-8ccbbbf1; focused 99; full 314/1; coverage 88.48%; validation 5/5; Ruff; baseline 9/9; demo 2/2</x:v>
      </x:c>
      <x:c r="H110" s="431" t="str">
        <x:v>Accepted by the CEO on 2026-07-21. PR #59 passed both GitHub CI runs and merged check 11 at exact main 69c0d1b. The owner directed the six unsupported claims to be deferred, the v0.3.0 claim to be narrowed to the eleven proven checks, and P4 startup to begin.</x:v>
      </x:c>
    </x:row>
    <x:row r="111" ht="666" customHeight="1">
      <x:c r="A111" s="431" t="str">
        <x:v>D-108</x:v>
      </x:c>
      <x:c r="B111" s="431" t="n">
        <x:v>46224</x:v>
      </x:c>
      <x:c r="C111" s="431" t="str">
        <x:v>Complete P2.3 for the exact eight-gate and eleven-check scope. Explicitly defer the six unsupported authority/source claims, exclude them from v0.3.0 benchmark and release claims, and authorize P4.1 development benchmark regression only.</x:v>
      </x:c>
      <x:c r="D111" s="431" t="str">
        <x:v>All P2.3 checks supported by accepted sources and authority rules are integrated and independently fault-proved. Inventing authority would reduce trust. A narrow claim preserves evidence quality and permits benchmark work without implying unsupported engineering assurance.</x:v>
      </x:c>
      <x:c r="E111" s="431" t="str">
        <x:v>Accepted</x:v>
      </x:c>
      <x:c r="F111" s="431" t="str">
        <x:v>P2.3 completion, claim boundary, and P4.1 entry</x:v>
      </x:c>
      <x:c r="G111" s="431" t="str">
        <x:v>User instruction 2026-07-21; PR #59; exact main 69c0d1b; docs/package_assurance/p2_3_completion_and_claim_boundary_v0.3.0.md; D-107; EV-137-EV-138</x:v>
      </x:c>
      <x:c r="H111" s="431" t="str">
        <x:v>Accepted by the CEO on 2026-07-21. P4.1 may use the accepted development family and temporary/generated fault copies to freeze benchmark behavior. Protected held-out semantic execution remains a separate P4.2 gate after P4.1 acceptance.</x:v>
      </x:c>
    </x:row>
    <x:row r="112" ht="738" customHeight="1">
      <x:c r="A112" s="431" t="str">
        <x:v>D-109</x:v>
      </x:c>
      <x:c r="B112" s="431" t="n">
        <x:v>46224</x:v>
      </x:c>
      <x:c r="C112" s="431" t="str">
        <x:v>Accept P4.1-DEV-1 with genuine full-package development scenarios for the four reachable states, exhaustive router and CLI-exit regression for all six states, and explicit deferral of end-to-end engineering_review_required and evaluator_uncertainty semantic triggers.</x:v>
      </x:c>
      <x:c r="D112" s="431" t="str">
        <x:v>The accepted eight gates and eleven checks do not emit those two states. Manufacturing them through mocked evaluation or edited output would be false evidence; reopening P2 now would expand the accepted pilot after D-108. The bounded variance keeps v0.3.0 useful and honest while preserving future state capability.</x:v>
      </x:c>
      <x:c r="E112" s="431" t="str">
        <x:v>Accepted</x:v>
      </x:c>
      <x:c r="F112" s="431" t="str">
        <x:v>P4.1 acceptance-plan variance and freeze gate</x:v>
      </x:c>
      <x:c r="G112" s="431" t="str">
        <x:v>docs/package_assurance/p4_1_development_benchmark_definition_and_review_v0.3.0.md; P4.1-DEV-1; EV-139-EV-142; IMP-020; 22/22 scenarios; 44/44 publications; 8/8 gates; 11/11 checks; full 319/1; coverage 88.57%; hosted Linux CI 2/2</x:v>
      </x:c>
      <x:c r="H112" s="431" t="str">
        <x:v>Accepted by the project owner on 2026-07-21. Reopen P0/P2 only if six end-to-end semantic paths become mandatory. Keep the two contract-only states excluded from detection claims and separately authorize P4.2 after PR #61 integration.</x:v>
      </x:c>
    </x:row>
    <x:row r="113" ht="720" customHeight="1">
      <x:c r="A113" s="431" t="str">
        <x:v>D-110</x:v>
      </x:c>
      <x:c r="B113" s="431" t="n">
        <x:v>46224</x:v>
      </x:c>
      <x:c r="C113" s="431" t="str">
        <x:v>Classify FAM-HO-INSTRUMENT-AIR-001 as contaminated for release held-out claims after pre-run oracle metadata exposure; preserve it unchanged and unexecuted; require a materially distinct replacement authored and frozen in an isolated custodian context before P4.2 execution.</x:v>
      </x:c>
      <x:c r="D113" s="431" t="str">
        <x:v>Accepted Section 15 makes exposure of expected conditions or answer keys to a rule implementer after freeze disqualifying even when no run or tuning occurs. Preserving the event and replacing the family protects the release claim and prevents a policy waiver from becoming hidden benchmark leakage.</x:v>
      </x:c>
      <x:c r="E113" s="431" t="str">
        <x:v>Accepted</x:v>
      </x:c>
      <x:c r="F113" s="431" t="str">
        <x:v>P4.2 held-out recovery and replacement freeze gate</x:v>
      </x:c>
      <x:c r="G113" s="431" t="str">
        <x:v>User instruction 2026-07-21; docs/package_assurance/p4_2_held_out_contamination_and_replacement_gate_v0.3.0.md; PR #62; PR #61 exact main 5a4d57e; I-006; EV-143-EV-145; IMP-023</x:v>
      </x:c>
      <x:c r="H113" s="431" t="str">
        <x:v>A separate owner decision is required after the replacement freeze package is reviewed and before any semantic execution. Any protected-value exposure, evaluator change, or pre-freeze run invalidates the replacement claim.</x:v>
      </x:c>
    </x:row>
    <x:row r="114" ht="720" customHeight="1">
      <x:c r="A114" s="431" t="str">
        <x:v>D-111</x:v>
      </x:c>
      <x:c r="B114" s="431" t="n">
        <x:v>46224</x:v>
      </x:c>
      <x:c r="C114" s="431" t="str">
        <x:v>Accept frozen replacement FAM-HO-CONVEYOR-DRIVE-042 and authorize exactly one controlled first semantic run of each opaque scenario against frozen evaluator behavior 4cf9fe8, with immutable raw evidence preserved before protected comparison.</x:v>
      </x:c>
      <x:c r="D114" s="431" t="str">
        <x:v>The replacement was authored from approved public inputs, passed 326 custodian checks and 14/14 independent controls, imported byte-exact at 210/210 files, and has zero semantic executions. One-way execution now provides the first valid unseen relationship evidence without creating tuning or rerun authority.</x:v>
      </x:c>
      <x:c r="E114" s="431" t="str">
        <x:v>Accepted</x:v>
      </x:c>
      <x:c r="F114" s="431" t="str">
        <x:v>P4.2 replacement freeze and first-run gate</x:v>
      </x:c>
      <x:c r="G114" s="431" t="str">
        <x:v>docs/package_assurance/p4_2_replacement_freeze_review_v0.3.0.md; p4_2_replacement_independent_verification_v0.3.0.json; p4_2_replacement_import_verification_v0.3.0.json; D-110; EV-146-EV-148; I-006; IMP-023-IMP-024</x:v>
      </x:c>
      <x:c r="H114" s="431" t="str">
        <x:v>Accepted by the project owner on 2026-07-21 and integrated through PR #63 at exact main 4d2c0f5. Git metadata exposure occurred during integration before any scenario invocation. D-111 execution authority stopped unused; proposed D-112 controls recovery.</x:v>
      </x:c>
    </x:row>
    <x:row r="115" ht="765" customHeight="1">
      <x:c r="A115" s="431" t="str">
        <x:v>D-112</x:v>
      </x:c>
      <x:c r="B115" s="431" t="n">
        <x:v>46224</x:v>
      </x:c>
      <x:c r="C115" s="431" t="str">
        <x:v>Classify FAM-HO-CONVEYOR-DRIVE-042 as contaminated for release held-out claims after pre-run Git metadata exposure; preserve it unchanged and unexecuted; and authorize one materially distinct replacement that remains outside the ordinary repository until raw first-run evidence is frozen.</x:v>
      </x:c>
      <x:c r="D115" s="431" t="str">
        <x:v>Repository import created path, diff, checkout, tooling, and CI metadata channels before execution. External custody through authoring, oracle-blind execution, evidence freeze, and separate comparison removes the repository itself from the pre-run boundary and protects a credible unseen benchmark claim.</x:v>
      </x:c>
      <x:c r="E115" s="431" t="str">
        <x:v>Accepted</x:v>
      </x:c>
      <x:c r="F115" s="431" t="str">
        <x:v>P4.2 second contamination and external-custody gate</x:v>
      </x:c>
      <x:c r="G115" s="431" t="str">
        <x:v>User D-112 acceptance 2026-07-22; PR #64; PR #63 exact main 4d2c0f5; docs/package_assurance/p4_2_second_contamination_and_external_custody_gate_v0.3.0.md; D-110-D-111; EV-149-EV-152; I-006-I-007; IMP-023-IMP-025</x:v>
      </x:c>
      <x:c r="H115" s="431" t="str">
        <x:v>Accepted by the project owner on 2026-07-22. PR #64 integration and exact-main verification are prerequisites. Acceptance authorizes external authoring, independent structural/hash verification, oracle-blind staging, and a new freeze review only; it does not authorize semantic execution or repository family import.</x:v>
      </x:c>
    </x:row>
    <x:row r="116" ht="945" customHeight="1">
      <x:c r="A116" s="431" t="str">
        <x:v>D-113</x:v>
      </x:c>
      <x:c r="B116" s="431" t="n">
        <x:v>46225</x:v>
      </x:c>
      <x:c r="C116" s="431" t="str">
        <x:v>Accept external family revision FR-D112-HOIST-002 and runner revision D-112-runner-revision-6; authorize exactly one semantic invocation for each of the eight opaque packages against frozen evaluator behavior 4cf9fe8; then freeze all raw evidence and perform one separate protected comparison.</x:v>
      </x:c>
      <x:c r="D116" s="431" t="str">
        <x:v>Family revision 2 passed 68/68 independent controls and runner revision 6 passed 53/53 independent static controls with zero semantic runs. The decision converts a verified pre-execution freeze into one controlled first run without weakening the no-retry, no-tuning, external-custody, or separate-comparison boundaries.</x:v>
      </x:c>
      <x:c r="E116" s="431" t="str">
        <x:v>Accepted / Integration Pending</x:v>
      </x:c>
      <x:c r="F116" s="431" t="str">
        <x:v>P4.2 external-custody first-run freeze</x:v>
      </x:c>
      <x:c r="G116" s="431" t="str">
        <x:v>docs/package_assurance/p4_2_external_custody_freeze_review_v0.3.0.md; docs/package_assurance/p4_2_external_custody_freeze_evidence_v0.3.0.json; PR #64 exact main 0264db7; D-112; EV-153-EV-159; I-007-I-008; IMP-023-IMP-027</x:v>
      </x:c>
      <x:c r="H116" s="431" t="str">
        <x:v>Accepted by the project owner on 2026-07-22 and integrated through PR #65 at exact main 6a74c74. Preflight passed, then one runner invocation consumed all eight scenarios with exit 70 and zero complete output sets. Raw evidence and protected comparison are frozen; D-113 is fully consumed and authorizes no retry. D-114 controls the response.</x:v>
      </x:c>
    </x:row>
    <x:row r="117" ht="945" customHeight="1">
      <x:c r="A117" s="431" t="str">
        <x:v>D-114</x:v>
      </x:c>
      <x:c r="B117" s="431" t="n">
        <x:v>46225</x:v>
      </x:c>
      <x:c r="C117" s="431" t="str">
        <x:v>Accept the D-113 evidence as a valid immutable failed-run record; classify the benchmark as not evaluable and release-held; prohibit rerun or reuse of the consumed family; and authorize a bounded development-only stabilization block for the atomic publication failure.</x:v>
      </x:c>
      <x:c r="D117" s="431" t="str">
        <x:v>All eight one-shot attempts were correctly consumed but produced no semantic output. Development-only reproduction identified the exact publication-stage cause and permitted a minimal correction without weakening the no-rerun or semantic boundaries.</x:v>
      </x:c>
      <x:c r="E117" s="431" t="str">
        <x:v>Accepted / Implemented</x:v>
      </x:c>
      <x:c r="F117" s="431" t="str">
        <x:v>P4.2 failed-run acceptance and publication stabilization gate</x:v>
      </x:c>
      <x:c r="G117" s="431" t="str">
        <x:v>Owner instruction 2026-07-22; docs/package_assurance/p4_2_external_first_run_result_review_v0.3.0.md; docs/package_assurance/p4_2_publication_stabilization_review_v0.3.0.md; docs/package_assurance/p4_2_publication_stabilization_evidence_v0.3.0.json; PR #68; EV-171-EV-178; I-009; IMP-028; IMP-031-IMP-032</x:v>
      </x:c>
      <x:c r="H117" s="431" t="str">
        <x:v>Accepted by the project owner on 2026-07-22. The development-only block reproduced FileNotFoundError/errno 2 at write_package_result, corrected only internal publication naming, added exact diagnostics and fallback evidence, and installed the four-output sentinel. It authorizes no held-out rerun/reuse, new family, semantic change, P4.3, public rerun, import, or release claim.</x:v>
      </x:c>
    </x:row>
    <x:row r="118" ht="945" customHeight="1">
      <x:c r="A118" s="431" t="str">
        <x:v>D-115</x:v>
      </x:c>
      <x:c r="B118" s="431" t="n">
        <x:v>46225</x:v>
      </x:c>
      <x:c r="C118" s="431" t="str">
        <x:v>Adopt an internal ISO/IEC 42001-aligned and NIST-informed AI management system as the project's highest-level quality and safety governance below applicable obligations. Implement binding policy, system inventory, impact and risk assessment, controls, lifecycle gates, objectives, audit, management review, machine validation, and CI enforcement.</x:v>
      </x:c>
      <x:c r="D118" s="431" t="str">
        <x:v>AI-assisted work already affects planning, code, tests, evidence, and project decisions, while technical tests alone cannot prove safe governance. A single machine-checked control plane makes ownership, risk treatment, evidence, nonconformity, and release status explicit and preserves qualified human authority. The supplied standard copy is not authorized project evidence, so formal conformity is excluded.</x:v>
      </x:c>
      <x:c r="E118" s="431" t="str">
        <x:v>Accepted / Integrated</x:v>
      </x:c>
      <x:c r="F118" s="431" t="str">
        <x:v>G0.1 AI management and quality-control gate</x:v>
      </x:c>
      <x:c r="G118" s="431" t="str">
        <x:v>docs/governance/ai_management_system_policy_v0.3.0.md; governance/ai_management_system.json; docs/governance/ai_quality_control_manual_v0.3.0.md; docs/governance/ai_impact_assessment_v0.3.0.md; docs/governance/iso_iec_42001_alignment_and_gap_assessment_v0.3.0.md; AIMS-AUD-001; AIMS-MR-001; PR #67 exact main 540a1f6; EV-165-EV-171; R-018; IMP-029-IMP-030</x:v>
      </x:c>
      <x:c r="H118" s="431" t="str">
        <x:v>Accepted through the project owner's 2026-07-22 directive and integrated through PR #67 at exact main 540a1f6. This is internal governance only and makes no conformity, certification, legal-compliance, guaranteed-safety, or independent-assurance claim. D-114 was accepted separately afterward.</x:v>
      </x:c>
    </x:row>
    <x:row r="119" ht="180" customHeight="1">
      <x:c r="A119" s="431" t="str">
        <x:v>D-116</x:v>
      </x:c>
      <x:c r="B119" s="431" t="n">
        <x:v>46225</x:v>
      </x:c>
      <x:c r="C119" s="431" t="str">
        <x:v>Accept the D-114 publication correction and authorize preparation of one new, materially distinct external held-out family and one oracle-blind runner under independent custody. Require a separate owner freeze decision before semantic execution.</x:v>
      </x:c>
      <x:c r="D119" s="431" t="str">
        <x:v>The publication defect is corrected, but D-113 produced no semantic evidence and its family is consumed. A fresh zero-run family and runner with the passing in-bundle sentinel are required before one controlled external execution can be considered.</x:v>
      </x:c>
      <x:c r="E119" s="431" t="str">
        <x:v>Accepted / Implemented</x:v>
      </x:c>
      <x:c r="F119" s="431" t="str">
        <x:v>P4.2 external benchmark recovery preparation gate</x:v>
      </x:c>
      <x:c r="G119" s="431" t="str">
        <x:v>Owner instruction 2026-07-23; PR #68 exact main 3a6766f; docs/package_assurance/p4_2_external_benchmark_recovery_definition_v0.3.0.md; docs/package_assurance/p4_2_external_benchmark_recovery_freeze_review_v0.3.0.md; docs/package_assurance/p4_2_external_benchmark_recovery_freeze_evidence_v0.3.0.json; EV-179-EV-184; I-010; IMP-033-IMP-035</x:v>
      </x:c>
      <x:c r="H119" s="431" t="str">
        <x:v>Accepted by the project owner on 2026-07-23 after PR #68 merged. The block prepared one materially distinct external family and one oracle-blind runner, preserved three failed revisions, passed the final in-bundle sentinel, and kept opaque execution at zero. It authorizes no semantic run, protected comparison, P4.3, or release claim.</x:v>
      </x:c>
    </x:row>
    <x:row r="120" ht="190" customHeight="1">
      <x:c r="A120" s="431" t="str">
        <x:v>D-117</x:v>
      </x:c>
      <x:c r="B120" s="431" t="n">
        <x:v>46226</x:v>
      </x:c>
      <x:c r="C120" s="431" t="str">
        <x:v>Authorize exactly one invocation of RUNNER-D116-CIM-20260723-04 against FAM-D116-CIM-20260723-01, containing one evaluator attempt per eight frozen opaque scenarios, followed by immutable raw freeze, oracle-blind raw verification, and separate protected comparison.</x:v>
      </x:c>
      <x:c r="D120" s="431" t="str">
        <x:v>D-116 passed 8/8 mandatory and 51/51 detailed controls with one four-output development sentinel, exact static identities, zero opaque executions, and an absent authorization file. A separate owner decision is required before semantic evidence can be collected.</x:v>
      </x:c>
      <x:c r="E120" s="431" t="str">
        <x:v>Accepted / Consumed</x:v>
      </x:c>
      <x:c r="F120" s="431" t="str">
        <x:v>P4.2 external benchmark semantic execution gate</x:v>
      </x:c>
      <x:c r="G120" s="431" t="str">
        <x:v>Owner instruction 2026-07-23; docs/package_assurance/p4_2_external_benchmark_execution_gate_v0.3.0.md; docs/package_assurance/p4_2_external_benchmark_d117_result_review_v0.3.0.md; docs/package_assurance/p4_2_external_benchmark_d117_result_evidence_v0.3.0.json; EV-185-EV-190; NC-002; AIR-003; AIR-011</x:v>
      </x:c>
      <x:c r="H120" s="431" t="str">
        <x:v>Accepted by the project owner on 2026-07-23 and permanently consumed. One runner invocation completed eight attempts and eight four-output publications with no retry or tuning. Separate comparison exposed a shared authority-map defect, so the family is invalid for intended downstream performance and cannot be repaired, rerun, or reused as fresh evidence.</x:v>
      </x:c>
    </x:row>
    <x:row r="121" ht="190" customHeight="1">
      <x:c r="A121" s="431" t="str">
        <x:v>D-118</x:v>
      </x:c>
      <x:c r="B121" s="431" t="n">
        <x:v>46226</x:v>
      </x:c>
      <x:c r="C121" s="431" t="str">
        <x:v>Accept D-117 as consumed fail-closed evidence, open NC-002, and authorize a bounded benchmark-authoring corrective-action block: producer-visible public-contract validation plus separated custodian target-reachability checks before any later new-family decision.</x:v>
      </x:c>
      <x:c r="D121" s="431" t="str">
        <x:v>D-117 published complete evidence but the accepted family violated a public authority-scope invariant in all eight scenarios. Every intended relationship target was blocked, proving the freeze controls were incomplete and that state-only agreement can be misleading.</x:v>
      </x:c>
      <x:c r="E121" s="431" t="str">
        <x:v>Proposed / Owner Review</x:v>
      </x:c>
      <x:c r="F121" s="431" t="str">
        <x:v>P4.2 benchmark-authoring corrective-action gate</x:v>
      </x:c>
      <x:c r="G121" s="431" t="str">
        <x:v>docs/package_assurance/p4_2_external_benchmark_d117_result_review_v0.3.0.md; docs/package_assurance/p4_2_external_benchmark_d117_result_evidence_v0.3.0.json; docs/package_assurance/p4_2_benchmark_authoring_corrective_action_gate_v0.3.0.md; docs/governance/internal_audit_d117_benchmark_authoring_2026-07-23.md; EV-186-EV-190; I-011; IMP-036-IMP-039</x:v>
      </x:c>
      <x:c r="H121" s="431" t="str">
        <x:v>D-118 would not authorize repair or rerun of the consumed family, a new external family, semantic execution, evaluator tuning, P4.3, release, or downstream performance claims. Each later capability requires a separate gate.</x:v>
      </x:c>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560</x:v>
      </x:c>
      <x:c r="B1" s="235"/>
      <x:c r="C1" s="235"/>
      <x:c r="D1" s="235"/>
      <x:c r="E1" s="235"/>
      <x:c r="F1" s="235"/>
      <x:c r="G1" s="235"/>
      <x:c r="H1" s="235"/>
      <x:c r="I1" s="235"/>
      <x:c r="J1" s="235"/>
    </x:row>
    <x:row r="3" ht="30">
      <x:c r="A3" s="80" t="s">
        <x:v>0</x:v>
      </x:c>
      <x:c r="B3" s="80" t="s">
        <x:v>196</x:v>
      </x:c>
      <x:c r="C3" s="80" t="s">
        <x:v>561</x:v>
      </x:c>
      <x:c r="D3" s="80" t="s">
        <x:v>562</x:v>
      </x:c>
      <x:c r="E3" s="80" t="s">
        <x:v>563</x:v>
      </x:c>
      <x:c r="F3" s="80" t="s">
        <x:v>564</x:v>
      </x:c>
      <x:c r="G3" s="80" t="s">
        <x:v>565</x:v>
      </x:c>
      <x:c r="H3" s="80" t="s">
        <x:v>56</x:v>
      </x:c>
      <x:c r="I3" s="80" t="s">
        <x:v>566</x:v>
      </x:c>
      <x:c r="J3" s="80" t="s">
        <x:v>61</x:v>
      </x:c>
    </x:row>
    <x:row r="4" ht="28.5">
      <x:c r="A4" s="78" t="s">
        <x:v>567</x:v>
      </x:c>
      <x:c r="B4" s="78" t="s">
        <x:v>568</x:v>
      </x:c>
      <x:c r="C4" s="78" t="s">
        <x:v>569</x:v>
      </x:c>
      <x:c r="D4" s="78" t="s">
        <x:v>570</x:v>
      </x:c>
      <x:c r="E4" s="78" t="s">
        <x:v>570</x:v>
      </x:c>
      <x:c r="F4" s="78" t="s">
        <x:v>571</x:v>
      </x:c>
      <x:c r="G4" s="78" t="s">
        <x:v>572</x:v>
      </x:c>
      <x:c r="H4" s="78" t="s">
        <x:v>573</x:v>
      </x:c>
      <x:c r="I4" s="81">
        <x:v>46215</x:v>
      </x:c>
      <x:c r="J4" s="78" t="s">
        <x:v>574</x:v>
      </x:c>
    </x:row>
    <x:row r="5" ht="28.5">
      <x:c r="A5" s="78" t="s">
        <x:v>575</x:v>
      </x:c>
      <x:c r="B5" s="78" t="s">
        <x:v>568</x:v>
      </x:c>
      <x:c r="C5" s="78" t="s">
        <x:v>576</x:v>
      </x:c>
      <x:c r="D5" s="78" t="s">
        <x:v>570</x:v>
      </x:c>
      <x:c r="E5" s="78" t="s">
        <x:v>570</x:v>
      </x:c>
      <x:c r="F5" s="78" t="s">
        <x:v>571</x:v>
      </x:c>
      <x:c r="G5" s="78" t="s">
        <x:v>577</x:v>
      </x:c>
      <x:c r="H5" s="78" t="s">
        <x:v>578</x:v>
      </x:c>
      <x:c r="I5" s="81">
        <x:v>46215</x:v>
      </x:c>
      <x:c r="J5" s="78" t="s">
        <x:v>579</x:v>
      </x:c>
    </x:row>
    <x:row r="6" ht="28.5">
      <x:c r="A6" s="78" t="s">
        <x:v>580</x:v>
      </x:c>
      <x:c r="B6" s="78" t="s">
        <x:v>568</x:v>
      </x:c>
      <x:c r="C6" s="78" t="s">
        <x:v>581</x:v>
      </x:c>
      <x:c r="D6" s="78" t="s">
        <x:v>582</x:v>
      </x:c>
      <x:c r="E6" s="78" t="s">
        <x:v>570</x:v>
      </x:c>
      <x:c r="F6" s="78" t="s">
        <x:v>571</x:v>
      </x:c>
      <x:c r="G6" s="78" t="s">
        <x:v>583</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584</x:v>
      </x:c>
      <x:c r="B7" s="78" t="s">
        <x:v>568</x:v>
      </x:c>
      <x:c r="C7" s="78" t="s">
        <x:v>585</x:v>
      </x:c>
      <x:c r="D7" s="78" t="s">
        <x:v>582</x:v>
      </x:c>
      <x:c r="E7" s="78" t="s">
        <x:v>570</x:v>
      </x:c>
      <x:c r="F7" s="78" t="s">
        <x:v>571</x:v>
      </x:c>
      <x:c r="G7" s="78" t="s">
        <x:v>586</x:v>
      </x:c>
      <x:c r="H7" s="78" t="s">
        <x:v>578</x:v>
      </x:c>
      <x:c r="I7" s="81">
        <x:v>46257</x:v>
      </x:c>
      <x:c r="J7" s="78" t="s">
        <x:v>587</x:v>
      </x:c>
    </x:row>
    <x:row r="8" ht="28.5">
      <x:c r="A8" s="78" t="s">
        <x:v>588</x:v>
      </x:c>
      <x:c r="B8" s="78" t="s">
        <x:v>568</x:v>
      </x:c>
      <x:c r="C8" s="78" t="s">
        <x:v>589</x:v>
      </x:c>
      <x:c r="D8" s="78" t="s">
        <x:v>582</x:v>
      </x:c>
      <x:c r="E8" s="78" t="s">
        <x:v>582</x:v>
      </x:c>
      <x:c r="F8" s="78" t="s">
        <x:v>571</x:v>
      </x:c>
      <x:c r="G8" s="78" t="s">
        <x:v>590</x:v>
      </x:c>
      <x:c r="H8" s="78" t="s">
        <x:v>573</x:v>
      </x:c>
      <x:c r="I8" s="81">
        <x:v>46222</x:v>
      </x:c>
      <x:c r="J8" s="78" t="s">
        <x:v>591</x:v>
      </x:c>
    </x:row>
    <x:row r="9" ht="28.5">
      <x:c r="A9" s="78" t="s">
        <x:v>592</x:v>
      </x:c>
      <x:c r="B9" s="78" t="s">
        <x:v>568</x:v>
      </x:c>
      <x:c r="C9" s="78" t="s">
        <x:v>593</x:v>
      </x:c>
      <x:c r="D9" s="78" t="s">
        <x:v>594</x:v>
      </x:c>
      <x:c r="E9" s="78" t="s">
        <x:v>570</x:v>
      </x:c>
      <x:c r="F9" s="78" t="s">
        <x:v>571</x:v>
      </x:c>
      <x:c r="G9" s="78" t="s">
        <x:v>595</x:v>
      </x:c>
      <x:c r="H9" s="78" t="s">
        <x:v>573</x:v>
      </x:c>
      <x:c r="I9" s="81">
        <x:v>46257</x:v>
      </x:c>
      <x:c r="J9" s="78" t="s">
        <x:v>596</x:v>
      </x:c>
    </x:row>
    <x:row r="10" ht="28.5">
      <x:c r="A10" s="78" t="s">
        <x:v>597</x:v>
      </x:c>
      <x:c r="B10" s="78" t="s">
        <x:v>598</x:v>
      </x:c>
      <x:c r="C10" s="78" t="s">
        <x:v>599</x:v>
      </x:c>
      <x:c r="D10" s="78" t="s">
        <x:v>600</x:v>
      </x:c>
      <x:c r="E10" s="78" t="s">
        <x:v>594</x:v>
      </x:c>
      <x:c r="F10" s="78" t="s">
        <x:v>571</x:v>
      </x:c>
      <x:c r="G10" s="78" t="s">
        <x:v>601</x:v>
      </x:c>
      <x:c r="H10" s="78" t="s">
        <x:v>602</x:v>
      </x:c>
      <x:c r="I10" s="81">
        <x:v>46208</x:v>
      </x:c>
      <x:c r="J10" s="78" t="s">
        <x:v>603</x:v>
      </x:c>
    </x:row>
    <x:row r="11" ht="28.5">
      <x:c r="A11" s="78" t="s">
        <x:v>604</x:v>
      </x:c>
      <x:c r="B11" s="78" t="s">
        <x:v>598</x:v>
      </x:c>
      <x:c r="C11" s="78" t="s">
        <x:v>605</x:v>
      </x:c>
      <x:c r="D11" s="78" t="s">
        <x:v>600</x:v>
      </x:c>
      <x:c r="E11" s="78" t="s">
        <x:v>582</x:v>
      </x:c>
      <x:c r="F11" s="78" t="s">
        <x:v>571</x:v>
      </x:c>
      <x:c r="G11" s="78" t="s">
        <x:v>606</x:v>
      </x:c>
      <x:c r="H11" s="78" t="s">
        <x:v>602</x:v>
      </x:c>
      <x:c r="I11" s="81">
        <x:v>46209</x:v>
      </x:c>
      <x:c r="J11" s="78" t="s">
        <x:v>607</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ht="297" customHeight="1">
      <x:c r="A22" s="431" t="str">
        <x:v>I-004</x:v>
      </x:c>
      <x:c r="B22" s="431" t="str">
        <x:v>Issue</x:v>
      </x:c>
      <x:c r="C22" s="431" t="str">
        <x:v>The first real public-package audit cannot publish a result when accepted optional BOM references are blank: invalid-value findings violate the canonical affected-identifier schema.</x:v>
      </x:c>
      <x:c r="D22" s="431" t="str">
        <x:v>N/A</x:v>
      </x:c>
      <x:c r="E22" s="431" t="str">
        <x:v>High</x:v>
      </x:c>
      <x:c r="F22" s="431" t="str">
        <x:v>Jason</x:v>
      </x:c>
      <x:c r="G22" s="431" t="str">
        <x:v>Retain the optional-blank and canonical-finding regression tests. Preserve both public run records and treat any recurrence as an immediate release stop.</x:v>
      </x:c>
      <x:c r="H22" s="431" t="str">
        <x:v>Closed</x:v>
      </x:c>
      <x:c r="I22" s="431" t="n">
        <x:v>46223</x:v>
      </x:c>
      <x:c r="J22" s="431" t="str">
        <x:v>Closed under accepted D-101. NASA/JPL and OpenFlexure each completed exactly once with the expected state, hold, exit, and four schema-valid outputs; neither produced a malformed-identifier finding.</x:v>
      </x:c>
    </x:row>
    <x:row r="23" ht="324" customHeight="1">
      <x:c r="A23" s="431" t="str">
        <x:v>R-016</x:v>
      </x:c>
      <x:c r="B23" s="431" t="str">
        <x:v>Risk</x:v>
      </x:c>
      <x:c r="C23" s="431" t="str">
        <x:v>Stable semantic finding IDs can repeat across package results, so a future multi-package report or storage layer could collide if it assumes finding_id is globally unique.</x:v>
      </x:c>
      <x:c r="D23" s="431" t="str">
        <x:v>Medium</x:v>
      </x:c>
      <x:c r="E23" s="431" t="str">
        <x:v>Medium</x:v>
      </x:c>
      <x:c r="F23" s="431" t="str">
        <x:v>Jason</x:v>
      </x:c>
      <x:c r="G23" s="431" t="str">
        <x:v>Use package_id plus finding_id as the identity in every future aggregation. Require a separate reviewed contract before changing the accepted per-package finding-ID algorithm.</x:v>
      </x:c>
      <x:c r="H23" s="431" t="str">
        <x:v>Open</x:v>
      </x:c>
      <x:c r="I23" s="431" t="n">
        <x:v>46223</x:v>
      </x:c>
      <x:c r="J23" s="431" t="str">
        <x:v>No current per-package ambiguity exists. NASA/JPL and OpenFlexure both produced FND-1704FCB7F45DFE73 for the same authority gap while retaining distinct package IDs; IMP-018 records the prevention before any aggregation layer exists.</x:v>
      </x:c>
    </x:row>
    <x:row r="24" ht="387" customHeight="1">
      <x:c r="A24" s="431" t="str">
        <x:v>R-017</x:v>
      </x:c>
      <x:c r="B24" s="431" t="str">
        <x:v>Risk</x:v>
      </x:c>
      <x:c r="C24" s="431" t="str">
        <x:v>P0.2 requires six end-to-end package states, while the accepted v0.3.0 evaluator has genuine semantic paths to four. Treating router-only coverage as package evidence would overstate benchmark completeness.</x:v>
      </x:c>
      <x:c r="D24" s="431" t="str">
        <x:v>High</x:v>
      </x:c>
      <x:c r="E24" s="431" t="str">
        <x:v>Medium</x:v>
      </x:c>
      <x:c r="F24" s="431" t="str">
        <x:v>Jason</x:v>
      </x:c>
      <x:c r="G24" s="431" t="str">
        <x:v>Use D-109 as a hard stop. Separate full-audit state coverage from contract-only router coverage in every report and claim. Reopen P0/P2 if six semantic paths remain mandatory.</x:v>
      </x:c>
      <x:c r="H24" s="431" t="str">
        <x:v>Mitigating</x:v>
      </x:c>
      <x:c r="I24" s="431" t="n">
        <x:v>46224</x:v>
      </x:c>
      <x:c r="J24" s="431" t="str">
        <x:v>D-109 accepted the bounded claim on 2026-07-21. P4.1-DEV-1 passes all implemented gate/check scenarios without manufacturing the two missing states; IMP-020 preserves the limitation for P4.2 and release language.</x:v>
      </x:c>
    </x:row>
    <x:row r="25" ht="450" customHeight="1">
      <x:c r="A25" s="431" t="str">
        <x:v>I-006</x:v>
      </x:c>
      <x:c r="B25" s="431" t="str">
        <x:v>Issue</x:v>
      </x:c>
      <x:c r="C25" s="431" t="str">
        <x:v>Pre-run held-out path enumeration and top-level freeze/family-review inspection exposed expected conditions and states to the implementation context, making the existing family ineligible for release held-out claims under accepted policy.</x:v>
      </x:c>
      <x:c r="D25" s="431" t="str">
        <x:v>N/A</x:v>
      </x:c>
      <x:c r="E25" s="431" t="str">
        <x:v>High</x:v>
      </x:c>
      <x:c r="F25" s="431" t="str">
        <x:v>Jason</x:v>
      </x:c>
      <x:c r="G25" s="431" t="str">
        <x:v>D-110 preserves the exposed family unchanged and unexecuted. Replacement FAM-HO-CONVEYOR-DRIVE-042 was authored and frozen in isolated custody, independently verified, and imported byte-exact. Keep implementer and CI access blocked until first-run evidence is preserved.</x:v>
      </x:c>
      <x:c r="H25" s="431" t="str">
        <x:v>Controlled / D-111 Accepted</x:v>
      </x:c>
      <x:c r="I25" s="431" t="n">
        <x:v>46224</x:v>
      </x:c>
      <x:c r="J25" s="431" t="str">
        <x:v>Replacement proof passes 326 custodian checks, 14/14 independent controls, and 210/210 byte-identical import. D-111 authorizes the first run only after PR #63 integration and exact-main staging; semantic execution count remains zero at acceptance.</x:v>
      </x:c>
    </x:row>
    <x:row r="26" ht="504" customHeight="1">
      <x:c r="A26" s="431" t="str">
        <x:v>I-007</x:v>
      </x:c>
      <x:c r="B26" s="431" t="str">
        <x:v>Issue</x:v>
      </x:c>
      <x:c r="C26" s="431" t="str">
        <x:v>PR #63 integration exposed recursive release-family paths and comparative per-file statistics before first semantic execution, creating a scenario-level metadata side channel.</x:v>
      </x:c>
      <x:c r="D26" s="431" t="str">
        <x:v>N/A</x:v>
      </x:c>
      <x:c r="E26" s="431" t="str">
        <x:v>High</x:v>
      </x:c>
      <x:c r="F26" s="431" t="str">
        <x:v>Jason</x:v>
      </x:c>
      <x:c r="G26" s="431" t="str">
        <x:v>Preserve the family unchanged and unexecuted; classify it as release-ineligible; require D-112; keep the next family outside the repository through first-run evidence freeze and protected comparison.</x:v>
      </x:c>
      <x:c r="H26" s="431" t="str">
        <x:v>Controlled / D-112 Accepted</x:v>
      </x:c>
      <x:c r="I26" s="431" t="n">
        <x:v>46225</x:v>
      </x:c>
      <x:c r="J26" s="431" t="str">
        <x:v>D-112 accepted the external-custody prevention on 2026-07-22. Both exposed families remain unchanged and unexecuted. PR #64 integration and a fresh independently verified external freeze remain open.</x:v>
      </x:c>
    </x:row>
    <x:row r="27" ht="675" customHeight="1">
      <x:c r="A27" s="431" t="str">
        <x:v>I-008</x:v>
      </x:c>
      <x:c r="B27" s="431" t="str">
        <x:v>Issue</x:v>
      </x:c>
      <x:c r="C27" s="431" t="str">
        <x:v>Instruction-only staging and runner self-checks allowed custody-control defects to survive until independent review: excluded-parent enumeration, noncanonical inventory order, external path text, writable controls, and full inherited-environment forwarding.</x:v>
      </x:c>
      <x:c r="D27" s="431" t="str">
        <x:v>N/A</x:v>
      </x:c>
      <x:c r="E27" s="431" t="str">
        <x:v>High</x:v>
      </x:c>
      <x:c r="F27" s="431" t="str">
        <x:v>Jason</x:v>
      </x:c>
      <x:c r="G27" s="431" t="str">
        <x:v>Use a physically separate producer capsule; preserve every failed runner revision; require independent static checks for hashes, path order, external-text absence, read-only coverage, one-shot behavior, bounded environment, zero artifacts, and pre/post integrity.</x:v>
      </x:c>
      <x:c r="H27" s="431" t="str">
        <x:v>Controlled / D-113 Accepted</x:v>
      </x:c>
      <x:c r="I27" s="431" t="n">
        <x:v>46225</x:v>
      </x:c>
      <x:c r="J27" s="431" t="str">
        <x:v>No protected contents or semantic results were accessed. All failed revisions remain unchanged and unexecuted. Capsule passed 16/16; final runner revision 6 passed 53/53 with 186/186 read-only files and zero artifacts.</x:v>
      </x:c>
    </x:row>
    <x:row r="28" ht="720" customHeight="1">
      <x:c r="A28" s="431" t="str">
        <x:v>I-009</x:v>
      </x:c>
      <x:c r="B28" s="431" t="str">
        <x:v>Issue</x:v>
      </x:c>
      <x:c r="C28" s="431" t="str">
        <x:v>The D-113 first held-out run consumed all eight scenarios with exit 70 before any complete atomic publication. Static and preflight controls passed, but no semantic result exists and captured evidence lacks a lower-level root cause.</x:v>
      </x:c>
      <x:c r="D28" s="431" t="str">
        <x:v>N/A</x:v>
      </x:c>
      <x:c r="E28" s="431" t="str">
        <x:v>High</x:v>
      </x:c>
      <x:c r="F28" s="431" t="str">
        <x:v>Jason</x:v>
      </x:c>
      <x:c r="G28" s="431" t="str">
        <x:v>Preserve the family, runner, raw evidence, and comparison unchanged; prohibit rerun. Require D-114 before development-only reproduction. Add a production-equivalent non-held-out four-output publication sentinel and sanitized publication-stage plus exception/OS diagnostics before any new runner freeze.</x:v>
      </x:c>
      <x:c r="H28" s="431" t="str">
        <x:v>Closed / D-114 Verified</x:v>
      </x:c>
      <x:c r="I28" s="431" t="n">
        <x:v>46225</x:v>
      </x:c>
      <x:c r="J28" s="431" t="str">
        <x:v>D-114 preserved the consumed run and reproduced the defect with development-only inputs. The root cause was the former staging path length. Short internal names, exact diagnostics, fallback evidence, and the bounded sentinel verify corrective action. The original benchmark remains not evaluable and cannot be rerun.</x:v>
      </x:c>
    </x:row>
    <x:row r="29" ht="540" customHeight="1">
      <x:c r="A29" s="431" t="str">
        <x:v>R-018</x:v>
      </x:c>
      <x:c r="B29" s="431" t="str">
        <x:v>Risk</x:v>
      </x:c>
      <x:c r="C29" s="431" t="str">
        <x:v>An internal AI management system could be mistaken for ISO/IEC 42001 conformity, certification, legal compliance, independent assurance, or a guarantee that AI is safe.</x:v>
      </x:c>
      <x:c r="D29" s="431" t="str">
        <x:v>Low</x:v>
      </x:c>
      <x:c r="E29" s="431" t="str">
        <x:v>High</x:v>
      </x:c>
      <x:c r="F29" s="431" t="str">
        <x:v>Jason</x:v>
      </x:c>
      <x:c r="G29" s="431" t="str">
        <x:v>Use only official public sources for high-level alignment; keep the supplied restricted copy outside Git; state the claims boundary in policy, README, reports, and machine records; require a properly licensed standard and competent independent assessment before any formal conformity claim.</x:v>
      </x:c>
      <x:c r="H29" s="431" t="str">
        <x:v>Controlled / Future Gate</x:v>
      </x:c>
      <x:c r="I29" s="431" t="n">
        <x:v>46225</x:v>
      </x:c>
      <x:c r="J29" s="431" t="str">
        <x:v>D-115, AIC-008, AIMS-GAP-001, and IMP-029 preserve the boundary. certification_status is schema-fixed to not_claimed and every external reference forbids repository copying.</x:v>
      </x:c>
    </x:row>
    <x:row r="30" ht="155" customHeight="1">
      <x:c r="A30" s="431" t="str">
        <x:v>I-010</x:v>
      </x:c>
      <x:c r="B30" s="431" t="str">
        <x:v>Issue</x:v>
      </x:c>
      <x:c r="C30" s="431" t="str">
        <x:v>D-116 runner revisions 1-3 failed before opaque execution because runner-level dependency visibility did not match the nested sentinel, control imports created uninventoried bytecode, and a long physical root exceeded the whole staged-tree Windows path budget.</x:v>
      </x:c>
      <x:c r="D30" s="431" t="str">
        <x:v>N/A</x:v>
      </x:c>
      <x:c r="E30" s="431" t="str">
        <x:v>High</x:v>
      </x:c>
      <x:c r="F30" s="431" t="str">
        <x:v>Jason</x:v>
      </x:c>
      <x:c r="G30" s="431" t="str">
        <x:v>Preserve every failed revision. Freeze dependencies in a capsule-local environment; use -B and pre-import bytecode suppression; reject cache artifacts; calculate every staged path; require the real development sentinel in the final short physical root.</x:v>
      </x:c>
      <x:c r="H30" s="431" t="str">
        <x:v>Closed / Runner R4 Verified</x:v>
      </x:c>
      <x:c r="I30" s="431" t="n">
        <x:v>46226</x:v>
      </x:c>
      <x:c r="J30" s="431" t="str">
        <x:v>Revisions 1-3 remain byte-exact and unexecuted against opaque inputs. Runner R4 passed 8/8 mandatory and 51/51 detailed controls; one development sentinel published four valid outputs, static hashes remained exact, and opaque execution count stayed zero. IMP-033-IMP-035 retain the controls.</x:v>
      </x:c>
    </x:row>
    <x:row r="31" ht="165" customHeight="1">
      <x:c r="A31" s="431" t="str">
        <x:v>I-011</x:v>
      </x:c>
      <x:c r="B31" s="431" t="str">
        <x:v>Issue</x:v>
      </x:c>
      <x:c r="C31" s="431" t="str">
        <x:v>The D-116 benchmark freeze accepted all eight scenario authority maps even though each applied to the family ID rather than its scenario package ID. D-117 therefore failed the authority gate in every package and never reached an intended relationship target.</x:v>
      </x:c>
      <x:c r="D31" s="431" t="str">
        <x:v>N/A</x:v>
      </x:c>
      <x:c r="E31" s="431" t="str">
        <x:v>High</x:v>
      </x:c>
      <x:c r="F31" s="431" t="str">
        <x:v>Jason</x:v>
      </x:c>
      <x:c r="G31" s="431" t="str">
        <x:v>Preserve the consumed family and all D-117 evidence. Add a producer-visible public-contract validator and a separate custodian target-reachability check. Require a later owner gate before any new family or semantic execution.</x:v>
      </x:c>
      <x:c r="H31" s="431" t="str">
        <x:v>Contained / D-118 Review</x:v>
      </x:c>
      <x:c r="I31" s="431" t="n">
        <x:v>46226</x:v>
      </x:c>
      <x:c r="J31" s="431" t="str">
        <x:v>NC-002 and AIR-011 are open. D-117 remains valid evidence of complete publication and fail-closed authority enforcement, but it is invalid for intended downstream performance. Repair, rerun, reuse, tuning, P4.3, and release claims remain prohibited.</x:v>
      </x:c>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608</x:v>
      </x:c>
      <x:c r="B1" s="235"/>
      <x:c r="C1" s="235"/>
      <x:c r="D1" s="235"/>
      <x:c r="E1" s="235"/>
      <x:c r="F1" s="235"/>
      <x:c r="G1" s="235"/>
      <x:c r="H1" s="235"/>
      <x:c r="I1" s="235"/>
    </x:row>
    <x:row r="3" ht="15">
      <x:c r="A3" s="80" t="s">
        <x:v>609</x:v>
      </x:c>
      <x:c r="B3" s="80" t="s">
        <x:v>448</x:v>
      </x:c>
      <x:c r="C3" s="80" t="s">
        <x:v>48</x:v>
      </x:c>
      <x:c r="D3" s="80" t="s">
        <x:v>181</x:v>
      </x:c>
      <x:c r="E3" s="80" t="s">
        <x:v>196</x:v>
      </x:c>
      <x:c r="F3" s="80" t="s">
        <x:v>610</x:v>
      </x:c>
      <x:c r="G3" s="80" t="s">
        <x:v>611</x:v>
      </x:c>
      <x:c r="H3" s="80" t="s">
        <x:v>56</x:v>
      </x:c>
      <x:c r="I3" s="80" t="s">
        <x:v>61</x:v>
      </x:c>
    </x:row>
    <x:row r="4" ht="28.5">
      <x:c r="A4" s="78" t="s">
        <x:v>612</x:v>
      </x:c>
      <x:c r="B4" s="81">
        <x:v>46201</x:v>
      </x:c>
      <x:c r="C4" s="78" t="s">
        <x:v>62</x:v>
      </x:c>
      <x:c r="D4" s="78" t="s">
        <x:v>613</x:v>
      </x:c>
      <x:c r="E4" s="78" t="s">
        <x:v>614</x:v>
      </x:c>
      <x:c r="F4" s="78" t="s">
        <x:v>615</x:v>
      </x:c>
      <x:c r="G4" s="78" t="s">
        <x:v>616</x:v>
      </x:c>
      <x:c r="H4" s="78" t="s">
        <x:v>617</x:v>
      </x:c>
      <x:c r="I4" s="78" t="s">
        <x:v>618</x:v>
      </x:c>
    </x:row>
    <x:row r="5" ht="28.5">
      <x:c r="A5" s="78" t="s">
        <x:v>619</x:v>
      </x:c>
      <x:c r="B5" s="81">
        <x:v>46203</x:v>
      </x:c>
      <x:c r="C5" s="78" t="s">
        <x:v>68</x:v>
      </x:c>
      <x:c r="D5" s="78" t="s">
        <x:v>620</x:v>
      </x:c>
      <x:c r="E5" s="78" t="s">
        <x:v>621</x:v>
      </x:c>
      <x:c r="F5" s="78" t="s">
        <x:v>622</x:v>
      </x:c>
      <x:c r="G5" s="78" t="s">
        <x:v>623</x:v>
      </x:c>
      <x:c r="H5" s="78" t="s">
        <x:v>617</x:v>
      </x:c>
      <x:c r="I5" s="78" t="s">
        <x:v>624</x:v>
      </x:c>
    </x:row>
    <x:row r="6" ht="28.5">
      <x:c r="A6" s="78" t="s">
        <x:v>625</x:v>
      </x:c>
      <x:c r="B6" s="81">
        <x:v>46207</x:v>
      </x:c>
      <x:c r="C6" s="78" t="s">
        <x:v>73</x:v>
      </x:c>
      <x:c r="D6" s="78" t="s">
        <x:v>626</x:v>
      </x:c>
      <x:c r="E6" s="78" t="s">
        <x:v>627</x:v>
      </x:c>
      <x:c r="F6" s="78" t="s">
        <x:v>628</x:v>
      </x:c>
      <x:c r="G6" s="78" t="s">
        <x:v>629</x:v>
      </x:c>
      <x:c r="H6" s="78" t="s">
        <x:v>617</x:v>
      </x:c>
      <x:c r="I6" s="78" t="s">
        <x:v>630</x:v>
      </x:c>
    </x:row>
    <x:row r="7" ht="28.5">
      <x:c r="A7" s="78" t="s">
        <x:v>631</x:v>
      </x:c>
      <x:c r="B7" s="81">
        <x:v>46207</x:v>
      </x:c>
      <x:c r="C7" s="78" t="s">
        <x:v>73</x:v>
      </x:c>
      <x:c r="D7" s="78" t="s">
        <x:v>632</x:v>
      </x:c>
      <x:c r="E7" s="78" t="s">
        <x:v>633</x:v>
      </x:c>
      <x:c r="F7" s="78" t="s">
        <x:v>634</x:v>
      </x:c>
      <x:c r="G7" s="78" t="s">
        <x:v>635</x:v>
      </x:c>
      <x:c r="H7" s="78" t="s">
        <x:v>617</x:v>
      </x:c>
      <x:c r="I7" s="78" t="s">
        <x:v>636</x:v>
      </x:c>
    </x:row>
    <x:row r="8">
      <x:c r="A8" s="78" t="s">
        <x:v>637</x:v>
      </x:c>
      <x:c r="B8" s="81">
        <x:v>46207</x:v>
      </x:c>
      <x:c r="C8" s="78" t="s">
        <x:v>73</x:v>
      </x:c>
      <x:c r="D8" s="78" t="s">
        <x:v>638</x:v>
      </x:c>
      <x:c r="E8" s="78" t="s">
        <x:v>633</x:v>
      </x:c>
      <x:c r="F8" s="78" t="s">
        <x:v>639</x:v>
      </x:c>
      <x:c r="G8" s="78" t="s">
        <x:v>640</x:v>
      </x:c>
      <x:c r="H8" s="78" t="s">
        <x:v>617</x:v>
      </x:c>
      <x:c r="I8" s="78" t="s">
        <x:v>641</x:v>
      </x:c>
    </x:row>
    <x:row r="9">
      <x:c r="A9" s="78" t="s">
        <x:v>642</x:v>
      </x:c>
      <x:c r="B9" s="81">
        <x:v>46207</x:v>
      </x:c>
      <x:c r="C9" s="78" t="s">
        <x:v>73</x:v>
      </x:c>
      <x:c r="D9" s="78" t="s">
        <x:v>643</x:v>
      </x:c>
      <x:c r="E9" s="78" t="s">
        <x:v>633</x:v>
      </x:c>
      <x:c r="F9" s="78" t="s">
        <x:v>644</x:v>
      </x:c>
      <x:c r="G9" s="78" t="s">
        <x:v>645</x:v>
      </x:c>
      <x:c r="H9" s="78" t="s">
        <x:v>617</x:v>
      </x:c>
      <x:c r="I9" s="78" t="s">
        <x:v>646</x:v>
      </x:c>
    </x:row>
    <x:row r="10" ht="28.5">
      <x:c r="A10" s="78" t="s">
        <x:v>647</x:v>
      </x:c>
      <x:c r="B10" s="81">
        <x:v>46207</x:v>
      </x:c>
      <x:c r="C10" s="78" t="s">
        <x:v>68</x:v>
      </x:c>
      <x:c r="D10" s="78" t="s">
        <x:v>648</x:v>
      </x:c>
      <x:c r="E10" s="78" t="s">
        <x:v>649</x:v>
      </x:c>
      <x:c r="F10" s="78" t="s">
        <x:v>207</x:v>
      </x:c>
      <x:c r="G10" s="78" t="s">
        <x:v>650</x:v>
      </x:c>
      <x:c r="H10" s="78" t="s">
        <x:v>617</x:v>
      </x:c>
      <x:c r="I10" s="78" t="s">
        <x:v>651</x:v>
      </x:c>
    </x:row>
    <x:row r="11" ht="28.5">
      <x:c r="A11" s="78" t="s">
        <x:v>652</x:v>
      </x:c>
      <x:c r="B11" s="81">
        <x:v>46207</x:v>
      </x:c>
      <x:c r="C11" s="78" t="s">
        <x:v>68</x:v>
      </x:c>
      <x:c r="D11" s="78" t="s">
        <x:v>653</x:v>
      </x:c>
      <x:c r="E11" s="78" t="s">
        <x:v>201</x:v>
      </x:c>
      <x:c r="F11" s="78" t="s">
        <x:v>654</x:v>
      </x:c>
      <x:c r="G11" s="78" t="s">
        <x:v>655</x:v>
      </x:c>
      <x:c r="H11" s="78" t="s">
        <x:v>617</x:v>
      </x:c>
      <x:c r="I11" s="78" t="s">
        <x:v>656</x:v>
      </x:c>
    </x:row>
    <x:row r="12" ht="28.5">
      <x:c r="A12" s="78" t="s">
        <x:v>657</x:v>
      </x:c>
      <x:c r="B12" s="81">
        <x:v>46207</x:v>
      </x:c>
      <x:c r="C12" s="78" t="s">
        <x:v>68</x:v>
      </x:c>
      <x:c r="D12" s="78" t="s">
        <x:v>658</x:v>
      </x:c>
      <x:c r="E12" s="78" t="s">
        <x:v>659</x:v>
      </x:c>
      <x:c r="F12" s="78" t="s">
        <x:v>660</x:v>
      </x:c>
      <x:c r="G12" s="78" t="s">
        <x:v>19</x:v>
      </x:c>
      <x:c r="H12" s="78" t="s">
        <x:v>617</x:v>
      </x:c>
      <x:c r="I12" s="78" t="s">
        <x:v>661</x:v>
      </x:c>
    </x:row>
    <x:row r="13" ht="60" customHeight="1">
      <x:c r="A13" s="198" t="s">
        <x:v>662</x:v>
      </x:c>
      <x:c r="B13" s="199">
        <x:v>46208</x:v>
      </x:c>
      <x:c r="C13" s="200" t="s">
        <x:v>663</x:v>
      </x:c>
      <x:c r="D13" s="200" t="s">
        <x:v>664</x:v>
      </x:c>
      <x:c r="E13" s="200" t="s">
        <x:v>665</x:v>
      </x:c>
      <x:c r="F13" s="200" t="s">
        <x:v>666</x:v>
      </x:c>
      <x:c r="G13" s="200" t="s">
        <x:v>667</x:v>
      </x:c>
      <x:c r="H13" s="200" t="s">
        <x:v>617</x:v>
      </x:c>
      <x:c r="I13" s="201" t="s">
        <x:v>668</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ht="369" customHeight="1">
      <x:c r="A84" s="431" t="str">
        <x:v>EV-081</x:v>
      </x:c>
      <x:c r="B84" s="431" t="n">
        <x:v>46223</x:v>
      </x:c>
      <x:c r="C84" s="431" t="str">
        <x:v>P3.3 acceptance, PR #40 integration, and exact-main verification</x:v>
      </x:c>
      <x:c r="D84" s="431" t="str">
        <x:v>The user explicitly accepted P3.3. GitHub merged the exact reviewed branch through PR #40 at main e4080fd after two passing CI runs. Exact-main local verification reproduced the accepted package-result, reports, CLI, regression, validation, lint, and coverage evidence.</x:v>
      </x:c>
      <x:c r="E84" s="431" t="str">
        <x:v>User decision / GitHub / Git / Tests / Project control</x:v>
      </x:c>
      <x:c r="F84" s="431" t="str">
        <x:v>User instruction 2026-07-20; PR #40; implementation b5f0fcd; review evidence 411928e; merge/main e4080fd; D-084; IMP-012</x:v>
      </x:c>
      <x:c r="G84" s="431" t="str">
        <x:v>P3.3 acceptance and integration closeout</x:v>
      </x:c>
      <x:c r="H84" s="431" t="str">
        <x:v>Accepted</x:v>
      </x:c>
      <x:c r="I84" s="431" t="str">
        <x:v>PR #40 checks: 2 passed. Focused package-result/report/CLI tests: 49 passed. Full frozen regression: 271 passed with 1 expected Windows symlink skip. Repository validation: 5/5. Ruff passed. Coverage: 86.76%. Local main exactly matched origin/main and was clean before the closeout branch. Pytest emitted the known non-blocking cache warning because the pre-existing .pytest_cache cache path is unusable on Windows; all tests executed and passed. Frozen v0.2 behavior, fixtures, authority map, goldens, held-out content, and historical evidence are unchanged. P2.3 definition alone is authorized next.</x:v>
      </x:c>
    </x:row>
    <x:row r="85" ht="369" customHeight="1">
      <x:c r="A85" s="431" t="str">
        <x:v>EV-082</x:v>
      </x:c>
      <x:c r="B85" s="431" t="n">
        <x:v>46223</x:v>
      </x:c>
      <x:c r="C85" s="431" t="str">
        <x:v>P2.3 bounded relationship-expansion definition review package</x:v>
      </x:c>
      <x:c r="D85" s="431" t="str">
        <x:v>The definition reviews the accepted workflow, authority map, source layouts, manifest relationship declarations, current gates/checks, and end-to-end result/report/CLI path. It freezes six append-only checks with exact sources, authority, evidence, state/hold, faults, and order, and records six unsupported release claims as gaps rather than weak checks.</x:v>
      </x:c>
      <x:c r="E85" s="431" t="str">
        <x:v>Definition / Source review / Project control</x:v>
      </x:c>
      <x:c r="F85" s="431" t="str">
        <x:v>docs/package_assurance/p2_3_relationship_expansion_definition_v0.3.0.md; authority_map_example_v0.3.0.json; accepted development source layouts and manifest declarations; relationships.py; result_core.py; D-085; IMP-013</x:v>
      </x:c>
      <x:c r="G85" s="431" t="str">
        <x:v>P2.3 relationship-expansion definition</x:v>
      </x:c>
      <x:c r="H85" s="431" t="str">
        <x:v>Ready for review</x:v>
      </x:c>
      <x:c r="I85" s="431" t="str">
        <x:v>Six supported checks: item/equipment manifest reciprocity; equipment drawing presence; datasheet authority presence; equipment/datasheet agreement; equipment/datasheet manifest reciprocity; specification revision history. Six temporary isolated fault probes each passed all current eight gates and five checks with zero findings. Six blocked gaps: quantity reconciliation; part/material agreement; item/drawing agreement; equipment/specification association; datasheet revision history; controlled technical values. First proposed implementation is check 6 under exact AUTH-BOM-002. Repository validation 5/5; document consistency and diff checks pass. No executable code, schema, adapter, fixture, golden, authority map, held-out content, frozen v0.2 behavior, or historical evidence changed.</x:v>
      </x:c>
    </x:row>
    <x:row r="86" ht="369" customHeight="1">
      <x:c r="A86" s="431" t="str">
        <x:v>EV-083</x:v>
      </x:c>
      <x:c r="B86" s="431" t="n">
        <x:v>46223</x:v>
      </x:c>
      <x:c r="C86" s="431" t="str">
        <x:v>P2.3 definition acceptance and PR #41 integration</x:v>
      </x:c>
      <x:c r="D86" s="431" t="str">
        <x:v>The user accepted the six-check P2.3 definition and its six explicit authority/source gaps. GitHub merged the exact reviewed definition through PR #41 at main a855d99 after both CI runs passed. Only check 6 is authorized for implementation.</x:v>
      </x:c>
      <x:c r="E86" s="431" t="str">
        <x:v>User decision / GitHub / Git / Project control</x:v>
      </x:c>
      <x:c r="F86" s="431" t="str">
        <x:v>User instruction 2026-07-20; PR #41; definition 5a48dcb; merge/main a855d99; D-086; IMP-013</x:v>
      </x:c>
      <x:c r="G86" s="431" t="str">
        <x:v>P2.3 definition acceptance and integration closeout</x:v>
      </x:c>
      <x:c r="H86" s="431" t="str">
        <x:v>Accepted</x:v>
      </x:c>
      <x:c r="I86" s="431" t="str">
        <x:v>PR #41 checks: 2 passed. Local main exactly matched origin/main and was clean before the closeout branch. The accepted definition retains six supported checks and six blocked authority/source gaps. Check 6 must append after five accepted drawing checks and use exact AUTH-BOM-002; its implementation requires focused/full regression evidence and inspected clean/fault outputs before separate acceptance. No executable code, schema, adapter, fixture, golden, authority map, held-out content, frozen v0.2 behavior, or historical evidence changed in the definition merge.</x:v>
      </x:c>
    </x:row>
    <x:row r="87" ht="414" customHeight="1">
      <x:c r="A87" s="431" t="str">
        <x:v>EV-084</x:v>
      </x:c>
      <x:c r="B87" s="431" t="n">
        <x:v>46223</x:v>
      </x:c>
      <x:c r="C87" s="431" t="str">
        <x:v>P2.3 check 6 implementation and end-to-end review evidence</x:v>
      </x:c>
      <x:c r="D87" s="431" t="str">
        <x:v>Implementation c1dcc4a appends bom_item_equipment_manifest_reciprocity after the five accepted drawing checks. It reconciles every release-required BOM item with required manifest item_to_equipment declarations under exact AUTH-BOM-002 and emits one deterministic evidence-linked hold per affected item.</x:v>
      </x:c>
      <x:c r="E87" s="431" t="str">
        <x:v>Source / Tests / CLI / Generated runs / Project control</x:v>
      </x:c>
      <x:c r="F87" s="431" t="str">
        <x:v>implementation c1dcc4a; relationships.py; tests/test_package_relationships.py; tests/test_cli_audit_package.py; scratch/p23-check6-review-evidence clean and wrong-target runs; D-087; IMP-013-IMP-014</x:v>
      </x:c>
      <x:c r="G87" s="431" t="str">
        <x:v>P2.3 check 6 implementation</x:v>
      </x:c>
      <x:c r="H87" s="431" t="str">
        <x:v>Accepted</x:v>
      </x:c>
      <x:c r="I87" s="431" t="str">
        <x:v>Relationship tests: 31 passed. Focused relationship/result/report/CLI tests: 75 passed. Full frozen regression: 278 passed with 1 expected Windows symlink skip. Repository validation: 5/5. Ruff passed. Coverage: 87.02%. Clean run: package PKG-DEV-PUMP-SKID-001; automatic_pass; hold false; gates 8/8; checks 6/6; zero findings; exit 0. Wrong-valid REL-ITEM-EQ-001 target run: automatic_fail; hold true; gates 8/8; checks 5/6; one BOM_ITEM_EQUIPMENT_RECIPROCITY_FAILED under AUTH-BOM-002 for ITEM-PUMP-001, expected P-101A, actual M-101A; exit 1. Both publish exactly package_result.json, issue_register.csv, issue_register.md, and release_readiness.md with zero absolute local paths. Missing, extra, multiple, repeatability, exact authority, and unrelated authority behavior are tested. The known non-blocking Windows pytest cache warning remains. No accepted fixture, schema, authority map, golden, held-out content, frozen v0.2 behavior, or historical evidence changed.</x:v>
      </x:c>
    </x:row>
    <x:row r="88" ht="387" customHeight="1">
      <x:c r="A88" s="431" t="str">
        <x:v>EV-085</x:v>
      </x:c>
      <x:c r="B88" s="431" t="n">
        <x:v>46223</x:v>
      </x:c>
      <x:c r="C88" s="431" t="str">
        <x:v>P2.3 check 6 acceptance and PR #42 integration closeout</x:v>
      </x:c>
      <x:c r="D88" s="431" t="str">
        <x:v>The user accepted check 6. GitHub merged the exact reviewed branch through PR #42 at main 559bb81. Local main was synchronized and clean before the closeout branch. The accepted check expands the runnable audit to six ordered relationship checks without changing protected assets or deferred scope.</x:v>
      </x:c>
      <x:c r="E88" s="431" t="str">
        <x:v>User decision / GitHub / Git / Project control</x:v>
      </x:c>
      <x:c r="F88" s="431" t="str">
        <x:v>User instruction 2026-07-20; PR #42; implementation c1dcc4a; review evidence 0386b7f; merge/main 559bb81; D-087-D-088; IMP-013-IMP-014</x:v>
      </x:c>
      <x:c r="G88" s="431" t="str">
        <x:v>P2.3 check 6 acceptance and integration closeout</x:v>
      </x:c>
      <x:c r="H88" s="431" t="str">
        <x:v>Accepted</x:v>
      </x:c>
      <x:c r="I88" s="431" t="str">
        <x:v>PR #42 is merged at exact main 559bb81. Accepted review evidence remains relationship 31; focused 75; full 278 passed with one expected Windows symlink skip; repository validation 5/5; Ruff; coverage 87.02%; inspected clean automatic_pass and wrong-target automatic_fail runs with exactly four outputs and package-relative evidence. No schema, fixture, authority map, golden, held-out content, frozen v0.2 behavior, or historical evidence changed. The approved next action is behavior-preserving relationship maintainability stabilization before check 7.</x:v>
      </x:c>
    </x:row>
    <x:row r="89" ht="369" customHeight="1">
      <x:c r="A89" s="431" t="str">
        <x:v>EV-086</x:v>
      </x:c>
      <x:c r="B89" s="431" t="n">
        <x:v>46223</x:v>
      </x:c>
      <x:c r="C89" s="431" t="str">
        <x:v>Relationship maintainability stabilization and PR #44 integration</x:v>
      </x:c>
      <x:c r="D89" s="431" t="str">
        <x:v>The accepted relationship implementation was split into one small public coordinator, shared deterministic primitives, and separate drawing and BOM/equipment modules and focused tests. No evaluator behavior changed. GitHub merged PR #44 at exact main 56ac9d1 after both CI runs passed.</x:v>
      </x:c>
      <x:c r="E89" s="431" t="str">
        <x:v>Source / AST comparison / Tests / GitHub / Git / Project control</x:v>
      </x:c>
      <x:c r="F89" s="431" t="str">
        <x:v>implementation 1f34781; PR #44; merge/main 56ac9d1; relationships.py; drawing_relationships.py; bom_relationships.py; test_package_relationships.py; test_package_bom_relationships.py; D-089; IMP-015</x:v>
      </x:c>
      <x:c r="G89" s="431" t="str">
        <x:v>Relationship maintainability stabilization</x:v>
      </x:c>
      <x:c r="H89" s="431" t="str">
        <x:v>Accepted</x:v>
      </x:c>
      <x:c r="I89" s="431" t="str">
        <x:v>All 40 prior relationship function ASTs are identical after the split. Relationship tests: 31 passed. Focused tests: 75 passed. Full frozen regression: 278 passed with one expected Windows symlink skip. Repository validation: 5/5. Ruff passed. Coverage: 87.10%. Both GitHub CI runs passed. No schema, fixture, authority map, golden, held-out content, frozen v0.2 behavior, or historical evidence changed.</x:v>
      </x:c>
    </x:row>
    <x:row r="90" ht="405" customHeight="1">
      <x:c r="A90" s="431" t="str">
        <x:v>EV-087</x:v>
      </x:c>
      <x:c r="B90" s="431" t="n">
        <x:v>46223</x:v>
      </x:c>
      <x:c r="C90" s="431" t="str">
        <x:v>P2.3 check 7 implementation and end-to-end review evidence</x:v>
      </x:c>
      <x:c r="D90" s="431" t="str">
        <x:v>Check 7 requires every release-required BOM equipment tag to appear in drawing metadata under exact AUTH-BOM-002. The isolated removal of M-101A from DWMETA-001 produces one deterministic release hold for ITEM-MOTOR-001/M-101A while all predecessor checks pass.</x:v>
      </x:c>
      <x:c r="E90" s="431" t="str">
        <x:v>Source / Tests / CLI / Generated runs / Project control</x:v>
      </x:c>
      <x:c r="F90" s="431" t="str">
        <x:v>codex/p2.3-bom-equipment-drawing-presence; bom_relationships.py; relationships.py; tests/test_package_bom_relationships.py; tests/test_cli_audit_package.py; scratch/p23-check7-review-evidence; D-090; IMP-013-IMP-015</x:v>
      </x:c>
      <x:c r="G90" s="431" t="str">
        <x:v>P2.3 check 7 implementation</x:v>
      </x:c>
      <x:c r="H90" s="431" t="str">
        <x:v>Accepted</x:v>
      </x:c>
      <x:c r="I90" s="431" t="str">
        <x:v>Relationship tests: 35 passed. Focused relationship/result/report/CLI tests: 80 passed. Full frozen regression: 283 passed with one expected Windows symlink skip. Repository validation: 5/5. Ruff passed. Coverage: 87.25%. Clean and isolated-fault four-output runs were inspected. Implementation 01a70c2 was merged through PR #45 at exact main 273c36a after both GitHub checks passed. No accepted fixture, schema, authority map, golden, held-out content, frozen v0.2 behavior, or historical evidence changed.</x:v>
      </x:c>
    </x:row>
    <x:row r="91" ht="279" customHeight="1">
      <x:c r="A91" s="431" t="str">
        <x:v>EV-088</x:v>
      </x:c>
      <x:c r="B91" s="431" t="n">
        <x:v>46223</x:v>
      </x:c>
      <x:c r="C91" s="431" t="str">
        <x:v>P2.3 check 7 GitHub integration evidence</x:v>
      </x:c>
      <x:c r="D91" s="431" t="str">
        <x:v>GitHub independently ran both required validation-and-test workflows for PR #45. Both passed before the pull request was merged at exact main 273c36a.</x:v>
      </x:c>
      <x:c r="E91" s="431" t="str">
        <x:v>GitHub / Git / Project control</x:v>
      </x:c>
      <x:c r="F91" s="431" t="str">
        <x:v>PR #45; implementation 01a70c2; merge/main 273c36a; D-090; EV-087</x:v>
      </x:c>
      <x:c r="G91" s="431" t="str">
        <x:v>P2.3 check 7 integration</x:v>
      </x:c>
      <x:c r="H91" s="431" t="str">
        <x:v>Accepted</x:v>
      </x:c>
      <x:c r="I91" s="431" t="str">
        <x:v>Both required GitHub checks passed: one in 42 seconds and one in 32 seconds. PR #45 merged without changing the reviewed implementation. Local main was fast-forwarded and clean at 273c36a.</x:v>
      </x:c>
    </x:row>
    <x:row r="92" ht="315" customHeight="1">
      <x:c r="A92" s="431" t="str">
        <x:v>EV-089</x:v>
      </x:c>
      <x:c r="B92" s="431" t="n">
        <x:v>46223</x:v>
      </x:c>
      <x:c r="C92" s="431" t="str">
        <x:v>Authorized structured-package trial decision package</x:v>
      </x:c>
      <x:c r="D92" s="431" t="str">
        <x:v>The trial charter freezes the CEO decision, permitted data sources, default privacy and retention boundary, structured-data limits, sequence, non-time success measures, stop conditions, outputs, and improvement-loop handoff.</x:v>
      </x:c>
      <x:c r="E92" s="431" t="str">
        <x:v>Document / Project control</x:v>
      </x:c>
      <x:c r="F92" s="431" t="str">
        <x:v>docs/package_assurance/authorized_structured_package_trial_v0.3.0.md; codex/p2.3-real-package-structured-trial; D-091</x:v>
      </x:c>
      <x:c r="G92" s="431" t="str">
        <x:v>Practical-use trial entry gate</x:v>
      </x:c>
      <x:c r="H92" s="431" t="str">
        <x:v>Ready for CEO review</x:v>
      </x:c>
      <x:c r="I92" s="431" t="str">
        <x:v>No package content was accessed or changed. Original material remains outside Git by default. The CEO must identify the package, confirm permitted use and sanitization/retention boundaries, and name a qualified reviewer. Checks 8-11 and all deferred capabilities remain blocked.</x:v>
      </x:c>
    </x:row>
    <x:row r="93" ht="279" customHeight="1">
      <x:c r="A93" s="431" t="str">
        <x:v>EV-090</x:v>
      </x:c>
      <x:c r="B93" s="431" t="n">
        <x:v>46223</x:v>
      </x:c>
      <x:c r="C93" s="431" t="str">
        <x:v>P2.3 trial-charter GitHub integration evidence</x:v>
      </x:c>
      <x:c r="D93" s="431" t="str">
        <x:v>PR #46 integrated the reviewed structured-package trial charter and project-control update. Both required GitHub validation-and-test workflows passed before merge.</x:v>
      </x:c>
      <x:c r="E93" s="431" t="str">
        <x:v>GitHub / Git / Project control</x:v>
      </x:c>
      <x:c r="F93" s="431" t="str">
        <x:v>PR #46; implementation d4e530f; merge/main 361cc77; D-091; EV-089</x:v>
      </x:c>
      <x:c r="G93" s="431" t="str">
        <x:v>P2.3 practical-use trial entry gate</x:v>
      </x:c>
      <x:c r="H93" s="431" t="str">
        <x:v>Accepted</x:v>
      </x:c>
      <x:c r="I93" s="431" t="str">
        <x:v>Both required GitHub checks passed in 33 seconds and 34 seconds. PR #46 merged at exact main 361cc77. Local main was fast-forwarded and clean before the public-package research branch was created.</x:v>
      </x:c>
    </x:row>
    <x:row r="94" ht="342" customHeight="1">
      <x:c r="A94" s="431" t="str">
        <x:v>EV-091</x:v>
      </x:c>
      <x:c r="B94" s="431" t="n">
        <x:v>46223</x:v>
      </x:c>
      <x:c r="C94" s="431" t="str">
        <x:v>Public structured-package trial shortlist</x:v>
      </x:c>
      <x:c r="D94" s="431" t="str">
        <x:v>Official publisher and repository sources were reviewed for three public mechanical packages. The comparison records workflow fit, provenance, licensing, preparation burden, limitations, and the recommended candidate without downloading source files.</x:v>
      </x:c>
      <x:c r="E94" s="431" t="str">
        <x:v>Official public sources / Document / Project control</x:v>
      </x:c>
      <x:c r="F94" s="431" t="str">
        <x:v>docs/package_assurance/public_trial_package_shortlist_2026-07-20.md; Precious Plastic package and license pages; NASA/JPL repository and v4.0.0 release; OpenFlexure repository and v7 release documentation; D-092</x:v>
      </x:c>
      <x:c r="G94" s="431" t="str">
        <x:v>Public trial package selection</x:v>
      </x:c>
      <x:c r="H94" s="431" t="str">
        <x:v>Ready for CEO review</x:v>
      </x:c>
      <x:c r="I94" s="431" t="str">
        <x:v>Precious Plastic Shredder Basic 3.3 is recommended. NASA/JPL Open Source Rover v4.0.0 and OpenFlexure Microscope v7.0.0-beta5 remain viable alternatives. No files were downloaded or transformed. Current verification: 27 repository tests passed; full regression 283 passed with one expected Windows symlink skip; repository validation 5/5; workbook formula errors 0; all six control sheets visually inspected. The recommendation is not engineering approval, a safety conclusion, or a legal opinion.</x:v>
      </x:c>
    </x:row>
    <x:row r="95" ht="342" customHeight="1">
      <x:c r="A95" s="431" t="str">
        <x:v>EV-092</x:v>
      </x:c>
      <x:c r="B95" s="431" t="n">
        <x:v>46223</x:v>
      </x:c>
      <x:c r="C95" s="431" t="str">
        <x:v>CEO public-package selection and sequential-trial authorization</x:v>
      </x:c>
      <x:c r="D95" s="431" t="str">
        <x:v>The CEO selected Precious Plastic Shredder Basic 3.3 and authorized controlled intake and fit-gap assessment. The CEO also approved NASA/JPL Open Source Rover v4.0.0 and OpenFlexure Microscope v7.0.0-beta5 as later sequential trials subject to independent acceptance gates.</x:v>
      </x:c>
      <x:c r="E95" s="431" t="str">
        <x:v>User instruction / Project control</x:v>
      </x:c>
      <x:c r="F95" s="431" t="str">
        <x:v>CEO instruction 2026-07-20; D-092-D-093; EV-091; docs/package_assurance/authorized_structured_package_trial_v0.3.0.md; docs/package_assurance/public_trial_package_shortlist_2026-07-20.md</x:v>
      </x:c>
      <x:c r="G95" s="431" t="str">
        <x:v>Public trial authorization</x:v>
      </x:c>
      <x:c r="H95" s="431" t="str">
        <x:v>Accepted</x:v>
      </x:c>
      <x:c r="I95" s="431" t="str">
        <x:v>Trial 1 is limited to official-source and license verification, local Git-ignored download, preservation, hashing, inventory, and fit-gap reporting. Trial 2 cannot begin until trial 1 is reviewed and accepted; trial 3 cannot begin until trial 2 is reviewed and accepted. No transformation or audit execution is authorized by this decision.</x:v>
      </x:c>
    </x:row>
    <x:row r="96" ht="342" customHeight="1">
      <x:c r="A96" s="431" t="str">
        <x:v>EV-093</x:v>
      </x:c>
      <x:c r="B96" s="431" t="n">
        <x:v>46223</x:v>
      </x:c>
      <x:c r="C96" s="431" t="str">
        <x:v>Precious Plastic official-access stop evidence</x:v>
      </x:c>
      <x:c r="D96" s="431" t="str">
        <x:v>The official source requires a signed-in Precious Plastic Community account. The user cannot create or access an account, so the trial stopped without downloading or transforming any package file.</x:v>
      </x:c>
      <x:c r="E96" s="431" t="str">
        <x:v>User instruction / Official public source / Local intake state</x:v>
      </x:c>
      <x:c r="F96" s="431" t="str">
        <x:v>CEO instruction 2026-07-20; https://community.preciousplastic.com/library/shr---33-; scratch/public-package-intake/precious-plastic-shredder-3.3/intake_state.json; D-094</x:v>
      </x:c>
      <x:c r="G96" s="431" t="str">
        <x:v>Public trial access control</x:v>
      </x:c>
      <x:c r="H96" s="431" t="str">
        <x:v>Accepted</x:v>
      </x:c>
      <x:c r="I96" s="431" t="str">
        <x:v>The Git-ignored source directory is empty. Download filename, timestamp, SHA-256, size, and source-file count remain null. No login workaround or publisher-control bypass was attempted.</x:v>
      </x:c>
    </x:row>
    <x:row r="97" ht="342" customHeight="1">
      <x:c r="A97" s="431" t="str">
        <x:v>EV-094</x:v>
      </x:c>
      <x:c r="B97" s="431" t="n">
        <x:v>46223</x:v>
      </x:c>
      <x:c r="C97" s="431" t="str">
        <x:v>Co-equal dual public-package intake authorization</x:v>
      </x:c>
      <x:c r="D97" s="431" t="str">
        <x:v>The CEO authorized NASA/JPL Open Source Rover v4.0.0 and OpenFlexure Microscope v7.0.0-beta5 to proceed together under identical official-source, license, preservation, hashing, inventory, source-family, authority-gap, and evidence controls.</x:v>
      </x:c>
      <x:c r="E97" s="431" t="str">
        <x:v>User instruction / Project control</x:v>
      </x:c>
      <x:c r="F97" s="431" t="str">
        <x:v>CEO instruction 2026-07-20; D-095; docs/package_assurance/authorized_structured_package_trial_v0.3.0.md; docs/package_assurance/public_trial_package_shortlist_2026-07-20.md</x:v>
      </x:c>
      <x:c r="G97" s="431" t="str">
        <x:v>Dual public-package trial authorization</x:v>
      </x:c>
      <x:c r="H97" s="431" t="str">
        <x:v>Accepted</x:v>
      </x:c>
      <x:c r="I97" s="431" t="str">
        <x:v>Each source remains separate and Git-ignored. Complete both fit-gap assessments before comparison. No transformation, audit run, PDF/CAD engineering-content extraction, schema or rule change, held-out execution, or protected-asset change is authorized.</x:v>
      </x:c>
    </x:row>
    <x:row r="98" ht="414" customHeight="1">
      <x:c r="A98" s="431" t="str">
        <x:v>EV-095</x:v>
      </x:c>
      <x:c r="B98" s="431" t="n">
        <x:v>46223</x:v>
      </x:c>
      <x:c r="C98" s="431" t="str">
        <x:v>Dual public-package preserved intake evidence</x:v>
      </x:c>
      <x:c r="D98" s="431" t="str">
        <x:v>Both official version-specific archives were downloaded to separate Git-ignored areas, kept unchanged, SHA-256 hashed, ZIP-validated, and inventoried from central-directory metadata without opening PDF or CAD engineering content.</x:v>
      </x:c>
      <x:c r="E98" s="431" t="str">
        <x:v>Official public sources / Local generated evidence</x:v>
      </x:c>
      <x:c r="F98" s="431" t="str">
        <x:v>NASA/JPL v4.0.0 release and archive; OpenFlexure v7.0.0-beta5 release and source.zip; ignored intake_state.json and inventory.csv files; D-095</x:v>
      </x:c>
      <x:c r="G98" s="431" t="str">
        <x:v>Dual source preservation and inventory</x:v>
      </x:c>
      <x:c r="H98" s="431" t="str">
        <x:v>Accepted</x:v>
      </x:c>
      <x:c r="I98" s="431" t="str">
        <x:v>Accepted by the CEO on 2026-07-20. Both archive hashes and ZIP-native inventories remain the controlling source evidence; raw materials stay separate and Git-ignored.</x:v>
      </x:c>
    </x:row>
    <x:row r="99" ht="360" customHeight="1">
      <x:c r="A99" s="431" t="str">
        <x:v>EV-096</x:v>
      </x:c>
      <x:c r="B99" s="431" t="n">
        <x:v>46223</x:v>
      </x:c>
      <x:c r="C99" s="431" t="str">
        <x:v>Dual public-package combined fit-gap assessment</x:v>
      </x:c>
      <x:c r="D99" s="431" t="str">
        <x:v>The balanced assessment compares the same required source families, authority signals, revision evidence, preparation blockers, and current-audit gaps for NASA/JPL and OpenFlexure without ranking either package.</x:v>
      </x:c>
      <x:c r="E99" s="431" t="str">
        <x:v>Reviewed document / Project control</x:v>
      </x:c>
      <x:c r="F99" s="431" t="str">
        <x:v>docs/package_assurance/dual_public_package_intake_fit_gap_2026-07-20.md; EV-095; D-096</x:v>
      </x:c>
      <x:c r="G99" s="431" t="str">
        <x:v>Dual public-package fit-gap review</x:v>
      </x:c>
      <x:c r="H99" s="431" t="str">
        <x:v>Accepted</x:v>
      </x:c>
      <x:c r="I99" s="431" t="str">
        <x:v>Accepted by the CEO on 2026-07-20 and integrated through PR #48 at exact main 99d16b6. The acceptance authorizes mapping definitions only, not transformation or audit execution.</x:v>
      </x:c>
    </x:row>
    <x:row r="100" ht="324" customHeight="1">
      <x:c r="A100" s="431" t="str">
        <x:v>EV-097</x:v>
      </x:c>
      <x:c r="B100" s="431" t="n">
        <x:v>46223</x:v>
      </x:c>
      <x:c r="C100" s="431" t="str">
        <x:v>Dual intake acceptance and integration evidence</x:v>
      </x:c>
      <x:c r="D100" s="431" t="str">
        <x:v>The CEO accepted D-096. PR #48 merged the exact reviewed NASA/JPL and OpenFlexure intake, preservation, inventory, and combined fit-gap evidence to main.</x:v>
      </x:c>
      <x:c r="E100" s="431" t="str">
        <x:v>User instruction / GitHub integration / Project control</x:v>
      </x:c>
      <x:c r="F100" s="431" t="str">
        <x:v>CEO instruction 2026-07-20; PR #48; exact main 99d16b6; docs/package_assurance/dual_public_package_intake_fit_gap_2026-07-20.md; D-096</x:v>
      </x:c>
      <x:c r="G100" s="431" t="str">
        <x:v>Dual intake gate closeout</x:v>
      </x:c>
      <x:c r="H100" s="431" t="str">
        <x:v>Accepted</x:v>
      </x:c>
      <x:c r="I100" s="431" t="str">
        <x:v>The accepted boundary authorizes two manual mapping definitions and one shared traceability-log contract. It does not authorize source conversion, working-package creation, or audit execution.</x:v>
      </x:c>
    </x:row>
    <x:row r="101" ht="423" customHeight="1">
      <x:c r="A101" s="431" t="str">
        <x:v>EV-098</x:v>
      </x:c>
      <x:c r="B101" s="431" t="n">
        <x:v>46223</x:v>
      </x:c>
      <x:c r="C101" s="431" t="str">
        <x:v>Dual source-to-audit mapping definitions and traceability-log contract</x:v>
      </x:c>
      <x:c r="D101" s="431" t="str">
        <x:v>The NASA/JPL mechanical-rover and OpenFlexure high-resolution-microscope mappings freeze exact trial boundaries, source hierarchies, direct/derived/missing/not-applicable classifications, canonical-ID rules, expected holds, preparation checks, and one shared append-only transformation-and-assumption log format.</x:v>
      </x:c>
      <x:c r="E101" s="431" t="str">
        <x:v>Reviewed documents / Official public sources / Project control</x:v>
      </x:c>
      <x:c r="F101" s="431" t="str">
        <x:v>docs/package_assurance/nasa_jpl_open_source_rover_mapping_definition_v0.3.0.md; docs/package_assurance/openflexure_microscope_mapping_definition_v0.3.0.md; docs/package_assurance/transformation_and_assumption_log_contract_v0.3.0.md; docs/package_assurance/transformation_and_assumption_log_template_v0.3.0.csv; D-097</x:v>
      </x:c>
      <x:c r="G101" s="431" t="str">
        <x:v>Dual public-package mapping review</x:v>
      </x:c>
      <x:c r="H101" s="431" t="str">
        <x:v>Accepted</x:v>
      </x:c>
      <x:c r="I101" s="431" t="str">
        <x:v>Accepted through D-097 and merged through PR #49 at exact main 53e19ad. The acceptance authorized controlled preparation, not audit execution.</x:v>
      </x:c>
    </x:row>
    <x:row r="102" ht="369" customHeight="1">
      <x:c r="A102" s="431" t="str">
        <x:v>EV-099</x:v>
      </x:c>
      <x:c r="B102" s="431" t="n">
        <x:v>46223</x:v>
      </x:c>
      <x:c r="C102" s="431" t="str">
        <x:v>Dual mapping acceptance and integration evidence</x:v>
      </x:c>
      <x:c r="D102" s="431" t="str">
        <x:v>The CEO accepted D-097. PR #49 merged the exact reviewed NASA/JPL and OpenFlexure mappings, shared transformation contract, template, and IMP-016 control evidence to main.</x:v>
      </x:c>
      <x:c r="E102" s="431" t="str">
        <x:v>User instruction / GitHub integration / Project control</x:v>
      </x:c>
      <x:c r="F102" s="431" t="str">
        <x:v>CEO instruction 2026-07-20; PR #49; exact main 53e19ad; docs/package_assurance/nasa_jpl_open_source_rover_mapping_definition_v0.3.0.md; docs/package_assurance/openflexure_microscope_mapping_definition_v0.3.0.md; docs/package_assurance/transformation_and_assumption_log_contract_v0.3.0.md; D-097</x:v>
      </x:c>
      <x:c r="G102" s="431" t="str">
        <x:v>Dual mapping gate closeout</x:v>
      </x:c>
      <x:c r="H102" s="431" t="str">
        <x:v>Accepted</x:v>
      </x:c>
      <x:c r="I102" s="431" t="str">
        <x:v>The accepted boundary authorized separate Git-ignored working-package preparation and populated logs. Audit execution remained blocked pending independent preparation review.</x:v>
      </x:c>
    </x:row>
    <x:row r="103" ht="486" customHeight="1">
      <x:c r="A103" s="431" t="str">
        <x:v>EV-100</x:v>
      </x:c>
      <x:c r="B103" s="431" t="n">
        <x:v>46223</x:v>
      </x:c>
      <x:c r="C103" s="431" t="str">
        <x:v>Dual public-package preparation and independent verification</x:v>
      </x:c>
      <x:c r="D103" s="431" t="str">
        <x:v>Separate Git-ignored NASA/JPL and OpenFlexure working packages were prepared under the accepted mappings. The evidence includes exact package tree hashes, source-copy indices, populated logs, valid structured sources, required item relationships, and a separate verification record.</x:v>
      </x:c>
      <x:c r="E103" s="431" t="str">
        <x:v>Generated local evidence / Reviewed document / Deterministic verification</x:v>
      </x:c>
      <x:c r="F103" s="431" t="str">
        <x:v>docs/package_assurance/dual_public_package_preparation_review_2026-07-20.md; scratch/prep/dual_preparation_summary.json; scratch/prep/independent_preparation_verification.json; scratch/prep/osr-v4; scratch/prep/ofm-beta5-high-res; D-097-D-098</x:v>
      </x:c>
      <x:c r="G103" s="431" t="str">
        <x:v>Dual public-package preparation review</x:v>
      </x:c>
      <x:c r="H103" s="431" t="str">
        <x:v>Accepted</x:v>
      </x:c>
      <x:c r="I103" s="431" t="str">
        <x:v>Accepted through D-098 and merged through PR #50 at exact main 7009fe2. Both exact preparations were authorized for controlled sequential execution with a mandatory stop on unexpected behavior.</x:v>
      </x:c>
    </x:row>
    <x:row r="104" ht="382.5" customHeight="1">
      <x:c r="A104" s="431" t="str">
        <x:v>EV-101</x:v>
      </x:c>
      <x:c r="B104" s="431" t="n">
        <x:v>46223</x:v>
      </x:c>
      <x:c r="C104" s="431" t="str">
        <x:v>Dual preparation acceptance and integration evidence</x:v>
      </x:c>
      <x:c r="D104" s="431" t="str">
        <x:v>The user accepted D-098. PR #50 merged the exact reviewed preparation report and controls. Both 1,764-row logs were marked accepted with before/after hashes, and both package trees were reverified unchanged before execution.</x:v>
      </x:c>
      <x:c r="E104" s="431" t="str">
        <x:v>User instruction / GitHub integration / Local deterministic evidence</x:v>
      </x:c>
      <x:c r="F104" s="431" t="str">
        <x:v>User instruction 2026-07-20; PR #50; exact main 7009fe2; scratch/prep/pre_audit_acceptance.json; docs/package_assurance/dual_public_package_preparation_review_2026-07-20.md; D-098</x:v>
      </x:c>
      <x:c r="G104" s="431" t="str">
        <x:v>Dual audit gate closeout</x:v>
      </x:c>
      <x:c r="H104" s="431" t="str">
        <x:v>Accepted</x:v>
      </x:c>
      <x:c r="I104" s="431" t="str">
        <x:v>Accepted NASA/JPL tree 52aedc3e... and log d1d910f0...; accepted OpenFlexure tree 71656da7... and log a8ba53e5.... Execution remained sequential and stop-controlled.</x:v>
      </x:c>
    </x:row>
    <x:row r="105" ht="468" customHeight="1">
      <x:c r="A105" s="431" t="str">
        <x:v>EV-102</x:v>
      </x:c>
      <x:c r="B105" s="431" t="n">
        <x:v>46223</x:v>
      </x:c>
      <x:c r="C105" s="431" t="str">
        <x:v>NASA/JPL first audit stopped before publication</x:v>
      </x:c>
      <x:c r="D105" s="431" t="str">
        <x:v>The accepted NASA/JPL package tree was reverified immediately before audit-package. The command returned internal exit 70 because result-schema validation rejected blank affected identifiers. Atomic publication created zero outputs, and the OpenFlexure audit was stopped.</x:v>
      </x:c>
      <x:c r="E105" s="431" t="str">
        <x:v>CLI execution / Local ignored failure evidence / Deterministic diagnosis</x:v>
      </x:c>
      <x:c r="F105" s="431" t="str">
        <x:v>scratch/public-package-audit-runs/osr-v4-failed-20260720/failure_evidence.json; package tree 52aedc3eaf6753305dbf29d01366f324dd959fe57e14ace6295e62f3801fd8ce; accepted log d1d910f02a89830f551e9daf949e48931471320e3764551fe3718a441125a9ec; D-098</x:v>
      </x:c>
      <x:c r="G105" s="431" t="str">
        <x:v>First public-package execution failure</x:v>
      </x:c>
      <x:c r="H105" s="431" t="str">
        <x:v>Accepted failure evidence</x:v>
      </x:c>
      <x:c r="I105" s="431" t="str">
        <x:v>Expected missing_authoritative_information/exit 3/four outputs. Actual internal exit 70/zero outputs. Gate diagnostic: authority missing 1 expected finding; identifier gate 174 blank-value findings; all seven relationship checks skipped. Both package and Git tree remained unchanged.</x:v>
      </x:c>
    </x:row>
    <x:row r="106" ht="513" customHeight="1">
      <x:c r="A106" s="431" t="str">
        <x:v>EV-103</x:v>
      </x:c>
      <x:c r="B106" s="431" t="n">
        <x:v>46223</x:v>
      </x:c>
      <x:c r="C106" s="431" t="str">
        <x:v>Cross-package identifier/result-contract root-cause review</x:v>
      </x:c>
      <x:c r="D106" s="431" t="str">
        <x:v>The accepted mappings require unavailable BOM drawing, datasheet, and specification references to remain blank. The identifier gate conflates absence with malformed syntax, then uses the invalid raw value as a canonical affected identifier. A read-only OpenFlexure diagnostic confirms 99 equivalent findings without executing its audit.</x:v>
      </x:c>
      <x:c r="E106" s="431" t="str">
        <x:v>Reviewed source and contracts / Read-only gate diagnostic / Project control</x:v>
      </x:c>
      <x:c r="F106" s="431" t="str">
        <x:v>docs/package_assurance/dual_public_package_audit_failure_review_2026-07-20.md; docs/package_assurance/nasa_jpl_open_source_rover_mapping_definition_v0.3.0.md; docs/package_assurance/openflexure_microscope_mapping_definition_v0.3.0.md; src/mech_eval_harness/package_assurance/gates.py; schemas/package_result.schema.json; IMP-017; D-099</x:v>
      </x:c>
      <x:c r="G106" s="431" t="str">
        <x:v>Public-package audit stabilization review</x:v>
      </x:c>
      <x:c r="H106" s="431" t="str">
        <x:v>Ready for CEO review</x:v>
      </x:c>
      <x:c r="I106" s="431" t="str">
        <x:v>Recommended fix keeps the strict result schema, skips syntax checks only for exactly blank optional BOM references, keeps mandatory/nonblank identifiers strict, retains raw invalid values in evidence, adds synthetic full-output CLI proof, and forbids public-package changes or reruns before fix review.</x:v>
      </x:c>
    </x:row>
    <x:row r="107" ht="459" customHeight="1">
      <x:c r="A107" s="431" t="str">
        <x:v>EV-104</x:v>
      </x:c>
      <x:c r="B107" s="431" t="n">
        <x:v>46223</x:v>
      </x:c>
      <x:c r="C107" s="431" t="str">
        <x:v>D-099 acceptance and failure-review integration</x:v>
      </x:c>
      <x:c r="D107" s="431" t="str">
        <x:v>The CEO accepted D-099. PR #51 merged the exact failure review and controls at main 624acce, authorizing only the narrow identifier/result-contract stabilization and synthetic proof before public reruns.</x:v>
      </x:c>
      <x:c r="E107" s="431" t="str">
        <x:v>User instruction / GitHub integration / Project control</x:v>
      </x:c>
      <x:c r="F107" s="431" t="str">
        <x:v>User instruction 2026-07-20; PR #51; exact main 624acce; docs/package_assurance/dual_public_package_audit_failure_review_2026-07-20.md; D-099</x:v>
      </x:c>
      <x:c r="G107" s="431" t="str">
        <x:v>Stabilization authority</x:v>
      </x:c>
      <x:c r="H107" s="431" t="str">
        <x:v>Accepted</x:v>
      </x:c>
      <x:c r="I107" s="431" t="str">
        <x:v>No schema weakening, package change, public rerun, check 8, held-out execution, or deferred capability was authorized.</x:v>
      </x:c>
    </x:row>
    <x:row r="108" ht="540" customHeight="1">
      <x:c r="A108" s="431" t="str">
        <x:v>EV-105</x:v>
      </x:c>
      <x:c r="B108" s="431" t="n">
        <x:v>46223</x:v>
      </x:c>
      <x:c r="C108" s="431" t="str">
        <x:v>Identifier/result-contract stabilization and synthetic CLI proof</x:v>
      </x:c>
      <x:c r="D108" s="431" t="str">
        <x:v>The identifier gate now skips syntax only for exact blanks in three approved optional equipment-item reference fields. Malformed present and required identifiers remain automatic holds. Invalid raw values stay in evidence and canonical findings use a valid parent identifier or an empty list. Synthetic full-CLI cases publish exactly four outputs at missing-authority exit 3 and automatic-fail exit 1.</x:v>
      </x:c>
      <x:c r="E108" s="431" t="str">
        <x:v>Reviewed implementation / Synthetic end-to-end tests / Generated temporary outputs</x:v>
      </x:c>
      <x:c r="F108" s="431" t="str">
        <x:v>src/mech_eval_harness/package_assurance/gates.py; tests/test_package_gates.py; tests/test_cli_audit_package.py; docs/package_assurance/identifier_result_contract_stabilization_review_2026-07-20.md; IMP-017; D-099</x:v>
      </x:c>
      <x:c r="G108" s="431" t="str">
        <x:v>D-099 stabilization implementation</x:v>
      </x:c>
      <x:c r="H108" s="431" t="str">
        <x:v>Accepted</x:v>
      </x:c>
      <x:c r="I108" s="431" t="str">
        <x:v>No package schema, result schema, authority map, fixture, golden, held-out asset, relationship check, state precedence, exit mapping, or publication contract changed.</x:v>
      </x:c>
    </x:row>
    <x:row r="109" ht="513" customHeight="1">
      <x:c r="A109" s="431" t="str">
        <x:v>EV-106</x:v>
      </x:c>
      <x:c r="B109" s="431" t="n">
        <x:v>46223</x:v>
      </x:c>
      <x:c r="C109" s="431" t="str">
        <x:v>Stabilization regression and public-package integrity verification</x:v>
      </x:c>
      <x:c r="D109" s="431" t="str">
        <x:v>Focused gates/result/publication/CLI tests passed 47. The full suite passed 289 with one expected Windows skip at 87.57% coverage. Repository validation passed 5/5; Ruff, baseline 9/9, and demo 2/2 passed. Both accepted public package trees and all 1,764 accepted log rows remain exact, and no public rerun directory exists.</x:v>
      </x:c>
      <x:c r="E109" s="431" t="str">
        <x:v>Local deterministic verification / Hash reconciliation / Frozen baseline replay</x:v>
      </x:c>
      <x:c r="F109" s="431" t="str">
        <x:v>docs/package_assurance/identifier_result_contract_stabilization_review_2026-07-20.md; scratch/verification/identifier-stabilization-20260720; package trees 52aedc3e... and 71656da7...; accepted logs d1d910f0... and a8ba53e5...; D-100</x:v>
      </x:c>
      <x:c r="G109" s="431" t="str">
        <x:v>Stabilization review evidence</x:v>
      </x:c>
      <x:c r="H109" s="431" t="str">
        <x:v>Accepted</x:v>
      </x:c>
      <x:c r="I109" s="431" t="str">
        <x:v>Real-world confirmation remains open. D-100 proposes exactly one NASA/JPL rerun after integration and requires review before OpenFlexure.</x:v>
      </x:c>
    </x:row>
    <x:row r="110" ht="486" customHeight="1">
      <x:c r="A110" s="431" t="str">
        <x:v>EV-107</x:v>
      </x:c>
      <x:c r="B110" s="431" t="n">
        <x:v>46223</x:v>
      </x:c>
      <x:c r="C110" s="431" t="str">
        <x:v>D-100 acceptance and stabilization integration</x:v>
      </x:c>
      <x:c r="D110" s="431" t="str">
        <x:v>The CEO accepted D-100. PR #52 passed both GitHub validation checks and merged the narrow identifier/result-contract stabilization at exact main 0611d916, authorizing exactly one unchanged NASA/JPL observation and a mandatory stop before OpenFlexure.</x:v>
      </x:c>
      <x:c r="E110" s="431" t="str">
        <x:v>User instruction / GitHub checks and merge / Project control</x:v>
      </x:c>
      <x:c r="F110" s="431" t="str">
        <x:v>User instruction 2026-07-20; PR #52; exact main 0611d916; docs/package_assurance/identifier_result_contract_stabilization_review_2026-07-20.md; D-100</x:v>
      </x:c>
      <x:c r="G110" s="431" t="str">
        <x:v>NASA/JPL one-run authority</x:v>
      </x:c>
      <x:c r="H110" s="431" t="str">
        <x:v>Accepted</x:v>
      </x:c>
      <x:c r="I110" s="431" t="str">
        <x:v>No evaluator, package, authority-map, expected-state, schema, check 8, held-out, or deferred-capability change was authorized during observation.</x:v>
      </x:c>
    </x:row>
    <x:row r="111" ht="540" customHeight="1">
      <x:c r="A111" s="431" t="str">
        <x:v>EV-108</x:v>
      </x:c>
      <x:c r="B111" s="431" t="n">
        <x:v>46223</x:v>
      </x:c>
      <x:c r="C111" s="431" t="str">
        <x:v>NASA/JPL exact-input and single-execution proof</x:v>
      </x:c>
      <x:c r="D111" s="431" t="str">
        <x:v>Before and after the one authorized run, the package remained 133 files at tree SHA-256 52aedc3e... and the accepted mapping log remained 1,144 rows at d1d910f0.... Run RUN-20260721T001431760486Z-4f1b9817 was the only invocation and returned exit 3. OpenFlexure remained unexecuted and unchanged.</x:v>
      </x:c>
      <x:c r="E111" s="431" t="str">
        <x:v>Read-only hash reconciliation / Controlled CLI execution / Execution record</x:v>
      </x:c>
      <x:c r="F111" s="431" t="str">
        <x:v>scratch/public-package-audit-runs/osr-v4-control-20260720/execution_record.json; scratch/public-package-audit-runs/osr-v4-control-20260720/post_audit_integrity.json; docs/package_assurance/nasa_jpl_public_audit_confirmation_review_2026-07-20.md; D-100</x:v>
      </x:c>
      <x:c r="G111" s="431" t="str">
        <x:v>NASA/JPL observation integrity</x:v>
      </x:c>
      <x:c r="H111" s="431" t="str">
        <x:v>Accepted</x:v>
      </x:c>
      <x:c r="I111" s="431" t="str">
        <x:v>The accepted OpenFlexure tree 71656da7... and log a8ba53e5... also remained exact; no OpenFlexure audit root exists.</x:v>
      </x:c>
    </x:row>
    <x:row r="112" ht="576" customHeight="1">
      <x:c r="A112" s="431" t="str">
        <x:v>EV-109</x:v>
      </x:c>
      <x:c r="B112" s="431" t="n">
        <x:v>46223</x:v>
      </x:c>
      <x:c r="C112" s="431" t="str">
        <x:v>NASA/JPL four-output result and consistency review</x:v>
      </x:c>
      <x:c r="D112"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three report views reproduce from the canonical result without absolute local paths or approval claims.</x:v>
      </x:c>
      <x:c r="E112" s="431" t="str">
        <x:v>Schema validation / Deterministic report reproduction / Output hash review</x:v>
      </x:c>
      <x:c r="F112" s="431" t="str">
        <x:v>scratch/public-package-audit-runs/osr-v4/RUN-20260721T001431760486Z-4f1b9817; scratch/public-package-audit-runs/osr-v4-control-20260720/verification_summary.json; docs/package_assurance/nasa_jpl_public_audit_confirmation_review_2026-07-20.md; D-101</x:v>
      </x:c>
      <x:c r="G112" s="431" t="str">
        <x:v>NASA/JPL result review</x:v>
      </x:c>
      <x:c r="H112" s="431" t="str">
        <x:v>Accepted</x:v>
      </x:c>
      <x:c r="I112" s="431" t="str">
        <x:v>Output SHA-256 values are recorded in the tracked review. This evidence is a correct hold and not engineering sign-off or release approval.</x:v>
      </x:c>
    </x:row>
    <x:row r="113" ht="522" customHeight="1">
      <x:c r="A113" s="431" t="str">
        <x:v>EV-110</x:v>
      </x:c>
      <x:c r="B113" s="431" t="n">
        <x:v>46223</x:v>
      </x:c>
      <x:c r="C113" s="431" t="str">
        <x:v>NASA/JPL confirmation regression and frozen-baseline verification</x:v>
      </x:c>
      <x:c r="D113" s="431" t="str">
        <x:v>Focused gate/result/publication/CLI tests passed 53. The full suite passed 289 with one expected Windows skip at 87.57% coverage. Repository validation passed 5/5; Ruff, frozen baseline 9/9, and portfolio demo 2/2 passed. PR #52 had two green GitHub validation checks before merge.</x:v>
      </x:c>
      <x:c r="E113" s="431" t="str">
        <x:v>Local deterministic verification / Frozen baseline replay / GitHub CI</x:v>
      </x:c>
      <x:c r="F113" s="431" t="str">
        <x:v>scratch/verification/nasa-confirmation-20260720; docs/package_assurance/nasa_jpl_public_audit_confirmation_review_2026-07-20.md; PR #52; exact main 0611d916; D-101</x:v>
      </x:c>
      <x:c r="G113" s="431" t="str">
        <x:v>NASA/JPL confirmation closeout</x:v>
      </x:c>
      <x:c r="H113" s="431" t="str">
        <x:v>Accepted</x:v>
      </x:c>
      <x:c r="I113" s="431" t="str">
        <x:v>Only documentation and project-control records changed on the confirmation branch. No product code, public package, schema, fixture, golden, held-out asset, or acceptance criterion changed.</x:v>
      </x:c>
    </x:row>
    <x:row r="114" ht="504" customHeight="1">
      <x:c r="A114" s="431" t="str">
        <x:v>EV-111</x:v>
      </x:c>
      <x:c r="B114" s="431" t="n">
        <x:v>46223</x:v>
      </x:c>
      <x:c r="C114" s="431" t="str">
        <x:v>D-101 acceptance and NASA/JPL confirmation integration</x:v>
      </x:c>
      <x:c r="D114" s="431" t="str">
        <x:v>The CEO accepted D-101. PR #53 passed both GitHub validation checks and merged the NASA/JPL confirmation at exact main 65c9699b, closing I-004, retaining IMP-017, and authorizing exactly one unchanged OpenFlexure observation before check 8.</x:v>
      </x:c>
      <x:c r="E114" s="431" t="str">
        <x:v>User instruction / GitHub checks and merge / Project control</x:v>
      </x:c>
      <x:c r="F114" s="431" t="str">
        <x:v>User instruction 2026-07-20; PR #53; exact main 65c9699b; docs/package_assurance/nasa_jpl_public_audit_confirmation_review_2026-07-20.md; D-101</x:v>
      </x:c>
      <x:c r="G114" s="431" t="str">
        <x:v>OpenFlexure one-run authority</x:v>
      </x:c>
      <x:c r="H114" s="431" t="str">
        <x:v>Accepted</x:v>
      </x:c>
      <x:c r="I114" s="431" t="str">
        <x:v>No evaluator, package, authority-map, expected-state, schema, check 8, held-out, or deferred-capability change was authorized during observation.</x:v>
      </x:c>
    </x:row>
    <x:row r="115" ht="558" customHeight="1">
      <x:c r="A115" s="431" t="str">
        <x:v>EV-112</x:v>
      </x:c>
      <x:c r="B115" s="431" t="n">
        <x:v>46223</x:v>
      </x:c>
      <x:c r="C115" s="431" t="str">
        <x:v>OpenFlexure exact-input and single-execution proof</x:v>
      </x:c>
      <x:c r="D115" s="431" t="str">
        <x:v>Before and after the one authorized run, OpenFlexure remained 58 files at tree SHA-256 71656da7... and its accepted mapping log remained 620 rows at a8ba53e5.... Run RUN-20260721T004222043918Z-254a2eca was the only invocation and returned exit 3. NASA/JPL also remained unchanged with one run.</x:v>
      </x:c>
      <x:c r="E115" s="431" t="str">
        <x:v>Read-only hash reconciliation / Controlled CLI execution / Execution record</x:v>
      </x:c>
      <x:c r="F115" s="431" t="str">
        <x:v>scratch/public-package-audit-runs/ofm-beta5-high-res-control-20260720/execution_record.json; scratch/public-package-audit-runs/ofm-beta5-high-res-control-20260720/post_audit_integrity.json; docs/package_assurance/openflexure_public_audit_confirmation_review_2026-07-20.md; D-101</x:v>
      </x:c>
      <x:c r="G115" s="431" t="str">
        <x:v>OpenFlexure observation integrity</x:v>
      </x:c>
      <x:c r="H115" s="431" t="str">
        <x:v>Ready for CEO review</x:v>
      </x:c>
      <x:c r="I115" s="431" t="str">
        <x:v>Both package trees and all 1,764 accepted log rows remain exact after one authorized audit each; no unexpected additional public audit exists.</x:v>
      </x:c>
    </x:row>
    <x:row r="116" ht="576" customHeight="1">
      <x:c r="A116" s="431" t="str">
        <x:v>EV-113</x:v>
      </x:c>
      <x:c r="B116" s="431" t="n">
        <x:v>46223</x:v>
      </x:c>
      <x:c r="C116" s="431" t="str">
        <x:v>OpenFlexure four-output result and consistency review</x:v>
      </x:c>
      <x:c r="D116"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report views reproduce from the canonical result without absolute paths or approval claims.</x:v>
      </x:c>
      <x:c r="E116" s="431" t="str">
        <x:v>Schema validation / Deterministic report reproduction / Output hash review</x:v>
      </x:c>
      <x:c r="F116" s="431" t="str">
        <x:v>scratch/public-package-audit-runs/ofm-beta5-high-res/RUN-20260721T004222043918Z-254a2eca; scratch/public-package-audit-runs/ofm-beta5-high-res-control-20260720/verification_summary.json; docs/package_assurance/openflexure_public_audit_confirmation_review_2026-07-20.md; D-102</x:v>
      </x:c>
      <x:c r="G116" s="431" t="str">
        <x:v>OpenFlexure result review</x:v>
      </x:c>
      <x:c r="H116" s="431" t="str">
        <x:v>Ready for CEO review</x:v>
      </x:c>
      <x:c r="I116" s="431" t="str">
        <x:v>Output SHA-256 values are recorded in the tracked review. This is a correct hold, not engineering sign-off or package approval.</x:v>
      </x:c>
    </x:row>
    <x:row r="117" ht="603" customHeight="1">
      <x:c r="A117" s="431" t="str">
        <x:v>EV-114</x:v>
      </x:c>
      <x:c r="B117" s="431" t="n">
        <x:v>46223</x:v>
      </x:c>
      <x:c r="C117" s="431" t="str">
        <x:v>Dual public-package comparison and improvement-loop closeout</x:v>
      </x:c>
      <x:c r="D117" s="431" t="str">
        <x:v>NASA/JPL and OpenFlexure differ in size and source structure but both produced the exact expected safety result. This proves real-world intake and refusal, not real-world relationship-fault detection because authority skipped all seven checks. I-004 closes; IMP-017 is retained; IMP-016 remains open. The repeated semantic finding ID establishes IMP-018 and package-scoped identity before aggregation.</x:v>
      </x:c>
      <x:c r="E117" s="431" t="str">
        <x:v>Cross-package result comparison / Management review / Improvement loop</x:v>
      </x:c>
      <x:c r="F117" s="431" t="str">
        <x:v>scratch/public-package-audit-runs/ofm-beta5-high-res-control-20260720/cross_package_comparison.json; docs/package_assurance/openflexure_public_audit_confirmation_review_2026-07-20.md; I-004; IMP-016-IMP-018; D-102</x:v>
      </x:c>
      <x:c r="G117" s="431" t="str">
        <x:v>Dual public observation closeout</x:v>
      </x:c>
      <x:c r="H117" s="431" t="str">
        <x:v>Ready for CEO review</x:v>
      </x:c>
      <x:c r="I117" s="431" t="str">
        <x:v>The fastest controlled next step is check 8. Inventing authority for the public repositories is explicitly rejected.</x:v>
      </x:c>
    </x:row>
    <x:row r="118" ht="540" customHeight="1">
      <x:c r="A118" s="431" t="str">
        <x:v>EV-115</x:v>
      </x:c>
      <x:c r="B118" s="431" t="n">
        <x:v>46223</x:v>
      </x:c>
      <x:c r="C118" s="431" t="str">
        <x:v>OpenFlexure confirmation regression and frozen-baseline verification</x:v>
      </x:c>
      <x:c r="D118" s="431" t="str">
        <x:v>Focused gate/result/publication/CLI tests passed 53. The full suite passed 289 with one expected Windows skip at 87.57% coverage. Repository validation passed 5/5; Ruff, frozen baseline 9/9, and portfolio demo 2/2 passed. PR #53 had two green GitHub validation checks before merge.</x:v>
      </x:c>
      <x:c r="E118" s="431" t="str">
        <x:v>Local deterministic verification / Frozen baseline replay / GitHub CI</x:v>
      </x:c>
      <x:c r="F118" s="431" t="str">
        <x:v>scratch/verification/openflexure-confirmation-20260720; docs/package_assurance/openflexure_public_audit_confirmation_review_2026-07-20.md; PR #53; exact main 65c9699b; D-102</x:v>
      </x:c>
      <x:c r="G118" s="431" t="str">
        <x:v>OpenFlexure confirmation closeout</x:v>
      </x:c>
      <x:c r="H118" s="431" t="str">
        <x:v>Ready for CEO review</x:v>
      </x:c>
      <x:c r="I118" s="431" t="str">
        <x:v>Only documentation and project-control records changed on the confirmation branch. No product code, public package, schema, fixture, golden, held-out asset, or acceptance criterion changed.</x:v>
      </x:c>
    </x:row>
    <x:row r="119" ht="486" customHeight="1">
      <x:c r="A119" s="431" t="str">
        <x:v>EV-116</x:v>
      </x:c>
      <x:c r="B119" s="431" t="n">
        <x:v>46223</x:v>
      </x:c>
      <x:c r="C119" s="431" t="str">
        <x:v>D-102 acceptance and OpenFlexure confirmation integration</x:v>
      </x:c>
      <x:c r="D119" s="431" t="str">
        <x:v>The CEO accepted D-102. PR #54 passed both GitHub validation checks and merged the OpenFlexure confirmation at exact main b0b32bb, closing the dual public-package observation sequence, adopting package-scoped finding identity, and authorizing check 8 only.</x:v>
      </x:c>
      <x:c r="E119" s="431" t="str">
        <x:v>User instruction / GitHub checks and merge / Project control</x:v>
      </x:c>
      <x:c r="F119" s="431" t="str">
        <x:v>User instruction 2026-07-20; PR #54; exact main b0b32bb; docs/package_assurance/openflexure_public_audit_confirmation_review_2026-07-20.md; D-102</x:v>
      </x:c>
      <x:c r="G119" s="431" t="str">
        <x:v>Check-8 implementation authority</x:v>
      </x:c>
      <x:c r="H119" s="431" t="str">
        <x:v>Accepted</x:v>
      </x:c>
      <x:c r="I119" s="431" t="str">
        <x:v>No check 9-11, public rerun, held-out execution, protected-asset change, or deferred capability was authorized.</x:v>
      </x:c>
    </x:row>
    <x:row r="120" ht="567" customHeight="1">
      <x:c r="A120" s="431" t="str">
        <x:v>EV-117</x:v>
      </x:c>
      <x:c r="B120" s="431" t="n">
        <x:v>46223</x:v>
      </x:c>
      <x:c r="C120" s="431" t="str">
        <x:v>Equipment datasheet authority presence implementation proof</x:v>
      </x:c>
      <x:c r="D120" s="431" t="str">
        <x:v>Check 8 is appended after checks 1-7 in a separate datasheet-domain module. It requires exactly one release-required datasheet record per release-required BOM equipment tag under exact AUTH-SPEC-001. Missing and competing records produce stable high-severity missing-authority holds; source reordering preserves semantic identity; unrelated drawing and BOM authority gaps do not suppress the check.</x:v>
      </x:c>
      <x:c r="E120" s="431" t="str">
        <x:v>Code review / Deterministic relationship tests / Authority isolation tests</x:v>
      </x:c>
      <x:c r="F120" s="431" t="str">
        <x:v>src/mech_eval_harness/package_assurance/datasheet_relationships.py; tests/test_package_datasheet_relationships.py; docs/package_assurance/equipment_datasheet_authority_presence_implementation_review_2026-07-20.md; D-102-D-103</x:v>
      </x:c>
      <x:c r="G120" s="431" t="str">
        <x:v>Check-8 contract evidence</x:v>
      </x:c>
      <x:c r="H120" s="431" t="str">
        <x:v>Accepted</x:v>
      </x:c>
      <x:c r="I120" s="431" t="str">
        <x:v>Check 9 association, checks 10-11, and all six authority-gap claims remain unimplemented.</x:v>
      </x:c>
    </x:row>
    <x:row r="121" ht="603" customHeight="1">
      <x:c r="A121" s="431" t="str">
        <x:v>EV-118</x:v>
      </x:c>
      <x:c r="B121" s="431" t="n">
        <x:v>46223</x:v>
      </x:c>
      <x:c r="C121" s="431" t="str">
        <x:v>Check-8 clean and isolated-fault four-output inspection</x:v>
      </x:c>
      <x:c r="D121" s="431" t="str">
        <x:v>Clean run RUN-20260721T025957813425Z-a7aee64f returned automatic_pass, hold false, exit 0, eight passed checks, and four exact outputs. Fault run RUN-20260721T025913235840Z-be4840eb returned missing_authoritative_information, hold true, exit 3, seven passed and one failed check, one FND-55D33CACFBF70823 finding, and four exact outputs. Both results pass the strict schema and all report views reproduce exactly.</x:v>
      </x:c>
      <x:c r="E121" s="431" t="str">
        <x:v>Controlled CLI execution / Schema validation / Deterministic report reproduction</x:v>
      </x:c>
      <x:c r="F121" s="431" t="str">
        <x:v>scratch/verification/check8-implementation-20260720/check8-clean-runs; scratch/verification/check8-implementation-20260720/check8-fault-runs-bomfree; docs/package_assurance/equipment_datasheet_authority_presence_implementation_review_2026-07-20.md</x:v>
      </x:c>
      <x:c r="G121" s="431" t="str">
        <x:v>Check-8 output evidence</x:v>
      </x:c>
      <x:c r="H121" s="431" t="str">
        <x:v>Accepted</x:v>
      </x:c>
      <x:c r="I121" s="431" t="str">
        <x:v>The first manual fault copy used BOM-encoded UTF-8, correctly failed closed at parsing with exit 4, and remains preserved separately; accepted inputs were untouched.</x:v>
      </x:c>
    </x:row>
    <x:row r="122" ht="540" customHeight="1">
      <x:c r="A122" s="431" t="str">
        <x:v>EV-119</x:v>
      </x:c>
      <x:c r="B122" s="431" t="n">
        <x:v>46223</x:v>
      </x:c>
      <x:c r="C122" s="431" t="str">
        <x:v>Check-8 regression and frozen-baseline verification</x:v>
      </x:c>
      <x:c r="D122" s="431" t="str">
        <x:v>Focused gate/relationship/result/report/CLI tests passed 111. The full suite passed 295 with one expected Windows skip at 87.71% coverage. Repository validation passed 5/5; Ruff, frozen baseline 9/9, and portfolio demo 2/2 passed. The tracked diff changes only check-8 code, tests, documentation, and project controls.</x:v>
      </x:c>
      <x:c r="E122" s="431" t="str">
        <x:v>Local deterministic verification / Frozen baseline replay / Diff review</x:v>
      </x:c>
      <x:c r="F122" s="431" t="str">
        <x:v>scratch/verification/check8-implementation-20260720; docs/package_assurance/equipment_datasheet_authority_presence_implementation_review_2026-07-20.md; D-103</x:v>
      </x:c>
      <x:c r="G122" s="431" t="str">
        <x:v>Check-8 implementation closeout</x:v>
      </x:c>
      <x:c r="H122" s="431" t="str">
        <x:v>Accepted</x:v>
      </x:c>
      <x:c r="I122" s="431" t="str">
        <x:v>No accepted fixture, authority map, schema, golden, held-out asset, historical result, v0.2 behavior, or acceptance criterion changed.</x:v>
      </x:c>
    </x:row>
    <x:row r="123" ht="504" customHeight="1">
      <x:c r="A123" s="431" t="str">
        <x:v>EV-120</x:v>
      </x:c>
      <x:c r="B123" s="431" t="n">
        <x:v>46223</x:v>
      </x:c>
      <x:c r="C123" s="431" t="str">
        <x:v>D-103 acceptance and check-8 integration</x:v>
      </x:c>
      <x:c r="D123" s="431" t="str">
        <x:v>The CEO accepted D-103. PR #55 passed both GitHub validation checks and merged check 8 at exact main fb0113d, authorizing check 9 only under exact AUTH-SPEC-001.</x:v>
      </x:c>
      <x:c r="E123" s="431" t="str">
        <x:v>User instruction / GitHub checks and merge / Project control</x:v>
      </x:c>
      <x:c r="F123" s="431" t="str">
        <x:v>User instruction 2026-07-20; PR #55; exact main fb0113d; docs/package_assurance/equipment_datasheet_authority_presence_implementation_review_2026-07-20.md; D-103</x:v>
      </x:c>
      <x:c r="G123" s="431" t="str">
        <x:v>Check-9 implementation authority</x:v>
      </x:c>
      <x:c r="H123" s="431" t="str">
        <x:v>Accepted</x:v>
      </x:c>
      <x:c r="I123" s="431" t="str">
        <x:v>No check 10-11, public rerun, held-out execution, protected-asset change, publication behavior change, or deferred capability was authorized.</x:v>
      </x:c>
    </x:row>
    <x:row r="124" ht="585" customHeight="1">
      <x:c r="A124" s="431" t="str">
        <x:v>EV-121</x:v>
      </x:c>
      <x:c r="B124" s="431" t="n">
        <x:v>46223</x:v>
      </x:c>
      <x:c r="C124" s="431" t="str">
        <x:v>Equipment/datasheet association implementation proof</x:v>
      </x:c>
      <x:c r="D124" s="431" t="str">
        <x:v>Check 9 is appended after checks 1-8 in the datasheet-domain module. Under exact AUTH-SPEC-001 it compares BOM datasheet_id with the single authoritative metadata datasheet_id for the same equipment tag. Wrong-but-valid IDs produce stable automatic-fail holds; missing or ambiguous authority remains owned by check 8; source reordering preserves semantic identity.</x:v>
      </x:c>
      <x:c r="E124" s="431" t="str">
        <x:v>Code review / Deterministic relationship tests / Authority and ownership tests</x:v>
      </x:c>
      <x:c r="F124" s="431" t="str">
        <x:v>src/mech_eval_harness/package_assurance/datasheet_relationships.py; tests/test_package_datasheet_relationships.py; docs/package_assurance/equipment_datasheet_association_implementation_review_2026-07-20.md; D-103-D-104</x:v>
      </x:c>
      <x:c r="G124" s="431" t="str">
        <x:v>Check-9 contract evidence</x:v>
      </x:c>
      <x:c r="H124" s="431" t="str">
        <x:v>Accepted</x:v>
      </x:c>
      <x:c r="I124" s="431" t="str">
        <x:v>Check 10 manifest reciprocity, check 11, and all six authority-gap claims remain unimplemented.</x:v>
      </x:c>
    </x:row>
    <x:row r="125" ht="603" customHeight="1">
      <x:c r="A125" s="431" t="str">
        <x:v>EV-122</x:v>
      </x:c>
      <x:c r="B125" s="431" t="n">
        <x:v>46223</x:v>
      </x:c>
      <x:c r="C125" s="431" t="str">
        <x:v>Check-9 clean and wrong-ID four-output inspection</x:v>
      </x:c>
      <x:c r="D125" s="431" t="str">
        <x:v>Clean run RUN-20260721T034251280706Z-6efeff51 returned automatic_pass, hold false, exit 0, nine passed checks, and four exact outputs. Wrong-ID run RUN-20260721T034329189347Z-dc3cd02a returned automatic_fail, hold true, exit 1, eight passed and one failed check, one FND-91304712BCB20CEE finding, and four exact outputs. Both results pass the strict schema and all report views reproduce exactly.</x:v>
      </x:c>
      <x:c r="E125" s="431" t="str">
        <x:v>Controlled CLI execution / Schema validation / Deterministic report reproduction</x:v>
      </x:c>
      <x:c r="F125" s="431" t="str">
        <x:v>scratch/verification/check9-implementation-20260720/verification_summary.json; docs/package_assurance/equipment_datasheet_association_implementation_review_2026-07-20.md</x:v>
      </x:c>
      <x:c r="G125" s="431" t="str">
        <x:v>Check-9 output evidence</x:v>
      </x:c>
      <x:c r="H125" s="431" t="str">
        <x:v>Accepted</x:v>
      </x:c>
      <x:c r="I125" s="431" t="str">
        <x:v>The wrong-ID fault changes only one temporary BOM value from DS-P-101 to existing valid DS-M-101; accepted inputs remain untouched.</x:v>
      </x:c>
    </x:row>
    <x:row r="126" ht="630" customHeight="1">
      <x:c r="A126" s="431" t="str">
        <x:v>EV-123</x:v>
      </x:c>
      <x:c r="B126" s="431" t="n">
        <x:v>46223</x:v>
      </x:c>
      <x:c r="C126" s="431" t="str">
        <x:v>Preserved Windows publication-finalization failure</x:v>
      </x:c>
      <x:c r="D126" s="431" t="str">
        <x:v>The first wrong-ID invocation generated the correct result and three reports, then the final staging-directory rename failed with PermissionError. The workflow returned exit 70, published no complete final run, and preserved all staged files plus its failure marker. An immediate unchanged invocation succeeded. I-005 and IMP-019 retain the reliability gap for a separate stabilization block.</x:v>
      </x:c>
      <x:c r="E126" s="431" t="str">
        <x:v>Preserved failed run / Failure review / Improvement loop</x:v>
      </x:c>
      <x:c r="F126" s="431" t="str">
        <x:v>scratch/verification/check9-implementation-20260720/wrong-id-runs/.RUN-20260721T034252120538Z-fa89f942.publication-failed-2f10bb08; docs/package_assurance/equipment_datasheet_association_implementation_review_2026-07-20.md; I-005; IMP-019</x:v>
      </x:c>
      <x:c r="G126" s="431" t="str">
        <x:v>Publication reliability evidence</x:v>
      </x:c>
      <x:c r="H126" s="431" t="str">
        <x:v>Accepted</x:v>
      </x:c>
      <x:c r="I126" s="431" t="str">
        <x:v>This is a transient Windows publication risk, not a check-9 evaluator defect. No publication retry behavior changed on this branch.</x:v>
      </x:c>
    </x:row>
    <x:row r="127" ht="558" customHeight="1">
      <x:c r="A127" s="431" t="str">
        <x:v>EV-124</x:v>
      </x:c>
      <x:c r="B127" s="431" t="n">
        <x:v>46223</x:v>
      </x:c>
      <x:c r="C127" s="431" t="str">
        <x:v>Check-9 regression and frozen-baseline verification</x:v>
      </x:c>
      <x:c r="D127" s="431" t="str">
        <x:v>Focused relationship/result/report/CLI tests passed 88. The full suite passed 299 with one expected Windows skip at 87.86% coverage. Repository validation passed 5/5; Ruff, frozen baseline 9/9, and portfolio demo 2/2 passed. The tracked diff changes only check-9 code, tests, documentation, and project controls.</x:v>
      </x:c>
      <x:c r="E127" s="431" t="str">
        <x:v>Local deterministic verification / Frozen baseline replay / Diff review</x:v>
      </x:c>
      <x:c r="F127" s="431" t="str">
        <x:v>scratch/verification/check9-implementation-20260720; docs/package_assurance/equipment_datasheet_association_implementation_review_2026-07-20.md; D-104</x:v>
      </x:c>
      <x:c r="G127" s="431" t="str">
        <x:v>Check-9 implementation closeout</x:v>
      </x:c>
      <x:c r="H127" s="431" t="str">
        <x:v>Accepted</x:v>
      </x:c>
      <x:c r="I127" s="431" t="str">
        <x:v>No accepted fixture, authority map, schema, golden, held-out asset, public package, historical result, v0.2 behavior, or acceptance criterion changed.</x:v>
      </x:c>
    </x:row>
    <x:row r="128" ht="504" customHeight="1">
      <x:c r="A128" s="431" t="str">
        <x:v>EV-125</x:v>
      </x:c>
      <x:c r="B128" s="431" t="n">
        <x:v>46224</x:v>
      </x:c>
      <x:c r="C128" s="431" t="str">
        <x:v>D-104 acceptance and check-9 integration</x:v>
      </x:c>
      <x:c r="D128" s="431" t="str">
        <x:v>The CEO accepted D-104. PR #56 passed both GitHub validation checks and merged check 9 at exact main 7146b23, authorizing one narrow final-rename publication-resilience stabilization before check 10.</x:v>
      </x:c>
      <x:c r="E128" s="431" t="str">
        <x:v>User instruction / GitHub checks and merge / Project control</x:v>
      </x:c>
      <x:c r="F128" s="431" t="str">
        <x:v>User instruction 2026-07-21; PR #56; exact main 7146b23; docs/package_assurance/equipment_datasheet_association_implementation_review_2026-07-20.md; D-104</x:v>
      </x:c>
      <x:c r="G128" s="431" t="str">
        <x:v>Publication stabilization authority</x:v>
      </x:c>
      <x:c r="H128" s="431" t="str">
        <x:v>Accepted</x:v>
      </x:c>
      <x:c r="I128" s="431" t="str">
        <x:v>No check 10-11, public rerun, held-out execution, protected-asset change, or deferred capability was authorized.</x:v>
      </x:c>
    </x:row>
    <x:row r="129" ht="603" customHeight="1">
      <x:c r="A129" s="431" t="str">
        <x:v>EV-126</x:v>
      </x:c>
      <x:c r="B129" s="431" t="n">
        <x:v>46224</x:v>
      </x:c>
      <x:c r="C129" s="431" t="str">
        <x:v>Bounded final-rename retry implementation proof</x:v>
      </x:c>
      <x:c r="D129" s="431" t="str">
        <x:v>Final publication makes five total attempts with fixed 50/100/200/400 ms waits only after PermissionError. A final-directory collision or other OSError never retries. Exhaustion follows the existing failed-publication path. Four injected publication tests plus one CLI test prove recovery, exact delays, exhaustion, no-overwrite collision behavior, other-error behavior, four staged outputs, failure marker, and exit 70.</x:v>
      </x:c>
      <x:c r="E129" s="431" t="str">
        <x:v>Code review / Injected deterministic tests / CLI failure proof</x:v>
      </x:c>
      <x:c r="F129" s="431" t="str">
        <x:v>src/mech_eval_harness/package_assurance/publication.py; tests/test_package_audit_publication.py; tests/test_cli_audit_package.py; docs/package_assurance/publication_resilience_stabilization_review_2026-07-21.md; D-104-D-105</x:v>
      </x:c>
      <x:c r="G129" s="431" t="str">
        <x:v>Publication resilience contract evidence</x:v>
      </x:c>
      <x:c r="H129" s="431" t="str">
        <x:v>Accepted</x:v>
      </x:c>
      <x:c r="I129" s="431" t="str">
        <x:v>The retry is limited to the final same-parent rename. No loader, evaluator, result, report, schema, fixture, authority, or protected asset changed.</x:v>
      </x:c>
    </x:row>
    <x:row r="130" ht="576" customHeight="1">
      <x:c r="A130" s="431" t="str">
        <x:v>EV-127</x:v>
      </x:c>
      <x:c r="B130" s="431" t="n">
        <x:v>46224</x:v>
      </x:c>
      <x:c r="C130" s="431" t="str">
        <x:v>Repeated Windows publication execution proof</x:v>
      </x:c>
      <x:c r="D130" s="431" t="str">
        <x:v>Twenty consecutive real audit-package commands on Microsoft Windows returned exit 0, automatic_pass, hold false, eight passed gates, nine passed relationship checks, zero findings, and exactly four outputs. No hidden staging or failed-publication directory remained. First run RUN-20260721T153603113434Z-ab8f3cbd; last run RUN-20260721T153614063468Z-b74ed8fd.</x:v>
      </x:c>
      <x:c r="E130" s="431" t="str">
        <x:v>Controlled Windows CLI execution / Output inspection</x:v>
      </x:c>
      <x:c r="F130" s="431" t="str">
        <x:v>scratch/verification/publication-resilience-20260721/repeated_windows_audit_summary.json; scratch/verification/publication-resilience-20260721/repeated-runs; docs/package_assurance/publication_resilience_stabilization_review_2026-07-21.md</x:v>
      </x:c>
      <x:c r="G130" s="431" t="str">
        <x:v>Windows publication reliability evidence</x:v>
      </x:c>
      <x:c r="H130" s="431" t="str">
        <x:v>Accepted</x:v>
      </x:c>
      <x:c r="I130" s="431" t="str">
        <x:v>The real execution proves a stable normal path. Injected tests, not this repeated run, prove the transient PermissionError branches.</x:v>
      </x:c>
    </x:row>
    <x:row r="131" ht="558" customHeight="1">
      <x:c r="A131" s="431" t="str">
        <x:v>EV-128</x:v>
      </x:c>
      <x:c r="B131" s="431" t="n">
        <x:v>46224</x:v>
      </x:c>
      <x:c r="C131" s="431" t="str">
        <x:v>Publication stabilization regression and frozen-baseline verification</x:v>
      </x:c>
      <x:c r="D131" s="431" t="str">
        <x:v>Publication and CLI focused tests passed 24. The full suite passed 304 with one expected Windows skip at 88.08% coverage. Repository validation passed 5/5; Ruff, frozen baseline 9/9, and portfolio demo 2/2 passed. The tracked diff changes only final publication resilience, tests, documentation, and project controls.</x:v>
      </x:c>
      <x:c r="E131" s="431" t="str">
        <x:v>Local deterministic verification / Frozen baseline replay / Diff review</x:v>
      </x:c>
      <x:c r="F131" s="431" t="str">
        <x:v>scratch/verification/publication-resilience-20260721; docs/package_assurance/publication_resilience_stabilization_review_2026-07-21.md; D-105</x:v>
      </x:c>
      <x:c r="G131" s="431" t="str">
        <x:v>Publication stabilization closeout</x:v>
      </x:c>
      <x:c r="H131" s="431" t="str">
        <x:v>Accepted</x:v>
      </x:c>
      <x:c r="I131" s="431" t="str">
        <x:v>No accepted fixture, authority map, schema, golden, held-out asset, public package, historical result, v0.2 behavior, check behavior, or acceptance criterion changed.</x:v>
      </x:c>
    </x:row>
    <x:row r="132" ht="540" customHeight="1">
      <x:c r="A132" s="431" t="str">
        <x:v>EV-129</x:v>
      </x:c>
      <x:c r="B132" s="431" t="n">
        <x:v>46224</x:v>
      </x:c>
      <x:c r="C132" s="431" t="str">
        <x:v>D-105 acceptance and publication-stabilization integration</x:v>
      </x:c>
      <x:c r="D132" s="431" t="str">
        <x:v>The CEO accepted D-105. PR #57 passed both GitHub validation checks and merged the bounded publication stabilization at exact main dbcd242. I-005 closed as controlled, IMP-019 was retained, and check 10 was authorized under exact AUTH-SPEC-001.</x:v>
      </x:c>
      <x:c r="E132" s="431" t="str">
        <x:v>User instruction / GitHub checks and merge / Project control</x:v>
      </x:c>
      <x:c r="F132" s="431" t="str">
        <x:v>User instruction 2026-07-21; PR #57; exact main dbcd242; docs/package_assurance/publication_resilience_stabilization_review_2026-07-21.md; D-105; I-005; IMP-019</x:v>
      </x:c>
      <x:c r="G132" s="431" t="str">
        <x:v>Check-10 implementation authority</x:v>
      </x:c>
      <x:c r="H132" s="431" t="str">
        <x:v>Accepted</x:v>
      </x:c>
      <x:c r="I132" s="431" t="str">
        <x:v>No check 11, authority-gap claim, public rerun, held-out execution, protected-asset change, or deferred capability was authorized.</x:v>
      </x:c>
    </x:row>
    <x:row r="133" ht="612" customHeight="1">
      <x:c r="A133" s="431" t="str">
        <x:v>EV-130</x:v>
      </x:c>
      <x:c r="B133" s="431" t="n">
        <x:v>46224</x:v>
      </x:c>
      <x:c r="C133" s="431" t="str">
        <x:v>Check-10 deterministic implementation proof</x:v>
      </x:c>
      <x:c r="D133" s="431" t="str">
        <x:v>Check 10 is tenth in RELATIONSHIP_CHECK_ORDER. Exact AUTH-SPEC-001, semantic sorting, bidirectional metadata/manifest reciprocity, check-8 ownership, stable finding identity, package-relative evidence, and missing/multiple declaration behavior are covered. The exact wrong-valid REL-EQ-DS-001 target produces one automatic-fail high-severity hold for P-101A.</x:v>
      </x:c>
      <x:c r="E133" s="431" t="str">
        <x:v>Code review / Deterministic tests / Fault injection</x:v>
      </x:c>
      <x:c r="F133" s="431" t="str">
        <x:v>src/mech_eval_harness/package_assurance/datasheet_relationships.py; src/mech_eval_harness/package_assurance/relationships.py; tests/test_package_datasheet_relationships.py; docs/package_assurance/equipment_datasheet_manifest_reciprocity_implementation_review_2026-07-21.md</x:v>
      </x:c>
      <x:c r="G133" s="431" t="str">
        <x:v>Check-10 contract evidence</x:v>
      </x:c>
      <x:c r="H133" s="431" t="str">
        <x:v>Accepted</x:v>
      </x:c>
      <x:c r="I133" s="431" t="str">
        <x:v>No schema, fixture, authority map, generic rule engine, result state, output path, or earlier check changed.</x:v>
      </x:c>
    </x:row>
    <x:row r="134" ht="612" customHeight="1">
      <x:c r="A134" s="431" t="str">
        <x:v>EV-131</x:v>
      </x:c>
      <x:c r="B134" s="431" t="n">
        <x:v>46224</x:v>
      </x:c>
      <x:c r="C134" s="431" t="str">
        <x:v>Check-10 clean and wrong-manifest four-output inspection</x:v>
      </x:c>
      <x:c r="D134" s="431" t="str">
        <x:v>Clean run RUN-20260721T161152356249Z-a4995c89 returned automatic_pass, hold false, exit 0, 8/8 gates, 10/10 checks, zero findings, and four exact outputs. Fault run RUN-20260721T161152970951Z-ace6c987 returned automatic_fail, hold true, exit 1, 9 passed and one failed check, one FND-7D92758E4EE968AE finding, and the same four outputs. Canonical result, issue views, readiness summary, and terminal behavior agree.</x:v>
      </x:c>
      <x:c r="E134" s="431" t="str">
        <x:v>Controlled CLI execution / Output inspection / Report reconciliation</x:v>
      </x:c>
      <x:c r="F134" s="431" t="str">
        <x:v>scratch/verification/check10-implementation-20260721/clean-runs; scratch/verification/check10-implementation-20260721/fault-runs; docs/package_assurance/equipment_datasheet_manifest_reciprocity_implementation_review_2026-07-21.md</x:v>
      </x:c>
      <x:c r="G134" s="431" t="str">
        <x:v>Check-10 output evidence</x:v>
      </x:c>
      <x:c r="H134" s="431" t="str">
        <x:v>Accepted</x:v>
      </x:c>
      <x:c r="I134" s="431" t="str">
        <x:v>The fault changes only one temporary manifest target from DS-P-101 to existing valid DS-M-101; accepted development content remains untouched.</x:v>
      </x:c>
    </x:row>
    <x:row r="135" ht="576" customHeight="1">
      <x:c r="A135" s="431" t="str">
        <x:v>EV-132</x:v>
      </x:c>
      <x:c r="B135" s="431" t="n">
        <x:v>46224</x:v>
      </x:c>
      <x:c r="C135" s="431" t="str">
        <x:v>Check-10 regression and frozen-baseline verification</x:v>
      </x:c>
      <x:c r="D135" s="431" t="str">
        <x:v>Relationship/result/report/CLI focused tests passed 93. The full suite passed 308 with one expected Windows skip at 88.27% coverage. Repository validation passed 5/5; Ruff, frozen baseline 9/9, and portfolio demo 2/2 passed. The tracked diff changes only check-10 code, tests, documentation, and project controls.</x:v>
      </x:c>
      <x:c r="E135" s="431" t="str">
        <x:v>Local deterministic verification / Frozen baseline replay / Diff review</x:v>
      </x:c>
      <x:c r="F135" s="431" t="str">
        <x:v>scratch/verification/check10-implementation-20260721; docs/package_assurance/equipment_datasheet_manifest_reciprocity_implementation_review_2026-07-21.md; D-106</x:v>
      </x:c>
      <x:c r="G135" s="431" t="str">
        <x:v>Check-10 implementation closeout</x:v>
      </x:c>
      <x:c r="H135" s="431" t="str">
        <x:v>Accepted</x:v>
      </x:c>
      <x:c r="I135" s="431" t="str">
        <x:v>No accepted fixture, authority map, schema, golden, held-out asset, public package, historical result, v0.2 behavior, or acceptance criterion changed.</x:v>
      </x:c>
    </x:row>
    <x:row r="136" ht="522" customHeight="1">
      <x:c r="A136" s="431" t="str">
        <x:v>EV-133</x:v>
      </x:c>
      <x:c r="B136" s="431" t="n">
        <x:v>46224</x:v>
      </x:c>
      <x:c r="C136" s="431" t="str">
        <x:v>D-106 acceptance and check-10 integration</x:v>
      </x:c>
      <x:c r="D136" s="431" t="str">
        <x:v>The CEO accepted D-106. PR #58 passed GitHub CI and merged check 10 at exact main 761ac76, authorizing only check 11 under exact AUTH-SPEC-003.</x:v>
      </x:c>
      <x:c r="E136" s="431" t="str">
        <x:v>User instruction / GitHub checks and merge / Project control</x:v>
      </x:c>
      <x:c r="F136" s="431" t="str">
        <x:v>User instruction 2026-07-21; PR #58; exact main 761ac76; docs/package_assurance/equipment_datasheet_manifest_reciprocity_implementation_review_2026-07-21.md; D-106</x:v>
      </x:c>
      <x:c r="G136" s="431" t="str">
        <x:v>Check-11 implementation authority</x:v>
      </x:c>
      <x:c r="H136" s="431" t="str">
        <x:v>Accepted</x:v>
      </x:c>
      <x:c r="I136" s="431" t="str">
        <x:v>No authority-gap claim, public rerun, held-out execution, protected-asset change, P4 execution, or deferred capability was authorized.</x:v>
      </x:c>
    </x:row>
    <x:row r="137" ht="612" customHeight="1">
      <x:c r="A137" s="431" t="str">
        <x:v>EV-134</x:v>
      </x:c>
      <x:c r="B137" s="431" t="n">
        <x:v>46224</x:v>
      </x:c>
      <x:c r="C137" s="431" t="str">
        <x:v>Check-11 deterministic implementation proof</x:v>
      </x:c>
      <x:c r="D137" s="431" t="str">
        <x:v>Check 11 is eleventh in RELATIONSHIP_CHECK_ORDER. Exact AUTH-SPEC-003, normalized specification_id joins, exactly-one-current cardinality, missing/multiple/mismatch behavior, semantic sorting, stable finding identity, and package-relative evidence are covered. The accepted wrong-valid metadata revision produces one automatic-fail high-severity hold for SPEC-PUMP-001.</x:v>
      </x:c>
      <x:c r="E137" s="431" t="str">
        <x:v>Code review / Deterministic tests / Fault injection</x:v>
      </x:c>
      <x:c r="F137" s="431" t="str">
        <x:v>src/mech_eval_harness/package_assurance/specification_relationships.py; src/mech_eval_harness/package_assurance/relationships.py; tests/test_package_specification_relationships.py; docs/package_assurance/specification_revision_history_implementation_review_2026-07-21.md</x:v>
      </x:c>
      <x:c r="G137" s="431" t="str">
        <x:v>Check-11 contract evidence</x:v>
      </x:c>
      <x:c r="H137" s="431" t="str">
        <x:v>Accepted</x:v>
      </x:c>
      <x:c r="I137" s="431" t="str">
        <x:v>No loader, adapter, schema, fixture, authority map, generic rule engine, result state, output path, or earlier check changed.</x:v>
      </x:c>
    </x:row>
    <x:row r="138" ht="612" customHeight="1">
      <x:c r="A138" s="431" t="str">
        <x:v>EV-135</x:v>
      </x:c>
      <x:c r="B138" s="431" t="n">
        <x:v>46224</x:v>
      </x:c>
      <x:c r="C138" s="431" t="str">
        <x:v>Check-11 clean and wrong-revision four-output inspection</x:v>
      </x:c>
      <x:c r="D138" s="431" t="str">
        <x:v>Clean run RUN-20260721T164400783739Z-e5fdce3c returned automatic_pass, hold false, exit 0, 8/8 gates, 11/11 checks, zero findings, and four exact outputs. Fault run RUN-20260721T164405746563Z-8ccbbbf1 returned automatic_fail, hold true, exit 1, 10 passed and one failed check, one FND-C74035C8B9E5C4E7 finding with expected B and actual A, and the same four outputs. Canonical result, issue views, readiness summary, and terminal behavior agree.</x:v>
      </x:c>
      <x:c r="E138" s="431" t="str">
        <x:v>Controlled CLI execution / Output inspection / Report reconciliation</x:v>
      </x:c>
      <x:c r="F138" s="431" t="str">
        <x:v>scratch/verification/check11-implementation-20260721/clean-runs; scratch/verification/check11-implementation-20260721/fault-runs; docs/package_assurance/specification_revision_history_implementation_review_2026-07-21.md</x:v>
      </x:c>
      <x:c r="G138" s="431" t="str">
        <x:v>Check-11 output evidence</x:v>
      </x:c>
      <x:c r="H138" s="431" t="str">
        <x:v>Accepted</x:v>
      </x:c>
      <x:c r="I138" s="431" t="str">
        <x:v>The fault changes only one temporary specification-metadata revision from A to valid B; accepted development content remains untouched.</x:v>
      </x:c>
    </x:row>
    <x:row r="139" ht="576" customHeight="1">
      <x:c r="A139" s="431" t="str">
        <x:v>EV-136</x:v>
      </x:c>
      <x:c r="B139" s="431" t="n">
        <x:v>46224</x:v>
      </x:c>
      <x:c r="C139" s="431" t="str">
        <x:v>Check-11 regression and frozen-baseline verification</x:v>
      </x:c>
      <x:c r="D139" s="431" t="str">
        <x:v>Relationship/result/report/CLI focused tests passed 99. The full suite passed 314 with one expected Windows skip at 88.48% coverage. Repository validation passed 5/5; Ruff, frozen baseline 9/9, and portfolio demo 2/2 passed. The tracked diff changes only check-11 code, tests, documentation, and project controls.</x:v>
      </x:c>
      <x:c r="E139" s="431" t="str">
        <x:v>Local deterministic verification / Frozen baseline replay / Diff review</x:v>
      </x:c>
      <x:c r="F139" s="431" t="str">
        <x:v>scratch/verification/check11-implementation-20260721; docs/package_assurance/specification_revision_history_implementation_review_2026-07-21.md; D-107</x:v>
      </x:c>
      <x:c r="G139" s="431" t="str">
        <x:v>Check-11 implementation closeout</x:v>
      </x:c>
      <x:c r="H139" s="431" t="str">
        <x:v>Accepted</x:v>
      </x:c>
      <x:c r="I139" s="431" t="str">
        <x:v>No accepted fixture, authority map, schema, golden, held-out asset, public package, historical result, v0.2 behavior, or acceptance criterion changed.</x:v>
      </x:c>
    </x:row>
    <x:row r="140" ht="522" customHeight="1">
      <x:c r="A140" s="431" t="str">
        <x:v>EV-137</x:v>
      </x:c>
      <x:c r="B140" s="431" t="n">
        <x:v>46224</x:v>
      </x:c>
      <x:c r="C140" s="431" t="str">
        <x:v>D-107 acceptance and check-11 integration</x:v>
      </x:c>
      <x:c r="D140" s="431" t="str">
        <x:v>The CEO accepted D-107. PR #59 passed both GitHub CI runs and merged check 11 at exact main 69c0d1b. The owner then authorized the P2.3 authority-gap disposition and P4 startup.</x:v>
      </x:c>
      <x:c r="E140" s="431" t="str">
        <x:v>User instruction / GitHub checks and merge / Project control</x:v>
      </x:c>
      <x:c r="F140" s="431" t="str">
        <x:v>User instruction 2026-07-21; PR #59; exact main 69c0d1b; docs/package_assurance/specification_revision_history_implementation_review_2026-07-21.md; D-107</x:v>
      </x:c>
      <x:c r="G140" s="431" t="str">
        <x:v>P2.3 completion authority</x:v>
      </x:c>
      <x:c r="H140" s="431" t="str">
        <x:v>Accepted</x:v>
      </x:c>
      <x:c r="I140" s="431" t="str">
        <x:v>No protected held-out semantic execution, public rerun, schema, authority map, fixture, golden, or deferred capability changed during integration.</x:v>
      </x:c>
    </x:row>
    <x:row r="141" ht="567" customHeight="1">
      <x:c r="A141" s="431" t="str">
        <x:v>EV-138</x:v>
      </x:c>
      <x:c r="B141" s="431" t="n">
        <x:v>46224</x:v>
      </x:c>
      <x:c r="C141" s="431" t="str">
        <x:v>P2.3 completion and v0.3.0 claim-boundary decision</x:v>
      </x:c>
      <x:c r="D141" s="431" t="str">
        <x:v>D-108 completes P2.3 for eight gates and eleven relationship checks, explicitly defers six unsupported authority/source claims, excludes those claims from v0.3.0 benchmark/release language, and opens P4.1 development benchmark regression only.</x:v>
      </x:c>
      <x:c r="E141" s="431" t="str">
        <x:v>Reviewed scope disposition / Claim control / P4 entry gate</x:v>
      </x:c>
      <x:c r="F141" s="431" t="str">
        <x:v>docs/package_assurance/p2_3_completion_and_claim_boundary_v0.3.0.md; D-107-D-108; accepted P2.3 definition; acceptance_plan_v0.3.0.md</x:v>
      </x:c>
      <x:c r="G141" s="431" t="str">
        <x:v>P2.3 claim boundary and P4.1 authorization</x:v>
      </x:c>
      <x:c r="H141" s="431" t="str">
        <x:v>Accepted</x:v>
      </x:c>
      <x:c r="I141" s="431" t="str">
        <x:v>The six gaps remain visible limitations, not passes. P4.2 held-out execution remains blocked until the P4.1 evaluator/runner baseline is frozen.</x:v>
      </x:c>
    </x:row>
    <x:row r="142" ht="648" customHeight="1">
      <x:c r="A142" s="431" t="str">
        <x:v>EV-139</x:v>
      </x:c>
      <x:c r="B142" s="431" t="n">
        <x:v>46224</x:v>
      </x:c>
      <x:c r="C142" s="431" t="str">
        <x:v>P4.1 development benchmark definition and safety controls</x:v>
      </x:c>
      <x:c r="D142" s="431" t="str">
        <x:v>P4.1-DEV-1 at implementation commit 4cf9fe8 freezes 22 development scenarios, unique package/scenario IDs, 21 named mutations, exact state/exit/hold/control/finding expectations, two executions, and exact normalized four-output SHA-256 oracles. The runner verifies the accepted baseline hash, excludes expected assets, rejects benchmark-tree output and overwrites, and prevents subset acceptance claims.</x:v>
      </x:c>
      <x:c r="E142" s="431" t="str">
        <x:v>Reviewed definition / Runner implementation / Focused tests</x:v>
      </x:c>
      <x:c r="F142" s="431" t="str">
        <x:v>benchmarks/package_assurance/development/pump_skid_clean_v1/development_benchmark_v1.json; src/mech_eval_harness/package_assurance/development_benchmark.py; scripts/run_package_assurance_development_benchmark.py; tests/test_package_development_benchmark.py; docs/package_assurance/p4_1_development_benchmark_definition_and_review_v0.3.0.md</x:v>
      </x:c>
      <x:c r="G142" s="431" t="str">
        <x:v>P4.1 benchmark contract</x:v>
      </x:c>
      <x:c r="H142" s="431" t="str">
        <x:v>Accepted / Integration Pending</x:v>
      </x:c>
      <x:c r="I142" s="431" t="str">
        <x:v>No accepted clean fixture, hidden expected asset, held-out content, authority map, schema, public package, historical result, or v0.2 behavior changed.</x:v>
      </x:c>
    </x:row>
    <x:row r="143" ht="612" customHeight="1">
      <x:c r="A143" s="431" t="str">
        <x:v>EV-140</x:v>
      </x:c>
      <x:c r="B143" s="431" t="n">
        <x:v>46224</x:v>
      </x:c>
      <x:c r="C143" s="431" t="str">
        <x:v>P4.1 exact development benchmark acceptance execution</x:v>
      </x:c>
      <x:c r="D143" s="431" t="str">
        <x:v>The acceptance execution passed 22/22 scenarios and 44/44 complete four-output audits. All eight gate-failure families and all eleven relationship-failure families were covered; all 22 run pairs were identical after removing only run ID and run metadata; all 22 exact normalized publication hashes matched; no staged package contained expected/.</x:v>
      </x:c>
      <x:c r="E143" s="431" t="str">
        <x:v>Controlled benchmark execution / Exact oracle comparison / Output inspection</x:v>
      </x:c>
      <x:c r="F143" s="431" t="str">
        <x:v>runs/p4.1-development-acceptance-4cf9fe8-final/benchmark_report.json; runs/p4.1-development-acceptance-4cf9fe8-final/benchmark_report.md; implementation 4cf9fe8; P4.1-DEV-1; EV-139</x:v>
      </x:c>
      <x:c r="G143" s="431" t="str">
        <x:v>P4.1 execution evidence</x:v>
      </x:c>
      <x:c r="H143" s="431" t="str">
        <x:v>Accepted / Integration Pending</x:v>
      </x:c>
      <x:c r="I143" s="431" t="str">
        <x:v>Generated evidence is ignored runtime data outside versioned benchmark definitions. Protected held-out semantics were not executed or opened for tuning.</x:v>
      </x:c>
    </x:row>
    <x:row r="144" ht="648" customHeight="1">
      <x:c r="A144" s="431" t="str">
        <x:v>EV-141</x:v>
      </x:c>
      <x:c r="B144" s="431" t="n">
        <x:v>46224</x:v>
      </x:c>
      <x:c r="C144" s="431" t="str">
        <x:v>P4.1 regression, frozen-baseline, and improvement-loop proof</x:v>
      </x:c>
      <x:c r="D144" s="431" t="str">
        <x:v>Focused benchmark tests passed 5. The full suite passed 319 with one expected Windows skip at 88.57% coverage. Repository validation passed 5/5; Ruff, frozen v0.2 baseline 9/9, portfolio demo 2/2, and both hosted Linux CI jobs passed. An unsafe default baseline evidence path was detected, its timestamp-only tracked changes were restored, and IMP-021 plus AGENTS.md now require generated evidence paths.</x:v>
      </x:c>
      <x:c r="E144" s="431" t="str">
        <x:v>Local deterministic verification / Protected-diff check / Improvement loop</x:v>
      </x:c>
      <x:c r="F144" s="431" t="str">
        <x:v>docs/package_assurance/p4_1_development_benchmark_definition_and_review_v0.3.0.md; docs/quality/improvement_register.md; AGENTS.md; runs/p4.1-mvp-baseline-safe; runs/p4.1-portfolio-demo; D-109</x:v>
      </x:c>
      <x:c r="G144" s="431" t="str">
        <x:v>P4.1 verification closeout</x:v>
      </x:c>
      <x:c r="H144" s="431" t="str">
        <x:v>Accepted / Integration Pending</x:v>
      </x:c>
      <x:c r="I144" s="431" t="str">
        <x:v>D-109 was accepted on 2026-07-21. PR #61 integration remains before the exact main freeze and separate P4.2 authorization; all D-108 deferred capabilities remain blocked.</x:v>
      </x:c>
    </x:row>
    <x:row r="145" ht="612" customHeight="1">
      <x:c r="A145" s="431" t="str">
        <x:v>EV-142</x:v>
      </x:c>
      <x:c r="B145" s="431" t="n">
        <x:v>46224</x:v>
      </x:c>
      <x:c r="C145" s="431" t="str">
        <x:v>P4.1 cross-platform exact-oracle stabilization</x:v>
      </x:c>
      <x:c r="D145" s="431" t="str">
        <x:v>The first hosted Linux run failed only the malformed-manifest publication because a sanitized path used a Windows backslash locally and a POSIX slash in CI. Commit 4cf9fe8 canonicalizes stable error paths, adds direct missing/malformed-manifest assertions, changes only the affected oracle, and passes the complete exact matrix locally plus both hosted jobs.</x:v>
      </x:c>
      <x:c r="E145" s="431" t="str">
        <x:v>Hosted red/green CI / Cross-platform differential / Exact-oracle review</x:v>
      </x:c>
      <x:c r="F145" s="431" t="str">
        <x:v>src/mech_eval_harness/package_assurance/gates.py; tests/test_package_gates.py; benchmarks/package_assurance/development/pump_skid_clean_v1/development_benchmark_v1.json; PR #61 checks; IMP-022</x:v>
      </x:c>
      <x:c r="G145" s="431" t="str">
        <x:v>P4.1 portability evidence</x:v>
      </x:c>
      <x:c r="H145" s="431" t="str">
        <x:v>Accepted / Integration Pending</x:v>
      </x:c>
      <x:c r="I145" s="431" t="str">
        <x:v>No engineering outcome, state, hold, finding code, control status, evidence locator, fixture, held-out asset, or deferred claim changed. Stable path rendering and the derived finding ID are now operating-system independent.</x:v>
      </x:c>
    </x:row>
    <x:row r="146" ht="522" customHeight="1">
      <x:c r="A146" s="431" t="str">
        <x:v>EV-143</x:v>
      </x:c>
      <x:c r="B146" s="431" t="n">
        <x:v>46224</x:v>
      </x:c>
      <x:c r="C146" s="431" t="str">
        <x:v>P4.1 accepted integration and exact-main freeze</x:v>
      </x:c>
      <x:c r="D146" s="431" t="str">
        <x:v>D-109 and P4.1 were accepted; PR #61 merged the reviewed development benchmark at exact main 5a4d57e. The accepted implementation remains 4cf9fe8, P4.1-DEV-1 passes 22/22 scenarios twice, and final hosted push/PR checks are green.</x:v>
      </x:c>
      <x:c r="E146" s="431" t="str">
        <x:v>GitHub merge verification / Exact-main freeze / Accepted decision record</x:v>
      </x:c>
      <x:c r="F146" s="431" t="str">
        <x:v>PR #61; main 5a4d57e534bd5e900abac3c455cd484ef083e972; implementation 4cf9fe8; D-109; p4_1_development_benchmark_definition_and_review_v0.3.0.md</x:v>
      </x:c>
      <x:c r="G146" s="431" t="str">
        <x:v>P4.1 integration closeout</x:v>
      </x:c>
      <x:c r="H146" s="431" t="str">
        <x:v>Accepted</x:v>
      </x:c>
      <x:c r="I146" s="431" t="str">
        <x:v>P4.1 behavior and bounded four-state claim are frozen. P4.2 remained separately gated.</x:v>
      </x:c>
    </x:row>
    <x:row r="147" ht="558" customHeight="1">
      <x:c r="A147" s="431" t="str">
        <x:v>EV-144</x:v>
      </x:c>
      <x:c r="B147" s="431" t="n">
        <x:v>46224</x:v>
      </x:c>
      <x:c r="C147" s="431" t="str">
        <x:v>P4.2 held-out exposure and replacement-gate definition</x:v>
      </x:c>
      <x:c r="D147" s="431" t="str">
        <x:v>The implementation context exposed top-level held-out metadata before first execution. No protected/expected value was surfaced to or inspected by the implementation context, no audit ran, no result exists, and no behavior changed. Hosted CI later ran legacy integrity tests that load protected JSON without printing values. D-110 applies accepted contamination policy, preserves the family unchanged and unexecuted, and defines an isolated materially distinct replacement protocol with pre-first-run CI exclusion.</x:v>
      </x:c>
      <x:c r="E147" s="431" t="str">
        <x:v>Control-boundary review / Contamination classification / Replacement protocol</x:v>
      </x:c>
      <x:c r="F147" s="431" t="str">
        <x:v>docs/package_assurance/p4_2_held_out_contamination_and_replacement_gate_v0.3.0.md; AGENTS.md; docs/quality/improvement_register.md; D-110; I-006; IMP-023</x:v>
      </x:c>
      <x:c r="G147" s="431" t="str">
        <x:v>P4.2 recovery gate</x:v>
      </x:c>
      <x:c r="H147" s="431" t="str">
        <x:v>Accepted</x:v>
      </x:c>
      <x:c r="I147" s="431" t="str">
        <x:v>D-110 was accepted on 2026-07-21. P4.2 semantic execution, replacement authoring in this context, P4.3 release work, and held-out release claims remain blocked.</x:v>
      </x:c>
    </x:row>
    <x:row r="148" ht="522" customHeight="1">
      <x:c r="A148" s="431" t="str">
        <x:v>EV-145</x:v>
      </x:c>
      <x:c r="B148" s="431" t="n">
        <x:v>46224</x:v>
      </x:c>
      <x:c r="C148" s="431" t="str">
        <x:v>D-110 owner acceptance and isolated replacement authorization</x:v>
      </x:c>
      <x:c r="D148" s="431" t="str">
        <x:v>The project owner accepted D-110 and all recommended recovery controls. The exposed family remains unchanged, unexecuted, and release-ineligible. Authorization advances only to isolated replacement authoring, structural verification, and hash freeze; a separate owner decision remains mandatory before semantic execution.</x:v>
      </x:c>
      <x:c r="E148" s="431" t="str">
        <x:v>User decision / Gate acceptance / Scope authorization</x:v>
      </x:c>
      <x:c r="F148" s="431" t="str">
        <x:v>User instruction 2026-07-21; PR #62; docs/package_assurance/p4_2_held_out_contamination_and_replacement_gate_v0.3.0.md; D-110; I-006; IMP-023</x:v>
      </x:c>
      <x:c r="G148" s="431" t="str">
        <x:v>P4.2 replacement freeze authority</x:v>
      </x:c>
      <x:c r="H148" s="431" t="str">
        <x:v>Accepted</x:v>
      </x:c>
      <x:c r="I148" s="431" t="str">
        <x:v>No evaluator change, semantic run, public rerun, protected-value inspection by the implementation context, P4.3 work, or held-out release claim was authorized.</x:v>
      </x:c>
    </x:row>
    <x:row r="149" ht="675" customHeight="1">
      <x:c r="A149" s="431" t="str">
        <x:v>EV-146</x:v>
      </x:c>
      <x:c r="B149" s="431" t="n">
        <x:v>46224</x:v>
      </x:c>
      <x:c r="C149" s="431" t="str">
        <x:v>Isolated replacement authoring and hash freeze</x:v>
      </x:c>
      <x:c r="D149" s="431" t="str">
        <x:v>Public bundle P4.2-CUSTODIAN-EA45DCF-V1 supplied only approved contracts and schemas. Isolated authoring and disclosed recovery custodians produced FAM-HO-CONVEYOR-DRIVE-042, passed 326 structural/hash checks with zero failures, wrote the freeze record last, and recorded semantic execution count zero.</x:v>
      </x:c>
      <x:c r="E149" s="431" t="str">
        <x:v>Input-hash reproduction / Isolated custody / Structural validation / Pre-execution freeze</x:v>
      </x:c>
      <x:c r="F149" s="431" t="str">
        <x:v>p4_2_replacement_custodian_public_contract_v0.3.0.md; p4_2_replacement_custodian_input_manifest_v0.3.0.json; replacement freeze_record.public.json; complete-family SHA-256 e619c81854d9676b5d821a752e3b00e68d0072572cef64509d5cc9132a3e6ff6; IMP-024</x:v>
      </x:c>
      <x:c r="G149" s="431" t="str">
        <x:v>P4.2 replacement freeze</x:v>
      </x:c>
      <x:c r="H149" s="431" t="str">
        <x:v>Verified / Owner Review Pending</x:v>
      </x:c>
      <x:c r="I149" s="431" t="str">
        <x:v>Eight opaque scenarios and 210 family files are frozen. The implementation context did not inspect protected or scenario package values. No evaluator or semantic run occurred.</x:v>
      </x:c>
    </x:row>
    <x:row r="150" ht="657" customHeight="1">
      <x:c r="A150" s="431" t="str">
        <x:v>EV-147</x:v>
      </x:c>
      <x:c r="B150" s="431" t="n">
        <x:v>46224</x:v>
      </x:c>
      <x:c r="C150" s="431" t="str">
        <x:v>Independent freeze and opaque-import verification</x:v>
      </x:c>
      <x:c r="D150" s="431" t="str">
        <x:v>A separate fresh verifier passed 14/14 controls with zero leakage, hash mismatch, freeze-order violation, or family modification. A separate import verifier matched 210/210 files byte-for-byte and reproduced the complete-family hash at both roots.</x:v>
      </x:c>
      <x:c r="E150" s="431" t="str">
        <x:v>Independent structural review / Protected aggregate review / SHA-256 reproduction / Opaque import comparison</x:v>
      </x:c>
      <x:c r="F150" s="431" t="str">
        <x:v>p4_2_replacement_independent_verification_v0.3.0.json; p4_2_replacement_independent_verification_v0.3.0.md; p4_2_replacement_import_verification_v0.3.0.json; producer hash da154aed...8867; protected hash 2b383800...c6e; family hash e619c818...e6ff6</x:v>
      </x:c>
      <x:c r="G150" s="431" t="str">
        <x:v>P4.2 independent verification</x:v>
      </x:c>
      <x:c r="H150" s="431" t="str">
        <x:v>Pass</x:v>
      </x:c>
      <x:c r="I150" s="431" t="str">
        <x:v>All eight manifests and all eleven clean relationship contracts passed. The protected matrix met accepted aggregate requirements. Semantic execution count remains zero.</x:v>
      </x:c>
    </x:row>
    <x:row r="151" ht="675" customHeight="1">
      <x:c r="A151" s="431" t="str">
        <x:v>EV-148</x:v>
      </x:c>
      <x:c r="B151" s="431" t="n">
        <x:v>46224</x:v>
      </x:c>
      <x:c r="C151" s="431" t="str">
        <x:v>Pre-run regression and D-111 owner review package</x:v>
      </x:c>
      <x:c r="D151" s="431" t="str">
        <x:v>Safe checks that do not enumerate or load the new replacement pass: 32 focused tests; 319 full regression tests with one expected Windows skip; 88.57% coverage; repository validation 5/5; Ruff; frozen baseline 9/9; and portfolio demo 2/2. The owner freeze review proposes D-111 and preserves semantic execution count zero.</x:v>
      </x:c>
      <x:c r="E151" s="431" t="str">
        <x:v>Focused regression / Full frozen regression / Coverage / Repository validation / Lint / Baseline / Demo / Decision review</x:v>
      </x:c>
      <x:c r="F151" s="431" t="str">
        <x:v>docs/package_assurance/p4_2_replacement_freeze_review_v0.3.0.md; pytest; coverage; mech-eval validate; Ruff; generated baseline and demo evidence under runs/; D-111</x:v>
      </x:c>
      <x:c r="G151" s="431" t="str">
        <x:v>P4.2 pre-run acceptance package</x:v>
      </x:c>
      <x:c r="H151" s="431" t="str">
        <x:v>Ready for Owner Review</x:v>
      </x:c>
      <x:c r="I151" s="431" t="str">
        <x:v>The initial standalone pytest.exe collection error was an invocation-path issue; the accepted python -m pytest command passed. No replacement scenario or protected oracle was loaded or executed.</x:v>
      </x:c>
    </x:row>
    <x:row r="152" ht="585" customHeight="1">
      <x:c r="A152" s="431" t="str">
        <x:v>EV-149</x:v>
      </x:c>
      <x:c r="B152" s="431" t="n">
        <x:v>46224</x:v>
      </x:c>
      <x:c r="C152" s="431" t="str">
        <x:v>D-111 owner acceptance and first-run authorization</x:v>
      </x:c>
      <x:c r="D152" s="431" t="str">
        <x:v>The project owner accepted D-111 on 2026-07-21. Authority advances only after PR #63 merge and exact-main verification to independently verified oracle-blind staging and exactly one invocation per opaque scenario. Semantic execution count remains zero at acceptance.</x:v>
      </x:c>
      <x:c r="E152" s="431" t="str">
        <x:v>User decision / Gate acceptance / One-way execution authorization</x:v>
      </x:c>
      <x:c r="F152" s="431" t="str">
        <x:v>User instruction 2026-07-21; docs/package_assurance/p4_2_replacement_freeze_review_v0.3.0.md; PR #63; D-111; EV-146-EV-148; IMP-023-IMP-024</x:v>
      </x:c>
      <x:c r="G152" s="431" t="str">
        <x:v>P4.2 first-run authority</x:v>
      </x:c>
      <x:c r="H152" s="431" t="str">
        <x:v>Accepted / Integration Pending</x:v>
      </x:c>
      <x:c r="I152" s="431" t="str">
        <x:v>No semantic run, retry, tuning, input or evaluator change, protected comparison, P4.3 work, or release claim occurred at acceptance. Raw evidence must be frozen before a separate protected comparison.</x:v>
      </x:c>
    </x:row>
    <x:row r="153" ht="585" customHeight="1">
      <x:c r="A153" s="431" t="str">
        <x:v>EV-150</x:v>
      </x:c>
      <x:c r="B153" s="431" t="n">
        <x:v>46224</x:v>
      </x:c>
      <x:c r="C153" s="431" t="str">
        <x:v>PR #63 integration, exact-main freeze, and zero-run confirmation</x:v>
      </x:c>
      <x:c r="D153" s="431" t="str">
        <x:v>PR #63 merged D-111 and the reviewed replacement freeze at exact main 4d2c0f5. The evaluator source tree d0c3f128ee13898cdcd6fc12c6d6ad5877649551 matches behavior commit 4cf9fe8. No semantic invocation or protected comparison occurred; run count remains zero.</x:v>
      </x:c>
      <x:c r="E153" s="431" t="str">
        <x:v>GitHub merge verification / Exact-main freeze / Source-tree identity / Run-count confirmation</x:v>
      </x:c>
      <x:c r="F153" s="431" t="str">
        <x:v>PR #63; main 4d2c0f5f09950929ef057ef4f0efa3d75efdf0ed; implementation 4cf9fe8; source tree d0c3f128ee13898cdcd6fc12c6d6ad5877649551; D-111</x:v>
      </x:c>
      <x:c r="G153" s="431" t="str">
        <x:v>P4.2 integration evidence</x:v>
      </x:c>
      <x:c r="H153" s="431" t="str">
        <x:v>Accepted</x:v>
      </x:c>
      <x:c r="I153" s="431" t="str">
        <x:v>Both hosted PR checks passed with protected-fixture integrity tests excluded. Integration completed before any authorized first-run staging.</x:v>
      </x:c>
    </x:row>
    <x:row r="154" ht="675" customHeight="1">
      <x:c r="A154" s="431" t="str">
        <x:v>EV-151</x:v>
      </x:c>
      <x:c r="B154" s="431" t="n">
        <x:v>46224</x:v>
      </x:c>
      <x:c r="C154" s="431" t="str">
        <x:v>Pre-run Git metadata exposure and independent governance disposition</x:v>
      </x:c>
      <x:c r="D154" s="431" t="str">
        <x:v>The local PR #63 fast-forward printed release-family paths and comparative per-file insertion counts. No file content was deliberately opened, but the output exposed scenario-level structural differences. A fresh independent governance review classified the side channel as contamination under D-110 and IMP-023 and recommended external custody through first-run evidence freeze.</x:v>
      </x:c>
      <x:c r="E154" s="431" t="str">
        <x:v>Control-boundary incident review / Fresh independent governance review / Recovery architecture</x:v>
      </x:c>
      <x:c r="F154" s="431" t="str">
        <x:v>docs/package_assurance/p4_2_second_contamination_and_external_custody_gate_v0.3.0.md; D-110-D-112; I-007; IMP-023; IMP-025; PR #63 exact main 4d2c0f5</x:v>
      </x:c>
      <x:c r="G154" s="431" t="str">
        <x:v>P4.2 second recovery gate</x:v>
      </x:c>
      <x:c r="H154" s="431" t="str">
        <x:v>Ready for Owner Review</x:v>
      </x:c>
      <x:c r="I154" s="431" t="str">
        <x:v>FAM-HO-CONVEYOR-DRIVE-042 remains unchanged, unexecuted, and release-ineligible. D-111 authority stopped unused. No replacement authoring or semantic execution is authorized before D-112 acceptance.</x:v>
      </x:c>
    </x:row>
    <x:row r="155" ht="630" customHeight="1">
      <x:c r="A155" s="431" t="str">
        <x:v>EV-152</x:v>
      </x:c>
      <x:c r="B155" s="431" t="n">
        <x:v>46225</x:v>
      </x:c>
      <x:c r="C155" s="431" t="str">
        <x:v>D-112 owner acceptance and external-custody authorization</x:v>
      </x:c>
      <x:c r="D155" s="431" t="str">
        <x:v>The project owner accepted D-112 on 2026-07-22. Authority advances only after PR #64 integration and exact-main verification to fresh external replacement authoring, independent structural/hash verification, oracle-blind staging, and preparation of a new freeze review. Semantic execution count remains zero.</x:v>
      </x:c>
      <x:c r="E155" s="431" t="str">
        <x:v>User decision / Gate acceptance / External-custody scope authorization</x:v>
      </x:c>
      <x:c r="F155" s="431" t="str">
        <x:v>User instruction 2026-07-22; PR #64; docs/package_assurance/p4_2_second_contamination_and_external_custody_gate_v0.3.0.md; D-112; EV-150-EV-151; I-007; IMP-025</x:v>
      </x:c>
      <x:c r="G155" s="431" t="str">
        <x:v>P4.2 external-custody authority</x:v>
      </x:c>
      <x:c r="H155" s="431" t="str">
        <x:v>Accepted / Integration Pending</x:v>
      </x:c>
      <x:c r="I155" s="431" t="str">
        <x:v>No replacement authoring, semantic execution, oracle comparison, repository family import, evaluator change, protected-fixture CI restoration, P4.3 work, or release claim occurred at acceptance.</x:v>
      </x:c>
    </x:row>
    <x:row r="156" ht="675" customHeight="1">
      <x:c r="A156" s="431" t="str">
        <x:v>EV-153</x:v>
      </x:c>
      <x:c r="B156" s="431" t="n">
        <x:v>46225</x:v>
      </x:c>
      <x:c r="C156" s="431" t="str">
        <x:v>PR #64 integration and exact-main external-custody baseline</x:v>
      </x:c>
      <x:c r="D156" s="431" t="str">
        <x:v>PR #64 integrated accepted D-112 at exact main 0264db7d0c904452ffdec83c51f74103185a8e8d. Frozen evaluator behavior remains 4cf9fe8 and source tree d0c3f128ee13898cdcd6fc12c6d6ad5877649551. Semantic execution count remained zero.</x:v>
      </x:c>
      <x:c r="E156" s="431" t="str">
        <x:v>Git integration / Exact-main freeze / Source identity / Zero-run confirmation</x:v>
      </x:c>
      <x:c r="F156" s="431" t="str">
        <x:v>PR #64; main 0264db7d0c904452ffdec83c51f74103185a8e8d; implementation 4cf9fe8; source tree d0c3f128ee13898cdcd6fc12c6d6ad5877649551; D-112</x:v>
      </x:c>
      <x:c r="G156" s="431" t="str">
        <x:v>P4.2 external custody baseline</x:v>
      </x:c>
      <x:c r="H156" s="431" t="str">
        <x:v>Accepted</x:v>
      </x:c>
      <x:c r="I156" s="431" t="str">
        <x:v>No family or runner asset was imported into the review branch.</x:v>
      </x:c>
    </x:row>
    <x:row r="157" ht="675" customHeight="1">
      <x:c r="A157" s="431" t="str">
        <x:v>EV-154</x:v>
      </x:c>
      <x:c r="B157" s="431" t="n">
        <x:v>46225</x:v>
      </x:c>
      <x:c r="C157" s="431" t="str">
        <x:v>External family revision-1 failure and revision-2 remediation</x:v>
      </x:c>
      <x:c r="D157" s="431" t="str">
        <x:v>The first external family freeze passed author self-checks but failed three independent protected-oracle contract categories. It remains unchanged and unexecuted at complete hash 04d13a3f...c7be. Revision 2 corrected only those protected records and preserved producer hash b77f35e...e10ab.</x:v>
      </x:c>
      <x:c r="E157" s="431" t="str">
        <x:v>Failed freeze preservation / Sibling remediation / Producer-byte identity</x:v>
      </x:c>
      <x:c r="F157" s="431" t="str">
        <x:v>External aggregate authoring, verification, and remediation summaries; FR-D112-HOIST-001-FR-D112-HOIST-002; IMP-026</x:v>
      </x:c>
      <x:c r="G157" s="431" t="str">
        <x:v>P4.2 family remediation evidence</x:v>
      </x:c>
      <x:c r="H157" s="431" t="str">
        <x:v>Accepted</x:v>
      </x:c>
      <x:c r="I157" s="431" t="str">
        <x:v>A self-check is not acceptance. Failed family evidence was not erased or repaired in place.</x:v>
      </x:c>
    </x:row>
    <x:row r="158" ht="675" customHeight="1">
      <x:c r="A158" s="431" t="str">
        <x:v>EV-155</x:v>
      </x:c>
      <x:c r="B158" s="431" t="n">
        <x:v>46225</x:v>
      </x:c>
      <x:c r="C158" s="431" t="str">
        <x:v>Independent external family revision-2 freeze verification</x:v>
      </x:c>
      <x:c r="D158" s="431" t="str">
        <x:v>Fresh independent verification passed 68/68 controls across assurance, relationships, structure, hash/freeze, input integrity, package contract, protected oracle, and leakage. Complete-family pre/post hash is 141f3d1b...9190; semantic executions are zero.</x:v>
      </x:c>
      <x:c r="E158" s="431" t="str">
        <x:v>Independent structural and oracle-contract verification / Hash freeze / Matrix coverage</x:v>
      </x:c>
      <x:c r="F158" s="431" t="str">
        <x:v>docs/package_assurance/p4_2_external_custody_freeze_evidence_v0.3.0.json; family FR-D112-HOIST-002; producer b77f35e...e10ab; protected 1876455a...80d; complete 141f3d1b...9190</x:v>
      </x:c>
      <x:c r="G158" s="431" t="str">
        <x:v>P4.2 family freeze evidence</x:v>
      </x:c>
      <x:c r="H158" s="431" t="str">
        <x:v>Accepted / Integration Pending</x:v>
      </x:c>
      <x:c r="I158" s="431" t="str">
        <x:v>Aggregate matrix: one automatic pass, five automatic fails, one missing-authority state, one tool-failure state, and eight held findings; scenario mappings remain protected.</x:v>
      </x:c>
    </x:row>
    <x:row r="159" ht="675" customHeight="1">
      <x:c r="A159" s="431" t="str">
        <x:v>EV-156</x:v>
      </x:c>
      <x:c r="B159" s="431" t="n">
        <x:v>46225</x:v>
      </x:c>
      <x:c r="C159" s="431" t="str">
        <x:v>Producer-only physical capsule and staging-boundary recovery</x:v>
      </x:c>
      <x:c r="D159" s="431" t="str">
        <x:v>Instruction-only staging failed closed before copying after excluded-parent enumeration. A custody context then created physical capsule PC-D112-HOIST-002 with exactly eight package roots and 152 package files. It passed 16/16 controls, reproduced producer hash b77f35e...e10ab, and contained no restricted material.</x:v>
      </x:c>
      <x:c r="E159" s="431" t="str">
        <x:v>Physical access separation / Producer hash / Failed-attempt preservation</x:v>
      </x:c>
      <x:c r="F159" s="431" t="str">
        <x:v>Producer capsule aggregate summary; capsule content 92c4c20a...15b6; I-008; IMP-027</x:v>
      </x:c>
      <x:c r="G159" s="431" t="str">
        <x:v>P4.2 oracle-blind handoff evidence</x:v>
      </x:c>
      <x:c r="H159" s="431" t="str">
        <x:v>Accepted</x:v>
      </x:c>
      <x:c r="I159" s="431" t="str">
        <x:v>No package was executed and no protected contents were opened during the failed staging attempt.</x:v>
      </x:c>
    </x:row>
    <x:row r="160" ht="675" customHeight="1">
      <x:c r="A160" s="431" t="str">
        <x:v>EV-157</x:v>
      </x:c>
      <x:c r="B160" s="431" t="n">
        <x:v>46225</x:v>
      </x:c>
      <x:c r="C160" s="431" t="str">
        <x:v>Runner freeze rejection chain and revision-6 correction</x:v>
      </x:c>
      <x:c r="D160" s="431" t="str">
        <x:v>Independent static controls rejected predecessor runners for noncanonical inventory order, external path text, writable controls, an unavailable copy operation, and full inherited-environment forwarding. Every failed revision remains preserved and unexecuted. Revision 6 changed only custody controls while preserving 181/181 input identities.</x:v>
      </x:c>
      <x:c r="E160" s="431" t="str">
        <x:v>Fail-closed runner revisions / Static-control remediation / Input identity</x:v>
      </x:c>
      <x:c r="F160" s="431" t="str">
        <x:v>Runner aggregate failure and staging summaries; revisions 2-6; I-008; IMP-027</x:v>
      </x:c>
      <x:c r="G160" s="431" t="str">
        <x:v>P4.2 runner recovery evidence</x:v>
      </x:c>
      <x:c r="H160" s="431" t="str">
        <x:v>Accepted</x:v>
      </x:c>
      <x:c r="I160" s="431" t="str">
        <x:v>The evaluator and producer bytes did not change. Semantic execution count remained zero throughout.</x:v>
      </x:c>
    </x:row>
    <x:row r="161" ht="675" customHeight="1">
      <x:c r="A161" s="431" t="str">
        <x:v>EV-158</x:v>
      </x:c>
      <x:c r="B161" s="431" t="n">
        <x:v>46225</x:v>
      </x:c>
      <x:c r="C161" s="431" t="str">
        <x:v>Independent oracle-blind runner revision-6 verification</x:v>
      </x:c>
      <x:c r="D161" s="431" t="str">
        <x:v>Fresh independent verification passed 53/53 controls across seven categories. The bundle has 186/186 read-only files, zero runtime/evidence/marker/result/report/output artifacts, one-shot no-retry controls, a bounded child environment, and identical pre/post hash 54d01f7b...98fb.</x:v>
      </x:c>
      <x:c r="E161" s="431" t="str">
        <x:v>Independent static AST and filesystem verification / Hash freeze / Zero-artifact proof</x:v>
      </x:c>
      <x:c r="F161" s="431" t="str">
        <x:v>docs/package_assurance/p4_2_external_custody_freeze_evidence_v0.3.0.json; runner D-112-runner-revision-6; runner script c2ab9b56...beae; complete 54d01f7b...98fb</x:v>
      </x:c>
      <x:c r="G161" s="431" t="str">
        <x:v>P4.2 runner freeze evidence</x:v>
      </x:c>
      <x:c r="H161" s="431" t="str">
        <x:v>Accepted / Integration Pending</x:v>
      </x:c>
      <x:c r="I161" s="431" t="str">
        <x:v>No runner or evaluator import or execution occurred. Full environment forwarding, PATH, credentials, proxies, user-profile values, and unrelated variables are absent.</x:v>
      </x:c>
    </x:row>
    <x:row r="162" ht="630" customHeight="1">
      <x:c r="A162" s="431" t="str">
        <x:v>EV-159</x:v>
      </x:c>
      <x:c r="B162" s="431" t="n">
        <x:v>46225</x:v>
      </x:c>
      <x:c r="C162" s="431" t="str">
        <x:v>D-113 review-branch safe regression and frozen verification</x:v>
      </x:c>
      <x:c r="D162" s="431" t="str">
        <x:v>Focused package tests passed 40/40. Protected-safe full regression passed 313 with one expected Windows skip at 88.57% coverage. Repository validation passed 5/5, Ruff passed, frozen v0.2.0 baseline replay passed 9/9, and portfolio demo passed 2/2.</x:v>
      </x:c>
      <x:c r="E162" s="431" t="str">
        <x:v>Focused regression / Coverage gate / Repository validation / Frozen baseline / Demo</x:v>
      </x:c>
      <x:c r="F162" s="431" t="str">
        <x:v>Review branch codex/p4.2-external-held-out-freeze; generated runs/d113-freeze-review-20260722 evidence; protected fixture module excluded</x:v>
      </x:c>
      <x:c r="G162" s="431" t="str">
        <x:v>P4.2 review verification</x:v>
      </x:c>
      <x:c r="H162" s="431" t="str">
        <x:v>Accepted</x:v>
      </x:c>
      <x:c r="I162" s="431" t="str">
        <x:v>No release-eligible held-out family directory or protected fixture module was enumerated or loaded by these checks.</x:v>
      </x:c>
    </x:row>
    <x:row r="163" ht="675" customHeight="1">
      <x:c r="A163" s="431" t="str">
        <x:v>EV-160</x:v>
      </x:c>
      <x:c r="B163" s="431" t="n">
        <x:v>46225</x:v>
      </x:c>
      <x:c r="C163" s="431" t="str">
        <x:v>D-113 owner acceptance and conditional first-run authority</x:v>
      </x:c>
      <x:c r="D163" s="431" t="str">
        <x:v>The project owner accepted D-113 on 2026-07-22. The decision authorizes exactly one invocation for each of eight opaque packages only after PR #65 integration, exact-main recording, and complete frozen-identity reverification. Semantic execution count remains zero at acceptance.</x:v>
      </x:c>
      <x:c r="E163" s="431" t="str">
        <x:v>Owner decision / Conditional execution authority / Zero-run handoff</x:v>
      </x:c>
      <x:c r="F163" s="431" t="str">
        <x:v>Owner acceptance 2026-07-22; D-113; PR #65; docs/package_assurance/p4_2_external_custody_freeze_review_v0.3.0.md; EV-153-EV-159</x:v>
      </x:c>
      <x:c r="G163" s="431" t="str">
        <x:v>P4.2 first-run authority</x:v>
      </x:c>
      <x:c r="H163" s="431" t="str">
        <x:v>Accepted / Consumed</x:v>
      </x:c>
      <x:c r="I163" s="431" t="str">
        <x:v>Any invocation or infrastructure failure consumes the scenario. Raw evidence must freeze before protected comparison. Retry, tuning, import, evaluator or fixture change, P4.3 work, public rerun, and release claims remain prohibited.</x:v>
      </x:c>
    </x:row>
    <x:row r="164" ht="675" customHeight="1">
      <x:c r="A164" s="431" t="str">
        <x:v>EV-161</x:v>
      </x:c>
      <x:c r="B164" s="431" t="n">
        <x:v>46225</x:v>
      </x:c>
      <x:c r="C164" s="431" t="str">
        <x:v>D-113 integration and exact-main activation</x:v>
      </x:c>
      <x:c r="D164" s="431" t="str">
        <x:v>PR #65 integrated accepted D-113 at exact main 6a74c74a8331f92342008bff8dd376124148eb36. Frozen evaluator behavior remained 4cf9fe8. The accepted family, runner, schemas, and producer inputs remained external and unchanged through activation.</x:v>
      </x:c>
      <x:c r="E164" s="431" t="str">
        <x:v>Git integration / Exact-main activation / Frozen identity</x:v>
      </x:c>
      <x:c r="F164" s="431" t="str">
        <x:v>PR #65; main 6a74c74a8331f92342008bff8dd376124148eb36; D-113; runner static 54d01f7b...98fb</x:v>
      </x:c>
      <x:c r="G164" s="431" t="str">
        <x:v>P4.2 execution activation</x:v>
      </x:c>
      <x:c r="H164" s="431" t="str">
        <x:v>Accepted / Consumed</x:v>
      </x:c>
      <x:c r="I164" s="431" t="str">
        <x:v>Integration satisfied the final pre-run condition. No repository custody-asset import occurred.</x:v>
      </x:c>
    </x:row>
    <x:row r="165" ht="675" customHeight="1">
      <x:c r="A165" s="431" t="str">
        <x:v>EV-162</x:v>
      </x:c>
      <x:c r="B165" s="431" t="n">
        <x:v>46225</x:v>
      </x:c>
      <x:c r="C165" s="431" t="str">
        <x:v>D-113 one-shot execution and raw-evidence freeze</x:v>
      </x:c>
      <x:c r="D165" s="431" t="str">
        <x:v>Oracle-blind preflight passed 27/27 with 186/186 static files read-only and 181/181 inputs exact. One runner invocation attempted and consumed all eight scenarios. Every evaluator process returned exit 70; zero complete output sets and zero result states were available. Forty raw-evidence files froze at hash 5d45bfa3...3b21.</x:v>
      </x:c>
      <x:c r="E165" s="431" t="str">
        <x:v>One-shot execution / Failure preservation / Raw freeze / No retry</x:v>
      </x:c>
      <x:c r="F165" s="431" t="str">
        <x:v>docs/package_assurance/p4_2_external_first_run_result_evidence_v0.3.0.json; execution summary 502de2d8...b9574; raw 5d45bfa3...3b21</x:v>
      </x:c>
      <x:c r="G165" s="431" t="str">
        <x:v>P4.2 first-run execution evidence</x:v>
      </x:c>
      <x:c r="H165" s="431" t="str">
        <x:v>Failed / Preserved</x:v>
      </x:c>
      <x:c r="I165" s="431" t="str">
        <x:v>No retry, reset, resume, rerun, delete, overwrite, tuning, network access, protected access, or repository modification occurred. All eight scenarios are consumed.</x:v>
      </x:c>
    </x:row>
    <x:row r="166" ht="675" customHeight="1">
      <x:c r="A166" s="431" t="str">
        <x:v>EV-163</x:v>
      </x:c>
      <x:c r="B166" s="431" t="n">
        <x:v>46225</x:v>
      </x:c>
      <x:c r="C166" s="431" t="str">
        <x:v>Independent raw-evidence and failure verification</x:v>
      </x:c>
      <x:c r="D166" s="431" t="str">
        <x:v>A fresh oracle-blind verifier reproduced static identities, exactly one global runner invocation, eight marker-before-invocation attempts, complete failure evidence, exit 70 x8, zero outputs, and the 40-file raw hash with zero public-summary mismatches. Shared class: internal atomic-publication tooling failure; lower-level cause unavailable.</x:v>
      </x:c>
      <x:c r="E166" s="431" t="str">
        <x:v>Independent execution verification / Integrity / Aggregate failure classification</x:v>
      </x:c>
      <x:c r="F166" s="431" t="str">
        <x:v>independent verification ec2005f8...a50f0f; raw 5d45bfa3...3b21; runner 54d01f7b...98fb; IMP-028</x:v>
      </x:c>
      <x:c r="G166" s="431" t="str">
        <x:v>P4.2 independent failed-run verification</x:v>
      </x:c>
      <x:c r="H166" s="431" t="str">
        <x:v>Accepted Evidence</x:v>
      </x:c>
      <x:c r="I166" s="431" t="str">
        <x:v>This proves immutable operational failure evidence, not semantic evaluator performance.</x:v>
      </x:c>
    </x:row>
    <x:row r="167" ht="675" customHeight="1">
      <x:c r="A167" s="431" t="str">
        <x:v>EV-164</x:v>
      </x:c>
      <x:c r="B167" s="431" t="n">
        <x:v>46225</x:v>
      </x:c>
      <x:c r="C167" s="431" t="str">
        <x:v>Post-freeze protected comparison and not-evaluable verdict</x:v>
      </x:c>
      <x:c r="D167" s="431" t="str">
        <x:v>Protected access began only after raw freeze and independent verification. All eight expectations mapped to consumed attempts, but zero semantic outputs were comparable. Accuracy, exact-state/finding performance, false positives, and false negatives are undefined. Raw, protected, and complete-family hashes remained unchanged. Release hold required.</x:v>
      </x:c>
      <x:c r="E167" s="431" t="str">
        <x:v>Separate protected comparison / Claim boundary / Release hold</x:v>
      </x:c>
      <x:c r="F167" s="431" t="str">
        <x:v>comparison 20bdbf9d...ab70b7; docs/package_assurance/p4_2_external_first_run_result_review_v0.3.0.md; D-114 proposed; I-009</x:v>
      </x:c>
      <x:c r="G167" s="431" t="str">
        <x:v>P4.2 benchmark verdict</x:v>
      </x:c>
      <x:c r="H167" s="431" t="str">
        <x:v>Ready for Owner Review</x:v>
      </x:c>
      <x:c r="I167" s="431" t="str">
        <x:v>Aggregate verdict: not_evaluable_due_to_output_publication_failure. No held-out rerun, reuse, or performance claim is authorized.</x:v>
      </x:c>
    </x:row>
    <x:row r="168" ht="720" customHeight="1">
      <x:c r="A168" s="431" t="str">
        <x:v>EV-165</x:v>
      </x:c>
      <x:c r="B168" s="431" t="n">
        <x:v>46225</x:v>
      </x:c>
      <x:c r="C168" s="431" t="str">
        <x:v>D-115 owner directive and governance authority</x:v>
      </x:c>
      <x:c r="D168" s="431" t="str">
        <x:v>The project owner directed ISO/IEC 42001 to become the highest-level AI quality-control basis and authorized full implementation of a quality-control system as the next work block. D-115 records the bounded interpretation: internal governance and CI enforcement without conformity, certification, legal-compliance, guaranteed-safety, or independent-assurance claims.</x:v>
      </x:c>
      <x:c r="E168" s="431" t="str">
        <x:v>Owner instruction / Governance decision / Scope authority</x:v>
      </x:c>
      <x:c r="F168" s="431" t="str">
        <x:v>Owner instruction 2026-07-22; D-115; codex/iso-42001-ai-quality-system</x:v>
      </x:c>
      <x:c r="G168" s="431" t="str">
        <x:v>G0.1 governance authority</x:v>
      </x:c>
      <x:c r="H168" s="431" t="str">
        <x:v>Accepted</x:v>
      </x:c>
      <x:c r="I168" s="431" t="str">
        <x:v>D-114 remains pending and no held-out or semantic work was authorized by this decision.</x:v>
      </x:c>
    </x:row>
    <x:row r="169" ht="720" customHeight="1">
      <x:c r="A169" s="431" t="str">
        <x:v>EV-166</x:v>
      </x:c>
      <x:c r="B169" s="431" t="n">
        <x:v>46225</x:v>
      </x:c>
      <x:c r="C169" s="431" t="str">
        <x:v>AI management policy, manual, impact, and alignment records</x:v>
      </x:c>
      <x:c r="D169" s="431" t="str">
        <x:v>AIMS-POL-001 establishes precedence, human accountability, authorized-data use, evidence-first claims, ten mandatory stop conditions, role separation, and enforcement. The manual defines Plan-Do-Check-Act, eight lifecycle gates, risk scoring, operational controls, incidents, monitoring, audit, management review, and release mode. Impact and gap assessments cover current and future systems and formal limitations.</x:v>
      </x:c>
      <x:c r="E169" s="431" t="str">
        <x:v>Controlled policy / Operating manual / Impact and gap assessment</x:v>
      </x:c>
      <x:c r="F169" s="431" t="str">
        <x:v>docs/governance/ai_management_system_policy_v0.3.0.md; docs/governance/ai_quality_control_manual_v0.3.0.md; docs/governance/ai_impact_assessment_v0.3.0.md; docs/governance/iso_iec_42001_alignment_and_gap_assessment_v0.3.0.md</x:v>
      </x:c>
      <x:c r="G169" s="431" t="str">
        <x:v>AIMS documented controls</x:v>
      </x:c>
      <x:c r="H169" s="431" t="str">
        <x:v>Accepted Evidence</x:v>
      </x:c>
      <x:c r="I169" s="431" t="str">
        <x:v>The supplied PDF is excluded; official ISO and NIST public sources are listed with high-level-use boundaries.</x:v>
      </x:c>
    </x:row>
    <x:row r="170" ht="720" customHeight="1">
      <x:c r="A170" s="431" t="str">
        <x:v>EV-167</x:v>
      </x:c>
      <x:c r="B170" s="431" t="n">
        <x:v>46225</x:v>
      </x:c>
      <x:c r="C170" s="431" t="str">
        <x:v>Machine-readable AI management control plane</x:v>
      </x:c>
      <x:c r="D170" s="431" t="str">
        <x:v>governance/ai_management_system.json inventories 3 systems, 13 risks, 20 controls, 8 mandatory gates, 6 quality objectives, NC-001, AIMS-AUD-001, AIMS-MR-001, and exact release status. The JSON Schema fixes structure, types, allowed states, dates, paths, and certification_status not_claimed.</x:v>
      </x:c>
      <x:c r="E170" s="431" t="str">
        <x:v>Machine-readable inventory / Risk and control register / JSON Schema</x:v>
      </x:c>
      <x:c r="F170" s="431" t="str">
        <x:v>governance/ai_management_system.json; schemas/ai_management_system.schema.json; AIR-001-AIR-013; AIC-001-AIC-020; AIG-01-AIG-08; AIO-001-AIO-006; NC-001</x:v>
      </x:c>
      <x:c r="G170" s="431" t="str">
        <x:v>AIMS control-plane evidence</x:v>
      </x:c>
      <x:c r="H170" s="431" t="str">
        <x:v>Accepted Evidence</x:v>
      </x:c>
      <x:c r="I170" s="431" t="str">
        <x:v>Release is held by AIR-003, AIR-010, and NC-001; pending decision D-114 is explicit.</x:v>
      </x:c>
    </x:row>
    <x:row r="171" ht="720" customHeight="1">
      <x:c r="A171" s="431" t="str">
        <x:v>EV-168</x:v>
      </x:c>
      <x:c r="B171" s="431" t="n">
        <x:v>46225</x:v>
      </x:c>
      <x:c r="C171" s="431" t="str">
        <x:v>Automated governance validation and negative-control proof</x:v>
      </x:c>
      <x:c r="D171" s="431" t="str">
        <x:v>mech_eval_harness.ai_governance validates schema, global IDs, ownership, references, risk arithmetic, high-risk holds, minimum controls, evidence paths, authoritative source hosts, blocked future AI, partial-control gaps, pending decisions, and exact release alignment. Twenty-two focused control tests pass at 84% validator coverage, including positive CLI/state proof and deliberate failures across source, authority, risk, control, gate, data, future-AI, evidence, review-date, pending-decision, and release-state boundaries.</x:v>
      </x:c>
      <x:c r="E171" s="431" t="str">
        <x:v>Executable governance validator / Focused negative tests / CI gate</x:v>
      </x:c>
      <x:c r="F171" s="431" t="str">
        <x:v>src/mech_eval_harness/ai_governance.py; tests/test_ai_governance.py; .github/workflows/ci.yml; 22/22 focused; validator coverage 84%; Ruff passed</x:v>
      </x:c>
      <x:c r="G171" s="431" t="str">
        <x:v>AIMS automated enforcement</x:v>
      </x:c>
      <x:c r="H171" s="431" t="str">
        <x:v>Accepted Evidence</x:v>
      </x:c>
      <x:c r="I171" s="431" t="str">
        <x:v>Normal validation passes and reports HELD. --require-release-ready exits 2 on AIR-003, AIR-010, NC-001, and pending D-114 as designed.</x:v>
      </x:c>
    </x:row>
    <x:row r="172" ht="720" customHeight="1">
      <x:c r="A172" s="431" t="str">
        <x:v>EV-169</x:v>
      </x:c>
      <x:c r="B172" s="431" t="n">
        <x:v>46225</x:v>
      </x:c>
      <x:c r="C172" s="431" t="str">
        <x:v>Governance full regression and frozen baseline verification</x:v>
      </x:c>
      <x:c r="D172" s="431" t="str">
        <x:v>Protected-safe full regression passed 335 with one expected Windows skip at 88.33% coverage. Repository validation passed 5/5, Ruff passed, frozen v0.2.0 baseline replay passed 9/9 using an explicit generated evidence directory, and the portfolio demo passed 2/2.</x:v>
      </x:c>
      <x:c r="E172" s="431" t="str">
        <x:v>Full regression / Coverage / Validation / Frozen baseline / Demo</x:v>
      </x:c>
      <x:c r="F172" s="431" t="str">
        <x:v>runs/g01-ai-governance-final-20260722; full 335/1; coverage 88.33%; validation 5/5; Ruff; baseline 9/9; demo 2/2</x:v>
      </x:c>
      <x:c r="G172" s="431" t="str">
        <x:v>G0.1 regression evidence</x:v>
      </x:c>
      <x:c r="H172" s="431" t="str">
        <x:v>Accepted Evidence</x:v>
      </x:c>
      <x:c r="I172" s="431" t="str">
        <x:v>Protected held-out fixture tests remained excluded and no release-eligible family was accessed.</x:v>
      </x:c>
    </x:row>
    <x:row r="173" ht="720" customHeight="1">
      <x:c r="A173" s="431" t="str">
        <x:v>EV-170</x:v>
      </x:c>
      <x:c r="B173" s="431" t="n">
        <x:v>46225</x:v>
      </x:c>
      <x:c r="C173" s="431" t="str">
        <x:v>Initial AIMS internal audit and management review</x:v>
      </x:c>
      <x:c r="D173" s="431" t="str">
        <x:v>AIMS-AUD-001 found the internal system suitable for the current repository workflow while retaining NC-001 and external assurance gaps. AIMS-MR-001 adopted the policy, machine gate, human authority, rights boundary, and review cycle, and kept D-114 separate and pending.</x:v>
      </x:c>
      <x:c r="E173" s="431" t="str">
        <x:v>Internal audit / Management review / Continual improvement</x:v>
      </x:c>
      <x:c r="F173" s="431" t="str">
        <x:v>docs/governance/internal_audit_2026-07-22.md; docs/governance/management_review_2026-07-22.md; IMP-029-IMP-030; R-018</x:v>
      </x:c>
      <x:c r="G173" s="431" t="str">
        <x:v>AIMS performance evaluation</x:v>
      </x:c>
      <x:c r="H173" s="431" t="str">
        <x:v>Accepted with Holds</x:v>
      </x:c>
      <x:c r="I173" s="431" t="str">
        <x:v>This is an internal review with disclosed independence limitations, not external assurance or certification.</x:v>
      </x:c>
    </x:row>
    <x:row r="174" ht="160" customHeight="1">
      <x:c r="A174" s="431" t="str">
        <x:v>EV-171</x:v>
      </x:c>
      <x:c r="B174" s="431" t="n">
        <x:v>46225</x:v>
      </x:c>
      <x:c r="C174" s="431" t="str">
        <x:v>D-115 governance integration</x:v>
      </x:c>
      <x:c r="D174" s="431" t="str">
        <x:v>PR #67 passed both hosted CI checks and merged the complete AI management and quality-control system to main at exact 540a1f6. Local main was fast-forwarded cleanly before D-114 work began.</x:v>
      </x:c>
      <x:c r="E174" s="431" t="str">
        <x:v>Merge / Exact-main verification / Governance integration</x:v>
      </x:c>
      <x:c r="F174" s="431" t="str">
        <x:v>PR #67; main 540a1f6; codex/iso-42001-ai-quality-system</x:v>
      </x:c>
      <x:c r="G174" s="431" t="str">
        <x:v>G0.1 integration evidence</x:v>
      </x:c>
      <x:c r="H174" s="431" t="str">
        <x:v>Accepted Evidence</x:v>
      </x:c>
      <x:c r="I174" s="431" t="str">
        <x:v>D-115 remains the continuous governance overlay; this merge did not itself accept D-114.</x:v>
      </x:c>
    </x:row>
    <x:row r="175" ht="160" customHeight="1">
      <x:c r="A175" s="431" t="str">
        <x:v>EV-172</x:v>
      </x:c>
      <x:c r="B175" s="431" t="n">
        <x:v>46225</x:v>
      </x:c>
      <x:c r="C175" s="431" t="str">
        <x:v>D-114 owner acceptance and scope authority</x:v>
      </x:c>
      <x:c r="D175" s="431" t="str">
        <x:v>The owner accepted D-114 after merging PR #67. Authority is limited to development/public-synthetic reproduction, root-cause identification, exact diagnostics, the smallest publication correction, a non-held-out sentinel, regression evidence, and a separate recovery definition.</x:v>
      </x:c>
      <x:c r="E175" s="431" t="str">
        <x:v>Owner instruction / Corrective-action authority / Scope boundary</x:v>
      </x:c>
      <x:c r="F175" s="431" t="str">
        <x:v>Owner instruction 2026-07-22; D-114; codex/p4.2-publication-stabilization</x:v>
      </x:c>
      <x:c r="G175" s="431" t="str">
        <x:v>P4.2 corrective-action authority</x:v>
      </x:c>
      <x:c r="H175" s="431" t="str">
        <x:v>Accepted</x:v>
      </x:c>
      <x:c r="I175" s="431" t="str">
        <x:v>No held-out rerun/reuse, new family, protected change, semantic change, P4.3, public rerun, import, or release claim was authorized.</x:v>
      </x:c>
    </x:row>
    <x:row r="176" ht="160" customHeight="1">
      <x:c r="A176" s="431" t="str">
        <x:v>EV-173</x:v>
      </x:c>
      <x:c r="B176" s="431" t="n">
        <x:v>46225</x:v>
      </x:c>
      <x:c r="C176" s="431" t="str">
        <x:v>Development-only publication reproduction and exact root cause</x:v>
      </x:c>
      <x:c r="D176" s="431" t="str">
        <x:v>A bounded read-only external-bundle layout using only the development pump-skid reproduced exit 70 and zero outputs. A direct legacy first-output probe at 263 characters returned FileNotFoundError/errno 2. The former run-ID-bearing staging name, not evaluator semantics, crossed the Windows legacy path boundary.</x:v>
      </x:c>
      <x:c r="E176" s="431" t="str">
        <x:v>Controlled reproduction / Root-cause evidence / Negative proof</x:v>
      </x:c>
      <x:c r="F176" s="431" t="str">
        <x:v>runs/p4.2-d114-reproduction; docs/package_assurance/p4_2_publication_stabilization_review_v0.3.0.md; IMP-031</x:v>
      </x:c>
      <x:c r="G176" s="431" t="str">
        <x:v>D-114 reproduction evidence</x:v>
      </x:c>
      <x:c r="H176" s="431" t="str">
        <x:v>Accepted Evidence</x:v>
      </x:c>
      <x:c r="I176" s="431" t="str">
        <x:v>No protected fixture test or release-eligible family directory was opened, listed, imported, changed, or executed.</x:v>
      </x:c>
    </x:row>
    <x:row r="177" ht="160" customHeight="1">
      <x:c r="A177" s="431" t="str">
        <x:v>EV-174</x:v>
      </x:c>
      <x:c r="B177" s="431" t="n">
        <x:v>46225</x:v>
      </x:c>
      <x:c r="C177" s="431" t="str">
        <x:v>Minimal publication correction and exact failure diagnostics</x:v>
      </x:c>
      <x:c r="D177" s="431" t="str">
        <x:v>Internal staging now uses .tmp-&lt;8 hex&gt;; failed evidence uses .failed-&lt;8 hex&gt;; the immutable final run ID and output contract are unchanged. Failure evidence records stage, run ID, error type, errno, and winerror when available, with a short parent fallback marker.</x:v>
      </x:c>
      <x:c r="E177" s="431" t="str">
        <x:v>Corrective implementation / Failure evidence / Regression prevention</x:v>
      </x:c>
      <x:c r="F177" s="431" t="str">
        <x:v>src/mech_eval_harness/package_assurance/publication.py; tests/test_package_audit_publication.py; tests/test_cli_audit_package.py; IMP-028; IMP-031</x:v>
      </x:c>
      <x:c r="G177" s="431" t="str">
        <x:v>D-114 corrective-action evidence</x:v>
      </x:c>
      <x:c r="H177" s="431" t="str">
        <x:v>Accepted Evidence</x:v>
      </x:c>
      <x:c r="I177" s="431" t="str">
        <x:v>Existing final-rename retry and collision/overwrite behavior are unchanged; no semantic gate, check, state, schema, or fixture changed.</x:v>
      </x:c>
    </x:row>
    <x:row r="178" ht="160" customHeight="1">
      <x:c r="A178" s="431" t="str">
        <x:v>EV-175</x:v>
      </x:c>
      <x:c r="B178" s="431" t="n">
        <x:v>46225</x:v>
      </x:c>
      <x:c r="C178" s="431" t="str">
        <x:v>Production-equivalent four-output publication sentinel</x:v>
      </x:c>
      <x:c r="D178" s="431" t="str">
        <x:v>The sentinel staged 46 read-only evaluator/schema/package files, excluded expected assets and inherited PATH/credentials/proxies, preserved exact pre/post hash 5f5d5008...363c, used a 193-character runs root where the legacy staged path would be 264 characters, and published four schema-valid automatic-pass outputs.</x:v>
      </x:c>
      <x:c r="E178" s="431" t="str">
        <x:v>End-to-end sentinel / Bounded environment / Hash and schema proof</x:v>
      </x:c>
      <x:c r="F178" s="431" t="str">
        <x:v>scripts/run_package_assurance_publication_sentinel.py; .github/workflows/ci.yml; runs/p4.2-d114-final-20260722/publication-sentinel/SENTINEL-20260723T043500Z-4af53646/sentinel_summary.json; summary SHA-256 0c8f9511...37cf</x:v>
      </x:c>
      <x:c r="G178" s="431" t="str">
        <x:v>D-114 preventive-control evidence</x:v>
      </x:c>
      <x:c r="H178" s="431" t="str">
        <x:v>Accepted Evidence</x:v>
      </x:c>
      <x:c r="I178" s="431" t="str">
        <x:v>The sentinel is non-held-out and must pass before any future one-shot runner can be frozen.</x:v>
      </x:c>
    </x:row>
    <x:row r="179" ht="160" customHeight="1">
      <x:c r="A179" s="431" t="str">
        <x:v>EV-176</x:v>
      </x:c>
      <x:c r="B179" s="431" t="n">
        <x:v>46225</x:v>
      </x:c>
      <x:c r="C179" s="431" t="str">
        <x:v>D-114 regression, benchmark, baseline, demo, and governance proof</x:v>
      </x:c>
      <x:c r="D179" s="431" t="str">
        <x:v>Focused publication/CLI/governance/sentinel-helper tests passed 53/53. Protected-safe local full regression passed 340 with one expected skip at 88.48%; validation 5/5 and Ruff passed. P4.1-DEV-1 passed 22/22, frozen baseline 9/9, and demo 2/2. Governance normal mode passes while strict mode exits 2 on AIR-003 and pending D-116.</x:v>
      </x:c>
      <x:c r="E179" s="431" t="str">
        <x:v>Focused and full regression / Development benchmark / Frozen baseline / Governance</x:v>
      </x:c>
      <x:c r="F179" s="431" t="str">
        <x:v>runs/p4.2-d114-final-20260722; docs/package_assurance/p4_2_publication_stabilization_evidence_v0.3.0.json</x:v>
      </x:c>
      <x:c r="G179" s="431" t="str">
        <x:v>D-114 verification evidence</x:v>
      </x:c>
      <x:c r="H179" s="431" t="str">
        <x:v>Accepted Evidence</x:v>
      </x:c>
      <x:c r="I179" s="431" t="str">
        <x:v>The protected fixture module remained excluded. No held-out performance claim is made.</x:v>
      </x:c>
    </x:row>
    <x:row r="180" ht="160" customHeight="1">
      <x:c r="A180" s="431" t="str">
        <x:v>EV-177</x:v>
      </x:c>
      <x:c r="B180" s="431" t="n">
        <x:v>46225</x:v>
      </x:c>
      <x:c r="C180" s="431" t="str">
        <x:v>D-114 closeout and proposed external recovery gate</x:v>
      </x:c>
      <x:c r="D180" s="431" t="str">
        <x:v>The closeout records D-114 acceptance, root cause, correction, sentinel, claims boundary, AIR-010 control, and NC-001 closure. Proposed D-116 defines one independent zero-run external family preparation with an in-bundle sentinel and a separate D-117 freeze decision before semantic execution.</x:v>
      </x:c>
      <x:c r="E180" s="431" t="str">
        <x:v>Corrective-action review / Recovery definition / Governance update</x:v>
      </x:c>
      <x:c r="F180" s="431" t="str">
        <x:v>docs/package_assurance/p4_2_publication_stabilization_review_v0.3.0.md; docs/package_assurance/p4_2_publication_stabilization_evidence_v0.3.0.json; docs/package_assurance/p4_2_external_benchmark_recovery_definition_v0.3.0.md; governance/ai_management_system.json; D-114; proposed D-116; IMP-032</x:v>
      </x:c>
      <x:c r="G180" s="431" t="str">
        <x:v>P4.2 recovery handoff</x:v>
      </x:c>
      <x:c r="H180" s="431" t="str">
        <x:v>Owner Review Required</x:v>
      </x:c>
      <x:c r="I180" s="431" t="str">
        <x:v>Release remains held by AIR-003 and pending D-116. The D-113 family remains consumed and prohibited from rerun or reuse.</x:v>
      </x:c>
    </x:row>
    <x:row r="181" ht="160" customHeight="1">
      <x:c r="A181" s="431" t="str">
        <x:v>EV-178</x:v>
      </x:c>
      <x:c r="B181" s="431" t="n">
        <x:v>46225</x:v>
      </x:c>
      <x:c r="C181" s="431" t="str">
        <x:v>PR #68 hosted publication-sentinel and regression proof</x:v>
      </x:c>
      <x:c r="D181" s="431" t="str">
        <x:v>After the initial hosted sentinel correctly exposed a checkout-root portability assumption, implementation 1c5216e made 193 characters a minimum stress length and added three helper controls. Both push and PR workflows then passed. Hosted Linux used a 223-character runs root, published four automatic-pass outputs, and passed 341 tests at 88.50% coverage. The final scope audit also recorded IMP-032 for one broad search over tracked release-ineligible historical fixture folders.</x:v>
      </x:c>
      <x:c r="E181" s="431" t="str">
        <x:v>Hosted CI / Cross-platform sentinel / Corrective follow-up / Scope audit</x:v>
      </x:c>
      <x:c r="F181" s="431" t="str">
        <x:v>PR #68; implementation 1c5216e; GitHub Actions runs 29980958009 and 29980959507; tests/test_publication_sentinel.py; IMP-032</x:v>
      </x:c>
      <x:c r="G181" s="431" t="str">
        <x:v>D-114 hosted verification</x:v>
      </x:c>
      <x:c r="H181" s="431" t="str">
        <x:v>Accepted Evidence</x:v>
      </x:c>
      <x:c r="I181" s="431" t="str">
        <x:v>The external D-113 family and raw evidence remained outside Git and were not accessed. No future D-116 family exists, no semantic run occurred, and AIR-003 plus pending D-116 continue to hold release.</x:v>
      </x:c>
    </x:row>
    <x:row r="182" ht="175" customHeight="1">
      <x:c r="A182" s="431" t="str">
        <x:v>EV-179</x:v>
      </x:c>
      <x:c r="B182" s="431" t="n">
        <x:v>46226</x:v>
      </x:c>
      <x:c r="C182" s="431" t="str">
        <x:v>PR #68 integration and D-116 owner acceptance</x:v>
      </x:c>
      <x:c r="D182" s="431" t="str">
        <x:v>PR #68 passed both hosted checks and merged D-114 to exact main 3a6766f. The owner then accepted D-116 for one materially distinct external family and oracle-blind runner preparation with zero semantic execution and a separate D-117 gate.</x:v>
      </x:c>
      <x:c r="E182" s="431" t="str">
        <x:v>Merge / Owner decision / Scope authority</x:v>
      </x:c>
      <x:c r="F182" s="431" t="str">
        <x:v>PR #68; main 3a6766f; owner instruction 2026-07-23; D-116</x:v>
      </x:c>
      <x:c r="G182" s="431" t="str">
        <x:v>P4.2 recovery authority</x:v>
      </x:c>
      <x:c r="H182" s="431" t="str">
        <x:v>Accepted Evidence</x:v>
      </x:c>
      <x:c r="I182" s="431" t="str">
        <x:v>D-116 authorized preparation and independent zero-run freeze only. AIR-003, semantic execution, protected comparison, P4.3, and release claims remained held.</x:v>
      </x:c>
    </x:row>
    <x:row r="183" ht="175" customHeight="1">
      <x:c r="A183" s="431" t="str">
        <x:v>EV-180</x:v>
      </x:c>
      <x:c r="B183" s="431" t="n">
        <x:v>46226</x:v>
      </x:c>
      <x:c r="C183" s="431" t="str">
        <x:v>External family authorship and custody separation</x:v>
      </x:c>
      <x:c r="D183" s="431" t="str">
        <x:v>FAM-D116-CIM-20260723-01 is a self-authored synthetic carton-indexing conveyor family with eight opaque scenarios, 129 producer files, three protected files, 140 inventory entries, exact rights/provenance, schema-valid manifests, complete authority/oracle contract, and zero producer-visible oracle leakage.</x:v>
      </x:c>
      <x:c r="E183" s="431" t="str">
        <x:v>External custody / Rights / Structure / Leakage</x:v>
      </x:c>
      <x:c r="F183" s="431" t="str">
        <x:v>docs/package_assurance/p4_2_external_benchmark_recovery_freeze_evidence_v0.3.0.json; family public handoff; producer hash ccaf7ed4...2173; protected hash 27911e90...002</x:v>
      </x:c>
      <x:c r="G183" s="431" t="str">
        <x:v>D-116 family freeze evidence</x:v>
      </x:c>
      <x:c r="H183" s="431" t="str">
        <x:v>Accepted Evidence</x:v>
      </x:c>
      <x:c r="I183" s="431" t="str">
        <x:v>Family and oracle remain outside Git. The implementation context read public handoffs only. Protected values were not published.</x:v>
      </x:c>
    </x:row>
    <x:row r="184" ht="175" customHeight="1">
      <x:c r="A184" s="431" t="str">
        <x:v>EV-181</x:v>
      </x:c>
      <x:c r="B184" s="431" t="n">
        <x:v>46226</x:v>
      </x:c>
      <x:c r="C184" s="431" t="str">
        <x:v>Preserved runner failures and preventive controls</x:v>
      </x:c>
      <x:c r="D184" s="431" t="str">
        <x:v>Runner revisions 1-3 were rejected before opaque execution for nested dependency visibility, import-time bytecode mutation, and whole-tree Windows path length. Every failed capsule and report remains byte-exact; IMP-033-IMP-035 convert each failure into a mandatory control.</x:v>
      </x:c>
      <x:c r="E184" s="431" t="str">
        <x:v>Failed-run preservation / Root cause / Prevention</x:v>
      </x:c>
      <x:c r="F184" s="431" t="str">
        <x:v>docs/package_assurance/p4_2_external_benchmark_recovery_freeze_review_v0.3.0.md; IMP-033-IMP-035; runner R1-R3 preservation hashes</x:v>
      </x:c>
      <x:c r="G184" s="431" t="str">
        <x:v>D-116 improvement-loop evidence</x:v>
      </x:c>
      <x:c r="H184" s="431" t="str">
        <x:v>Accepted Evidence</x:v>
      </x:c>
      <x:c r="I184" s="431" t="str">
        <x:v>No failed revision was retried or repaired in place. No opaque audit or protected comparison occurred.</x:v>
      </x:c>
    </x:row>
    <x:row r="185" ht="175" customHeight="1">
      <x:c r="A185" s="431" t="str">
        <x:v>EV-182</x:v>
      </x:c>
      <x:c r="B185" s="431" t="n">
        <x:v>46226</x:v>
      </x:c>
      <x:c r="C185" s="431" t="str">
        <x:v>Oracle-blind runner revision 4 static freeze</x:v>
      </x:c>
      <x:c r="D185" s="431" t="str">
        <x:v>RUNNER-D116-CIM-20260723-04 freezes exact evaluator 3a6766f, 48/48 Git blobs, 340 read-only static files, 339 inventory entries, a pip-free capsule interpreter, five dependency distributions, zero cache artifacts, bounded environment, one-shot consumption, and no retry/resume/overwrite/tuning/protected-comparison path.</x:v>
      </x:c>
      <x:c r="E185" s="431" t="str">
        <x:v>Runner freeze / Static identity / Environment / One-shot control</x:v>
      </x:c>
      <x:c r="F185" s="431" t="str">
        <x:v>runner aggregate 9d7ce69e...c1eb; inventory d0aba026...e741; manifest a0949d94...0590; docs/package_assurance/p4_2_external_benchmark_recovery_freeze_evidence_v0.3.0.json</x:v>
      </x:c>
      <x:c r="G185" s="431" t="str">
        <x:v>D-116 runner freeze evidence</x:v>
      </x:c>
      <x:c r="H185" s="431" t="str">
        <x:v>Accepted Evidence</x:v>
      </x:c>
      <x:c r="I185" s="431" t="str">
        <x:v>The authorization directory is empty and semantic runtime is empty. Exact D-117 binding is required before use.</x:v>
      </x:c>
    </x:row>
    <x:row r="186" ht="175" customHeight="1">
      <x:c r="A186" s="431" t="str">
        <x:v>EV-183</x:v>
      </x:c>
      <x:c r="B186" s="431" t="n">
        <x:v>46226</x:v>
      </x:c>
      <x:c r="C186" s="431" t="str">
        <x:v>Independent D-116 freeze and publication-sentinel proof</x:v>
      </x:c>
      <x:c r="D186" s="431" t="str">
        <x:v>Internal separate-context verification passed 8/8 mandatory and 51/51 detailed controls. One development-only sentinel returned outer/child exit 0, published four schema-valid automatic-pass outputs, preserved exact static identities, forwarded no PATH or credentials, and exercised runs path 193, staged path 256, and former-defect path 264.</x:v>
      </x:c>
      <x:c r="E186" s="431" t="str">
        <x:v>Independent static review / Development sentinel / Zero-run proof</x:v>
      </x:c>
      <x:c r="F186" s="431" t="str">
        <x:v>VER-D116-R4-20260723-01; public verification SHA-256 c21e2ea6...90c4; docs/package_assurance/p4_2_external_benchmark_recovery_freeze_review_v0.3.0.md</x:v>
      </x:c>
      <x:c r="G186" s="431" t="str">
        <x:v>D-116 acceptance evidence</x:v>
      </x:c>
      <x:c r="H186" s="431" t="str">
        <x:v>Accepted Evidence</x:v>
      </x:c>
      <x:c r="I186" s="431" t="str">
        <x:v>Opaque semantic executions, held-out publications, and protected comparisons remain zero. This is internal AI-assisted review, not external independent assurance or performance evidence.</x:v>
      </x:c>
    </x:row>
    <x:row r="187" ht="175" customHeight="1">
      <x:c r="A187" s="431" t="str">
        <x:v>EV-184</x:v>
      </x:c>
      <x:c r="B187" s="431" t="n">
        <x:v>46226</x:v>
      </x:c>
      <x:c r="C187" s="431" t="str">
        <x:v>D-116 repository verification and proposed D-117 gate</x:v>
      </x:c>
      <x:c r="D187" s="431" t="str">
        <x:v>Governance tests passed 22/22. Protected-safe full regression passed 340 with one expected Windows skip at 88.33%; validation 5/5, Ruff, repository sentinel, development benchmark 22/22, frozen baseline 9/9 with explicit generated evidence, and demo 2/2 passed. Governance normal mode passes and strict mode exits 2 on AIR-003 plus pending D-117. PR #69 push and pull-request workflows passed; hosted Linux sentinel published four outputs at runs path 223 and 341 tests passed at 88.50%.</x:v>
      </x:c>
      <x:c r="E187" s="431" t="str">
        <x:v>Regression / Governance / Baseline / Decision gate</x:v>
      </x:c>
      <x:c r="F187" s="431" t="str">
        <x:v>docs/package_assurance/p4_2_external_benchmark_recovery_freeze_evidence_v0.3.0.json; docs/package_assurance/p4_2_external_benchmark_execution_gate_v0.3.0.md; runs/d116-closeout-*; PR #69; GitHub Actions 30041470927 and 30041835325; proposed D-117</x:v>
      </x:c>
      <x:c r="G187" s="431" t="str">
        <x:v>D-116 closeout and D-117 handoff</x:v>
      </x:c>
      <x:c r="H187" s="431" t="str">
        <x:v>Owner Review Required</x:v>
      </x:c>
      <x:c r="I187" s="431" t="str">
        <x:v>D-117 would authorize one runner invocation with eight frozen attempts, immediate raw freeze, oracle-blind verification, and separate protected comparison. It does not authorize retries, tuning, P4.3, or release/performance claims.</x:v>
      </x:c>
    </x:row>
    <x:row r="188" ht="180" customHeight="1">
      <x:c r="A188" s="431" t="str">
        <x:v>EV-185</x:v>
      </x:c>
      <x:c r="B188" s="431" t="n">
        <x:v>46226</x:v>
      </x:c>
      <x:c r="C188" s="431" t="str">
        <x:v>PR #69 integration and D-117 owner authority</x:v>
      </x:c>
      <x:c r="D188" s="431" t="str">
        <x:v>PR #69 passed both hosted checks and merged the exact D-116 recovery freeze to main 04d919f. The owner then accepted D-117, authorizing exactly one runner invocation with eight frozen attempts, immediate raw freeze, oracle-blind verification, and one separate protected comparison.</x:v>
      </x:c>
      <x:c r="E188" s="431" t="str">
        <x:v>Merge / Owner decision / One-shot authority</x:v>
      </x:c>
      <x:c r="F188" s="431" t="str">
        <x:v>PR #69; main 04d919f98f412fd0951cc804ce1a95f2ce078920; owner instruction 2026-07-23; D-117</x:v>
      </x:c>
      <x:c r="G188" s="431" t="str">
        <x:v>P4.2 execution authority</x:v>
      </x:c>
      <x:c r="H188" s="431" t="str">
        <x:v>Accepted Evidence</x:v>
      </x:c>
      <x:c r="I188" s="431" t="str">
        <x:v>No retry, resume, overwrite, second invocation, tuning, evaluator or scenario change, in-runner protected comparison, P4.3, or release claim was authorized.</x:v>
      </x:c>
    </x:row>
    <x:row r="189" ht="180" customHeight="1">
      <x:c r="A189" s="431" t="str">
        <x:v>EV-186</x:v>
      </x:c>
      <x:c r="B189" s="431" t="n">
        <x:v>46226</x:v>
      </x:c>
      <x:c r="C189" s="431" t="str">
        <x:v>D-117 one-shot execution and immutable raw freeze</x:v>
      </x:c>
      <x:c r="D189" s="431" t="str">
        <x:v>Execution EXEC-D117-R4-20260724-01 invoked RUNNER-D116-CIM-20260723-04 once against eight opaque scenarios. All eight attempts completed exactly once, each child returned exit 1, and all eight published four schema-valid outputs. The runner returned 0; static inputs remained exact; no retry, repair, overwrite, tuning, or second invocation occurred.</x:v>
      </x:c>
      <x:c r="E189" s="431" t="str">
        <x:v>One-shot execution / Complete publication / Raw custody</x:v>
      </x:c>
      <x:c r="F189" s="431" t="str">
        <x:v>authorization f7547399...2e7; raw handoff 8d9049b0...c07; 73-file aggregate f9bc8135...cb5c; docs/package_assurance/p4_2_external_benchmark_d117_result_evidence_v0.3.0.json</x:v>
      </x:c>
      <x:c r="G189" s="431" t="str">
        <x:v>D-117 execution evidence</x:v>
      </x:c>
      <x:c r="H189" s="431" t="str">
        <x:v>Accepted Evidence</x:v>
      </x:c>
      <x:c r="I189" s="431" t="str">
        <x:v>The family and authorization are permanently consumed. Raw evidence is read-only and remains outside Git under separated custody.</x:v>
      </x:c>
    </x:row>
    <x:row r="190" ht="180" customHeight="1">
      <x:c r="A190" s="431" t="str">
        <x:v>EV-187</x:v>
      </x:c>
      <x:c r="B190" s="431" t="n">
        <x:v>46226</x:v>
      </x:c>
      <x:c r="C190" s="431" t="str">
        <x:v>Oracle-blind D-117 raw verification</x:v>
      </x:c>
      <x:c r="D190" s="431" t="str">
        <x:v>VER-D117-RAW-20260724-03 passed 14/14 controls: 8/8 attempts, 8/8 complete publications, 8/8 schema-valid package results, exact 73-file aggregate, exact static pre/post identity, zero protected paths, and zero oracle values. Verifier revisions 1 and 2 remain preserved as failed-assumption evidence.</x:v>
      </x:c>
      <x:c r="E190" s="431" t="str">
        <x:v>Independent raw verification / Failed-verifier preservation</x:v>
      </x:c>
      <x:c r="F190" s="431" t="str">
        <x:v>verification JSON def6db6a...250; verifier 6af3d70c...c73; raw aggregate f9bc8135...cb5c; IMP-036</x:v>
      </x:c>
      <x:c r="G190" s="431" t="str">
        <x:v>D-117 raw acceptance evidence</x:v>
      </x:c>
      <x:c r="H190" s="431" t="str">
        <x:v>Accepted Evidence</x:v>
      </x:c>
      <x:c r="I190" s="431" t="str">
        <x:v>Failed verifier revisions did not mutate raw evidence or invoke the semantic runner. The accepted verifier used the exact handoff scope and encodings.</x:v>
      </x:c>
    </x:row>
    <x:row r="191" ht="180" customHeight="1">
      <x:c r="A191" s="431" t="str">
        <x:v>EV-188</x:v>
      </x:c>
      <x:c r="B191" s="431" t="n">
        <x:v>46226</x:v>
      </x:c>
      <x:c r="C191" s="431" t="str">
        <x:v>Separated protected comparison and non-diagnostic state metric</x:v>
      </x:c>
      <x:c r="D191" s="431" t="str">
        <x:v>CMP-D117-R4-20260724-01 compared the exact raw set in a separate custodian context. File/state comparison covered 8/8 scenarios: 7/8 states matched, but exact findings were 0/8, expected finding true positives 0/7, false negatives 7/7, unexpected findings 8, clean false positives 1/1, intended target checks 0/7, and exact combined matches 0/8.</x:v>
      </x:c>
      <x:c r="E191" s="431" t="str">
        <x:v>Protected comparison / Accuracy boundary / Anti-misleading metric</x:v>
      </x:c>
      <x:c r="F191" s="431" t="str">
        <x:v>comparison handoff 742132ce...c19; docs/package_assurance/p4_2_external_benchmark_d117_result_review_v0.3.0.md; IMP-038</x:v>
      </x:c>
      <x:c r="G191" s="431" t="str">
        <x:v>D-117 comparison evidence</x:v>
      </x:c>
      <x:c r="H191" s="431" t="str">
        <x:v>Accepted with Limitation</x:v>
      </x:c>
      <x:c r="I191" s="431" t="str">
        <x:v>The 87.5% broad state agreement is explicitly non-diagnostic because a shared unintended authority failure produced the same broad failure state while blocking every intended target.</x:v>
      </x:c>
    </x:row>
    <x:row r="192" ht="180" customHeight="1">
      <x:c r="A192" s="431" t="str">
        <x:v>EV-189</x:v>
      </x:c>
      <x:c r="B192" s="431" t="n">
        <x:v>46226</x:v>
      </x:c>
      <x:c r="C192" s="431" t="str">
        <x:v>Benchmark-authoring root cause, NC-002, and corrective controls</x:v>
      </x:c>
      <x:c r="D192" s="431" t="str">
        <x:v>All eight authority maps used the family ID where the accepted public contract required each scenario package ID. GATE-PKG-AUTHORITY-001 correctly failed closed in every package and skipped all eleven relationship checks. AIMS-AUD-002 opened NC-002; AIR-011 was reopened; IMP-037 requires public-contract validation and protected target reachability.</x:v>
      </x:c>
      <x:c r="E192" s="431" t="str">
        <x:v>Root cause / Internal audit / Nonconformity / Risk treatment</x:v>
      </x:c>
      <x:c r="F192" s="431" t="str">
        <x:v>docs/governance/internal_audit_d117_benchmark_authoring_2026-07-23.md; NC-002; AIR-011; IMP-037; docs/package_assurance/p4_2_replacement_custodian_public_contract_v0.3.0.md</x:v>
      </x:c>
      <x:c r="G192" s="431" t="str">
        <x:v>D-117 governance evidence</x:v>
      </x:c>
      <x:c r="H192" s="431" t="str">
        <x:v>Accepted with Hold</x:v>
      </x:c>
      <x:c r="I192" s="431" t="str">
        <x:v>Evaluator behavior is not the defect. D-117 proves fail-closed authority enforcement and complete publication, not intended downstream relationship performance.</x:v>
      </x:c>
    </x:row>
    <x:row r="193" ht="180" customHeight="1">
      <x:c r="A193" s="431" t="str">
        <x:v>EV-190</x:v>
      </x:c>
      <x:c r="B193" s="431" t="n">
        <x:v>46226</x:v>
      </x:c>
      <x:c r="C193" s="431" t="str">
        <x:v>D-117 repository verification and proposed D-118 gate</x:v>
      </x:c>
      <x:c r="D193" s="431" t="str">
        <x:v>AI-governance tests passed 22/22. Protected-safe full regression passed 340 with one expected Windows skip at 88.33%; validation 5/5, Ruff, publication sentinel four outputs, development benchmark 22/22, frozen baseline 9/9 with generated evidence, and demo 2/2 passed. A long-temp-root failure is preserved; the unchanged suite passed under short runs/t117f and IMP-039 retains the rule.</x:v>
      </x:c>
      <x:c r="E193" s="431" t="str">
        <x:v>Regression / Governance / Improvement loop / Decision gate</x:v>
      </x:c>
      <x:c r="F193" s="431" t="str">
        <x:v>runs/t117f; runs/s117a; runs/b117a; runs/v117a; runs/v117e; runs/p117a; docs/package_assurance/p4_2_benchmark_authoring_corrective_action_gate_v0.3.0.md; proposed D-118; IMP-039</x:v>
      </x:c>
      <x:c r="G193" s="431" t="str">
        <x:v>D-117 closeout and D-118 handoff</x:v>
      </x:c>
      <x:c r="H193" s="431" t="str">
        <x:v>Owner Review Required</x:v>
      </x:c>
      <x:c r="I193" s="431" t="str">
        <x:v>D-118 authorizes only public-contract validation and separated custodian reachability controls. New family creation, semantic execution, tuning, P4.3, and release claims remain held.</x:v>
      </x:c>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669</x:v>
      </x:c>
      <x:c r="C4" s="80" t="s">
        <x:v>670</x:v>
      </x:c>
      <x:c r="D4" s="80" t="s">
        <x:v>671</x:v>
      </x:c>
      <x:c r="E4" s="80" t="s">
        <x:v>672</x:v>
      </x:c>
      <x:c r="F4" s="80" t="s">
        <x:v>673</x:v>
      </x:c>
      <x:c r="G4" s="80" t="s">
        <x:v>674</x:v>
      </x:c>
      <x:c r="H4" s="80" t="s">
        <x:v>675</x:v>
      </x:c>
      <x:c r="I4" s="80" t="s">
        <x:v>56</x:v>
      </x:c>
    </x:row>
    <x:row r="5" ht="28.5">
      <x:c r="A5" s="78" t="s">
        <x:v>676</x:v>
      </x:c>
      <x:c r="B5" s="78" t="s">
        <x:v>677</x:v>
      </x:c>
      <x:c r="C5" s="78" t="s">
        <x:v>678</x:v>
      </x:c>
      <x:c r="D5" s="78" t="s">
        <x:v>679</x:v>
      </x:c>
      <x:c r="E5" s="78" t="s">
        <x:v>680</x:v>
      </x:c>
      <x:c r="F5" s="78" t="s">
        <x:v>681</x:v>
      </x:c>
      <x:c r="G5" s="78" t="s">
        <x:v>682</x:v>
      </x:c>
      <x:c r="H5" s="78" t="s">
        <x:v>683</x:v>
      </x:c>
      <x:c r="I5" s="78" t="str">
        <x:v>Deferred — expand selectively through package benchmark</x:v>
      </x:c>
    </x:row>
    <x:row r="6" ht="57">
      <x:c r="A6" s="78" t="s">
        <x:v>684</x:v>
      </x:c>
      <x:c r="B6" s="78" t="s">
        <x:v>685</x:v>
      </x:c>
      <x:c r="C6" s="78" t="s">
        <x:v>686</x:v>
      </x:c>
      <x:c r="D6" s="78" t="s">
        <x:v>687</x:v>
      </x:c>
      <x:c r="E6" s="78" t="s">
        <x:v>688</x:v>
      </x:c>
      <x:c r="F6" s="78" t="s">
        <x:v>570</x:v>
      </x:c>
      <x:c r="G6" s="78" t="s">
        <x:v>689</x:v>
      </x:c>
      <x:c r="H6" s="78" t="s">
        <x:v>685</x:v>
      </x:c>
      <x:c r="I6" s="78" t="str">
        <x:v>Deferred — v0.4+; structured manifests first</x:v>
      </x:c>
    </x:row>
    <x:row r="7" ht="57">
      <x:c r="A7" s="78" t="s">
        <x:v>690</x:v>
      </x:c>
      <x:c r="B7" s="78" t="s">
        <x:v>691</x:v>
      </x:c>
      <x:c r="C7" s="78" t="s">
        <x:v>692</x:v>
      </x:c>
      <x:c r="D7" s="78" t="s">
        <x:v>693</x:v>
      </x:c>
      <x:c r="E7" s="78" t="s">
        <x:v>694</x:v>
      </x:c>
      <x:c r="F7" s="78" t="s">
        <x:v>570</x:v>
      </x:c>
      <x:c r="G7" s="78" t="s">
        <x:v>695</x:v>
      </x:c>
      <x:c r="H7" s="78" t="s">
        <x:v>696</x:v>
      </x:c>
      <x:c r="I7" s="78" t="str">
        <x:v>Deferred — after package evaluator and sandbox/trace plan</x:v>
      </x:c>
    </x:row>
    <x:row r="8" ht="57">
      <x:c r="A8" s="78" t="s">
        <x:v>697</x:v>
      </x:c>
      <x:c r="B8" s="78" t="s">
        <x:v>698</x:v>
      </x:c>
      <x:c r="C8" s="78" t="s">
        <x:v>699</x:v>
      </x:c>
      <x:c r="D8" s="78" t="s">
        <x:v>700</x:v>
      </x:c>
      <x:c r="E8" s="78" t="s">
        <x:v>701</x:v>
      </x:c>
      <x:c r="F8" s="78" t="s">
        <x:v>570</x:v>
      </x:c>
      <x:c r="G8" s="78" t="s">
        <x:v>682</x:v>
      </x:c>
      <x:c r="H8" s="78" t="s">
        <x:v>702</x:v>
      </x:c>
      <x:c r="I8" s="78" t="s">
        <x:v>703</x:v>
      </x:c>
    </x:row>
    <x:row r="9" ht="28.5">
      <x:c r="A9" s="78" t="s">
        <x:v>704</x:v>
      </x:c>
      <x:c r="B9" s="78" t="s">
        <x:v>705</x:v>
      </x:c>
      <x:c r="C9" s="78" t="s">
        <x:v>706</x:v>
      </x:c>
      <x:c r="D9" s="78" t="s">
        <x:v>707</x:v>
      </x:c>
      <x:c r="E9" s="78" t="s">
        <x:v>708</x:v>
      </x:c>
      <x:c r="F9" s="78" t="s">
        <x:v>582</x:v>
      </x:c>
      <x:c r="G9" s="78" t="s">
        <x:v>682</x:v>
      </x:c>
      <x:c r="H9" s="78" t="s">
        <x:v>709</x:v>
      </x:c>
      <x:c r="I9" s="78" t="s">
        <x:v>703</x:v>
      </x:c>
    </x:row>
    <x:row r="10" ht="28.5">
      <x:c r="A10" s="78" t="s">
        <x:v>710</x:v>
      </x:c>
      <x:c r="B10" s="78" t="s">
        <x:v>711</x:v>
      </x:c>
      <x:c r="C10" s="78" t="s">
        <x:v>712</x:v>
      </x:c>
      <x:c r="D10" s="78" t="s">
        <x:v>713</x:v>
      </x:c>
      <x:c r="E10" s="78" t="s">
        <x:v>714</x:v>
      </x:c>
      <x:c r="F10" s="78" t="s">
        <x:v>582</x:v>
      </x:c>
      <x:c r="G10" s="78" t="s">
        <x:v>715</x:v>
      </x:c>
      <x:c r="H10" s="78" t="s">
        <x:v>711</x:v>
      </x:c>
      <x:c r="I10" s="78" t="s">
        <x:v>703</x:v>
      </x:c>
    </x:row>
    <x:row r="11" ht="28.5">
      <x:c r="A11" s="78" t="s">
        <x:v>716</x:v>
      </x:c>
      <x:c r="B11" s="78" t="s">
        <x:v>717</x:v>
      </x:c>
      <x:c r="C11" s="78" t="s">
        <x:v>718</x:v>
      </x:c>
      <x:c r="D11" s="78" t="s">
        <x:v>719</x:v>
      </x:c>
      <x:c r="E11" s="78" t="s">
        <x:v>720</x:v>
      </x:c>
      <x:c r="F11" s="78" t="s">
        <x:v>582</x:v>
      </x:c>
      <x:c r="G11" s="78" t="s">
        <x:v>721</x:v>
      </x:c>
      <x:c r="H11" s="78" t="s">
        <x:v>722</x:v>
      </x:c>
      <x:c r="I11" s="78" t="s">
        <x:v>703</x:v>
      </x:c>
    </x:row>
    <x:row r="12" ht="28.5">
      <x:c r="A12" s="78" t="s">
        <x:v>723</x:v>
      </x:c>
      <x:c r="B12" s="78" t="s">
        <x:v>724</x:v>
      </x:c>
      <x:c r="C12" s="78" t="s">
        <x:v>725</x:v>
      </x:c>
      <x:c r="D12" s="78" t="s">
        <x:v>726</x:v>
      </x:c>
      <x:c r="E12" s="78" t="s">
        <x:v>727</x:v>
      </x:c>
      <x:c r="F12" s="78" t="s">
        <x:v>594</x:v>
      </x:c>
      <x:c r="G12" s="78" t="s">
        <x:v>695</x:v>
      </x:c>
      <x:c r="H12" s="78" t="s">
        <x:v>724</x:v>
      </x:c>
      <x:c r="I12" s="78" t="s">
        <x:v>703</x:v>
      </x:c>
    </x:row>
    <x:row r="13" ht="28.5">
      <x:c r="A13" s="78" t="s">
        <x:v>728</x:v>
      </x:c>
      <x:c r="B13" s="78" t="s">
        <x:v>722</x:v>
      </x:c>
      <x:c r="C13" s="78" t="s">
        <x:v>729</x:v>
      </x:c>
      <x:c r="D13" s="78" t="s">
        <x:v>730</x:v>
      </x:c>
      <x:c r="E13" s="78" t="s">
        <x:v>731</x:v>
      </x:c>
      <x:c r="F13" s="78" t="s">
        <x:v>582</x:v>
      </x:c>
      <x:c r="G13" s="78" t="s">
        <x:v>715</x:v>
      </x:c>
      <x:c r="H13" s="78" t="s">
        <x:v>722</x:v>
      </x:c>
      <x:c r="I13" s="78" t="s">
        <x:v>703</x:v>
      </x:c>
    </x:row>
    <x:row r="14" ht="28.5">
      <x:c r="A14" s="78" t="s">
        <x:v>732</x:v>
      </x:c>
      <x:c r="B14" s="78" t="s">
        <x:v>733</x:v>
      </x:c>
      <x:c r="C14" s="78" t="s">
        <x:v>734</x:v>
      </x:c>
      <x:c r="D14" s="78" t="s">
        <x:v>735</x:v>
      </x:c>
      <x:c r="E14" s="78" t="s">
        <x:v>736</x:v>
      </x:c>
      <x:c r="F14" s="78" t="s">
        <x:v>582</x:v>
      </x:c>
      <x:c r="G14" s="78" t="s">
        <x:v>737</x:v>
      </x:c>
      <x:c r="H14" s="78" t="s">
        <x:v>733</x:v>
      </x:c>
      <x:c r="I14" s="78" t="s">
        <x:v>703</x:v>
      </x:c>
    </x:row>
    <x:row r="15" ht="28.5">
      <x:c r="A15" s="78" t="s">
        <x:v>738</x:v>
      </x:c>
      <x:c r="B15" s="78" t="s">
        <x:v>739</x:v>
      </x:c>
      <x:c r="C15" s="78" t="s">
        <x:v>740</x:v>
      </x:c>
      <x:c r="D15" s="78" t="s">
        <x:v>741</x:v>
      </x:c>
      <x:c r="E15" s="78" t="s">
        <x:v>742</x:v>
      </x:c>
      <x:c r="F15" s="78" t="s">
        <x:v>594</x:v>
      </x:c>
      <x:c r="G15" s="78" t="s">
        <x:v>743</x:v>
      </x:c>
      <x:c r="H15" s="78" t="s">
        <x:v>744</x:v>
      </x:c>
      <x:c r="I15" s="78" t="s">
        <x:v>703</x:v>
      </x:c>
    </x:row>
    <x:row r="16" ht="28.5">
      <x:c r="A16" s="78" t="s">
        <x:v>745</x:v>
      </x:c>
      <x:c r="B16" s="78" t="s">
        <x:v>746</x:v>
      </x:c>
      <x:c r="C16" s="78" t="s">
        <x:v>747</x:v>
      </x:c>
      <x:c r="D16" s="78" t="s">
        <x:v>748</x:v>
      </x:c>
      <x:c r="E16" s="78" t="s">
        <x:v>749</x:v>
      </x:c>
      <x:c r="F16" s="78" t="s">
        <x:v>594</x:v>
      </x:c>
      <x:c r="G16" s="78" t="s">
        <x:v>750</x:v>
      </x:c>
      <x:c r="H16" s="78" t="s">
        <x:v>746</x:v>
      </x:c>
      <x:c r="I16" s="78" t="s">
        <x:v>703</x:v>
      </x:c>
    </x:row>
    <x:row r="17" ht="72" customHeight="1">
      <x:c r="A17" s="182" t="s">
        <x:v>751</x:v>
      </x:c>
      <x:c r="B17" s="183" t="s">
        <x:v>752</x:v>
      </x:c>
      <x:c r="C17" s="183" t="s">
        <x:v>753</x:v>
      </x:c>
      <x:c r="D17" s="183" t="s">
        <x:v>754</x:v>
      </x:c>
      <x:c r="E17" s="183" t="str">
        <x:v>MVP v0.2.0 released; P0 contract and authority map approved; structured package manifests and reviewed ground truth available.</x:v>
      </x:c>
      <x:c r="F17" s="183" t="str">
        <x:v>Now</x:v>
      </x:c>
      <x:c r="G17" s="183" t="str">
        <x:v>46</x:v>
      </x:c>
      <x:c r="H17" s="183" t="s">
        <x:v>755</x:v>
      </x:c>
      <x:c r="I17" s="184" t="str">
        <x:v>Selected — v0.3.0</x:v>
      </x:c>
    </x:row>
    <x:row r="18" ht="72" customHeight="1">
      <x:c r="A18" s="185" t="s">
        <x:v>756</x:v>
      </x:c>
      <x:c r="B18" s="83" t="s">
        <x:v>757</x:v>
      </x:c>
      <x:c r="C18" s="83" t="s">
        <x:v>758</x:v>
      </x:c>
      <x:c r="D18" s="83" t="s">
        <x:v>759</x:v>
      </x:c>
      <x:c r="E18" s="83" t="s">
        <x:v>760</x:v>
      </x:c>
      <x:c r="F18" s="83" t="s">
        <x:v>570</x:v>
      </x:c>
      <x:c r="G18" s="83" t="s">
        <x:v>761</x:v>
      </x:c>
      <x:c r="H18" s="83" t="s">
        <x:v>762</x:v>
      </x:c>
      <x:c r="I18" s="186" t="s">
        <x:v>703</x:v>
      </x:c>
    </x:row>
    <x:row r="19" ht="72" customHeight="1">
      <x:c r="A19" s="187" t="s">
        <x:v>763</x:v>
      </x:c>
      <x:c r="B19" s="188" t="s">
        <x:v>764</x:v>
      </x:c>
      <x:c r="C19" s="188" t="s">
        <x:v>765</x:v>
      </x:c>
      <x:c r="D19" s="188" t="s">
        <x:v>766</x:v>
      </x:c>
      <x:c r="E19" s="188" t="s">
        <x:v>767</x:v>
      </x:c>
      <x:c r="F19" s="188" t="s">
        <x:v>570</x:v>
      </x:c>
      <x:c r="G19" s="188" t="s">
        <x:v>750</x:v>
      </x:c>
      <x:c r="H19" s="188" t="s">
        <x:v>768</x:v>
      </x:c>
      <x:c r="I19" s="189" t="s">
        <x:v>703</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46225</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67.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P4.2 D-117 external benchmark result and corrective-action gate</x:v>
      </x:c>
    </x:row>
    <x:row r="7" ht="130.5"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D-117 completed one controlled eight-scenario run and comparison. A shared authority-map authoring defect blocked every intended downstream target, so performance remains unproven.</x:v>
      </x:c>
      <x:c r="E7" s="765" t="str">
        <x:v>Product interpretation</x:v>
      </x:c>
      <x:c r="F7" s="431" t="str">
        <x:v>Successful kernel; not yet a complete economically useful workflow.</x:v>
      </x:c>
      <x:c r="G7" s="765" t="str">
        <x:v>Response</x:v>
      </x:c>
      <x:c r="H7" s="431" t="str">
        <x:v>Review D-117 as consumed evidence and accept or revise D-118 before any benchmark-authoring corrective work.</x:v>
      </x:c>
    </x:row>
    <x:row r="8" ht="153" hidden="0" customHeight="1">
      <x:c r="A8" s="765" t="str">
        <x:v>Immediate next action</x:v>
      </x:c>
      <x:c r="B8" s="431" t="str">
        <x:v>Review the result package, NC-002, AIR-011, and proposed D-118. Preserve all D-116/D-117 evidence and the no-rerun boundary.</x:v>
      </x:c>
      <x:c r="C8" s="765" t="str">
        <x:v>Selected vertical</x:v>
      </x:c>
      <x:c r="D8" s="431" t="str">
        <x:v>D-117 consumed result -&gt; D-118 public-contract validator and protected target-reachability correction -&gt; later new-family gate -&gt; later one-shot execution.</x:v>
      </x:c>
      <x:c r="E8" s="765" t="str">
        <x:v>Primary deliverable</x:v>
      </x:c>
      <x:c r="F8" s="431" t="str">
        <x:v>Evidence-linked issue register plus release-readiness summary.</x:v>
      </x:c>
      <x:c r="G8" s="765" t="str">
        <x:v>Scope rule</x:v>
      </x:c>
      <x:c r="H8" s="431" t="str">
        <x:v>No repair, rerun, reuse, new family, semantic execution, tuning, P4.3, or release claim before its separate gate.</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855" hidden="0" customHeight="1">
      <x:c r="A41" s="604" t="str">
        <x:v>Immediate implication</x:v>
      </x:c>
      <x:c r="B41" s="605"/>
      <x:c r="C41" s="606" t="str">
        <x:v>D-116 is integrated through PR #69 at exact main 04d919f. D-117 was accepted and permanently consumed one exact runner invocation: 8/8 attempts, 8/8 complete four-output publications, runner exit 0, no retry or tuning, and exact pre/post static identity. Raw evidence contains 73 read-only files at aggregate f9bc8135...cb5c. Oracle-blind verification passed 14/14 with zero protected access; two failed verifier revisions remain preserved. Separate custodian comparison found 7/8 broad state matches but 0/8 exact finding matches and zero intended target reachability. All scenario authority maps used the family ID where the public contract required each package ID, so GATE-PKG-AUTHORITY-001 correctly failed closed in all eight packages. The family is invalid for intended downstream performance and may not be repaired or rerun as fresh evidence. AIMS-AUD-002 opened NC-002; AIR-011 is reopened. IMP-036-IMP-039 convert the verification, contract, metric, and Windows temp-root lessons into controls. Local governance 22/22, full 340/1 at 88.33%, validation 5/5, Ruff, sentinel, development benchmark 22/22, baseline 9/9, and demo 2/2 pass. AIR-003, AIR-011, NC-002, and proposed D-118 hold release.</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769</x:v>
      </x:c>
      <x:c r="B3" s="235"/>
      <x:c r="C3" s="235"/>
      <x:c r="D3" s="235"/>
      <x:c r="F3" s="237" t="s">
        <x:v>770</x:v>
      </x:c>
      <x:c r="G3" s="235"/>
      <x:c r="H3" s="235"/>
      <x:c r="I3" s="235"/>
      <x:c r="J3" s="235"/>
      <x:c r="K3" s="235"/>
      <x:c r="L3" s="235"/>
      <x:c r="M3" s="235"/>
      <x:c r="N3" s="235"/>
    </x:row>
    <x:row r="4" ht="26.399999618530273" hidden="0" customHeight="1">
      <x:c r="A4" s="79" t="s">
        <x:v>44</x:v>
      </x:c>
      <x:c r="B4" s="166">
        <x:v>46257</x:v>
      </x:c>
      <x:c r="F4" s="449" t="s">
        <x:v>771</x:v>
      </x:c>
      <x:c r="G4" s="610" t="str">
        <x:v>Post-MVP — Select next expansion</x:v>
      </x:c>
      <x:c r="H4" s="610"/>
      <x:c r="I4" s="246"/>
      <x:c r="J4" s="245"/>
      <x:c r="K4" s="245"/>
      <x:c r="L4" s="246"/>
      <x:c r="M4" s="245"/>
      <x:c r="N4" s="245"/>
    </x:row>
    <x:row r="5" ht="14.25" hidden="0" customHeight="1">
      <x:c r="A5" s="79" t="s">
        <x:v>2</x:v>
      </x:c>
      <x:c r="B5" s="167">
        <x:v>76</x:v>
      </x:c>
      <x:c r="F5" s="449" t="s">
        <x:v>772</x:v>
      </x:c>
      <x:c r="G5" s="610" t="str">
        <x:v>Define acceptance criteria for the selected expansion</x:v>
      </x:c>
      <x:c r="H5" s="610"/>
      <x:c r="I5" s="246"/>
      <x:c r="J5" s="245"/>
      <x:c r="K5" s="245"/>
      <x:c r="L5" s="246"/>
      <x:c r="M5" s="245"/>
      <x:c r="N5" s="245"/>
    </x:row>
    <x:row r="6" ht="92.4000015258789" hidden="0" customHeight="1">
      <x:c r="A6" s="79" t="s">
        <x:v>773</x:v>
      </x:c>
      <x:c r="B6" s="168" t="n">
        <x:f>'Phase Summary'!D10</x:f>
        <x:v>17.14</x:v>
      </x:c>
      <x:c r="F6" s="449" t="s">
        <x:v>774</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775</x:v>
      </x:c>
      <x:c r="B7" s="169" t="n">
        <x:f>'Phase Summary'!E10</x:f>
        <x:v>1</x:v>
      </x:c>
      <x:c r="F7" s="449" t="s">
        <x:v>776</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777</x:v>
      </x:c>
      <x:c r="B8" s="167" t="n">
        <x:v>121</x:v>
      </x:c>
      <x:c r="F8" s="449" t="s">
        <x:v>778</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703</x:v>
      </x:c>
      <x:c r="G9" s="610" t="str">
        <x:v>All expansion work until one backlog item is selected.</x:v>
      </x:c>
      <x:c r="H9" s="610"/>
      <x:c r="I9" s="246"/>
      <x:c r="J9" s="245"/>
      <x:c r="K9" s="245"/>
      <x:c r="L9" s="246"/>
      <x:c r="M9" s="245"/>
      <x:c r="N9" s="245"/>
    </x:row>
    <x:row r="10" ht="14.25" hidden="0" customHeight="1">
      <x:c r="A10" s="79" t="s">
        <x:v>779</x:v>
      </x:c>
      <x:c r="B10" s="167" t="n">
        <x:v>22</x:v>
      </x:c>
      <x:c r="F10" s="156" t="s">
        <x:v>780</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781</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0.42</x:v>
      </x:c>
      <x:c r="D20" s="170" t="n">
        <x:f>IF(B20=0,0,SUMPRODUCT(('Detailed Gantt'!$B$6:$B$27=A20)*'Detailed Gantt'!$F$6:$F$27*'Detailed Gantt'!$L$6:$L$27)/B20)</x:f>
        <x:v>1</x:v>
      </x:c>
      <x:c r="E20" s="78" t="str">
        <x:v>Gate 6 — MVP v0.2.0 release</x:v>
      </x:c>
    </x:row>
    <x:row r="23" ht="15.75">
      <x:c r="A23" s="237" t="s">
        <x:v>782</x:v>
      </x:c>
      <x:c r="B23" s="235"/>
      <x:c r="C23" s="235"/>
      <x:c r="D23" s="235"/>
      <x:c r="E23" s="235"/>
      <x:c r="F23" s="235"/>
      <x:c r="G23" s="235"/>
      <x:c r="H23" s="235"/>
      <x:c r="I23" s="235"/>
      <x:c r="J23" s="235"/>
      <x:c r="K23" s="235"/>
      <x:c r="L23" s="235"/>
      <x:c r="M23" s="235"/>
      <x:c r="N23" s="235"/>
    </x:row>
    <x:row r="24" ht="30" customHeight="1">
      <x:c r="A24" s="175" t="s">
        <x:v>673</x:v>
      </x:c>
      <x:c r="B24" s="175" t="s">
        <x:v>48</x:v>
      </x:c>
      <x:c r="C24" s="175" t="s">
        <x:v>783</x:v>
      </x:c>
      <x:c r="D24" s="175" t="s">
        <x:v>784</x:v>
      </x:c>
      <x:c r="E24" s="175" t="s">
        <x:v>178</x:v>
      </x:c>
      <x:c r="F24" s="175" t="s">
        <x:v>785</x:v>
      </x:c>
      <x:c r="G24" s="175" t="s">
        <x:v>181</x:v>
      </x:c>
      <x:c r="H24" s="175" t="s">
        <x:v>564</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6720436ca344498f"/>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786</x:v>
      </x:c>
      <x:c r="B4" s="238"/>
      <x:c r="C4" s="238"/>
      <x:c r="D4" s="238"/>
      <x:c r="E4" s="238"/>
      <x:c r="F4" s="238"/>
      <x:c r="G4" s="238"/>
      <x:c r="H4" s="238"/>
    </x:row>
    <x:row r="5" ht="33.95000076293945" customHeight="1">
      <x:c r="A5" s="239" t="s">
        <x:v>787</x:v>
      </x:c>
      <x:c r="B5" s="240"/>
      <x:c r="C5" s="241" t="s">
        <x:v>788</x:v>
      </x:c>
      <x:c r="D5" s="242"/>
      <x:c r="E5" s="242"/>
      <x:c r="F5" s="242"/>
      <x:c r="G5" s="242"/>
      <x:c r="H5" s="243"/>
    </x:row>
    <x:row r="6" ht="33.95000076293945" customHeight="1">
      <x:c r="A6" s="239" t="s">
        <x:v>789</x:v>
      </x:c>
      <x:c r="B6" s="240"/>
      <x:c r="C6" s="241" t="str">
        <x:v>Mechanical Technical Document Evaluation Harness v0.2.0 — released evaluation kernel</x:v>
      </x:c>
      <x:c r="D6" s="242"/>
      <x:c r="E6" s="242"/>
      <x:c r="F6" s="242"/>
      <x:c r="G6" s="242"/>
      <x:c r="H6" s="243"/>
    </x:row>
    <x:row r="7" ht="33.95000076293945" customHeight="1">
      <x:c r="A7" s="239" t="s">
        <x:v>790</x:v>
      </x:c>
      <x:c r="B7" s="240"/>
      <x:c r="C7" s="241" t="s">
        <x:v>791</x:v>
      </x:c>
      <x:c r="D7" s="242"/>
      <x:c r="E7" s="242"/>
      <x:c r="F7" s="242"/>
      <x:c r="G7" s="242"/>
      <x:c r="H7" s="243"/>
    </x:row>
    <x:row r="8" ht="33.95000076293945" customHeight="1">
      <x:c r="A8" s="239" t="s">
        <x:v>792</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793</x:v>
      </x:c>
      <x:c r="B9" s="240"/>
      <x:c r="C9" s="241" t="s">
        <x:v>794</x:v>
      </x:c>
      <x:c r="D9" s="242"/>
      <x:c r="E9" s="242"/>
      <x:c r="F9" s="242"/>
      <x:c r="G9" s="242"/>
      <x:c r="H9" s="243"/>
    </x:row>
    <x:row r="11" ht="15">
      <x:c r="A11" s="238" t="s">
        <x:v>795</x:v>
      </x:c>
      <x:c r="B11" s="238"/>
      <x:c r="C11" s="238"/>
      <x:c r="D11" s="238"/>
      <x:c r="E11" s="238"/>
      <x:c r="F11" s="238"/>
      <x:c r="G11" s="238"/>
      <x:c r="H11" s="238"/>
    </x:row>
    <x:row r="12" ht="33.95000076293945" customHeight="1">
      <x:c r="A12" s="179" t="s">
        <x:v>796</x:v>
      </x:c>
      <x:c r="B12" s="180" t="s">
        <x:v>797</x:v>
      </x:c>
      <x:c r="C12" s="180" t="s">
        <x:v>798</x:v>
      </x:c>
      <x:c r="D12" s="180" t="s">
        <x:v>799</x:v>
      </x:c>
      <x:c r="E12" s="180" t="s">
        <x:v>800</x:v>
      </x:c>
      <x:c r="F12" s="180" t="s">
        <x:v>672</x:v>
      </x:c>
      <x:c r="G12" s="180" t="s">
        <x:v>56</x:v>
      </x:c>
      <x:c r="H12" s="181" t="s">
        <x:v>801</x:v>
      </x:c>
    </x:row>
    <x:row r="13" ht="78" customHeight="1">
      <x:c r="A13" s="182" t="s">
        <x:v>17</x:v>
      </x:c>
      <x:c r="B13" s="183" t="s">
        <x:v>802</x:v>
      </x:c>
      <x:c r="C13" s="183" t="s">
        <x:v>803</x:v>
      </x:c>
      <x:c r="D13" s="183" t="s">
        <x:v>804</x:v>
      </x:c>
      <x:c r="E13" s="183" t="s">
        <x:v>805</x:v>
      </x:c>
      <x:c r="F13" s="183" t="s">
        <x:v>806</x:v>
      </x:c>
      <x:c r="G13" s="183" t="str">
        <x:v>Released</x:v>
      </x:c>
      <x:c r="H13" s="184" t="str">
        <x:v>Frozen at v0.2.0; corrective releases only unless explicitly approved.</x:v>
      </x:c>
    </x:row>
    <x:row r="14" ht="78" customHeight="1">
      <x:c r="A14" s="185" t="s">
        <x:v>22</x:v>
      </x:c>
      <x:c r="B14" s="83" t="s">
        <x:v>807</x:v>
      </x:c>
      <x:c r="C14" s="83" t="s">
        <x:v>808</x:v>
      </x:c>
      <x:c r="D14" s="83" t="s">
        <x:v>809</x:v>
      </x:c>
      <x:c r="E14" s="83" t="s">
        <x:v>810</x:v>
      </x:c>
      <x:c r="F14" s="83" t="s">
        <x:v>811</x:v>
      </x:c>
      <x:c r="G14" s="83" t="str">
        <x:v>Active — v0.3.0</x:v>
      </x:c>
      <x:c r="H14" s="186" t="str">
        <x:v>Structured manifests and file references first; issue register and release summary required.</x:v>
      </x:c>
    </x:row>
    <x:row r="15" ht="78" customHeight="1">
      <x:c r="A15" s="185" t="s">
        <x:v>26</x:v>
      </x:c>
      <x:c r="B15" s="83" t="s">
        <x:v>807</x:v>
      </x:c>
      <x:c r="C15" s="83" t="s">
        <x:v>812</x:v>
      </x:c>
      <x:c r="D15" s="83" t="s">
        <x:v>813</x:v>
      </x:c>
      <x:c r="E15" s="83" t="s">
        <x:v>814</x:v>
      </x:c>
      <x:c r="F15" s="83" t="s">
        <x:v>815</x:v>
      </x:c>
      <x:c r="G15" s="83" t="str">
        <x:v>Deferred — v0.4+</x:v>
      </x:c>
      <x:c r="H15" s="186" t="str">
        <x:v>Add extraction adapters only after the structured workflow benchmark is stable.</x:v>
      </x:c>
    </x:row>
    <x:row r="16" ht="78" customHeight="1">
      <x:c r="A16" s="185" t="s">
        <x:v>30</x:v>
      </x:c>
      <x:c r="B16" s="83" t="s">
        <x:v>807</x:v>
      </x:c>
      <x:c r="C16" s="83" t="s">
        <x:v>816</x:v>
      </x:c>
      <x:c r="D16" s="83" t="s">
        <x:v>817</x:v>
      </x:c>
      <x:c r="E16" s="83" t="s">
        <x:v>818</x:v>
      </x:c>
      <x:c r="F16" s="83" t="s">
        <x:v>819</x:v>
      </x:c>
      <x:c r="G16" s="83" t="str">
        <x:v>Active in structured form</x:v>
      </x:c>
      <x:c r="H16" s="186" t="str">
        <x:v>v0.3.0 implements register/metadata/BOM/datasheet/revision consistency; native document adapters remain deferred.</x:v>
      </x:c>
    </x:row>
    <x:row r="17" ht="78" customHeight="1">
      <x:c r="A17" s="185" t="s">
        <x:v>34</x:v>
      </x:c>
      <x:c r="B17" s="83" t="s">
        <x:v>807</x:v>
      </x:c>
      <x:c r="C17" s="83" t="s">
        <x:v>820</x:v>
      </x:c>
      <x:c r="D17" s="83" t="s">
        <x:v>821</x:v>
      </x:c>
      <x:c r="E17" s="83" t="s">
        <x:v>822</x:v>
      </x:c>
      <x:c r="F17" s="83" t="s">
        <x:v>823</x:v>
      </x:c>
      <x:c r="G17" s="83" t="str">
        <x:v>Deferred</x:v>
      </x:c>
      <x:c r="H17" s="186" t="str">
        <x:v>Require sandbox, least privilege, trace schema, and independent artifact evaluator.</x:v>
      </x:c>
    </x:row>
    <x:row r="18" ht="78" customHeight="1">
      <x:c r="A18" s="185" t="s">
        <x:v>38</x:v>
      </x:c>
      <x:c r="B18" s="83" t="s">
        <x:v>807</x:v>
      </x:c>
      <x:c r="C18" s="83" t="s">
        <x:v>824</x:v>
      </x:c>
      <x:c r="D18" s="83" t="s">
        <x:v>825</x:v>
      </x:c>
      <x:c r="E18" s="83" t="s">
        <x:v>826</x:v>
      </x:c>
      <x:c r="F18" s="83" t="s">
        <x:v>827</x:v>
      </x:c>
      <x:c r="G18" s="83" t="str">
        <x:v>Deferred</x:v>
      </x:c>
      <x:c r="H18" s="186" t="str">
        <x:v>Requires controlled standards access, calibrated cases, and qualified human review.</x:v>
      </x:c>
    </x:row>
    <x:row r="19" ht="78" customHeight="1">
      <x:c r="A19" s="187" t="s">
        <x:v>438</x:v>
      </x:c>
      <x:c r="B19" s="188" t="s">
        <x:v>828</x:v>
      </x:c>
      <x:c r="C19" s="188" t="s">
        <x:v>829</x:v>
      </x:c>
      <x:c r="D19" s="188" t="s">
        <x:v>830</x:v>
      </x:c>
      <x:c r="E19" s="188" t="s">
        <x:v>831</x:v>
      </x:c>
      <x:c r="F19" s="188" t="s">
        <x:v>832</x:v>
      </x:c>
      <x:c r="G19" s="188" t="str">
        <x:v>Future</x:v>
      </x:c>
      <x:c r="H19" s="189" t="str">
        <x:v>Productize only after repeatable pilot evidence and controlled false-negative risk.</x:v>
      </x:c>
    </x:row>
    <x:row r="21" ht="15">
      <x:c r="A21" s="238" t="s">
        <x:v>833</x:v>
      </x:c>
      <x:c r="B21" s="238"/>
      <x:c r="C21" s="238"/>
      <x:c r="D21" s="238"/>
      <x:c r="E21" s="238"/>
      <x:c r="F21" s="238"/>
      <x:c r="G21" s="238"/>
      <x:c r="H21" s="238"/>
    </x:row>
    <x:row r="22" ht="38.099998474121094" customHeight="1">
      <x:c r="A22" s="239" t="s">
        <x:v>834</x:v>
      </x:c>
      <x:c r="B22" s="240"/>
      <x:c r="C22" s="241" t="s">
        <x:v>835</x:v>
      </x:c>
      <x:c r="D22" s="242"/>
      <x:c r="E22" s="242"/>
      <x:c r="F22" s="242"/>
      <x:c r="G22" s="242"/>
      <x:c r="H22" s="243"/>
    </x:row>
    <x:row r="23" ht="38.099998474121094" customHeight="1">
      <x:c r="A23" s="239" t="s">
        <x:v>836</x:v>
      </x:c>
      <x:c r="B23" s="240"/>
      <x:c r="C23" s="241" t="s">
        <x:v>837</x:v>
      </x:c>
      <x:c r="D23" s="242"/>
      <x:c r="E23" s="242"/>
      <x:c r="F23" s="242"/>
      <x:c r="G23" s="242"/>
      <x:c r="H23" s="243"/>
    </x:row>
    <x:row r="24" ht="38.099998474121094" customHeight="1">
      <x:c r="A24" s="239" t="s">
        <x:v>838</x:v>
      </x:c>
      <x:c r="B24" s="240"/>
      <x:c r="C24" s="241" t="s">
        <x:v>839</x:v>
      </x:c>
      <x:c r="D24" s="242"/>
      <x:c r="E24" s="242"/>
      <x:c r="F24" s="242"/>
      <x:c r="G24" s="242"/>
      <x:c r="H24" s="243"/>
    </x:row>
    <x:row r="25" ht="38.099998474121094" customHeight="1">
      <x:c r="A25" s="239" t="s">
        <x:v>840</x:v>
      </x:c>
      <x:c r="B25" s="240"/>
      <x:c r="C25" s="241" t="s">
        <x:v>841</x:v>
      </x:c>
      <x:c r="D25" s="242"/>
      <x:c r="E25" s="242"/>
      <x:c r="F25" s="242"/>
      <x:c r="G25" s="242"/>
      <x:c r="H25" s="243"/>
    </x:row>
    <x:row r="26" ht="38.099998474121094" customHeight="1">
      <x:c r="A26" s="239" t="s">
        <x:v>842</x:v>
      </x:c>
      <x:c r="B26" s="240"/>
      <x:c r="C26" s="241" t="s">
        <x:v>843</x:v>
      </x:c>
      <x:c r="D26" s="242"/>
      <x:c r="E26" s="242"/>
      <x:c r="F26" s="242"/>
      <x:c r="G26" s="242"/>
      <x:c r="H26" s="243"/>
    </x:row>
    <x:row r="27" ht="38.099998474121094" customHeight="1">
      <x:c r="A27" s="239" t="s">
        <x:v>844</x:v>
      </x:c>
      <x:c r="B27" s="240"/>
      <x:c r="C27" s="241" t="s">
        <x:v>845</x:v>
      </x:c>
      <x:c r="D27" s="242"/>
      <x:c r="E27" s="242"/>
      <x:c r="F27" s="242"/>
      <x:c r="G27" s="242"/>
      <x:c r="H27" s="243"/>
    </x:row>
    <x:row r="28" ht="38.099998474121094" customHeight="1">
      <x:c r="A28" s="239" t="s">
        <x:v>846</x:v>
      </x:c>
      <x:c r="B28" s="240"/>
      <x:c r="C28" s="241" t="s">
        <x:v>847</x:v>
      </x:c>
      <x:c r="D28" s="242"/>
      <x:c r="E28" s="242"/>
      <x:c r="F28" s="242"/>
      <x:c r="G28" s="242"/>
      <x:c r="H28" s="243"/>
    </x:row>
    <x:row r="29" ht="38.099998474121094" customHeight="1">
      <x:c r="A29" s="239" t="s">
        <x:v>848</x:v>
      </x:c>
      <x:c r="B29" s="240"/>
      <x:c r="C29" s="241" t="s">
        <x:v>849</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850</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851</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852</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853</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854</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855</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856</x:v>
      </x:c>
      <x:c r="B38" s="240"/>
      <x:c r="C38" s="241" t="s">
        <x:v>857</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603" customHeight="1">
      <x:c r="A13" s="431" t="str">
        <x:v>P2.3</x:v>
      </x:c>
      <x:c r="B13" s="431" t="str">
        <x:v>P2 Consistency Rules</x:v>
      </x:c>
      <x:c r="C13" s="431" t="str">
        <x:v>Implement BOM, equipment-list, and datasheet checks</x:v>
      </x:c>
      <x:c r="D13" s="431" t="str">
        <x:v>The accepted structured audit implements six P2.3 checks for BOM/equipment, drawing presence, datasheet authority/association/manifest reciprocity, and specification revision history. Six unsupported claims are explicitly deferred.</x:v>
      </x:c>
      <x:c r="E13" s="431" t="str">
        <x:v>P3.3</x:v>
      </x:c>
      <x:c r="F13" s="662" t="n">
        <x:v>4</x:v>
      </x:c>
      <x:c r="G13" s="431" t="n">
        <x:v>3</x:v>
      </x:c>
      <x:c r="H13" s="431" t="n">
        <x:v>4</x:v>
      </x:c>
      <x:c r="I13" s="429" t="n">
        <x:f>$B$1+(G13-1)*7</x:f>
        <x:v>46230</x:v>
      </x:c>
      <x:c r="J13" s="429" t="n">
        <x:f>$B$1+H13*7-1</x:f>
        <x:v>46243</x:v>
      </x:c>
      <x:c r="K13" s="431" t="str">
        <x:v>Complete</x:v>
      </x:c>
      <x:c r="L13" s="664" t="n">
        <x:v>1</x:v>
      </x:c>
      <x:c r="M13" s="662" t="n">
        <x:f>SUMIF('Work Block Log'!$E$5:$E$200,A13,'Work Block Log'!$F$5:$F$200)</x:f>
        <x:v>0</x:v>
      </x:c>
      <x:c r="N13" s="662" t="n">
        <x:f>MAX(F13*(1-L13),0)</x:f>
        <x:v>0</x:v>
      </x:c>
      <x:c r="O13" s="662" t="n">
        <x:f>M13-F13</x:f>
        <x:v>-4</x:v>
      </x:c>
      <x:c r="P13" s="431" t="str">
        <x:v>checks 6-11 integrated; PR #59 exact main 69c0d1b; D-085-D-108; EV-082-EV-138; eight gates; eleven checks; clean 11/11; isolated fault proofs; six unsupported claims explicitly deferred; v0.3 claim boundary frozen</x:v>
      </x:c>
      <x:c r="Q13" s="431" t="str">
        <x:v>P2.3 is complete. Begin P4.1 development benchmark regression and fault-injection coverage on a separate branch.</x:v>
      </x:c>
      <x:c r="R13" s="431" t="str">
        <x:v>v0.3.0 claims are limited to the eight gates, eleven checks, state router, and four outputs. Quantity, part/material, BOM-item/drawing, equipment/specification, datasheet-revision, and controlled technical-value reconciliation are deferred.</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Complete</x:v>
      </x:c>
      <x:c r="L17" s="664" t="n">
        <x:v>1</x:v>
      </x:c>
      <x:c r="M17" s="662" t="n">
        <x:f>SUMIF('Work Block Log'!$E$5:$E$200,A17,'Work Block Log'!$F$5:$F$200)</x:f>
        <x:v>0</x:v>
      </x:c>
      <x:c r="N17" s="662" t="n">
        <x:f>MAX(F17*(1-L17),0)</x:f>
        <x:v>0</x:v>
      </x:c>
      <x:c r="O17" s="662" t="n">
        <x:f>M17-F17</x:f>
        <x:v>-2</x:v>
      </x:c>
      <x:c r="P17" s="431" t="str">
        <x:v>accepted implementation b5f0fcd; review evidence 411928e; PR #40 exact main e4080fd; D-083-D-084; EV-080-EV-081; focused result/report/CLI 49; full 271/1; validation 5/5; Ruff; coverage 86.76%; inspected clean/fifth-check fault; IMP-012</x:v>
      </x:c>
      <x:c r="Q17" s="431" t="str">
        <x:v>P3.3 is accepted and closed. Preserve atomic four-output publication, stable exits, controlled-failure evidence, and unchanged v0.2 commands as the P2.3 execution path.</x:v>
      </x:c>
      <x:c r="R17" s="431" t="str">
        <x:v>Exact merged-tree behavior matches reviewed evidence. P2.3 definition is authorized; semantic held-out execution and deferred capabilities remain blocked.</x:v>
      </x:c>
      <x:c r="S17" s="669"/>
      <x:c r="T17" s="669"/>
      <x:c r="U17" s="669"/>
      <x:c r="V17" s="669"/>
      <x:c r="W17" s="669" t="str">
        <x:v>■</x:v>
      </x:c>
      <x:c r="X17" s="669"/>
    </x:row>
    <x:row r="18" ht="603"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Complete</x:v>
      </x:c>
      <x:c r="L18" s="664" t="n">
        <x:v>1</x:v>
      </x:c>
      <x:c r="M18" s="662" t="n">
        <x:f>SUMIF('Work Block Log'!$E$5:$E$200,A18,'Work Block Log'!$F$5:$F$200)</x:f>
        <x:v>0</x:v>
      </x:c>
      <x:c r="N18" s="662" t="n">
        <x:f>MAX(F18*(1-L18),0)</x:f>
        <x:v>0</x:v>
      </x:c>
      <x:c r="O18" s="662" t="n">
        <x:f>M18-F18</x:f>
        <x:v>-3</x:v>
      </x:c>
      <x:c r="P18" s="431" t="str">
        <x:v>PR #61 exact main 5a4d57e; implementation 4cf9fe8; P4.1-DEV-1; D-109 accepted; EV-139-EV-143; IMP-020-IMP-022; 22/22 scenarios; 44/44 publications; 8/8 gates; 11/11 checks; full 319/1; hosted Linux CI green</x:v>
      </x:c>
      <x:c r="Q18" s="431" t="str">
        <x:v>P4.1 is accepted and closed; preserve its exact evaluator and runner behavior while P4.2 replacement controls are reviewed.</x:v>
      </x:c>
      <x:c r="R18" s="431" t="str">
        <x:v>Four result states have genuine full-package evidence; engineering_review_required and evaluator_uncertainty remain router/exit contract only under D-109.</x:v>
      </x:c>
      <x:c r="S18" s="669"/>
      <x:c r="T18" s="669"/>
      <x:c r="U18" s="669"/>
      <x:c r="V18" s="669"/>
      <x:c r="W18" s="669" t="str">
        <x:v>■</x:v>
      </x:c>
      <x:c r="X18" s="669"/>
    </x:row>
    <x:row r="19" ht="900"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D-117 Complete / D-118 Owner Review</x:v>
      </x:c>
      <x:c r="L19" s="664" t="n">
        <x:v>0.98</x:v>
      </x:c>
      <x:c r="M19" s="662" t="n">
        <x:f>SUMIF('Work Block Log'!$E$5:$E$200,A19,'Work Block Log'!$F$5:$F$200)</x:f>
        <x:v>0</x:v>
      </x:c>
      <x:c r="N19" s="662" t="n">
        <x:f>MAX(F19*(1-L19),0)</x:f>
        <x:v>0.06000000000000005</x:v>
      </x:c>
      <x:c r="O19" s="662" t="n">
        <x:f>M19-F19</x:f>
        <x:v>-3</x:v>
      </x:c>
      <x:c r="P19" s="431" t="str">
        <x:v>PR #69 main 04d919f; D-117 consumed; one invocation; 8/8 attempts; 8/8 four-output publications; raw 73 files f9bc8135...cb5c; verifier 14/14; states 7/8; findings 0/8; targets 0/7; NC-002; AIR-011; EV-185-EV-190; I-011; IMP-036-IMP-039; focused 22; full 340/1 at 88.33%; validation 5/5; Ruff; sentinel 4; dev 22/22; baseline 9/9; demo 2/2</x:v>
      </x:c>
      <x:c r="Q19" s="431" t="str">
        <x:v>Review D-117 result, NC-002, and proposed D-118. D-118 authorizes only public-contract validation and separated protected target-reachability controls.</x:v>
      </x:c>
      <x:c r="R19" s="431" t="str">
        <x:v>D-117 proves reliable publication and correct fail-closed authority checking, not intended relationship accuracy. Family rerun/reuse and downstream claims are prohibited.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ht="810" customHeight="1">
      <x:c r="A23" s="431" t="str">
        <x:v>G0.1</x:v>
      </x:c>
      <x:c r="B23" s="431" t="str">
        <x:v>Governance &amp; Quality</x:v>
      </x:c>
      <x:c r="C23" s="431" t="str">
        <x:v>Implement AI management and quality-control system</x:v>
      </x:c>
      <x:c r="D23" s="431" t="str">
        <x:v>Binding policy, machine-readable system inventory, impact and risk assessment, minimum controls, lifecycle gates, objectives, evidence, audit, management review, automated validation, and CI enforcement govern AI-assisted work and exact release holds.</x:v>
      </x:c>
      <x:c r="E23" s="431" t="str">
        <x:v>D-115</x:v>
      </x:c>
      <x:c r="F23" s="662" t="n">
        <x:v>0</x:v>
      </x:c>
      <x:c r="G23" s="431" t="n">
        <x:v>6</x:v>
      </x:c>
      <x:c r="H23" s="431" t="n">
        <x:v>6</x:v>
      </x:c>
      <x:c r="I23" s="429" t="n">
        <x:v>46225</x:v>
      </x:c>
      <x:c r="J23" s="429" t="n">
        <x:v>46225</x:v>
      </x:c>
      <x:c r="K23" s="431" t="str">
        <x:v>Complete / Integrated</x:v>
      </x:c>
      <x:c r="L23" s="664" t="n">
        <x:v>1</x:v>
      </x:c>
      <x:c r="M23" s="662" t="n">
        <x:v>0</x:v>
      </x:c>
      <x:c r="N23" s="662" t="n">
        <x:v>0</x:v>
      </x:c>
      <x:c r="O23" s="662" t="n">
        <x:v>0</x:v>
      </x:c>
      <x:c r="P23" s="431" t="str">
        <x:v>PR #67 exact main 540a1f6; D-115; EV-165-EV-171; AIMS-POL-001; AIMS-MEWA-001; AIR-001-AIR-013; AIC-001-AIC-020; AIG-01-AIG-08; AIO-001-AIO-006; NC-001; R-018; IMP-029-IMP-030; focused 22; validator coverage 84%; full 335/1; coverage 88.33%; validation 5/5; Ruff; baseline 9/9; demo 2/2; GitHub CI green</x:v>
      </x:c>
      <x:c r="Q23" s="431" t="str">
        <x:v>G0.1 is integrated and remains the continuous governance overlay; no further implementation action.</x:v>
      </x:c>
      <x:c r="R23" s="431" t="str">
        <x:v>Internal high-level governance only. AIR-003, AIR-011, NC-002, and pending D-118 keep product release held.</x:v>
      </x:c>
    </x:row>
    <x:row r="24" ht="24" customHeight="1">
      <x:c r="A24" s="682" t="str">
        <x:v>TOTAL PILOT</x:v>
      </x:c>
      <x:c r="B24" s="682"/>
      <x:c r="C24" s="682"/>
      <x:c r="D24" s="682"/>
      <x:c r="E24" s="682"/>
      <x:c r="F24" s="683" t="n">
        <x:f>SUM(F6:F22)</x:f>
        <x:v>46</x:v>
      </x:c>
      <x:c r="G24" s="682"/>
      <x:c r="H24" s="682"/>
      <x:c r="I24" s="682"/>
      <x:c r="J24" s="682"/>
      <x:c r="K24" s="682"/>
      <x:c r="L24" s="684" t="n">
        <x:f>SUMPRODUCT(F6:F22,L6:L22)/F24</x:f>
        <x:v>0.8682608695652173</x:v>
      </x:c>
      <x:c r="M24" s="683" t="n">
        <x:f>SUM(M6:M22)</x:f>
        <x:v>0</x:v>
      </x:c>
      <x:c r="N24" s="683" t="n">
        <x:f>SUM(N6:N22)</x:f>
        <x:v>6.0600000000000005</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D-117 Benchmark Result</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P4.2 - D-117 complete; D-118 owner review</x:v>
      </x:c>
      <x:c r="H4" s="697"/>
    </x:row>
    <x:row r="5" ht="72" customHeight="1">
      <x:c r="A5" s="688" t="str">
        <x:v>Schedule Baseline</x:v>
      </x:c>
      <x:c r="B5" s="693" t="str">
        <x:v>Legacy only; not controlling</x:v>
      </x:c>
      <x:c r="C5" s="691"/>
      <x:c r="D5" s="691"/>
      <x:c r="F5" s="696" t="str">
        <x:v>Objective</x:v>
      </x:c>
      <x:c r="G5" s="697" t="str">
        <x:v>Complete one frozen external run, verify raw outputs without oracle access, compare separately, and classify the evidence without overstating performance.</x:v>
      </x:c>
      <x:c r="H5" s="697"/>
    </x:row>
    <x:row r="6" ht="63" customHeight="1">
      <x:c r="A6" s="688" t="str">
        <x:v>Time Tracking</x:v>
      </x:c>
      <x:c r="B6" s="693" t="str">
        <x:v>Waived prospectively</x:v>
      </x:c>
      <x:c r="C6" s="691"/>
      <x:c r="D6" s="691"/>
      <x:c r="F6" s="696" t="str">
        <x:v>Gate Status</x:v>
      </x:c>
      <x:c r="G6" s="697" t="str">
        <x:v>One invocation; 8/8 attempts and publications; raw verifier 14/14; states 7/8; findings 0/8; targets 0/7; full 340/1 at 88.33%; validation 5/5; Ruff; dev 22/22; baseline 9/9; demo 2/2.</x:v>
      </x:c>
      <x:c r="H6" s="697"/>
    </x:row>
    <x:row r="7" ht="81" customHeight="1">
      <x:c r="A7" s="688" t="str">
        <x:v>Current Gate</x:v>
      </x:c>
      <x:c r="B7" s="694" t="str">
        <x:v>D-117 consumed; AIR-003, AIR-011, NC-002 hold release; D-118 pending</x:v>
      </x:c>
      <x:c r="C7" s="691"/>
      <x:c r="D7" s="691"/>
      <x:c r="F7" s="696" t="str">
        <x:v>Definition of Done</x:v>
      </x:c>
      <x:c r="G7" s="697" t="str">
        <x:v>Complete publication and fail-closed authority enforcement are verified. Intended downstream relationship performance is not measured because every package hit the same authoring defect first.</x:v>
      </x:c>
      <x:c r="H7" s="697"/>
    </x:row>
    <x:row r="8" ht="63" customHeight="1">
      <x:c r="A8" s="688" t="str">
        <x:v>Released Kernel</x:v>
      </x:c>
      <x:c r="B8" s="691" t="str">
        <x:v>v0.2.0 / commit 45336a2</x:v>
      </x:c>
      <x:c r="C8" s="691"/>
      <x:c r="D8" s="691"/>
      <x:c r="F8" s="696" t="str">
        <x:v>Immediate Next Action</x:v>
      </x:c>
      <x:c r="G8" s="697" t="str">
        <x:v>Review D-117 result and accept or revise proposed D-118 corrective action.</x:v>
      </x:c>
      <x:c r="H8" s="697"/>
    </x:row>
    <x:row r="9" ht="72" customHeight="1">
      <x:c r="A9" s="688" t="str">
        <x:v>Release Target</x:v>
      </x:c>
      <x:c r="B9" s="691" t="str">
        <x:v>v0.3.0</x:v>
      </x:c>
      <x:c r="C9" s="691"/>
      <x:c r="D9" s="691"/>
      <x:c r="F9" s="696" t="str">
        <x:v>Primary Risk</x:v>
      </x:c>
      <x:c r="G9" s="697" t="str">
        <x:v>Primary risk: mistaking 7/8 broad state agreement for relationship accuracy when exact findings were 0/8 and intended target reachability was zero.</x:v>
      </x:c>
      <x:c r="H9" s="697"/>
    </x:row>
    <x:row r="10" ht="81" customHeight="1">
      <x:c r="A10" s="688" t="str">
        <x:v>Baseline Test Count</x:v>
      </x:c>
      <x:c r="B10" s="691" t="n">
        <x:v>121</x:v>
      </x:c>
      <x:c r="C10" s="691"/>
      <x:c r="D10" s="691"/>
      <x:c r="F10" s="696" t="str">
        <x:v>Deferred</x:v>
      </x:c>
      <x:c r="G10" s="697" t="str">
        <x:v>Repair or rerun of the consumed family, reuse as fresh evidence, a new family, semantic execution, tuning, P4.3, and release/performance claims.</x:v>
      </x:c>
      <x:c r="H10" s="697"/>
    </x:row>
    <x:row r="11" ht="63" customHeight="1">
      <x:c r="A11" s="688" t="str">
        <x:v>Fixture Package Families</x:v>
      </x:c>
      <x:c r="B11" s="691" t="n">
        <x:v>2</x:v>
      </x:c>
      <x:c r="C11" s="691"/>
      <x:c r="D11" s="691"/>
      <x:c r="F11" s="696" t="str">
        <x:v>Data Boundary</x:v>
      </x:c>
      <x:c r="G11" s="697" t="str">
        <x:v>Supplied ISO PDF excluded due third-party single-user license; official public ISO/NIST sources used only for high-level alignment.</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Accepted</x:v>
      </x:c>
      <x:c r="C17" s="699" t="str">
        <x:v>P2.3 complete at D-108</x:v>
      </x:c>
      <x:c r="D17" s="700" t="n">
        <x:v>1</x:v>
      </x:c>
      <x:c r="E17" s="698" t="str">
        <x:v>Gate P2 - deterministic audit core and result-state routing</x:v>
      </x:c>
    </x:row>
    <x:row r="18" ht="36" customHeight="1">
      <x:c r="A18" s="698" t="str">
        <x:v>P3 Issue Register &amp; CLI</x:v>
      </x:c>
      <x:c r="B18" s="699" t="str">
        <x:v>Complete</x:v>
      </x:c>
      <x:c r="C18" s="699" t="str">
        <x:v>P3.3 accepted and integrated</x:v>
      </x:c>
      <x:c r="D18" s="700" t="n">
        <x:v>1</x:v>
      </x:c>
      <x:c r="E18" s="698" t="str">
        <x:v>Gate P3 - reproducible issue register and audit-package command</x:v>
      </x:c>
    </x:row>
    <x:row r="19" ht="36" customHeight="1">
      <x:c r="A19" s="698" t="str">
        <x:v>P4 Benchmark &amp; Reliability</x:v>
      </x:c>
      <x:c r="B19" s="699" t="str">
        <x:v>D-117 Complete / D-118 Owner Review</x:v>
      </x:c>
      <x:c r="C19" s="699" t="str">
        <x:v>One-shot publication passed; intended downstream benchmark invalidated by family-authoring defect</x:v>
      </x:c>
      <x:c r="D19" s="700" t="n">
        <x:v>0.98</x:v>
      </x:c>
      <x:c r="E19" s="698" t="str">
        <x:v>Gate P4 - AIR-003, AIR-011, NC-002; D-118 corrective-action decision pending</x:v>
      </x:c>
      <x:c r="F19"/>
      <x:c r="G19"/>
      <x:c r="H19"/>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1" ht="130.5" customHeight="1">
      <x:c r="A21" s="431" t="str">
        <x:v>G0 AI Management &amp; Quality</x:v>
      </x:c>
      <x:c r="B21" s="431" t="str">
        <x:v>Integrated / Continuous</x:v>
      </x:c>
      <x:c r="C21" s="431" t="str">
        <x:v>D-115 active; governance valid; D-117 controlled; NC-002 open; release held</x:v>
      </x:c>
      <x:c r="D21" s="664" t="n">
        <x:v>1</x:v>
      </x:c>
      <x:c r="E21" s="431" t="str">
        <x:v>Gate G0 - AIR-003, AIR-011, NC-002, and D-118 preserve release hold</x:v>
      </x:c>
      <x:c r="F21"/>
      <x:c r="G21"/>
      <x:c r="H21"/>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Accepted</x:v>
      </x:c>
      <x:c r="F31" s="431" t="str">
        <x:v>codex/p3.3-audit-package-cli</x:v>
      </x:c>
      <x:c r="G31" s="431" t="str">
        <x:v>implementation b5f0fcd; review evidence 411928e; PR #40 main e4080fd; D-083-D-084; EV-080-EV-081; focused 49; full 271/1; validation 5/5; Ruff; coverage 86.76%; inspected clean/fault runs; IMP-012</x:v>
      </x:c>
      <x:c r="H31" s="431" t="str">
        <x:v>Jason</x:v>
      </x:c>
    </x:row>
    <x:row r="32" ht="207" customHeight="1">
      <x:c r="A32" s="431" t="n">
        <x:v>9</x:v>
      </x:c>
      <x:c r="B32" s="431" t="str">
        <x:v>P2.3</x:v>
      </x:c>
      <x:c r="C32" s="431" t="str">
        <x:v>Relationship expansion - check 6</x:v>
      </x:c>
      <x:c r="D32" s="431" t="str">
        <x:v>Append BOM item/equipment manifest reciprocity under exact AUTH-BOM-002 and prove it through the accepted audit outputs.</x:v>
      </x:c>
      <x:c r="E32" s="431" t="str">
        <x:v>Accepted</x:v>
      </x:c>
      <x:c r="F32" s="431" t="str">
        <x:v>codex/p2.3-bom-item-equipment-reciprocity</x:v>
      </x:c>
      <x:c r="G32" s="431" t="str">
        <x:v>implementation c1dcc4a; review 0386b7f; PR #42 main 559bb81; D-085-D-088; EV-082-EV-085; relationship 31; focused 75; full 278/1; validation 5/5; Ruff; coverage 87.02%</x:v>
      </x:c>
      <x:c r="H32" s="431" t="str">
        <x:v>Jason</x:v>
      </x:c>
    </x:row>
    <x:row r="33" ht="216" customHeight="1">
      <x:c r="A33" s="431" t="n">
        <x:v>10</x:v>
      </x:c>
      <x:c r="B33" s="431" t="str">
        <x:v>P2.3</x:v>
      </x:c>
      <x:c r="C33" s="431" t="str">
        <x:v>Relationship maintainability stabilization</x:v>
      </x:c>
      <x:c r="D33" s="431" t="str">
        <x:v>Split accepted relationship code and tests by engineering domain without changing behavior.</x:v>
      </x:c>
      <x:c r="E33" s="431" t="str">
        <x:v>Accepted</x:v>
      </x:c>
      <x:c r="F33" s="431" t="str">
        <x:v>codex/p2.3-relationship-maintainability</x:v>
      </x:c>
      <x:c r="G33" s="431" t="str">
        <x:v>implementation 1f34781; PR #44 main 56ac9d1; D-088-D-089; EV-086; IMP-015; AST 40/40; focused 75; full 278/1; validation 5/5; Ruff; coverage 87.10%</x:v>
      </x:c>
      <x:c r="H33" s="431" t="str">
        <x:v>Jason</x:v>
      </x:c>
    </x:row>
    <x:row r="34" ht="220.5" customHeight="1">
      <x:c r="A34" s="431" t="n">
        <x:v>11</x:v>
      </x:c>
      <x:c r="B34" s="431" t="str">
        <x:v>P2.3</x:v>
      </x:c>
      <x:c r="C34" s="431" t="str">
        <x:v>Relationship expansion - check 7</x:v>
      </x:c>
      <x:c r="D34" s="431" t="str">
        <x:v>Require each release-required BOM equipment tag to appear in drawing metadata under exact AUTH-BOM-002.</x:v>
      </x:c>
      <x:c r="E34" s="431" t="str">
        <x:v>Accepted</x:v>
      </x:c>
      <x:c r="F34" s="431" t="str">
        <x:v>codex/p2.3-bom-equipment-drawing-presence</x:v>
      </x:c>
      <x:c r="G34" s="431" t="str">
        <x:v>implementation 01a70c2; PR #45 main 273c36a; D-089-D-090; EV-087-EV-088; relationship 35; focused 80; full 283/1; validation 5/5; Ruff; coverage 87.25%; both GitHub checks passed</x:v>
      </x:c>
      <x:c r="H34" s="431" t="str">
        <x:v>Jason</x:v>
      </x:c>
    </x:row>
    <x:row r="35" ht="216" customHeight="1">
      <x:c r="A35" s="431" t="n">
        <x:v>12</x:v>
      </x:c>
      <x:c r="B35" s="431" t="str">
        <x:v>P2.3</x:v>
      </x:c>
      <x:c r="C35" s="431" t="str">
        <x:v>Authorized structured-package trial gate</x:v>
      </x:c>
      <x:c r="D35" s="431" t="str">
        <x:v>Freeze permitted sources, privacy, preparation, reviewer, and learning boundaries before intake.</x:v>
      </x:c>
      <x:c r="E35" s="431" t="str">
        <x:v>Integrated / Selection Pending</x:v>
      </x:c>
      <x:c r="F35" s="431" t="str">
        <x:v>codex/p2.3-real-package-structured-trial</x:v>
      </x:c>
      <x:c r="G35" s="431" t="str">
        <x:v>implementation d4e530f; PR #46 exact main 361cc77; D-091; EV-089-EV-090; both GitHub checks passed; no package content accessed</x:v>
      </x:c>
      <x:c r="H35" s="431" t="str">
        <x:v>Jason</x:v>
      </x:c>
    </x:row>
    <x:row r="36" ht="229.5" customHeight="1">
      <x:c r="A36" s="431" t="n">
        <x:v>13</x:v>
      </x:c>
      <x:c r="B36" s="431" t="str">
        <x:v>P2.3</x:v>
      </x:c>
      <x:c r="C36" s="431" t="str">
        <x:v>Public trial package shortlist</x:v>
      </x:c>
      <x:c r="D36" s="431" t="str">
        <x:v>Compare three public mechanical packages and recommend the best first practical-use trial input before any download.</x:v>
      </x:c>
      <x:c r="E36" s="431" t="str">
        <x:v>Accepted</x:v>
      </x:c>
      <x:c r="F36" s="431" t="str">
        <x:v>codex/p2.3-public-trial-package-shortlist</x:v>
      </x:c>
      <x:c r="G36" s="431" t="str">
        <x:v>implementation 2dccf7c; PR #47; D-092-D-093; EV-090-EV-092; Precious Plastic selected; NASA/JPL and OpenFlexure approved sequentially; no candidate files downloaded at selection closeout</x:v>
      </x:c>
      <x:c r="H36" s="431" t="str">
        <x:v>Jason</x:v>
      </x:c>
    </x:row>
    <x:row r="37" ht="229.5" customHeight="1">
      <x:c r="A37" s="431" t="n">
        <x:v>14</x:v>
      </x:c>
      <x:c r="B37" s="431" t="str">
        <x:v>P2.3</x:v>
      </x:c>
      <x:c r="C37" s="431" t="str">
        <x:v>Precious Plastic controlled intake</x:v>
      </x:c>
      <x:c r="D37" s="431" t="str">
        <x:v>Verify source and license, preserve and hash untouched files, inventory contents, and produce a fit-gap assessment before transformation or audit execution.</x:v>
      </x:c>
      <x:c r="E37" s="431" t="str">
        <x:v>Stopped - Access Unavailable</x:v>
      </x:c>
      <x:c r="F37" s="431" t="str">
        <x:v>codex/p2.3-precious-plastic-intake</x:v>
      </x:c>
      <x:c r="G37" s="431" t="str">
        <x:v>D-092-D-094; EV-091-EV-093; official source required an inaccessible account; no files downloaded and no bypass attempted</x:v>
      </x:c>
      <x:c r="H37" s="431" t="str">
        <x:v>Jason</x:v>
      </x:c>
    </x:row>
    <x:row r="38" ht="229.5" customHeight="1">
      <x:c r="A38" s="431" t="n">
        <x:v>15</x:v>
      </x:c>
      <x:c r="B38" s="431" t="str">
        <x:v>P2.3</x:v>
      </x:c>
      <x:c r="C38" s="431" t="str">
        <x:v>Dual public-package intake</x:v>
      </x:c>
      <x:c r="D38" s="431" t="str">
        <x:v>Apply one controlled intake and fit-gap protocol equally to NASA/JPL Open Source Rover v4.0.0 and OpenFlexure Microscope v7.0.0-beta5.</x:v>
      </x:c>
      <x:c r="E38" s="431" t="str">
        <x:v>Accepted</x:v>
      </x:c>
      <x:c r="F38" s="431" t="str">
        <x:v>codex/p2.3-dual-public-package-intake</x:v>
      </x:c>
      <x:c r="G38" s="431" t="str">
        <x:v>D-095-D-096; EV-094-EV-097; PR #48 exact main 99d16b6; both source archives preserved and fit-assessed; mapping definitions authorized; no source conversion or audit execution</x:v>
      </x:c>
      <x:c r="H38" s="431" t="str">
        <x:v>Jason</x:v>
      </x:c>
    </x:row>
    <x:row r="39" ht="247.5" customHeight="1">
      <x:c r="A39" s="431" t="n">
        <x:v>16</x:v>
      </x:c>
      <x:c r="B39" s="431" t="str">
        <x:v>P2.3</x:v>
      </x:c>
      <x:c r="C39" s="431" t="str">
        <x:v>Dual public-package mapping definitions</x:v>
      </x:c>
      <x:c r="D39" s="431" t="str">
        <x:v>Freeze bounded NASA/JPL and OpenFlexure mappings plus one shared transformation-and-assumption log before controlled preparation.</x:v>
      </x:c>
      <x:c r="E39" s="431" t="str">
        <x:v>Accepted</x:v>
      </x:c>
      <x:c r="F39" s="431" t="str">
        <x:v>codex/p2.3-dual-public-package-mapping-definition</x:v>
      </x:c>
      <x:c r="G39" s="431" t="str">
        <x:v>D-096-D-097; EV-097-EV-099; PR #49 exact main 53e19ad; two mapping definitions and shared log contract accepted; preparation authorized; audit remained blocked</x:v>
      </x:c>
      <x:c r="H39" s="431" t="str">
        <x:v>Jason</x:v>
      </x:c>
    </x:row>
    <x:row r="40" ht="270" customHeight="1">
      <x:c r="A40" s="431" t="n">
        <x:v>17</x:v>
      </x:c>
      <x:c r="B40" s="431" t="str">
        <x:v>P2.3</x:v>
      </x:c>
      <x:c r="C40" s="431" t="str">
        <x:v>Dual public-package preparation</x:v>
      </x:c>
      <x:c r="D40" s="431" t="str">
        <x:v>Prepare and independently verify both real-world working packages and populated logs without running the audit.</x:v>
      </x:c>
      <x:c r="E40" s="431" t="str">
        <x:v>Accepted</x:v>
      </x:c>
      <x:c r="F40" s="431" t="str">
        <x:v>codex/p2.3-dual-public-package-preparation</x:v>
      </x:c>
      <x:c r="G40" s="431" t="str">
        <x:v>D-097-D-098; EV-099-EV-101; PR #50 exact main 7009fe2; two exact package trees and 1,764 accepted log rows; controlled audit execution authorized with mandatory unexpected-behavior stop</x:v>
      </x:c>
      <x:c r="H40" s="431" t="str">
        <x:v>Jason</x:v>
      </x:c>
    </x:row>
    <x:row r="41" ht="288" customHeight="1">
      <x:c r="A41" s="431" t="n">
        <x:v>18</x:v>
      </x:c>
      <x:c r="B41" s="431" t="str">
        <x:v>P2.3</x:v>
      </x:c>
      <x:c r="C41" s="431" t="str">
        <x:v>First public-package audit and stabilization review</x:v>
      </x:c>
      <x:c r="D41" s="431" t="str">
        <x:v>Execute NASA/JPL under D-098, stop on unexpected behavior, preserve failure evidence, confirm cross-package scope, and define a narrow reviewed fix before rerun.</x:v>
      </x:c>
      <x:c r="E41" s="431" t="str">
        <x:v>Accepted</x:v>
      </x:c>
      <x:c r="F41" s="431" t="str">
        <x:v>codex/p2.3-dual-public-package-audit-execution</x:v>
      </x:c>
      <x:c r="G41" s="431" t="str">
        <x:v>D-098-D-099; EV-101-EV-104; IMP-017; PR #51 exact main 624acce; NASA/JPL exit 70/zero outputs preserved; OpenFlexure not audited; narrow stabilization authorized</x:v>
      </x:c>
      <x:c r="H41" s="431" t="str">
        <x:v>Jason</x:v>
      </x:c>
    </x:row>
    <x:row r="42" ht="315" customHeight="1">
      <x:c r="A42" s="431" t="n">
        <x:v>19</x:v>
      </x:c>
      <x:c r="B42" s="431" t="str">
        <x:v>P2.3</x:v>
      </x:c>
      <x:c r="C42" s="431" t="str">
        <x:v>Identifier/result-contract stabilization review</x:v>
      </x:c>
      <x:c r="D42" s="431" t="str">
        <x:v>Implement D-099 narrowly, prove schema-valid full-CLI behavior for optional blanks and malformed present identifiers, preserve both public packages, and define the one-run confirmation gate.</x:v>
      </x:c>
      <x:c r="E42" s="431" t="str">
        <x:v>Accepted</x:v>
      </x:c>
      <x:c r="F42" s="431" t="str">
        <x:v>codex/p2.3-identifier-result-stabilization</x:v>
      </x:c>
      <x:c r="G42" s="431" t="str">
        <x:v>D-099-D-100; EV-104-EV-107; IMP-017; PR #52 exact main 0611d916; focused 47; full 289/1; coverage 87.57%; validation 5/5; Ruff; baseline 9/9; demo 2/2; exit 3/four outputs; exit 1/four outputs; public trees/logs unchanged before observation</x:v>
      </x:c>
      <x:c r="H42" s="431" t="str">
        <x:v>Jason</x:v>
      </x:c>
    </x:row>
    <x:row r="43" ht="360" customHeight="1">
      <x:c r="A43" s="431" t="n">
        <x:v>20</x:v>
      </x:c>
      <x:c r="B43" s="431" t="str">
        <x:v>P2.3</x:v>
      </x:c>
      <x:c r="C43" s="431" t="str">
        <x:v>NASA/JPL public-audit confirmation review</x:v>
      </x:c>
      <x:c r="D43" s="431" t="str">
        <x:v>Execute exactly one unchanged NASA/JPL audit under D-100, inspect the state, hold, exit, all four outputs, schema and report consistency, reverify both public input sets, and stop before OpenFlexure.</x:v>
      </x:c>
      <x:c r="E43" s="431" t="str">
        <x:v>Accepted</x:v>
      </x:c>
      <x:c r="F43" s="431" t="str">
        <x:v>codex/p2.3-nasa-public-audit-confirmation</x:v>
      </x:c>
      <x:c r="G43" s="431" t="str">
        <x:v>D-100-D-101; EV-107-EV-111; I-004; IMP-016-IMP-017; PR #53 exact main 65c9699b; run RUN-20260721T001431760486Z-4f1b9817; state missing_authoritative_information; hold true; exit 3; four schema-valid outputs; one authority finding; source hashes exact; focused 53; full 289/1; coverage 87.57%; validation 5/5; Ruff; baseline 9/9; demo 2/2</x:v>
      </x:c>
      <x:c r="H43" s="431" t="str">
        <x:v>Jason</x:v>
      </x:c>
    </x:row>
    <x:row r="44" ht="387" customHeight="1">
      <x:c r="A44" s="431" t="n">
        <x:v>21</x:v>
      </x:c>
      <x:c r="B44" s="431" t="str">
        <x:v>P2.3</x:v>
      </x:c>
      <x:c r="C44" s="431" t="str">
        <x:v>OpenFlexure public-audit confirmation review</x:v>
      </x:c>
      <x:c r="D44" s="431" t="str">
        <x:v>Execute exactly one unchanged OpenFlexure audit under D-101, inspect every output, reconcile both public packages, close the original execution defect, capture cross-package learning, and stop before check 8.</x:v>
      </x:c>
      <x:c r="E44" s="431" t="str">
        <x:v>Accepted</x:v>
      </x:c>
      <x:c r="F44" s="431" t="str">
        <x:v>codex/p2.3-openflexure-public-audit-confirmation</x:v>
      </x:c>
      <x:c r="G44" s="431" t="str">
        <x:v>D-101-D-102; EV-111-EV-116; I-004 closed; IMP-016-IMP-018; PR #54 exact main b0b32bb; one authorized run per public package; both expected holds and all source hashes exact</x:v>
      </x:c>
      <x:c r="H44" s="431" t="str">
        <x:v>Jason</x:v>
      </x:c>
    </x:row>
    <x:row r="45" ht="387" customHeight="1">
      <x:c r="A45" s="431" t="n">
        <x:v>22</x:v>
      </x:c>
      <x:c r="B45" s="431" t="str">
        <x:v>P2.3</x:v>
      </x:c>
      <x:c r="C45" s="431" t="str">
        <x:v>Equipment datasheet authority presence - check 8</x:v>
      </x:c>
      <x:c r="D45" s="431" t="str">
        <x:v>Append check 8 under exact AUTH-SPEC-001; require one release-required datasheet record per release-required BOM equipment tag; prove clean, missing, ambiguous, authority, ordering, canonical result, reports, CLI exit, and four-output behavior.</x:v>
      </x:c>
      <x:c r="E45" s="431" t="str">
        <x:v>Accepted</x:v>
      </x:c>
      <x:c r="F45" s="431" t="str">
        <x:v>codex/p2.3-equipment-datasheet-authority-presence</x:v>
      </x:c>
      <x:c r="G45" s="431" t="str">
        <x:v>D-102-D-103; EV-116-EV-120; IMP-013-IMP-015; PR #55 exact main fb0113d; clean 8/8; missing-authority exit 3/four outputs; focused 111; full 295/1; coverage 87.71%; validation 5/5; Ruff; baseline 9/9; demo 2/2</x:v>
      </x:c>
      <x:c r="H45" s="431" t="str">
        <x:v>Jason</x:v>
      </x:c>
    </x:row>
    <x:row r="46" ht="423" customHeight="1">
      <x:c r="A46" s="431" t="n">
        <x:v>23</x:v>
      </x:c>
      <x:c r="B46" s="431" t="str">
        <x:v>P2.3</x:v>
      </x:c>
      <x:c r="C46" s="431" t="str">
        <x:v>Equipment/datasheet association - check 9</x:v>
      </x:c>
      <x:c r="D46" s="431" t="str">
        <x:v>Append check 9 under exact AUTH-SPEC-001; compare BOM and authoritative metadata datasheet IDs only after check 8 establishes one record; prove clean, wrong-valid, ownership, authority, ordering, result, reports, CLI exit, and four-output behavior.</x:v>
      </x:c>
      <x:c r="E46" s="431" t="str">
        <x:v>Accepted</x:v>
      </x:c>
      <x:c r="F46" s="431" t="str">
        <x:v>codex/p2.3-equipment-datasheet-association</x:v>
      </x:c>
      <x:c r="G46" s="431" t="str">
        <x:v>D-103-D-104; EV-120-EV-125; I-005; IMP-013-IMP-015; IMP-019; PR #56 exact main 7146b23; clean 9/9; wrong-ID automatic_fail/hold/exit-1/four outputs; full 299/1; coverage 87.86%</x:v>
      </x:c>
      <x:c r="H46" s="431" t="str">
        <x:v>Jason</x:v>
      </x:c>
    </x:row>
    <x:row r="47" ht="432" customHeight="1">
      <x:c r="A47" s="431" t="n">
        <x:v>24</x:v>
      </x:c>
      <x:c r="B47" s="431" t="str">
        <x:v>P2.3</x:v>
      </x:c>
      <x:c r="C47" s="431" t="str">
        <x:v>Publication resilience stabilization</x:v>
      </x:c>
      <x:c r="D47" s="431" t="str">
        <x:v>Retry only final same-parent rename PermissionError using five total attempts over 0.75 seconds; never retry collisions or other errors; preserve failure evidence and exit 70 after exhaustion; prove injected and repeated Windows behavior.</x:v>
      </x:c>
      <x:c r="E47" s="431" t="str">
        <x:v>Accepted</x:v>
      </x:c>
      <x:c r="F47" s="431" t="str">
        <x:v>codex/p2.3-publication-resilience</x:v>
      </x:c>
      <x:c r="G47" s="431" t="str">
        <x:v>D-104-D-105; EV-125-EV-129; I-005 closed; IMP-019 retained; PR #57 exact main dbcd242; focused 24; full 304/1; coverage 88.08%; validation 5/5; Ruff; Windows audit 20/20</x:v>
      </x:c>
      <x:c r="H47" s="431" t="str">
        <x:v>Jason</x:v>
      </x:c>
    </x:row>
    <x:row r="48" ht="495" customHeight="1">
      <x:c r="A48" s="431" t="n">
        <x:v>25</x:v>
      </x:c>
      <x:c r="B48" s="431" t="str">
        <x:v>P2.3</x:v>
      </x:c>
      <x:c r="C48" s="431" t="str">
        <x:v>Equipment/datasheet manifest reciprocity - check 10</x:v>
      </x:c>
      <x:c r="D48" s="431" t="str">
        <x:v>Append check 10 under exact AUTH-SPEC-001; compare authoritative metadata with required manifest equipment_to_datasheet declarations in both directions; preserve check-8 ownership; prove clean, wrong-valid, authority, ordering, result, reports, CLI exit, and four-output behavior.</x:v>
      </x:c>
      <x:c r="E48" s="431" t="str">
        <x:v>Accepted</x:v>
      </x:c>
      <x:c r="F48" s="431" t="str">
        <x:v>codex/p2.3-equipment-datasheet-manifest-reciprocity</x:v>
      </x:c>
      <x:c r="G48" s="431" t="str">
        <x:v>D-105-D-106; EV-129-EV-133; PR #58 exact main 761ac76; clean 10/10; wrong-manifest automatic_fail/hold/exit-1/four outputs; focused 93; full 308/1; coverage 88.27%</x:v>
      </x:c>
      <x:c r="H48" s="431" t="str">
        <x:v>Jason</x:v>
      </x:c>
    </x:row>
    <x:row r="49" ht="522" customHeight="1">
      <x:c r="A49" s="431" t="n">
        <x:v>26</x:v>
      </x:c>
      <x:c r="B49" s="431" t="str">
        <x:v>P2.3</x:v>
      </x:c>
      <x:c r="C49" s="431" t="str">
        <x:v>Specification revision history - check 11</x:v>
      </x:c>
      <x:c r="D49" s="431" t="str">
        <x:v>Append check 11 under exact AUTH-SPEC-003; require every release-required specification metadata revision to match exactly one current revision-history record by normalized specification_id; prove clean, wrong-valid, missing, multiple, authority, ordering, result, reports, CLI exit, and four-output behavior.</x:v>
      </x:c>
      <x:c r="E49" s="431" t="str">
        <x:v>Accepted</x:v>
      </x:c>
      <x:c r="F49" s="431" t="str">
        <x:v>codex/p2.3-specification-revision-history</x:v>
      </x:c>
      <x:c r="G49" s="431" t="str">
        <x:v>D-106-D-107; EV-133-EV-137; PR #59 exact main 69c0d1b; clean 11/11; wrong-spec automatic_fail/hold/exit-1/four outputs; focused 99; full 314/1; coverage 88.48%</x:v>
      </x:c>
      <x:c r="H49" s="431" t="str">
        <x:v>Jason</x:v>
      </x:c>
    </x:row>
    <x:row r="50" ht="450" customHeight="1">
      <x:c r="A50" s="431" t="n">
        <x:v>27</x:v>
      </x:c>
      <x:c r="B50" s="431" t="str">
        <x:v>P2.3 / P4.1</x:v>
      </x:c>
      <x:c r="C50" s="431" t="str">
        <x:v>P2.3 completion and benchmark entry</x:v>
      </x:c>
      <x:c r="D50" s="431" t="str">
        <x:v>Close P2.3 for the exact eight-gate and eleven-check scope; defer six unsupported claims; freeze bounded v0.3.0 language; authorize development benchmark regression without protected held-out semantic execution.</x:v>
      </x:c>
      <x:c r="E50" s="431" t="str">
        <x:v>Accepted / P4.1 Active</x:v>
      </x:c>
      <x:c r="F50" s="431" t="str">
        <x:v>codex/p2.3-completion-claim-boundary</x:v>
      </x:c>
      <x:c r="G50" s="431" t="str">
        <x:v>D-107-D-108; EV-137-EV-138; PR #59 exact main 69c0d1b; p2_3_completion_and_claim_boundary_v0.3.0.md; six gaps deferred; P4.1 authorized; P4.2 blocked</x:v>
      </x:c>
      <x:c r="H50" s="431" t="str">
        <x:v>Jason</x:v>
      </x:c>
    </x:row>
    <x:row r="51" ht="450" customHeight="1">
      <x:c r="A51" s="431" t="n">
        <x:v>28</x:v>
      </x:c>
      <x:c r="B51" s="431" t="str">
        <x:v>P4.1</x:v>
      </x:c>
      <x:c r="C51" s="431" t="str">
        <x:v>Development benchmark and fault injection</x:v>
      </x:c>
      <x:c r="D51" s="431" t="str">
        <x:v>Verify the accepted clean baseline; generate 21 controlled faults; execute all 22 development scenarios twice; compare exact normalized four-output oracles; preserve evidence; separate genuine full-audit state coverage from router-only capability.</x:v>
      </x:c>
      <x:c r="E51" s="431" t="str">
        <x:v>Complete</x:v>
      </x:c>
      <x:c r="F51" s="431" t="str">
        <x:v>codex/p4.1-development-benchmark</x:v>
      </x:c>
      <x:c r="G51" s="431" t="str">
        <x:v>PR #61 exact main 5a4d57e; implementation 4cf9fe8; P4.1-DEV-1; D-109 accepted; EV-139-EV-143; 22/22 scenarios; 44/44 publications; 8/8 gates; 11/11 checks; hosted Linux CI green</x:v>
      </x:c>
      <x:c r="H51" s="431" t="str">
        <x:v>Jason</x:v>
      </x:c>
    </x:row>
    <x:row r="52" ht="522" customHeight="1">
      <x:c r="A52" s="431" t="n">
        <x:v>29</x:v>
      </x:c>
      <x:c r="B52" s="431" t="str">
        <x:v>P4.2</x:v>
      </x:c>
      <x:c r="C52" s="431" t="str">
        <x:v>Accepted external-custody recovery integration</x:v>
      </x:c>
      <x:c r="D52" s="431" t="str">
        <x:v>Integrate D-112, then use fresh isolated custodians to author, verify, hash-freeze, and oracle-blind-stage a materially distinct replacement outside the repository without semantic execution.</x:v>
      </x:c>
      <x:c r="E52" s="431" t="str">
        <x:v>D-112 Accepted / Integration Pending</x:v>
      </x:c>
      <x:c r="F52" s="431" t="str">
        <x:v>codex/p4.2-held-out-second-recovery</x:v>
      </x:c>
      <x:c r="G52" s="431" t="str">
        <x:v>PR #63 exact main 4d2c0f5; D-112 accepted 2026-07-22; PR #64 pending; semantic runs 0; EV-150-EV-152; I-007; IMP-025</x:v>
      </x:c>
      <x:c r="H52" s="431" t="str">
        <x:v>Jason</x:v>
      </x:c>
    </x:row>
    <x:row r="53" ht="630" customHeight="1">
      <x:c r="A53" s="431" t="n">
        <x:v>30</x:v>
      </x:c>
      <x:c r="B53" s="431" t="str">
        <x:v>P4.2</x:v>
      </x:c>
      <x:c r="C53" s="431" t="str">
        <x:v>External family and one-shot runner freeze review</x:v>
      </x:c>
      <x:c r="D53" s="431" t="str">
        <x:v>Record the independently verified external family and runner identities, preserve all failed freezes, and obtain D-113 before one irreversible semantic run per opaque package.</x:v>
      </x:c>
      <x:c r="E53" s="431" t="str">
        <x:v>D-113 Owner Review / Zero Runs</x:v>
      </x:c>
      <x:c r="F53" s="431" t="str">
        <x:v>codex/p4.2-external-held-out-freeze</x:v>
      </x:c>
      <x:c r="G53" s="431" t="str">
        <x:v>PR #64 exact main 0264db7; family revision 2 68/68; capsule 16/16; runner revision 6 53/53; 186/186 read-only; semantic runs 0; focused 40; full 313/1; coverage 88.57%; EV-153-EV-159; I-008; IMP-026-IMP-027</x:v>
      </x:c>
      <x:c r="H53" s="431" t="str">
        <x:v>Jason</x:v>
      </x:c>
    </x:row>
    <x:row r="54" ht="540" customHeight="1">
      <x:c r="A54" s="431" t="n">
        <x:v>31</x:v>
      </x:c>
      <x:c r="B54" s="431" t="str">
        <x:v>P4.2</x:v>
      </x:c>
      <x:c r="C54" s="431" t="str">
        <x:v>Accepted first-run authority integration</x:v>
      </x:c>
      <x:c r="D54" s="431" t="str">
        <x:v>Record the owner's D-113 acceptance, merge PR #65, record exact main, and reverify every frozen family, producer, runner, evaluator, and schema identity before execution.</x:v>
      </x:c>
      <x:c r="E54" s="431" t="str">
        <x:v>D-113 Accepted / Integration Pending</x:v>
      </x:c>
      <x:c r="F54" s="431" t="str">
        <x:v>codex/p4.2-external-held-out-freeze</x:v>
      </x:c>
      <x:c r="G54" s="431" t="str">
        <x:v>D-113 accepted 2026-07-22; PR #65 pending; family revision 2 68/68; capsule 16/16; runner revision 6 53/53; semantic runs 0; EV-153-EV-160; I-008; IMP-026-IMP-027</x:v>
      </x:c>
      <x:c r="H54" s="431" t="str">
        <x:v>Jason</x:v>
      </x:c>
    </x:row>
    <x:row r="55" ht="585" customHeight="1">
      <x:c r="A55" s="431" t="n">
        <x:v>32</x:v>
      </x:c>
      <x:c r="B55" s="431" t="str">
        <x:v>P4.2</x:v>
      </x:c>
      <x:c r="C55" s="431" t="str">
        <x:v>External first-run result review</x:v>
      </x:c>
      <x:c r="D55" s="431" t="str">
        <x:v>Preserve the consumed D-113 failed run, verify raw evidence and protected comparison, freeze the not-evaluable claim boundary, and obtain D-114 before stabilization.</x:v>
      </x:c>
      <x:c r="E55" s="431" t="str">
        <x:v>Stopped / D-114 Owner Review</x:v>
      </x:c>
      <x:c r="F55" s="431" t="str">
        <x:v>codex/p4.2-external-held-out-first-run</x:v>
      </x:c>
      <x:c r="G55" s="431" t="str">
        <x:v>PR #65 exact main 6a74c74; preflight 27/27; runner 1; scenarios 8/8 consumed; exit 70 x8; output sets 0; raw 40 at 5d45bfa3...3b21; comparison 0/8 comparable; release hold; EV-161-EV-164; I-009; IMP-028</x:v>
      </x:c>
      <x:c r="H55" s="431" t="str">
        <x:v>Jason</x:v>
      </x:c>
    </x:row>
    <x:row r="56" ht="630" customHeight="1">
      <x:c r="A56" s="431" t="n">
        <x:v>33</x:v>
      </x:c>
      <x:c r="B56" s="431" t="str">
        <x:v>G0.1</x:v>
      </x:c>
      <x:c r="C56" s="431" t="str">
        <x:v>AI management and quality-control system</x:v>
      </x:c>
      <x:c r="D56" s="431" t="str">
        <x:v>Adopt and implement binding policy, machine-readable inventory/risk/control records, eight lifecycle gates, objectives, audit, management review, automated validation, CI enforcement, exact holds, and honest standards boundaries.</x:v>
      </x:c>
      <x:c r="E56" s="431" t="str">
        <x:v>Complete / Review</x:v>
      </x:c>
      <x:c r="F56" s="431" t="str">
        <x:v>codex/iso-42001-ai-quality-system</x:v>
      </x:c>
      <x:c r="G56" s="431" t="str">
        <x:v>D-115; PR #67 exact main 540a1f6; EV-165-EV-171; 3 systems; 13 risks; 20 controls; 8 gates; 6 objectives; NC-001 corrective-action record; R-018; IMP-029-IMP-030; focused 22; validator coverage 84%; full 335/1; coverage 88.33%; validation 5/5; Ruff; baseline 9/9; demo 2/2</x:v>
      </x:c>
      <x:c r="H56" s="431" t="str">
        <x:v>Jason</x:v>
      </x:c>
    </x:row>
    <x:row r="57" ht="140" customHeight="1">
      <x:c r="A57" s="431" t="n">
        <x:v>34</x:v>
      </x:c>
      <x:c r="B57" s="431" t="str">
        <x:v>P4.2</x:v>
      </x:c>
      <x:c r="C57" s="431" t="str">
        <x:v>D-114 publication stabilization and recovery definition</x:v>
      </x:c>
      <x:c r="D57" s="431" t="str">
        <x:v>Reproduce the publication failure without protected access, identify the exact stage/cause, implement the smallest mechanical correction, preserve exact diagnostics, and pass the bounded four-output sentinel.</x:v>
      </x:c>
      <x:c r="E57" s="431" t="str">
        <x:v>Complete / D-116 Owner Review</x:v>
      </x:c>
      <x:c r="F57" s="431" t="str">
        <x:v>codex/p4.2-publication-stabilization</x:v>
      </x:c>
      <x:c r="G57" s="431" t="str">
        <x:v>D-114; PR #68; implementation 1c5216e; proposed D-116; EV-172-EV-178; I-009; IMP-028; IMP-031-IMP-032; focused 53; local full 340/1 at 88.48%; hosted 341 at 88.50%; validation 5/5; Ruff; sentinel pass; development benchmark 22/22; baseline 9/9; demo 2/2</x:v>
      </x:c>
      <x:c r="H57" s="431" t="str">
        <x:v>Jason</x:v>
      </x:c>
    </x:row>
    <x:row r="58" ht="165" customHeight="1">
      <x:c r="A58" s="431" t="n">
        <x:v>35</x:v>
      </x:c>
      <x:c r="B58" s="431" t="str">
        <x:v>P4.2</x:v>
      </x:c>
      <x:c r="C58" s="431" t="str">
        <x:v>D-116 external benchmark recovery freeze</x:v>
      </x:c>
      <x:c r="D58" s="431" t="str">
        <x:v>Prepare and independently verify one materially distinct external family and one oracle-blind runner, prove four-output publication in the final physical pattern, preserve every failed revision, and return D-117 with zero opaque runs.</x:v>
      </x:c>
      <x:c r="E58" s="431" t="str">
        <x:v>Complete / D-117 Owner Review</x:v>
      </x:c>
      <x:c r="F58" s="431" t="str">
        <x:v>codex/p4.2-external-benchmark-recovery-preparation</x:v>
      </x:c>
      <x:c r="G58" s="431" t="str">
        <x:v>D-116; proposed D-117; PR #68 main 3a6766f; PR #69 hosted 2/2, runs 30041470927 and 30041835325; family FAM-D116-CIM-20260723-01; runner R4; EV-179-EV-184; I-010; IMP-033-IMP-035; 8/8 mandatory; 51/51 detailed; sentinel 4 outputs; focused 22; full 340/1 at 88.33%; hosted 341 at 88.50%; validation 5/5; Ruff; dev 22/22; baseline 9/9; demo 2/2</x:v>
      </x:c>
      <x:c r="H58" s="431" t="str">
        <x:v>Jason</x:v>
      </x:c>
    </x:row>
    <x:row r="59" ht="180" customHeight="1">
      <x:c r="A59" s="431" t="n">
        <x:v>36</x:v>
      </x:c>
      <x:c r="B59" s="431" t="str">
        <x:v>P4.2</x:v>
      </x:c>
      <x:c r="C59" s="431" t="str">
        <x:v>D-117 external benchmark execution and result review</x:v>
      </x:c>
      <x:c r="D59" s="431" t="str">
        <x:v>Invoke the frozen runner exactly once, preserve eight immutable publications, verify raw evidence without oracle access, compare in a separate custodian context, and return an honest result and next gate.</x:v>
      </x:c>
      <x:c r="E59" s="431" t="str">
        <x:v>Complete / D-118 Owner Review</x:v>
      </x:c>
      <x:c r="F59" s="431" t="str">
        <x:v>codex/p4.2-external-benchmark-first-run</x:v>
      </x:c>
      <x:c r="G59" s="431" t="str">
        <x:v>D-117; proposed D-118; PR #69 main 04d919f; execution EXEC-D117-R4-20260724-01; raw f9bc8135...cb5c; verifier 14/14; comparison CMP-D117-R4-20260724-01; states 7/8; findings 0/8; targets 0/7; NC-002; AIR-011; EV-185-EV-190; I-011; IMP-036-IMP-039; focused 22; full 340/1 at 88.33%; validation 5/5; Ruff; sentinel 4; dev 22/22; baseline 9/9; demo 2/2</x:v>
      </x:c>
      <x:c r="H59"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