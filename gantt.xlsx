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77930b4aa144c6" /></Relationships>
</file>

<file path=xl/workbook.xml><?xml version="1.0" encoding="utf-8"?>
<x:workbook xmlns:x="http://schemas.openxmlformats.org/spreadsheetml/2006/main">
  <x:sheets>
    <x:sheet xmlns:r="http://schemas.openxmlformats.org/officeDocument/2006/relationships" name="Start Here" sheetId="1" r:id="R27eebe9ec28d4e8a"/>
    <x:sheet xmlns:r="http://schemas.openxmlformats.org/officeDocument/2006/relationships" name="Executive Gantt" sheetId="2" r:id="Rc7811bf649004337"/>
    <x:sheet xmlns:r="http://schemas.openxmlformats.org/officeDocument/2006/relationships" name="Detailed Gantt" sheetId="3" r:id="R33bcc450856e4e27"/>
    <x:sheet xmlns:r="http://schemas.openxmlformats.org/officeDocument/2006/relationships" name="Weekly Control" sheetId="4" r:id="R17f4046e2aac4fe2"/>
    <x:sheet xmlns:r="http://schemas.openxmlformats.org/officeDocument/2006/relationships" name="Phase Summary" sheetId="5" r:id="R08c123ad543f4f8a"/>
    <x:sheet xmlns:r="http://schemas.openxmlformats.org/officeDocument/2006/relationships" name="Assumptions &amp; Gates" sheetId="6" r:id="R35a08e6b02cb4b1a"/>
    <x:sheet xmlns:r="http://schemas.openxmlformats.org/officeDocument/2006/relationships" name="Sources" sheetId="7" r:id="Rf1e4c0f1218b4827"/>
    <x:sheet xmlns:r="http://schemas.openxmlformats.org/officeDocument/2006/relationships" name="Legacy Baseline" sheetId="8" r:id="Rc5576c647ad74214"/>
    <x:sheet xmlns:r="http://schemas.openxmlformats.org/officeDocument/2006/relationships" name="Work Block Log" sheetId="9" r:id="R43b2ef6b754146d9"/>
    <x:sheet xmlns:r="http://schemas.openxmlformats.org/officeDocument/2006/relationships" name="Decision Register" sheetId="10" r:id="Rc15977662e61438d"/>
    <x:sheet xmlns:r="http://schemas.openxmlformats.org/officeDocument/2006/relationships" name="Risks &amp; Issues" sheetId="11" r:id="Re1a8219f6e0c457c"/>
    <x:sheet xmlns:r="http://schemas.openxmlformats.org/officeDocument/2006/relationships" name="Evidence Register" sheetId="12" r:id="R3fa7c1e731934105"/>
    <x:sheet xmlns:r="http://schemas.openxmlformats.org/officeDocument/2006/relationships" name="Expansion Backlog" sheetId="13" r:id="Rc5171fa4ada44841"/>
    <x:sheet xmlns:r="http://schemas.openxmlformats.org/officeDocument/2006/relationships" name="AI Context" sheetId="14" r:id="R094f0145e50a4e4b"/>
    <x:sheet xmlns:r="http://schemas.openxmlformats.org/officeDocument/2006/relationships" name="MVP Dashboard" sheetId="15" r:id="R09265e5897fb4adc"/>
    <x:sheet xmlns:r="http://schemas.openxmlformats.org/officeDocument/2006/relationships" name="Product Vision" sheetId="16" r:id="R388edc97175b462c"/>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<x:sst xmlns:x="http://schemas.openxmlformats.org/spreadsheetml/2006/main">
  <x:si>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</x:si>
  <x:si>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</x:si>
  <x:si>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</x:si>
  <x:si>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</x:si>
  <x:si>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</x:si>
  <x:si>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</x:si>
  <x:si>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</x:si>
  <x:si>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</x:si>
  <x:si>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</x:si>
  <x:si>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</x:si>
  <x:si>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</x:si>
  <x:si>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</x:si>
  <x:si>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</x:si>
  <x:si>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</x:si>
  <x:si>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</x:si>
  <x:si>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</x:si>
  <x:si>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</x:si>
  <x:si>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</x:si>
  <x:si>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</x:si>
  <x:si>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</x:si>
  <x:si>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</x:si>
  <x:si>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</x:si>
  <x:si>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</x:si>
  <x:si>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</x:si>
  <x:si>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</x:si>
  <x:si>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</x:si>
  <x:si>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</x:si>
  <x:si>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</x:si>
  <x:si>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</x:si>
  <x:si>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</x:si>
  <x:si>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</x:si>
  <x:si>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</x:si>
  <x:si>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</x:si>
  <x:si>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</x:si>
  <x:si>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</x:si>
  <x:si>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</x:si>
  <x:si>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</x:si>
  <x:si>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</x:si>
  <x:si>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</x:si>
  <x:si>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</x:si>
  <x:si>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</x:si>
  <x:si>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</x:si>
  <x:si>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</x:si>
  <x:si>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</x:si>
  <x:si>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</x:si>
  <x:si>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</x:si>
  <x:si>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</x:si>
  <x:si>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</x:si>
  <x:si>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</x:si>
  <x:si>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</x:si>
  <x:si>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</x:si>
  <x:si>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</x:si>
  <x:si>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</x:si>
  <x:si>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</x:si>
  <x:si>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</x:si>
  <x:si>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</x:si>
  <x:si>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</x:si>
  <x:si>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</x:si>
  <x:si>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</x:si>
  <x:si>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</x:si>
  <x:si>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</x:si>
  <x:si>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</x:si>
  <x:si>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</x:si>
  <x:si>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</x:si>
  <x:si>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</x:si>
  <x:si>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</x:si>
  <x:si>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</x:si>
  <x:si>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</x:si>
  <x:si>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</x:si>
  <x:si>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</x:si>
  <x:si>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</x:si>
  <x:si>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</x:si>
  <x:si>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</x:si>
  <x:si>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</x:si>
  <x:si>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</x:si>
  <x:si>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</x:si>
  <x:si>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</x:si>
  <x:si>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</x:si>
  <x:si>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</x:si>
  <x:si>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</x:si>
  <x:si>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</x:si>
  <x:si>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</x:si>
  <x:si>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</x:si>
  <x:si>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</x:si>
  <x:si>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</x:si>
  <x:si>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</x:si>
  <x:si>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</x:si>
  <x:si>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</x:si>
  <x:si>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</x:si>
  <x:si>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</x:si>
  <x:si>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</x:si>
  <x:si>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</x:si>
  <x:si>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</x:si>
  <x:si>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</x:si>
  <x:si>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</x:si>
  <x:si>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</x:si>
  <x:si>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</x:si>
  <x:si>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</x:si>
  <x:si>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</x:si>
  <x:si>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</x:si>
  <x:si>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</x:si>
  <x:si>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</x:si>
  <x:si>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</x:si>
  <x:si>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</x:si>
  <x:si>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</x:si>
  <x:si>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</x:si>
  <x:si>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</x:si>
  <x:si>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</x:si>
  <x:si>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</x:si>
  <x:si>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</x:si>
  <x:si>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</x:si>
  <x:si>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</x:si>
  <x:si>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</x:si>
  <x:si>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</x:si>
  <x:si>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</x:si>
  <x:si>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</x:si>
  <x:si>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</x:si>
  <x:si>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</x:si>
  <x:si>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</x:si>
  <x:si>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</x:si>
  <x:si>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</x:si>
  <x:si>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</x:si>
  <x:si>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</x:si>
  <x:si>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</x:si>
  <x:si>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</x:si>
  <x:si>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</x:si>
  <x:si>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</x:si>
  <x:si>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</x:si>
  <x:si>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</x:si>
  <x:si>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</x:si>
  <x:si>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</x:si>
  <x:si>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</x:si>
  <x:si>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</x:si>
  <x:si>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</x:si>
  <x:si>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</x:si>
  <x:si>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</x:si>
  <x:si>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</x:si>
  <x:si>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</x:si>
  <x:si>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</x:si>
  <x:si>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</x:si>
  <x:si>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</x:si>
  <x:si>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</x:si>
  <x:si>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</x:si>
  <x:si>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</x:si>
  <x:si>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</x:si>
  <x:si>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</x:si>
  <x:si>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</x:si>
  <x:si>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</x:si>
  <x:si>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</x:si>
  <x:si>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</x:si>
  <x:si>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</x:si>
  <x:si>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</x:si>
  <x:si>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</x:si>
  <x:si>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</x:si>
  <x:si>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</x:si>
  <x:si>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</x:si>
  <x:si>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</x:si>
  <x:si>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</x:si>
  <x:si>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</x:si>
  <x:si>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</x:si>
  <x:si>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</x:si>
  <x:si>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</x:si>
  <x:si>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</x:si>
  <x:si>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</x:si>
  <x:si>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</x:si>
  <x:si>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</x:si>
  <x:si>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</x:si>
  <x:si>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</x:si>
  <x:si>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</x:si>
  <x:si>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</x:si>
  <x:si>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</x:si>
  <x:si>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</x:si>
  <x:si>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</x:si>
  <x:si>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</x:si>
  <x:si>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</x:si>
  <x:si>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</x:si>
  <x:si>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</x:si>
  <x:si>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</x:si>
  <x:si>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</x:si>
  <x:si>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</x:si>
  <x:si>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</x:si>
  <x:si>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</x:si>
  <x:si>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</x:si>
  <x:si>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</x:si>
  <x:si>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</x:si>
  <x:si>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</x:si>
  <x:si>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</x:si>
  <x:si>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</x:si>
  <x:si>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</x:si>
  <x:si>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</x:si>
  <x:si>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Add minimal Python test workflow.</x:t>
  </x:si>
  <x:si>
    <x:t xml:space="preserve">No deployment pipeline in MVP.</x:t>
  </x:si>
  <x:si>
    <x:t xml:space="preserve">4.3</x:t>
  </x:si>
  <x:si>
    <x:t xml:space="preserve">Complete README and architecture documentation</x:t>
  </x:si>
  <x:si>
    <x:t xml:space="preserve">New reviewer can install, understand, run, and audit the MVP.</x:t>
  </x:si>
  <x:si>
    <x:t xml:space="preserve">2.4,3.4</x:t>
  </x:si>
  <x:si>
    <x:t xml:space="preserve">Commit architecture update; later add usage and benchmark sections.</x:t>
  </x:si>
  <x:si>
    <x:t xml:space="preserve">Documentation must match actual functionality.</x:t>
  </x:si>
  <x:si>
    <x:t xml:space="preserve">5.1</x:t>
  </x:si>
  <x:si>
    <x:t xml:space="preserve">Create portfolio demo</x:t>
  </x:si>
  <x:si>
    <x:t xml:space="preserve">One scripted end-to-end case shows pass, failure evidence, and result record.</x:t>
  </x:si>
  <x:si>
    <x:t xml:space="preserve">3.4,4.3</x:t>
  </x:si>
  <x:si>
    <x:t xml:space="preserve">Create concise terminal demo and captured output.</x:t>
  </x:si>
  <x:si>
    <x:t xml:space="preserve">No frontend required.</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</x:si>
  <x:si>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</x:si>
  <x:si>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</x:si>
  <x:si>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</x:si>
  <x:si>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</x:si>
  <x:si>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</x:si>
  <x:si>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</x:si>
  <x:si>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</x:si>
  <x:si>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</x:si>
  <x:si>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</x:si>
  <x:si>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</x:si>
  <x:si>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</x:si>
  <x:si>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</x:si>
  <x:si>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</x:si>
  <x:si>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</x:si>
  <x:si>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</x:si>
  <x:si>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</x:si>
  <x:si>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</x:si>
  <x:si>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</x:si>
  <x:si>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</x:si>
  <x:si>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</x:si>
  <x:si>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</x:si>
  <x:si>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</x:si>
  <x:si>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</x:si>
  <x:si>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</x:si>
  <x:si>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</x:si>
  <x:si>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</x:si>
  <x:si>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</x:si>
  <x:si>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</x:si>
  <x:si>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</x:si>
  <x:si>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</x:si>
  <x:si>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</x:si>
  <x:si>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</x:si>
  <x:si>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</x:si>
  <x:si>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</x:si>
  <x:si>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</x:si>
  <x:si>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</x:si>
  <x:si>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</x:si>
  <x:si>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</x:si>
  <x:si>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</x:si>
  <x:si>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</x:si>
  <x:si>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</x:si>
  <x:si>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</x:si>
  <x:si>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</x:si>
  <x:si>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</x:si>
  <x:si>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</x:si>
  <x:si>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</x:si>
  <x:si>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</x:si>
  <x:si>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</x:si>
  <x:si>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</x:si>
  <x:si>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</x:si>
  <x:si>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</x:si>
  <x:si>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</x:si>
  <x:si>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</x:si>
  <x:si>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</x:si>
  <x:si>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</x:si>
  <x:si>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</x:si>
  <x:si>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</x:si>
  <x:si>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</x:si>
  <x:si>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</x:si>
  <x:si>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</x:si>
  <x:si>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</x:si>
  <x:si>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</x:si>
  <x:si>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</x:si>
  <x:si>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</x:si>
  <x:si>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</x:si>
  <x:si>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</x:si>
  <x:si>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</x:si>
  <x:si>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</x:si>
  <x:si>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Planned</x:t>
  </x:si>
  <x:si>
    <x:t xml:space="preserve">Five reviewed cases, held-out split, and reproducible baseline benchmark exist.</x:t>
  </x:si>
  <x:si>
    <x:t xml:space="preserve">Case review records; benchmark report</x:t>
  </x:si>
  <x:si>
    <x:t xml:space="preserve">Authorize release hardening.</x:t>
  </x:si>
  <x:si>
    <x:t xml:space="preserve">Gate 5</x:t>
  </x:si>
  <x:si>
    <x:t xml:space="preserve">CI is green; README and architecture match implementation; portfolio demo works.</x:t>
  </x:si>
  <x:si>
    <x:t xml:space="preserve">CI run; docs; demo output</x:t>
  </x:si>
  <x:si>
    <x:t xml:space="preserve">Authorize final acceptance.</x:t>
  </x:si>
  <x:si>
    <x:t xml:space="preserve">Gate 6</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</x:si>
  <x:si>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</x:si>
  <x:si>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</x:si>
  <x:si>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</x:si>
  <x:si>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</x:si>
  <x:si>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</x:si>
  <x:si>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</x:si>
  <x:si>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</x:si>
  <x:si>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</x:si>
  <x:si>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</x:si>
  <x:si>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</x:si>
  <x:si>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</x:si>
  <x:si>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</x:si>
  <x:si>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</x:si>
  <x:si>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</x:si>
  <x:si>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</x:si>
  <x:si>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</x:si>
  <x:si>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</x:si>
  <x:si>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</x:si>
  <x:si>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</x:si>
  <x:si>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</x:si>
  <x:si>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</x:si>
  <x:si>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</x:si>
  <x:si>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</x:si>
  <x:si>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</x:si>
  <x:si>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</x:si>
  <x:si>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</x:si>
  <x:si>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</x:si>
  <x:si>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</x:si>
  <x:si>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</x:si>
  <x:si>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</x:si>
  <x:si>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</x:si>
  <x:si>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</x:si>
  <x:si>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</x:si>
  <x:si>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</x:si>
  <x:si>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</x:si>
  <x:si>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</x:si>
  <x:si>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</x:si>
  <x:si>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</x:si>
  <x:si>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</x:si>
  <x:si>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</x:si>
  <x:si>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</x:si>
  <x:si>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</x:si>
  <x:si>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</x:si>
  <x:si>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</x:si>
  <x:si>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</x:si>
  <x:si>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</x:si>
  <x:si>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</x:si>
  <x:si>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</x:si>
  <x:si>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</x:si>
  <x:si>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</x:si>
  <x:si>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</x:si>
  <x:si>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</x:si>
  <x:si>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</x:si>
  <x:si>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</x:si>
  <x:si>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</x:si>
  <x:si>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</x:si>
  <x:si>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</x:si>
  <x:si>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</x:si>
  <x:si>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</x:si>
  <x:si>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</x:si>
  <x:si>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</x:si>
  <x:si>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</x:si>
  <x:si>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</x:si>
  <x:si>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</x:si>
  <x:si>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</x:si>
  <x:si>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</x:si>
  <x:si>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</x:si>
  <x:si>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</x:si>
  <x:si>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</x:si>
  <x:si>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</x:si>
  <x:si>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</x:si>
  <x:si>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</x:si>
  <x:si>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</x:si>
  <x:si>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</x:si>
  <x:si>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</x:si>
  <x:si>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</x:si>
  <x:si>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</x:si>
  <x:si>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</x:si>
  <x:si>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</x:si>
  <x:si>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</x:si>
  <x:si>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</x:si>
  <x:si>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</x:si>
  <x:si>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</x:si>
  <x:si>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</x:si>
  <x:si>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</x:si>
  <x:si>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</x:si>
  <x:si>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</x:si>
  <x:si>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</x:si>
  <x:si>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</x:si>
  <x:si>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</x:si>
  <x:si>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</x:si>
  <x:si>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</x:si>
  <x:si>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</x:si>
  <x:si>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</x:si>
  <x:si>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</x:si>
  <x:si>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</x:si>
  <x:si>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</x:si>
  <x:si>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</x:si>
  <x:si>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</x:si>
  <x:si>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</x:si>
  <x:si>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</x:si>
  <x:si>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</x:si>
  <x:si>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</x:si>
  <x:si>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</x:si>
  <x:si>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</x:si>
  <x:si>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</x:si>
  <x:si>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</x:si>
  <x:si>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</x:si>
  <x:si>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</x:si>
  <x:si>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</x:si>
  <x:si>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</x:si>
  <x:si>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</x:si>
  <x:si>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</x:si>
  <x:si>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</x:si>
  <x:si>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</x:si>
  <x:si>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</x:si>
  <x:si>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</x:si>
  <x:si>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</x:si>
  <x:si>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</x:si>
  <x:si>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</x:si>
  <x:si>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</x:si>
  <x:si>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</x:si>
  <x:si>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</x:si>
  <x:si>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</x:si>
  <x:si>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</x:si>
  <x:si>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</x:si>
  <x:si>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</x:si>
  <x:si>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</x:si>
  <x:si>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</x:si>
  <x:si>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</x:si>
  <x:si>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</x:si>
  <x:si>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</x:si>
  <x:si>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</x:si>
  <x:si>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</x:si>
  <x:si>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</x:si>
  <x:si>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</x:si>
  <x:si>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</x:si>
  <x:si>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</x:si>
  <x:si>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</x:si>
  <x:si>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</x:si>
  <x:si>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</x:si>
  <x:si>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</x:si>
  <x:si>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</x:si>
  <x:si>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</x:si>
  <x:si>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</x:si>
  <x:si>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</x:si>
  <x:si>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</x:si>
  <x:si>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</x:si>
  <x:si>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</x:si>
  <x:si>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</x:si>
  <x:si>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</x:si>
  <x:si>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</x:si>
  <x:si>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</x:si>
  <x:si>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</x:si>
  <x:si>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</x:si>
  <x:si>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</x:si>
  <x:si>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</x:si>
  <x:si>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</x:si>
  <x:si>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</x:si>
  <x:si>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</x:si>
  <x:si>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</x:si>
  <x:si>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</x:si>
  <x:si>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</x:si>
  <x:si>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</x:si>
  <x:si>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</x:si>
  <x:si>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</x:si>
  <x:si>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</x:si>
  <x:si>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</x:si>
  <x:si>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</x:si>
  <x:si>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</x:si>
  <x:si>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</x:si>
  <x:si>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</x:si>
  <x:si>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</x:si>
  <x:si>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</x:si>
  <x:si>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</x:si>
  <x:si>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</x:si>
  <x:si>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</x:si>
  <x:si>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</x:si>
  <x:si>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</x:si>
  <x:si>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</x:si>
  <x:si>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</x:si>
  <x:si>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</x:si>
  <x:si>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</x:si>
  <x:si>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</x:si>
  <x:si>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</x:si>
  <x:si>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</x:si>
  <x:si>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</x:si>
  <x:si>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</x:si>
  <x:si>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</x:si>
  <x:si>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</x:si>
  <x:si>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</x:si>
  <x:si>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</x:si>
  <x:si>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</x:si>
  <x:si>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</x:si>
  <x:si>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</x:si>
  <x:si>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</x:si>
  <x:si>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</x:si>
  <x:si>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</x:si>
  <x:si>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</x:si>
  <x:si>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</x:si>
  <x:si>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</x:si>
  <x:si>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</x:si>
  <x:si>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</x:si>
  <x:si>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</x:si>
  <x:si>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</x:si>
  <x:si>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</x:si>
  <x:si>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</x:si>
  <x:si>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</x:si>
  <x:si>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</x:si>
  <x:si>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</x:si>
  <x:si>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</x:si>
  <x:si>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</x:si>
  <x:si>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</x:si>
  <x:si>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</x:si>
  <x:si>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</x:si>
  <x:si>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</x:si>
  <x:si>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</x:si>
  <x:si>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</x:si>
  <x:si>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</x:si>
  <x:si>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</x:si>
  <x:si>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</x:si>
  <x:si>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</x:si>
  <x:si>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</x:si>
  <x:si>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</x:si>
  <x:si>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</x:si>
  <x:si>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</x:si>
  <x:si>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</x:si>
  <x:si>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</x:si>
  <x:si>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</x:si>
  <x:si>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</x:si>
  <x:si>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</x:si>
  <x:si>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</x:si>
  <x:si>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</x:si>
  <x:si>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</x:si>
  <x:si>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</x:si>
  <x:si>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</x:si>
  <x:si>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</x:si>
  <x:si>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</x:si>
  <x:si>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</x:si>
  <x:si>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</x:si>
  <x:si>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</x:si>
  <x:si>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</x:si>
  <x:si>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</x:si>
  <x:si>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</x:si>
  <x:si>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</x:si>
  <x:si>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</x:si>
  <x:si>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</x:si>
  <x:si>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</x:si>
  <x:si>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</x:si>
  <x:si>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</x:si>
  <x:si>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</x:si>
  <x:si>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</x:si>
  <x:si>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</x:si>
  <x:si>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</x:si>
  <x:si>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</x:si>
  <x:si>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</x:si>
  <x:si>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</x:si>
  <x:si>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</x:si>
  <x:si>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</x:si>
  <x:si>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</x:si>
  <x:si>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</x:si>
  <x:si>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</x:si>
  <x:si>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</x:si>
  <x:si>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</x:si>
  <x:si>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</x:si>
  <x:si>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</x:si>
  <x:si>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</x:si>
  <x:si>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</x:si>
  <x:si>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</x:si>
  <x:si>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</x:si>
  <x:si>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</x:si>
  <x:si>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</x:si>
  <x:si>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</x:si>
  <x:si>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</x:si>
  <x:si>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</x:si>
  <x:si>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</x:si>
  <x:si>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</x:si>
  <x:si>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</x:si>
  <x:si>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</x:si>
  <x:si>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</x:si>
  <x:si>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</x:si>
  <x:si>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</x:si>
  <x:si>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</x:si>
  <x:si>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</x:si>
  <x:si>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</x:si>
  <x:si>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</x:si>
  <x:si>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</x:si>
  <x:si>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</x:si>
  <x:si>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</x:si>
  <x:si>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</x:si>
  <x:si>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</x:si>
  <x:si>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</x:si>
  <x:si>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</x:si>
  <x:si>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</x:si>
  <x:si>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</x:si>
  <x:si>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</x:si>
  <x:si>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</x:si>
  <x:si>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</x:si>
  <x:si>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</x:si>
  <x:si>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</x:si>
  <x:si>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</x:si>
  <x:si>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</x:si>
  <x:si>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</x:si>
  <x:si>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</x:si>
  <x:si>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</x:si>
  <x:si>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</x:si>
  <x:si>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</x:si>
  <x:si>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</x:si>
  <x:si>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</x:si>
  <x:si>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</x:si>
  <x:si>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</x:si>
  <x:si>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</x:si>
  <x:si>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</x:si>
  <x:si>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</x:si>
  <x:si>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</x:si>
  <x:si>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</x:si>
  <x:si>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</x:si>
  <x:si>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</x:si>
  <x:si>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</x:si>
  <x:si>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</x:si>
  <x:si>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</x:si>
  <x:si>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</x:si>
  <x:si>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</x:si>
  <x:si>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</x:si>
  <x:si>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</x:si>
  <x:si>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</x:si>
  <x:si>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</x:si>
  <x:si>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</x:si>
  <x:si>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</x:si>
  <x:si>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</x:si>
  <x:si>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</x:si>
  <x:si>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</x:si>
  <x:si>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</x:si>
  <x:si>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</x:si>
  <x:si>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</x:si>
  <x:si>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</x:si>
  <x:si>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</x:si>
  <x:si>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</x:si>
  <x:si>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</x:si>
  <x:si>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</x:si>
  <x:si>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</x:si>
  <x:si>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</x:si>
  <x:si>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</x:si>
  <x:si>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</x:si>
  <x:si>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</x:si>
  <x:si>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</x:si>
  <x:si>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</x:si>
  <x:si>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</x:si>
  <x:si>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</x:si>
  <x:si>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</x:si>
  <x:si>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</x:si>
  <x:si>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</x:si>
  <x:si>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</x:si>
  <x:si>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</x:si>
  <x:si>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</x:si>
  <x:si>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</x:si>
  <x:si>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</x:si>
  <x:si>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</x:si>
  <x:si>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</x:si>
  <x:si>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</x:si>
  <x:si>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</x:si>
  <x:si>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</x:si>
  <x:si>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</x:si>
  <x:si>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</x:si>
  <x:si>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</x:si>
  <x:si>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</x:si>
  <x:si>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</x:si>
  <x:si>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</x:si>
  <x:si>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</x:si>
  <x:si>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</x:si>
  <x:si>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</x:si>
  <x:si>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</x:si>
  <x:si>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</x:si>
  <x:si>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</x:si>
  <x:si>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</x:si>
  <x:si>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</x:si>
  <x:si>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</x:si>
  <x:si>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</x:si>
  <x:si>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</x:si>
  <x:si>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</x:si>
  <x:si>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</x:si>
  <x:si>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</x:si>
  <x:si>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</x:si>
  <x:si>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</x:si>
  <x:si>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</x:si>
  <x:si>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</x:si>
  <x:si>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</x:si>
  <x:si>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</x:si>
  <x:si>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</x:si>
  <x:si>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</x:si>
  <x:si>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</x:si>
  <x:si>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</x:si>
  <x:si>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</x:si>
  <x:si>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</x:si>
  <x:si>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</x:si>
  <x:si>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</x:si>
  <x:si>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</x:si>
  <x:si>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</x:si>
  <x:si>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</x:si>
  <x:si>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</x:si>
  <x:si>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</x:si>
  <x:si>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</x:si>
  <x:si>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</x:si>
  <x:si>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</x:si>
  <x:si>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</x:si>
  <x:si>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</x:si>
  <x:si>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</x:si>
  <x:si>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</x:si>
  <x:si>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</x:si>
  <x:si>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</x:si>
  <x:si>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</x:si>
  <x:si>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</x:si>
  <x:si>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</x:si>
  <x:si>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</x:si>
  <x:si>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</x:si>
  <x:si>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</x:si>
  <x:si>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</x:si>
  <x:si>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</x:si>
  <x:si>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</x:si>
  <x:si>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</x:si>
  <x:si>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</x:si>
  <x:si>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</x:si>
  <x:si>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</x:si>
  <x:si>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</x:si>
  <x:si>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</x:si>
  <x:si>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</x:si>
  <x:si>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</x:si>
  <x:si>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</x:si>
  <x:si>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</x:si>
  <x:si>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</x:si>
  <x:si>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</x:si>
  <x:si>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</x:si>
  <x:si>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</x:si>
  <x:si>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</x:si>
  <x:si>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</x:si>
  <x:si>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</x:si>
  <x:si>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</x:si>
  <x:si>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</x:si>
  <x:si>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</x:si>
  <x:si>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</x:si>
  <x:si>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</x:si>
  <x:si>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</x:si>
  <x:si>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</x:si>
  <x:si>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</x:si>
  <x:si>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</x:si>
  <x:si>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</x:si>
  <x:si>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</x:si>
  <x:si>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</x:si>
  <x:si>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</x:si>
  <x:si>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</x:si>
  <x:si>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</x:si>
  <x:si>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</x:si>
  <x:si>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</x:si>
  <x:si>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</x:si>
  <x:si>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</x:si>
  <x:si>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</x:si>
  <x:si>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</x:si>
  <x:si>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</x:si>
  <x:si>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</x:si>
  <x:si>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</x:si>
  <x:si>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</x:si>
  <x:si>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</x:si>
  <x:si>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</x:si>
  <x:si>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</x:si>
  <x:si>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</x:si>
  <x:si>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</x:si>
  <x:si>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</x:si>
  <x:si>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</x:si>
  <x:si>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</x:si>
  <x:si>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</x:si>
  <x:si>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</x:si>
  <x:si>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</x:si>
  <x:si>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</x:si>
  <x:si>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</x:si>
  <x:si>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</x:si>
  <x:si>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</x:si>
  <x:si>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</x:si>
  <x:si>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</x:si>
  <x:si>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</x:si>
  <x:si>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</x:si>
  <x:si>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</x:si>
  <x:si>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</x:si>
  <x:si>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</x:si>
  <x:si>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</x:si>
  <x:si>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</x:si>
  <x:si>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</x:si>
  <x:si>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</x:si>
  <x:si>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</x:si>
  <x:si>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</x:si>
  <x:si>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</x:si>
  <x:si>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</x:si>
  <x:si>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</x:si>
  <x:si>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</x:si>
  <x:si>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</x:si>
  <x:si>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</x:si>
  <x:si>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</x:si>
  <x:si>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</x:si>
  <x:si>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</x:si>
  <x:si>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</x:si>
  <x:si>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</x:si>
  <x:si>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</x:si>
  <x:si>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</x:si>
  <x:si>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</x:si>
  <x:si>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</x:si>
  <x:si>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</x:si>
  <x:si>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</x:si>
  <x:si>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</x:si>
  <x:si>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</x:si>
  <x:si>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</x:si>
  <x:si>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</x:si>
  <x:si>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</x:si>
  <x:si>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</x:si>
  <x:si>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</x:si>
  <x:si>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</x:si>
  <x:si>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</x:si>
  <x:si>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</x:si>
  <x:si>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</x:si>
  <x:si>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</x:si>
  <x:si>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</x:si>
  <x:si>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</x:si>
  <x:si>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</x:si>
  <x:si>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</x:si>
  <x:si>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</x:si>
  <x:si>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</x:si>
  <x:si>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</x:si>
  <x:si>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</x:si>
  <x:si>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</x:si>
  <x:si>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</x:si>
  <x:si>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</x:si>
  <x:si>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</x:si>
  <x:si>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</x:si>
  <x:si>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</x:si>
  <x:si>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</x:si>
  <x:si>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</x:si>
  <x:si>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</x:si>
  <x:si>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</x:si>
  <x:si>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</x:si>
  <x:si>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</x:si>
  <x:si>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</x:si>
  <x:si>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</x:si>
  <x:si>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</x:si>
  <x:si>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</x:si>
  <x:si>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</x:si>
  <x:si>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</x:si>
  <x:si>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</x:si>
  <x:si>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</x:si>
  <x:si>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</x:si>
  <x:si>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</x:si>
  <x:si>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</x:si>
  <x:si>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</x:si>
  <x:si>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</x:si>
  <x:si>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</x:si>
  <x:si>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</x:si>
  <x:si>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</x:si>
  <x:si>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</x:si>
  <x:si>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</x:si>
  <x:si>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</x:si>
  <x:si>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</x:si>
  <x:si>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</x:si>
  <x:si>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</x:si>
  <x:si>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</x:si>
  <x:si>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</x:si>
  <x:si>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</x:si>
  <x:si>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</x:si>
  <x:si>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</x:si>
  <x:si>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</x:si>
  <x:si>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</x:si>
  <x:si>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</x:si>
  <x:si>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</x:si>
  <x:si>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</x:si>
  <x:si>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</x:si>
  <x:si>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</x:si>
  <x:si>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</x:si>
  <x:si>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</x:si>
  <x:si>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</x:si>
  <x:si>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</x:si>
  <x:si>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</x:si>
  <x:si>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</x:si>
  <x:si>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</x:si>
  <x:si>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</x:si>
  <x:si>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</x:si>
  <x:si>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</x:si>
  <x:si>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</x:si>
  <x:si>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</x:si>
  <x:si>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</x:si>
  <x:si>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</x:si>
  <x:si>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</x:si>
  <x:si>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</x:si>
  <x:si>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</x:si>
  <x:si>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</x:si>
  <x:si>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</x:si>
  <x:si>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</x:si>
  <x:si>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</x:si>
  <x:si>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</x:si>
  <x:si>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</x:si>
  <x:si>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</x:si>
  <x:si>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</x:si>
  <x:si>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</x:si>
  <x:si>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</x:si>
  <x:si>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</x:si>
  <x:si>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</x:si>
  <x:si>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</x:si>
  <x:si>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</x:si>
  <x:si>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</x:si>
  <x:si>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</x:si>
  <x:si>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</x:si>
  <x:si>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</x:si>
  <x:si>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</x:si>
  <x:si>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</x:si>
  <x:si>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</x:si>
  <x:si>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</x:si>
  <x:si>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</x:si>
  <x:si>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</x:si>
  <x:si>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</x:si>
  <x:si>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</x:si>
  <x:si>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</x:si>
  <x:si>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</x:si>
  <x:si>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</x:si>
  <x:si>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</x:si>
  <x:si>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</x:si>
  <x:si>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</x:si>
  <x:si>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</x:si>
  <x:si>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</x:si>
  <x:si>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</x:si>
  <x:si>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</x:si>
  <x:si>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</x:si>
  <x:si>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</x:si>
  <x:si>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</x:si>
  <x:si>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</x:si>
  <x:si>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</x:si>
  <x:si>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Control rule</x:t>
  </x:si>
  <x:si>
    <x:t xml:space="preserve">One branch per coherent capability; tests support product.</x:t>
  </x:si>
  <x:si>
    <x:t xml:space="preserve">Planning or test-building may displace implementation.</x:t>
  </x:si>
  <x:si>
    <x:t xml:space="preserve">Response</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</x:si>
  <x:si>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</x:si>
  <x:si>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</x:si>
  <x:si>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</x:si>
  <x:si>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</x:si>
  <x:si>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</x:si>
  <x:si>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</x:si>
  <x:si>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</x:si>
  <x:si>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</x:si>
  <x:si>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</x:si>
  <x:si>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</x:si>
  <x:si>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</x:si>
  <x:si>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</x:si>
  <x:si>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</x:si>
  <x:si>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Immediate implication</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</x:si>
  <x:si>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</x:si>
  <x:si>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</x:si>
  <x:si>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</x:si>
  <x:si>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</x:si>
  <x:si>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</x:si>
  <x:si>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</x:si>
  <x:si>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</x:si>
  <x:si>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</x:si>
  <x:si>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</x:si>
  <x:si>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</x:si>
  <x:si>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</x:si>
  <x:si>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Current Main</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</x:si>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</x:sst>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2">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3e8f5c1b31e43f0" /><Relationship Type="http://schemas.openxmlformats.org/officeDocument/2006/relationships/theme" Target="/xl/theme/theme1.xml" Id="Rfd0e0884c30e49e3" /><Relationship Type="http://schemas.openxmlformats.org/officeDocument/2006/relationships/sharedStrings" Target="/xl/sharedStrings.xml" Id="Ra2ae7b615cc24d83" /><Relationship Type="http://schemas.openxmlformats.org/officeDocument/2006/relationships/worksheet" Target="/xl/worksheets/sheet1.xml" Id="R27eebe9ec28d4e8a" /><Relationship Type="http://schemas.openxmlformats.org/officeDocument/2006/relationships/worksheet" Target="/xl/worksheets/sheet2.xml" Id="Rc7811bf649004337" /><Relationship Type="http://schemas.openxmlformats.org/officeDocument/2006/relationships/worksheet" Target="/xl/worksheets/sheet3.xml" Id="R33bcc450856e4e27" /><Relationship Type="http://schemas.openxmlformats.org/officeDocument/2006/relationships/worksheet" Target="/xl/worksheets/sheet4.xml" Id="R17f4046e2aac4fe2" /><Relationship Type="http://schemas.openxmlformats.org/officeDocument/2006/relationships/worksheet" Target="/xl/worksheets/sheet5.xml" Id="R08c123ad543f4f8a" /><Relationship Type="http://schemas.openxmlformats.org/officeDocument/2006/relationships/worksheet" Target="/xl/worksheets/sheet6.xml" Id="R35a08e6b02cb4b1a" /><Relationship Type="http://schemas.openxmlformats.org/officeDocument/2006/relationships/worksheet" Target="/xl/worksheets/sheet7.xml" Id="Rf1e4c0f1218b4827" /><Relationship Type="http://schemas.openxmlformats.org/officeDocument/2006/relationships/worksheet" Target="/xl/worksheets/sheet8.xml" Id="Rc5576c647ad74214" /><Relationship Type="http://schemas.openxmlformats.org/officeDocument/2006/relationships/worksheet" Target="/xl/worksheets/sheet9.xml" Id="R43b2ef6b754146d9" /><Relationship Type="http://schemas.openxmlformats.org/officeDocument/2006/relationships/worksheet" Target="/xl/worksheets/sheet10.xml" Id="Rc15977662e61438d" /><Relationship Type="http://schemas.openxmlformats.org/officeDocument/2006/relationships/worksheet" Target="/xl/worksheets/sheet11.xml" Id="Re1a8219f6e0c457c" /><Relationship Type="http://schemas.openxmlformats.org/officeDocument/2006/relationships/worksheet" Target="/xl/worksheets/sheet12.xml" Id="R3fa7c1e731934105" /><Relationship Type="http://schemas.openxmlformats.org/officeDocument/2006/relationships/worksheet" Target="/xl/worksheets/sheet13.xml" Id="Rc5171fa4ada44841" /><Relationship Type="http://schemas.openxmlformats.org/officeDocument/2006/relationships/worksheet" Target="/xl/worksheets/sheet14.xml" Id="R094f0145e50a4e4b" /><Relationship Type="http://schemas.openxmlformats.org/officeDocument/2006/relationships/worksheet" Target="/xl/worksheets/sheet15.xml" Id="R09265e5897fb4adc" /><Relationship Type="http://schemas.openxmlformats.org/officeDocument/2006/relationships/worksheet" Target="/xl/worksheets/sheet16.xml" Id="R388edc97175b462c" /></Relationships>
</file>

<file path=xl/drawings/_rels/drawing1.xml.rels>&#65279;<?xml version="1.0" encoding="utf-8"?><Relationships xmlns="http://schemas.openxmlformats.org/package/2006/relationships"><Relationship Type="http://schemas.openxmlformats.org/officeDocument/2006/relationships/chart" Target="/xl/drawings/charts/chart1.xml" Id="R52410dfb491a4882" /></Relationships>
</file>

<file path=xl/drawings/_rels/drawing2.xml.rels>&#65279;<?xml version="1.0" encoding="utf-8"?><Relationships xmlns="http://schemas.openxmlformats.org/package/2006/relationships"><Relationship Type="http://schemas.openxmlformats.org/officeDocument/2006/relationships/chart" Target="/xl/drawings/charts/chart2.xml" Id="Re14e892606d04294" /></Relationships>
</file>

<file path=xl/drawings/_rels/drawing3.xml.rels>&#65279;<?xml version="1.0" encoding="utf-8"?><Relationships xmlns="http://schemas.openxmlformats.org/package/2006/relationships"><Relationship Type="http://schemas.openxmlformats.org/officeDocument/2006/relationships/chart" Target="/xl/drawings/charts/chart3.xml" Id="R7914c27b11304b1a"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2410dfb491a4882"/>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14e892606d04294"/>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914c27b11304b1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b48f805c8de4fba" /></Relationships>
</file>

<file path=xl/worksheets/_rels/sheet5.xml.rels>&#65279;<?xml version="1.0" encoding="utf-8"?><Relationships xmlns="http://schemas.openxmlformats.org/package/2006/relationships"><Relationship Type="http://schemas.openxmlformats.org/officeDocument/2006/relationships/drawing" Target="/xl/drawings/drawing2.xml" Id="Ra235e8b13e254c3c" /></Relationships>
</file>

<file path=xl/worksheets/_rels/sheet15.xml.rels>&#65279;<?xml version="1.0" encoding="utf-8"?><Relationships xmlns="http://schemas.openxmlformats.org/package/2006/relationships"><Relationship Type="http://schemas.openxmlformats.org/officeDocument/2006/relationships/drawing" Target="/xl/drawings/drawing3.xml" Id="Rd303d28db0d1419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v>15.58</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v>0.7513157894736842</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4" customHeight="1">
      <x:c r="A11" s="158" t="s">
        <x:v>27</x:v>
      </x:c>
      <x:c r="B11" s="163" t="str">
        <x:v>main synchronized after WBS 3.2 merge 50df7a9; five reviewed cases validate; 111 tests passing</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customHeight="1">
      <x:c r="A12" s="119" t="s">
        <x:v>28</x:v>
      </x:c>
      <x:c r="B12" s="163" t="str">
        <x:v>3.3 — Assign held-out split and review checklist</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24" customHeight="1">
      <x:c r="A13" s="119" t="s">
        <x:v>29</x:v>
      </x:c>
      <x:c r="B13" s="163" t="str">
        <x:v>3.4 — Run baseline benchmark and failure summary</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2" customHeight="1">
      <x:c r="A28" s="591" t="str">
        <x:v>WBS 3.2 is complete. MECH-004 cross-document BOM reconciliation and MECH-005 thermal expansion were added with independently reconstructed references, deterministic evaluators, representative passing/failing candidates, engineering verification documentation, and regression tests. PR #16 merged in 50df7a9 with five cases validating and 111 tests passing. The active milestone is WBS 3.3: designate and freeze at least one held-out case, document provenance/correctness/evaluability review and split rationale, and prohibit tuning against held-out artifacts before the baseline benchmark. Keep multimodal, agent, API/database, observability, deployment, governance-pack, and RL implementation deferred.</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1.55</x:v>
      </x:c>
      <x:c r="E7" s="122" t="n">
        <x:f>IF(C7=0,0,SUMPRODUCT(('Detailed Gantt'!$B$6:$B$27=B7)*'Detailed Gantt'!$F$6:$F$27*'Detailed Gantt'!$L$6:$L$27)/C7)</x:f>
        <x:v>0.6428571428571429</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x:v>
      </x:c>
      <x:c r="E8" s="122" t="n">
        <x:f>IF(C8=0,0,SUMPRODUCT(('Detailed Gantt'!$B$6:$B$27=B8)*'Detailed Gantt'!$F$6:$F$27*'Detailed Gantt'!$L$6:$L$27)/C8)</x:f>
        <x:v>0.26249999999999996</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15.580000000000002</x:v>
      </x:c>
      <x:c r="E10" s="123" t="n">
        <x:f>SUMPRODUCT(C4:C9,E4:E9)/C10</x:f>
        <x:v>0.7513157894736843</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str">
        <x:f t="shared" ref="P6:P37" si="5">MAX(F6*(1-M6),0)</x:f>
        <x:v>Local environment and repository baseline; EV-001.</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171</x:v>
      </x:c>
      <x:c r="B19" s="637" t="s">
        <x:v>93</x:v>
      </x:c>
      <x:c r="C19" s="621" t="s">
        <x:v>172</x:v>
      </x:c>
      <x:c r="D19" s="621" t="s">
        <x:v>173</x:v>
      </x:c>
      <x:c r="E19" s="621" t="s">
        <x:v>174</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175</x:v>
      </x:c>
      <x:c r="B20" s="637" t="s">
        <x:v>93</x:v>
      </x:c>
      <x:c r="C20" s="613" t="s">
        <x:v>176</x:v>
      </x:c>
      <x:c r="D20" s="613" t="s">
        <x:v>177</x:v>
      </x:c>
      <x:c r="E20" s="613" t="s">
        <x:v>171</x:v>
      </x:c>
      <x:c r="F20" s="615">
        <x:v>2</x:v>
      </x:c>
      <x:c r="G20" s="616">
        <x:v>6</x:v>
      </x:c>
      <x:c r="H20" s="616">
        <x:v>6</x:v>
      </x:c>
      <x:c r="I20" s="617">
        <x:f t="shared" si="0"/>
        <x:v>46237</x:v>
      </x:c>
      <x:c r="J20" s="617">
        <x:f t="shared" si="1"/>
        <x:v>46243</x:v>
      </x:c>
      <x:c r="K20" s="617" t="str">
        <x:f t="shared" si="2"/>
        <x:v>Not Started</x:v>
      </x:c>
      <x:c r="L20" s="618">
        <x:v>0</x:v>
      </x:c>
      <x:c r="M20" s="619" t="n">
        <x:f>SUMIF('Work Block Log'!$E$5:$E$200,A20,'Work Block Log'!$F$5:$F$200)</x:f>
        <x:v>0</x:v>
      </x:c>
      <x:c r="N20" s="619">
        <x:f t="shared" si="3"/>
        <x:v>2</x:v>
      </x:c>
      <x:c r="O20" s="619">
        <x:f t="shared" si="4"/>
        <x:v>-2</x:v>
      </x:c>
      <x:c r="P20" s="616" t="str">
        <x:f t="shared" si="5"/>
        <x:v>feature/held-out-split</x:v>
      </x:c>
      <x:c r="Q20" s="613" t="str">
        <x:v>Assign at least one held-out case; document provenance, correctness, evaluability, freeze state, and no-tuning rationale.</x:v>
      </x:c>
      <x:c r="R20" s="641" t="str">
        <x:v>Do not tune evaluator logic, thresholds, or candidate fixtures against held-out artifacts.</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178</x:v>
      </x:c>
      <x:c r="B21" s="637" t="s">
        <x:v>93</x:v>
      </x:c>
      <x:c r="C21" s="621" t="s">
        <x:v>179</x:v>
      </x:c>
      <x:c r="D21" s="621" t="s">
        <x:v>180</x:v>
      </x:c>
      <x:c r="E21" s="621" t="s">
        <x:v>181</x:v>
      </x:c>
      <x:c r="F21" s="623">
        <x:v>3</x:v>
      </x:c>
      <x:c r="G21" s="624">
        <x:v>6</x:v>
      </x:c>
      <x:c r="H21" s="624">
        <x:v>6</x:v>
      </x:c>
      <x:c r="I21" s="625">
        <x:f t="shared" si="0"/>
        <x:v>46237</x:v>
      </x:c>
      <x:c r="J21" s="625">
        <x:f t="shared" si="1"/>
        <x:v>46243</x:v>
      </x:c>
      <x:c r="K21" s="625" t="str">
        <x:f t="shared" si="2"/>
        <x:v>Not Started</x:v>
      </x:c>
      <x:c r="L21" s="626">
        <x:v>0</x:v>
      </x:c>
      <x:c r="M21" s="627" t="n">
        <x:f>SUMIF('Work Block Log'!$E$5:$E$200,A21,'Work Block Log'!$F$5:$F$200)</x:f>
        <x:v>0</x:v>
      </x:c>
      <x:c r="N21" s="627">
        <x:f t="shared" si="3"/>
        <x:v>3</x:v>
      </x:c>
      <x:c r="O21" s="627">
        <x:f t="shared" si="4"/>
        <x:v>-3</x:v>
      </x:c>
      <x:c r="P21" s="624" t="str">
        <x:f t="shared" si="5"/>
        <x:v>feature/baseline-benchmark</x:v>
      </x:c>
      <x:c r="Q21" s="621" t="str">
        <x:v>After WBS 3.3, execute the five-case baseline benchmark and summarize representative failure evidence and limitations.</x:v>
      </x:c>
      <x:c r="R21" s="641" t="str">
        <x:v>A small reproducible benchmark is sufficient for the MVP; generated runs remain separate from versioned case definitions.</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182</x:v>
      </x:c>
      <x:c r="B22" s="638" t="s">
        <x:v>96</x:v>
      </x:c>
      <x:c r="C22" s="613" t="s">
        <x:v>183</x:v>
      </x:c>
      <x:c r="D22" s="613" t="s">
        <x:v>184</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t="str">
        <x:f t="shared" si="5"/>
        <x:v>feature/regression-fixture-refactor</x:v>
      </x:c>
      <x:c r="Q22" s="613" t="s">
        <x:v>185</x:v>
      </x:c>
      <x:c r="R22" s="641" t="s">
        <x:v>186</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187</x:v>
      </x:c>
      <x:c r="B23" s="638" t="s">
        <x:v>96</x:v>
      </x:c>
      <x:c r="C23" s="621" t="s">
        <x:v>188</x:v>
      </x:c>
      <x:c r="D23" s="621" t="s">
        <x:v>189</x:v>
      </x:c>
      <x:c r="E23" s="621" t="s">
        <x:v>182</x:v>
      </x:c>
      <x:c r="F23" s="623">
        <x:v>2</x:v>
      </x:c>
      <x:c r="G23" s="624">
        <x:v>7</x:v>
      </x:c>
      <x:c r="H23" s="624">
        <x:v>7</x:v>
      </x:c>
      <x:c r="I23" s="625">
        <x:f t="shared" si="0"/>
        <x:v>46244</x:v>
      </x:c>
      <x:c r="J23" s="625">
        <x:f t="shared" si="1"/>
        <x:v>46250</x:v>
      </x:c>
      <x:c r="K23" s="625" t="str">
        <x:f t="shared" si="2"/>
        <x:v>Not Started</x:v>
      </x:c>
      <x:c r="L23" s="626">
        <x:v>0</x:v>
      </x:c>
      <x:c r="M23" s="627" t="n">
        <x:f>SUMIF('Work Block Log'!$E$5:$E$200,A23,'Work Block Log'!$F$5:$F$200)</x:f>
        <x:v>0</x:v>
      </x:c>
      <x:c r="N23" s="627">
        <x:f t="shared" si="3"/>
        <x:v>2</x:v>
      </x:c>
      <x:c r="O23" s="627">
        <x:f t="shared" si="4"/>
        <x:v>-2</x:v>
      </x:c>
      <x:c r="P23" s="624" t="str">
        <x:f t="shared" si="5"/>
        <x:v>feature/github-actions-ci</x:v>
      </x:c>
      <x:c r="Q23" s="621" t="s">
        <x:v>190</x:v>
      </x:c>
      <x:c r="R23" s="641" t="s">
        <x:v>191</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192</x:v>
      </x:c>
      <x:c r="B24" s="638" t="s">
        <x:v>96</x:v>
      </x:c>
      <x:c r="C24" s="613" t="s">
        <x:v>193</x:v>
      </x:c>
      <x:c r="D24" s="613" t="s">
        <x:v>194</x:v>
      </x:c>
      <x:c r="E24" s="613" t="s">
        <x:v>195</x:v>
      </x:c>
      <x:c r="F24" s="615">
        <x:v>3</x:v>
      </x:c>
      <x:c r="G24" s="616">
        <x:v>7</x:v>
      </x:c>
      <x:c r="H24" s="616">
        <x:v>7</x:v>
      </x:c>
      <x:c r="I24" s="617">
        <x:f t="shared" si="0"/>
        <x:v>46244</x:v>
      </x:c>
      <x:c r="J24" s="617">
        <x:f t="shared" si="1"/>
        <x:v>46250</x:v>
      </x:c>
      <x:c r="K24" s="617" t="str">
        <x:f t="shared" si="2"/>
        <x:v>In Progress</x:v>
      </x:c>
      <x:c r="L24" s="618">
        <x:v>0.35</x:v>
      </x:c>
      <x:c r="M24" s="619" t="n">
        <x:f>SUMIF('Work Block Log'!$E$5:$E$200,A24,'Work Block Log'!$F$5:$F$200)</x:f>
        <x:v>0</x:v>
      </x:c>
      <x:c r="N24" s="619">
        <x:f t="shared" si="3"/>
        <x:v>1.9500000000000002</x:v>
      </x:c>
      <x:c r="O24" s="619">
        <x:f t="shared" si="4"/>
        <x:v>-3</x:v>
      </x:c>
      <x:c r="P24" s="616" t="str">
        <x:f t="shared" si="5"/>
        <x:v>feature/readme-architecture</x:v>
      </x:c>
      <x:c r="Q24" s="613" t="s">
        <x:v>196</x:v>
      </x:c>
      <x:c r="R24" s="641" t="s">
        <x:v>197</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198</x:v>
      </x:c>
      <x:c r="B25" s="639" t="s">
        <x:v>99</x:v>
      </x:c>
      <x:c r="C25" s="621" t="s">
        <x:v>199</x:v>
      </x:c>
      <x:c r="D25" s="621" t="s">
        <x:v>200</x:v>
      </x:c>
      <x:c r="E25" s="621" t="s">
        <x:v>201</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t="str">
        <x:f t="shared" si="5"/>
        <x:v>feature/portfolio-demo</x:v>
      </x:c>
      <x:c r="Q25" s="621" t="s">
        <x:v>202</x:v>
      </x:c>
      <x:c r="R25" s="641" t="s">
        <x:v>203</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204</x:v>
      </x:c>
      <x:c r="B26" s="639" t="s">
        <x:v>99</x:v>
      </x:c>
      <x:c r="C26" s="613" t="s">
        <x:v>205</x:v>
      </x:c>
      <x:c r="D26" s="613" t="s">
        <x:v>206</x:v>
      </x:c>
      <x:c r="E26" s="613" t="s">
        <x:v>198</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t="str">
        <x:f t="shared" si="5"/>
        <x:v>feature/release-notes</x:v>
      </x:c>
      <x:c r="Q26" s="613" t="s">
        <x:v>207</x:v>
      </x:c>
      <x:c r="R26" s="641" t="s">
        <x:v>208</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209</x:v>
      </x:c>
      <x:c r="B27" s="639" t="s">
        <x:v>99</x:v>
      </x:c>
      <x:c r="C27" s="621" t="s">
        <x:v>210</x:v>
      </x:c>
      <x:c r="D27" s="621" t="s">
        <x:v>211</x:v>
      </x:c>
      <x:c r="E27" s="621" t="s">
        <x:v>212</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t="str">
        <x:f t="shared" si="5"/>
        <x:v>release/v0.1.0</x:v>
      </x:c>
      <x:c r="Q27" s="621" t="s">
        <x:v>213</x:v>
      </x:c>
      <x:c r="R27" s="641" t="s">
        <x:v>214</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0.7513157894736842</x:v>
      </x:c>
      <x:c r="M29" s="96" t="n">
        <x:f>SUM(M6:M27)</x:f>
        <x:v>15.580000000000002</x:v>
      </x:c>
      <x:c r="N29" s="96" t="n">
        <x:f>SUM(N6:N27)</x:f>
        <x:v>18.9</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215</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216</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68" customHeight="1">
      <x:c r="A5" s="141">
        <x:v>1</x:v>
      </x:c>
      <x:c r="B5" s="138">
        <x:v>46202</x:v>
      </x:c>
      <x:c r="C5" s="138">
        <x:v>46208</x:v>
      </x:c>
      <x:c r="D5" s="68">
        <x:v>8</x:v>
      </x:c>
      <x:c r="E5" s="68" t="n">
        <x:f>SUMIF('Work Block Log'!$G$5:$G$200,A5,'Work Block Log'!$F$5:$F$200)</x:f>
        <x:v>15.580000000000002</x:v>
      </x:c>
      <x:c r="F5" s="68" t="n">
        <x:f t="shared" si="0">IF(E5="","",E5-D5)</x:f>
        <x:v>7.580000000000002</x:v>
      </x:c>
      <x:c r="G5" s="68" t="n">
        <x:f t="shared" ref="G5:G36" si="2">SUM($D$5:D5)</x:f>
        <x:v>8</x:v>
      </x:c>
      <x:c r="H5" s="68" t="n">
        <x:f t="shared" ref="H5:H36" si="3">SUM($E$5:E5)</x:f>
        <x:v>15.580000000000002</x:v>
      </x:c>
      <x:c r="I5" s="68" t="n">
        <x:f t="shared" si="1">MAX($G$13-H5,0)</x:f>
        <x:v>60.42</x:v>
      </x:c>
      <x:c r="J5" s="141" t="s">
        <x:v>217</x:v>
      </x:c>
      <x:c r="K5" s="141" t="str">
        <x:v>Complete</x:v>
      </x:c>
      <x:c r="L5" s="448" t="str">
        <x:v>Known logged time through WB-018: 15.58 h. WBS 1.1–1.5, 2.1–2.4, 3.1, and 3.2 are complete. MECH-004 BOM reconciliation and MECH-005 thermal expansion were independently verified, documented, and merged in PR #16 / 50df7a9. Five cases validate; representative pass/fail fixtures and 111 tests pass. Next: WBS 3.3 assign and freeze a held-out split with review and no-tuning controls.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15.580000000000002</x:v>
      </x:c>
      <x:c r="I6" s="68" t="n">
        <x:f t="shared" si="1">MAX($G$13-H6,0)</x:f>
        <x:v>60.42</x:v>
      </x:c>
      <x:c r="J6" s="141" t="s">
        <x:v>218</x:v>
      </x:c>
      <x:c r="K6" s="141" t="s">
        <x:v>219</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15.580000000000002</x:v>
      </x:c>
      <x:c r="I7" s="68" t="n">
        <x:f t="shared" si="1">MAX($G$13-H7,0)</x:f>
        <x:v>60.42</x:v>
      </x:c>
      <x:c r="J7" s="141" t="s">
        <x:v>220</x:v>
      </x:c>
      <x:c r="K7" s="141" t="s">
        <x:v>219</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15.580000000000002</x:v>
      </x:c>
      <x:c r="I8" s="68" t="n">
        <x:f t="shared" si="1">MAX($G$13-H8,0)</x:f>
        <x:v>60.42</x:v>
      </x:c>
      <x:c r="J8" s="141" t="s">
        <x:v>221</x:v>
      </x:c>
      <x:c r="K8" s="141" t="s">
        <x:v>219</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15.580000000000002</x:v>
      </x:c>
      <x:c r="I9" s="68" t="n">
        <x:f t="shared" si="1">MAX($G$13-H9,0)</x:f>
        <x:v>60.42</x:v>
      </x:c>
      <x:c r="J9" s="141" t="s">
        <x:v>222</x:v>
      </x:c>
      <x:c r="K9" s="141" t="s">
        <x:v>219</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15.580000000000002</x:v>
      </x:c>
      <x:c r="I10" s="68" t="n">
        <x:f t="shared" si="1">MAX($G$13-H10,0)</x:f>
        <x:v>60.42</x:v>
      </x:c>
      <x:c r="J10" s="141" t="s">
        <x:v>223</x:v>
      </x:c>
      <x:c r="K10" s="141" t="s">
        <x:v>219</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15.580000000000002</x:v>
      </x:c>
      <x:c r="I11" s="68" t="n">
        <x:f t="shared" si="1">MAX($G$13-H11,0)</x:f>
        <x:v>60.42</x:v>
      </x:c>
      <x:c r="J11" s="141" t="s">
        <x:v>224</x:v>
      </x:c>
      <x:c r="K11" s="141" t="s">
        <x:v>219</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15.580000000000002</x:v>
      </x:c>
      <x:c r="I12" s="140" t="n">
        <x:f t="shared" si="1">MAX($G$13-H12,0)</x:f>
        <x:v>60.42</x:v>
      </x:c>
      <x:c r="J12" s="142" t="s">
        <x:v>225</x:v>
      </x:c>
      <x:c r="K12" s="142" t="s">
        <x:v>219</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0b48f805c8de4fb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226</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227</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1.55</x:v>
      </x:c>
      <x:c r="E7" s="143" t="n">
        <x:f>IF(C7=0,0,SUMPRODUCT(('Detailed Gantt'!$B$6:$B$27=B7)*'Detailed Gantt'!$F$6:$F$27*'Detailed Gantt'!$L$6:$L$27)/C7)</x:f>
        <x:v>0.6428571428571429</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x:v>
      </x:c>
      <x:c r="E8" s="143" t="n">
        <x:f>IF(C8=0,0,SUMPRODUCT(('Detailed Gantt'!$B$6:$B$27=B8)*'Detailed Gantt'!$F$6:$F$27*'Detailed Gantt'!$L$6:$L$27)/C8)</x:f>
        <x:v>0.26249999999999996</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228</x:v>
      </x:c>
      <x:c r="B10" s="134"/>
      <x:c r="C10" s="136" t="n">
        <x:f>SUM(C4:C9)</x:f>
        <x:v>76</x:v>
      </x:c>
      <x:c r="D10" s="136" t="n">
        <x:f>SUM(D4:D9)</x:f>
        <x:v>15.580000000000002</x:v>
      </x:c>
      <x:c r="E10" s="144" t="n">
        <x:f>SUMPRODUCT(C4:C9,E4:E9)/C10</x:f>
        <x:v>0.7513157894736843</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a235e8b13e254c3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229</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230</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231</x:v>
      </x:c>
      <x:c r="B4" s="3" t="s">
        <x:v>232</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233</x:v>
      </x:c>
      <x:c r="B5" s="3" t="s">
        <x:v>234</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235</x:v>
      </x:c>
      <x:c r="B6" s="3" t="s">
        <x:v>236</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237</x:v>
      </x:c>
      <x:c r="B7" s="3" t="s">
        <x:v>238</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239</x:v>
      </x:c>
      <x:c r="B8" s="3" t="s">
        <x:v>240</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241</x:v>
      </x:c>
      <x:c r="B9" s="3" t="s">
        <x:v>242</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243</x:v>
      </x:c>
      <x:c r="B10" s="3" t="s">
        <x:v>244</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245</x:v>
      </x:c>
      <x:c r="B11" s="3" t="s">
        <x:v>246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247</x:v>
      </x:c>
      <x:c r="B12" s="141" t="s">
        <x:v>248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249</x:v>
      </x:c>
      <x:c r="B13" s="141" t="s">
        <x:v>250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251</x:v>
      </x:c>
      <x:c r="B14" s="4" t="s">
        <x:v>252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253</x:v>
      </x:c>
      <x:c r="B15" s="194" t="s">
        <x:v>254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255</x:v>
      </x:c>
      <x:c r="B16" s="195" t="s">
        <x:v>256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257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227</x:v>
      </x:c>
      <x:c r="B18" s="88" t="s">
        <x:v>258</x:v>
      </x:c>
      <x:c r="C18" s="118" t="s">
        <x:v>259</x:v>
      </x:c>
      <x:c r="D18" s="88" t="s">
        <x:v>117</x:v>
      </x:c>
      <x:c r="E18" s="88" t="s">
        <x:v>260</x:v>
      </x:c>
      <x:c r="F18" s="88" t="s">
        <x:v>261</x:v>
      </x:c>
      <x:c r="G18" s="88" t="s">
        <x:v>262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263</x:v>
      </x:c>
      <x:c r="B19" s="3">
        <x:v>2</x:v>
      </x:c>
      <x:c r="C19" s="124">
        <x:v>46215</x:v>
      </x:c>
      <x:c r="D19" s="3" t="s">
        <x:v>264</x:v>
      </x:c>
      <x:c r="E19" s="3" t="s">
        <x:v>265</x:v>
      </x:c>
      <x:c r="F19" s="141" t="s">
        <x:v>266</x:v>
      </x:c>
      <x:c r="G19" s="141" t="s">
        <x:v>267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268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269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270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271</x:v>
      </x:c>
      <x:c r="B23" s="141">
        <x:v>6</x:v>
      </x:c>
      <x:c r="C23" s="138">
        <x:v>46243</x:v>
      </x:c>
      <x:c r="D23" s="141" t="s">
        <x:v>272</x:v>
      </x:c>
      <x:c r="E23" s="141" t="s">
        <x:v>273</x:v>
      </x:c>
      <x:c r="F23" s="141" t="s">
        <x:v>274</x:v>
      </x:c>
      <x:c r="G23" s="141" t="s">
        <x:v>275</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276</x:v>
      </x:c>
      <x:c r="B24" s="141">
        <x:v>7</x:v>
      </x:c>
      <x:c r="C24" s="138">
        <x:v>46250</x:v>
      </x:c>
      <x:c r="D24" s="141" t="s">
        <x:v>272</x:v>
      </x:c>
      <x:c r="E24" s="141" t="s">
        <x:v>277</x:v>
      </x:c>
      <x:c r="F24" s="141" t="s">
        <x:v>278</x:v>
      </x:c>
      <x:c r="G24" s="141" t="s">
        <x:v>279</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280</x:v>
      </x:c>
      <x:c r="B25" s="141">
        <x:v>8</x:v>
      </x:c>
      <x:c r="C25" s="138">
        <x:v>46257</x:v>
      </x:c>
      <x:c r="D25" s="141" t="s">
        <x:v>272</x:v>
      </x:c>
      <x:c r="E25" s="141" t="s">
        <x:v>281</x:v>
      </x:c>
      <x:c r="F25" s="141" t="s">
        <x:v>282</x:v>
      </x:c>
      <x:c r="G25" s="141" t="s">
        <x:v>283</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284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285</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286</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287</x:v>
      </x:c>
      <x:c r="B3" s="88" t="s">
        <x:v>288</x:v>
      </x:c>
      <x:c r="C3" s="88" t="s">
        <x:v>289</x:v>
      </x:c>
      <x:c r="D3" s="88" t="s">
        <x:v>290</x:v>
      </x:c>
      <x:c r="E3" s="88" t="s">
        <x:v>291</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292</x:v>
      </x:c>
      <x:c r="B4" s="3" t="s">
        <x:v>293</x:v>
      </x:c>
      <x:c r="C4" s="3" t="s">
        <x:v>294</x:v>
      </x:c>
      <x:c r="D4" s="3" t="s">
        <x:v>295</x:v>
      </x:c>
      <x:c r="E4" s="141" t="s">
        <x:v>296</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297</x:v>
      </x:c>
      <x:c r="B5" s="3" t="s">
        <x:v>298</x:v>
      </x:c>
      <x:c r="C5" s="3" t="s">
        <x:v>294</x:v>
      </x:c>
      <x:c r="D5" s="3" t="s">
        <x:v>299</x:v>
      </x:c>
      <x:c r="E5" s="141" t="s">
        <x:v>300</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301</x:v>
      </x:c>
      <x:c r="B6" s="3" t="s">
        <x:v>302</x:v>
      </x:c>
      <x:c r="C6" s="3" t="s">
        <x:v>303</x:v>
      </x:c>
      <x:c r="D6" s="3" t="s">
        <x:v>304</x:v>
      </x:c>
      <x:c r="E6" s="141" t="s">
        <x:v>305</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306</x:v>
      </x:c>
      <x:c r="B7" s="3" t="s">
        <x:v>307</x:v>
      </x:c>
      <x:c r="C7" s="3" t="s">
        <x:v>308</x:v>
      </x:c>
      <x:c r="D7" s="3" t="s">
        <x:v>309</x:v>
      </x:c>
      <x:c r="E7" s="141" t="s">
        <x:v>310</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311</x:v>
      </x:c>
      <x:c r="B8" s="3" t="s">
        <x:v>312</x:v>
      </x:c>
      <x:c r="C8" s="3" t="s">
        <x:v>308</x:v>
      </x:c>
      <x:c r="D8" s="3" t="s">
        <x:v>309</x:v>
      </x:c>
      <x:c r="E8" s="141" t="s">
        <x:v>313</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314</x:v>
      </x:c>
      <x:c r="B9" s="3" t="s">
        <x:v>315</x:v>
      </x:c>
      <x:c r="C9" s="3" t="s">
        <x:v>316</x:v>
      </x:c>
      <x:c r="D9" s="3" t="s">
        <x:v>317</x:v>
      </x:c>
      <x:c r="E9" s="141" t="s">
        <x:v>318</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319</x:v>
      </x:c>
      <x:c r="B10" s="141" t="s">
        <x:v>320</x:v>
      </x:c>
      <x:c r="C10" s="141" t="s">
        <x:v>316</x:v>
      </x:c>
      <x:c r="D10" s="141" t="s">
        <x:v>321</x:v>
      </x:c>
      <x:c r="E10" s="141" t="s">
        <x:v>322</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323</x:v>
      </x:c>
      <x:c r="B11" s="141" t="s">
        <x:v>324</x:v>
      </x:c>
      <x:c r="C11" s="141" t="s">
        <x:v>316</x:v>
      </x:c>
      <x:c r="D11" s="141" t="s">
        <x:v>325</x:v>
      </x:c>
      <x:c r="E11" s="141" t="s">
        <x:v>322</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326</x:v>
      </x:c>
      <x:c r="B12" s="141" t="s">
        <x:v>327</x:v>
      </x:c>
      <x:c r="C12" s="141" t="s">
        <x:v>308</x:v>
      </x:c>
      <x:c r="D12" s="141" t="s">
        <x:v>309</x:v>
      </x:c>
      <x:c r="E12" s="141" t="s">
        <x:v>328</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329</x:v>
      </x:c>
      <x:c r="B1" s="232"/>
      <x:c r="C1" s="232"/>
      <x:c r="D1" s="232"/>
      <x:c r="E1" s="232"/>
      <x:c r="F1" s="232"/>
      <x:c r="G1" s="232"/>
      <x:c r="H1" s="232"/>
      <x:c r="I1" s="232"/>
      <x:c r="J1" s="232"/>
      <x:c r="K1" s="232"/>
      <x:c r="L1" s="232"/>
      <x:c r="M1" s="232"/>
      <x:c r="N1" s="232"/>
      <x:c r="O1" s="232"/>
      <x:c r="P1" s="232"/>
      <x:c r="Q1" s="232"/>
      <x:c r="R1" s="232"/>
      <x:c r="S1" s="232"/>
      <x:c r="T1" s="232"/>
    </x:row>
    <x:row r="2">
      <x:c r="A2" s="233" t="s">
        <x:v>330</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331</x:v>
      </x:c>
      <x:c r="L4" t="s">
        <x:v>332</x:v>
      </x:c>
    </x:row>
    <x:row r="6">
      <x:c r="A6" t="s">
        <x:v>333</x:v>
      </x:c>
      <x:c r="C6" t="s">
        <x:v>334</x:v>
      </x:c>
    </x:row>
    <x:row r="8">
      <x:c r="A8" t="s">
        <x:v>109</x:v>
      </x:c>
      <x:c r="B8" t="s">
        <x:v>66</x:v>
      </x:c>
      <x:c r="C8" t="s">
        <x:v>110</x:v>
      </x:c>
      <x:c r="D8" t="s">
        <x:v>111</x:v>
      </x:c>
      <x:c r="E8" t="s">
        <x:v>112</x:v>
      </x:c>
      <x:c r="F8" t="s">
        <x:v>67</x:v>
      </x:c>
      <x:c r="G8" t="s">
        <x:v>113</x:v>
      </x:c>
      <x:c r="H8" t="s">
        <x:v>114</x:v>
      </x:c>
      <x:c r="I8" t="s">
        <x:v>335</x:v>
      </x:c>
      <x:c r="J8" t="s">
        <x:v>115</x:v>
      </x:c>
      <x:c r="K8" t="s">
        <x:v>116</x:v>
      </x:c>
      <x:c r="L8" t="s">
        <x:v>117</x:v>
      </x:c>
      <x:c r="M8" t="s">
        <x:v>69</x:v>
      </x:c>
      <x:c r="N8" t="s">
        <x:v>68</x:v>
      </x:c>
      <x:c r="O8" t="s">
        <x:v>119</x:v>
      </x:c>
      <x:c r="P8" t="s">
        <x:v>118</x:v>
      </x:c>
      <x:c r="Q8" t="s">
        <x:v>122</x:v>
      </x:c>
    </x:row>
    <x:row r="9">
      <x:c r="A9" t="s">
        <x:v>123</x:v>
      </x:c>
      <x:c r="B9" t="s">
        <x:v>336</x:v>
      </x:c>
      <x:c r="C9" t="s">
        <x:v>337</x:v>
      </x:c>
      <x:c r="D9" t="s">
        <x:v>338</x:v>
      </x:c>
      <x:c r="E9" t="s">
        <x:v>126</x:v>
      </x:c>
      <x:c r="F9">
        <x:v>4</x:v>
      </x:c>
      <x:c r="G9">
        <x:v>1</x:v>
      </x:c>
      <x:c r="H9">
        <x:v>1</x:v>
      </x:c>
      <x:c r="I9">
        <x:v>1</x:v>
      </x:c>
      <x:c r="J9">
        <x:v>46202</x:v>
      </x:c>
      <x:c r="K9">
        <x:v>46208</x:v>
      </x:c>
      <x:c r="L9" t="s">
        <x:v>339</x:v>
      </x:c>
      <x:c r="M9">
        <x:v>1</x:v>
      </x:c>
      <x:c r="N9">
        <x:v>1.5</x:v>
      </x:c>
      <x:c r="O9">
        <x:v>-2.5</x:v>
      </x:c>
      <x:c r="P9">
        <x:v>0</x:v>
      </x:c>
      <x:c r="Q9" t="s">
        <x:v>340</x:v>
      </x:c>
    </x:row>
    <x:row r="10">
      <x:c r="A10" t="s">
        <x:v>129</x:v>
      </x:c>
      <x:c r="B10" t="s">
        <x:v>336</x:v>
      </x:c>
      <x:c r="C10" t="s">
        <x:v>341</x:v>
      </x:c>
      <x:c r="D10" t="s">
        <x:v>342</x:v>
      </x:c>
      <x:c r="E10" t="s">
        <x:v>123</x:v>
      </x:c>
      <x:c r="F10">
        <x:v>4</x:v>
      </x:c>
      <x:c r="G10">
        <x:v>1</x:v>
      </x:c>
      <x:c r="H10">
        <x:v>1</x:v>
      </x:c>
      <x:c r="I10">
        <x:v>1</x:v>
      </x:c>
      <x:c r="J10">
        <x:v>46202</x:v>
      </x:c>
      <x:c r="K10">
        <x:v>46208</x:v>
      </x:c>
      <x:c r="L10" t="s">
        <x:v>339</x:v>
      </x:c>
      <x:c r="M10">
        <x:v>1</x:v>
      </x:c>
      <x:c r="P10">
        <x:v>0</x:v>
      </x:c>
      <x:c r="Q10" t="s">
        <x:v>343</x:v>
      </x:c>
    </x:row>
    <x:row r="11">
      <x:c r="A11" t="s">
        <x:v>134</x:v>
      </x:c>
      <x:c r="B11" t="s">
        <x:v>336</x:v>
      </x:c>
      <x:c r="C11" t="s">
        <x:v>344</x:v>
      </x:c>
      <x:c r="D11" t="s">
        <x:v>345</x:v>
      </x:c>
      <x:c r="E11" t="s">
        <x:v>123</x:v>
      </x:c>
      <x:c r="F11">
        <x:v>4</x:v>
      </x:c>
      <x:c r="G11">
        <x:v>1</x:v>
      </x:c>
      <x:c r="H11">
        <x:v>2</x:v>
      </x:c>
      <x:c r="I11">
        <x:v>2</x:v>
      </x:c>
      <x:c r="J11">
        <x:v>46202</x:v>
      </x:c>
      <x:c r="K11">
        <x:v>46215</x:v>
      </x:c>
      <x:c r="L11" t="s">
        <x:v>346</x:v>
      </x:c>
      <x:c r="M11">
        <x:v>0.5</x:v>
      </x:c>
      <x:c r="P11">
        <x:v>2</x:v>
      </x:c>
      <x:c r="Q11" t="s">
        <x:v>347</x:v>
      </x:c>
    </x:row>
    <x:row r="12">
      <x:c r="A12" t="s">
        <x:v>348</x:v>
      </x:c>
      <x:c r="B12" t="s">
        <x:v>336</x:v>
      </x:c>
      <x:c r="C12" t="s">
        <x:v>349</x:v>
      </x:c>
      <x:c r="D12" t="s">
        <x:v>350</x:v>
      </x:c>
      <x:c r="E12" t="s">
        <x:v>129</x:v>
      </x:c>
      <x:c r="F12">
        <x:v>4</x:v>
      </x:c>
      <x:c r="G12">
        <x:v>2</x:v>
      </x:c>
      <x:c r="H12">
        <x:v>2</x:v>
      </x:c>
      <x:c r="I12">
        <x:v>1</x:v>
      </x:c>
      <x:c r="J12">
        <x:v>46209</x:v>
      </x:c>
      <x:c r="K12">
        <x:v>46215</x:v>
      </x:c>
      <x:c r="L12" t="s">
        <x:v>219</x:v>
      </x:c>
      <x:c r="M12">
        <x:v>0</x:v>
      </x:c>
      <x:c r="P12">
        <x:v>4</x:v>
      </x:c>
    </x:row>
    <x:row r="13">
      <x:c r="A13" t="s">
        <x:v>351</x:v>
      </x:c>
      <x:c r="B13" t="s">
        <x:v>336</x:v>
      </x:c>
      <x:c r="C13" t="s">
        <x:v>352</x:v>
      </x:c>
      <x:c r="D13" t="s">
        <x:v>353</x:v>
      </x:c>
      <x:c r="E13" t="s">
        <x:v>348</x:v>
      </x:c>
      <x:c r="F13">
        <x:v>12</x:v>
      </x:c>
      <x:c r="G13">
        <x:v>1</x:v>
      </x:c>
      <x:c r="H13">
        <x:v>52</x:v>
      </x:c>
      <x:c r="I13">
        <x:v>52</x:v>
      </x:c>
      <x:c r="J13">
        <x:v>46202</x:v>
      </x:c>
      <x:c r="K13">
        <x:v>46565</x:v>
      </x:c>
      <x:c r="L13" t="s">
        <x:v>346</x:v>
      </x:c>
      <x:c r="M13">
        <x:v>0.02</x:v>
      </x:c>
      <x:c r="P13">
        <x:v>11.76</x:v>
      </x:c>
      <x:c r="Q13" t="s">
        <x:v>354</x:v>
      </x:c>
    </x:row>
    <x:row r="14">
      <x:c r="A14" t="s">
        <x:v>355</x:v>
      </x:c>
      <x:c r="B14" t="s">
        <x:v>336</x:v>
      </x:c>
      <x:c r="C14" t="s">
        <x:v>356</x:v>
      </x:c>
      <x:c r="D14" t="s">
        <x:v>357</x:v>
      </x:c>
      <x:c r="E14" t="s">
        <x:v>348</x:v>
      </x:c>
      <x:c r="F14">
        <x:v>6</x:v>
      </x:c>
      <x:c r="G14">
        <x:v>4</x:v>
      </x:c>
      <x:c r="H14">
        <x:v>52</x:v>
      </x:c>
      <x:c r="I14">
        <x:v>49</x:v>
      </x:c>
      <x:c r="J14">
        <x:v>46223</x:v>
      </x:c>
      <x:c r="K14">
        <x:v>46565</x:v>
      </x:c>
      <x:c r="L14" t="s">
        <x:v>219</x:v>
      </x:c>
      <x:c r="M14">
        <x:v>0</x:v>
      </x:c>
      <x:c r="P14">
        <x:v>6</x:v>
      </x:c>
    </x:row>
    <x:row r="15">
      <x:c r="A15" t="s">
        <x:v>358</x:v>
      </x:c>
      <x:c r="B15" t="s">
        <x:v>336</x:v>
      </x:c>
      <x:c r="C15" t="s">
        <x:v>359</x:v>
      </x:c>
      <x:c r="D15" t="s">
        <x:v>360</x:v>
      </x:c>
      <x:c r="E15" t="s">
        <x:v>348</x:v>
      </x:c>
      <x:c r="F15">
        <x:v>6</x:v>
      </x:c>
      <x:c r="G15">
        <x:v>9</x:v>
      </x:c>
      <x:c r="H15">
        <x:v>52</x:v>
      </x:c>
      <x:c r="I15">
        <x:v>44</x:v>
      </x:c>
      <x:c r="J15">
        <x:v>46258</x:v>
      </x:c>
      <x:c r="K15">
        <x:v>46565</x:v>
      </x:c>
      <x:c r="L15" t="s">
        <x:v>219</x:v>
      </x:c>
      <x:c r="M15">
        <x:v>0</x:v>
      </x:c>
      <x:c r="P15">
        <x:v>6</x:v>
      </x:c>
    </x:row>
    <x:row r="16">
      <x:c r="A16" t="s">
        <x:v>139</x:v>
      </x:c>
      <x:c r="B16" t="s">
        <x:v>361</x:v>
      </x:c>
      <x:c r="C16" t="s">
        <x:v>362</x:v>
      </x:c>
      <x:c r="D16" t="s">
        <x:v>363</x:v>
      </x:c>
      <x:c r="E16" t="s">
        <x:v>134</x:v>
      </x:c>
      <x:c r="F16">
        <x:v>8</x:v>
      </x:c>
      <x:c r="G16">
        <x:v>3</x:v>
      </x:c>
      <x:c r="H16">
        <x:v>3</x:v>
      </x:c>
      <x:c r="I16">
        <x:v>1</x:v>
      </x:c>
      <x:c r="J16">
        <x:v>46216</x:v>
      </x:c>
      <x:c r="K16">
        <x:v>46222</x:v>
      </x:c>
      <x:c r="L16" t="s">
        <x:v>219</x:v>
      </x:c>
      <x:c r="M16">
        <x:v>0</x:v>
      </x:c>
      <x:c r="P16">
        <x:v>8</x:v>
      </x:c>
    </x:row>
    <x:row r="17">
      <x:c r="A17" t="s">
        <x:v>142</x:v>
      </x:c>
      <x:c r="B17" t="s">
        <x:v>361</x:v>
      </x:c>
      <x:c r="C17" t="s">
        <x:v>364</x:v>
      </x:c>
      <x:c r="D17" t="s">
        <x:v>365</x:v>
      </x:c>
      <x:c r="E17" t="s">
        <x:v>139</x:v>
      </x:c>
      <x:c r="F17">
        <x:v>6</x:v>
      </x:c>
      <x:c r="G17">
        <x:v>3</x:v>
      </x:c>
      <x:c r="H17">
        <x:v>4</x:v>
      </x:c>
      <x:c r="I17">
        <x:v>2</x:v>
      </x:c>
      <x:c r="J17">
        <x:v>46216</x:v>
      </x:c>
      <x:c r="K17">
        <x:v>46229</x:v>
      </x:c>
      <x:c r="L17" t="s">
        <x:v>219</x:v>
      </x:c>
      <x:c r="M17">
        <x:v>0</x:v>
      </x:c>
      <x:c r="P17">
        <x:v>6</x:v>
      </x:c>
    </x:row>
    <x:row r="18">
      <x:c r="A18" t="s">
        <x:v>145</x:v>
      </x:c>
      <x:c r="B18" t="s">
        <x:v>361</x:v>
      </x:c>
      <x:c r="C18" t="s">
        <x:v>366</x:v>
      </x:c>
      <x:c r="D18" t="s">
        <x:v>367</x:v>
      </x:c>
      <x:c r="E18" t="s">
        <x:v>142</x:v>
      </x:c>
      <x:c r="F18">
        <x:v>14</x:v>
      </x:c>
      <x:c r="G18">
        <x:v>4</x:v>
      </x:c>
      <x:c r="H18">
        <x:v>5</x:v>
      </x:c>
      <x:c r="I18">
        <x:v>2</x:v>
      </x:c>
      <x:c r="J18">
        <x:v>46223</x:v>
      </x:c>
      <x:c r="K18">
        <x:v>46236</x:v>
      </x:c>
      <x:c r="L18" t="s">
        <x:v>219</x:v>
      </x:c>
      <x:c r="M18">
        <x:v>0</x:v>
      </x:c>
      <x:c r="P18">
        <x:v>14</x:v>
      </x:c>
    </x:row>
    <x:row r="19">
      <x:c r="A19" t="s">
        <x:v>148</x:v>
      </x:c>
      <x:c r="B19" t="s">
        <x:v>361</x:v>
      </x:c>
      <x:c r="C19" t="s">
        <x:v>368</x:v>
      </x:c>
      <x:c r="D19" t="s">
        <x:v>369</x:v>
      </x:c>
      <x:c r="E19" t="s">
        <x:v>145</x:v>
      </x:c>
      <x:c r="F19">
        <x:v>18</x:v>
      </x:c>
      <x:c r="G19">
        <x:v>5</x:v>
      </x:c>
      <x:c r="H19">
        <x:v>7</x:v>
      </x:c>
      <x:c r="I19">
        <x:v>3</x:v>
      </x:c>
      <x:c r="J19">
        <x:v>46230</x:v>
      </x:c>
      <x:c r="K19">
        <x:v>46250</x:v>
      </x:c>
      <x:c r="L19" t="s">
        <x:v>219</x:v>
      </x:c>
      <x:c r="M19">
        <x:v>0</x:v>
      </x:c>
      <x:c r="P19">
        <x:v>18</x:v>
      </x:c>
    </x:row>
    <x:row r="20">
      <x:c r="A20" t="s">
        <x:v>151</x:v>
      </x:c>
      <x:c r="B20" t="s">
        <x:v>361</x:v>
      </x:c>
      <x:c r="C20" t="s">
        <x:v>370</x:v>
      </x:c>
      <x:c r="D20" t="s">
        <x:v>371</x:v>
      </x:c>
      <x:c r="E20" t="s">
        <x:v>148</x:v>
      </x:c>
      <x:c r="F20">
        <x:v>6</x:v>
      </x:c>
      <x:c r="G20">
        <x:v>7</x:v>
      </x:c>
      <x:c r="H20">
        <x:v>8</x:v>
      </x:c>
      <x:c r="I20">
        <x:v>2</x:v>
      </x:c>
      <x:c r="J20">
        <x:v>46244</x:v>
      </x:c>
      <x:c r="K20">
        <x:v>46257</x:v>
      </x:c>
      <x:c r="L20" t="s">
        <x:v>219</x:v>
      </x:c>
      <x:c r="M20">
        <x:v>0</x:v>
      </x:c>
      <x:c r="P20">
        <x:v>6</x:v>
      </x:c>
    </x:row>
    <x:row r="21">
      <x:c r="A21" t="s">
        <x:v>372</x:v>
      </x:c>
      <x:c r="B21" t="s">
        <x:v>361</x:v>
      </x:c>
      <x:c r="C21" t="s">
        <x:v>373</x:v>
      </x:c>
      <x:c r="D21" t="s">
        <x:v>374</x:v>
      </x:c>
      <x:c r="E21" t="s">
        <x:v>151</x:v>
      </x:c>
      <x:c r="F21">
        <x:v>6</x:v>
      </x:c>
      <x:c r="G21">
        <x:v>8</x:v>
      </x:c>
      <x:c r="H21">
        <x:v>8</x:v>
      </x:c>
      <x:c r="I21">
        <x:v>1</x:v>
      </x:c>
      <x:c r="J21">
        <x:v>46251</x:v>
      </x:c>
      <x:c r="K21">
        <x:v>46257</x:v>
      </x:c>
      <x:c r="L21" t="s">
        <x:v>219</x:v>
      </x:c>
      <x:c r="M21">
        <x:v>0</x:v>
      </x:c>
      <x:c r="P21">
        <x:v>6</x:v>
      </x:c>
    </x:row>
    <x:row r="22">
      <x:c r="A22" t="s">
        <x:v>375</x:v>
      </x:c>
      <x:c r="B22" t="s">
        <x:v>361</x:v>
      </x:c>
      <x:c r="C22" t="s">
        <x:v>376</x:v>
      </x:c>
      <x:c r="D22" t="s">
        <x:v>377</x:v>
      </x:c>
      <x:c r="E22" t="s">
        <x:v>372</x:v>
      </x:c>
      <x:c r="F22">
        <x:v>6</x:v>
      </x:c>
      <x:c r="G22">
        <x:v>9</x:v>
      </x:c>
      <x:c r="H22">
        <x:v>9</x:v>
      </x:c>
      <x:c r="I22">
        <x:v>1</x:v>
      </x:c>
      <x:c r="J22">
        <x:v>46258</x:v>
      </x:c>
      <x:c r="K22">
        <x:v>46264</x:v>
      </x:c>
      <x:c r="L22" t="s">
        <x:v>219</x:v>
      </x:c>
      <x:c r="M22">
        <x:v>0</x:v>
      </x:c>
      <x:c r="P22">
        <x:v>6</x:v>
      </x:c>
    </x:row>
    <x:row r="23">
      <x:c r="A23" t="s">
        <x:v>155</x:v>
      </x:c>
      <x:c r="B23" t="s">
        <x:v>378</x:v>
      </x:c>
      <x:c r="C23" t="s">
        <x:v>379</x:v>
      </x:c>
      <x:c r="D23" t="s">
        <x:v>380</x:v>
      </x:c>
      <x:c r="E23" t="s">
        <x:v>375</x:v>
      </x:c>
      <x:c r="F23">
        <x:v>10</x:v>
      </x:c>
      <x:c r="G23">
        <x:v>10</x:v>
      </x:c>
      <x:c r="H23">
        <x:v>10</x:v>
      </x:c>
      <x:c r="I23">
        <x:v>1</x:v>
      </x:c>
      <x:c r="J23">
        <x:v>46265</x:v>
      </x:c>
      <x:c r="K23">
        <x:v>46271</x:v>
      </x:c>
      <x:c r="L23" t="s">
        <x:v>346</x:v>
      </x:c>
      <x:c r="M23">
        <x:v>0.2</x:v>
      </x:c>
      <x:c r="P23">
        <x:v>8</x:v>
      </x:c>
      <x:c r="Q23" t="s">
        <x:v>381</x:v>
      </x:c>
    </x:row>
    <x:row r="24">
      <x:c r="A24" t="s">
        <x:v>158</x:v>
      </x:c>
      <x:c r="B24" t="s">
        <x:v>378</x:v>
      </x:c>
      <x:c r="C24" t="s">
        <x:v>382</x:v>
      </x:c>
      <x:c r="D24" t="s">
        <x:v>383</x:v>
      </x:c>
      <x:c r="E24" t="s">
        <x:v>155</x:v>
      </x:c>
      <x:c r="F24">
        <x:v>12</x:v>
      </x:c>
      <x:c r="G24">
        <x:v>10</x:v>
      </x:c>
      <x:c r="H24">
        <x:v>11</x:v>
      </x:c>
      <x:c r="I24">
        <x:v>2</x:v>
      </x:c>
      <x:c r="J24">
        <x:v>46265</x:v>
      </x:c>
      <x:c r="K24">
        <x:v>46278</x:v>
      </x:c>
      <x:c r="L24" t="s">
        <x:v>346</x:v>
      </x:c>
      <x:c r="M24">
        <x:v>0.15</x:v>
      </x:c>
      <x:c r="N24">
        <x:v>0.62</x:v>
      </x:c>
      <x:c r="O24">
        <x:v>-11.38</x:v>
      </x:c>
      <x:c r="P24">
        <x:v>10.199999999999999</x:v>
      </x:c>
      <x:c r="Q24" t="s">
        <x:v>384</x:v>
      </x:c>
    </x:row>
    <x:row r="25">
      <x:c r="A25" t="s">
        <x:v>161</x:v>
      </x:c>
      <x:c r="B25" t="s">
        <x:v>378</x:v>
      </x:c>
      <x:c r="C25" t="s">
        <x:v>385</x:v>
      </x:c>
      <x:c r="D25" t="s">
        <x:v>386</x:v>
      </x:c>
      <x:c r="E25" t="s">
        <x:v>158</x:v>
      </x:c>
      <x:c r="F25">
        <x:v>14</x:v>
      </x:c>
      <x:c r="G25">
        <x:v>11</x:v>
      </x:c>
      <x:c r="H25">
        <x:v>12</x:v>
      </x:c>
      <x:c r="I25">
        <x:v>2</x:v>
      </x:c>
      <x:c r="J25">
        <x:v>46272</x:v>
      </x:c>
      <x:c r="K25">
        <x:v>46285</x:v>
      </x:c>
      <x:c r="L25" t="s">
        <x:v>339</x:v>
      </x:c>
      <x:c r="M25">
        <x:v>1</x:v>
      </x:c>
      <x:c r="P25">
        <x:v>0</x:v>
      </x:c>
      <x:c r="Q25" t="s">
        <x:v>387</x:v>
      </x:c>
    </x:row>
    <x:row r="26">
      <x:c r="A26" t="s">
        <x:v>164</x:v>
      </x:c>
      <x:c r="B26" t="s">
        <x:v>378</x:v>
      </x:c>
      <x:c r="C26" t="s">
        <x:v>388</x:v>
      </x:c>
      <x:c r="D26" t="s">
        <x:v>389</x:v>
      </x:c>
      <x:c r="E26" t="s">
        <x:v>161</x:v>
      </x:c>
      <x:c r="F26">
        <x:v>10</x:v>
      </x:c>
      <x:c r="G26">
        <x:v>12</x:v>
      </x:c>
      <x:c r="H26">
        <x:v>13</x:v>
      </x:c>
      <x:c r="I26">
        <x:v>2</x:v>
      </x:c>
      <x:c r="J26">
        <x:v>46279</x:v>
      </x:c>
      <x:c r="K26">
        <x:v>46292</x:v>
      </x:c>
      <x:c r="L26" t="s">
        <x:v>219</x:v>
      </x:c>
      <x:c r="M26">
        <x:v>0</x:v>
      </x:c>
      <x:c r="P26">
        <x:v>10</x:v>
      </x:c>
    </x:row>
    <x:row r="27">
      <x:c r="A27" t="s">
        <x:v>390</x:v>
      </x:c>
      <x:c r="B27" t="s">
        <x:v>378</x:v>
      </x:c>
      <x:c r="C27" t="s">
        <x:v>391</x:v>
      </x:c>
      <x:c r="D27" t="s">
        <x:v>392</x:v>
      </x:c>
      <x:c r="E27" t="s">
        <x:v>161</x:v>
      </x:c>
      <x:c r="F27">
        <x:v>10</x:v>
      </x:c>
      <x:c r="G27">
        <x:v>13</x:v>
      </x:c>
      <x:c r="H27">
        <x:v>14</x:v>
      </x:c>
      <x:c r="I27">
        <x:v>2</x:v>
      </x:c>
      <x:c r="J27">
        <x:v>46286</x:v>
      </x:c>
      <x:c r="K27">
        <x:v>46299</x:v>
      </x:c>
      <x:c r="L27" t="s">
        <x:v>219</x:v>
      </x:c>
      <x:c r="M27">
        <x:v>0</x:v>
      </x:c>
      <x:c r="P27">
        <x:v>10</x:v>
      </x:c>
    </x:row>
    <x:row r="28">
      <x:c r="A28" t="s">
        <x:v>393</x:v>
      </x:c>
      <x:c r="B28" t="s">
        <x:v>378</x:v>
      </x:c>
      <x:c r="C28" t="s">
        <x:v>394</x:v>
      </x:c>
      <x:c r="D28" t="s">
        <x:v>395</x:v>
      </x:c>
      <x:c r="E28" t="s">
        <x:v>164</x:v>
      </x:c>
      <x:c r="F28">
        <x:v>8</x:v>
      </x:c>
      <x:c r="G28">
        <x:v>14</x:v>
      </x:c>
      <x:c r="H28">
        <x:v>15</x:v>
      </x:c>
      <x:c r="I28">
        <x:v>2</x:v>
      </x:c>
      <x:c r="J28">
        <x:v>46293</x:v>
      </x:c>
      <x:c r="K28">
        <x:v>46306</x:v>
      </x:c>
      <x:c r="L28" t="s">
        <x:v>219</x:v>
      </x:c>
      <x:c r="M28">
        <x:v>0</x:v>
      </x:c>
      <x:c r="P28">
        <x:v>8</x:v>
      </x:c>
    </x:row>
    <x:row r="29">
      <x:c r="A29" t="s">
        <x:v>396</x:v>
      </x:c>
      <x:c r="B29" t="s">
        <x:v>378</x:v>
      </x:c>
      <x:c r="C29" t="s">
        <x:v>397</x:v>
      </x:c>
      <x:c r="D29" t="s">
        <x:v>398</x:v>
      </x:c>
      <x:c r="E29" t="s">
        <x:v>390</x:v>
      </x:c>
      <x:c r="F29">
        <x:v>4</x:v>
      </x:c>
      <x:c r="G29">
        <x:v>15</x:v>
      </x:c>
      <x:c r="H29">
        <x:v>15</x:v>
      </x:c>
      <x:c r="I29">
        <x:v>1</x:v>
      </x:c>
      <x:c r="J29">
        <x:v>46300</x:v>
      </x:c>
      <x:c r="K29">
        <x:v>46306</x:v>
      </x:c>
      <x:c r="L29" t="s">
        <x:v>219</x:v>
      </x:c>
      <x:c r="M29">
        <x:v>0</x:v>
      </x:c>
      <x:c r="P29">
        <x:v>4</x:v>
      </x:c>
    </x:row>
    <x:row r="30">
      <x:c r="A30" t="s">
        <x:v>399</x:v>
      </x:c>
      <x:c r="B30" t="s">
        <x:v>378</x:v>
      </x:c>
      <x:c r="C30" t="s">
        <x:v>400</x:v>
      </x:c>
      <x:c r="D30" t="s">
        <x:v>401</x:v>
      </x:c>
      <x:c r="E30" t="s">
        <x:v>393</x:v>
      </x:c>
      <x:c r="F30">
        <x:v>4</x:v>
      </x:c>
      <x:c r="G30">
        <x:v>16</x:v>
      </x:c>
      <x:c r="H30">
        <x:v>16</x:v>
      </x:c>
      <x:c r="I30">
        <x:v>1</x:v>
      </x:c>
      <x:c r="J30">
        <x:v>46307</x:v>
      </x:c>
      <x:c r="K30">
        <x:v>46313</x:v>
      </x:c>
      <x:c r="L30" t="s">
        <x:v>219</x:v>
      </x:c>
      <x:c r="M30">
        <x:v>0</x:v>
      </x:c>
      <x:c r="P30">
        <x:v>4</x:v>
      </x:c>
    </x:row>
    <x:row r="31">
      <x:c r="A31" t="s">
        <x:v>168</x:v>
      </x:c>
      <x:c r="B31" t="s">
        <x:v>402</x:v>
      </x:c>
      <x:c r="C31" t="s">
        <x:v>403</x:v>
      </x:c>
      <x:c r="D31" t="s">
        <x:v>404</x:v>
      </x:c>
      <x:c r="E31" t="s">
        <x:v>399</x:v>
      </x:c>
      <x:c r="F31">
        <x:v>18</x:v>
      </x:c>
      <x:c r="G31">
        <x:v>17</x:v>
      </x:c>
      <x:c r="H31">
        <x:v>18</x:v>
      </x:c>
      <x:c r="I31">
        <x:v>2</x:v>
      </x:c>
      <x:c r="J31">
        <x:v>46314</x:v>
      </x:c>
      <x:c r="K31">
        <x:v>46327</x:v>
      </x:c>
      <x:c r="L31" t="s">
        <x:v>219</x:v>
      </x:c>
      <x:c r="M31">
        <x:v>0</x:v>
      </x:c>
      <x:c r="P31">
        <x:v>18</x:v>
      </x:c>
    </x:row>
    <x:row r="32">
      <x:c r="A32" t="s">
        <x:v>171</x:v>
      </x:c>
      <x:c r="B32" t="s">
        <x:v>402</x:v>
      </x:c>
      <x:c r="C32" t="s">
        <x:v>405</x:v>
      </x:c>
      <x:c r="D32" t="s">
        <x:v>406</x:v>
      </x:c>
      <x:c r="E32" t="s">
        <x:v>168</x:v>
      </x:c>
      <x:c r="F32">
        <x:v>12</x:v>
      </x:c>
      <x:c r="G32">
        <x:v>18</x:v>
      </x:c>
      <x:c r="H32">
        <x:v>19</x:v>
      </x:c>
      <x:c r="I32">
        <x:v>2</x:v>
      </x:c>
      <x:c r="J32">
        <x:v>46321</x:v>
      </x:c>
      <x:c r="K32">
        <x:v>46334</x:v>
      </x:c>
      <x:c r="L32" t="s">
        <x:v>219</x:v>
      </x:c>
      <x:c r="M32">
        <x:v>0</x:v>
      </x:c>
      <x:c r="P32">
        <x:v>12</x:v>
      </x:c>
    </x:row>
    <x:row r="33">
      <x:c r="A33" t="s">
        <x:v>175</x:v>
      </x:c>
      <x:c r="B33" t="s">
        <x:v>402</x:v>
      </x:c>
      <x:c r="C33" t="s">
        <x:v>407</x:v>
      </x:c>
      <x:c r="D33" t="s">
        <x:v>408</x:v>
      </x:c>
      <x:c r="E33" t="s">
        <x:v>171</x:v>
      </x:c>
      <x:c r="F33">
        <x:v>12</x:v>
      </x:c>
      <x:c r="G33">
        <x:v>19</x:v>
      </x:c>
      <x:c r="H33">
        <x:v>20</x:v>
      </x:c>
      <x:c r="I33">
        <x:v>2</x:v>
      </x:c>
      <x:c r="J33">
        <x:v>46328</x:v>
      </x:c>
      <x:c r="K33">
        <x:v>46341</x:v>
      </x:c>
      <x:c r="L33" t="s">
        <x:v>219</x:v>
      </x:c>
      <x:c r="M33">
        <x:v>0</x:v>
      </x:c>
      <x:c r="P33">
        <x:v>12</x:v>
      </x:c>
    </x:row>
    <x:row r="34">
      <x:c r="A34" t="s">
        <x:v>178</x:v>
      </x:c>
      <x:c r="B34" t="s">
        <x:v>402</x:v>
      </x:c>
      <x:c r="C34" t="s">
        <x:v>409</x:v>
      </x:c>
      <x:c r="D34" t="s">
        <x:v>410</x:v>
      </x:c>
      <x:c r="E34" t="s">
        <x:v>175</x:v>
      </x:c>
      <x:c r="F34">
        <x:v>8</x:v>
      </x:c>
      <x:c r="G34">
        <x:v>20</x:v>
      </x:c>
      <x:c r="H34">
        <x:v>20</x:v>
      </x:c>
      <x:c r="I34">
        <x:v>1</x:v>
      </x:c>
      <x:c r="J34">
        <x:v>46335</x:v>
      </x:c>
      <x:c r="K34">
        <x:v>46341</x:v>
      </x:c>
      <x:c r="L34" t="s">
        <x:v>219</x:v>
      </x:c>
      <x:c r="M34">
        <x:v>0</x:v>
      </x:c>
      <x:c r="P34">
        <x:v>8</x:v>
      </x:c>
    </x:row>
    <x:row r="35">
      <x:c r="A35" t="s">
        <x:v>411</x:v>
      </x:c>
      <x:c r="B35" t="s">
        <x:v>402</x:v>
      </x:c>
      <x:c r="C35" t="s">
        <x:v>412</x:v>
      </x:c>
      <x:c r="D35" t="s">
        <x:v>413</x:v>
      </x:c>
      <x:c r="E35" t="s">
        <x:v>178</x:v>
      </x:c>
      <x:c r="F35">
        <x:v>10</x:v>
      </x:c>
      <x:c r="G35">
        <x:v>21</x:v>
      </x:c>
      <x:c r="H35">
        <x:v>21</x:v>
      </x:c>
      <x:c r="I35">
        <x:v>1</x:v>
      </x:c>
      <x:c r="J35">
        <x:v>46342</x:v>
      </x:c>
      <x:c r="K35">
        <x:v>46348</x:v>
      </x:c>
      <x:c r="L35" t="s">
        <x:v>219</x:v>
      </x:c>
      <x:c r="M35">
        <x:v>0</x:v>
      </x:c>
      <x:c r="P35">
        <x:v>10</x:v>
      </x:c>
    </x:row>
    <x:row r="36">
      <x:c r="A36" t="s">
        <x:v>414</x:v>
      </x:c>
      <x:c r="B36" t="s">
        <x:v>402</x:v>
      </x:c>
      <x:c r="C36" t="s">
        <x:v>415</x:v>
      </x:c>
      <x:c r="D36" t="s">
        <x:v>416</x:v>
      </x:c>
      <x:c r="E36" t="s">
        <x:v>411</x:v>
      </x:c>
      <x:c r="F36">
        <x:v>10</x:v>
      </x:c>
      <x:c r="G36">
        <x:v>21</x:v>
      </x:c>
      <x:c r="H36">
        <x:v>22</x:v>
      </x:c>
      <x:c r="I36">
        <x:v>2</x:v>
      </x:c>
      <x:c r="J36">
        <x:v>46342</x:v>
      </x:c>
      <x:c r="K36">
        <x:v>46355</x:v>
      </x:c>
      <x:c r="L36" t="s">
        <x:v>219</x:v>
      </x:c>
      <x:c r="M36">
        <x:v>0</x:v>
      </x:c>
      <x:c r="P36">
        <x:v>10</x:v>
      </x:c>
    </x:row>
    <x:row r="37">
      <x:c r="A37" t="s">
        <x:v>417</x:v>
      </x:c>
      <x:c r="B37" t="s">
        <x:v>402</x:v>
      </x:c>
      <x:c r="C37" t="s">
        <x:v>418</x:v>
      </x:c>
      <x:c r="D37" t="s">
        <x:v>419</x:v>
      </x:c>
      <x:c r="E37" t="s">
        <x:v>414</x:v>
      </x:c>
      <x:c r="F37">
        <x:v>10</x:v>
      </x:c>
      <x:c r="G37">
        <x:v>22</x:v>
      </x:c>
      <x:c r="H37">
        <x:v>23</x:v>
      </x:c>
      <x:c r="I37">
        <x:v>2</x:v>
      </x:c>
      <x:c r="J37">
        <x:v>46349</x:v>
      </x:c>
      <x:c r="K37">
        <x:v>46362</x:v>
      </x:c>
      <x:c r="L37" t="s">
        <x:v>219</x:v>
      </x:c>
      <x:c r="M37">
        <x:v>0</x:v>
      </x:c>
      <x:c r="P37">
        <x:v>10</x:v>
      </x:c>
    </x:row>
    <x:row r="38">
      <x:c r="A38" t="s">
        <x:v>420</x:v>
      </x:c>
      <x:c r="B38" t="s">
        <x:v>402</x:v>
      </x:c>
      <x:c r="C38" t="s">
        <x:v>421</x:v>
      </x:c>
      <x:c r="D38" t="s">
        <x:v>422</x:v>
      </x:c>
      <x:c r="E38" t="s">
        <x:v>417</x:v>
      </x:c>
      <x:c r="F38">
        <x:v>8</x:v>
      </x:c>
      <x:c r="G38">
        <x:v>24</x:v>
      </x:c>
      <x:c r="H38">
        <x:v>24</x:v>
      </x:c>
      <x:c r="I38">
        <x:v>1</x:v>
      </x:c>
      <x:c r="J38">
        <x:v>46363</x:v>
      </x:c>
      <x:c r="K38">
        <x:v>46369</x:v>
      </x:c>
      <x:c r="L38" t="s">
        <x:v>219</x:v>
      </x:c>
      <x:c r="M38">
        <x:v>0</x:v>
      </x:c>
      <x:c r="P38">
        <x:v>8</x:v>
      </x:c>
    </x:row>
    <x:row r="39">
      <x:c r="A39" t="s">
        <x:v>182</x:v>
      </x:c>
      <x:c r="B39" t="s">
        <x:v>423</x:v>
      </x:c>
      <x:c r="C39" t="s">
        <x:v>424</x:v>
      </x:c>
      <x:c r="D39" t="s">
        <x:v>425</x:v>
      </x:c>
      <x:c r="E39" t="s">
        <x:v>420</x:v>
      </x:c>
      <x:c r="F39">
        <x:v>8</x:v>
      </x:c>
      <x:c r="G39">
        <x:v>25</x:v>
      </x:c>
      <x:c r="H39">
        <x:v>25</x:v>
      </x:c>
      <x:c r="I39">
        <x:v>1</x:v>
      </x:c>
      <x:c r="J39">
        <x:v>46370</x:v>
      </x:c>
      <x:c r="K39">
        <x:v>46376</x:v>
      </x:c>
      <x:c r="L39" t="s">
        <x:v>219</x:v>
      </x:c>
      <x:c r="M39">
        <x:v>0</x:v>
      </x:c>
      <x:c r="P39">
        <x:v>8</x:v>
      </x:c>
    </x:row>
    <x:row r="40">
      <x:c r="A40" t="s">
        <x:v>187</x:v>
      </x:c>
      <x:c r="B40" t="s">
        <x:v>423</x:v>
      </x:c>
      <x:c r="C40" t="s">
        <x:v>426</x:v>
      </x:c>
      <x:c r="D40" t="s">
        <x:v>427</x:v>
      </x:c>
      <x:c r="E40" t="s">
        <x:v>182</x:v>
      </x:c>
      <x:c r="F40">
        <x:v>10</x:v>
      </x:c>
      <x:c r="G40">
        <x:v>25</x:v>
      </x:c>
      <x:c r="H40">
        <x:v>26</x:v>
      </x:c>
      <x:c r="I40">
        <x:v>2</x:v>
      </x:c>
      <x:c r="J40">
        <x:v>46370</x:v>
      </x:c>
      <x:c r="K40">
        <x:v>46383</x:v>
      </x:c>
      <x:c r="L40" t="s">
        <x:v>219</x:v>
      </x:c>
      <x:c r="M40">
        <x:v>0</x:v>
      </x:c>
      <x:c r="P40">
        <x:v>10</x:v>
      </x:c>
    </x:row>
    <x:row r="41">
      <x:c r="A41" t="s">
        <x:v>192</x:v>
      </x:c>
      <x:c r="B41" t="s">
        <x:v>423</x:v>
      </x:c>
      <x:c r="C41" t="s">
        <x:v>428</x:v>
      </x:c>
      <x:c r="D41" t="s">
        <x:v>429</x:v>
      </x:c>
      <x:c r="E41" t="s">
        <x:v>187</x:v>
      </x:c>
      <x:c r="F41">
        <x:v>18</x:v>
      </x:c>
      <x:c r="G41">
        <x:v>26</x:v>
      </x:c>
      <x:c r="H41">
        <x:v>28</x:v>
      </x:c>
      <x:c r="I41">
        <x:v>3</x:v>
      </x:c>
      <x:c r="J41">
        <x:v>46377</x:v>
      </x:c>
      <x:c r="K41">
        <x:v>46397</x:v>
      </x:c>
      <x:c r="L41" t="s">
        <x:v>219</x:v>
      </x:c>
      <x:c r="M41">
        <x:v>0</x:v>
      </x:c>
      <x:c r="P41">
        <x:v>18</x:v>
      </x:c>
    </x:row>
    <x:row r="42">
      <x:c r="A42" t="s">
        <x:v>430</x:v>
      </x:c>
      <x:c r="B42" t="s">
        <x:v>423</x:v>
      </x:c>
      <x:c r="C42" t="s">
        <x:v>431</x:v>
      </x:c>
      <x:c r="D42" t="s">
        <x:v>432</x:v>
      </x:c>
      <x:c r="E42" t="s">
        <x:v>192</x:v>
      </x:c>
      <x:c r="F42">
        <x:v>14</x:v>
      </x:c>
      <x:c r="G42">
        <x:v>28</x:v>
      </x:c>
      <x:c r="H42">
        <x:v>29</x:v>
      </x:c>
      <x:c r="I42">
        <x:v>2</x:v>
      </x:c>
      <x:c r="J42">
        <x:v>46391</x:v>
      </x:c>
      <x:c r="K42">
        <x:v>46404</x:v>
      </x:c>
      <x:c r="L42" t="s">
        <x:v>219</x:v>
      </x:c>
      <x:c r="M42">
        <x:v>0</x:v>
      </x:c>
      <x:c r="P42">
        <x:v>14</x:v>
      </x:c>
    </x:row>
    <x:row r="43">
      <x:c r="A43" t="s">
        <x:v>433</x:v>
      </x:c>
      <x:c r="B43" t="s">
        <x:v>423</x:v>
      </x:c>
      <x:c r="C43" t="s">
        <x:v>434</x:v>
      </x:c>
      <x:c r="D43" t="s">
        <x:v>435</x:v>
      </x:c>
      <x:c r="E43" t="s">
        <x:v>192</x:v>
      </x:c>
      <x:c r="F43">
        <x:v>14</x:v>
      </x:c>
      <x:c r="G43">
        <x:v>29</x:v>
      </x:c>
      <x:c r="H43">
        <x:v>30</x:v>
      </x:c>
      <x:c r="I43">
        <x:v>2</x:v>
      </x:c>
      <x:c r="J43">
        <x:v>46398</x:v>
      </x:c>
      <x:c r="K43">
        <x:v>46411</x:v>
      </x:c>
      <x:c r="L43" t="s">
        <x:v>219</x:v>
      </x:c>
      <x:c r="M43">
        <x:v>0</x:v>
      </x:c>
      <x:c r="P43">
        <x:v>14</x:v>
      </x:c>
    </x:row>
    <x:row r="44">
      <x:c r="A44" t="s">
        <x:v>436</x:v>
      </x:c>
      <x:c r="B44" t="s">
        <x:v>423</x:v>
      </x:c>
      <x:c r="C44" t="s">
        <x:v>437</x:v>
      </x:c>
      <x:c r="D44" t="s">
        <x:v>438</x:v>
      </x:c>
      <x:c r="E44" t="s">
        <x:v>430</x:v>
      </x:c>
      <x:c r="F44">
        <x:v>20</x:v>
      </x:c>
      <x:c r="G44">
        <x:v>30</x:v>
      </x:c>
      <x:c r="H44">
        <x:v>31</x:v>
      </x:c>
      <x:c r="I44">
        <x:v>2</x:v>
      </x:c>
      <x:c r="J44">
        <x:v>46405</x:v>
      </x:c>
      <x:c r="K44">
        <x:v>46418</x:v>
      </x:c>
      <x:c r="L44" t="s">
        <x:v>219</x:v>
      </x:c>
      <x:c r="M44">
        <x:v>0</x:v>
      </x:c>
      <x:c r="P44">
        <x:v>20</x:v>
      </x:c>
    </x:row>
    <x:row r="45">
      <x:c r="A45" t="s">
        <x:v>439</x:v>
      </x:c>
      <x:c r="B45" t="s">
        <x:v>423</x:v>
      </x:c>
      <x:c r="C45" t="s">
        <x:v>440</x:v>
      </x:c>
      <x:c r="D45" t="s">
        <x:v>441</x:v>
      </x:c>
      <x:c r="E45" t="s">
        <x:v>436</x:v>
      </x:c>
      <x:c r="F45">
        <x:v>12</x:v>
      </x:c>
      <x:c r="G45">
        <x:v>32</x:v>
      </x:c>
      <x:c r="H45">
        <x:v>32</x:v>
      </x:c>
      <x:c r="I45">
        <x:v>1</x:v>
      </x:c>
      <x:c r="J45">
        <x:v>46419</x:v>
      </x:c>
      <x:c r="K45">
        <x:v>46425</x:v>
      </x:c>
      <x:c r="L45" t="s">
        <x:v>219</x:v>
      </x:c>
      <x:c r="M45">
        <x:v>0</x:v>
      </x:c>
      <x:c r="P45">
        <x:v>12</x:v>
      </x:c>
    </x:row>
    <x:row r="46">
      <x:c r="A46" t="s">
        <x:v>198</x:v>
      </x:c>
      <x:c r="B46" t="s">
        <x:v>442</x:v>
      </x:c>
      <x:c r="C46" t="s">
        <x:v>443</x:v>
      </x:c>
      <x:c r="D46" t="s">
        <x:v>444</x:v>
      </x:c>
      <x:c r="E46" t="s">
        <x:v>439</x:v>
      </x:c>
      <x:c r="F46">
        <x:v>10</x:v>
      </x:c>
      <x:c r="G46">
        <x:v>33</x:v>
      </x:c>
      <x:c r="H46">
        <x:v>33</x:v>
      </x:c>
      <x:c r="I46">
        <x:v>1</x:v>
      </x:c>
      <x:c r="J46">
        <x:v>46426</x:v>
      </x:c>
      <x:c r="K46">
        <x:v>46432</x:v>
      </x:c>
      <x:c r="L46" t="s">
        <x:v>219</x:v>
      </x:c>
      <x:c r="M46">
        <x:v>0</x:v>
      </x:c>
      <x:c r="P46">
        <x:v>10</x:v>
      </x:c>
    </x:row>
    <x:row r="47">
      <x:c r="A47" t="s">
        <x:v>204</x:v>
      </x:c>
      <x:c r="B47" t="s">
        <x:v>442</x:v>
      </x:c>
      <x:c r="C47" t="s">
        <x:v>445</x:v>
      </x:c>
      <x:c r="D47" t="s">
        <x:v>446</x:v>
      </x:c>
      <x:c r="E47" t="s">
        <x:v>198</x:v>
      </x:c>
      <x:c r="F47">
        <x:v>16</x:v>
      </x:c>
      <x:c r="G47">
        <x:v>34</x:v>
      </x:c>
      <x:c r="H47">
        <x:v>35</x:v>
      </x:c>
      <x:c r="I47">
        <x:v>2</x:v>
      </x:c>
      <x:c r="J47">
        <x:v>46433</x:v>
      </x:c>
      <x:c r="K47">
        <x:v>46446</x:v>
      </x:c>
      <x:c r="L47" t="s">
        <x:v>219</x:v>
      </x:c>
      <x:c r="M47">
        <x:v>0</x:v>
      </x:c>
      <x:c r="P47">
        <x:v>16</x:v>
      </x:c>
    </x:row>
    <x:row r="48">
      <x:c r="A48" t="s">
        <x:v>209</x:v>
      </x:c>
      <x:c r="B48" t="s">
        <x:v>442</x:v>
      </x:c>
      <x:c r="C48" t="s">
        <x:v>447</x:v>
      </x:c>
      <x:c r="D48" t="s">
        <x:v>448</x:v>
      </x:c>
      <x:c r="E48" t="s">
        <x:v>204</x:v>
      </x:c>
      <x:c r="F48">
        <x:v>12</x:v>
      </x:c>
      <x:c r="G48">
        <x:v>35</x:v>
      </x:c>
      <x:c r="H48">
        <x:v>36</x:v>
      </x:c>
      <x:c r="I48">
        <x:v>2</x:v>
      </x:c>
      <x:c r="J48">
        <x:v>46440</x:v>
      </x:c>
      <x:c r="K48">
        <x:v>46453</x:v>
      </x:c>
      <x:c r="L48" t="s">
        <x:v>219</x:v>
      </x:c>
      <x:c r="M48">
        <x:v>0</x:v>
      </x:c>
      <x:c r="P48">
        <x:v>12</x:v>
      </x:c>
    </x:row>
    <x:row r="49">
      <x:c r="A49" t="s">
        <x:v>449</x:v>
      </x:c>
      <x:c r="B49" t="s">
        <x:v>442</x:v>
      </x:c>
      <x:c r="C49" t="s">
        <x:v>450</x:v>
      </x:c>
      <x:c r="D49" t="s">
        <x:v>451</x:v>
      </x:c>
      <x:c r="E49" t="s">
        <x:v>209</x:v>
      </x:c>
      <x:c r="F49">
        <x:v>10</x:v>
      </x:c>
      <x:c r="G49">
        <x:v>36</x:v>
      </x:c>
      <x:c r="H49">
        <x:v>36</x:v>
      </x:c>
      <x:c r="I49">
        <x:v>1</x:v>
      </x:c>
      <x:c r="J49">
        <x:v>46447</x:v>
      </x:c>
      <x:c r="K49">
        <x:v>46453</x:v>
      </x:c>
      <x:c r="L49" t="s">
        <x:v>219</x:v>
      </x:c>
      <x:c r="M49">
        <x:v>0</x:v>
      </x:c>
      <x:c r="P49">
        <x:v>10</x:v>
      </x:c>
    </x:row>
    <x:row r="50">
      <x:c r="A50" t="s">
        <x:v>452</x:v>
      </x:c>
      <x:c r="B50" t="s">
        <x:v>442</x:v>
      </x:c>
      <x:c r="C50" t="s">
        <x:v>453</x:v>
      </x:c>
      <x:c r="D50" t="s">
        <x:v>454</x:v>
      </x:c>
      <x:c r="E50" t="s">
        <x:v>449</x:v>
      </x:c>
      <x:c r="F50">
        <x:v>16</x:v>
      </x:c>
      <x:c r="G50">
        <x:v>37</x:v>
      </x:c>
      <x:c r="H50">
        <x:v>38</x:v>
      </x:c>
      <x:c r="I50">
        <x:v>2</x:v>
      </x:c>
      <x:c r="J50">
        <x:v>46454</x:v>
      </x:c>
      <x:c r="K50">
        <x:v>46467</x:v>
      </x:c>
      <x:c r="L50" t="s">
        <x:v>219</x:v>
      </x:c>
      <x:c r="M50">
        <x:v>0</x:v>
      </x:c>
      <x:c r="P50">
        <x:v>16</x:v>
      </x:c>
    </x:row>
    <x:row r="51">
      <x:c r="A51" t="s">
        <x:v>455</x:v>
      </x:c>
      <x:c r="B51" t="s">
        <x:v>442</x:v>
      </x:c>
      <x:c r="C51" t="s">
        <x:v>456</x:v>
      </x:c>
      <x:c r="D51" t="s">
        <x:v>457</x:v>
      </x:c>
      <x:c r="E51" t="s">
        <x:v>452</x:v>
      </x:c>
      <x:c r="F51">
        <x:v>14</x:v>
      </x:c>
      <x:c r="G51">
        <x:v>38</x:v>
      </x:c>
      <x:c r="H51">
        <x:v>39</x:v>
      </x:c>
      <x:c r="I51">
        <x:v>2</x:v>
      </x:c>
      <x:c r="J51">
        <x:v>46461</x:v>
      </x:c>
      <x:c r="K51">
        <x:v>46474</x:v>
      </x:c>
      <x:c r="L51" t="s">
        <x:v>219</x:v>
      </x:c>
      <x:c r="M51">
        <x:v>0</x:v>
      </x:c>
      <x:c r="P51">
        <x:v>14</x:v>
      </x:c>
    </x:row>
    <x:row r="52">
      <x:c r="A52" t="s">
        <x:v>458</x:v>
      </x:c>
      <x:c r="B52" t="s">
        <x:v>442</x:v>
      </x:c>
      <x:c r="C52" t="s">
        <x:v>459</x:v>
      </x:c>
      <x:c r="D52" t="s">
        <x:v>460</x:v>
      </x:c>
      <x:c r="E52" t="s">
        <x:v>455</x:v>
      </x:c>
      <x:c r="F52">
        <x:v>16</x:v>
      </x:c>
      <x:c r="G52">
        <x:v>40</x:v>
      </x:c>
      <x:c r="H52">
        <x:v>41</x:v>
      </x:c>
      <x:c r="I52">
        <x:v>2</x:v>
      </x:c>
      <x:c r="J52">
        <x:v>46475</x:v>
      </x:c>
      <x:c r="K52">
        <x:v>46488</x:v>
      </x:c>
      <x:c r="L52" t="s">
        <x:v>219</x:v>
      </x:c>
      <x:c r="M52">
        <x:v>0</x:v>
      </x:c>
      <x:c r="P52">
        <x:v>16</x:v>
      </x:c>
    </x:row>
    <x:row r="53">
      <x:c r="A53" t="s">
        <x:v>461</x:v>
      </x:c>
      <x:c r="B53" t="s">
        <x:v>442</x:v>
      </x:c>
      <x:c r="C53" t="s">
        <x:v>462</x:v>
      </x:c>
      <x:c r="D53" t="s">
        <x:v>463</x:v>
      </x:c>
      <x:c r="E53" t="s">
        <x:v>458</x:v>
      </x:c>
      <x:c r="F53">
        <x:v>10</x:v>
      </x:c>
      <x:c r="G53">
        <x:v>42</x:v>
      </x:c>
      <x:c r="H53">
        <x:v>42</x:v>
      </x:c>
      <x:c r="I53">
        <x:v>1</x:v>
      </x:c>
      <x:c r="J53">
        <x:v>46489</x:v>
      </x:c>
      <x:c r="K53">
        <x:v>46495</x:v>
      </x:c>
      <x:c r="L53" t="s">
        <x:v>219</x:v>
      </x:c>
      <x:c r="M53">
        <x:v>0</x:v>
      </x:c>
      <x:c r="P53">
        <x:v>10</x:v>
      </x:c>
    </x:row>
    <x:row r="54">
      <x:c r="A54" t="s">
        <x:v>464</x:v>
      </x:c>
      <x:c r="B54" t="s">
        <x:v>465</x:v>
      </x:c>
      <x:c r="C54" t="s">
        <x:v>466</x:v>
      </x:c>
      <x:c r="D54" t="s">
        <x:v>467</x:v>
      </x:c>
      <x:c r="E54" t="s">
        <x:v>461</x:v>
      </x:c>
      <x:c r="F54">
        <x:v>6</x:v>
      </x:c>
      <x:c r="G54">
        <x:v>43</x:v>
      </x:c>
      <x:c r="H54">
        <x:v>43</x:v>
      </x:c>
      <x:c r="I54">
        <x:v>1</x:v>
      </x:c>
      <x:c r="J54">
        <x:v>46496</x:v>
      </x:c>
      <x:c r="K54">
        <x:v>46502</x:v>
      </x:c>
      <x:c r="L54" t="s">
        <x:v>219</x:v>
      </x:c>
      <x:c r="M54">
        <x:v>0</x:v>
      </x:c>
      <x:c r="P54">
        <x:v>6</x:v>
      </x:c>
    </x:row>
    <x:row r="55">
      <x:c r="A55" t="s">
        <x:v>468</x:v>
      </x:c>
      <x:c r="B55" t="s">
        <x:v>465</x:v>
      </x:c>
      <x:c r="C55" t="s">
        <x:v>469</x:v>
      </x:c>
      <x:c r="D55" t="s">
        <x:v>470</x:v>
      </x:c>
      <x:c r="E55" t="s">
        <x:v>464</x:v>
      </x:c>
      <x:c r="F55">
        <x:v>10</x:v>
      </x:c>
      <x:c r="G55">
        <x:v>43</x:v>
      </x:c>
      <x:c r="H55">
        <x:v>44</x:v>
      </x:c>
      <x:c r="I55">
        <x:v>2</x:v>
      </x:c>
      <x:c r="J55">
        <x:v>46496</x:v>
      </x:c>
      <x:c r="K55">
        <x:v>46509</x:v>
      </x:c>
      <x:c r="L55" t="s">
        <x:v>219</x:v>
      </x:c>
      <x:c r="M55">
        <x:v>0</x:v>
      </x:c>
      <x:c r="P55">
        <x:v>10</x:v>
      </x:c>
    </x:row>
    <x:row r="56">
      <x:c r="A56" t="s">
        <x:v>471</x:v>
      </x:c>
      <x:c r="B56" t="s">
        <x:v>465</x:v>
      </x:c>
      <x:c r="C56" t="s">
        <x:v>472</x:v>
      </x:c>
      <x:c r="D56" t="s">
        <x:v>473</x:v>
      </x:c>
      <x:c r="E56" t="s">
        <x:v>468</x:v>
      </x:c>
      <x:c r="F56">
        <x:v>14</x:v>
      </x:c>
      <x:c r="G56">
        <x:v>44</x:v>
      </x:c>
      <x:c r="H56">
        <x:v>45</x:v>
      </x:c>
      <x:c r="I56">
        <x:v>2</x:v>
      </x:c>
      <x:c r="J56">
        <x:v>46503</x:v>
      </x:c>
      <x:c r="K56">
        <x:v>46516</x:v>
      </x:c>
      <x:c r="L56" t="s">
        <x:v>219</x:v>
      </x:c>
      <x:c r="M56">
        <x:v>0</x:v>
      </x:c>
      <x:c r="P56">
        <x:v>14</x:v>
      </x:c>
    </x:row>
    <x:row r="57">
      <x:c r="A57" t="s">
        <x:v>474</x:v>
      </x:c>
      <x:c r="B57" t="s">
        <x:v>465</x:v>
      </x:c>
      <x:c r="C57" t="s">
        <x:v>475</x:v>
      </x:c>
      <x:c r="D57" t="s">
        <x:v>476</x:v>
      </x:c>
      <x:c r="E57" t="s">
        <x:v>471</x:v>
      </x:c>
      <x:c r="F57">
        <x:v>8</x:v>
      </x:c>
      <x:c r="G57">
        <x:v>45</x:v>
      </x:c>
      <x:c r="H57">
        <x:v>46</x:v>
      </x:c>
      <x:c r="I57">
        <x:v>2</x:v>
      </x:c>
      <x:c r="J57">
        <x:v>46510</x:v>
      </x:c>
      <x:c r="K57">
        <x:v>46523</x:v>
      </x:c>
      <x:c r="L57" t="s">
        <x:v>219</x:v>
      </x:c>
      <x:c r="M57">
        <x:v>0</x:v>
      </x:c>
      <x:c r="P57">
        <x:v>8</x:v>
      </x:c>
    </x:row>
    <x:row r="58">
      <x:c r="A58" t="s">
        <x:v>477</x:v>
      </x:c>
      <x:c r="B58" t="s">
        <x:v>465</x:v>
      </x:c>
      <x:c r="C58" t="s">
        <x:v>478</x:v>
      </x:c>
      <x:c r="D58" t="s">
        <x:v>479</x:v>
      </x:c>
      <x:c r="E58" t="s">
        <x:v>474</x:v>
      </x:c>
      <x:c r="F58">
        <x:v>10</x:v>
      </x:c>
      <x:c r="G58">
        <x:v>46</x:v>
      </x:c>
      <x:c r="H58">
        <x:v>47</x:v>
      </x:c>
      <x:c r="I58">
        <x:v>2</x:v>
      </x:c>
      <x:c r="J58">
        <x:v>46517</x:v>
      </x:c>
      <x:c r="K58">
        <x:v>46530</x:v>
      </x:c>
      <x:c r="L58" t="s">
        <x:v>219</x:v>
      </x:c>
      <x:c r="M58">
        <x:v>0</x:v>
      </x:c>
      <x:c r="P58">
        <x:v>10</x:v>
      </x:c>
    </x:row>
    <x:row r="59">
      <x:c r="A59" t="s">
        <x:v>480</x:v>
      </x:c>
      <x:c r="B59" t="s">
        <x:v>465</x:v>
      </x:c>
      <x:c r="C59" t="s">
        <x:v>481</x:v>
      </x:c>
      <x:c r="D59" t="s">
        <x:v>482</x:v>
      </x:c>
      <x:c r="E59" t="s">
        <x:v>477</x:v>
      </x:c>
      <x:c r="F59">
        <x:v>4</x:v>
      </x:c>
      <x:c r="G59">
        <x:v>47</x:v>
      </x:c>
      <x:c r="H59">
        <x:v>47</x:v>
      </x:c>
      <x:c r="I59">
        <x:v>1</x:v>
      </x:c>
      <x:c r="J59">
        <x:v>46524</x:v>
      </x:c>
      <x:c r="K59">
        <x:v>46530</x:v>
      </x:c>
      <x:c r="L59" t="s">
        <x:v>219</x:v>
      </x:c>
      <x:c r="M59">
        <x:v>0</x:v>
      </x:c>
      <x:c r="P59">
        <x:v>4</x:v>
      </x:c>
    </x:row>
    <x:row r="60">
      <x:c r="A60" t="s">
        <x:v>483</x:v>
      </x:c>
      <x:c r="B60" t="s">
        <x:v>484</x:v>
      </x:c>
      <x:c r="C60" t="s">
        <x:v>485</x:v>
      </x:c>
      <x:c r="D60" t="s">
        <x:v>486</x:v>
      </x:c>
      <x:c r="E60" t="s">
        <x:v>480</x:v>
      </x:c>
      <x:c r="F60">
        <x:v>12</x:v>
      </x:c>
      <x:c r="G60">
        <x:v>48</x:v>
      </x:c>
      <x:c r="H60">
        <x:v>48</x:v>
      </x:c>
      <x:c r="I60">
        <x:v>1</x:v>
      </x:c>
      <x:c r="J60">
        <x:v>46531</x:v>
      </x:c>
      <x:c r="K60">
        <x:v>46537</x:v>
      </x:c>
      <x:c r="L60" t="s">
        <x:v>219</x:v>
      </x:c>
      <x:c r="M60">
        <x:v>0</x:v>
      </x:c>
      <x:c r="P60">
        <x:v>12</x:v>
      </x:c>
    </x:row>
    <x:row r="61">
      <x:c r="A61" t="s">
        <x:v>487</x:v>
      </x:c>
      <x:c r="B61" t="s">
        <x:v>484</x:v>
      </x:c>
      <x:c r="C61" t="s">
        <x:v>488</x:v>
      </x:c>
      <x:c r="D61" t="s">
        <x:v>489</x:v>
      </x:c>
      <x:c r="E61" t="s">
        <x:v>483</x:v>
      </x:c>
      <x:c r="F61">
        <x:v>10</x:v>
      </x:c>
      <x:c r="G61">
        <x:v>48</x:v>
      </x:c>
      <x:c r="H61">
        <x:v>49</x:v>
      </x:c>
      <x:c r="I61">
        <x:v>2</x:v>
      </x:c>
      <x:c r="J61">
        <x:v>46531</x:v>
      </x:c>
      <x:c r="K61">
        <x:v>46544</x:v>
      </x:c>
      <x:c r="L61" t="s">
        <x:v>219</x:v>
      </x:c>
      <x:c r="M61">
        <x:v>0</x:v>
      </x:c>
      <x:c r="P61">
        <x:v>10</x:v>
      </x:c>
    </x:row>
    <x:row r="62">
      <x:c r="A62" t="s">
        <x:v>490</x:v>
      </x:c>
      <x:c r="B62" t="s">
        <x:v>484</x:v>
      </x:c>
      <x:c r="C62" t="s">
        <x:v>491</x:v>
      </x:c>
      <x:c r="D62" t="s">
        <x:v>492</x:v>
      </x:c>
      <x:c r="E62" t="s">
        <x:v>483</x:v>
      </x:c>
      <x:c r="F62">
        <x:v>10</x:v>
      </x:c>
      <x:c r="G62">
        <x:v>49</x:v>
      </x:c>
      <x:c r="H62">
        <x:v>50</x:v>
      </x:c>
      <x:c r="I62">
        <x:v>2</x:v>
      </x:c>
      <x:c r="J62">
        <x:v>46538</x:v>
      </x:c>
      <x:c r="K62">
        <x:v>46551</x:v>
      </x:c>
      <x:c r="L62" t="s">
        <x:v>219</x:v>
      </x:c>
      <x:c r="M62">
        <x:v>0</x:v>
      </x:c>
      <x:c r="P62">
        <x:v>10</x:v>
      </x:c>
    </x:row>
    <x:row r="63">
      <x:c r="A63" t="s">
        <x:v>493</x:v>
      </x:c>
      <x:c r="B63" t="s">
        <x:v>484</x:v>
      </x:c>
      <x:c r="C63" t="s">
        <x:v>494</x:v>
      </x:c>
      <x:c r="D63" t="s">
        <x:v>495</x:v>
      </x:c>
      <x:c r="E63" t="s">
        <x:v>487</x:v>
      </x:c>
      <x:c r="F63">
        <x:v>10</x:v>
      </x:c>
      <x:c r="G63">
        <x:v>50</x:v>
      </x:c>
      <x:c r="H63">
        <x:v>50</x:v>
      </x:c>
      <x:c r="I63">
        <x:v>1</x:v>
      </x:c>
      <x:c r="J63">
        <x:v>46545</x:v>
      </x:c>
      <x:c r="K63">
        <x:v>46551</x:v>
      </x:c>
      <x:c r="L63" t="s">
        <x:v>219</x:v>
      </x:c>
      <x:c r="M63">
        <x:v>0</x:v>
      </x:c>
      <x:c r="P63">
        <x:v>10</x:v>
      </x:c>
    </x:row>
    <x:row r="64">
      <x:c r="A64" t="s">
        <x:v>496</x:v>
      </x:c>
      <x:c r="B64" t="s">
        <x:v>484</x:v>
      </x:c>
      <x:c r="C64" t="s">
        <x:v>497</x:v>
      </x:c>
      <x:c r="D64" t="s">
        <x:v>498</x:v>
      </x:c>
      <x:c r="E64" t="s">
        <x:v>490</x:v>
      </x:c>
      <x:c r="F64">
        <x:v>8</x:v>
      </x:c>
      <x:c r="G64">
        <x:v>51</x:v>
      </x:c>
      <x:c r="H64">
        <x:v>51</x:v>
      </x:c>
      <x:c r="I64">
        <x:v>1</x:v>
      </x:c>
      <x:c r="J64">
        <x:v>46552</x:v>
      </x:c>
      <x:c r="K64">
        <x:v>46558</x:v>
      </x:c>
      <x:c r="L64" t="s">
        <x:v>219</x:v>
      </x:c>
      <x:c r="M64">
        <x:v>0</x:v>
      </x:c>
      <x:c r="P64">
        <x:v>8</x:v>
      </x:c>
    </x:row>
    <x:row r="65">
      <x:c r="A65" t="s">
        <x:v>499</x:v>
      </x:c>
      <x:c r="B65" t="s">
        <x:v>484</x:v>
      </x:c>
      <x:c r="C65" t="s">
        <x:v>500</x:v>
      </x:c>
      <x:c r="D65" t="s">
        <x:v>501</x:v>
      </x:c>
      <x:c r="E65" t="s">
        <x:v>493</x:v>
      </x:c>
      <x:c r="F65">
        <x:v>6</x:v>
      </x:c>
      <x:c r="G65">
        <x:v>51</x:v>
      </x:c>
      <x:c r="H65">
        <x:v>52</x:v>
      </x:c>
      <x:c r="I65">
        <x:v>2</x:v>
      </x:c>
      <x:c r="J65">
        <x:v>46552</x:v>
      </x:c>
      <x:c r="K65">
        <x:v>46565</x:v>
      </x:c>
      <x:c r="L65" t="s">
        <x:v>219</x:v>
      </x:c>
      <x:c r="M65">
        <x:v>0</x:v>
      </x:c>
      <x:c r="P65">
        <x:v>6</x:v>
      </x:c>
    </x:row>
    <x:row r="66">
      <x:c r="A66" t="s">
        <x:v>502</x:v>
      </x:c>
      <x:c r="B66" t="s">
        <x:v>484</x:v>
      </x:c>
      <x:c r="C66" t="s">
        <x:v>503</x:v>
      </x:c>
      <x:c r="D66" t="s">
        <x:v>504</x:v>
      </x:c>
      <x:c r="E66" t="s">
        <x:v>496</x:v>
      </x:c>
      <x:c r="F66">
        <x:v>4</x:v>
      </x:c>
      <x:c r="G66">
        <x:v>52</x:v>
      </x:c>
      <x:c r="H66">
        <x:v>52</x:v>
      </x:c>
      <x:c r="I66">
        <x:v>1</x:v>
      </x:c>
      <x:c r="J66">
        <x:v>46559</x:v>
      </x:c>
      <x:c r="K66">
        <x:v>46565</x:v>
      </x:c>
      <x:c r="L66" t="s">
        <x:v>219</x:v>
      </x:c>
      <x:c r="M66">
        <x:v>0</x:v>
      </x:c>
      <x:c r="P66">
        <x:v>4</x:v>
      </x:c>
    </x:row>
    <x:row r="69">
      <x:c r="A69" t="s">
        <x:v>505</x:v>
      </x:c>
    </x:row>
    <x:row r="70">
      <x:c r="A70" t="s">
        <x:v>109</x:v>
      </x:c>
      <x:c r="B70" t="s">
        <x:v>66</x:v>
      </x:c>
      <x:c r="C70" t="s">
        <x:v>506</x:v>
      </x:c>
      <x:c r="D70" t="s">
        <x:v>507</x:v>
      </x:c>
      <x:c r="E70" t="s">
        <x:v>70</x:v>
      </x:c>
      <x:c r="F70" t="s">
        <x:v>71</x:v>
      </x:c>
      <x:c r="G70" t="s">
        <x:v>72</x:v>
      </x:c>
      <x:c r="H70" t="s">
        <x:v>73</x:v>
      </x:c>
      <x:c r="I70" t="s">
        <x:v>508</x:v>
      </x:c>
      <x:c r="J70" t="s">
        <x:v>509</x:v>
      </x:c>
      <x:c r="K70" t="s">
        <x:v>510</x:v>
      </x:c>
      <x:c r="L70" t="s">
        <x:v>511</x:v>
      </x:c>
      <x:c r="M70" t="s">
        <x:v>512</x:v>
      </x:c>
      <x:c r="N70" t="s">
        <x:v>513</x:v>
      </x:c>
      <x:c r="O70" t="s">
        <x:v>514</x:v>
      </x:c>
      <x:c r="P70" t="s">
        <x:v>515</x:v>
      </x:c>
      <x:c r="Q70" t="s">
        <x:v>516</x:v>
      </x:c>
      <x:c r="R70" t="s">
        <x:v>517</x:v>
      </x:c>
      <x:c r="S70" t="s">
        <x:v>518</x:v>
      </x:c>
      <x:c r="T70" t="s">
        <x:v>519</x:v>
      </x:c>
    </x:row>
    <x:row r="71">
      <x:c r="A71" t="s">
        <x:v>82</x:v>
      </x:c>
      <x:c r="B71" t="s">
        <x:v>336</x:v>
      </x:c>
      <x:c r="C71">
        <x:v>40</x:v>
      </x:c>
      <x:c r="D71">
        <x:v>6.9444444444444448E-2</x:v>
      </x:c>
      <x:c r="E71">
        <x:v>46202</x:v>
      </x:c>
      <x:c r="F71">
        <x:v>46565</x:v>
      </x:c>
      <x:c r="G71" t="s">
        <x:v>520</x:v>
      </x:c>
      <x:c r="H71" t="s">
        <x:v>521</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361</x:v>
      </x:c>
      <x:c r="C72">
        <x:v>64</x:v>
      </x:c>
      <x:c r="D72">
        <x:v>0.1111111111111111</x:v>
      </x:c>
      <x:c r="E72">
        <x:v>46216</x:v>
      </x:c>
      <x:c r="F72">
        <x:v>46264</x:v>
      </x:c>
      <x:c r="G72" t="s">
        <x:v>522</x:v>
      </x:c>
      <x:c r="H72" t="s">
        <x:v>523</x:v>
      </x:c>
      <x:c r="I72" t="s">
        <x:v>86</x:v>
      </x:c>
      <x:c r="J72" t="s">
        <x:v>86</x:v>
      </x:c>
    </x:row>
    <x:row r="73">
      <x:c r="A73" t="s">
        <x:v>9</x:v>
      </x:c>
      <x:c r="B73" t="s">
        <x:v>378</x:v>
      </x:c>
      <x:c r="C73">
        <x:v>72</x:v>
      </x:c>
      <x:c r="D73">
        <x:v>0.125</x:v>
      </x:c>
      <x:c r="E73">
        <x:v>46265</x:v>
      </x:c>
      <x:c r="F73">
        <x:v>46313</x:v>
      </x:c>
      <x:c r="G73" t="s">
        <x:v>524</x:v>
      </x:c>
      <x:c r="H73" t="s">
        <x:v>525</x:v>
      </x:c>
      <x:c r="J73" t="s">
        <x:v>86</x:v>
      </x:c>
      <x:c r="K73" t="s">
        <x:v>86</x:v>
      </x:c>
      <x:c r="L73" t="s">
        <x:v>86</x:v>
      </x:c>
    </x:row>
    <x:row r="74">
      <x:c r="A74" t="s">
        <x:v>12</x:v>
      </x:c>
      <x:c r="B74" t="s">
        <x:v>402</x:v>
      </x:c>
      <x:c r="C74">
        <x:v>88</x:v>
      </x:c>
      <x:c r="D74">
        <x:v>0.15277777777777779</x:v>
      </x:c>
      <x:c r="E74">
        <x:v>46314</x:v>
      </x:c>
      <x:c r="F74">
        <x:v>46369</x:v>
      </x:c>
      <x:c r="G74" t="s">
        <x:v>526</x:v>
      </x:c>
      <x:c r="H74" t="s">
        <x:v>527</x:v>
      </x:c>
      <x:c r="L74" t="s">
        <x:v>86</x:v>
      </x:c>
      <x:c r="M74" t="s">
        <x:v>86</x:v>
      </x:c>
      <x:c r="N74" t="s">
        <x:v>86</x:v>
      </x:c>
    </x:row>
    <x:row r="75">
      <x:c r="A75" t="s">
        <x:v>16</x:v>
      </x:c>
      <x:c r="B75" t="s">
        <x:v>423</x:v>
      </x:c>
      <x:c r="C75">
        <x:v>96</x:v>
      </x:c>
      <x:c r="D75">
        <x:v>0.16666666666666666</x:v>
      </x:c>
      <x:c r="E75">
        <x:v>46370</x:v>
      </x:c>
      <x:c r="F75">
        <x:v>46425</x:v>
      </x:c>
      <x:c r="G75" t="s">
        <x:v>528</x:v>
      </x:c>
      <x:c r="H75" t="s">
        <x:v>529</x:v>
      </x:c>
      <x:c r="N75" t="s">
        <x:v>86</x:v>
      </x:c>
      <x:c r="O75" t="s">
        <x:v>86</x:v>
      </x:c>
      <x:c r="P75" t="s">
        <x:v>86</x:v>
      </x:c>
    </x:row>
    <x:row r="76">
      <x:c r="A76" t="s">
        <x:v>19</x:v>
      </x:c>
      <x:c r="B76" t="s">
        <x:v>442</x:v>
      </x:c>
      <x:c r="C76">
        <x:v>104</x:v>
      </x:c>
      <x:c r="D76">
        <x:v>0.18055555555555555</x:v>
      </x:c>
      <x:c r="E76">
        <x:v>46426</x:v>
      </x:c>
      <x:c r="F76">
        <x:v>46495</x:v>
      </x:c>
      <x:c r="G76" t="s">
        <x:v>530</x:v>
      </x:c>
      <x:c r="H76" t="s">
        <x:v>531</x:v>
      </x:c>
      <x:c r="P76" t="s">
        <x:v>86</x:v>
      </x:c>
      <x:c r="Q76" t="s">
        <x:v>86</x:v>
      </x:c>
      <x:c r="R76" t="s">
        <x:v>86</x:v>
      </x:c>
    </x:row>
    <x:row r="77">
      <x:c r="A77" t="s">
        <x:v>22</x:v>
      </x:c>
      <x:c r="B77" t="s">
        <x:v>465</x:v>
      </x:c>
      <x:c r="C77">
        <x:v>52</x:v>
      </x:c>
      <x:c r="D77">
        <x:v>9.0277777777777776E-2</x:v>
      </x:c>
      <x:c r="E77">
        <x:v>46496</x:v>
      </x:c>
      <x:c r="F77">
        <x:v>46530</x:v>
      </x:c>
      <x:c r="G77" t="s">
        <x:v>532</x:v>
      </x:c>
      <x:c r="H77" t="s">
        <x:v>533</x:v>
      </x:c>
      <x:c r="R77" t="s">
        <x:v>86</x:v>
      </x:c>
      <x:c r="S77" t="s">
        <x:v>86</x:v>
      </x:c>
    </x:row>
    <x:row r="78">
      <x:c r="A78" t="s">
        <x:v>25</x:v>
      </x:c>
      <x:c r="B78" t="s">
        <x:v>484</x:v>
      </x:c>
      <x:c r="C78">
        <x:v>60</x:v>
      </x:c>
      <x:c r="D78">
        <x:v>0.10416666666666667</x:v>
      </x:c>
      <x:c r="E78">
        <x:v>46531</x:v>
      </x:c>
      <x:c r="F78">
        <x:v>46565</x:v>
      </x:c>
      <x:c r="G78" t="s">
        <x:v>534</x:v>
      </x:c>
      <x:c r="H78" t="s">
        <x:v>535</x:v>
      </x:c>
      <x:c r="S78" t="s">
        <x:v>86</x:v>
      </x:c>
      <x:c r="T78" t="s">
        <x:v>86</x:v>
      </x:c>
    </x:row>
    <x:row r="79">
      <x:c r="A79" t="s">
        <x:v>536</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537</x:v>
      </x:c>
      <x:c r="B1" s="235"/>
      <x:c r="C1" s="235"/>
      <x:c r="D1" s="235"/>
      <x:c r="E1" s="235"/>
      <x:c r="F1" s="235"/>
      <x:c r="G1" s="235"/>
      <x:c r="H1" s="235"/>
      <x:c r="I1" s="235"/>
      <x:c r="J1" s="235"/>
      <x:c r="K1" s="235"/>
      <x:c r="L1" s="235"/>
      <x:c r="M1" s="235"/>
    </x:row>
    <x:row r="2">
      <x:c r="A2" s="236" t="s">
        <x:v>538</x:v>
      </x:c>
      <x:c r="B2" s="236"/>
      <x:c r="C2" s="236"/>
      <x:c r="D2" s="236"/>
      <x:c r="E2" s="236"/>
      <x:c r="F2" s="236"/>
      <x:c r="G2" s="236"/>
      <x:c r="H2" s="236"/>
      <x:c r="I2" s="236"/>
      <x:c r="J2" s="236"/>
      <x:c r="K2" s="236"/>
      <x:c r="L2" s="236"/>
      <x:c r="M2" s="236"/>
    </x:row>
    <x:row r="4" ht="30">
      <x:c r="A4" s="80" t="s">
        <x:v>539</x:v>
      </x:c>
      <x:c r="B4" s="80" t="s">
        <x:v>540</x:v>
      </x:c>
      <x:c r="C4" s="80" t="s">
        <x:v>70</x:v>
      </x:c>
      <x:c r="D4" s="80" t="s">
        <x:v>541</x:v>
      </x:c>
      <x:c r="E4" s="80" t="s">
        <x:v>542</x:v>
      </x:c>
      <x:c r="F4" s="80" t="s">
        <x:v>68</x:v>
      </x:c>
      <x:c r="G4" s="80" t="s">
        <x:v>543</x:v>
      </x:c>
      <x:c r="H4" s="80" t="s">
        <x:v>117</x:v>
      </x:c>
      <x:c r="I4" s="80" t="s">
        <x:v>544</x:v>
      </x:c>
      <x:c r="J4" s="80" t="s">
        <x:v>545</x:v>
      </x:c>
      <x:c r="K4" s="80" t="s">
        <x:v>546</x:v>
      </x:c>
      <x:c r="L4" s="80" t="s">
        <x:v>121</x:v>
      </x:c>
      <x:c r="M4" s="80" t="s">
        <x:v>547</x:v>
      </x:c>
    </x:row>
    <x:row r="5" ht="42.75">
      <x:c r="A5" s="83" t="s">
        <x:v>548</x:v>
      </x:c>
      <x:c r="B5" s="84">
        <x:v>46201</x:v>
      </x:c>
      <x:c r="C5" s="83"/>
      <x:c r="D5" s="83"/>
      <x:c r="E5" s="83" t="s">
        <x:v>123</x:v>
      </x:c>
      <x:c r="F5" s="85">
        <x:v>2.5</x:v>
      </x:c>
      <x:c r="G5" s="178" t="n">
        <x:f t="shared" ref="G5:G10" si="0">IF(B5="","",MAX(1,INT((B5-DATE(2026,6,29))/7)+1))</x:f>
        <x:v>1</x:v>
      </x:c>
      <x:c r="H5" s="83" t="s">
        <x:v>339</x:v>
      </x:c>
      <x:c r="I5" s="83" t="s">
        <x:v>549</x:v>
      </x:c>
      <x:c r="J5" s="83" t="s">
        <x:v>550</x:v>
      </x:c>
      <x:c r="K5" s="83" t="s">
        <x:v>551</x:v>
      </x:c>
      <x:c r="L5" s="83" t="s">
        <x:v>552</x:v>
      </x:c>
      <x:c r="M5" s="83" t="s">
        <x:v>553</x:v>
      </x:c>
    </x:row>
    <x:row r="6" ht="42.75">
      <x:c r="A6" s="83" t="s">
        <x:v>554</x:v>
      </x:c>
      <x:c r="B6" s="84">
        <x:v>46203</x:v>
      </x:c>
      <x:c r="C6" s="83"/>
      <x:c r="D6" s="83"/>
      <x:c r="E6" s="83" t="s">
        <x:v>129</x:v>
      </x:c>
      <x:c r="F6" s="85">
        <x:v>1.5</x:v>
      </x:c>
      <x:c r="G6" s="178">
        <x:f t="shared" si="0"/>
        <x:v>1</x:v>
      </x:c>
      <x:c r="H6" s="83" t="s">
        <x:v>339</x:v>
      </x:c>
      <x:c r="I6" s="83" t="s">
        <x:v>555</x:v>
      </x:c>
      <x:c r="J6" s="83" t="s">
        <x:v>556</x:v>
      </x:c>
      <x:c r="K6" s="83" t="s">
        <x:v>557</x:v>
      </x:c>
      <x:c r="L6" s="83" t="s">
        <x:v>558</x:v>
      </x:c>
      <x:c r="M6" s="83" t="s">
        <x:v>559</x:v>
      </x:c>
    </x:row>
    <x:row r="7" ht="42.75">
      <x:c r="A7" s="83" t="s">
        <x:v>560</x:v>
      </x:c>
      <x:c r="B7" s="84">
        <x:v>46207</x:v>
      </x:c>
      <x:c r="C7" s="83" t="s">
        <x:v>561</x:v>
      </x:c>
      <x:c r="D7" s="83" t="s">
        <x:v>562</x:v>
      </x:c>
      <x:c r="E7" s="83" t="s">
        <x:v>134</x:v>
      </x:c>
      <x:c r="F7" s="85">
        <x:v>0.62</x:v>
      </x:c>
      <x:c r="G7" s="178">
        <x:f t="shared" si="0"/>
        <x:v>1</x:v>
      </x:c>
      <x:c r="H7" s="83" t="s">
        <x:v>339</x:v>
      </x:c>
      <x:c r="I7" s="83" t="s">
        <x:v>563</x:v>
      </x:c>
      <x:c r="J7" s="83" t="s">
        <x:v>564</x:v>
      </x:c>
      <x:c r="K7" s="83" t="s">
        <x:v>565</x:v>
      </x:c>
      <x:c r="L7" s="83" t="s">
        <x:v>566</x:v>
      </x:c>
      <x:c r="M7" s="83" t="s">
        <x:v>567</x:v>
      </x:c>
    </x:row>
    <x:row r="8" ht="57">
      <x:c r="A8" s="83" t="s">
        <x:v>568</x:v>
      </x:c>
      <x:c r="B8" s="84">
        <x:v>46207</x:v>
      </x:c>
      <x:c r="C8" s="83" t="s">
        <x:v>562</x:v>
      </x:c>
      <x:c r="D8" s="83" t="s">
        <x:v>569</x:v>
      </x:c>
      <x:c r="E8" s="83" t="s">
        <x:v>134</x:v>
      </x:c>
      <x:c r="F8" s="85">
        <x:v>1.53</x:v>
      </x:c>
      <x:c r="G8" s="178">
        <x:f t="shared" si="0"/>
        <x:v>1</x:v>
      </x:c>
      <x:c r="H8" s="83" t="s">
        <x:v>339</x:v>
      </x:c>
      <x:c r="I8" s="83" t="s">
        <x:v>570</x:v>
      </x:c>
      <x:c r="J8" s="83" t="s">
        <x:v>571</x:v>
      </x:c>
      <x:c r="K8" s="83" t="s">
        <x:v>572</x:v>
      </x:c>
      <x:c r="L8" s="83" t="s">
        <x:v>573</x:v>
      </x:c>
      <x:c r="M8" s="83" t="s">
        <x:v>574</x:v>
      </x:c>
    </x:row>
    <x:row r="9" ht="42.75">
      <x:c r="A9" s="83" t="s">
        <x:v>575</x:v>
      </x:c>
      <x:c r="B9" s="84">
        <x:v>46207</x:v>
      </x:c>
      <x:c r="C9" s="83" t="s">
        <x:v>569</x:v>
      </x:c>
      <x:c r="D9" s="83" t="s">
        <x:v>576</x:v>
      </x:c>
      <x:c r="E9" s="83" t="s">
        <x:v>129</x:v>
      </x:c>
      <x:c r="F9" s="85">
        <x:v>1.33</x:v>
      </x:c>
      <x:c r="G9" s="178">
        <x:f t="shared" si="0"/>
        <x:v>1</x:v>
      </x:c>
      <x:c r="H9" s="83" t="s">
        <x:v>339</x:v>
      </x:c>
      <x:c r="I9" s="83" t="s">
        <x:v>577</x:v>
      </x:c>
      <x:c r="J9" s="83" t="s">
        <x:v>578</x:v>
      </x:c>
      <x:c r="K9" s="83" t="s">
        <x:v>579</x:v>
      </x:c>
      <x:c r="L9" s="83" t="s">
        <x:v>580</x:v>
      </x:c>
      <x:c r="M9" s="83" t="s">
        <x:v>581</x:v>
      </x:c>
    </x:row>
    <x:row r="10" ht="42.75">
      <x:c r="A10" s="83" t="s">
        <x:v>582</x:v>
      </x:c>
      <x:c r="B10" s="84">
        <x:v>46207</x:v>
      </x:c>
      <x:c r="C10" s="83" t="s">
        <x:v>576</x:v>
      </x:c>
      <x:c r="D10" s="83" t="s">
        <x:v>583</x:v>
      </x:c>
      <x:c r="E10" s="83" t="s">
        <x:v>129</x:v>
      </x:c>
      <x:c r="F10" s="85">
        <x:v>7.0000000000000007E-2</x:v>
      </x:c>
      <x:c r="G10" s="178">
        <x:f t="shared" si="0"/>
        <x:v>1</x:v>
      </x:c>
      <x:c r="H10" s="83" t="s">
        <x:v>339</x:v>
      </x:c>
      <x:c r="I10" s="83" t="s">
        <x:v>584</x:v>
      </x:c>
      <x:c r="J10" s="83" t="s">
        <x:v>585</x:v>
      </x:c>
      <x:c r="K10" s="83" t="s">
        <x:v>586</x:v>
      </x:c>
      <x:c r="L10" s="83" t="s">
        <x:v>587</x:v>
      </x:c>
      <x:c r="M10" s="83" t="s">
        <x:v>588</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83"/>
      <x:c r="B23" s="84"/>
      <x:c r="C23" s="83"/>
      <x:c r="D23" s="83"/>
      <x:c r="E23" s="83"/>
      <x:c r="F23" s="85"/>
      <x:c r="G23" s="178"/>
      <x:c r="H23" s="83"/>
      <x:c r="I23" s="83"/>
      <x:c r="J23" s="83"/>
      <x:c r="K23" s="83"/>
      <x:c r="L23" s="83"/>
      <x:c r="M23" s="83"/>
    </x:row>
    <x:row r="24">
      <x:c r="A24" s="83"/>
      <x:c r="B24" s="84"/>
      <x:c r="C24" s="83"/>
      <x:c r="D24" s="83"/>
      <x:c r="E24" s="83"/>
      <x:c r="F24" s="85"/>
      <x:c r="G24" s="178"/>
      <x:c r="H24" s="83"/>
      <x:c r="I24" s="83"/>
      <x:c r="J24" s="83"/>
      <x:c r="K24" s="83"/>
      <x:c r="L24" s="83"/>
      <x:c r="M24" s="83"/>
    </x:row>
    <x:row r="25">
      <x:c r="A25" s="83"/>
      <x:c r="B25" s="84"/>
      <x:c r="C25" s="83"/>
      <x:c r="D25" s="83"/>
      <x:c r="E25" s="83"/>
      <x:c r="F25" s="85"/>
      <x:c r="G25" s="178"/>
      <x:c r="H25" s="83"/>
      <x:c r="I25" s="83"/>
      <x:c r="J25" s="83"/>
      <x:c r="K25" s="83"/>
      <x:c r="L25" s="83"/>
      <x:c r="M25" s="83"/>
    </x:row>
    <x:row r="26">
      <x:c r="A26" s="83"/>
      <x:c r="B26" s="84"/>
      <x:c r="C26" s="83"/>
      <x:c r="D26" s="83"/>
      <x:c r="E26" s="83"/>
      <x:c r="F26" s="85"/>
      <x:c r="G26" s="178"/>
      <x:c r="H26" s="83"/>
      <x:c r="I26" s="83"/>
      <x:c r="J26" s="83"/>
      <x:c r="K26" s="83"/>
      <x:c r="L26" s="83"/>
      <x:c r="M26" s="83"/>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589</x:v>
      </x:c>
      <x:c r="B3" s="80" t="s">
        <x:v>540</x:v>
      </x:c>
      <x:c r="C3" s="80" t="s">
        <x:v>590</x:v>
      </x:c>
      <x:c r="D3" s="80" t="s">
        <x:v>591</x:v>
      </x:c>
      <x:c r="E3" s="80" t="s">
        <x:v>117</x:v>
      </x:c>
      <x:c r="F3" s="80" t="s">
        <x:v>592</x:v>
      </x:c>
      <x:c r="G3" s="80" t="s">
        <x:v>593</x:v>
      </x:c>
      <x:c r="H3" s="80" t="s">
        <x:v>594</x:v>
      </x:c>
    </x:row>
    <x:row r="4" ht="28.5">
      <x:c r="A4" s="78" t="s">
        <x:v>595</x:v>
      </x:c>
      <x:c r="B4" s="81">
        <x:v>46200</x:v>
      </x:c>
      <x:c r="C4" s="78" t="s">
        <x:v>596</x:v>
      </x:c>
      <x:c r="D4" s="78" t="s">
        <x:v>597</x:v>
      </x:c>
      <x:c r="E4" s="78" t="s">
        <x:v>598</x:v>
      </x:c>
      <x:c r="F4" s="78" t="s">
        <x:v>599</x:v>
      </x:c>
      <x:c r="G4" s="78" t="s">
        <x:v>600</x:v>
      </x:c>
      <x:c r="H4" s="78" t="s">
        <x:v>601</x:v>
      </x:c>
    </x:row>
    <x:row r="5" ht="28.5">
      <x:c r="A5" s="78" t="s">
        <x:v>602</x:v>
      </x:c>
      <x:c r="B5" s="81">
        <x:v>46200</x:v>
      </x:c>
      <x:c r="C5" s="78" t="s">
        <x:v>603</x:v>
      </x:c>
      <x:c r="D5" s="78" t="s">
        <x:v>604</x:v>
      </x:c>
      <x:c r="E5" s="78" t="s">
        <x:v>598</x:v>
      </x:c>
      <x:c r="F5" s="78" t="s">
        <x:v>599</x:v>
      </x:c>
      <x:c r="G5" s="78" t="s">
        <x:v>301</x:v>
      </x:c>
      <x:c r="H5" s="78" t="s">
        <x:v>605</x:v>
      </x:c>
    </x:row>
    <x:row r="6" ht="28.5">
      <x:c r="A6" s="78" t="s">
        <x:v>606</x:v>
      </x:c>
      <x:c r="B6" s="81">
        <x:v>46207</x:v>
      </x:c>
      <x:c r="C6" s="78" t="s">
        <x:v>607</x:v>
      </x:c>
      <x:c r="D6" s="78" t="s">
        <x:v>608</x:v>
      </x:c>
      <x:c r="E6" s="78" t="s">
        <x:v>598</x:v>
      </x:c>
      <x:c r="F6" s="78" t="s">
        <x:v>129</x:v>
      </x:c>
      <x:c r="G6" s="78" t="s">
        <x:v>609</x:v>
      </x:c>
      <x:c r="H6" s="78" t="s">
        <x:v>610</x:v>
      </x:c>
    </x:row>
    <x:row r="7" ht="28.5">
      <x:c r="A7" s="78" t="s">
        <x:v>611</x:v>
      </x:c>
      <x:c r="B7" s="81">
        <x:v>46207</x:v>
      </x:c>
      <x:c r="C7" s="78" t="s">
        <x:v>612</x:v>
      </x:c>
      <x:c r="D7" s="78" t="s">
        <x:v>613</x:v>
      </x:c>
      <x:c r="E7" s="78" t="s">
        <x:v>598</x:v>
      </x:c>
      <x:c r="F7" s="78" t="s">
        <x:v>614</x:v>
      </x:c>
      <x:c r="G7" s="78" t="s">
        <x:v>615</x:v>
      </x:c>
      <x:c r="H7" s="78" t="s">
        <x:v>616</x:v>
      </x:c>
    </x:row>
    <x:row r="8" ht="28.5">
      <x:c r="A8" s="78" t="s">
        <x:v>617</x:v>
      </x:c>
      <x:c r="B8" s="81">
        <x:v>46207</x:v>
      </x:c>
      <x:c r="C8" s="78" t="s">
        <x:v>240</x:v>
      </x:c>
      <x:c r="D8" s="78" t="s">
        <x:v>618</x:v>
      </x:c>
      <x:c r="E8" s="78" t="s">
        <x:v>598</x:v>
      </x:c>
      <x:c r="F8" s="78" t="s">
        <x:v>619</x:v>
      </x:c>
      <x:c r="G8" s="78" t="s">
        <x:v>620</x:v>
      </x:c>
      <x:c r="H8" s="78" t="s">
        <x:v>621</x:v>
      </x:c>
    </x:row>
    <x:row r="9" ht="28.5">
      <x:c r="A9" s="78" t="s">
        <x:v>622</x:v>
      </x:c>
      <x:c r="B9" s="81">
        <x:v>46207</x:v>
      </x:c>
      <x:c r="C9" s="78" t="s">
        <x:v>623</x:v>
      </x:c>
      <x:c r="D9" s="78" t="s">
        <x:v>624</x:v>
      </x:c>
      <x:c r="E9" s="78" t="s">
        <x:v>598</x:v>
      </x:c>
      <x:c r="F9" s="78" t="s">
        <x:v>625</x:v>
      </x:c>
      <x:c r="G9" s="78" t="s">
        <x:v>626</x:v>
      </x:c>
      <x:c r="H9" s="78" t="s">
        <x:v>627</x:v>
      </x:c>
    </x:row>
    <x:row r="10" ht="28.5">
      <x:c r="A10" s="78" t="s">
        <x:v>628</x:v>
      </x:c>
      <x:c r="B10" s="81">
        <x:v>46207</x:v>
      </x:c>
      <x:c r="C10" s="78" t="s">
        <x:v>629</x:v>
      </x:c>
      <x:c r="D10" s="78" t="s">
        <x:v>630</x:v>
      </x:c>
      <x:c r="E10" s="78" t="s">
        <x:v>598</x:v>
      </x:c>
      <x:c r="F10" s="78" t="s">
        <x:v>631</x:v>
      </x:c>
      <x:c r="G10" s="78" t="s">
        <x:v>632</x:v>
      </x:c>
      <x:c r="H10" s="78" t="s">
        <x:v>633</x:v>
      </x:c>
    </x:row>
    <x:row r="11" ht="28.5">
      <x:c r="A11" s="78" t="s">
        <x:v>634</x:v>
      </x:c>
      <x:c r="B11" s="81">
        <x:v>46207</x:v>
      </x:c>
      <x:c r="C11" s="78" t="s">
        <x:v>635</x:v>
      </x:c>
      <x:c r="D11" s="78" t="s">
        <x:v>636</x:v>
      </x:c>
      <x:c r="E11" s="78" t="s">
        <x:v>598</x:v>
      </x:c>
      <x:c r="F11" s="78" t="s">
        <x:v>637</x:v>
      </x:c>
      <x:c r="G11" s="78" t="s">
        <x:v>295</x:v>
      </x:c>
      <x:c r="H11" s="78" t="s">
        <x:v>638</x:v>
      </x:c>
    </x:row>
    <x:row r="12" ht="62.099998474121094" customHeight="1">
      <x:c r="A12" s="182" t="s">
        <x:v>639</x:v>
      </x:c>
      <x:c r="B12" s="196">
        <x:v>46208</x:v>
      </x:c>
      <x:c r="C12" s="183" t="s">
        <x:v>640</x:v>
      </x:c>
      <x:c r="D12" s="183" t="s">
        <x:v>641</x:v>
      </x:c>
      <x:c r="E12" s="183" t="s">
        <x:v>598</x:v>
      </x:c>
      <x:c r="F12" s="183" t="s">
        <x:v>642</x:v>
      </x:c>
      <x:c r="G12" s="183" t="s">
        <x:v>643</x:v>
      </x:c>
      <x:c r="H12" s="184" t="s">
        <x:v>644</x:v>
      </x:c>
    </x:row>
    <x:row r="13" ht="62.099998474121094" customHeight="1">
      <x:c r="A13" s="187" t="s">
        <x:v>645</x:v>
      </x:c>
      <x:c r="B13" s="197">
        <x:v>46208</x:v>
      </x:c>
      <x:c r="C13" s="188" t="s">
        <x:v>646</x:v>
      </x:c>
      <x:c r="D13" s="188" t="s">
        <x:v>647</x:v>
      </x:c>
      <x:c r="E13" s="188" t="s">
        <x:v>598</x:v>
      </x:c>
      <x:c r="F13" s="188" t="s">
        <x:v>648</x:v>
      </x:c>
      <x:c r="G13" s="188" t="s">
        <x:v>649</x:v>
      </x:c>
      <x:c r="H13" s="189" t="s">
        <x:v>650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78"/>
      <x:c r="B26" s="78"/>
      <x:c r="C26" s="78"/>
      <x:c r="D26" s="78"/>
      <x:c r="E26" s="78"/>
      <x:c r="F26" s="78"/>
      <x:c r="G26" s="78"/>
      <x:c r="H26" s="78"/>
    </x:row>
    <x:row r="27">
      <x:c r="A27" s="78"/>
      <x:c r="B27" s="78"/>
      <x:c r="C27" s="78"/>
      <x:c r="D27" s="78"/>
      <x:c r="E27" s="78"/>
      <x:c r="F27" s="78"/>
      <x:c r="G27" s="78"/>
      <x:c r="H27" s="78"/>
    </x:row>
    <x:row r="28">
      <x:c r="A28" s="78"/>
      <x:c r="B28" s="78"/>
      <x:c r="C28" s="78"/>
      <x:c r="D28" s="78"/>
      <x:c r="E28" s="78"/>
      <x:c r="F28" s="78"/>
      <x:c r="G28" s="78"/>
      <x:c r="H28" s="78"/>
    </x:row>
    <x:row r="29">
      <x:c r="A29" s="78"/>
      <x:c r="B29" s="78"/>
      <x:c r="C29" s="78"/>
      <x:c r="D29" s="78"/>
      <x:c r="E29" s="78"/>
      <x:c r="F29" s="78"/>
      <x:c r="G29" s="78"/>
      <x:c r="H29" s="78"/>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651</x:v>
      </x:c>
      <x:c r="B1" s="235"/>
      <x:c r="C1" s="235"/>
      <x:c r="D1" s="235"/>
      <x:c r="E1" s="235"/>
      <x:c r="F1" s="235"/>
      <x:c r="G1" s="235"/>
      <x:c r="H1" s="235"/>
      <x:c r="I1" s="235"/>
      <x:c r="J1" s="235"/>
    </x:row>
    <x:row r="3" ht="30">
      <x:c r="A3" s="80" t="s">
        <x:v>65</x:v>
      </x:c>
      <x:c r="B3" s="80" t="s">
        <x:v>289</x:v>
      </x:c>
      <x:c r="C3" s="80" t="s">
        <x:v>652</x:v>
      </x:c>
      <x:c r="D3" s="80" t="s">
        <x:v>653</x:v>
      </x:c>
      <x:c r="E3" s="80" t="s">
        <x:v>654</x:v>
      </x:c>
      <x:c r="F3" s="80" t="s">
        <x:v>655</x:v>
      </x:c>
      <x:c r="G3" s="80" t="s">
        <x:v>656</x:v>
      </x:c>
      <x:c r="H3" s="80" t="s">
        <x:v>117</x:v>
      </x:c>
      <x:c r="I3" s="80" t="s">
        <x:v>657</x:v>
      </x:c>
      <x:c r="J3" s="80" t="s">
        <x:v>122</x:v>
      </x:c>
    </x:row>
    <x:row r="4" ht="28.5">
      <x:c r="A4" s="78" t="s">
        <x:v>658</x:v>
      </x:c>
      <x:c r="B4" s="78" t="s">
        <x:v>659</x:v>
      </x:c>
      <x:c r="C4" s="78" t="s">
        <x:v>660</x:v>
      </x:c>
      <x:c r="D4" s="78" t="s">
        <x:v>661</x:v>
      </x:c>
      <x:c r="E4" s="78" t="s">
        <x:v>661</x:v>
      </x:c>
      <x:c r="F4" s="78" t="s">
        <x:v>662</x:v>
      </x:c>
      <x:c r="G4" s="78" t="s">
        <x:v>663</x:v>
      </x:c>
      <x:c r="H4" s="78" t="s">
        <x:v>664</x:v>
      </x:c>
      <x:c r="I4" s="81">
        <x:v>46215</x:v>
      </x:c>
      <x:c r="J4" s="78" t="s">
        <x:v>665</x:v>
      </x:c>
    </x:row>
    <x:row r="5" ht="28.5">
      <x:c r="A5" s="78" t="s">
        <x:v>666</x:v>
      </x:c>
      <x:c r="B5" s="78" t="s">
        <x:v>659</x:v>
      </x:c>
      <x:c r="C5" s="78" t="s">
        <x:v>667</x:v>
      </x:c>
      <x:c r="D5" s="78" t="s">
        <x:v>661</x:v>
      </x:c>
      <x:c r="E5" s="78" t="s">
        <x:v>661</x:v>
      </x:c>
      <x:c r="F5" s="78" t="s">
        <x:v>662</x:v>
      </x:c>
      <x:c r="G5" s="78" t="s">
        <x:v>668</x:v>
      </x:c>
      <x:c r="H5" s="78" t="s">
        <x:v>669</x:v>
      </x:c>
      <x:c r="I5" s="81">
        <x:v>46215</x:v>
      </x:c>
      <x:c r="J5" s="78" t="s">
        <x:v>670</x:v>
      </x:c>
    </x:row>
    <x:row r="6" ht="28.5">
      <x:c r="A6" s="78" t="s">
        <x:v>671</x:v>
      </x:c>
      <x:c r="B6" s="78" t="s">
        <x:v>659</x:v>
      </x:c>
      <x:c r="C6" s="78" t="s">
        <x:v>672</x:v>
      </x:c>
      <x:c r="D6" s="78" t="s">
        <x:v>673</x:v>
      </x:c>
      <x:c r="E6" s="78" t="s">
        <x:v>661</x:v>
      </x:c>
      <x:c r="F6" s="78" t="s">
        <x:v>662</x:v>
      </x:c>
      <x:c r="G6" s="78" t="s">
        <x:v>674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675</x:v>
      </x:c>
      <x:c r="B7" s="78" t="s">
        <x:v>659</x:v>
      </x:c>
      <x:c r="C7" s="78" t="s">
        <x:v>676</x:v>
      </x:c>
      <x:c r="D7" s="78" t="s">
        <x:v>673</x:v>
      </x:c>
      <x:c r="E7" s="78" t="s">
        <x:v>661</x:v>
      </x:c>
      <x:c r="F7" s="78" t="s">
        <x:v>662</x:v>
      </x:c>
      <x:c r="G7" s="78" t="s">
        <x:v>677</x:v>
      </x:c>
      <x:c r="H7" s="78" t="s">
        <x:v>669</x:v>
      </x:c>
      <x:c r="I7" s="81">
        <x:v>46257</x:v>
      </x:c>
      <x:c r="J7" s="78" t="s">
        <x:v>678</x:v>
      </x:c>
    </x:row>
    <x:row r="8" ht="28.5">
      <x:c r="A8" s="78" t="s">
        <x:v>679</x:v>
      </x:c>
      <x:c r="B8" s="78" t="s">
        <x:v>659</x:v>
      </x:c>
      <x:c r="C8" s="78" t="s">
        <x:v>680</x:v>
      </x:c>
      <x:c r="D8" s="78" t="s">
        <x:v>673</x:v>
      </x:c>
      <x:c r="E8" s="78" t="s">
        <x:v>673</x:v>
      </x:c>
      <x:c r="F8" s="78" t="s">
        <x:v>662</x:v>
      </x:c>
      <x:c r="G8" s="78" t="s">
        <x:v>681</x:v>
      </x:c>
      <x:c r="H8" s="78" t="s">
        <x:v>664</x:v>
      </x:c>
      <x:c r="I8" s="81">
        <x:v>46222</x:v>
      </x:c>
      <x:c r="J8" s="78" t="s">
        <x:v>682</x:v>
      </x:c>
    </x:row>
    <x:row r="9" ht="28.5">
      <x:c r="A9" s="78" t="s">
        <x:v>683</x:v>
      </x:c>
      <x:c r="B9" s="78" t="s">
        <x:v>659</x:v>
      </x:c>
      <x:c r="C9" s="78" t="s">
        <x:v>684</x:v>
      </x:c>
      <x:c r="D9" s="78" t="s">
        <x:v>685</x:v>
      </x:c>
      <x:c r="E9" s="78" t="s">
        <x:v>661</x:v>
      </x:c>
      <x:c r="F9" s="78" t="s">
        <x:v>662</x:v>
      </x:c>
      <x:c r="G9" s="78" t="s">
        <x:v>686</x:v>
      </x:c>
      <x:c r="H9" s="78" t="s">
        <x:v>664</x:v>
      </x:c>
      <x:c r="I9" s="81">
        <x:v>46257</x:v>
      </x:c>
      <x:c r="J9" s="78" t="s">
        <x:v>687</x:v>
      </x:c>
    </x:row>
    <x:row r="10" ht="28.5">
      <x:c r="A10" s="78" t="s">
        <x:v>688</x:v>
      </x:c>
      <x:c r="B10" s="78" t="s">
        <x:v>689</x:v>
      </x:c>
      <x:c r="C10" s="78" t="s">
        <x:v>690</x:v>
      </x:c>
      <x:c r="D10" s="78" t="s">
        <x:v>691</x:v>
      </x:c>
      <x:c r="E10" s="78" t="s">
        <x:v>685</x:v>
      </x:c>
      <x:c r="F10" s="78" t="s">
        <x:v>662</x:v>
      </x:c>
      <x:c r="G10" s="78" t="s">
        <x:v>692</x:v>
      </x:c>
      <x:c r="H10" s="78" t="s">
        <x:v>693</x:v>
      </x:c>
      <x:c r="I10" s="81">
        <x:v>46208</x:v>
      </x:c>
      <x:c r="J10" s="78" t="s">
        <x:v>694</x:v>
      </x:c>
    </x:row>
    <x:row r="11" ht="28.5">
      <x:c r="A11" s="78" t="s">
        <x:v>695</x:v>
      </x:c>
      <x:c r="B11" s="78" t="s">
        <x:v>689</x:v>
      </x:c>
      <x:c r="C11" s="78" t="s">
        <x:v>696</x:v>
      </x:c>
      <x:c r="D11" s="78" t="s">
        <x:v>691</x:v>
      </x:c>
      <x:c r="E11" s="78" t="s">
        <x:v>673</x:v>
      </x:c>
      <x:c r="F11" s="78" t="s">
        <x:v>662</x:v>
      </x:c>
      <x:c r="G11" s="78" t="s">
        <x:v>697</x:v>
      </x:c>
      <x:c r="H11" s="78" t="s">
        <x:v>693</x:v>
      </x:c>
      <x:c r="I11" s="81">
        <x:v>46209</x:v>
      </x:c>
      <x:c r="J11" s="78" t="s">
        <x:v>698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In WBS 3.3, designate and freeze at least one held-out case, record the split rationale and review checklist, prohibit evaluator or threshold tuning against held-out artifacts, and preserve generated benchmark evidence separately.</x:v>
      </x:c>
      <x:c r="H12" s="78" t="str">
        <x:v>Open</x:v>
      </x:c>
      <x:c r="I12" s="78" t="n">
        <x:v>46243</x:v>
      </x:c>
      <x:c r="J12" s="78" t="str">
        <x:v>WBS 3.3 must establish the split and no-tuning controls before the baseline benchmark is run.</x:v>
      </x:c>
    </x:row>
    <x:row r="13">
      <x:c r="A13" s="78"/>
      <x:c r="B13" s="78"/>
      <x:c r="C13" s="78"/>
      <x:c r="D13" s="78"/>
      <x:c r="E13" s="78"/>
      <x:c r="F13" s="78"/>
      <x:c r="G13" s="78"/>
      <x:c r="H13" s="78"/>
      <x:c r="I13" s="78"/>
      <x:c r="J13" s="78"/>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699</x:v>
      </x:c>
      <x:c r="B1" s="235"/>
      <x:c r="C1" s="235"/>
      <x:c r="D1" s="235"/>
      <x:c r="E1" s="235"/>
      <x:c r="F1" s="235"/>
      <x:c r="G1" s="235"/>
      <x:c r="H1" s="235"/>
      <x:c r="I1" s="235"/>
    </x:row>
    <x:row r="3" ht="15">
      <x:c r="A3" s="80" t="s">
        <x:v>700</x:v>
      </x:c>
      <x:c r="B3" s="80" t="s">
        <x:v>540</x:v>
      </x:c>
      <x:c r="C3" s="80" t="s">
        <x:v>109</x:v>
      </x:c>
      <x:c r="D3" s="80" t="s">
        <x:v>261</x:v>
      </x:c>
      <x:c r="E3" s="80" t="s">
        <x:v>289</x:v>
      </x:c>
      <x:c r="F3" s="80" t="s">
        <x:v>701</x:v>
      </x:c>
      <x:c r="G3" s="80" t="s">
        <x:v>702</x:v>
      </x:c>
      <x:c r="H3" s="80" t="s">
        <x:v>117</x:v>
      </x:c>
      <x:c r="I3" s="80" t="s">
        <x:v>122</x:v>
      </x:c>
    </x:row>
    <x:row r="4" ht="28.5">
      <x:c r="A4" s="78" t="s">
        <x:v>703</x:v>
      </x:c>
      <x:c r="B4" s="81">
        <x:v>46201</x:v>
      </x:c>
      <x:c r="C4" s="78" t="s">
        <x:v>123</x:v>
      </x:c>
      <x:c r="D4" s="78" t="s">
        <x:v>704</x:v>
      </x:c>
      <x:c r="E4" s="78" t="s">
        <x:v>705</x:v>
      </x:c>
      <x:c r="F4" s="78" t="s">
        <x:v>706</x:v>
      </x:c>
      <x:c r="G4" s="78" t="s">
        <x:v>707</x:v>
      </x:c>
      <x:c r="H4" s="78" t="s">
        <x:v>708</x:v>
      </x:c>
      <x:c r="I4" s="78" t="s">
        <x:v>709</x:v>
      </x:c>
    </x:row>
    <x:row r="5" ht="28.5">
      <x:c r="A5" s="78" t="s">
        <x:v>710</x:v>
      </x:c>
      <x:c r="B5" s="81">
        <x:v>46203</x:v>
      </x:c>
      <x:c r="C5" s="78" t="s">
        <x:v>129</x:v>
      </x:c>
      <x:c r="D5" s="78" t="s">
        <x:v>711</x:v>
      </x:c>
      <x:c r="E5" s="78" t="s">
        <x:v>712</x:v>
      </x:c>
      <x:c r="F5" s="78" t="s">
        <x:v>713</x:v>
      </x:c>
      <x:c r="G5" s="78" t="s">
        <x:v>714</x:v>
      </x:c>
      <x:c r="H5" s="78" t="s">
        <x:v>708</x:v>
      </x:c>
      <x:c r="I5" s="78" t="s">
        <x:v>715</x:v>
      </x:c>
    </x:row>
    <x:row r="6" ht="28.5">
      <x:c r="A6" s="78" t="s">
        <x:v>716</x:v>
      </x:c>
      <x:c r="B6" s="81">
        <x:v>46207</x:v>
      </x:c>
      <x:c r="C6" s="78" t="s">
        <x:v>134</x:v>
      </x:c>
      <x:c r="D6" s="78" t="s">
        <x:v>717</x:v>
      </x:c>
      <x:c r="E6" s="78" t="s">
        <x:v>718</x:v>
      </x:c>
      <x:c r="F6" s="78" t="s">
        <x:v>719</x:v>
      </x:c>
      <x:c r="G6" s="78" t="s">
        <x:v>720</x:v>
      </x:c>
      <x:c r="H6" s="78" t="s">
        <x:v>708</x:v>
      </x:c>
      <x:c r="I6" s="78" t="s">
        <x:v>721</x:v>
      </x:c>
    </x:row>
    <x:row r="7" ht="28.5">
      <x:c r="A7" s="78" t="s">
        <x:v>722</x:v>
      </x:c>
      <x:c r="B7" s="81">
        <x:v>46207</x:v>
      </x:c>
      <x:c r="C7" s="78" t="s">
        <x:v>134</x:v>
      </x:c>
      <x:c r="D7" s="78" t="s">
        <x:v>723</x:v>
      </x:c>
      <x:c r="E7" s="78" t="s">
        <x:v>724</x:v>
      </x:c>
      <x:c r="F7" s="78" t="s">
        <x:v>725</x:v>
      </x:c>
      <x:c r="G7" s="78" t="s">
        <x:v>726</x:v>
      </x:c>
      <x:c r="H7" s="78" t="s">
        <x:v>708</x:v>
      </x:c>
      <x:c r="I7" s="78" t="s">
        <x:v>727</x:v>
      </x:c>
    </x:row>
    <x:row r="8">
      <x:c r="A8" s="78" t="s">
        <x:v>728</x:v>
      </x:c>
      <x:c r="B8" s="81">
        <x:v>46207</x:v>
      </x:c>
      <x:c r="C8" s="78" t="s">
        <x:v>134</x:v>
      </x:c>
      <x:c r="D8" s="78" t="s">
        <x:v>729</x:v>
      </x:c>
      <x:c r="E8" s="78" t="s">
        <x:v>724</x:v>
      </x:c>
      <x:c r="F8" s="78" t="s">
        <x:v>730</x:v>
      </x:c>
      <x:c r="G8" s="78" t="s">
        <x:v>731</x:v>
      </x:c>
      <x:c r="H8" s="78" t="s">
        <x:v>708</x:v>
      </x:c>
      <x:c r="I8" s="78" t="s">
        <x:v>732</x:v>
      </x:c>
    </x:row>
    <x:row r="9">
      <x:c r="A9" s="78" t="s">
        <x:v>733</x:v>
      </x:c>
      <x:c r="B9" s="81">
        <x:v>46207</x:v>
      </x:c>
      <x:c r="C9" s="78" t="s">
        <x:v>134</x:v>
      </x:c>
      <x:c r="D9" s="78" t="s">
        <x:v>734</x:v>
      </x:c>
      <x:c r="E9" s="78" t="s">
        <x:v>724</x:v>
      </x:c>
      <x:c r="F9" s="78" t="s">
        <x:v>735</x:v>
      </x:c>
      <x:c r="G9" s="78" t="s">
        <x:v>736</x:v>
      </x:c>
      <x:c r="H9" s="78" t="s">
        <x:v>708</x:v>
      </x:c>
      <x:c r="I9" s="78" t="s">
        <x:v>737</x:v>
      </x:c>
    </x:row>
    <x:row r="10" ht="28.5">
      <x:c r="A10" s="78" t="s">
        <x:v>738</x:v>
      </x:c>
      <x:c r="B10" s="81">
        <x:v>46207</x:v>
      </x:c>
      <x:c r="C10" s="78" t="s">
        <x:v>129</x:v>
      </x:c>
      <x:c r="D10" s="78" t="s">
        <x:v>739</x:v>
      </x:c>
      <x:c r="E10" s="78" t="s">
        <x:v>740</x:v>
      </x:c>
      <x:c r="F10" s="78" t="s">
        <x:v>301</x:v>
      </x:c>
      <x:c r="G10" s="78" t="s">
        <x:v>741</x:v>
      </x:c>
      <x:c r="H10" s="78" t="s">
        <x:v>708</x:v>
      </x:c>
      <x:c r="I10" s="78" t="s">
        <x:v>742</x:v>
      </x:c>
    </x:row>
    <x:row r="11" ht="28.5">
      <x:c r="A11" s="78" t="s">
        <x:v>743</x:v>
      </x:c>
      <x:c r="B11" s="81">
        <x:v>46207</x:v>
      </x:c>
      <x:c r="C11" s="78" t="s">
        <x:v>129</x:v>
      </x:c>
      <x:c r="D11" s="78" t="s">
        <x:v>744</x:v>
      </x:c>
      <x:c r="E11" s="78" t="s">
        <x:v>294</x:v>
      </x:c>
      <x:c r="F11" s="78" t="s">
        <x:v>299</x:v>
      </x:c>
      <x:c r="G11" s="78" t="s">
        <x:v>745</x:v>
      </x:c>
      <x:c r="H11" s="78" t="s">
        <x:v>708</x:v>
      </x:c>
      <x:c r="I11" s="78" t="s">
        <x:v>746</x:v>
      </x:c>
    </x:row>
    <x:row r="12" ht="28.5">
      <x:c r="A12" s="78" t="s">
        <x:v>747</x:v>
      </x:c>
      <x:c r="B12" s="81">
        <x:v>46207</x:v>
      </x:c>
      <x:c r="C12" s="78" t="s">
        <x:v>129</x:v>
      </x:c>
      <x:c r="D12" s="78" t="s">
        <x:v>748</x:v>
      </x:c>
      <x:c r="E12" s="78" t="s">
        <x:v>749</x:v>
      </x:c>
      <x:c r="F12" s="78" t="s">
        <x:v>750</x:v>
      </x:c>
      <x:c r="G12" s="78" t="s">
        <x:v>84</x:v>
      </x:c>
      <x:c r="H12" s="78" t="s">
        <x:v>708</x:v>
      </x:c>
      <x:c r="I12" s="78" t="s">
        <x:v>751</x:v>
      </x:c>
    </x:row>
    <x:row r="13" ht="60" customHeight="1">
      <x:c r="A13" s="198" t="s">
        <x:v>752</x:v>
      </x:c>
      <x:c r="B13" s="199">
        <x:v>46208</x:v>
      </x:c>
      <x:c r="C13" s="200" t="s">
        <x:v>753</x:v>
      </x:c>
      <x:c r="D13" s="200" t="s">
        <x:v>754</x:v>
      </x:c>
      <x:c r="E13" s="200" t="s">
        <x:v>755</x:v>
      </x:c>
      <x:c r="F13" s="200" t="s">
        <x:v>756</x:v>
      </x:c>
      <x:c r="G13" s="200" t="s">
        <x:v>757</x:v>
      </x:c>
      <x:c r="H13" s="200" t="s">
        <x:v>708</x:v>
      </x:c>
      <x:c r="I13" s="201" t="s">
        <x:v>758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759</x:v>
      </x:c>
      <x:c r="B1" s="235"/>
      <x:c r="C1" s="235"/>
      <x:c r="D1" s="235"/>
      <x:c r="E1" s="235"/>
      <x:c r="F1" s="235"/>
      <x:c r="G1" s="235"/>
      <x:c r="H1" s="235"/>
      <x:c r="I1" s="235"/>
    </x:row>
    <x:row r="2">
      <x:c r="A2" s="233" t="s">
        <x:v>760</x:v>
      </x:c>
      <x:c r="B2" s="233"/>
      <x:c r="C2" s="233"/>
      <x:c r="D2" s="233"/>
      <x:c r="E2" s="233"/>
      <x:c r="F2" s="233"/>
      <x:c r="G2" s="233"/>
      <x:c r="H2" s="233"/>
      <x:c r="I2" s="233"/>
    </x:row>
    <x:row r="4" ht="30">
      <x:c r="A4" s="80" t="s">
        <x:v>65</x:v>
      </x:c>
      <x:c r="B4" s="80" t="s">
        <x:v>761</x:v>
      </x:c>
      <x:c r="C4" s="80" t="s">
        <x:v>762</x:v>
      </x:c>
      <x:c r="D4" s="80" t="s">
        <x:v>763</x:v>
      </x:c>
      <x:c r="E4" s="80" t="s">
        <x:v>764</x:v>
      </x:c>
      <x:c r="F4" s="80" t="s">
        <x:v>765</x:v>
      </x:c>
      <x:c r="G4" s="80" t="s">
        <x:v>766</x:v>
      </x:c>
      <x:c r="H4" s="80" t="s">
        <x:v>767</x:v>
      </x:c>
      <x:c r="I4" s="80" t="s">
        <x:v>117</x:v>
      </x:c>
    </x:row>
    <x:row r="5" ht="28.5">
      <x:c r="A5" s="78" t="s">
        <x:v>768</x:v>
      </x:c>
      <x:c r="B5" s="78" t="s">
        <x:v>769</x:v>
      </x:c>
      <x:c r="C5" s="78" t="s">
        <x:v>770</x:v>
      </x:c>
      <x:c r="D5" s="78" t="s">
        <x:v>771</x:v>
      </x:c>
      <x:c r="E5" s="78" t="s">
        <x:v>772</x:v>
      </x:c>
      <x:c r="F5" s="78" t="s">
        <x:v>773</x:v>
      </x:c>
      <x:c r="G5" s="78" t="s">
        <x:v>774</x:v>
      </x:c>
      <x:c r="H5" s="78" t="s">
        <x:v>775</x:v>
      </x:c>
      <x:c r="I5" s="78" t="s">
        <x:v>776</x:v>
      </x:c>
    </x:row>
    <x:row r="6" ht="57">
      <x:c r="A6" s="78" t="s">
        <x:v>777</x:v>
      </x:c>
      <x:c r="B6" s="78" t="s">
        <x:v>778</x:v>
      </x:c>
      <x:c r="C6" s="78" t="s">
        <x:v>779</x:v>
      </x:c>
      <x:c r="D6" s="78" t="s">
        <x:v>780</x:v>
      </x:c>
      <x:c r="E6" s="78" t="s">
        <x:v>781</x:v>
      </x:c>
      <x:c r="F6" s="78" t="s">
        <x:v>661</x:v>
      </x:c>
      <x:c r="G6" s="78" t="s">
        <x:v>782</x:v>
      </x:c>
      <x:c r="H6" s="78" t="s">
        <x:v>778</x:v>
      </x:c>
      <x:c r="I6" s="78" t="s">
        <x:v>776</x:v>
      </x:c>
    </x:row>
    <x:row r="7" ht="57">
      <x:c r="A7" s="78" t="s">
        <x:v>783</x:v>
      </x:c>
      <x:c r="B7" s="78" t="s">
        <x:v>784</x:v>
      </x:c>
      <x:c r="C7" s="78" t="s">
        <x:v>785</x:v>
      </x:c>
      <x:c r="D7" s="78" t="s">
        <x:v>786</x:v>
      </x:c>
      <x:c r="E7" s="78" t="s">
        <x:v>787</x:v>
      </x:c>
      <x:c r="F7" s="78" t="s">
        <x:v>661</x:v>
      </x:c>
      <x:c r="G7" s="78" t="s">
        <x:v>788</x:v>
      </x:c>
      <x:c r="H7" s="78" t="s">
        <x:v>789</x:v>
      </x:c>
      <x:c r="I7" s="78" t="s">
        <x:v>776</x:v>
      </x:c>
    </x:row>
    <x:row r="8" ht="57">
      <x:c r="A8" s="78" t="s">
        <x:v>790</x:v>
      </x:c>
      <x:c r="B8" s="78" t="s">
        <x:v>791</x:v>
      </x:c>
      <x:c r="C8" s="78" t="s">
        <x:v>792</x:v>
      </x:c>
      <x:c r="D8" s="78" t="s">
        <x:v>793</x:v>
      </x:c>
      <x:c r="E8" s="78" t="s">
        <x:v>794</x:v>
      </x:c>
      <x:c r="F8" s="78" t="s">
        <x:v>661</x:v>
      </x:c>
      <x:c r="G8" s="78" t="s">
        <x:v>774</x:v>
      </x:c>
      <x:c r="H8" s="78" t="s">
        <x:v>795</x:v>
      </x:c>
      <x:c r="I8" s="78" t="s">
        <x:v>776</x:v>
      </x:c>
    </x:row>
    <x:row r="9" ht="28.5">
      <x:c r="A9" s="78" t="s">
        <x:v>796</x:v>
      </x:c>
      <x:c r="B9" s="78" t="s">
        <x:v>797</x:v>
      </x:c>
      <x:c r="C9" s="78" t="s">
        <x:v>798</x:v>
      </x:c>
      <x:c r="D9" s="78" t="s">
        <x:v>799</x:v>
      </x:c>
      <x:c r="E9" s="78" t="s">
        <x:v>800</x:v>
      </x:c>
      <x:c r="F9" s="78" t="s">
        <x:v>673</x:v>
      </x:c>
      <x:c r="G9" s="78" t="s">
        <x:v>774</x:v>
      </x:c>
      <x:c r="H9" s="78" t="s">
        <x:v>801</x:v>
      </x:c>
      <x:c r="I9" s="78" t="s">
        <x:v>776</x:v>
      </x:c>
    </x:row>
    <x:row r="10" ht="28.5">
      <x:c r="A10" s="78" t="s">
        <x:v>802</x:v>
      </x:c>
      <x:c r="B10" s="78" t="s">
        <x:v>803</x:v>
      </x:c>
      <x:c r="C10" s="78" t="s">
        <x:v>804</x:v>
      </x:c>
      <x:c r="D10" s="78" t="s">
        <x:v>805</x:v>
      </x:c>
      <x:c r="E10" s="78" t="s">
        <x:v>806</x:v>
      </x:c>
      <x:c r="F10" s="78" t="s">
        <x:v>673</x:v>
      </x:c>
      <x:c r="G10" s="78" t="s">
        <x:v>807</x:v>
      </x:c>
      <x:c r="H10" s="78" t="s">
        <x:v>803</x:v>
      </x:c>
      <x:c r="I10" s="78" t="s">
        <x:v>776</x:v>
      </x:c>
    </x:row>
    <x:row r="11" ht="28.5">
      <x:c r="A11" s="78" t="s">
        <x:v>808</x:v>
      </x:c>
      <x:c r="B11" s="78" t="s">
        <x:v>809</x:v>
      </x:c>
      <x:c r="C11" s="78" t="s">
        <x:v>810</x:v>
      </x:c>
      <x:c r="D11" s="78" t="s">
        <x:v>811</x:v>
      </x:c>
      <x:c r="E11" s="78" t="s">
        <x:v>812</x:v>
      </x:c>
      <x:c r="F11" s="78" t="s">
        <x:v>673</x:v>
      </x:c>
      <x:c r="G11" s="78" t="s">
        <x:v>813</x:v>
      </x:c>
      <x:c r="H11" s="78" t="s">
        <x:v>814</x:v>
      </x:c>
      <x:c r="I11" s="78" t="s">
        <x:v>776</x:v>
      </x:c>
    </x:row>
    <x:row r="12" ht="28.5">
      <x:c r="A12" s="78" t="s">
        <x:v>815</x:v>
      </x:c>
      <x:c r="B12" s="78" t="s">
        <x:v>816</x:v>
      </x:c>
      <x:c r="C12" s="78" t="s">
        <x:v>817</x:v>
      </x:c>
      <x:c r="D12" s="78" t="s">
        <x:v>818</x:v>
      </x:c>
      <x:c r="E12" s="78" t="s">
        <x:v>819</x:v>
      </x:c>
      <x:c r="F12" s="78" t="s">
        <x:v>685</x:v>
      </x:c>
      <x:c r="G12" s="78" t="s">
        <x:v>788</x:v>
      </x:c>
      <x:c r="H12" s="78" t="s">
        <x:v>816</x:v>
      </x:c>
      <x:c r="I12" s="78" t="s">
        <x:v>776</x:v>
      </x:c>
    </x:row>
    <x:row r="13" ht="28.5">
      <x:c r="A13" s="78" t="s">
        <x:v>820</x:v>
      </x:c>
      <x:c r="B13" s="78" t="s">
        <x:v>814</x:v>
      </x:c>
      <x:c r="C13" s="78" t="s">
        <x:v>821</x:v>
      </x:c>
      <x:c r="D13" s="78" t="s">
        <x:v>822</x:v>
      </x:c>
      <x:c r="E13" s="78" t="s">
        <x:v>823</x:v>
      </x:c>
      <x:c r="F13" s="78" t="s">
        <x:v>673</x:v>
      </x:c>
      <x:c r="G13" s="78" t="s">
        <x:v>807</x:v>
      </x:c>
      <x:c r="H13" s="78" t="s">
        <x:v>814</x:v>
      </x:c>
      <x:c r="I13" s="78" t="s">
        <x:v>776</x:v>
      </x:c>
    </x:row>
    <x:row r="14" ht="28.5">
      <x:c r="A14" s="78" t="s">
        <x:v>824</x:v>
      </x:c>
      <x:c r="B14" s="78" t="s">
        <x:v>825</x:v>
      </x:c>
      <x:c r="C14" s="78" t="s">
        <x:v>826</x:v>
      </x:c>
      <x:c r="D14" s="78" t="s">
        <x:v>827</x:v>
      </x:c>
      <x:c r="E14" s="78" t="s">
        <x:v>828</x:v>
      </x:c>
      <x:c r="F14" s="78" t="s">
        <x:v>673</x:v>
      </x:c>
      <x:c r="G14" s="78" t="s">
        <x:v>829</x:v>
      </x:c>
      <x:c r="H14" s="78" t="s">
        <x:v>825</x:v>
      </x:c>
      <x:c r="I14" s="78" t="s">
        <x:v>776</x:v>
      </x:c>
    </x:row>
    <x:row r="15" ht="28.5">
      <x:c r="A15" s="78" t="s">
        <x:v>830</x:v>
      </x:c>
      <x:c r="B15" s="78" t="s">
        <x:v>831</x:v>
      </x:c>
      <x:c r="C15" s="78" t="s">
        <x:v>832</x:v>
      </x:c>
      <x:c r="D15" s="78" t="s">
        <x:v>833</x:v>
      </x:c>
      <x:c r="E15" s="78" t="s">
        <x:v>834</x:v>
      </x:c>
      <x:c r="F15" s="78" t="s">
        <x:v>685</x:v>
      </x:c>
      <x:c r="G15" s="78" t="s">
        <x:v>835</x:v>
      </x:c>
      <x:c r="H15" s="78" t="s">
        <x:v>836</x:v>
      </x:c>
      <x:c r="I15" s="78" t="s">
        <x:v>776</x:v>
      </x:c>
    </x:row>
    <x:row r="16" ht="28.5">
      <x:c r="A16" s="78" t="s">
        <x:v>837</x:v>
      </x:c>
      <x:c r="B16" s="78" t="s">
        <x:v>838</x:v>
      </x:c>
      <x:c r="C16" s="78" t="s">
        <x:v>839</x:v>
      </x:c>
      <x:c r="D16" s="78" t="s">
        <x:v>840</x:v>
      </x:c>
      <x:c r="E16" s="78" t="s">
        <x:v>841</x:v>
      </x:c>
      <x:c r="F16" s="78" t="s">
        <x:v>685</x:v>
      </x:c>
      <x:c r="G16" s="78" t="s">
        <x:v>842</x:v>
      </x:c>
      <x:c r="H16" s="78" t="s">
        <x:v>838</x:v>
      </x:c>
      <x:c r="I16" s="78" t="s">
        <x:v>776</x:v>
      </x:c>
    </x:row>
    <x:row r="17" ht="72" customHeight="1">
      <x:c r="A17" s="182" t="s">
        <x:v>843</x:v>
      </x:c>
      <x:c r="B17" s="183" t="s">
        <x:v>844</x:v>
      </x:c>
      <x:c r="C17" s="183" t="s">
        <x:v>845</x:v>
      </x:c>
      <x:c r="D17" s="183" t="s">
        <x:v>846</x:v>
      </x:c>
      <x:c r="E17" s="183" t="s">
        <x:v>847</x:v>
      </x:c>
      <x:c r="F17" s="183" t="s">
        <x:v>661</x:v>
      </x:c>
      <x:c r="G17" s="183" t="s">
        <x:v>788</x:v>
      </x:c>
      <x:c r="H17" s="183" t="s">
        <x:v>848</x:v>
      </x:c>
      <x:c r="I17" s="184" t="s">
        <x:v>776</x:v>
      </x:c>
    </x:row>
    <x:row r="18" ht="72" customHeight="1">
      <x:c r="A18" s="185" t="s">
        <x:v>849</x:v>
      </x:c>
      <x:c r="B18" s="83" t="s">
        <x:v>850</x:v>
      </x:c>
      <x:c r="C18" s="83" t="s">
        <x:v>851</x:v>
      </x:c>
      <x:c r="D18" s="83" t="s">
        <x:v>852</x:v>
      </x:c>
      <x:c r="E18" s="83" t="s">
        <x:v>853</x:v>
      </x:c>
      <x:c r="F18" s="83" t="s">
        <x:v>661</x:v>
      </x:c>
      <x:c r="G18" s="83" t="s">
        <x:v>854</x:v>
      </x:c>
      <x:c r="H18" s="83" t="s">
        <x:v>855</x:v>
      </x:c>
      <x:c r="I18" s="186" t="s">
        <x:v>776</x:v>
      </x:c>
    </x:row>
    <x:row r="19" ht="72" customHeight="1">
      <x:c r="A19" s="187" t="s">
        <x:v>856</x:v>
      </x:c>
      <x:c r="B19" s="188" t="s">
        <x:v>857</x:v>
      </x:c>
      <x:c r="C19" s="188" t="s">
        <x:v>858</x:v>
      </x:c>
      <x:c r="D19" s="188" t="s">
        <x:v>859</x:v>
      </x:c>
      <x:c r="E19" s="188" t="s">
        <x:v>860</x:v>
      </x:c>
      <x:c r="F19" s="188" t="s">
        <x:v>661</x:v>
      </x:c>
      <x:c r="G19" s="188" t="s">
        <x:v>842</x:v>
      </x:c>
      <x:c r="H19" s="188" t="s">
        <x:v>861</x:v>
      </x:c>
      <x:c r="I19" s="189" t="s">
        <x:v>776</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862</x:v>
      </x:c>
      <x:c r="B1" s="235"/>
      <x:c r="C1" s="235"/>
      <x:c r="D1" s="235"/>
      <x:c r="E1" s="235"/>
      <x:c r="F1" s="235"/>
      <x:c r="G1" s="235"/>
      <x:c r="H1" s="235"/>
    </x:row>
    <x:row r="2" ht="32.099998474121094" customHeight="1">
      <x:c r="A2" s="244" t="s">
        <x:v>863</x:v>
      </x:c>
      <x:c r="B2" s="244"/>
      <x:c r="C2" s="244"/>
      <x:c r="D2" s="244"/>
      <x:c r="E2" s="244"/>
      <x:c r="F2" s="244"/>
      <x:c r="G2" s="244"/>
      <x:c r="H2" s="244"/>
    </x:row>
    <x:row r="4" ht="15.75">
      <x:c r="A4" s="237" t="s">
        <x:v>864</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58" customHeight="1">
      <x:c r="A6" s="449" t="str">
        <x:v>Repository state</x:v>
      </x:c>
      <x:c r="B6" s="447" t="str">
        <x:v>main synchronized after WBS 3.2 merge 50df7a9; feature commit 634ef11</x:v>
      </x:c>
      <x:c r="C6" s="449" t="str">
        <x:v>Tests</x:v>
      </x:c>
      <x:c r="D6" s="447" t="str">
        <x:v>111 passing</x:v>
      </x:c>
      <x:c r="E6" s="449" t="str">
        <x:v>Reviewed cases</x:v>
      </x:c>
      <x:c r="F6" s="447" t="str">
        <x:v>MECH-001 to MECH-005 validate</x:v>
      </x:c>
      <x:c r="G6" s="449" t="str">
        <x:v>PRs merged</x:v>
      </x:c>
      <x:c r="H6" s="447" t="str">
        <x:v>Sixteen merged PR capabilities; latest additional-case expansion</x:v>
      </x:c>
    </x:row>
    <x:row r="7" ht="58" customHeight="1">
      <x:c r="A7" s="449" t="str">
        <x:v>Current capability</x:v>
      </x:c>
      <x:c r="B7" s="447" t="str">
        <x:v>Candidate artifact contract/loader, ordered mandatory gates, deterministic checks, weighted scoring, structured evidence, evaluate CLI, immutable result persistence, representative pass/fail fixtures, five independently reviewed mechanical cases, and regression protection for benchmark references and failure taxonomy.</x:v>
      </x:c>
      <x:c r="C7" s="449" t="str">
        <x:v>Not implemented</x:v>
      </x:c>
      <x:c r="D7" s="447" t="str">
        <x:v>Held-out split, baseline benchmark summary, CI, final README/architecture completion, portfolio demo, and release.</x:v>
      </x:c>
      <x:c r="E7" s="449" t="str">
        <x:v>Active WBS</x:v>
      </x:c>
      <x:c r="F7" s="447" t="str">
        <x:v>3.3</x:v>
      </x:c>
      <x:c r="G7" s="449" t="str">
        <x:v>Next WBS</x:v>
      </x:c>
      <x:c r="H7" s="447" t="str">
        <x:v>3.4</x:v>
      </x:c>
    </x:row>
    <x:row r="8" ht="58" customHeight="1">
      <x:c r="A8" s="449" t="str">
        <x:v>Immediate next action</x:v>
      </x:c>
      <x:c r="B8" s="447" t="str">
        <x:v>Create feature/held-out-split from synchronized main; designate and freeze at least one held-out case, record provenance/correctness/evaluability review and split rationale, and prohibit tuning against held-out artifacts.</x:v>
      </x:c>
      <x:c r="C8" s="449" t="str">
        <x:v>Do not do next</x:v>
      </x:c>
      <x:c r="D8" s="447" t="str">
        <x:v>New evaluator kinds; baseline benchmark before the split is frozen; trace/agent persistence; API/database; PDF/CAD parsing; redlining; standards/GD&amp;T; multimodal; OpenClaw/agents; observability; deployment; or RL.</x:v>
      </x:c>
      <x:c r="E8" s="449" t="str">
        <x:v>MVP interface</x:v>
      </x:c>
      <x:c r="F8" s="447" t="str">
        <x:v>CLI</x:v>
      </x:c>
      <x:c r="G8" s="449" t="str">
        <x:v>Candidate type</x:v>
      </x:c>
      <x:c r="H8" s="447" t="str">
        <x:v>JSON</x:v>
      </x:c>
    </x:row>
    <x:row r="9" ht="48" customHeight="1">
      <x:c r="A9" s="450" t="s">
        <x:v>865</x:v>
      </x:c>
      <x:c r="B9" s="451" t="s">
        <x:v>866</x:v>
      </x:c>
      <x:c r="C9" s="450" t="s">
        <x:v>867</x:v>
      </x:c>
      <x:c r="D9" s="451" t="s">
        <x:v>868</x:v>
      </x:c>
      <x:c r="E9" s="450" t="s">
        <x:v>869</x:v>
      </x:c>
      <x:c r="F9" s="451" t="s">
        <x:v>870</x:v>
      </x:c>
      <x:c r="G9" s="450" t="s">
        <x:v>871</x:v>
      </x:c>
      <x:c r="H9" s="451" t="s">
        <x:v>872</x:v>
      </x:c>
    </x:row>
    <x:row r="10" ht="15.75">
      <x:c r="A10" s="237" t="s">
        <x:v>873</x:v>
      </x:c>
      <x:c r="B10" s="235"/>
      <x:c r="D10" s="237" t="s">
        <x:v>874</x:v>
      </x:c>
      <x:c r="E10" s="235"/>
      <x:c r="F10" s="235"/>
      <x:c r="G10" s="235"/>
      <x:c r="H10" s="235"/>
    </x:row>
    <x:row r="11" ht="30" customHeight="1">
      <x:c r="A11" s="157" t="s">
        <x:v>6</x:v>
      </x:c>
      <x:c r="B11" s="78" t="s">
        <x:v>875</x:v>
      </x:c>
      <x:c r="D11" s="157" t="s">
        <x:v>6</x:v>
      </x:c>
      <x:c r="E11" s="78" t="s">
        <x:v>876</x:v>
      </x:c>
    </x:row>
    <x:row r="12" ht="30" customHeight="1">
      <x:c r="A12" s="157" t="s">
        <x:v>9</x:v>
      </x:c>
      <x:c r="B12" s="78" t="s">
        <x:v>877</x:v>
      </x:c>
      <x:c r="D12" s="157" t="s">
        <x:v>9</x:v>
      </x:c>
      <x:c r="E12" s="78" t="s">
        <x:v>878</x:v>
      </x:c>
    </x:row>
    <x:row r="13" ht="30" customHeight="1">
      <x:c r="A13" s="157" t="s">
        <x:v>12</x:v>
      </x:c>
      <x:c r="B13" s="78" t="s">
        <x:v>879</x:v>
      </x:c>
      <x:c r="D13" s="157" t="s">
        <x:v>12</x:v>
      </x:c>
      <x:c r="E13" s="78" t="s">
        <x:v>880</x:v>
      </x:c>
    </x:row>
    <x:row r="14" ht="30" customHeight="1">
      <x:c r="A14" s="157" t="s">
        <x:v>16</x:v>
      </x:c>
      <x:c r="B14" s="78" t="s">
        <x:v>881</x:v>
      </x:c>
      <x:c r="D14" s="157" t="s">
        <x:v>16</x:v>
      </x:c>
      <x:c r="E14" s="78" t="s">
        <x:v>882</x:v>
      </x:c>
    </x:row>
    <x:row r="15" ht="30" customHeight="1">
      <x:c r="A15" s="157" t="s">
        <x:v>19</x:v>
      </x:c>
      <x:c r="B15" s="78" t="s">
        <x:v>883</x:v>
      </x:c>
      <x:c r="D15" s="157" t="s">
        <x:v>19</x:v>
      </x:c>
      <x:c r="E15" s="78" t="s">
        <x:v>884</x:v>
      </x:c>
    </x:row>
    <x:row r="17" ht="15.75">
      <x:c r="A17" s="237" t="s">
        <x:v>885</x:v>
      </x:c>
      <x:c r="B17" s="235"/>
      <x:c r="D17" s="237" t="s">
        <x:v>886</x:v>
      </x:c>
      <x:c r="E17" s="235"/>
      <x:c r="F17" s="235"/>
      <x:c r="G17" s="235"/>
      <x:c r="H17" s="235"/>
    </x:row>
    <x:row r="18" ht="27.950000762939453" customHeight="1">
      <x:c r="A18" s="157" t="s">
        <x:v>887</x:v>
      </x:c>
      <x:c r="B18" s="78" t="s">
        <x:v>888</x:v>
      </x:c>
      <x:c r="D18" s="157" t="s">
        <x:v>6</x:v>
      </x:c>
      <x:c r="E18" s="78" t="s">
        <x:v>889</x:v>
      </x:c>
    </x:row>
    <x:row r="19" ht="27.950000762939453" customHeight="1">
      <x:c r="A19" s="157" t="s">
        <x:v>890</x:v>
      </x:c>
      <x:c r="B19" s="78" t="s">
        <x:v>891</x:v>
      </x:c>
      <x:c r="D19" s="157" t="s">
        <x:v>9</x:v>
      </x:c>
      <x:c r="E19" s="78" t="s">
        <x:v>892</x:v>
      </x:c>
    </x:row>
    <x:row r="20" ht="27.950000762939453" customHeight="1">
      <x:c r="A20" s="157" t="s">
        <x:v>705</x:v>
      </x:c>
      <x:c r="B20" s="78" t="s">
        <x:v>893</x:v>
      </x:c>
      <x:c r="D20" s="157" t="s">
        <x:v>12</x:v>
      </x:c>
      <x:c r="E20" s="78" t="s">
        <x:v>894</x:v>
      </x:c>
    </x:row>
    <x:row r="21" ht="27.950000762939453" customHeight="1">
      <x:c r="A21" s="157" t="s">
        <x:v>895</x:v>
      </x:c>
      <x:c r="B21" s="78" t="s">
        <x:v>896</x:v>
      </x:c>
      <x:c r="D21" s="157" t="s">
        <x:v>16</x:v>
      </x:c>
      <x:c r="E21" s="78" t="s">
        <x:v>897</x:v>
      </x:c>
    </x:row>
    <x:row r="22" ht="27.950000762939453" customHeight="1">
      <x:c r="A22" s="157" t="s">
        <x:v>898</x:v>
      </x:c>
      <x:c r="B22" s="78" t="s">
        <x:v>899</x:v>
      </x:c>
      <x:c r="D22" s="157" t="s">
        <x:v>19</x:v>
      </x:c>
      <x:c r="E22" s="78" t="s">
        <x:v>900</x:v>
      </x:c>
    </x:row>
    <x:row r="23" ht="27.950000762939453" customHeight="1">
      <x:c r="A23" s="157" t="s">
        <x:v>901</x:v>
      </x:c>
      <x:c r="B23" s="78" t="s">
        <x:v>902</x:v>
      </x:c>
      <x:c r="D23" s="157" t="s">
        <x:v>22</x:v>
      </x:c>
      <x:c r="E23" s="78" t="s">
        <x:v>903</x:v>
      </x:c>
    </x:row>
    <x:row r="24" ht="27.950000762939453" customHeight="1">
      <x:c r="A24" s="157" t="s">
        <x:v>904</x:v>
      </x:c>
      <x:c r="B24" s="78" t="s">
        <x:v>905</x:v>
      </x:c>
      <x:c r="D24" s="157" t="s">
        <x:v>25</x:v>
      </x:c>
      <x:c r="E24" s="78" t="s">
        <x:v>906</x:v>
      </x:c>
    </x:row>
    <x:row r="25" ht="27.950000762939453" customHeight="1">
      <x:c r="A25" s="157" t="s">
        <x:v>907</x:v>
      </x:c>
      <x:c r="B25" s="78" t="s">
        <x:v>908</x:v>
      </x:c>
      <x:c r="D25" s="157" t="s">
        <x:v>53</x:v>
      </x:c>
      <x:c r="E25" s="78" t="s">
        <x:v>909</x:v>
      </x:c>
    </x:row>
    <x:row r="27" ht="15.75">
      <x:c r="A27" s="237" t="s">
        <x:v>910</x:v>
      </x:c>
      <x:c r="B27" s="235"/>
      <x:c r="C27" s="235"/>
      <x:c r="D27" s="235"/>
      <x:c r="E27" s="235"/>
      <x:c r="F27" s="235"/>
      <x:c r="G27" s="235"/>
      <x:c r="H27" s="235"/>
    </x:row>
    <x:row r="28" ht="38.099998474121094" customHeight="1">
      <x:c r="A28" s="156" t="str">
        <x:v>Evidence</x:v>
      </x:c>
      <x:c r="B28" s="78" t="str">
        <x:v>PR #1–#16 merged; 111 tests pass; five independently reviewed cases validate; WBS 3.2 added BOM reconciliation and thermal-expansion workflows with representative pass/fail fixtures.</x:v>
      </x:c>
      <x:c r="C28" s="156" t="str">
        <x:v>Gap</x:v>
      </x:c>
      <x:c r="D28" s="78" t="str">
        <x:v>No held-out case or frozen split is yet recorded.</x:v>
      </x:c>
      <x:c r="E28" s="156" t="str">
        <x:v>Response</x:v>
      </x:c>
      <x:c r="F28" s="78" t="str">
        <x:v>Complete WBS 3.3 before running the baseline benchmark.</x:v>
      </x:c>
      <x:c r="G28" s="156" t="str">
        <x:v>Owner</x:v>
      </x:c>
      <x:c r="H28" s="78" t="str">
        <x:v>Jason</x:v>
      </x:c>
    </x:row>
    <x:row r="29" ht="38.099998474121094" customHeight="1">
      <x:c r="A29" s="156" t="str">
        <x:v>Evidence</x:v>
      </x:c>
      <x:c r="B29" s="78" t="str">
        <x:v>MECH-004 and MECH-005 references were independently reconstructed from source CSV inputs; evaluator weights, absolute tolerances, exit codes, scores, and expected failure modes are protected by end-to-end tests.</x:v>
      </x:c>
      <x:c r="C29" s="156" t="str">
        <x:v>Gap</x:v>
      </x:c>
      <x:c r="D29" s="78" t="str">
        <x:v>All five cases were authored as development cases and could be exposed to later tuning.</x:v>
      </x:c>
      <x:c r="E29" s="156" t="str">
        <x:v>Response</x:v>
      </x:c>
      <x:c r="F29" s="78" t="str">
        <x:v>Designate at least one held-out case, freeze its artifacts, and record explicit no-tuning controls.</x:v>
      </x:c>
      <x:c r="G29" s="156" t="str">
        <x:v>Owner</x:v>
      </x:c>
      <x:c r="H29" s="78" t="str">
        <x:v>Jason</x:v>
      </x:c>
    </x:row>
    <x:row r="30" ht="38.099998474121094" customHeight="1">
      <x:c r="A30" s="156" t="str">
        <x:v>Evidence</x:v>
      </x:c>
      <x:c r="B30" s="78" t="str">
        <x:v>Known logged time is 15.58 hours through WB-018.</x:v>
      </x:c>
      <x:c r="C30" s="156" t="str">
        <x:v>Gap</x:v>
      </x:c>
      <x:c r="D30" s="78" t="str">
        <x:v>No known time-entry gap.</x:v>
      </x:c>
      <x:c r="E30" s="156" t="str">
        <x:v>Response</x:v>
      </x:c>
      <x:c r="F30" s="78" t="str">
        <x:v>Record future actuals only when explicitly known or reconstructed from a confirmed timeline.</x:v>
      </x:c>
      <x:c r="G30" s="156" t="str">
        <x:v>Owner</x:v>
      </x:c>
      <x:c r="H30" s="78" t="str">
        <x:v>Jason</x:v>
      </x:c>
    </x:row>
    <x:row r="31" ht="38.099998474121094" customHeight="1">
      <x:c r="A31" s="156" t="str">
        <x:v>Evidence</x:v>
      </x:c>
      <x:c r="B31" s="78" t="str">
        <x:v>Strategic platform direction is recorded in Product Vision, Decision Register, AI Context, and Expansion Backlog.</x:v>
      </x:c>
      <x:c r="C31" s="156" t="str">
        <x:v>Gap</x:v>
      </x:c>
      <x:c r="D31" s="78" t="str">
        <x:v>Post-MVP expansion sequence is intentionally unselected.</x:v>
      </x:c>
      <x:c r="E31" s="156" t="str">
        <x:v>Response</x:v>
      </x:c>
      <x:c r="F31" s="78" t="str">
        <x:v>Select the first expansion only after MVP Gate 6 using customer value and evaluator maturity.</x:v>
      </x:c>
      <x:c r="G31" s="156" t="str">
        <x:v>Owner</x:v>
      </x:c>
      <x:c r="H31" s="78" t="str">
        <x:v>Jason</x:v>
      </x:c>
    </x:row>
    <x:row r="32" ht="38.099998474121094" customHeight="1">
      <x:c r="A32" s="156" t="s">
        <x:v>911</x:v>
      </x:c>
      <x:c r="B32" s="78" t="s">
        <x:v>912</x:v>
      </x:c>
      <x:c r="C32" s="156" t="s">
        <x:v>659</x:v>
      </x:c>
      <x:c r="D32" s="78" t="s">
        <x:v>913</x:v>
      </x:c>
      <x:c r="E32" s="156" t="s">
        <x:v>914</x:v>
      </x:c>
      <x:c r="F32" s="78" t="s">
        <x:v>915</x:v>
      </x:c>
      <x:c r="G32" s="156" t="s">
        <x:v>655</x:v>
      </x:c>
      <x:c r="H32" s="78" t="s">
        <x:v>662</x:v>
      </x:c>
    </x:row>
    <x:row r="34" ht="15">
      <x:c r="A34" s="238" t="s">
        <x:v>916</x:v>
      </x:c>
      <x:c r="B34" s="238"/>
      <x:c r="C34" s="238"/>
      <x:c r="D34" s="238"/>
      <x:c r="E34" s="238"/>
      <x:c r="F34" s="238"/>
      <x:c r="G34" s="238"/>
      <x:c r="H34" s="238"/>
    </x:row>
    <x:row r="35" ht="42" customHeight="1">
      <x:c r="A35" s="239" t="s">
        <x:v>917</x:v>
      </x:c>
      <x:c r="B35" s="240"/>
      <x:c r="C35" s="241" t="s">
        <x:v>918</x:v>
      </x:c>
      <x:c r="D35" s="242"/>
      <x:c r="E35" s="242"/>
      <x:c r="F35" s="242"/>
      <x:c r="G35" s="242"/>
      <x:c r="H35" s="243"/>
    </x:row>
    <x:row r="36" ht="42" customHeight="1">
      <x:c r="A36" s="239" t="s">
        <x:v>919</x:v>
      </x:c>
      <x:c r="B36" s="240"/>
      <x:c r="C36" s="241" t="s">
        <x:v>920</x:v>
      </x:c>
      <x:c r="D36" s="242"/>
      <x:c r="E36" s="242"/>
      <x:c r="F36" s="242"/>
      <x:c r="G36" s="242"/>
      <x:c r="H36" s="243"/>
    </x:row>
    <x:row r="37" ht="42" customHeight="1">
      <x:c r="A37" s="239" t="s">
        <x:v>921</x:v>
      </x:c>
      <x:c r="B37" s="240"/>
      <x:c r="C37" s="241" t="s">
        <x:v>922</x:v>
      </x:c>
      <x:c r="D37" s="242"/>
      <x:c r="E37" s="242"/>
      <x:c r="F37" s="242"/>
      <x:c r="G37" s="242"/>
      <x:c r="H37" s="243"/>
    </x:row>
    <x:row r="38" ht="42" customHeight="1">
      <x:c r="A38" s="239" t="s">
        <x:v>923</x:v>
      </x:c>
      <x:c r="B38" s="240"/>
      <x:c r="C38" s="241" t="s">
        <x:v>924</x:v>
      </x:c>
      <x:c r="D38" s="242"/>
      <x:c r="E38" s="242"/>
      <x:c r="F38" s="242"/>
      <x:c r="G38" s="242"/>
      <x:c r="H38" s="243"/>
    </x:row>
    <x:row r="39" ht="42" customHeight="1">
      <x:c r="A39" s="239" t="s">
        <x:v>925</x:v>
      </x:c>
      <x:c r="B39" s="240"/>
      <x:c r="C39" s="241" t="s">
        <x:v>926</x:v>
      </x:c>
      <x:c r="D39" s="242"/>
      <x:c r="E39" s="242"/>
      <x:c r="F39" s="242"/>
      <x:c r="G39" s="242"/>
      <x:c r="H39" s="243"/>
    </x:row>
    <x:row r="40" ht="42" customHeight="1">
      <x:c r="A40" s="239" t="s">
        <x:v>907</x:v>
      </x:c>
      <x:c r="B40" s="240"/>
      <x:c r="C40" s="241" t="s">
        <x:v>927</x:v>
      </x:c>
      <x:c r="D40" s="242"/>
      <x:c r="E40" s="242"/>
      <x:c r="F40" s="242"/>
      <x:c r="G40" s="242"/>
      <x:c r="H40" s="243"/>
    </x:row>
    <x:row r="41" ht="42" customHeight="1">
      <x:c r="A41" s="239" t="s">
        <x:v>928</x:v>
      </x:c>
      <x:c r="B41" s="240"/>
      <x:c r="C41" s="241" t="str">
        <x:v>WBS 3.3 must create a credible held-out split before the baseline benchmark: designate and freeze at least one of the five reviewed cases, record provenance/correctness/evaluability review, and prohibit evaluator, tolerance, threshold, or fixture tuning against held-out outcomes. Versioned cases and candidate fixtures remain separate from generated run evidence. Drawing, standards, CAD, agent, API/database, observability, deployment, governance-pack, and RL implementation remains deferred.</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customWidth="1"/>
    <x:col min="7" max="14" width="14"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929</x:v>
      </x:c>
      <x:c r="B3" s="235"/>
      <x:c r="C3" s="235"/>
      <x:c r="D3" s="235"/>
      <x:c r="F3" s="237" t="s">
        <x:v>930</x:v>
      </x:c>
      <x:c r="G3" s="235"/>
      <x:c r="H3" s="235"/>
      <x:c r="I3" s="235"/>
      <x:c r="J3" s="235"/>
      <x:c r="K3" s="235"/>
      <x:c r="L3" s="235"/>
      <x:c r="M3" s="235"/>
      <x:c r="N3" s="235"/>
    </x:row>
    <x:row r="4" ht="30" customHeight="1">
      <x:c r="A4" s="79" t="s">
        <x:v>105</x:v>
      </x:c>
      <x:c r="B4" s="166">
        <x:v>46257</x:v>
      </x:c>
      <x:c r="F4" s="449" t="s">
        <x:v>28</x:v>
      </x:c>
      <x:c r="G4" s="610" t="str">
        <x:v>3.3 — Assign held-out split and review checklist</x:v>
      </x:c>
      <x:c r="H4" s="245"/>
      <x:c r="I4" s="246"/>
      <x:c r="J4" s="245"/>
      <x:c r="K4" s="245"/>
      <x:c r="L4" s="246"/>
      <x:c r="M4" s="245"/>
      <x:c r="N4" s="245"/>
    </x:row>
    <x:row r="5" ht="30" customHeight="1">
      <x:c r="A5" s="79" t="s">
        <x:v>67</x:v>
      </x:c>
      <x:c r="B5" s="167">
        <x:v>76</x:v>
      </x:c>
      <x:c r="F5" s="449" t="s">
        <x:v>931</x:v>
      </x:c>
      <x:c r="G5" s="610" t="str">
        <x:v>3.4 — Run baseline benchmark and failure summary</x:v>
      </x:c>
      <x:c r="H5" s="245"/>
      <x:c r="I5" s="246"/>
      <x:c r="J5" s="245"/>
      <x:c r="K5" s="245"/>
      <x:c r="L5" s="246"/>
      <x:c r="M5" s="245"/>
      <x:c r="N5" s="245"/>
    </x:row>
    <x:row r="6" ht="30" customHeight="1">
      <x:c r="A6" s="79" t="s">
        <x:v>932</x:v>
      </x:c>
      <x:c r="B6" s="168" t="n">
        <x:v>15.58</x:v>
      </x:c>
      <x:c r="F6" s="449" t="s">
        <x:v>933</x:v>
      </x:c>
      <x:c r="G6" s="610" t="str">
        <x:v>Phase 3 now contains five independently reviewed cases. MECH-004 adds cross-document BOM reconciliation and MECH-005 adds a unit-sensitive thermal-expansion workflow; both include representative pass/fail candidates and regression evidence.</x:v>
      </x:c>
      <x:c r="H6" s="245"/>
      <x:c r="I6" s="246"/>
      <x:c r="J6" s="245"/>
      <x:c r="K6" s="245"/>
      <x:c r="L6" s="246"/>
      <x:c r="M6" s="245"/>
      <x:c r="N6" s="245"/>
    </x:row>
    <x:row r="7" ht="30" customHeight="1">
      <x:c r="A7" s="79" t="s">
        <x:v>934</x:v>
      </x:c>
      <x:c r="B7" s="169" t="n">
        <x:v>0.7513157894736842</x:v>
      </x:c>
      <x:c r="F7" s="449" t="s">
        <x:v>935</x:v>
      </x:c>
      <x:c r="G7" s="610" t="str">
        <x:v>Choose and freeze at least one held-out case; record provenance, correctness, evaluability, split rationale, and explicit no-tuning controls before running the baseline benchmark.</x:v>
      </x:c>
      <x:c r="H7" s="245"/>
      <x:c r="I7" s="246"/>
      <x:c r="J7" s="245"/>
      <x:c r="K7" s="245"/>
      <x:c r="L7" s="246"/>
      <x:c r="M7" s="245"/>
      <x:c r="N7" s="245"/>
    </x:row>
    <x:row r="8" ht="30" customHeight="1">
      <x:c r="A8" s="79" t="s">
        <x:v>936</x:v>
      </x:c>
      <x:c r="B8" s="167" t="n">
        <x:v>111</x:v>
      </x:c>
      <x:c r="F8" s="449" t="s">
        <x:v>937</x:v>
      </x:c>
      <x:c r="G8" s="610" t="str">
        <x:v>A nominal held-out split would not provide credible generalization evidence if evaluator rules, thresholds, or fixtures are tuned after observing held-out outcomes.</x:v>
      </x:c>
      <x:c r="H8" s="245"/>
      <x:c r="I8" s="246"/>
      <x:c r="J8" s="245"/>
      <x:c r="K8" s="245"/>
      <x:c r="L8" s="246"/>
      <x:c r="M8" s="245"/>
      <x:c r="N8" s="245"/>
    </x:row>
    <x:row r="9" ht="30" customHeight="1">
      <x:c r="A9" s="79" t="str">
        <x:v>Reviewed Cases</x:v>
      </x:c>
      <x:c r="B9" s="167" t="n">
        <x:v>5</x:v>
      </x:c>
      <x:c r="F9" s="449" t="s">
        <x:v>776</x:v>
      </x:c>
      <x:c r="G9" s="610" t="str">
        <x:v>OpenClaw, multimodal, API/database, observability, deployment, governance pack, and RL.</x:v>
      </x:c>
      <x:c r="H9" s="245"/>
      <x:c r="I9" s="246"/>
      <x:c r="J9" s="245"/>
      <x:c r="K9" s="245"/>
      <x:c r="L9" s="246"/>
      <x:c r="M9" s="245"/>
      <x:c r="N9" s="245"/>
    </x:row>
    <x:row r="10" ht="30" customHeight="1">
      <x:c r="A10" s="79" t="s">
        <x:v>938</x:v>
      </x:c>
      <x:c r="B10" s="167" t="n">
        <x:v>16</x:v>
      </x:c>
      <x:c r="F10" s="156" t="s">
        <x:v>939</x:v>
      </x:c>
      <x:c r="G10" s="245" t="str">
        <x:v>Public, synthetic, self-authored, or authorized data only.</x:v>
      </x:c>
      <x:c r="H10" s="245"/>
      <x:c r="I10" s="245"/>
      <x:c r="J10" s="245"/>
      <x:c r="K10" s="245"/>
      <x:c r="L10" s="245"/>
      <x:c r="M10" s="245"/>
      <x:c r="N10" s="245"/>
    </x:row>
    <x:row r="11" ht="15">
      <x:c r="A11" s="79" t="s">
        <x:v>940</x:v>
      </x:c>
      <x:c r="B11" s="167" t="str">
        <x:v>main synchronized after PR #16 merge 50df7a9; feature commit 634ef11; five cases validate; 111 tests passing</x:v>
      </x:c>
    </x:row>
    <x:row r="13" ht="15.75">
      <x:c r="A13" s="237" t="s">
        <x:v>941</x:v>
      </x:c>
      <x:c r="B13" s="235"/>
      <x:c r="C13" s="235"/>
      <x:c r="D13" s="235"/>
      <x:c r="E13" s="235"/>
    </x:row>
    <x:row r="14" ht="30">
      <x:c r="A14" s="80" t="s">
        <x:v>66</x:v>
      </x:c>
      <x:c r="B14" s="80" t="s">
        <x:v>67</x:v>
      </x:c>
      <x:c r="C14" s="80" t="s">
        <x:v>68</x:v>
      </x:c>
      <x:c r="D14" s="80" t="s">
        <x:v>69</x:v>
      </x:c>
      <x:c r="E14" s="80" t="s">
        <x:v>227</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f>SUMIF('Detailed Gantt'!$B$6:$B$27,A16,'Detailed Gantt'!$M$6:$M$27)</x:f>
        <x:v>4.9</x:v>
      </x:c>
      <x:c r="D16" s="170" t="n">
        <x:f>IF(B16=0,0,SUMPRODUCT(('Detailed Gantt'!$B$6:$B$27=A16)*'Detailed Gantt'!$F$6:$F$27*'Detailed Gantt'!$L$6:$L$27)/B16)</x:f>
        <x:v>1</x:v>
      </x:c>
      <x:c r="E16" s="78" t="s">
        <x:v>88</x:v>
      </x:c>
    </x:row>
    <x:row r="17" ht="28.5">
      <x:c r="A17" s="78" t="s">
        <x:v>90</x:v>
      </x:c>
      <x:c r="B17" s="82">
        <x:v>14</x:v>
      </x:c>
      <x:c r="C17" s="82" t="n">
        <x:f>SUMIF('Detailed Gantt'!$B$6:$B$27,A17,'Detailed Gantt'!$M$6:$M$27)</x:f>
        <x:v>1.5799999999999998</x:v>
      </x:c>
      <x:c r="D17" s="170" t="n">
        <x:f>IF(B17=0,0,SUMPRODUCT(('Detailed Gantt'!$B$6:$B$27=A17)*'Detailed Gantt'!$F$6:$F$27*'Detailed Gantt'!$L$6:$L$27)/B17)</x:f>
        <x:v>1</x:v>
      </x:c>
      <x:c r="E17" s="78" t="s">
        <x:v>91</x:v>
      </x:c>
    </x:row>
    <x:row r="18" ht="28.5">
      <x:c r="A18" s="78" t="s">
        <x:v>93</x:v>
      </x:c>
      <x:c r="B18" s="82">
        <x:v>14</x:v>
      </x:c>
      <x:c r="C18" s="82" t="n">
        <x:f>SUMIF('Detailed Gantt'!$B$6:$B$27,A18,'Detailed Gantt'!$M$6:$M$27)</x:f>
        <x:v>1.55</x:v>
      </x:c>
      <x:c r="D18" s="170" t="n">
        <x:f>IF(B18=0,0,SUMPRODUCT(('Detailed Gantt'!$B$6:$B$27=A18)*'Detailed Gantt'!$F$6:$F$27*'Detailed Gantt'!$L$6:$L$27)/B18)</x:f>
        <x:v>0.6428571428571429</x:v>
      </x:c>
      <x:c r="E18" s="78" t="s">
        <x:v>94</x:v>
      </x:c>
    </x:row>
    <x:row r="19" ht="42.75">
      <x:c r="A19" s="78" t="s">
        <x:v>96</x:v>
      </x:c>
      <x:c r="B19" s="82">
        <x:v>8</x:v>
      </x:c>
      <x:c r="C19" s="82" t="n">
        <x:f>SUMIF('Detailed Gantt'!$B$6:$B$27,A19,'Detailed Gantt'!$M$6:$M$27)</x:f>
        <x:v>0</x:v>
      </x:c>
      <x:c r="D19" s="170" t="n">
        <x:f>IF(B19=0,0,SUMPRODUCT(('Detailed Gantt'!$B$6:$B$27=A19)*'Detailed Gantt'!$F$6:$F$27*'Detailed Gantt'!$L$6:$L$27)/B19)</x:f>
        <x:v>0.26249999999999996</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942</x:v>
      </x:c>
      <x:c r="B23" s="235"/>
      <x:c r="C23" s="235"/>
      <x:c r="D23" s="235"/>
      <x:c r="E23" s="235"/>
      <x:c r="F23" s="235"/>
      <x:c r="G23" s="235"/>
      <x:c r="H23" s="235"/>
      <x:c r="I23" s="235"/>
      <x:c r="J23" s="235"/>
      <x:c r="K23" s="235"/>
      <x:c r="L23" s="235"/>
      <x:c r="M23" s="235"/>
      <x:c r="N23" s="235"/>
    </x:row>
    <x:row r="24" ht="30" customHeight="1">
      <x:c r="A24" s="175" t="s">
        <x:v>765</x:v>
      </x:c>
      <x:c r="B24" s="175" t="s">
        <x:v>109</x:v>
      </x:c>
      <x:c r="C24" s="175" t="s">
        <x:v>943</x:v>
      </x:c>
      <x:c r="D24" s="175" t="s">
        <x:v>944</x:v>
      </x:c>
      <x:c r="E24" s="175" t="s">
        <x:v>258</x:v>
      </x:c>
      <x:c r="F24" s="175" t="s">
        <x:v>945</x:v>
      </x:c>
      <x:c r="G24" s="175" t="s">
        <x:v>261</x:v>
      </x:c>
      <x:c r="H24" s="175" t="s">
        <x:v>655</x:v>
      </x:c>
    </x:row>
    <x:row r="25" ht="64" customHeight="1">
      <x:c r="A25" s="564" t="n">
        <x:v>1</x:v>
      </x:c>
      <x:c r="B25" s="564" t="str">
        <x:v>3.3</x:v>
      </x:c>
      <x:c r="C25" s="431" t="str">
        <x:v>Assign held-out split and review checklist</x:v>
      </x:c>
      <x:c r="D25" s="431" t="str">
        <x:v>At least one case is frozen as held-out and provenance/correctness/evaluability review plus no-tuning controls are recorded.</x:v>
      </x:c>
      <x:c r="E25" s="564" t="n">
        <x:v>6</x:v>
      </x:c>
      <x:c r="F25" s="431" t="str">
        <x:v>feature/held-out-split</x:v>
      </x:c>
      <x:c r="G25" s="431" t="str">
        <x:v>Review checklist, dataset split rationale, freeze record, and held-out case assignment</x:v>
      </x:c>
      <x:c r="H25" s="564" t="str">
        <x:v>Jason</x:v>
      </x:c>
    </x:row>
    <x:row r="26" ht="64" customHeight="1">
      <x:c r="A26" s="564" t="n">
        <x:v>2</x:v>
      </x:c>
      <x:c r="B26" s="564" t="str">
        <x:v>3.4</x:v>
      </x:c>
      <x:c r="C26" s="431" t="str">
        <x:v>Run baseline benchmark and failure summary</x:v>
      </x:c>
      <x:c r="D26" s="431" t="str">
        <x:v>All five MVP cases are evaluated and summarized with representative failure evidence and explicit limitations.</x:v>
      </x:c>
      <x:c r="E26" s="564" t="n">
        <x:v>6</x:v>
      </x:c>
      <x:c r="F26" s="431" t="str">
        <x:v>feature/baseline-benchmark</x:v>
      </x:c>
      <x:c r="G26" s="431" t="str">
        <x:v>Versioned benchmark procedure, generated result records, and concise failure summary</x:v>
      </x:c>
      <x:c r="H26" s="564" t="str">
        <x:v>Jason</x:v>
      </x:c>
    </x:row>
    <x:row r="27" ht="64" customHeight="1">
      <x:c r="A27" s="564" t="n">
        <x:v>3</x:v>
      </x:c>
      <x:c r="B27" s="564" t="str">
        <x:v>4.2</x:v>
      </x:c>
      <x:c r="C27" s="431" t="str">
        <x:v>Add GitHub Actions CI</x:v>
      </x:c>
      <x:c r="D27" s="431" t="str">
        <x:v>Tests run on push and pull request and a seeded failure proves the red/green workflow.</x:v>
      </x:c>
      <x:c r="E27" s="564" t="n">
        <x:v>7</x:v>
      </x:c>
      <x:c r="F27" s="431" t="str">
        <x:v>feature/github-actions-ci</x:v>
      </x:c>
      <x:c r="G27" s="431" t="str">
        <x:v>Minimal CI workflow and successful/failed run evidence</x:v>
      </x:c>
      <x:c r="H27" s="564" t="str">
        <x:v>Jason</x:v>
      </x:c>
    </x:row>
  </x:sheetData>
  <x:mergeCells>
    <x:mergeCell ref="A1:N1"/>
    <x:mergeCell ref="A3:D3"/>
    <x:mergeCell ref="F3:N3"/>
    <x:mergeCell ref="A13:E13"/>
    <x:mergeCell ref="A23:N23"/>
    <x:mergeCell ref="G4:N4"/>
    <x:mergeCell ref="G5:N5"/>
    <x:mergeCell ref="G6:N6"/>
    <x:mergeCell ref="G7:N7"/>
    <x:mergeCell ref="G8:N8"/>
    <x:mergeCell ref="G9:N9"/>
    <x:mergeCell ref="G10:N10"/>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d303d28db0d1419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946</x:v>
      </x:c>
      <x:c r="B1" s="247"/>
      <x:c r="C1" s="247"/>
      <x:c r="D1" s="247"/>
      <x:c r="E1" s="247"/>
      <x:c r="F1" s="247"/>
      <x:c r="G1" s="247"/>
      <x:c r="H1" s="247"/>
    </x:row>
    <x:row r="2" ht="42" customHeight="1">
      <x:c r="A2" s="248" t="s">
        <x:v>947</x:v>
      </x:c>
      <x:c r="B2" s="248"/>
      <x:c r="C2" s="248"/>
      <x:c r="D2" s="248"/>
      <x:c r="E2" s="248"/>
      <x:c r="F2" s="248"/>
      <x:c r="G2" s="248"/>
      <x:c r="H2" s="248"/>
    </x:row>
    <x:row r="4" ht="15">
      <x:c r="A4" s="238" t="s">
        <x:v>948</x:v>
      </x:c>
      <x:c r="B4" s="238"/>
      <x:c r="C4" s="238"/>
      <x:c r="D4" s="238"/>
      <x:c r="E4" s="238"/>
      <x:c r="F4" s="238"/>
      <x:c r="G4" s="238"/>
      <x:c r="H4" s="238"/>
    </x:row>
    <x:row r="5" ht="33.95000076293945" customHeight="1">
      <x:c r="A5" s="239" t="s">
        <x:v>949</x:v>
      </x:c>
      <x:c r="B5" s="240"/>
      <x:c r="C5" s="241" t="s">
        <x:v>950</x:v>
      </x:c>
      <x:c r="D5" s="242"/>
      <x:c r="E5" s="242"/>
      <x:c r="F5" s="242"/>
      <x:c r="G5" s="242"/>
      <x:c r="H5" s="243"/>
    </x:row>
    <x:row r="6" ht="33.95000076293945" customHeight="1">
      <x:c r="A6" s="239" t="s">
        <x:v>951</x:v>
      </x:c>
      <x:c r="B6" s="240"/>
      <x:c r="C6" s="241" t="s">
        <x:v>952</x:v>
      </x:c>
      <x:c r="D6" s="242"/>
      <x:c r="E6" s="242"/>
      <x:c r="F6" s="242"/>
      <x:c r="G6" s="242"/>
      <x:c r="H6" s="243"/>
    </x:row>
    <x:row r="7" ht="33.95000076293945" customHeight="1">
      <x:c r="A7" s="239" t="s">
        <x:v>953</x:v>
      </x:c>
      <x:c r="B7" s="240"/>
      <x:c r="C7" s="241" t="s">
        <x:v>954</x:v>
      </x:c>
      <x:c r="D7" s="242"/>
      <x:c r="E7" s="242"/>
      <x:c r="F7" s="242"/>
      <x:c r="G7" s="242"/>
      <x:c r="H7" s="243"/>
    </x:row>
    <x:row r="8" ht="33.95000076293945" customHeight="1">
      <x:c r="A8" s="239" t="s">
        <x:v>955</x:v>
      </x:c>
      <x:c r="B8" s="240"/>
      <x:c r="C8" s="241" t="s">
        <x:v>956</x:v>
      </x:c>
      <x:c r="D8" s="242"/>
      <x:c r="E8" s="242"/>
      <x:c r="F8" s="242"/>
      <x:c r="G8" s="242"/>
      <x:c r="H8" s="243"/>
    </x:row>
    <x:row r="9" ht="33.95000076293945" customHeight="1">
      <x:c r="A9" s="239" t="s">
        <x:v>957</x:v>
      </x:c>
      <x:c r="B9" s="240"/>
      <x:c r="C9" s="241" t="s">
        <x:v>958</x:v>
      </x:c>
      <x:c r="D9" s="242"/>
      <x:c r="E9" s="242"/>
      <x:c r="F9" s="242"/>
      <x:c r="G9" s="242"/>
      <x:c r="H9" s="243"/>
    </x:row>
    <x:row r="11" ht="15">
      <x:c r="A11" s="238" t="s">
        <x:v>959</x:v>
      </x:c>
      <x:c r="B11" s="238"/>
      <x:c r="C11" s="238"/>
      <x:c r="D11" s="238"/>
      <x:c r="E11" s="238"/>
      <x:c r="F11" s="238"/>
      <x:c r="G11" s="238"/>
      <x:c r="H11" s="238"/>
    </x:row>
    <x:row r="12" ht="33.95000076293945" customHeight="1">
      <x:c r="A12" s="179" t="s">
        <x:v>960</x:v>
      </x:c>
      <x:c r="B12" s="180" t="s">
        <x:v>961</x:v>
      </x:c>
      <x:c r="C12" s="180" t="s">
        <x:v>962</x:v>
      </x:c>
      <x:c r="D12" s="180" t="s">
        <x:v>963</x:v>
      </x:c>
      <x:c r="E12" s="180" t="s">
        <x:v>964</x:v>
      </x:c>
      <x:c r="F12" s="180" t="s">
        <x:v>764</x:v>
      </x:c>
      <x:c r="G12" s="180" t="s">
        <x:v>117</x:v>
      </x:c>
      <x:c r="H12" s="181" t="s">
        <x:v>965</x:v>
      </x:c>
    </x:row>
    <x:row r="13" ht="78" customHeight="1">
      <x:c r="A13" s="182" t="s">
        <x:v>82</x:v>
      </x:c>
      <x:c r="B13" s="183" t="s">
        <x:v>966</x:v>
      </x:c>
      <x:c r="C13" s="183" t="s">
        <x:v>967</x:v>
      </x:c>
      <x:c r="D13" s="183" t="s">
        <x:v>968</x:v>
      </x:c>
      <x:c r="E13" s="183" t="s">
        <x:v>969</x:v>
      </x:c>
      <x:c r="F13" s="183" t="s">
        <x:v>970</x:v>
      </x:c>
      <x:c r="G13" s="183" t="s">
        <x:v>598</x:v>
      </x:c>
      <x:c r="H13" s="184" t="s">
        <x:v>971</x:v>
      </x:c>
    </x:row>
    <x:row r="14" ht="78" customHeight="1">
      <x:c r="A14" s="185" t="s">
        <x:v>6</x:v>
      </x:c>
      <x:c r="B14" s="83" t="s">
        <x:v>972</x:v>
      </x:c>
      <x:c r="C14" s="83" t="s">
        <x:v>973</x:v>
      </x:c>
      <x:c r="D14" s="83" t="s">
        <x:v>974</x:v>
      </x:c>
      <x:c r="E14" s="83" t="s">
        <x:v>975</x:v>
      </x:c>
      <x:c r="F14" s="83" t="s">
        <x:v>976</x:v>
      </x:c>
      <x:c r="G14" s="83" t="s">
        <x:v>776</x:v>
      </x:c>
      <x:c r="H14" s="186" t="s">
        <x:v>977</x:v>
      </x:c>
    </x:row>
    <x:row r="15" ht="78" customHeight="1">
      <x:c r="A15" s="185" t="s">
        <x:v>9</x:v>
      </x:c>
      <x:c r="B15" s="83" t="s">
        <x:v>972</x:v>
      </x:c>
      <x:c r="C15" s="83" t="s">
        <x:v>978</x:v>
      </x:c>
      <x:c r="D15" s="83" t="s">
        <x:v>979</x:v>
      </x:c>
      <x:c r="E15" s="83" t="s">
        <x:v>980</x:v>
      </x:c>
      <x:c r="F15" s="83" t="s">
        <x:v>981</x:v>
      </x:c>
      <x:c r="G15" s="83" t="s">
        <x:v>776</x:v>
      </x:c>
      <x:c r="H15" s="186" t="s">
        <x:v>982</x:v>
      </x:c>
    </x:row>
    <x:row r="16" ht="78" customHeight="1">
      <x:c r="A16" s="185" t="s">
        <x:v>12</x:v>
      </x:c>
      <x:c r="B16" s="83" t="s">
        <x:v>972</x:v>
      </x:c>
      <x:c r="C16" s="83" t="s">
        <x:v>983</x:v>
      </x:c>
      <x:c r="D16" s="83" t="s">
        <x:v>984</x:v>
      </x:c>
      <x:c r="E16" s="83" t="s">
        <x:v>985</x:v>
      </x:c>
      <x:c r="F16" s="83" t="s">
        <x:v>986</x:v>
      </x:c>
      <x:c r="G16" s="83" t="s">
        <x:v>776</x:v>
      </x:c>
      <x:c r="H16" s="186" t="s">
        <x:v>987</x:v>
      </x:c>
    </x:row>
    <x:row r="17" ht="78" customHeight="1">
      <x:c r="A17" s="185" t="s">
        <x:v>16</x:v>
      </x:c>
      <x:c r="B17" s="83" t="s">
        <x:v>972</x:v>
      </x:c>
      <x:c r="C17" s="83" t="s">
        <x:v>988</x:v>
      </x:c>
      <x:c r="D17" s="83" t="s">
        <x:v>989</x:v>
      </x:c>
      <x:c r="E17" s="83" t="s">
        <x:v>990</x:v>
      </x:c>
      <x:c r="F17" s="83" t="s">
        <x:v>991</x:v>
      </x:c>
      <x:c r="G17" s="83" t="s">
        <x:v>776</x:v>
      </x:c>
      <x:c r="H17" s="186" t="s">
        <x:v>992</x:v>
      </x:c>
    </x:row>
    <x:row r="18" ht="78" customHeight="1">
      <x:c r="A18" s="185" t="s">
        <x:v>19</x:v>
      </x:c>
      <x:c r="B18" s="83" t="s">
        <x:v>972</x:v>
      </x:c>
      <x:c r="C18" s="83" t="s">
        <x:v>993</x:v>
      </x:c>
      <x:c r="D18" s="83" t="s">
        <x:v>994</x:v>
      </x:c>
      <x:c r="E18" s="83" t="s">
        <x:v>995</x:v>
      </x:c>
      <x:c r="F18" s="83" t="s">
        <x:v>996</x:v>
      </x:c>
      <x:c r="G18" s="83" t="s">
        <x:v>776</x:v>
      </x:c>
      <x:c r="H18" s="186" t="s">
        <x:v>997</x:v>
      </x:c>
    </x:row>
    <x:row r="19" ht="78" customHeight="1">
      <x:c r="A19" s="187" t="s">
        <x:v>22</x:v>
      </x:c>
      <x:c r="B19" s="188" t="s">
        <x:v>998</x:v>
      </x:c>
      <x:c r="C19" s="188" t="s">
        <x:v>999</x:v>
      </x:c>
      <x:c r="D19" s="188" t="s">
        <x:v>1000</x:v>
      </x:c>
      <x:c r="E19" s="188" t="s">
        <x:v>1001</x:v>
      </x:c>
      <x:c r="F19" s="188" t="s">
        <x:v>1002</x:v>
      </x:c>
      <x:c r="G19" s="188" t="s">
        <x:v>1003</x:v>
      </x:c>
      <x:c r="H19" s="189" t="s">
        <x:v>1004</x:v>
      </x:c>
    </x:row>
    <x:row r="21" ht="15">
      <x:c r="A21" s="238" t="s">
        <x:v>1005</x:v>
      </x:c>
      <x:c r="B21" s="238"/>
      <x:c r="C21" s="238"/>
      <x:c r="D21" s="238"/>
      <x:c r="E21" s="238"/>
      <x:c r="F21" s="238"/>
      <x:c r="G21" s="238"/>
      <x:c r="H21" s="238"/>
    </x:row>
    <x:row r="22" ht="38.099998474121094" customHeight="1">
      <x:c r="A22" s="239" t="s">
        <x:v>1006</x:v>
      </x:c>
      <x:c r="B22" s="240"/>
      <x:c r="C22" s="241" t="s">
        <x:v>1007</x:v>
      </x:c>
      <x:c r="D22" s="242"/>
      <x:c r="E22" s="242"/>
      <x:c r="F22" s="242"/>
      <x:c r="G22" s="242"/>
      <x:c r="H22" s="243"/>
    </x:row>
    <x:row r="23" ht="38.099998474121094" customHeight="1">
      <x:c r="A23" s="239" t="s">
        <x:v>1008</x:v>
      </x:c>
      <x:c r="B23" s="240"/>
      <x:c r="C23" s="241" t="s">
        <x:v>1009</x:v>
      </x:c>
      <x:c r="D23" s="242"/>
      <x:c r="E23" s="242"/>
      <x:c r="F23" s="242"/>
      <x:c r="G23" s="242"/>
      <x:c r="H23" s="243"/>
    </x:row>
    <x:row r="24" ht="38.099998474121094" customHeight="1">
      <x:c r="A24" s="239" t="s">
        <x:v>1010</x:v>
      </x:c>
      <x:c r="B24" s="240"/>
      <x:c r="C24" s="241" t="s">
        <x:v>1011</x:v>
      </x:c>
      <x:c r="D24" s="242"/>
      <x:c r="E24" s="242"/>
      <x:c r="F24" s="242"/>
      <x:c r="G24" s="242"/>
      <x:c r="H24" s="243"/>
    </x:row>
    <x:row r="25" ht="38.099998474121094" customHeight="1">
      <x:c r="A25" s="239" t="s">
        <x:v>1012</x:v>
      </x:c>
      <x:c r="B25" s="240"/>
      <x:c r="C25" s="241" t="s">
        <x:v>1013</x:v>
      </x:c>
      <x:c r="D25" s="242"/>
      <x:c r="E25" s="242"/>
      <x:c r="F25" s="242"/>
      <x:c r="G25" s="242"/>
      <x:c r="H25" s="243"/>
    </x:row>
    <x:row r="26" ht="38.099998474121094" customHeight="1">
      <x:c r="A26" s="239" t="s">
        <x:v>1014</x:v>
      </x:c>
      <x:c r="B26" s="240"/>
      <x:c r="C26" s="241" t="s">
        <x:v>1015</x:v>
      </x:c>
      <x:c r="D26" s="242"/>
      <x:c r="E26" s="242"/>
      <x:c r="F26" s="242"/>
      <x:c r="G26" s="242"/>
      <x:c r="H26" s="243"/>
    </x:row>
    <x:row r="27" ht="38.099998474121094" customHeight="1">
      <x:c r="A27" s="239" t="s">
        <x:v>1016</x:v>
      </x:c>
      <x:c r="B27" s="240"/>
      <x:c r="C27" s="241" t="s">
        <x:v>1017</x:v>
      </x:c>
      <x:c r="D27" s="242"/>
      <x:c r="E27" s="242"/>
      <x:c r="F27" s="242"/>
      <x:c r="G27" s="242"/>
      <x:c r="H27" s="243"/>
    </x:row>
    <x:row r="28" ht="38.099998474121094" customHeight="1">
      <x:c r="A28" s="239" t="s">
        <x:v>982</x:v>
      </x:c>
      <x:c r="B28" s="240"/>
      <x:c r="C28" s="241" t="s">
        <x:v>1018</x:v>
      </x:c>
      <x:c r="D28" s="242"/>
      <x:c r="E28" s="242"/>
      <x:c r="F28" s="242"/>
      <x:c r="G28" s="242"/>
      <x:c r="H28" s="243"/>
    </x:row>
    <x:row r="29" ht="38.099998474121094" customHeight="1">
      <x:c r="A29" s="239" t="s">
        <x:v>1019</x:v>
      </x:c>
      <x:c r="B29" s="240"/>
      <x:c r="C29" s="241" t="s">
        <x:v>1020</x:v>
      </x:c>
      <x:c r="D29" s="242"/>
      <x:c r="E29" s="242"/>
      <x:c r="F29" s="242"/>
      <x:c r="G29" s="242"/>
      <x:c r="H29" s="243"/>
    </x:row>
    <x:row r="31" ht="15">
      <x:c r="A31" s="238" t="s">
        <x:v>1021</x:v>
      </x:c>
      <x:c r="B31" s="238"/>
      <x:c r="C31" s="238"/>
      <x:c r="D31" s="238"/>
      <x:c r="E31" s="238"/>
      <x:c r="F31" s="238"/>
      <x:c r="G31" s="238"/>
      <x:c r="H31" s="238"/>
    </x:row>
    <x:row r="32" ht="39.95000076293945" customHeight="1">
      <x:c r="A32" s="239" t="s">
        <x:v>1022</x:v>
      </x:c>
      <x:c r="B32" s="240"/>
      <x:c r="C32" s="241" t="s">
        <x:v>1023</x:v>
      </x:c>
      <x:c r="D32" s="242"/>
      <x:c r="E32" s="242"/>
      <x:c r="F32" s="242"/>
      <x:c r="G32" s="242"/>
      <x:c r="H32" s="243"/>
    </x:row>
    <x:row r="33" ht="39.95000076293945" customHeight="1">
      <x:c r="A33" s="239" t="s">
        <x:v>1024</x:v>
      </x:c>
      <x:c r="B33" s="240"/>
      <x:c r="C33" s="241" t="s">
        <x:v>1025</x:v>
      </x:c>
      <x:c r="D33" s="242"/>
      <x:c r="E33" s="242"/>
      <x:c r="F33" s="242"/>
      <x:c r="G33" s="242"/>
      <x:c r="H33" s="243"/>
    </x:row>
    <x:row r="34" ht="39.95000076293945" customHeight="1">
      <x:c r="A34" s="239" t="s">
        <x:v>1026</x:v>
      </x:c>
      <x:c r="B34" s="240"/>
      <x:c r="C34" s="241" t="s">
        <x:v>1027</x:v>
      </x:c>
      <x:c r="D34" s="242"/>
      <x:c r="E34" s="242"/>
      <x:c r="F34" s="242"/>
      <x:c r="G34" s="242"/>
      <x:c r="H34" s="243"/>
    </x:row>
    <x:row r="35" ht="39.95000076293945" customHeight="1">
      <x:c r="A35" s="239" t="s">
        <x:v>1028</x:v>
      </x:c>
      <x:c r="B35" s="240"/>
      <x:c r="C35" s="241" t="s">
        <x:v>1029</x:v>
      </x:c>
      <x:c r="D35" s="242"/>
      <x:c r="E35" s="242"/>
      <x:c r="F35" s="242"/>
      <x:c r="G35" s="242"/>
      <x:c r="H35" s="243"/>
    </x:row>
    <x:row r="36" ht="39.95000076293945" customHeight="1">
      <x:c r="A36" s="239" t="s">
        <x:v>1030</x:v>
      </x:c>
      <x:c r="B36" s="240"/>
      <x:c r="C36" s="241" t="s">
        <x:v>1031</x:v>
      </x:c>
      <x:c r="D36" s="242"/>
      <x:c r="E36" s="242"/>
      <x:c r="F36" s="242"/>
      <x:c r="G36" s="242"/>
      <x:c r="H36" s="243"/>
    </x:row>
    <x:row r="37" ht="39.95000076293945" customHeight="1">
      <x:c r="A37" s="239" t="s">
        <x:v>1032</x:v>
      </x:c>
      <x:c r="B37" s="240"/>
      <x:c r="C37" s="241" t="s">
        <x:v>1033</x:v>
      </x:c>
      <x:c r="D37" s="242"/>
      <x:c r="E37" s="242"/>
      <x:c r="F37" s="242"/>
      <x:c r="G37" s="242"/>
      <x:c r="H37" s="243"/>
    </x:row>
    <x:row r="38" ht="39.95000076293945" customHeight="1">
      <x:c r="A38" s="239" t="s">
        <x:v>1034</x:v>
      </x:c>
      <x:c r="B38" s="240"/>
      <x:c r="C38" s="241" t="s">
        <x:v>1035</x:v>
      </x:c>
      <x:c r="D38" s="242"/>
      <x:c r="E38" s="242"/>
      <x:c r="F38" s="242"/>
      <x:c r="G38" s="242"/>
      <x:c r="H38" s="243"/>
    </x:row>
    <x:row r="40" ht="15">
      <x:c r="A40" s="238" t="s">
        <x:v>1036</x:v>
      </x:c>
      <x:c r="B40" s="238"/>
      <x:c r="C40" s="238"/>
      <x:c r="D40" s="238"/>
      <x:c r="E40" s="238"/>
      <x:c r="F40" s="238"/>
      <x:c r="G40" s="238"/>
      <x:c r="H40" s="238"/>
    </x:row>
    <x:row r="41" ht="42" customHeight="1">
      <x:c r="A41" s="239" t="s">
        <x:v>1037</x:v>
      </x:c>
      <x:c r="B41" s="240"/>
      <x:c r="C41" s="241" t="s">
        <x:v>1038</x:v>
      </x:c>
      <x:c r="D41" s="242"/>
      <x:c r="E41" s="242"/>
      <x:c r="F41" s="242"/>
      <x:c r="G41" s="242"/>
      <x:c r="H41" s="243"/>
    </x:row>
    <x:row r="42" ht="42" customHeight="1">
      <x:c r="A42" s="239" t="s">
        <x:v>1039</x:v>
      </x:c>
      <x:c r="B42" s="240"/>
      <x:c r="C42" s="241" t="s">
        <x:v>1040</x:v>
      </x:c>
      <x:c r="D42" s="242"/>
      <x:c r="E42" s="242"/>
      <x:c r="F42" s="242"/>
      <x:c r="G42" s="242"/>
      <x:c r="H42" s="243"/>
    </x:row>
    <x:row r="43" ht="42" customHeight="1">
      <x:c r="A43" s="239" t="s">
        <x:v>1041</x:v>
      </x:c>
      <x:c r="B43" s="240"/>
      <x:c r="C43" s="241" t="s">
        <x:v>1042</x:v>
      </x:c>
      <x:c r="D43" s="242"/>
      <x:c r="E43" s="242"/>
      <x:c r="F43" s="242"/>
      <x:c r="G43" s="242"/>
      <x:c r="H43" s="243"/>
    </x:row>
    <x:row r="44" ht="42" customHeight="1">
      <x:c r="A44" s="239" t="s">
        <x:v>1043</x:v>
      </x:c>
      <x:c r="B44" s="240"/>
      <x:c r="C44" s="241" t="s">
        <x:v>1044</x:v>
      </x:c>
      <x:c r="D44" s="242"/>
      <x:c r="E44" s="242"/>
      <x:c r="F44" s="242"/>
      <x:c r="G44" s="242"/>
      <x:c r="H44" s="243"/>
    </x:row>
    <x:row r="45" ht="42" customHeight="1">
      <x:c r="A45" s="239" t="s">
        <x:v>1045</x:v>
      </x:c>
      <x:c r="B45" s="240"/>
      <x:c r="C45" s="241" t="s">
        <x:v>1046</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