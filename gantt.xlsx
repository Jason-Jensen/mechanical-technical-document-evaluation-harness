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9393a65b4c4f2e" /></Relationships>
</file>

<file path=xl/workbook.xml><?xml version="1.0" encoding="utf-8"?>
<x:workbook xmlns:x="http://schemas.openxmlformats.org/spreadsheetml/2006/main">
  <x:sheets>
    <x:sheet xmlns:r="http://schemas.openxmlformats.org/officeDocument/2006/relationships" name="Start Here" sheetId="1" r:id="Rbebd74dd6dd847e8"/>
    <x:sheet xmlns:r="http://schemas.openxmlformats.org/officeDocument/2006/relationships" name="Executive Gantt" sheetId="2" r:id="R7d3bc343968b470c"/>
    <x:sheet xmlns:r="http://schemas.openxmlformats.org/officeDocument/2006/relationships" name="Detailed Gantt" sheetId="3" r:id="R8b525dc8ab7e480b"/>
    <x:sheet xmlns:r="http://schemas.openxmlformats.org/officeDocument/2006/relationships" name="Weekly Control" sheetId="4" r:id="R408f2d1d95c84b19"/>
    <x:sheet xmlns:r="http://schemas.openxmlformats.org/officeDocument/2006/relationships" name="Phase Summary" sheetId="5" r:id="R80ae3e0236334e79"/>
    <x:sheet xmlns:r="http://schemas.openxmlformats.org/officeDocument/2006/relationships" name="Assumptions &amp; Gates" sheetId="6" r:id="Rfea760fe430e41f3"/>
    <x:sheet xmlns:r="http://schemas.openxmlformats.org/officeDocument/2006/relationships" name="Sources" sheetId="7" r:id="R0727dc16b9284b41"/>
    <x:sheet xmlns:r="http://schemas.openxmlformats.org/officeDocument/2006/relationships" name="Legacy Baseline" sheetId="8" r:id="R52e9555b50154982"/>
    <x:sheet xmlns:r="http://schemas.openxmlformats.org/officeDocument/2006/relationships" name="Work Block Log" sheetId="9" r:id="R72595d08d61d4663"/>
    <x:sheet xmlns:r="http://schemas.openxmlformats.org/officeDocument/2006/relationships" name="Decision Register" sheetId="10" r:id="Re1bb723190ba4aaf"/>
    <x:sheet xmlns:r="http://schemas.openxmlformats.org/officeDocument/2006/relationships" name="Risks &amp; Issues" sheetId="11" r:id="R642221981bf94ed7"/>
    <x:sheet xmlns:r="http://schemas.openxmlformats.org/officeDocument/2006/relationships" name="Evidence Register" sheetId="12" r:id="Rbe372d81e84540f0"/>
    <x:sheet xmlns:r="http://schemas.openxmlformats.org/officeDocument/2006/relationships" name="Expansion Backlog" sheetId="13" r:id="R90e51ef18fb741eb"/>
    <x:sheet xmlns:r="http://schemas.openxmlformats.org/officeDocument/2006/relationships" name="AI Context" sheetId="14" r:id="R1ad10186f41549a7"/>
    <x:sheet xmlns:r="http://schemas.openxmlformats.org/officeDocument/2006/relationships" name="MVP Dashboard" sheetId="15" r:id="Rcf81d7c18bdb45d3"/>
    <x:sheet xmlns:r="http://schemas.openxmlformats.org/officeDocument/2006/relationships" name="Product Vision" sheetId="16" r:id="R2805a8a0545246c8"/>
    <x:sheet xmlns:r="http://schemas.openxmlformats.org/officeDocument/2006/relationships" name="Pilot Gantt" sheetId="17" r:id="R4068a9ff2ae24c7d"/>
    <x:sheet xmlns:r="http://schemas.openxmlformats.org/officeDocument/2006/relationships" name="Pilot Dashboard" sheetId="18" r:id="Rfad1528e8d7d4e0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<x:sst xmlns:x="http://schemas.openxmlformats.org/spreadsheetml/2006/main">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</x:sst>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83befe524c4787" /><Relationship Type="http://schemas.openxmlformats.org/officeDocument/2006/relationships/theme" Target="/xl/theme/theme1.xml" Id="Re0091b39ba184988" /><Relationship Type="http://schemas.openxmlformats.org/officeDocument/2006/relationships/sharedStrings" Target="/xl/sharedStrings.xml" Id="R02974b4b6da74201" /><Relationship Type="http://schemas.openxmlformats.org/officeDocument/2006/relationships/worksheet" Target="/xl/worksheets/sheet1.xml" Id="Rbebd74dd6dd847e8" /><Relationship Type="http://schemas.openxmlformats.org/officeDocument/2006/relationships/worksheet" Target="/xl/worksheets/sheet2.xml" Id="R7d3bc343968b470c" /><Relationship Type="http://schemas.openxmlformats.org/officeDocument/2006/relationships/worksheet" Target="/xl/worksheets/sheet3.xml" Id="R8b525dc8ab7e480b" /><Relationship Type="http://schemas.openxmlformats.org/officeDocument/2006/relationships/worksheet" Target="/xl/worksheets/sheet4.xml" Id="R408f2d1d95c84b19" /><Relationship Type="http://schemas.openxmlformats.org/officeDocument/2006/relationships/worksheet" Target="/xl/worksheets/sheet5.xml" Id="R80ae3e0236334e79" /><Relationship Type="http://schemas.openxmlformats.org/officeDocument/2006/relationships/worksheet" Target="/xl/worksheets/sheet6.xml" Id="Rfea760fe430e41f3" /><Relationship Type="http://schemas.openxmlformats.org/officeDocument/2006/relationships/worksheet" Target="/xl/worksheets/sheet7.xml" Id="R0727dc16b9284b41" /><Relationship Type="http://schemas.openxmlformats.org/officeDocument/2006/relationships/worksheet" Target="/xl/worksheets/sheet8.xml" Id="R52e9555b50154982" /><Relationship Type="http://schemas.openxmlformats.org/officeDocument/2006/relationships/worksheet" Target="/xl/worksheets/sheet9.xml" Id="R72595d08d61d4663" /><Relationship Type="http://schemas.openxmlformats.org/officeDocument/2006/relationships/worksheet" Target="/xl/worksheets/sheet10.xml" Id="Re1bb723190ba4aaf" /><Relationship Type="http://schemas.openxmlformats.org/officeDocument/2006/relationships/worksheet" Target="/xl/worksheets/sheet11.xml" Id="R642221981bf94ed7" /><Relationship Type="http://schemas.openxmlformats.org/officeDocument/2006/relationships/worksheet" Target="/xl/worksheets/sheet12.xml" Id="Rbe372d81e84540f0" /><Relationship Type="http://schemas.openxmlformats.org/officeDocument/2006/relationships/worksheet" Target="/xl/worksheets/sheet13.xml" Id="R90e51ef18fb741eb" /><Relationship Type="http://schemas.openxmlformats.org/officeDocument/2006/relationships/worksheet" Target="/xl/worksheets/sheet14.xml" Id="R1ad10186f41549a7" /><Relationship Type="http://schemas.openxmlformats.org/officeDocument/2006/relationships/worksheet" Target="/xl/worksheets/sheet15.xml" Id="Rcf81d7c18bdb45d3" /><Relationship Type="http://schemas.openxmlformats.org/officeDocument/2006/relationships/worksheet" Target="/xl/worksheets/sheet16.xml" Id="R2805a8a0545246c8" /><Relationship Type="http://schemas.openxmlformats.org/officeDocument/2006/relationships/worksheet" Target="/xl/worksheets/sheet17.xml" Id="R4068a9ff2ae24c7d" /><Relationship Type="http://schemas.openxmlformats.org/officeDocument/2006/relationships/worksheet" Target="/xl/worksheets/sheet18.xml" Id="Rfad1528e8d7d4e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570c0f17fa3e4bda" /></Relationships>
</file>

<file path=xl/drawings/_rels/drawing2.xml.rels>&#65279;<?xml version="1.0" encoding="utf-8"?><Relationships xmlns="http://schemas.openxmlformats.org/package/2006/relationships"><Relationship Type="http://schemas.openxmlformats.org/officeDocument/2006/relationships/chart" Target="/xl/drawings/charts/chart2.xml" Id="R6100044b37a94dbd" /></Relationships>
</file>

<file path=xl/drawings/_rels/drawing3.xml.rels>&#65279;<?xml version="1.0" encoding="utf-8"?><Relationships xmlns="http://schemas.openxmlformats.org/package/2006/relationships"><Relationship Type="http://schemas.openxmlformats.org/officeDocument/2006/relationships/chart" Target="/xl/drawings/charts/chart3.xml" Id="Rc381354d3c444cc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0c0f17fa3e4bd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100044b37a94db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81354d3c444cc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ae6f7477562428c" /></Relationships>
</file>

<file path=xl/worksheets/_rels/sheet5.xml.rels>&#65279;<?xml version="1.0" encoding="utf-8"?><Relationships xmlns="http://schemas.openxmlformats.org/package/2006/relationships"><Relationship Type="http://schemas.openxmlformats.org/officeDocument/2006/relationships/drawing" Target="/xl/drawings/drawing2.xml" Id="R199ca75e970848a2" /></Relationships>
</file>

<file path=xl/worksheets/_rels/sheet15.xml.rels>&#65279;<?xml version="1.0" encoding="utf-8"?><Relationships xmlns="http://schemas.openxmlformats.org/package/2006/relationships"><Relationship Type="http://schemas.openxmlformats.org/officeDocument/2006/relationships/drawing" Target="/xl/drawings/drawing3.xml" Id="R112e8c33817e43a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accepted external-custody recovery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D-112 accepted; PR #64 integration and exact-main freeze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accepted external-custody recovery integration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Integrate PR #64, record exact main, then launch isolated external replacement custody</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65" hidden="0" customHeight="1">
      <x:c r="A28" s="597" t="str">
        <x:v>PR #63 integrated D-111 at exact main 4d2c0f5, but its Git summary exposed release-family paths and comparative file statistics before execution. The evaluator source tree remains identical to frozen behavior 4cf9fe8 at d0c3f128ee13898cdcd6fc12c6d6ad5877649551. Both exposed families remain unchanged, unexecuted, and release-ineligible; semantic execution count is zero. The project owner accepted D-112 on 2026-07-22. Authority now advances only to PR #64 integration, exact-main verification, fresh external authoring custody, independent structural/hash verification, oracle-blind runner staging, and a new owner freeze review. The materially distinct replacement must remain outside the ordinary repository and implementation worktree through raw first-run evidence freeze and separate protected comparison. No semantic execution, oracle comparison, repository import, evaluator change, protected-fixture CI restoration, P4.3 work, or release claim is authorized. EV-150-EV-152, I-007, and IMP-025 preserve the event and accepted prevention.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ae6f7477562428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99ca75e970848a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D-112 accepted; integration and external custody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D-112 is accepted. Both exposed families remain unchanged, unexecuted, and release-ineligible; semantic execution count remains zero.</x:v>
      </x:c>
      <x:c r="E7" s="765" t="str">
        <x:v>Product interpretation</x:v>
      </x:c>
      <x:c r="F7" s="431" t="str">
        <x:v>Successful kernel; not yet a complete economically useful workflow.</x:v>
      </x:c>
      <x:c r="G7" s="765" t="str">
        <x:v>Response</x:v>
      </x:c>
      <x:c r="H7" s="431" t="str">
        <x:v>Integrate PR #64, record exact main, then use fresh external custodians to author, verify, hash-freeze, and oracle-blind-stage a materially distinct replacement.</x:v>
      </x:c>
    </x:row>
    <x:row r="8" ht="153" hidden="0" customHeight="1">
      <x:c r="A8" s="765" t="str">
        <x:v>Immediate next action</x:v>
      </x:c>
      <x:c r="B8" s="431" t="str">
        <x:v>Complete D-112 integration and produce an independently verified external freeze review without repository import or semantic execution.</x:v>
      </x:c>
      <x:c r="C8" s="765" t="str">
        <x:v>Selected vertical</x:v>
      </x:c>
      <x:c r="D8" s="431" t="str">
        <x:v>PR #64 exact main -&gt; external authoring custody -&gt; independent hash verification -&gt; oracle-blind staging verification -&gt; owner freeze decision -&gt; later single-run authority.</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675" hidden="0" customHeight="1">
      <x:c r="A41" s="604" t="str">
        <x:v>Immediate implication</x:v>
      </x:c>
      <x:c r="B41" s="605"/>
      <x:c r="C41" s="606" t="str">
        <x:v>The project owner accepted D-112 on 2026-07-22. PR #64 integration and exact-main verification are prerequisites. After integration, a fresh custodian may author one materially distinct replacement outside the repository; separate fresh custodians must verify its structural/hash freeze and an oracle-blind runner bundle. Only aggregate public evidence may enter the repository. Both exposed families remain unchanged, unexecuted, and release-ineligible; semantic run count remains zero. Do not execute a scenario, compare an oracle, import the family, restore protected-fixture CI, change evaluator behavior, begin P4.3, or make held-out release claims. A separate owner freeze decision remains mandatory before any invocation.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12e8c33817e43a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72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D-112 Accepted / Integration Pending</x:v>
      </x:c>
      <x:c r="L19" s="664" t="n">
        <x:v>0.74</x:v>
      </x:c>
      <x:c r="M19" s="662" t="n">
        <x:f>SUMIF('Work Block Log'!$E$5:$E$200,A19,'Work Block Log'!$F$5:$F$200)</x:f>
        <x:v>0</x:v>
      </x:c>
      <x:c r="N19" s="662" t="n">
        <x:f>MAX(F19*(1-L19),0)</x:f>
        <x:v>0.78</x:v>
      </x:c>
      <x:c r="O19" s="662" t="n">
        <x:f>M19-F19</x:f>
        <x:v>-3</x:v>
      </x:c>
      <x:c r="P19" s="431" t="str">
        <x:v>PR #63 exact main 4d2c0f5; D-111 authority unused; D-112 accepted 2026-07-22; PR #64 integration pending; semantic runs 0; EV-150-EV-152; I-007; IMP-025</x:v>
      </x:c>
      <x:c r="Q19" s="431" t="str">
        <x:v>Mark PR #64 ready, merge after green checks, record exact main, then launch fresh isolated external authoring, verification, and oracle-blind staging custodians.</x:v>
      </x:c>
      <x:c r="R19" s="431" t="str">
        <x:v>No repository family import, semantic run, oracle comparison, evaluator change, protected-fixture CI restoration, P4.3 work, or release claim is authorized. A new owner freeze decision remains mandatory.</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0.8526086956521739</x:v>
      </x:c>
      <x:c r="M24" s="683" t="n">
        <x:f>SUM(M6:M22)</x:f>
        <x:v>0</x:v>
      </x:c>
      <x:c r="N24" s="683" t="n">
        <x:f>SUM(N6:N22)</x:f>
        <x:v>6.78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D-112 Accepted External Custody</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accepted external-custody recovery integration</x:v>
      </x:c>
      <x:c r="H4" s="697"/>
    </x:row>
    <x:row r="5" ht="72" customHeight="1">
      <x:c r="A5" s="688" t="str">
        <x:v>Schedule Baseline</x:v>
      </x:c>
      <x:c r="B5" s="693" t="str">
        <x:v>Legacy only; not controlling</x:v>
      </x:c>
      <x:c r="C5" s="691"/>
      <x:c r="D5" s="691"/>
      <x:c r="F5" s="696" t="str">
        <x:v>Objective</x:v>
      </x:c>
      <x:c r="G5" s="697" t="str">
        <x:v>Integrate D-112, then freeze one materially distinct replacement outside the repository without executing it.</x:v>
      </x:c>
      <x:c r="H5" s="697"/>
    </x:row>
    <x:row r="6" ht="63" customHeight="1">
      <x:c r="A6" s="688" t="str">
        <x:v>Time Tracking</x:v>
      </x:c>
      <x:c r="B6" s="693" t="str">
        <x:v>Waived prospectively</x:v>
      </x:c>
      <x:c r="C6" s="691"/>
      <x:c r="D6" s="691"/>
      <x:c r="F6" s="696" t="str">
        <x:v>Gate Status</x:v>
      </x:c>
      <x:c r="G6" s="697" t="str">
        <x:v>D-112 accepted; both exposed families unchanged and unexecuted; semantic runs 0.</x:v>
      </x:c>
      <x:c r="H6" s="697"/>
    </x:row>
    <x:row r="7" ht="81" customHeight="1">
      <x:c r="A7" s="688" t="str">
        <x:v>Current Gate</x:v>
      </x:c>
      <x:c r="B7" s="694" t="str">
        <x:v>D-112 accepted; PR #64 integration and external replacement custody pending</x:v>
      </x:c>
      <x:c r="C7" s="691"/>
      <x:c r="D7" s="691"/>
      <x:c r="F7" s="696" t="str">
        <x:v>Definition of Done</x:v>
      </x:c>
      <x:c r="G7" s="697" t="str">
        <x:v>Exact main recorded; external family independently hash-verified; oracle-blind staging independently verified; new owner freeze review ready.</x:v>
      </x:c>
      <x:c r="H7" s="697"/>
    </x:row>
    <x:row r="8" ht="63" customHeight="1">
      <x:c r="A8" s="688" t="str">
        <x:v>Released Kernel</x:v>
      </x:c>
      <x:c r="B8" s="691" t="str">
        <x:v>v0.2.0 / commit 45336a2</x:v>
      </x:c>
      <x:c r="C8" s="691"/>
      <x:c r="D8" s="691"/>
      <x:c r="F8" s="696" t="str">
        <x:v>Immediate Next Action</x:v>
      </x:c>
      <x:c r="G8" s="697" t="str">
        <x:v>Merge PR #64 after green checks, record exact main, then launch fresh isolated custodians.</x:v>
      </x:c>
      <x:c r="H8" s="697"/>
    </x:row>
    <x:row r="9" ht="72" customHeight="1">
      <x:c r="A9" s="688" t="str">
        <x:v>Release Target</x:v>
      </x:c>
      <x:c r="B9" s="691" t="str">
        <x:v>v0.3.0</x:v>
      </x:c>
      <x:c r="C9" s="691"/>
      <x:c r="D9" s="691"/>
      <x:c r="F9" s="696" t="str">
        <x:v>Primary Risk</x:v>
      </x:c>
      <x:c r="G9" s="697" t="str">
        <x:v>Primary risk: any repository import, path/stat disclosure, oracle access, or scenario invocation before the next owner gate invalidates the claim.</x:v>
      </x:c>
      <x:c r="H9" s="697"/>
    </x:row>
    <x:row r="10" ht="81" customHeight="1">
      <x:c r="A10" s="688" t="str">
        <x:v>Baseline Test Count</x:v>
      </x:c>
      <x:c r="B10" s="691" t="n">
        <x:v>121</x:v>
      </x:c>
      <x:c r="C10" s="691"/>
      <x:c r="D10" s="691"/>
      <x:c r="F10" s="696" t="str">
        <x:v>Deferred</x:v>
      </x:c>
      <x:c r="G10" s="697" t="str">
        <x:v>Semantic execution, protected comparison, repository family import, evaluator changes, P4.3, and release claims.</x:v>
      </x:c>
      <x:c r="H10" s="697"/>
    </x:row>
    <x:row r="11" ht="63" customHeight="1">
      <x:c r="A11" s="688" t="str">
        <x:v>Fixture Package Families</x:v>
      </x:c>
      <x:c r="B11" s="691" t="n">
        <x:v>2</x:v>
      </x:c>
      <x:c r="C11" s="691"/>
      <x:c r="D11" s="691"/>
      <x:c r="F11" s="696" t="str">
        <x:v>Data Boundary</x:v>
      </x:c>
      <x:c r="G11" s="697" t="str">
        <x:v>External family remains outside implementation Git/CI through raw first-run evidence freeze.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D-112 Accepted / Integration Pending</x:v>
      </x:c>
      <x:c r="C19" s="699" t="str">
        <x:v>PR #64 merge and exact-main freeze required</x:v>
      </x:c>
      <x:c r="D19" s="700" t="n">
        <x:v>0.74</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