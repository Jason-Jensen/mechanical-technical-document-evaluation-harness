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e2ac021fb3a4a25" /></Relationships>
</file>

<file path=xl/workbook.xml><?xml version="1.0" encoding="utf-8"?>
<x:workbook xmlns:x="http://schemas.openxmlformats.org/spreadsheetml/2006/main">
  <x:sheets>
    <x:sheet xmlns:r="http://schemas.openxmlformats.org/officeDocument/2006/relationships" name="Start Here" sheetId="1" r:id="R5bb3d3c0f6fb4abe"/>
    <x:sheet xmlns:r="http://schemas.openxmlformats.org/officeDocument/2006/relationships" name="Executive Gantt" sheetId="2" r:id="Rc61c3d7463924930"/>
    <x:sheet xmlns:r="http://schemas.openxmlformats.org/officeDocument/2006/relationships" name="Detailed Gantt" sheetId="3" r:id="R1988e2853f7c402d"/>
    <x:sheet xmlns:r="http://schemas.openxmlformats.org/officeDocument/2006/relationships" name="Weekly Control" sheetId="4" r:id="Rd3ac5c2f50904f23"/>
    <x:sheet xmlns:r="http://schemas.openxmlformats.org/officeDocument/2006/relationships" name="Phase Summary" sheetId="5" r:id="R60e8b4925e3c4b04"/>
    <x:sheet xmlns:r="http://schemas.openxmlformats.org/officeDocument/2006/relationships" name="Assumptions &amp; Gates" sheetId="6" r:id="Re8df574cebf240ad"/>
    <x:sheet xmlns:r="http://schemas.openxmlformats.org/officeDocument/2006/relationships" name="Sources" sheetId="7" r:id="Rd52cbddf42c24f88"/>
    <x:sheet xmlns:r="http://schemas.openxmlformats.org/officeDocument/2006/relationships" name="Legacy Baseline" sheetId="8" r:id="R637d31afa0494400"/>
    <x:sheet xmlns:r="http://schemas.openxmlformats.org/officeDocument/2006/relationships" name="Work Block Log" sheetId="9" r:id="R08c206fd81474182"/>
    <x:sheet xmlns:r="http://schemas.openxmlformats.org/officeDocument/2006/relationships" name="Decision Register" sheetId="10" r:id="R6fe5cdb5ea7e4c9e"/>
    <x:sheet xmlns:r="http://schemas.openxmlformats.org/officeDocument/2006/relationships" name="Risks &amp; Issues" sheetId="11" r:id="R6e86aa8a70414ccc"/>
    <x:sheet xmlns:r="http://schemas.openxmlformats.org/officeDocument/2006/relationships" name="Evidence Register" sheetId="12" r:id="Rff0e44f598484f23"/>
    <x:sheet xmlns:r="http://schemas.openxmlformats.org/officeDocument/2006/relationships" name="Expansion Backlog" sheetId="13" r:id="Re8e523ac43df48ba"/>
    <x:sheet xmlns:r="http://schemas.openxmlformats.org/officeDocument/2006/relationships" name="AI Context" sheetId="14" r:id="R757446a7df784567"/>
    <x:sheet xmlns:r="http://schemas.openxmlformats.org/officeDocument/2006/relationships" name="MVP Dashboard" sheetId="15" r:id="R132ac40501cb468c"/>
    <x:sheet xmlns:r="http://schemas.openxmlformats.org/officeDocument/2006/relationships" name="Product Vision" sheetId="16" r:id="R00e2e1fb98854ad3"/>
    <x:sheet xmlns:r="http://schemas.openxmlformats.org/officeDocument/2006/relationships" name="Pilot Gantt" sheetId="17" r:id="R6d79f21782fa47fa"/>
    <x:sheet xmlns:r="http://schemas.openxmlformats.org/officeDocument/2006/relationships" name="Pilot Dashboard" sheetId="18" r:id="Ree9a71ad5a454678"/>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<x:sst xmlns:x="http://schemas.openxmlformats.org/spreadsheetml/2006/main">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</x:sst>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6">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
      <x:patternFill patternType="solid">
        <x:fgColor rgb="FF2F75B5"/>
      </x:patternFill>
    </x:fill>
    <x:fill>
      <x:patternFill patternType="solid">
        <x:fgColor rgb="FF2F75B5"/>
      </x:patternFill>
    </x:fill>
    <x:fill>
      <x:patternFill patternType="solid">
        <x:fgColor rgb="FF2F75B5"/>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80">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0" fontId="3" fillId="4" borderId="0" xfId="0" applyNumberFormat="1" applyFont="1" applyFill="1" applyBorder="1" applyAlignment="1">
      <x:alignment vertical="top" wrapText="1"/>
    </x:xf>
    <x:xf numFmtId="0" fontId="3" fillId="53" borderId="0" xfId="0" applyNumberFormat="1" applyFont="1" applyFill="1" applyBorder="1" applyAlignment="1">
      <x:alignment vertical="top" wrapText="1"/>
    </x:xf>
    <x:xf numFmtId="0" fontId="2" fillId="53" borderId="0" xfId="0" applyNumberFormat="1" applyFont="1" applyFill="1" applyBorder="1" applyAlignment="1">
      <x:alignment vertical="top" wrapText="1"/>
    </x:xf>
    <x:xf numFmtId="0" fontId="2" fillId="54" borderId="0" xfId="0" applyNumberFormat="1" applyFont="1" applyFill="1" applyBorder="1" applyAlignment="1">
      <x:alignment vertical="top" wrapText="1"/>
    </x:xf>
    <x:xf numFmtId="0" fontId="2" fillId="55" borderId="0" xfId="0" applyNumberFormat="1" applyFont="1" applyFill="1" applyBorder="1" applyAlignment="1">
      <x:alignment vertical="top" wrapText="1"/>
    </x:xf>
    <x:xf numFmtId="200" fontId="3" fillId="0"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5cb63e3ccb843cc" /><Relationship Type="http://schemas.openxmlformats.org/officeDocument/2006/relationships/theme" Target="/xl/theme/theme1.xml" Id="Rc88122e0471849c3" /><Relationship Type="http://schemas.openxmlformats.org/officeDocument/2006/relationships/sharedStrings" Target="/xl/sharedStrings.xml" Id="Rdaf1c04a88f645a5" /><Relationship Type="http://schemas.openxmlformats.org/officeDocument/2006/relationships/worksheet" Target="/xl/worksheets/sheet1.xml" Id="R5bb3d3c0f6fb4abe" /><Relationship Type="http://schemas.openxmlformats.org/officeDocument/2006/relationships/worksheet" Target="/xl/worksheets/sheet2.xml" Id="Rc61c3d7463924930" /><Relationship Type="http://schemas.openxmlformats.org/officeDocument/2006/relationships/worksheet" Target="/xl/worksheets/sheet3.xml" Id="R1988e2853f7c402d" /><Relationship Type="http://schemas.openxmlformats.org/officeDocument/2006/relationships/worksheet" Target="/xl/worksheets/sheet4.xml" Id="Rd3ac5c2f50904f23" /><Relationship Type="http://schemas.openxmlformats.org/officeDocument/2006/relationships/worksheet" Target="/xl/worksheets/sheet5.xml" Id="R60e8b4925e3c4b04" /><Relationship Type="http://schemas.openxmlformats.org/officeDocument/2006/relationships/worksheet" Target="/xl/worksheets/sheet6.xml" Id="Re8df574cebf240ad" /><Relationship Type="http://schemas.openxmlformats.org/officeDocument/2006/relationships/worksheet" Target="/xl/worksheets/sheet7.xml" Id="Rd52cbddf42c24f88" /><Relationship Type="http://schemas.openxmlformats.org/officeDocument/2006/relationships/worksheet" Target="/xl/worksheets/sheet8.xml" Id="R637d31afa0494400" /><Relationship Type="http://schemas.openxmlformats.org/officeDocument/2006/relationships/worksheet" Target="/xl/worksheets/sheet9.xml" Id="R08c206fd81474182" /><Relationship Type="http://schemas.openxmlformats.org/officeDocument/2006/relationships/worksheet" Target="/xl/worksheets/sheet10.xml" Id="R6fe5cdb5ea7e4c9e" /><Relationship Type="http://schemas.openxmlformats.org/officeDocument/2006/relationships/worksheet" Target="/xl/worksheets/sheet11.xml" Id="R6e86aa8a70414ccc" /><Relationship Type="http://schemas.openxmlformats.org/officeDocument/2006/relationships/worksheet" Target="/xl/worksheets/sheet12.xml" Id="Rff0e44f598484f23" /><Relationship Type="http://schemas.openxmlformats.org/officeDocument/2006/relationships/worksheet" Target="/xl/worksheets/sheet13.xml" Id="Re8e523ac43df48ba" /><Relationship Type="http://schemas.openxmlformats.org/officeDocument/2006/relationships/worksheet" Target="/xl/worksheets/sheet14.xml" Id="R757446a7df784567" /><Relationship Type="http://schemas.openxmlformats.org/officeDocument/2006/relationships/worksheet" Target="/xl/worksheets/sheet15.xml" Id="R132ac40501cb468c" /><Relationship Type="http://schemas.openxmlformats.org/officeDocument/2006/relationships/worksheet" Target="/xl/worksheets/sheet16.xml" Id="R00e2e1fb98854ad3" /><Relationship Type="http://schemas.openxmlformats.org/officeDocument/2006/relationships/worksheet" Target="/xl/worksheets/sheet17.xml" Id="R6d79f21782fa47fa" /><Relationship Type="http://schemas.openxmlformats.org/officeDocument/2006/relationships/worksheet" Target="/xl/worksheets/sheet18.xml" Id="Ree9a71ad5a454678" /></Relationships>
</file>

<file path=xl/drawings/_rels/drawing1.xml.rels>&#65279;<?xml version="1.0" encoding="utf-8"?><Relationships xmlns="http://schemas.openxmlformats.org/package/2006/relationships"><Relationship Type="http://schemas.openxmlformats.org/officeDocument/2006/relationships/chart" Target="/xl/drawings/charts/chart1.xml" Id="R1ca09877ae3c4f03" /></Relationships>
</file>

<file path=xl/drawings/_rels/drawing2.xml.rels>&#65279;<?xml version="1.0" encoding="utf-8"?><Relationships xmlns="http://schemas.openxmlformats.org/package/2006/relationships"><Relationship Type="http://schemas.openxmlformats.org/officeDocument/2006/relationships/chart" Target="/xl/drawings/charts/chart2.xml" Id="Rdfbc7fef4d854fce" /></Relationships>
</file>

<file path=xl/drawings/_rels/drawing3.xml.rels>&#65279;<?xml version="1.0" encoding="utf-8"?><Relationships xmlns="http://schemas.openxmlformats.org/package/2006/relationships"><Relationship Type="http://schemas.openxmlformats.org/officeDocument/2006/relationships/chart" Target="/xl/drawings/charts/chart3.xml" Id="R0a7d02f4883941cb"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ca09877ae3c4f03"/>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fbc7fef4d854fce"/>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a7d02f4883941cb"/>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4ece145924bc4c53" /></Relationships>
</file>

<file path=xl/worksheets/_rels/sheet5.xml.rels>&#65279;<?xml version="1.0" encoding="utf-8"?><Relationships xmlns="http://schemas.openxmlformats.org/package/2006/relationships"><Relationship Type="http://schemas.openxmlformats.org/officeDocument/2006/relationships/drawing" Target="/xl/drawings/drawing2.xml" Id="R8c7ee6f9699a4f0a" /></Relationships>
</file>

<file path=xl/worksheets/_rels/sheet15.xml.rels>&#65279;<?xml version="1.0" encoding="utf-8"?><Relationships xmlns="http://schemas.openxmlformats.org/package/2006/relationships"><Relationship Type="http://schemas.openxmlformats.org/officeDocument/2006/relationships/drawing" Target="/xl/drawings/drawing3.xml" Id="R33b86d0c1ffb4442"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D-119 isolated family preparation 2026-07-24</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D-119 accepted and complete; D-120 official execution owner review</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D-119 isolated new-family preparation complete</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and merge PR #72, then accept or revise proposed D-120 official execution gate</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170" hidden="0" customHeight="1">
      <x:c r="A28" s="597" t="str">
        <x:v>PR #71 merged D-118 to exact main 17830bd. D-119 was accepted and completed outside Git under isolated producer and reviewer custody. One new synthetic family has eight scenarios: one clean and seven protected faults. Producer public-contract validation passed 8/8; protected target reachability passed 7/7 with zero unintended blockers; three rejected revisions remain preserved. A fresh reviewer independently replayed 8/8 validations and reproduced the 322-file read-only freeze, redaction, and exact pre/post identity. Only opaque identity, aggregate hashes, commitments, and redacted attestations entered the repository context. Official benchmark invocations remain zero. Local closeout passes: protected-safe full 354/1 at 88.02%; validation 5/5; Ruff; publication sentinel 4 outputs; development benchmark 22/22; frozen baseline 9/9 with generated evidence; demo 2/2. NC-002 remains contained and AIR-003, AIR-008, AIR-011, NC-002, and pending D-120 hold release. D-120 would authorize one bounded official batch, immutable raw freeze, oracle-blind verification, and one separate protected comparison; no official execution is authorized yet. Final focused authoring-plus-governance verification passes 36/36; the final protected-safe full rerun remains 354/1 at 88.02%. Both hosted Linux validation jobs pass on PR #72.</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0.42</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17.14</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x:v>
      </x:c>
      <x:c r="N27" s="627" t="n">
        <x:f t="shared" si="3">MAX(F27*(1-L27),0)</x:f>
        <x:v>0</x:v>
      </x:c>
      <x:c r="O27" s="627" t="n">
        <x:f t="shared" si="4">M27-F27</x:f>
        <x:v>-3</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17.14</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17.14</x:v>
      </x:c>
      <x:c r="F5" s="68" t="n">
        <x:f t="shared" ref="F5:F35" si="0">IF(E5="","",E5-D5)</x:f>
        <x:v>9.14</x:v>
      </x:c>
      <x:c r="G5" s="68" t="n">
        <x:f t="shared" ref="G5:G36" si="2">SUM($D$5:D5)</x:f>
        <x:v>8</x:v>
      </x:c>
      <x:c r="H5" s="68" t="n">
        <x:f t="shared" ref="H5:H36" si="3">SUM($E$5:E5)</x:f>
        <x:v>17.14</x:v>
      </x:c>
      <x:c r="I5" s="68" t="n">
        <x:f t="shared" ref="I5:I35" si="1">MAX($G$13-H5,0)</x:f>
        <x:v>58.86</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17.14</x:v>
      </x:c>
      <x:c r="I6" s="68" t="n">
        <x:f t="shared" si="1">MAX($G$13-H6,0)</x:f>
        <x:v>58.86</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17.14</x:v>
      </x:c>
      <x:c r="I7" s="68" t="n">
        <x:f t="shared" si="1">MAX($G$13-H7,0)</x:f>
        <x:v>58.86</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17.14</x:v>
      </x:c>
      <x:c r="I8" s="68" t="n">
        <x:f t="shared" si="1">MAX($G$13-H8,0)</x:f>
        <x:v>58.86</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17.14</x:v>
      </x:c>
      <x:c r="I9" s="68" t="n">
        <x:f t="shared" si="1">MAX($G$13-H9,0)</x:f>
        <x:v>58.86</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17.14</x:v>
      </x:c>
      <x:c r="I10" s="68" t="n">
        <x:f t="shared" si="1">MAX($G$13-H10,0)</x:f>
        <x:v>58.86</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17.14</x:v>
      </x:c>
      <x:c r="I11" s="68" t="n">
        <x:f t="shared" si="1">MAX($G$13-H11,0)</x:f>
        <x:v>58.86</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17.14</x:v>
      </x:c>
      <x:c r="I12" s="140" t="n">
        <x:f t="shared" si="1">MAX($G$13-H12,0)</x:f>
        <x:v>58.86</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4ece145924bc4c53"/>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0.42</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17.14</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8c7ee6f9699a4f0a"/>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40.5" customHeight="1">
      <x:c r="A27" s="778" t="str">
        <x:v>AI Management Gate / Hold Point</x:v>
      </x:c>
      <x:c r="B27" s="778"/>
      <x:c r="C27" s="778"/>
      <x:c r="D27" s="778"/>
      <x:c r="E27" s="778"/>
      <x:c r="F27" s="778"/>
      <x:c r="G27" s="778"/>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45" customHeight="1">
      <x:c r="A28" s="771" t="str">
        <x:v>AIMS Gate</x:v>
      </x:c>
      <x:c r="B28" s="485" t="str">
        <x:v>Continuous</x:v>
      </x:c>
      <x:c r="C28" s="774" t="n">
        <x:v>46226</x:v>
      </x:c>
      <x:c r="D28" s="485" t="str">
        <x:v>Active / Release Held</x:v>
      </x:c>
      <x:c r="E28" s="485" t="str">
        <x:v>The binding AI management policy and machine-readable control plane remain valid. Release-ready mode must pass before any release claim.</x:v>
      </x:c>
      <x:c r="F28" s="485" t="str">
        <x:v>PR #70 main 2246d1a; D-115; D-118; NC-002; AIR-008 reopened; I-012; IMP-040; EV-191-EV-196; focused 36/36; full 354/1 at 88.02%; validation 5/5; Ruff; sentinel; development benchmark 22/22; baseline 9/9; demo 2/2</x:v>
      </x:c>
      <x:c r="G28" s="485" t="str">
        <x:v>G0.1 remains active. Preserve AIR-003, AIR-008, AIR-011, NC-002, and pending D-119; strict release-ready mode must continue to fail.</x:v>
      </x:c>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4" customHeight="1">
      <x:c r="A30" s="597" t="str">
        <x:v>P4.2 Recovery Gate / Hold Point</x:v>
      </x:c>
      <x:c r="B30" s="597"/>
      <x:c r="C30" s="597"/>
      <x:c r="D30" s="597"/>
      <x:c r="E30" s="597"/>
      <x:c r="F30" s="597"/>
      <x:c r="G30" s="597"/>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5" customHeight="1">
      <x:c r="A31" s="438" t="str">
        <x:v>P4.2 Authoring Corrective Action / New-Family Gate</x:v>
      </x:c>
      <x:c r="B31" s="438" t="str">
        <x:v>Owner review</x:v>
      </x:c>
      <x:c r="C31" s="779" t="n">
        <x:v>46226</x:v>
      </x:c>
      <x:c r="D31" s="438" t="str">
        <x:v>D-118 Complete / D-119 Proposed / Release Held</x:v>
      </x:c>
      <x:c r="E31" s="438" t="str">
        <x:v>The exact D-117 authoring defect is prevented and protected target reachability has development-only operating proof. External effectiveness and unconfounded relationship performance remain unproven.</x:v>
      </x:c>
      <x:c r="F31" s="438" t="str">
        <x:v>D-118; EV-191-EV-196; NC-002; AIR-003; AIR-008; AIR-011; I-012; IMP-037; IMP-040; proof 6/6; focused 36/36; full 354/1 at 88.02%; proposed D-119</x:v>
      </x:c>
      <x:c r="G31" s="438" t="str">
        <x:v>Review and accept or revise D-119. Preserve all consumed-family evidence. Do not create a new family, execute an official benchmark, tune the evaluator, publish protected values, begin P4.3, or make release/performance claims.</x:v>
      </x:c>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9:G30"/>
    <x:mergeCell ref="A27:G27"/>
    <x:mergeCell ref="A30: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194</x:v>
      </x:c>
      <x:c r="B3" s="494" t="s">
        <x:v>195</x:v>
      </x:c>
      <x:c r="C3" s="494" t="s">
        <x:v>196</x:v>
      </x:c>
      <x:c r="D3" s="494" t="s">
        <x:v>197</x:v>
      </x:c>
      <x:c r="E3" s="494" t="s">
        <x:v>198</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199</x:v>
      </x:c>
      <x:c r="B4" s="438" t="s">
        <x:v>200</x:v>
      </x:c>
      <x:c r="C4" s="438" t="s">
        <x:v>201</x:v>
      </x:c>
      <x:c r="D4" s="438" t="s">
        <x:v>202</x:v>
      </x:c>
      <x:c r="E4" s="448" t="s">
        <x:v>203</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204</x:v>
      </x:c>
      <x:c r="B5" s="438" t="s">
        <x:v>205</x:v>
      </x:c>
      <x:c r="C5" s="438" t="s">
        <x:v>201</x:v>
      </x:c>
      <x:c r="D5" s="438" t="str">
        <x:v>gantt_v0.3_package_assurance_pilot.xlsx</x:v>
      </x:c>
      <x:c r="E5" s="448" t="s">
        <x:v>206</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207</x:v>
      </x:c>
      <x:c r="B6" s="438" t="s">
        <x:v>208</x:v>
      </x:c>
      <x:c r="C6" s="438" t="s">
        <x:v>209</x:v>
      </x:c>
      <x:c r="D6" s="438" t="s">
        <x:v>210</x:v>
      </x:c>
      <x:c r="E6" s="448" t="s">
        <x:v>211</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212</x:v>
      </x:c>
      <x:c r="B7" s="438" t="s">
        <x:v>213</x:v>
      </x:c>
      <x:c r="C7" s="438" t="s">
        <x:v>214</x:v>
      </x:c>
      <x:c r="D7" s="438" t="s">
        <x:v>215</x:v>
      </x:c>
      <x:c r="E7" s="448" t="s">
        <x:v>216</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217</x:v>
      </x:c>
      <x:c r="B8" s="438" t="s">
        <x:v>218</x:v>
      </x:c>
      <x:c r="C8" s="438" t="s">
        <x:v>214</x:v>
      </x:c>
      <x:c r="D8" s="438" t="s">
        <x:v>215</x:v>
      </x:c>
      <x:c r="E8" s="448" t="s">
        <x:v>219</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220</x:v>
      </x:c>
      <x:c r="B9" s="438" t="s">
        <x:v>221</x:v>
      </x:c>
      <x:c r="C9" s="438" t="s">
        <x:v>222</x:v>
      </x:c>
      <x:c r="D9" s="438" t="s">
        <x:v>223</x:v>
      </x:c>
      <x:c r="E9" s="448" t="s">
        <x:v>224</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225</x:v>
      </x:c>
      <x:c r="B10" s="448" t="s">
        <x:v>226</x:v>
      </x:c>
      <x:c r="C10" s="448" t="s">
        <x:v>222</x:v>
      </x:c>
      <x:c r="D10" s="448" t="s">
        <x:v>227</x:v>
      </x:c>
      <x:c r="E10" s="448" t="s">
        <x:v>228</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229</x:v>
      </x:c>
      <x:c r="B11" s="448" t="s">
        <x:v>230</x:v>
      </x:c>
      <x:c r="C11" s="448" t="s">
        <x:v>222</x:v>
      </x:c>
      <x:c r="D11" s="448" t="s">
        <x:v>231</x:v>
      </x:c>
      <x:c r="E11" s="448" t="s">
        <x:v>228</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232</x:v>
      </x:c>
      <x:c r="B12" s="448" t="s">
        <x:v>233</x:v>
      </x:c>
      <x:c r="C12" s="448" t="s">
        <x:v>214</x:v>
      </x:c>
      <x:c r="D12" s="448" t="s">
        <x:v>215</x:v>
      </x:c>
      <x:c r="E12" s="448" t="s">
        <x:v>234</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26" customHeight="1">
      <x:c r="A17" s="438" t="str">
        <x:v>ISO/IEC 42001:2023 official public record</x:v>
      </x:c>
      <x:c r="B17" s="438" t="str">
        <x:v>Defines the public purpose and management-system basis for establishing, implementing, maintaining, and continually improving responsible AI governance.</x:v>
      </x:c>
      <x:c r="C17" s="438" t="str">
        <x:v>Official ISO source</x:v>
      </x:c>
      <x:c r="D17" s="438" t="str">
        <x:v>https://www.iso.org/standard/42001</x:v>
      </x:c>
      <x:c r="E17" s="438" t="str">
        <x:v>High-level alignment only. A licensed copy and independent assessment are required for formal conformity.</x:v>
      </x:c>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26" customHeight="1">
      <x:c r="A18" s="438" t="str">
        <x:v>ISO/IEC 23894:2023 official public record</x:v>
      </x:c>
      <x:c r="B18" s="438" t="str">
        <x:v>Confirms the role of AI-specific risk management across organizations that develop, provide, deploy, or use AI systems.</x:v>
      </x:c>
      <x:c r="C18" s="438" t="str">
        <x:v>Official ISO source</x:v>
      </x:c>
      <x:c r="D18" s="438" t="str">
        <x:v>https://www.iso.org/standard/77304.html</x:v>
      </x:c>
      <x:c r="E18" s="438" t="str">
        <x:v>Risk-reference summary only; do not reproduce the standard.</x:v>
      </x:c>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26" customHeight="1">
      <x:c r="A19" s="438" t="str">
        <x:v>NIST AI Risk Management Framework 1.0</x:v>
      </x:c>
      <x:c r="B19" s="438" t="str">
        <x:v>Provides voluntary operational practices for governing, mapping, measuring, and managing AI risk.</x:v>
      </x:c>
      <x:c r="C19" s="438" t="str">
        <x:v>Official NIST source</x:v>
      </x:c>
      <x:c r="D19" s="438" t="str">
        <x:v>https://www.nist.gov/itl/ai-risk-management-framework</x:v>
      </x:c>
      <x:c r="E19" s="438" t="str">
        <x:v>Operational supplement, not certification. NIST says 1.0 is being updated; a published revision triggers governance review.</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26" customHeight="1">
      <x:c r="A20" s="438" t="str">
        <x:v>NIST AI RMF Generative AI Profile</x:v>
      </x:c>
      <x:c r="B20" s="438" t="str">
        <x:v>Adds public generative-AI risk guidance for project-assistant use and future model capabilities.</x:v>
      </x:c>
      <x:c r="C20" s="438" t="str">
        <x:v>Official NIST source</x:v>
      </x:c>
      <x:c r="D20" s="438" t="str">
        <x:v>https://doi.org/10.6028/NIST.AI.600-1</x:v>
      </x:c>
      <x:c r="E20" s="438" t="str">
        <x:v>Used for project-specific risk treatment and monitoring controls.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235</x:v>
      </x:c>
      <x:c r="B1" s="232"/>
      <x:c r="C1" s="232"/>
      <x:c r="D1" s="232"/>
      <x:c r="E1" s="232"/>
      <x:c r="F1" s="232"/>
      <x:c r="G1" s="232"/>
      <x:c r="H1" s="232"/>
      <x:c r="I1" s="232"/>
      <x:c r="J1" s="232"/>
      <x:c r="K1" s="232"/>
      <x:c r="L1" s="232"/>
      <x:c r="M1" s="232"/>
      <x:c r="N1" s="232"/>
      <x:c r="O1" s="232"/>
      <x:c r="P1" s="232"/>
      <x:c r="Q1" s="232"/>
      <x:c r="R1" s="232"/>
      <x:c r="S1" s="232"/>
      <x:c r="T1" s="232"/>
    </x:row>
    <x:row r="2">
      <x:c r="A2" s="233" t="s">
        <x:v>236</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237</x:v>
      </x:c>
      <x:c r="L4" t="s">
        <x:v>238</x:v>
      </x:c>
    </x:row>
    <x:row r="6">
      <x:c r="A6" t="s">
        <x:v>239</x:v>
      </x:c>
      <x:c r="C6" t="s">
        <x:v>240</x:v>
      </x:c>
    </x:row>
    <x:row r="8">
      <x:c r="A8" t="s">
        <x:v>48</x:v>
      </x:c>
      <x:c r="B8" t="s">
        <x:v>1</x:v>
      </x:c>
      <x:c r="C8" t="s">
        <x:v>49</x:v>
      </x:c>
      <x:c r="D8" t="s">
        <x:v>50</x:v>
      </x:c>
      <x:c r="E8" t="s">
        <x:v>51</x:v>
      </x:c>
      <x:c r="F8" t="s">
        <x:v>2</x:v>
      </x:c>
      <x:c r="G8" t="s">
        <x:v>52</x:v>
      </x:c>
      <x:c r="H8" t="s">
        <x:v>53</x:v>
      </x:c>
      <x:c r="I8" t="s">
        <x:v>241</x:v>
      </x:c>
      <x:c r="J8" t="s">
        <x:v>54</x:v>
      </x:c>
      <x:c r="K8" t="s">
        <x:v>55</x:v>
      </x:c>
      <x:c r="L8" t="s">
        <x:v>56</x:v>
      </x:c>
      <x:c r="M8" t="s">
        <x:v>4</x:v>
      </x:c>
      <x:c r="N8" t="s">
        <x:v>3</x:v>
      </x:c>
      <x:c r="O8" t="s">
        <x:v>58</x:v>
      </x:c>
      <x:c r="P8" t="s">
        <x:v>57</x:v>
      </x:c>
      <x:c r="Q8" t="s">
        <x:v>61</x:v>
      </x:c>
    </x:row>
    <x:row r="9">
      <x:c r="A9" t="s">
        <x:v>62</x:v>
      </x:c>
      <x:c r="B9" t="s">
        <x:v>242</x:v>
      </x:c>
      <x:c r="C9" t="s">
        <x:v>243</x:v>
      </x:c>
      <x:c r="D9" t="s">
        <x:v>244</x:v>
      </x:c>
      <x:c r="E9" t="s">
        <x:v>65</x:v>
      </x:c>
      <x:c r="F9">
        <x:v>4</x:v>
      </x:c>
      <x:c r="G9">
        <x:v>1</x:v>
      </x:c>
      <x:c r="H9">
        <x:v>1</x:v>
      </x:c>
      <x:c r="I9">
        <x:v>1</x:v>
      </x:c>
      <x:c r="J9">
        <x:v>46202</x:v>
      </x:c>
      <x:c r="K9">
        <x:v>46208</x:v>
      </x:c>
      <x:c r="L9" t="s">
        <x:v>245</x:v>
      </x:c>
      <x:c r="M9">
        <x:v>1</x:v>
      </x:c>
      <x:c r="N9">
        <x:v>1.5</x:v>
      </x:c>
      <x:c r="O9">
        <x:v>-2.5</x:v>
      </x:c>
      <x:c r="P9">
        <x:v>0</x:v>
      </x:c>
      <x:c r="Q9" t="s">
        <x:v>246</x:v>
      </x:c>
    </x:row>
    <x:row r="10">
      <x:c r="A10" t="s">
        <x:v>68</x:v>
      </x:c>
      <x:c r="B10" t="s">
        <x:v>242</x:v>
      </x:c>
      <x:c r="C10" t="s">
        <x:v>247</x:v>
      </x:c>
      <x:c r="D10" t="s">
        <x:v>248</x:v>
      </x:c>
      <x:c r="E10" t="s">
        <x:v>62</x:v>
      </x:c>
      <x:c r="F10">
        <x:v>4</x:v>
      </x:c>
      <x:c r="G10">
        <x:v>1</x:v>
      </x:c>
      <x:c r="H10">
        <x:v>1</x:v>
      </x:c>
      <x:c r="I10">
        <x:v>1</x:v>
      </x:c>
      <x:c r="J10">
        <x:v>46202</x:v>
      </x:c>
      <x:c r="K10">
        <x:v>46208</x:v>
      </x:c>
      <x:c r="L10" t="s">
        <x:v>245</x:v>
      </x:c>
      <x:c r="M10">
        <x:v>1</x:v>
      </x:c>
      <x:c r="P10">
        <x:v>0</x:v>
      </x:c>
      <x:c r="Q10" t="s">
        <x:v>249</x:v>
      </x:c>
    </x:row>
    <x:row r="11">
      <x:c r="A11" t="s">
        <x:v>73</x:v>
      </x:c>
      <x:c r="B11" t="s">
        <x:v>242</x:v>
      </x:c>
      <x:c r="C11" t="s">
        <x:v>250</x:v>
      </x:c>
      <x:c r="D11" t="s">
        <x:v>251</x:v>
      </x:c>
      <x:c r="E11" t="s">
        <x:v>62</x:v>
      </x:c>
      <x:c r="F11">
        <x:v>4</x:v>
      </x:c>
      <x:c r="G11">
        <x:v>1</x:v>
      </x:c>
      <x:c r="H11">
        <x:v>2</x:v>
      </x:c>
      <x:c r="I11">
        <x:v>2</x:v>
      </x:c>
      <x:c r="J11">
        <x:v>46202</x:v>
      </x:c>
      <x:c r="K11">
        <x:v>46215</x:v>
      </x:c>
      <x:c r="L11" t="s">
        <x:v>252</x:v>
      </x:c>
      <x:c r="M11">
        <x:v>0.5</x:v>
      </x:c>
      <x:c r="P11">
        <x:v>2</x:v>
      </x:c>
      <x:c r="Q11" t="s">
        <x:v>253</x:v>
      </x:c>
    </x:row>
    <x:row r="12">
      <x:c r="A12" t="s">
        <x:v>254</x:v>
      </x:c>
      <x:c r="B12" t="s">
        <x:v>242</x:v>
      </x:c>
      <x:c r="C12" t="s">
        <x:v>255</x:v>
      </x:c>
      <x:c r="D12" t="s">
        <x:v>256</x:v>
      </x:c>
      <x:c r="E12" t="s">
        <x:v>68</x:v>
      </x:c>
      <x:c r="F12">
        <x:v>4</x:v>
      </x:c>
      <x:c r="G12">
        <x:v>2</x:v>
      </x:c>
      <x:c r="H12">
        <x:v>2</x:v>
      </x:c>
      <x:c r="I12">
        <x:v>1</x:v>
      </x:c>
      <x:c r="J12">
        <x:v>46209</x:v>
      </x:c>
      <x:c r="K12">
        <x:v>46215</x:v>
      </x:c>
      <x:c r="L12" t="s">
        <x:v>142</x:v>
      </x:c>
      <x:c r="M12">
        <x:v>0</x:v>
      </x:c>
      <x:c r="P12">
        <x:v>4</x:v>
      </x:c>
    </x:row>
    <x:row r="13">
      <x:c r="A13" t="s">
        <x:v>257</x:v>
      </x:c>
      <x:c r="B13" t="s">
        <x:v>242</x:v>
      </x:c>
      <x:c r="C13" t="s">
        <x:v>258</x:v>
      </x:c>
      <x:c r="D13" t="s">
        <x:v>259</x:v>
      </x:c>
      <x:c r="E13" t="s">
        <x:v>254</x:v>
      </x:c>
      <x:c r="F13">
        <x:v>12</x:v>
      </x:c>
      <x:c r="G13">
        <x:v>1</x:v>
      </x:c>
      <x:c r="H13">
        <x:v>52</x:v>
      </x:c>
      <x:c r="I13">
        <x:v>52</x:v>
      </x:c>
      <x:c r="J13">
        <x:v>46202</x:v>
      </x:c>
      <x:c r="K13">
        <x:v>46565</x:v>
      </x:c>
      <x:c r="L13" t="s">
        <x:v>252</x:v>
      </x:c>
      <x:c r="M13">
        <x:v>0.02</x:v>
      </x:c>
      <x:c r="P13">
        <x:v>11.76</x:v>
      </x:c>
      <x:c r="Q13" t="s">
        <x:v>260</x:v>
      </x:c>
    </x:row>
    <x:row r="14">
      <x:c r="A14" t="s">
        <x:v>261</x:v>
      </x:c>
      <x:c r="B14" t="s">
        <x:v>242</x:v>
      </x:c>
      <x:c r="C14" t="s">
        <x:v>262</x:v>
      </x:c>
      <x:c r="D14" t="s">
        <x:v>263</x:v>
      </x:c>
      <x:c r="E14" t="s">
        <x:v>254</x:v>
      </x:c>
      <x:c r="F14">
        <x:v>6</x:v>
      </x:c>
      <x:c r="G14">
        <x:v>4</x:v>
      </x:c>
      <x:c r="H14">
        <x:v>52</x:v>
      </x:c>
      <x:c r="I14">
        <x:v>49</x:v>
      </x:c>
      <x:c r="J14">
        <x:v>46223</x:v>
      </x:c>
      <x:c r="K14">
        <x:v>46565</x:v>
      </x:c>
      <x:c r="L14" t="s">
        <x:v>142</x:v>
      </x:c>
      <x:c r="M14">
        <x:v>0</x:v>
      </x:c>
      <x:c r="P14">
        <x:v>6</x:v>
      </x:c>
    </x:row>
    <x:row r="15">
      <x:c r="A15" t="s">
        <x:v>264</x:v>
      </x:c>
      <x:c r="B15" t="s">
        <x:v>242</x:v>
      </x:c>
      <x:c r="C15" t="s">
        <x:v>265</x:v>
      </x:c>
      <x:c r="D15" t="s">
        <x:v>266</x:v>
      </x:c>
      <x:c r="E15" t="s">
        <x:v>254</x:v>
      </x:c>
      <x:c r="F15">
        <x:v>6</x:v>
      </x:c>
      <x:c r="G15">
        <x:v>9</x:v>
      </x:c>
      <x:c r="H15">
        <x:v>52</x:v>
      </x:c>
      <x:c r="I15">
        <x:v>44</x:v>
      </x:c>
      <x:c r="J15">
        <x:v>46258</x:v>
      </x:c>
      <x:c r="K15">
        <x:v>46565</x:v>
      </x:c>
      <x:c r="L15" t="s">
        <x:v>142</x:v>
      </x:c>
      <x:c r="M15">
        <x:v>0</x:v>
      </x:c>
      <x:c r="P15">
        <x:v>6</x:v>
      </x:c>
    </x:row>
    <x:row r="16">
      <x:c r="A16" t="s">
        <x:v>78</x:v>
      </x:c>
      <x:c r="B16" t="s">
        <x:v>267</x:v>
      </x:c>
      <x:c r="C16" t="s">
        <x:v>268</x:v>
      </x:c>
      <x:c r="D16" t="s">
        <x:v>269</x:v>
      </x:c>
      <x:c r="E16" t="s">
        <x:v>73</x:v>
      </x:c>
      <x:c r="F16">
        <x:v>8</x:v>
      </x:c>
      <x:c r="G16">
        <x:v>3</x:v>
      </x:c>
      <x:c r="H16">
        <x:v>3</x:v>
      </x:c>
      <x:c r="I16">
        <x:v>1</x:v>
      </x:c>
      <x:c r="J16">
        <x:v>46216</x:v>
      </x:c>
      <x:c r="K16">
        <x:v>46222</x:v>
      </x:c>
      <x:c r="L16" t="s">
        <x:v>142</x:v>
      </x:c>
      <x:c r="M16">
        <x:v>0</x:v>
      </x:c>
      <x:c r="P16">
        <x:v>8</x:v>
      </x:c>
    </x:row>
    <x:row r="17">
      <x:c r="A17" t="s">
        <x:v>81</x:v>
      </x:c>
      <x:c r="B17" t="s">
        <x:v>267</x:v>
      </x:c>
      <x:c r="C17" t="s">
        <x:v>270</x:v>
      </x:c>
      <x:c r="D17" t="s">
        <x:v>271</x:v>
      </x:c>
      <x:c r="E17" t="s">
        <x:v>78</x:v>
      </x:c>
      <x:c r="F17">
        <x:v>6</x:v>
      </x:c>
      <x:c r="G17">
        <x:v>3</x:v>
      </x:c>
      <x:c r="H17">
        <x:v>4</x:v>
      </x:c>
      <x:c r="I17">
        <x:v>2</x:v>
      </x:c>
      <x:c r="J17">
        <x:v>46216</x:v>
      </x:c>
      <x:c r="K17">
        <x:v>46229</x:v>
      </x:c>
      <x:c r="L17" t="s">
        <x:v>142</x:v>
      </x:c>
      <x:c r="M17">
        <x:v>0</x:v>
      </x:c>
      <x:c r="P17">
        <x:v>6</x:v>
      </x:c>
    </x:row>
    <x:row r="18">
      <x:c r="A18" t="s">
        <x:v>84</x:v>
      </x:c>
      <x:c r="B18" t="s">
        <x:v>267</x:v>
      </x:c>
      <x:c r="C18" t="s">
        <x:v>272</x:v>
      </x:c>
      <x:c r="D18" t="s">
        <x:v>273</x:v>
      </x:c>
      <x:c r="E18" t="s">
        <x:v>81</x:v>
      </x:c>
      <x:c r="F18">
        <x:v>14</x:v>
      </x:c>
      <x:c r="G18">
        <x:v>4</x:v>
      </x:c>
      <x:c r="H18">
        <x:v>5</x:v>
      </x:c>
      <x:c r="I18">
        <x:v>2</x:v>
      </x:c>
      <x:c r="J18">
        <x:v>46223</x:v>
      </x:c>
      <x:c r="K18">
        <x:v>46236</x:v>
      </x:c>
      <x:c r="L18" t="s">
        <x:v>142</x:v>
      </x:c>
      <x:c r="M18">
        <x:v>0</x:v>
      </x:c>
      <x:c r="P18">
        <x:v>14</x:v>
      </x:c>
    </x:row>
    <x:row r="19">
      <x:c r="A19" t="s">
        <x:v>87</x:v>
      </x:c>
      <x:c r="B19" t="s">
        <x:v>267</x:v>
      </x:c>
      <x:c r="C19" t="s">
        <x:v>274</x:v>
      </x:c>
      <x:c r="D19" t="s">
        <x:v>275</x:v>
      </x:c>
      <x:c r="E19" t="s">
        <x:v>84</x:v>
      </x:c>
      <x:c r="F19">
        <x:v>18</x:v>
      </x:c>
      <x:c r="G19">
        <x:v>5</x:v>
      </x:c>
      <x:c r="H19">
        <x:v>7</x:v>
      </x:c>
      <x:c r="I19">
        <x:v>3</x:v>
      </x:c>
      <x:c r="J19">
        <x:v>46230</x:v>
      </x:c>
      <x:c r="K19">
        <x:v>46250</x:v>
      </x:c>
      <x:c r="L19" t="s">
        <x:v>142</x:v>
      </x:c>
      <x:c r="M19">
        <x:v>0</x:v>
      </x:c>
      <x:c r="P19">
        <x:v>18</x:v>
      </x:c>
    </x:row>
    <x:row r="20">
      <x:c r="A20" t="s">
        <x:v>90</x:v>
      </x:c>
      <x:c r="B20" t="s">
        <x:v>267</x:v>
      </x:c>
      <x:c r="C20" t="s">
        <x:v>276</x:v>
      </x:c>
      <x:c r="D20" t="s">
        <x:v>277</x:v>
      </x:c>
      <x:c r="E20" t="s">
        <x:v>87</x:v>
      </x:c>
      <x:c r="F20">
        <x:v>6</x:v>
      </x:c>
      <x:c r="G20">
        <x:v>7</x:v>
      </x:c>
      <x:c r="H20">
        <x:v>8</x:v>
      </x:c>
      <x:c r="I20">
        <x:v>2</x:v>
      </x:c>
      <x:c r="J20">
        <x:v>46244</x:v>
      </x:c>
      <x:c r="K20">
        <x:v>46257</x:v>
      </x:c>
      <x:c r="L20" t="s">
        <x:v>142</x:v>
      </x:c>
      <x:c r="M20">
        <x:v>0</x:v>
      </x:c>
      <x:c r="P20">
        <x:v>6</x:v>
      </x:c>
    </x:row>
    <x:row r="21">
      <x:c r="A21" t="s">
        <x:v>278</x:v>
      </x:c>
      <x:c r="B21" t="s">
        <x:v>267</x:v>
      </x:c>
      <x:c r="C21" t="s">
        <x:v>279</x:v>
      </x:c>
      <x:c r="D21" t="s">
        <x:v>280</x:v>
      </x:c>
      <x:c r="E21" t="s">
        <x:v>90</x:v>
      </x:c>
      <x:c r="F21">
        <x:v>6</x:v>
      </x:c>
      <x:c r="G21">
        <x:v>8</x:v>
      </x:c>
      <x:c r="H21">
        <x:v>8</x:v>
      </x:c>
      <x:c r="I21">
        <x:v>1</x:v>
      </x:c>
      <x:c r="J21">
        <x:v>46251</x:v>
      </x:c>
      <x:c r="K21">
        <x:v>46257</x:v>
      </x:c>
      <x:c r="L21" t="s">
        <x:v>142</x:v>
      </x:c>
      <x:c r="M21">
        <x:v>0</x:v>
      </x:c>
      <x:c r="P21">
        <x:v>6</x:v>
      </x:c>
    </x:row>
    <x:row r="22">
      <x:c r="A22" t="s">
        <x:v>281</x:v>
      </x:c>
      <x:c r="B22" t="s">
        <x:v>267</x:v>
      </x:c>
      <x:c r="C22" t="s">
        <x:v>282</x:v>
      </x:c>
      <x:c r="D22" t="s">
        <x:v>283</x:v>
      </x:c>
      <x:c r="E22" t="s">
        <x:v>278</x:v>
      </x:c>
      <x:c r="F22">
        <x:v>6</x:v>
      </x:c>
      <x:c r="G22">
        <x:v>9</x:v>
      </x:c>
      <x:c r="H22">
        <x:v>9</x:v>
      </x:c>
      <x:c r="I22">
        <x:v>1</x:v>
      </x:c>
      <x:c r="J22">
        <x:v>46258</x:v>
      </x:c>
      <x:c r="K22">
        <x:v>46264</x:v>
      </x:c>
      <x:c r="L22" t="s">
        <x:v>142</x:v>
      </x:c>
      <x:c r="M22">
        <x:v>0</x:v>
      </x:c>
      <x:c r="P22">
        <x:v>6</x:v>
      </x:c>
    </x:row>
    <x:row r="23">
      <x:c r="A23" t="s">
        <x:v>94</x:v>
      </x:c>
      <x:c r="B23" t="s">
        <x:v>284</x:v>
      </x:c>
      <x:c r="C23" t="s">
        <x:v>285</x:v>
      </x:c>
      <x:c r="D23" t="s">
        <x:v>286</x:v>
      </x:c>
      <x:c r="E23" t="s">
        <x:v>281</x:v>
      </x:c>
      <x:c r="F23">
        <x:v>10</x:v>
      </x:c>
      <x:c r="G23">
        <x:v>10</x:v>
      </x:c>
      <x:c r="H23">
        <x:v>10</x:v>
      </x:c>
      <x:c r="I23">
        <x:v>1</x:v>
      </x:c>
      <x:c r="J23">
        <x:v>46265</x:v>
      </x:c>
      <x:c r="K23">
        <x:v>46271</x:v>
      </x:c>
      <x:c r="L23" t="s">
        <x:v>252</x:v>
      </x:c>
      <x:c r="M23">
        <x:v>0.2</x:v>
      </x:c>
      <x:c r="P23">
        <x:v>8</x:v>
      </x:c>
      <x:c r="Q23" t="s">
        <x:v>287</x:v>
      </x:c>
    </x:row>
    <x:row r="24">
      <x:c r="A24" t="s">
        <x:v>97</x:v>
      </x:c>
      <x:c r="B24" t="s">
        <x:v>284</x:v>
      </x:c>
      <x:c r="C24" t="s">
        <x:v>288</x:v>
      </x:c>
      <x:c r="D24" t="s">
        <x:v>289</x:v>
      </x:c>
      <x:c r="E24" t="s">
        <x:v>94</x:v>
      </x:c>
      <x:c r="F24">
        <x:v>12</x:v>
      </x:c>
      <x:c r="G24">
        <x:v>10</x:v>
      </x:c>
      <x:c r="H24">
        <x:v>11</x:v>
      </x:c>
      <x:c r="I24">
        <x:v>2</x:v>
      </x:c>
      <x:c r="J24">
        <x:v>46265</x:v>
      </x:c>
      <x:c r="K24">
        <x:v>46278</x:v>
      </x:c>
      <x:c r="L24" t="s">
        <x:v>252</x:v>
      </x:c>
      <x:c r="M24">
        <x:v>0.15</x:v>
      </x:c>
      <x:c r="N24">
        <x:v>0.62</x:v>
      </x:c>
      <x:c r="O24">
        <x:v>-11.38</x:v>
      </x:c>
      <x:c r="P24">
        <x:v>10.199999999999999</x:v>
      </x:c>
      <x:c r="Q24" t="s">
        <x:v>290</x:v>
      </x:c>
    </x:row>
    <x:row r="25">
      <x:c r="A25" t="s">
        <x:v>100</x:v>
      </x:c>
      <x:c r="B25" t="s">
        <x:v>284</x:v>
      </x:c>
      <x:c r="C25" t="s">
        <x:v>291</x:v>
      </x:c>
      <x:c r="D25" t="s">
        <x:v>292</x:v>
      </x:c>
      <x:c r="E25" t="s">
        <x:v>97</x:v>
      </x:c>
      <x:c r="F25">
        <x:v>14</x:v>
      </x:c>
      <x:c r="G25">
        <x:v>11</x:v>
      </x:c>
      <x:c r="H25">
        <x:v>12</x:v>
      </x:c>
      <x:c r="I25">
        <x:v>2</x:v>
      </x:c>
      <x:c r="J25">
        <x:v>46272</x:v>
      </x:c>
      <x:c r="K25">
        <x:v>46285</x:v>
      </x:c>
      <x:c r="L25" t="s">
        <x:v>245</x:v>
      </x:c>
      <x:c r="M25">
        <x:v>1</x:v>
      </x:c>
      <x:c r="P25">
        <x:v>0</x:v>
      </x:c>
      <x:c r="Q25" t="s">
        <x:v>293</x:v>
      </x:c>
    </x:row>
    <x:row r="26">
      <x:c r="A26" t="s">
        <x:v>103</x:v>
      </x:c>
      <x:c r="B26" t="s">
        <x:v>284</x:v>
      </x:c>
      <x:c r="C26" t="s">
        <x:v>294</x:v>
      </x:c>
      <x:c r="D26" t="s">
        <x:v>295</x:v>
      </x:c>
      <x:c r="E26" t="s">
        <x:v>100</x:v>
      </x:c>
      <x:c r="F26">
        <x:v>10</x:v>
      </x:c>
      <x:c r="G26">
        <x:v>12</x:v>
      </x:c>
      <x:c r="H26">
        <x:v>13</x:v>
      </x:c>
      <x:c r="I26">
        <x:v>2</x:v>
      </x:c>
      <x:c r="J26">
        <x:v>46279</x:v>
      </x:c>
      <x:c r="K26">
        <x:v>46292</x:v>
      </x:c>
      <x:c r="L26" t="s">
        <x:v>142</x:v>
      </x:c>
      <x:c r="M26">
        <x:v>0</x:v>
      </x:c>
      <x:c r="P26">
        <x:v>10</x:v>
      </x:c>
    </x:row>
    <x:row r="27">
      <x:c r="A27" t="s">
        <x:v>296</x:v>
      </x:c>
      <x:c r="B27" t="s">
        <x:v>284</x:v>
      </x:c>
      <x:c r="C27" t="s">
        <x:v>297</x:v>
      </x:c>
      <x:c r="D27" t="s">
        <x:v>298</x:v>
      </x:c>
      <x:c r="E27" t="s">
        <x:v>100</x:v>
      </x:c>
      <x:c r="F27">
        <x:v>10</x:v>
      </x:c>
      <x:c r="G27">
        <x:v>13</x:v>
      </x:c>
      <x:c r="H27">
        <x:v>14</x:v>
      </x:c>
      <x:c r="I27">
        <x:v>2</x:v>
      </x:c>
      <x:c r="J27">
        <x:v>46286</x:v>
      </x:c>
      <x:c r="K27">
        <x:v>46299</x:v>
      </x:c>
      <x:c r="L27" t="s">
        <x:v>142</x:v>
      </x:c>
      <x:c r="M27">
        <x:v>0</x:v>
      </x:c>
      <x:c r="P27">
        <x:v>10</x:v>
      </x:c>
    </x:row>
    <x:row r="28">
      <x:c r="A28" t="s">
        <x:v>299</x:v>
      </x:c>
      <x:c r="B28" t="s">
        <x:v>284</x:v>
      </x:c>
      <x:c r="C28" t="s">
        <x:v>300</x:v>
      </x:c>
      <x:c r="D28" t="s">
        <x:v>301</x:v>
      </x:c>
      <x:c r="E28" t="s">
        <x:v>103</x:v>
      </x:c>
      <x:c r="F28">
        <x:v>8</x:v>
      </x:c>
      <x:c r="G28">
        <x:v>14</x:v>
      </x:c>
      <x:c r="H28">
        <x:v>15</x:v>
      </x:c>
      <x:c r="I28">
        <x:v>2</x:v>
      </x:c>
      <x:c r="J28">
        <x:v>46293</x:v>
      </x:c>
      <x:c r="K28">
        <x:v>46306</x:v>
      </x:c>
      <x:c r="L28" t="s">
        <x:v>142</x:v>
      </x:c>
      <x:c r="M28">
        <x:v>0</x:v>
      </x:c>
      <x:c r="P28">
        <x:v>8</x:v>
      </x:c>
    </x:row>
    <x:row r="29">
      <x:c r="A29" t="s">
        <x:v>302</x:v>
      </x:c>
      <x:c r="B29" t="s">
        <x:v>284</x:v>
      </x:c>
      <x:c r="C29" t="s">
        <x:v>303</x:v>
      </x:c>
      <x:c r="D29" t="s">
        <x:v>304</x:v>
      </x:c>
      <x:c r="E29" t="s">
        <x:v>296</x:v>
      </x:c>
      <x:c r="F29">
        <x:v>4</x:v>
      </x:c>
      <x:c r="G29">
        <x:v>15</x:v>
      </x:c>
      <x:c r="H29">
        <x:v>15</x:v>
      </x:c>
      <x:c r="I29">
        <x:v>1</x:v>
      </x:c>
      <x:c r="J29">
        <x:v>46300</x:v>
      </x:c>
      <x:c r="K29">
        <x:v>46306</x:v>
      </x:c>
      <x:c r="L29" t="s">
        <x:v>142</x:v>
      </x:c>
      <x:c r="M29">
        <x:v>0</x:v>
      </x:c>
      <x:c r="P29">
        <x:v>4</x:v>
      </x:c>
    </x:row>
    <x:row r="30">
      <x:c r="A30" t="s">
        <x:v>305</x:v>
      </x:c>
      <x:c r="B30" t="s">
        <x:v>284</x:v>
      </x:c>
      <x:c r="C30" t="s">
        <x:v>306</x:v>
      </x:c>
      <x:c r="D30" t="s">
        <x:v>307</x:v>
      </x:c>
      <x:c r="E30" t="s">
        <x:v>299</x:v>
      </x:c>
      <x:c r="F30">
        <x:v>4</x:v>
      </x:c>
      <x:c r="G30">
        <x:v>16</x:v>
      </x:c>
      <x:c r="H30">
        <x:v>16</x:v>
      </x:c>
      <x:c r="I30">
        <x:v>1</x:v>
      </x:c>
      <x:c r="J30">
        <x:v>46307</x:v>
      </x:c>
      <x:c r="K30">
        <x:v>46313</x:v>
      </x:c>
      <x:c r="L30" t="s">
        <x:v>142</x:v>
      </x:c>
      <x:c r="M30">
        <x:v>0</x:v>
      </x:c>
      <x:c r="P30">
        <x:v>4</x:v>
      </x:c>
    </x:row>
    <x:row r="31">
      <x:c r="A31" t="s">
        <x:v>107</x:v>
      </x:c>
      <x:c r="B31" t="s">
        <x:v>308</x:v>
      </x:c>
      <x:c r="C31" t="s">
        <x:v>309</x:v>
      </x:c>
      <x:c r="D31" t="s">
        <x:v>310</x:v>
      </x:c>
      <x:c r="E31" t="s">
        <x:v>305</x:v>
      </x:c>
      <x:c r="F31">
        <x:v>18</x:v>
      </x:c>
      <x:c r="G31">
        <x:v>17</x:v>
      </x:c>
      <x:c r="H31">
        <x:v>18</x:v>
      </x:c>
      <x:c r="I31">
        <x:v>2</x:v>
      </x:c>
      <x:c r="J31">
        <x:v>46314</x:v>
      </x:c>
      <x:c r="K31">
        <x:v>46327</x:v>
      </x:c>
      <x:c r="L31" t="s">
        <x:v>142</x:v>
      </x:c>
      <x:c r="M31">
        <x:v>0</x:v>
      </x:c>
      <x:c r="P31">
        <x:v>18</x:v>
      </x:c>
    </x:row>
    <x:row r="32">
      <x:c r="A32" t="s">
        <x:v>110</x:v>
      </x:c>
      <x:c r="B32" t="s">
        <x:v>308</x:v>
      </x:c>
      <x:c r="C32" t="s">
        <x:v>311</x:v>
      </x:c>
      <x:c r="D32" t="s">
        <x:v>312</x:v>
      </x:c>
      <x:c r="E32" t="s">
        <x:v>107</x:v>
      </x:c>
      <x:c r="F32">
        <x:v>12</x:v>
      </x:c>
      <x:c r="G32">
        <x:v>18</x:v>
      </x:c>
      <x:c r="H32">
        <x:v>19</x:v>
      </x:c>
      <x:c r="I32">
        <x:v>2</x:v>
      </x:c>
      <x:c r="J32">
        <x:v>46321</x:v>
      </x:c>
      <x:c r="K32">
        <x:v>46334</x:v>
      </x:c>
      <x:c r="L32" t="s">
        <x:v>142</x:v>
      </x:c>
      <x:c r="M32">
        <x:v>0</x:v>
      </x:c>
      <x:c r="P32">
        <x:v>12</x:v>
      </x:c>
    </x:row>
    <x:row r="33">
      <x:c r="A33" t="s">
        <x:v>114</x:v>
      </x:c>
      <x:c r="B33" t="s">
        <x:v>308</x:v>
      </x:c>
      <x:c r="C33" t="s">
        <x:v>313</x:v>
      </x:c>
      <x:c r="D33" t="s">
        <x:v>314</x:v>
      </x:c>
      <x:c r="E33" t="s">
        <x:v>110</x:v>
      </x:c>
      <x:c r="F33">
        <x:v>12</x:v>
      </x:c>
      <x:c r="G33">
        <x:v>19</x:v>
      </x:c>
      <x:c r="H33">
        <x:v>20</x:v>
      </x:c>
      <x:c r="I33">
        <x:v>2</x:v>
      </x:c>
      <x:c r="J33">
        <x:v>46328</x:v>
      </x:c>
      <x:c r="K33">
        <x:v>46341</x:v>
      </x:c>
      <x:c r="L33" t="s">
        <x:v>142</x:v>
      </x:c>
      <x:c r="M33">
        <x:v>0</x:v>
      </x:c>
      <x:c r="P33">
        <x:v>12</x:v>
      </x:c>
    </x:row>
    <x:row r="34">
      <x:c r="A34" t="s">
        <x:v>117</x:v>
      </x:c>
      <x:c r="B34" t="s">
        <x:v>308</x:v>
      </x:c>
      <x:c r="C34" t="s">
        <x:v>315</x:v>
      </x:c>
      <x:c r="D34" t="s">
        <x:v>316</x:v>
      </x:c>
      <x:c r="E34" t="s">
        <x:v>114</x:v>
      </x:c>
      <x:c r="F34">
        <x:v>8</x:v>
      </x:c>
      <x:c r="G34">
        <x:v>20</x:v>
      </x:c>
      <x:c r="H34">
        <x:v>20</x:v>
      </x:c>
      <x:c r="I34">
        <x:v>1</x:v>
      </x:c>
      <x:c r="J34">
        <x:v>46335</x:v>
      </x:c>
      <x:c r="K34">
        <x:v>46341</x:v>
      </x:c>
      <x:c r="L34" t="s">
        <x:v>142</x:v>
      </x:c>
      <x:c r="M34">
        <x:v>0</x:v>
      </x:c>
      <x:c r="P34">
        <x:v>8</x:v>
      </x:c>
    </x:row>
    <x:row r="35">
      <x:c r="A35" t="s">
        <x:v>317</x:v>
      </x:c>
      <x:c r="B35" t="s">
        <x:v>308</x:v>
      </x:c>
      <x:c r="C35" t="s">
        <x:v>318</x:v>
      </x:c>
      <x:c r="D35" t="s">
        <x:v>319</x:v>
      </x:c>
      <x:c r="E35" t="s">
        <x:v>117</x:v>
      </x:c>
      <x:c r="F35">
        <x:v>10</x:v>
      </x:c>
      <x:c r="G35">
        <x:v>21</x:v>
      </x:c>
      <x:c r="H35">
        <x:v>21</x:v>
      </x:c>
      <x:c r="I35">
        <x:v>1</x:v>
      </x:c>
      <x:c r="J35">
        <x:v>46342</x:v>
      </x:c>
      <x:c r="K35">
        <x:v>46348</x:v>
      </x:c>
      <x:c r="L35" t="s">
        <x:v>142</x:v>
      </x:c>
      <x:c r="M35">
        <x:v>0</x:v>
      </x:c>
      <x:c r="P35">
        <x:v>10</x:v>
      </x:c>
    </x:row>
    <x:row r="36">
      <x:c r="A36" t="s">
        <x:v>320</x:v>
      </x:c>
      <x:c r="B36" t="s">
        <x:v>308</x:v>
      </x:c>
      <x:c r="C36" t="s">
        <x:v>321</x:v>
      </x:c>
      <x:c r="D36" t="s">
        <x:v>322</x:v>
      </x:c>
      <x:c r="E36" t="s">
        <x:v>317</x:v>
      </x:c>
      <x:c r="F36">
        <x:v>10</x:v>
      </x:c>
      <x:c r="G36">
        <x:v>21</x:v>
      </x:c>
      <x:c r="H36">
        <x:v>22</x:v>
      </x:c>
      <x:c r="I36">
        <x:v>2</x:v>
      </x:c>
      <x:c r="J36">
        <x:v>46342</x:v>
      </x:c>
      <x:c r="K36">
        <x:v>46355</x:v>
      </x:c>
      <x:c r="L36" t="s">
        <x:v>142</x:v>
      </x:c>
      <x:c r="M36">
        <x:v>0</x:v>
      </x:c>
      <x:c r="P36">
        <x:v>10</x:v>
      </x:c>
    </x:row>
    <x:row r="37">
      <x:c r="A37" t="s">
        <x:v>323</x:v>
      </x:c>
      <x:c r="B37" t="s">
        <x:v>308</x:v>
      </x:c>
      <x:c r="C37" t="s">
        <x:v>324</x:v>
      </x:c>
      <x:c r="D37" t="s">
        <x:v>325</x:v>
      </x:c>
      <x:c r="E37" t="s">
        <x:v>320</x:v>
      </x:c>
      <x:c r="F37">
        <x:v>10</x:v>
      </x:c>
      <x:c r="G37">
        <x:v>22</x:v>
      </x:c>
      <x:c r="H37">
        <x:v>23</x:v>
      </x:c>
      <x:c r="I37">
        <x:v>2</x:v>
      </x:c>
      <x:c r="J37">
        <x:v>46349</x:v>
      </x:c>
      <x:c r="K37">
        <x:v>46362</x:v>
      </x:c>
      <x:c r="L37" t="s">
        <x:v>142</x:v>
      </x:c>
      <x:c r="M37">
        <x:v>0</x:v>
      </x:c>
      <x:c r="P37">
        <x:v>10</x:v>
      </x:c>
    </x:row>
    <x:row r="38">
      <x:c r="A38" t="s">
        <x:v>326</x:v>
      </x:c>
      <x:c r="B38" t="s">
        <x:v>308</x:v>
      </x:c>
      <x:c r="C38" t="s">
        <x:v>327</x:v>
      </x:c>
      <x:c r="D38" t="s">
        <x:v>328</x:v>
      </x:c>
      <x:c r="E38" t="s">
        <x:v>323</x:v>
      </x:c>
      <x:c r="F38">
        <x:v>8</x:v>
      </x:c>
      <x:c r="G38">
        <x:v>24</x:v>
      </x:c>
      <x:c r="H38">
        <x:v>24</x:v>
      </x:c>
      <x:c r="I38">
        <x:v>1</x:v>
      </x:c>
      <x:c r="J38">
        <x:v>46363</x:v>
      </x:c>
      <x:c r="K38">
        <x:v>46369</x:v>
      </x:c>
      <x:c r="L38" t="s">
        <x:v>142</x:v>
      </x:c>
      <x:c r="M38">
        <x:v>0</x:v>
      </x:c>
      <x:c r="P38">
        <x:v>8</x:v>
      </x:c>
    </x:row>
    <x:row r="39">
      <x:c r="A39" t="s">
        <x:v>121</x:v>
      </x:c>
      <x:c r="B39" t="s">
        <x:v>329</x:v>
      </x:c>
      <x:c r="C39" t="s">
        <x:v>330</x:v>
      </x:c>
      <x:c r="D39" t="s">
        <x:v>331</x:v>
      </x:c>
      <x:c r="E39" t="s">
        <x:v>326</x:v>
      </x:c>
      <x:c r="F39">
        <x:v>8</x:v>
      </x:c>
      <x:c r="G39">
        <x:v>25</x:v>
      </x:c>
      <x:c r="H39">
        <x:v>25</x:v>
      </x:c>
      <x:c r="I39">
        <x:v>1</x:v>
      </x:c>
      <x:c r="J39">
        <x:v>46370</x:v>
      </x:c>
      <x:c r="K39">
        <x:v>46376</x:v>
      </x:c>
      <x:c r="L39" t="s">
        <x:v>142</x:v>
      </x:c>
      <x:c r="M39">
        <x:v>0</x:v>
      </x:c>
      <x:c r="P39">
        <x:v>8</x:v>
      </x:c>
    </x:row>
    <x:row r="40">
      <x:c r="A40" t="s">
        <x:v>124</x:v>
      </x:c>
      <x:c r="B40" t="s">
        <x:v>329</x:v>
      </x:c>
      <x:c r="C40" t="s">
        <x:v>332</x:v>
      </x:c>
      <x:c r="D40" t="s">
        <x:v>333</x:v>
      </x:c>
      <x:c r="E40" t="s">
        <x:v>121</x:v>
      </x:c>
      <x:c r="F40">
        <x:v>10</x:v>
      </x:c>
      <x:c r="G40">
        <x:v>25</x:v>
      </x:c>
      <x:c r="H40">
        <x:v>26</x:v>
      </x:c>
      <x:c r="I40">
        <x:v>2</x:v>
      </x:c>
      <x:c r="J40">
        <x:v>46370</x:v>
      </x:c>
      <x:c r="K40">
        <x:v>46383</x:v>
      </x:c>
      <x:c r="L40" t="s">
        <x:v>142</x:v>
      </x:c>
      <x:c r="M40">
        <x:v>0</x:v>
      </x:c>
      <x:c r="P40">
        <x:v>10</x:v>
      </x:c>
    </x:row>
    <x:row r="41">
      <x:c r="A41" t="s">
        <x:v>127</x:v>
      </x:c>
      <x:c r="B41" t="s">
        <x:v>329</x:v>
      </x:c>
      <x:c r="C41" t="s">
        <x:v>334</x:v>
      </x:c>
      <x:c r="D41" t="s">
        <x:v>335</x:v>
      </x:c>
      <x:c r="E41" t="s">
        <x:v>124</x:v>
      </x:c>
      <x:c r="F41">
        <x:v>18</x:v>
      </x:c>
      <x:c r="G41">
        <x:v>26</x:v>
      </x:c>
      <x:c r="H41">
        <x:v>28</x:v>
      </x:c>
      <x:c r="I41">
        <x:v>3</x:v>
      </x:c>
      <x:c r="J41">
        <x:v>46377</x:v>
      </x:c>
      <x:c r="K41">
        <x:v>46397</x:v>
      </x:c>
      <x:c r="L41" t="s">
        <x:v>142</x:v>
      </x:c>
      <x:c r="M41">
        <x:v>0</x:v>
      </x:c>
      <x:c r="P41">
        <x:v>18</x:v>
      </x:c>
    </x:row>
    <x:row r="42">
      <x:c r="A42" t="s">
        <x:v>336</x:v>
      </x:c>
      <x:c r="B42" t="s">
        <x:v>329</x:v>
      </x:c>
      <x:c r="C42" t="s">
        <x:v>337</x:v>
      </x:c>
      <x:c r="D42" t="s">
        <x:v>338</x:v>
      </x:c>
      <x:c r="E42" t="s">
        <x:v>127</x:v>
      </x:c>
      <x:c r="F42">
        <x:v>14</x:v>
      </x:c>
      <x:c r="G42">
        <x:v>28</x:v>
      </x:c>
      <x:c r="H42">
        <x:v>29</x:v>
      </x:c>
      <x:c r="I42">
        <x:v>2</x:v>
      </x:c>
      <x:c r="J42">
        <x:v>46391</x:v>
      </x:c>
      <x:c r="K42">
        <x:v>46404</x:v>
      </x:c>
      <x:c r="L42" t="s">
        <x:v>142</x:v>
      </x:c>
      <x:c r="M42">
        <x:v>0</x:v>
      </x:c>
      <x:c r="P42">
        <x:v>14</x:v>
      </x:c>
    </x:row>
    <x:row r="43">
      <x:c r="A43" t="s">
        <x:v>339</x:v>
      </x:c>
      <x:c r="B43" t="s">
        <x:v>329</x:v>
      </x:c>
      <x:c r="C43" t="s">
        <x:v>340</x:v>
      </x:c>
      <x:c r="D43" t="s">
        <x:v>341</x:v>
      </x:c>
      <x:c r="E43" t="s">
        <x:v>127</x:v>
      </x:c>
      <x:c r="F43">
        <x:v>14</x:v>
      </x:c>
      <x:c r="G43">
        <x:v>29</x:v>
      </x:c>
      <x:c r="H43">
        <x:v>30</x:v>
      </x:c>
      <x:c r="I43">
        <x:v>2</x:v>
      </x:c>
      <x:c r="J43">
        <x:v>46398</x:v>
      </x:c>
      <x:c r="K43">
        <x:v>46411</x:v>
      </x:c>
      <x:c r="L43" t="s">
        <x:v>142</x:v>
      </x:c>
      <x:c r="M43">
        <x:v>0</x:v>
      </x:c>
      <x:c r="P43">
        <x:v>14</x:v>
      </x:c>
    </x:row>
    <x:row r="44">
      <x:c r="A44" t="s">
        <x:v>342</x:v>
      </x:c>
      <x:c r="B44" t="s">
        <x:v>329</x:v>
      </x:c>
      <x:c r="C44" t="s">
        <x:v>343</x:v>
      </x:c>
      <x:c r="D44" t="s">
        <x:v>344</x:v>
      </x:c>
      <x:c r="E44" t="s">
        <x:v>336</x:v>
      </x:c>
      <x:c r="F44">
        <x:v>20</x:v>
      </x:c>
      <x:c r="G44">
        <x:v>30</x:v>
      </x:c>
      <x:c r="H44">
        <x:v>31</x:v>
      </x:c>
      <x:c r="I44">
        <x:v>2</x:v>
      </x:c>
      <x:c r="J44">
        <x:v>46405</x:v>
      </x:c>
      <x:c r="K44">
        <x:v>46418</x:v>
      </x:c>
      <x:c r="L44" t="s">
        <x:v>142</x:v>
      </x:c>
      <x:c r="M44">
        <x:v>0</x:v>
      </x:c>
      <x:c r="P44">
        <x:v>20</x:v>
      </x:c>
    </x:row>
    <x:row r="45">
      <x:c r="A45" t="s">
        <x:v>345</x:v>
      </x:c>
      <x:c r="B45" t="s">
        <x:v>329</x:v>
      </x:c>
      <x:c r="C45" t="s">
        <x:v>346</x:v>
      </x:c>
      <x:c r="D45" t="s">
        <x:v>347</x:v>
      </x:c>
      <x:c r="E45" t="s">
        <x:v>342</x:v>
      </x:c>
      <x:c r="F45">
        <x:v>12</x:v>
      </x:c>
      <x:c r="G45">
        <x:v>32</x:v>
      </x:c>
      <x:c r="H45">
        <x:v>32</x:v>
      </x:c>
      <x:c r="I45">
        <x:v>1</x:v>
      </x:c>
      <x:c r="J45">
        <x:v>46419</x:v>
      </x:c>
      <x:c r="K45">
        <x:v>46425</x:v>
      </x:c>
      <x:c r="L45" t="s">
        <x:v>142</x:v>
      </x:c>
      <x:c r="M45">
        <x:v>0</x:v>
      </x:c>
      <x:c r="P45">
        <x:v>12</x:v>
      </x:c>
    </x:row>
    <x:row r="46">
      <x:c r="A46" t="s">
        <x:v>131</x:v>
      </x:c>
      <x:c r="B46" t="s">
        <x:v>348</x:v>
      </x:c>
      <x:c r="C46" t="s">
        <x:v>349</x:v>
      </x:c>
      <x:c r="D46" t="s">
        <x:v>350</x:v>
      </x:c>
      <x:c r="E46" t="s">
        <x:v>345</x:v>
      </x:c>
      <x:c r="F46">
        <x:v>10</x:v>
      </x:c>
      <x:c r="G46">
        <x:v>33</x:v>
      </x:c>
      <x:c r="H46">
        <x:v>33</x:v>
      </x:c>
      <x:c r="I46">
        <x:v>1</x:v>
      </x:c>
      <x:c r="J46">
        <x:v>46426</x:v>
      </x:c>
      <x:c r="K46">
        <x:v>46432</x:v>
      </x:c>
      <x:c r="L46" t="s">
        <x:v>142</x:v>
      </x:c>
      <x:c r="M46">
        <x:v>0</x:v>
      </x:c>
      <x:c r="P46">
        <x:v>10</x:v>
      </x:c>
    </x:row>
    <x:row r="47">
      <x:c r="A47" t="s">
        <x:v>135</x:v>
      </x:c>
      <x:c r="B47" t="s">
        <x:v>348</x:v>
      </x:c>
      <x:c r="C47" t="s">
        <x:v>351</x:v>
      </x:c>
      <x:c r="D47" t="s">
        <x:v>352</x:v>
      </x:c>
      <x:c r="E47" t="s">
        <x:v>131</x:v>
      </x:c>
      <x:c r="F47">
        <x:v>16</x:v>
      </x:c>
      <x:c r="G47">
        <x:v>34</x:v>
      </x:c>
      <x:c r="H47">
        <x:v>35</x:v>
      </x:c>
      <x:c r="I47">
        <x:v>2</x:v>
      </x:c>
      <x:c r="J47">
        <x:v>46433</x:v>
      </x:c>
      <x:c r="K47">
        <x:v>46446</x:v>
      </x:c>
      <x:c r="L47" t="s">
        <x:v>142</x:v>
      </x:c>
      <x:c r="M47">
        <x:v>0</x:v>
      </x:c>
      <x:c r="P47">
        <x:v>16</x:v>
      </x:c>
    </x:row>
    <x:row r="48">
      <x:c r="A48" t="s">
        <x:v>138</x:v>
      </x:c>
      <x:c r="B48" t="s">
        <x:v>348</x:v>
      </x:c>
      <x:c r="C48" t="s">
        <x:v>353</x:v>
      </x:c>
      <x:c r="D48" t="s">
        <x:v>354</x:v>
      </x:c>
      <x:c r="E48" t="s">
        <x:v>135</x:v>
      </x:c>
      <x:c r="F48">
        <x:v>12</x:v>
      </x:c>
      <x:c r="G48">
        <x:v>35</x:v>
      </x:c>
      <x:c r="H48">
        <x:v>36</x:v>
      </x:c>
      <x:c r="I48">
        <x:v>2</x:v>
      </x:c>
      <x:c r="J48">
        <x:v>46440</x:v>
      </x:c>
      <x:c r="K48">
        <x:v>46453</x:v>
      </x:c>
      <x:c r="L48" t="s">
        <x:v>142</x:v>
      </x:c>
      <x:c r="M48">
        <x:v>0</x:v>
      </x:c>
      <x:c r="P48">
        <x:v>12</x:v>
      </x:c>
    </x:row>
    <x:row r="49">
      <x:c r="A49" t="s">
        <x:v>355</x:v>
      </x:c>
      <x:c r="B49" t="s">
        <x:v>348</x:v>
      </x:c>
      <x:c r="C49" t="s">
        <x:v>356</x:v>
      </x:c>
      <x:c r="D49" t="s">
        <x:v>357</x:v>
      </x:c>
      <x:c r="E49" t="s">
        <x:v>138</x:v>
      </x:c>
      <x:c r="F49">
        <x:v>10</x:v>
      </x:c>
      <x:c r="G49">
        <x:v>36</x:v>
      </x:c>
      <x:c r="H49">
        <x:v>36</x:v>
      </x:c>
      <x:c r="I49">
        <x:v>1</x:v>
      </x:c>
      <x:c r="J49">
        <x:v>46447</x:v>
      </x:c>
      <x:c r="K49">
        <x:v>46453</x:v>
      </x:c>
      <x:c r="L49" t="s">
        <x:v>142</x:v>
      </x:c>
      <x:c r="M49">
        <x:v>0</x:v>
      </x:c>
      <x:c r="P49">
        <x:v>10</x:v>
      </x:c>
    </x:row>
    <x:row r="50">
      <x:c r="A50" t="s">
        <x:v>358</x:v>
      </x:c>
      <x:c r="B50" t="s">
        <x:v>348</x:v>
      </x:c>
      <x:c r="C50" t="s">
        <x:v>359</x:v>
      </x:c>
      <x:c r="D50" t="s">
        <x:v>360</x:v>
      </x:c>
      <x:c r="E50" t="s">
        <x:v>355</x:v>
      </x:c>
      <x:c r="F50">
        <x:v>16</x:v>
      </x:c>
      <x:c r="G50">
        <x:v>37</x:v>
      </x:c>
      <x:c r="H50">
        <x:v>38</x:v>
      </x:c>
      <x:c r="I50">
        <x:v>2</x:v>
      </x:c>
      <x:c r="J50">
        <x:v>46454</x:v>
      </x:c>
      <x:c r="K50">
        <x:v>46467</x:v>
      </x:c>
      <x:c r="L50" t="s">
        <x:v>142</x:v>
      </x:c>
      <x:c r="M50">
        <x:v>0</x:v>
      </x:c>
      <x:c r="P50">
        <x:v>16</x:v>
      </x:c>
    </x:row>
    <x:row r="51">
      <x:c r="A51" t="s">
        <x:v>361</x:v>
      </x:c>
      <x:c r="B51" t="s">
        <x:v>348</x:v>
      </x:c>
      <x:c r="C51" t="s">
        <x:v>362</x:v>
      </x:c>
      <x:c r="D51" t="s">
        <x:v>363</x:v>
      </x:c>
      <x:c r="E51" t="s">
        <x:v>358</x:v>
      </x:c>
      <x:c r="F51">
        <x:v>14</x:v>
      </x:c>
      <x:c r="G51">
        <x:v>38</x:v>
      </x:c>
      <x:c r="H51">
        <x:v>39</x:v>
      </x:c>
      <x:c r="I51">
        <x:v>2</x:v>
      </x:c>
      <x:c r="J51">
        <x:v>46461</x:v>
      </x:c>
      <x:c r="K51">
        <x:v>46474</x:v>
      </x:c>
      <x:c r="L51" t="s">
        <x:v>142</x:v>
      </x:c>
      <x:c r="M51">
        <x:v>0</x:v>
      </x:c>
      <x:c r="P51">
        <x:v>14</x:v>
      </x:c>
    </x:row>
    <x:row r="52">
      <x:c r="A52" t="s">
        <x:v>364</x:v>
      </x:c>
      <x:c r="B52" t="s">
        <x:v>348</x:v>
      </x:c>
      <x:c r="C52" t="s">
        <x:v>365</x:v>
      </x:c>
      <x:c r="D52" t="s">
        <x:v>366</x:v>
      </x:c>
      <x:c r="E52" t="s">
        <x:v>361</x:v>
      </x:c>
      <x:c r="F52">
        <x:v>16</x:v>
      </x:c>
      <x:c r="G52">
        <x:v>40</x:v>
      </x:c>
      <x:c r="H52">
        <x:v>41</x:v>
      </x:c>
      <x:c r="I52">
        <x:v>2</x:v>
      </x:c>
      <x:c r="J52">
        <x:v>46475</x:v>
      </x:c>
      <x:c r="K52">
        <x:v>46488</x:v>
      </x:c>
      <x:c r="L52" t="s">
        <x:v>142</x:v>
      </x:c>
      <x:c r="M52">
        <x:v>0</x:v>
      </x:c>
      <x:c r="P52">
        <x:v>16</x:v>
      </x:c>
    </x:row>
    <x:row r="53">
      <x:c r="A53" t="s">
        <x:v>367</x:v>
      </x:c>
      <x:c r="B53" t="s">
        <x:v>348</x:v>
      </x:c>
      <x:c r="C53" t="s">
        <x:v>368</x:v>
      </x:c>
      <x:c r="D53" t="s">
        <x:v>369</x:v>
      </x:c>
      <x:c r="E53" t="s">
        <x:v>364</x:v>
      </x:c>
      <x:c r="F53">
        <x:v>10</x:v>
      </x:c>
      <x:c r="G53">
        <x:v>42</x:v>
      </x:c>
      <x:c r="H53">
        <x:v>42</x:v>
      </x:c>
      <x:c r="I53">
        <x:v>1</x:v>
      </x:c>
      <x:c r="J53">
        <x:v>46489</x:v>
      </x:c>
      <x:c r="K53">
        <x:v>46495</x:v>
      </x:c>
      <x:c r="L53" t="s">
        <x:v>142</x:v>
      </x:c>
      <x:c r="M53">
        <x:v>0</x:v>
      </x:c>
      <x:c r="P53">
        <x:v>10</x:v>
      </x:c>
    </x:row>
    <x:row r="54">
      <x:c r="A54" t="s">
        <x:v>370</x:v>
      </x:c>
      <x:c r="B54" t="s">
        <x:v>371</x:v>
      </x:c>
      <x:c r="C54" t="s">
        <x:v>372</x:v>
      </x:c>
      <x:c r="D54" t="s">
        <x:v>373</x:v>
      </x:c>
      <x:c r="E54" t="s">
        <x:v>367</x:v>
      </x:c>
      <x:c r="F54">
        <x:v>6</x:v>
      </x:c>
      <x:c r="G54">
        <x:v>43</x:v>
      </x:c>
      <x:c r="H54">
        <x:v>43</x:v>
      </x:c>
      <x:c r="I54">
        <x:v>1</x:v>
      </x:c>
      <x:c r="J54">
        <x:v>46496</x:v>
      </x:c>
      <x:c r="K54">
        <x:v>46502</x:v>
      </x:c>
      <x:c r="L54" t="s">
        <x:v>142</x:v>
      </x:c>
      <x:c r="M54">
        <x:v>0</x:v>
      </x:c>
      <x:c r="P54">
        <x:v>6</x:v>
      </x:c>
    </x:row>
    <x:row r="55">
      <x:c r="A55" t="s">
        <x:v>374</x:v>
      </x:c>
      <x:c r="B55" t="s">
        <x:v>371</x:v>
      </x:c>
      <x:c r="C55" t="s">
        <x:v>375</x:v>
      </x:c>
      <x:c r="D55" t="s">
        <x:v>376</x:v>
      </x:c>
      <x:c r="E55" t="s">
        <x:v>370</x:v>
      </x:c>
      <x:c r="F55">
        <x:v>10</x:v>
      </x:c>
      <x:c r="G55">
        <x:v>43</x:v>
      </x:c>
      <x:c r="H55">
        <x:v>44</x:v>
      </x:c>
      <x:c r="I55">
        <x:v>2</x:v>
      </x:c>
      <x:c r="J55">
        <x:v>46496</x:v>
      </x:c>
      <x:c r="K55">
        <x:v>46509</x:v>
      </x:c>
      <x:c r="L55" t="s">
        <x:v>142</x:v>
      </x:c>
      <x:c r="M55">
        <x:v>0</x:v>
      </x:c>
      <x:c r="P55">
        <x:v>10</x:v>
      </x:c>
    </x:row>
    <x:row r="56">
      <x:c r="A56" t="s">
        <x:v>377</x:v>
      </x:c>
      <x:c r="B56" t="s">
        <x:v>371</x:v>
      </x:c>
      <x:c r="C56" t="s">
        <x:v>378</x:v>
      </x:c>
      <x:c r="D56" t="s">
        <x:v>379</x:v>
      </x:c>
      <x:c r="E56" t="s">
        <x:v>374</x:v>
      </x:c>
      <x:c r="F56">
        <x:v>14</x:v>
      </x:c>
      <x:c r="G56">
        <x:v>44</x:v>
      </x:c>
      <x:c r="H56">
        <x:v>45</x:v>
      </x:c>
      <x:c r="I56">
        <x:v>2</x:v>
      </x:c>
      <x:c r="J56">
        <x:v>46503</x:v>
      </x:c>
      <x:c r="K56">
        <x:v>46516</x:v>
      </x:c>
      <x:c r="L56" t="s">
        <x:v>142</x:v>
      </x:c>
      <x:c r="M56">
        <x:v>0</x:v>
      </x:c>
      <x:c r="P56">
        <x:v>14</x:v>
      </x:c>
    </x:row>
    <x:row r="57">
      <x:c r="A57" t="s">
        <x:v>380</x:v>
      </x:c>
      <x:c r="B57" t="s">
        <x:v>371</x:v>
      </x:c>
      <x:c r="C57" t="s">
        <x:v>381</x:v>
      </x:c>
      <x:c r="D57" t="s">
        <x:v>382</x:v>
      </x:c>
      <x:c r="E57" t="s">
        <x:v>377</x:v>
      </x:c>
      <x:c r="F57">
        <x:v>8</x:v>
      </x:c>
      <x:c r="G57">
        <x:v>45</x:v>
      </x:c>
      <x:c r="H57">
        <x:v>46</x:v>
      </x:c>
      <x:c r="I57">
        <x:v>2</x:v>
      </x:c>
      <x:c r="J57">
        <x:v>46510</x:v>
      </x:c>
      <x:c r="K57">
        <x:v>46523</x:v>
      </x:c>
      <x:c r="L57" t="s">
        <x:v>142</x:v>
      </x:c>
      <x:c r="M57">
        <x:v>0</x:v>
      </x:c>
      <x:c r="P57">
        <x:v>8</x:v>
      </x:c>
    </x:row>
    <x:row r="58">
      <x:c r="A58" t="s">
        <x:v>383</x:v>
      </x:c>
      <x:c r="B58" t="s">
        <x:v>371</x:v>
      </x:c>
      <x:c r="C58" t="s">
        <x:v>384</x:v>
      </x:c>
      <x:c r="D58" t="s">
        <x:v>385</x:v>
      </x:c>
      <x:c r="E58" t="s">
        <x:v>380</x:v>
      </x:c>
      <x:c r="F58">
        <x:v>10</x:v>
      </x:c>
      <x:c r="G58">
        <x:v>46</x:v>
      </x:c>
      <x:c r="H58">
        <x:v>47</x:v>
      </x:c>
      <x:c r="I58">
        <x:v>2</x:v>
      </x:c>
      <x:c r="J58">
        <x:v>46517</x:v>
      </x:c>
      <x:c r="K58">
        <x:v>46530</x:v>
      </x:c>
      <x:c r="L58" t="s">
        <x:v>142</x:v>
      </x:c>
      <x:c r="M58">
        <x:v>0</x:v>
      </x:c>
      <x:c r="P58">
        <x:v>10</x:v>
      </x:c>
    </x:row>
    <x:row r="59">
      <x:c r="A59" t="s">
        <x:v>386</x:v>
      </x:c>
      <x:c r="B59" t="s">
        <x:v>371</x:v>
      </x:c>
      <x:c r="C59" t="s">
        <x:v>387</x:v>
      </x:c>
      <x:c r="D59" t="s">
        <x:v>388</x:v>
      </x:c>
      <x:c r="E59" t="s">
        <x:v>383</x:v>
      </x:c>
      <x:c r="F59">
        <x:v>4</x:v>
      </x:c>
      <x:c r="G59">
        <x:v>47</x:v>
      </x:c>
      <x:c r="H59">
        <x:v>47</x:v>
      </x:c>
      <x:c r="I59">
        <x:v>1</x:v>
      </x:c>
      <x:c r="J59">
        <x:v>46524</x:v>
      </x:c>
      <x:c r="K59">
        <x:v>46530</x:v>
      </x:c>
      <x:c r="L59" t="s">
        <x:v>142</x:v>
      </x:c>
      <x:c r="M59">
        <x:v>0</x:v>
      </x:c>
      <x:c r="P59">
        <x:v>4</x:v>
      </x:c>
    </x:row>
    <x:row r="60">
      <x:c r="A60" t="s">
        <x:v>389</x:v>
      </x:c>
      <x:c r="B60" t="s">
        <x:v>390</x:v>
      </x:c>
      <x:c r="C60" t="s">
        <x:v>391</x:v>
      </x:c>
      <x:c r="D60" t="s">
        <x:v>392</x:v>
      </x:c>
      <x:c r="E60" t="s">
        <x:v>386</x:v>
      </x:c>
      <x:c r="F60">
        <x:v>12</x:v>
      </x:c>
      <x:c r="G60">
        <x:v>48</x:v>
      </x:c>
      <x:c r="H60">
        <x:v>48</x:v>
      </x:c>
      <x:c r="I60">
        <x:v>1</x:v>
      </x:c>
      <x:c r="J60">
        <x:v>46531</x:v>
      </x:c>
      <x:c r="K60">
        <x:v>46537</x:v>
      </x:c>
      <x:c r="L60" t="s">
        <x:v>142</x:v>
      </x:c>
      <x:c r="M60">
        <x:v>0</x:v>
      </x:c>
      <x:c r="P60">
        <x:v>12</x:v>
      </x:c>
    </x:row>
    <x:row r="61">
      <x:c r="A61" t="s">
        <x:v>393</x:v>
      </x:c>
      <x:c r="B61" t="s">
        <x:v>390</x:v>
      </x:c>
      <x:c r="C61" t="s">
        <x:v>394</x:v>
      </x:c>
      <x:c r="D61" t="s">
        <x:v>395</x:v>
      </x:c>
      <x:c r="E61" t="s">
        <x:v>389</x:v>
      </x:c>
      <x:c r="F61">
        <x:v>10</x:v>
      </x:c>
      <x:c r="G61">
        <x:v>48</x:v>
      </x:c>
      <x:c r="H61">
        <x:v>49</x:v>
      </x:c>
      <x:c r="I61">
        <x:v>2</x:v>
      </x:c>
      <x:c r="J61">
        <x:v>46531</x:v>
      </x:c>
      <x:c r="K61">
        <x:v>46544</x:v>
      </x:c>
      <x:c r="L61" t="s">
        <x:v>142</x:v>
      </x:c>
      <x:c r="M61">
        <x:v>0</x:v>
      </x:c>
      <x:c r="P61">
        <x:v>10</x:v>
      </x:c>
    </x:row>
    <x:row r="62">
      <x:c r="A62" t="s">
        <x:v>396</x:v>
      </x:c>
      <x:c r="B62" t="s">
        <x:v>390</x:v>
      </x:c>
      <x:c r="C62" t="s">
        <x:v>397</x:v>
      </x:c>
      <x:c r="D62" t="s">
        <x:v>398</x:v>
      </x:c>
      <x:c r="E62" t="s">
        <x:v>389</x:v>
      </x:c>
      <x:c r="F62">
        <x:v>10</x:v>
      </x:c>
      <x:c r="G62">
        <x:v>49</x:v>
      </x:c>
      <x:c r="H62">
        <x:v>50</x:v>
      </x:c>
      <x:c r="I62">
        <x:v>2</x:v>
      </x:c>
      <x:c r="J62">
        <x:v>46538</x:v>
      </x:c>
      <x:c r="K62">
        <x:v>46551</x:v>
      </x:c>
      <x:c r="L62" t="s">
        <x:v>142</x:v>
      </x:c>
      <x:c r="M62">
        <x:v>0</x:v>
      </x:c>
      <x:c r="P62">
        <x:v>10</x:v>
      </x:c>
    </x:row>
    <x:row r="63">
      <x:c r="A63" t="s">
        <x:v>399</x:v>
      </x:c>
      <x:c r="B63" t="s">
        <x:v>390</x:v>
      </x:c>
      <x:c r="C63" t="s">
        <x:v>400</x:v>
      </x:c>
      <x:c r="D63" t="s">
        <x:v>401</x:v>
      </x:c>
      <x:c r="E63" t="s">
        <x:v>393</x:v>
      </x:c>
      <x:c r="F63">
        <x:v>10</x:v>
      </x:c>
      <x:c r="G63">
        <x:v>50</x:v>
      </x:c>
      <x:c r="H63">
        <x:v>50</x:v>
      </x:c>
      <x:c r="I63">
        <x:v>1</x:v>
      </x:c>
      <x:c r="J63">
        <x:v>46545</x:v>
      </x:c>
      <x:c r="K63">
        <x:v>46551</x:v>
      </x:c>
      <x:c r="L63" t="s">
        <x:v>142</x:v>
      </x:c>
      <x:c r="M63">
        <x:v>0</x:v>
      </x:c>
      <x:c r="P63">
        <x:v>10</x:v>
      </x:c>
    </x:row>
    <x:row r="64">
      <x:c r="A64" t="s">
        <x:v>402</x:v>
      </x:c>
      <x:c r="B64" t="s">
        <x:v>390</x:v>
      </x:c>
      <x:c r="C64" t="s">
        <x:v>403</x:v>
      </x:c>
      <x:c r="D64" t="s">
        <x:v>404</x:v>
      </x:c>
      <x:c r="E64" t="s">
        <x:v>396</x:v>
      </x:c>
      <x:c r="F64">
        <x:v>8</x:v>
      </x:c>
      <x:c r="G64">
        <x:v>51</x:v>
      </x:c>
      <x:c r="H64">
        <x:v>51</x:v>
      </x:c>
      <x:c r="I64">
        <x:v>1</x:v>
      </x:c>
      <x:c r="J64">
        <x:v>46552</x:v>
      </x:c>
      <x:c r="K64">
        <x:v>46558</x:v>
      </x:c>
      <x:c r="L64" t="s">
        <x:v>142</x:v>
      </x:c>
      <x:c r="M64">
        <x:v>0</x:v>
      </x:c>
      <x:c r="P64">
        <x:v>8</x:v>
      </x:c>
    </x:row>
    <x:row r="65">
      <x:c r="A65" t="s">
        <x:v>405</x:v>
      </x:c>
      <x:c r="B65" t="s">
        <x:v>390</x:v>
      </x:c>
      <x:c r="C65" t="s">
        <x:v>406</x:v>
      </x:c>
      <x:c r="D65" t="s">
        <x:v>407</x:v>
      </x:c>
      <x:c r="E65" t="s">
        <x:v>399</x:v>
      </x:c>
      <x:c r="F65">
        <x:v>6</x:v>
      </x:c>
      <x:c r="G65">
        <x:v>51</x:v>
      </x:c>
      <x:c r="H65">
        <x:v>52</x:v>
      </x:c>
      <x:c r="I65">
        <x:v>2</x:v>
      </x:c>
      <x:c r="J65">
        <x:v>46552</x:v>
      </x:c>
      <x:c r="K65">
        <x:v>46565</x:v>
      </x:c>
      <x:c r="L65" t="s">
        <x:v>142</x:v>
      </x:c>
      <x:c r="M65">
        <x:v>0</x:v>
      </x:c>
      <x:c r="P65">
        <x:v>6</x:v>
      </x:c>
    </x:row>
    <x:row r="66">
      <x:c r="A66" t="s">
        <x:v>408</x:v>
      </x:c>
      <x:c r="B66" t="s">
        <x:v>390</x:v>
      </x:c>
      <x:c r="C66" t="s">
        <x:v>409</x:v>
      </x:c>
      <x:c r="D66" t="s">
        <x:v>410</x:v>
      </x:c>
      <x:c r="E66" t="s">
        <x:v>402</x:v>
      </x:c>
      <x:c r="F66">
        <x:v>4</x:v>
      </x:c>
      <x:c r="G66">
        <x:v>52</x:v>
      </x:c>
      <x:c r="H66">
        <x:v>52</x:v>
      </x:c>
      <x:c r="I66">
        <x:v>1</x:v>
      </x:c>
      <x:c r="J66">
        <x:v>46559</x:v>
      </x:c>
      <x:c r="K66">
        <x:v>46565</x:v>
      </x:c>
      <x:c r="L66" t="s">
        <x:v>142</x:v>
      </x:c>
      <x:c r="M66">
        <x:v>0</x:v>
      </x:c>
      <x:c r="P66">
        <x:v>4</x:v>
      </x:c>
    </x:row>
    <x:row r="69">
      <x:c r="A69" t="s">
        <x:v>411</x:v>
      </x:c>
    </x:row>
    <x:row r="70">
      <x:c r="A70" t="s">
        <x:v>48</x:v>
      </x:c>
      <x:c r="B70" t="s">
        <x:v>1</x:v>
      </x:c>
      <x:c r="C70" t="s">
        <x:v>412</x:v>
      </x:c>
      <x:c r="D70" t="s">
        <x:v>413</x:v>
      </x:c>
      <x:c r="E70" t="s">
        <x:v>5</x:v>
      </x:c>
      <x:c r="F70" t="s">
        <x:v>6</x:v>
      </x:c>
      <x:c r="G70" t="s">
        <x:v>7</x:v>
      </x:c>
      <x:c r="H70" t="s">
        <x:v>8</x:v>
      </x:c>
      <x:c r="I70" t="s">
        <x:v>414</x:v>
      </x:c>
      <x:c r="J70" t="s">
        <x:v>415</x:v>
      </x:c>
      <x:c r="K70" t="s">
        <x:v>416</x:v>
      </x:c>
      <x:c r="L70" t="s">
        <x:v>417</x:v>
      </x:c>
      <x:c r="M70" t="s">
        <x:v>418</x:v>
      </x:c>
      <x:c r="N70" t="s">
        <x:v>419</x:v>
      </x:c>
      <x:c r="O70" t="s">
        <x:v>420</x:v>
      </x:c>
      <x:c r="P70" t="s">
        <x:v>421</x:v>
      </x:c>
      <x:c r="Q70" t="s">
        <x:v>422</x:v>
      </x:c>
      <x:c r="R70" t="s">
        <x:v>423</x:v>
      </x:c>
      <x:c r="S70" t="s">
        <x:v>424</x:v>
      </x:c>
      <x:c r="T70" t="s">
        <x:v>425</x:v>
      </x:c>
    </x:row>
    <x:row r="71">
      <x:c r="A71" t="s">
        <x:v>17</x:v>
      </x:c>
      <x:c r="B71" t="s">
        <x:v>242</x:v>
      </x:c>
      <x:c r="C71">
        <x:v>40</x:v>
      </x:c>
      <x:c r="D71">
        <x:v>6.9444444444444448E-2</x:v>
      </x:c>
      <x:c r="E71">
        <x:v>46202</x:v>
      </x:c>
      <x:c r="F71">
        <x:v>46565</x:v>
      </x:c>
      <x:c r="G71" t="s">
        <x:v>426</x:v>
      </x:c>
      <x:c r="H71" t="s">
        <x:v>427</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267</x:v>
      </x:c>
      <x:c r="C72">
        <x:v>64</x:v>
      </x:c>
      <x:c r="D72">
        <x:v>0.1111111111111111</x:v>
      </x:c>
      <x:c r="E72">
        <x:v>46216</x:v>
      </x:c>
      <x:c r="F72">
        <x:v>46264</x:v>
      </x:c>
      <x:c r="G72" t="s">
        <x:v>428</x:v>
      </x:c>
      <x:c r="H72" t="s">
        <x:v>429</x:v>
      </x:c>
      <x:c r="I72" t="s">
        <x:v>21</x:v>
      </x:c>
      <x:c r="J72" t="s">
        <x:v>21</x:v>
      </x:c>
    </x:row>
    <x:row r="73">
      <x:c r="A73" t="s">
        <x:v>26</x:v>
      </x:c>
      <x:c r="B73" t="s">
        <x:v>284</x:v>
      </x:c>
      <x:c r="C73">
        <x:v>72</x:v>
      </x:c>
      <x:c r="D73">
        <x:v>0.125</x:v>
      </x:c>
      <x:c r="E73">
        <x:v>46265</x:v>
      </x:c>
      <x:c r="F73">
        <x:v>46313</x:v>
      </x:c>
      <x:c r="G73" t="s">
        <x:v>430</x:v>
      </x:c>
      <x:c r="H73" t="s">
        <x:v>431</x:v>
      </x:c>
      <x:c r="J73" t="s">
        <x:v>21</x:v>
      </x:c>
      <x:c r="K73" t="s">
        <x:v>21</x:v>
      </x:c>
      <x:c r="L73" t="s">
        <x:v>21</x:v>
      </x:c>
    </x:row>
    <x:row r="74">
      <x:c r="A74" t="s">
        <x:v>30</x:v>
      </x:c>
      <x:c r="B74" t="s">
        <x:v>308</x:v>
      </x:c>
      <x:c r="C74">
        <x:v>88</x:v>
      </x:c>
      <x:c r="D74">
        <x:v>0.15277777777777779</x:v>
      </x:c>
      <x:c r="E74">
        <x:v>46314</x:v>
      </x:c>
      <x:c r="F74">
        <x:v>46369</x:v>
      </x:c>
      <x:c r="G74" t="s">
        <x:v>432</x:v>
      </x:c>
      <x:c r="H74" t="s">
        <x:v>433</x:v>
      </x:c>
      <x:c r="L74" t="s">
        <x:v>21</x:v>
      </x:c>
      <x:c r="M74" t="s">
        <x:v>21</x:v>
      </x:c>
      <x:c r="N74" t="s">
        <x:v>21</x:v>
      </x:c>
    </x:row>
    <x:row r="75">
      <x:c r="A75" t="s">
        <x:v>34</x:v>
      </x:c>
      <x:c r="B75" t="s">
        <x:v>329</x:v>
      </x:c>
      <x:c r="C75">
        <x:v>96</x:v>
      </x:c>
      <x:c r="D75">
        <x:v>0.16666666666666666</x:v>
      </x:c>
      <x:c r="E75">
        <x:v>46370</x:v>
      </x:c>
      <x:c r="F75">
        <x:v>46425</x:v>
      </x:c>
      <x:c r="G75" t="s">
        <x:v>434</x:v>
      </x:c>
      <x:c r="H75" t="s">
        <x:v>435</x:v>
      </x:c>
      <x:c r="N75" t="s">
        <x:v>21</x:v>
      </x:c>
      <x:c r="O75" t="s">
        <x:v>21</x:v>
      </x:c>
      <x:c r="P75" t="s">
        <x:v>21</x:v>
      </x:c>
    </x:row>
    <x:row r="76">
      <x:c r="A76" t="s">
        <x:v>38</x:v>
      </x:c>
      <x:c r="B76" t="s">
        <x:v>348</x:v>
      </x:c>
      <x:c r="C76">
        <x:v>104</x:v>
      </x:c>
      <x:c r="D76">
        <x:v>0.18055555555555555</x:v>
      </x:c>
      <x:c r="E76">
        <x:v>46426</x:v>
      </x:c>
      <x:c r="F76">
        <x:v>46495</x:v>
      </x:c>
      <x:c r="G76" t="s">
        <x:v>436</x:v>
      </x:c>
      <x:c r="H76" t="s">
        <x:v>437</x:v>
      </x:c>
      <x:c r="P76" t="s">
        <x:v>21</x:v>
      </x:c>
      <x:c r="Q76" t="s">
        <x:v>21</x:v>
      </x:c>
      <x:c r="R76" t="s">
        <x:v>21</x:v>
      </x:c>
    </x:row>
    <x:row r="77">
      <x:c r="A77" t="s">
        <x:v>438</x:v>
      </x:c>
      <x:c r="B77" t="s">
        <x:v>371</x:v>
      </x:c>
      <x:c r="C77">
        <x:v>52</x:v>
      </x:c>
      <x:c r="D77">
        <x:v>9.0277777777777776E-2</x:v>
      </x:c>
      <x:c r="E77">
        <x:v>46496</x:v>
      </x:c>
      <x:c r="F77">
        <x:v>46530</x:v>
      </x:c>
      <x:c r="G77" t="s">
        <x:v>439</x:v>
      </x:c>
      <x:c r="H77" t="s">
        <x:v>440</x:v>
      </x:c>
      <x:c r="R77" t="s">
        <x:v>21</x:v>
      </x:c>
      <x:c r="S77" t="s">
        <x:v>21</x:v>
      </x:c>
    </x:row>
    <x:row r="78">
      <x:c r="A78" t="s">
        <x:v>441</x:v>
      </x:c>
      <x:c r="B78" t="s">
        <x:v>390</x:v>
      </x:c>
      <x:c r="C78">
        <x:v>60</x:v>
      </x:c>
      <x:c r="D78">
        <x:v>0.10416666666666667</x:v>
      </x:c>
      <x:c r="E78">
        <x:v>46531</x:v>
      </x:c>
      <x:c r="F78">
        <x:v>46565</x:v>
      </x:c>
      <x:c r="G78" t="s">
        <x:v>442</x:v>
      </x:c>
      <x:c r="H78" t="s">
        <x:v>443</x:v>
      </x:c>
      <x:c r="S78" t="s">
        <x:v>21</x:v>
      </x:c>
      <x:c r="T78" t="s">
        <x:v>21</x:v>
      </x:c>
    </x:row>
    <x:row r="79">
      <x:c r="A79" t="s">
        <x:v>444</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445</x:v>
      </x:c>
      <x:c r="B1" s="235"/>
      <x:c r="C1" s="235"/>
      <x:c r="D1" s="235"/>
      <x:c r="E1" s="235"/>
      <x:c r="F1" s="235"/>
      <x:c r="G1" s="235"/>
      <x:c r="H1" s="235"/>
      <x:c r="I1" s="235"/>
      <x:c r="J1" s="235"/>
      <x:c r="K1" s="235"/>
      <x:c r="L1" s="235"/>
      <x:c r="M1" s="235"/>
    </x:row>
    <x:row r="2">
      <x:c r="A2" s="236" t="s">
        <x:v>446</x:v>
      </x:c>
      <x:c r="B2" s="236"/>
      <x:c r="C2" s="236"/>
      <x:c r="D2" s="236"/>
      <x:c r="E2" s="236"/>
      <x:c r="F2" s="236"/>
      <x:c r="G2" s="236"/>
      <x:c r="H2" s="236"/>
      <x:c r="I2" s="236"/>
      <x:c r="J2" s="236"/>
      <x:c r="K2" s="236"/>
      <x:c r="L2" s="236"/>
      <x:c r="M2" s="236"/>
    </x:row>
    <x:row r="4" ht="30">
      <x:c r="A4" s="80" t="s">
        <x:v>447</x:v>
      </x:c>
      <x:c r="B4" s="80" t="s">
        <x:v>448</x:v>
      </x:c>
      <x:c r="C4" s="80" t="s">
        <x:v>5</x:v>
      </x:c>
      <x:c r="D4" s="80" t="s">
        <x:v>449</x:v>
      </x:c>
      <x:c r="E4" s="80" t="s">
        <x:v>450</x:v>
      </x:c>
      <x:c r="F4" s="80" t="s">
        <x:v>3</x:v>
      </x:c>
      <x:c r="G4" s="80" t="s">
        <x:v>451</x:v>
      </x:c>
      <x:c r="H4" s="80" t="s">
        <x:v>56</x:v>
      </x:c>
      <x:c r="I4" s="80" t="s">
        <x:v>452</x:v>
      </x:c>
      <x:c r="J4" s="80" t="s">
        <x:v>453</x:v>
      </x:c>
      <x:c r="K4" s="80" t="s">
        <x:v>454</x:v>
      </x:c>
      <x:c r="L4" s="80" t="s">
        <x:v>60</x:v>
      </x:c>
      <x:c r="M4" s="80" t="s">
        <x:v>455</x:v>
      </x:c>
    </x:row>
    <x:row r="5" ht="42.75">
      <x:c r="A5" s="83" t="s">
        <x:v>456</x:v>
      </x:c>
      <x:c r="B5" s="84">
        <x:v>46201</x:v>
      </x:c>
      <x:c r="C5" s="83"/>
      <x:c r="D5" s="83"/>
      <x:c r="E5" s="83" t="s">
        <x:v>62</x:v>
      </x:c>
      <x:c r="F5" s="85">
        <x:v>2.5</x:v>
      </x:c>
      <x:c r="G5" s="178" t="n">
        <x:f t="shared" ref="G5:G10" si="0">IF(B5="","",MAX(1,INT((B5-DATE(2026,6,29))/7)+1))</x:f>
        <x:v>1</x:v>
      </x:c>
      <x:c r="H5" s="83" t="s">
        <x:v>245</x:v>
      </x:c>
      <x:c r="I5" s="83" t="s">
        <x:v>457</x:v>
      </x:c>
      <x:c r="J5" s="83" t="s">
        <x:v>458</x:v>
      </x:c>
      <x:c r="K5" s="83" t="s">
        <x:v>459</x:v>
      </x:c>
      <x:c r="L5" s="83" t="s">
        <x:v>460</x:v>
      </x:c>
      <x:c r="M5" s="83" t="s">
        <x:v>461</x:v>
      </x:c>
    </x:row>
    <x:row r="6" ht="42.75">
      <x:c r="A6" s="83" t="s">
        <x:v>462</x:v>
      </x:c>
      <x:c r="B6" s="84">
        <x:v>46203</x:v>
      </x:c>
      <x:c r="C6" s="83"/>
      <x:c r="D6" s="83"/>
      <x:c r="E6" s="83" t="s">
        <x:v>68</x:v>
      </x:c>
      <x:c r="F6" s="85">
        <x:v>1.5</x:v>
      </x:c>
      <x:c r="G6" s="178">
        <x:f t="shared" si="0"/>
        <x:v>1</x:v>
      </x:c>
      <x:c r="H6" s="83" t="s">
        <x:v>245</x:v>
      </x:c>
      <x:c r="I6" s="83" t="s">
        <x:v>463</x:v>
      </x:c>
      <x:c r="J6" s="83" t="s">
        <x:v>464</x:v>
      </x:c>
      <x:c r="K6" s="83" t="s">
        <x:v>465</x:v>
      </x:c>
      <x:c r="L6" s="83" t="s">
        <x:v>466</x:v>
      </x:c>
      <x:c r="M6" s="83" t="s">
        <x:v>467</x:v>
      </x:c>
    </x:row>
    <x:row r="7" ht="42.75">
      <x:c r="A7" s="83" t="s">
        <x:v>468</x:v>
      </x:c>
      <x:c r="B7" s="84">
        <x:v>46207</x:v>
      </x:c>
      <x:c r="C7" s="83" t="s">
        <x:v>469</x:v>
      </x:c>
      <x:c r="D7" s="83" t="s">
        <x:v>470</x:v>
      </x:c>
      <x:c r="E7" s="83" t="s">
        <x:v>73</x:v>
      </x:c>
      <x:c r="F7" s="85">
        <x:v>0.62</x:v>
      </x:c>
      <x:c r="G7" s="178">
        <x:f t="shared" si="0"/>
        <x:v>1</x:v>
      </x:c>
      <x:c r="H7" s="83" t="s">
        <x:v>245</x:v>
      </x:c>
      <x:c r="I7" s="83" t="s">
        <x:v>471</x:v>
      </x:c>
      <x:c r="J7" s="83" t="s">
        <x:v>472</x:v>
      </x:c>
      <x:c r="K7" s="83" t="s">
        <x:v>473</x:v>
      </x:c>
      <x:c r="L7" s="83" t="s">
        <x:v>474</x:v>
      </x:c>
      <x:c r="M7" s="83" t="s">
        <x:v>475</x:v>
      </x:c>
    </x:row>
    <x:row r="8" ht="57">
      <x:c r="A8" s="83" t="s">
        <x:v>476</x:v>
      </x:c>
      <x:c r="B8" s="84">
        <x:v>46207</x:v>
      </x:c>
      <x:c r="C8" s="83" t="s">
        <x:v>470</x:v>
      </x:c>
      <x:c r="D8" s="83" t="s">
        <x:v>477</x:v>
      </x:c>
      <x:c r="E8" s="83" t="s">
        <x:v>73</x:v>
      </x:c>
      <x:c r="F8" s="85">
        <x:v>1.53</x:v>
      </x:c>
      <x:c r="G8" s="178">
        <x:f t="shared" si="0"/>
        <x:v>1</x:v>
      </x:c>
      <x:c r="H8" s="83" t="s">
        <x:v>245</x:v>
      </x:c>
      <x:c r="I8" s="83" t="s">
        <x:v>478</x:v>
      </x:c>
      <x:c r="J8" s="83" t="s">
        <x:v>479</x:v>
      </x:c>
      <x:c r="K8" s="83" t="s">
        <x:v>480</x:v>
      </x:c>
      <x:c r="L8" s="83" t="s">
        <x:v>481</x:v>
      </x:c>
      <x:c r="M8" s="83" t="s">
        <x:v>482</x:v>
      </x:c>
    </x:row>
    <x:row r="9" ht="42.75">
      <x:c r="A9" s="83" t="s">
        <x:v>483</x:v>
      </x:c>
      <x:c r="B9" s="84">
        <x:v>46207</x:v>
      </x:c>
      <x:c r="C9" s="83" t="s">
        <x:v>477</x:v>
      </x:c>
      <x:c r="D9" s="83" t="s">
        <x:v>484</x:v>
      </x:c>
      <x:c r="E9" s="83" t="s">
        <x:v>68</x:v>
      </x:c>
      <x:c r="F9" s="85">
        <x:v>1.33</x:v>
      </x:c>
      <x:c r="G9" s="178">
        <x:f t="shared" si="0"/>
        <x:v>1</x:v>
      </x:c>
      <x:c r="H9" s="83" t="s">
        <x:v>245</x:v>
      </x:c>
      <x:c r="I9" s="83" t="s">
        <x:v>485</x:v>
      </x:c>
      <x:c r="J9" s="83" t="s">
        <x:v>486</x:v>
      </x:c>
      <x:c r="K9" s="83" t="s">
        <x:v>487</x:v>
      </x:c>
      <x:c r="L9" s="83" t="s">
        <x:v>488</x:v>
      </x:c>
      <x:c r="M9" s="83" t="s">
        <x:v>489</x:v>
      </x:c>
    </x:row>
    <x:row r="10" ht="42.75">
      <x:c r="A10" s="83" t="s">
        <x:v>490</x:v>
      </x:c>
      <x:c r="B10" s="84">
        <x:v>46207</x:v>
      </x:c>
      <x:c r="C10" s="83" t="s">
        <x:v>484</x:v>
      </x:c>
      <x:c r="D10" s="83" t="s">
        <x:v>491</x:v>
      </x:c>
      <x:c r="E10" s="83" t="s">
        <x:v>68</x:v>
      </x:c>
      <x:c r="F10" s="85">
        <x:v>7.0000000000000007E-2</x:v>
      </x:c>
      <x:c r="G10" s="178">
        <x:f t="shared" si="0"/>
        <x:v>1</x:v>
      </x:c>
      <x:c r="H10" s="83" t="s">
        <x:v>245</x:v>
      </x:c>
      <x:c r="I10" s="83" t="s">
        <x:v>492</x:v>
      </x:c>
      <x:c r="J10" s="83" t="s">
        <x:v>493</x:v>
      </x:c>
      <x:c r="K10" s="83" t="s">
        <x:v>494</x:v>
      </x:c>
      <x:c r="L10" s="83" t="s">
        <x:v>495</x:v>
      </x:c>
      <x:c r="M10" s="83" t="s">
        <x:v>496</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ht="675" customHeight="1">
      <x:c r="A29" s="431" t="str">
        <x:v>WB-026</x:v>
      </x:c>
      <x:c r="B29" s="491" t="n">
        <x:v>46225</x:v>
      </x:c>
      <x:c r="C29" s="431"/>
      <x:c r="D29" s="431"/>
      <x:c r="E29" s="431" t="str">
        <x:v>G0.1</x:v>
      </x:c>
      <x:c r="F29" s="432"/>
      <x:c r="G29" s="433" t="n">
        <x:v>6</x:v>
      </x:c>
      <x:c r="H29" s="431" t="str">
        <x:v>Complete / Review</x:v>
      </x:c>
      <x:c r="I29" s="431" t="str">
        <x:v>Implement a highest-level internal AI management and quality-control system aligned at a public-guidance level with ISO/IEC 42001 and operationalized with NIST AI risk practices.</x:v>
      </x:c>
      <x:c r="J29" s="431" t="str">
        <x:v>Added binding policy, manual, impact and alignment assessments, 3-system inventory, 13-risk register, 20 controls, 8 gates, 6 objectives, audit, management review, JSON Schema, validator, 22 focused tests, and CI enforcement. Validator coverage is 84%; full protected-safe regression passed 335/1 at 88.33%; validation 5/5, Ruff, baseline 9/9, and demo 2/2 passed.</x:v>
      </x:c>
      <x:c r="K29" s="431" t="str">
        <x:v>D-115 adopted. The visibly third-party-licensed ISO PDF stayed outside Git and was not used as project evidence. Internal alignment is not conformity or certification. Normal governance validation passes while strict release-ready mode correctly fails on AIR-003, AIR-010, and NC-001. D-114 remains pending.</x:v>
      </x:c>
      <x:c r="L29" s="431" t="str">
        <x:v>Review and integrate G0.1; then accept or revise D-114 separately. Preserve the D-113 no-rerun boundary and release hold.</x:v>
      </x:c>
      <x:c r="M29" s="431" t="str">
        <x:v>codex/iso-42001-ai-quality-system; D-115; EV-165-EV-170; R-017; IMP-029-IMP-030</x:v>
      </x:c>
    </x:row>
    <x:row r="30">
      <x:c r="A30" s="83" t="str">
        <x:v>WB-027</x:v>
      </x:c>
      <x:c r="B30" s="84" t="n">
        <x:v>46225</x:v>
      </x:c>
      <x:c r="C30" s="83"/>
      <x:c r="D30" s="83"/>
      <x:c r="E30" s="83" t="str">
        <x:v>P4.2</x:v>
      </x:c>
      <x:c r="F30" s="85"/>
      <x:c r="G30" s="178" t="n">
        <x:v>6</x:v>
      </x:c>
      <x:c r="H30" s="83" t="str">
        <x:v>Complete / D-116 Review</x:v>
      </x:c>
      <x:c r="I30" s="83" t="str">
        <x:v>Accept D-114, reproduce and isolate the atomic publication failure with development-only evidence, implement the smallest correction, install a production-equivalent sentinel, and return a separate external-benchmark recovery definition.</x:v>
      </x:c>
      <x:c r="J30" s="83" t="str">
        <x:v>Merged PR #67 at exact main 540a1f6; reproduced pre-fix child exit 70; identified write_package_result FileNotFoundError/errno 2 at a 263-character legacy staged path; added short internal publication names, exact diagnostics, fallback marker, sentinel script, CI gate, review/evidence records, and proposed D-116. PR #68 implementation 1c5216e passes both hosted checks; Linux sentinel publishes four outputs at an adapted 223-character root and full regression passes 341 at 88.50%. Local proof: 53 focused, full 340/1 at 88.48%, validation 5/5, Ruff, development benchmark 22/22, baseline 9/9, demo 2/2.</x:v>
      </x:c>
      <x:c r="K30" s="83" t="str">
        <x:v>D-114 accepted and implemented. NC-001 is closed and AIR-010 controlled without clearing AIR-003. Controlled reproduction used development inputs only. A final broad search traversed tracked release-ineligible historical held-out folders; no external D-113 or future D-116 family was accessed, semantic execution count remains zero, and IMP-032 now mandates exclusions. D-116 remains pending.</x:v>
      </x:c>
      <x:c r="L30" s="83" t="str">
        <x:v>Review and merge PR #68. Accept or revise D-116 before any new external family preparation; require a separate freeze decision before semantic execution.</x:v>
      </x:c>
      <x:c r="M30" s="83" t="str">
        <x:v>codex/p4.2-publication-stabilization; PR #68; implementation 1c5216e; D-114; proposed D-116; EV-171-EV-178; I-009; R-018; IMP-028; IMP-030-IMP-032</x:v>
      </x:c>
    </x:row>
    <x:row r="31" ht="190" customHeight="1">
      <x:c r="A31" s="431" t="str">
        <x:v>WB-028</x:v>
      </x:c>
      <x:c r="B31" s="491" t="n">
        <x:v>46226</x:v>
      </x:c>
      <x:c r="C31" s="431"/>
      <x:c r="D31" s="431"/>
      <x:c r="E31" s="431" t="str">
        <x:v>P4.2</x:v>
      </x:c>
      <x:c r="F31" s="432"/>
      <x:c r="G31" s="433" t="n">
        <x:v>6</x:v>
      </x:c>
      <x:c r="H31" s="431" t="str">
        <x:v>Complete / D-117 Review</x:v>
      </x:c>
      <x:c r="I31" s="431" t="str">
        <x:v>Accept D-116, integrate D-114, prepare one materially distinct external family and oracle-blind runner under separated custody, prove the final physical publication path, and return an exact zero-run D-117 gate.</x:v>
      </x:c>
      <x:c r="J31" s="431" t="str">
        <x:v>Merged PR #68 at exact main 3a6766f; authored eight opaque carton-indexing conveyor scenarios outside Git; verified rights, manifests, authority/oracle contract, and zero leakage; preserved three rejected runner revisions; froze short-root runner R4 with exact evaluator, local dependency environment, bytecode and path controls; passed 8/8 mandatory and 51/51 detailed controls plus one four-output development sentinel. Local governance 22/22; full 340/1 at 88.33%; validation 5/5; Ruff; repository sentinel; development benchmark 22/22; baseline 9/9; demo 2/2. PR #69 hosted workflows 2/2; Linux sentinel 4 outputs at runs path 223; full 341 at 88.50%.</x:v>
      </x:c>
      <x:c r="K31" s="431" t="str">
        <x:v>D-116 is complete, but no benchmark-performance evidence exists yet. Opaque semantic executions, held-out publications, and protected comparisons remain zero; D-117 authorization is absent. Failed runners and failed sentinel evidence remain immutable. This is internal AI-assisted review, not external independent assurance.</x:v>
      </x:c>
      <x:c r="L31" s="431" t="str">
        <x:v>Review the D-116 freeze and proposed D-117. Do not create authorization or run the exact command until the owner explicitly accepts D-117.</x:v>
      </x:c>
      <x:c r="M31" s="431" t="str">
        <x:v>codex/p4.2-external-benchmark-recovery-preparation; PR #68 main 3a6766f; D-116; proposed D-117; EV-179-EV-184; I-010; IMP-033-IMP-035; AIR-003</x:v>
      </x:c>
    </x:row>
    <x:row r="32" ht="205" customHeight="1">
      <x:c r="A32" s="431" t="str">
        <x:v>WB-029</x:v>
      </x:c>
      <x:c r="B32" s="491" t="n">
        <x:v>46226</x:v>
      </x:c>
      <x:c r="C32" s="431"/>
      <x:c r="D32" s="431"/>
      <x:c r="E32" s="431" t="str">
        <x:v>P4.2</x:v>
      </x:c>
      <x:c r="F32" s="432"/>
      <x:c r="G32" s="433"/>
      <x:c r="H32" s="431" t="str">
        <x:v>Complete / D-118 Review</x:v>
      </x:c>
      <x:c r="I32" s="431" t="str">
        <x:v>Execute D-117 exactly once, freeze and verify raw evidence without oracle access, perform one separate protected comparison, classify the result honestly, and return the next bounded owner gate.</x:v>
      </x:c>
      <x:c r="J32" s="431" t="str">
        <x:v>Merged PR #69 at exact main 04d919f; created exact authorization; invoked runner once; completed 8/8 attempts and publications; froze 73 read-only files at f9bc8135...cb5c; passed raw verifier 14/14 after preserving two failed verifier revisions; completed protected comparison; identified shared authority-map defect; opened NC-002 and AIR-011; authored D-118 and AIMS-AUD-002. Local governance 22/22; full 340/1 at 88.33%; validation 5/5; Ruff; sentinel 4; development benchmark 22/22; baseline 9/9; demo 2/2.</x:v>
      </x:c>
      <x:c r="K32" s="431" t="str">
        <x:v>D-117 cannot support intended relationship-performance claims: exact findings 0/8, expected finding true positives 0/7, unexpected findings 8, clean false positives 1/1, and target checks executed 0/7. A preserved long-temp-root regression failure produced IMP-039; the unchanged suite passed under short runs/t117f.</x:v>
      </x:c>
      <x:c r="L32" s="431" t="str">
        <x:v>Review proposed D-118. Do not repair, rerun, reuse, create a new external family, execute another semantic benchmark, tune the evaluator, begin P4.3, or make release/performance claims.</x:v>
      </x:c>
      <x:c r="M32" s="431" t="str">
        <x:v>codex/p4.2-external-benchmark-first-run; PR #69 main 04d919f; D-117; proposed D-118; EV-185-EV-190; I-011; NC-002; AIR-003; AIR-011; IMP-036-IMP-039</x:v>
      </x:c>
    </x:row>
    <x:row r="33" ht="215" customHeight="1">
      <x:c r="A33" s="431" t="str">
        <x:v>WB-030</x:v>
      </x:c>
      <x:c r="B33" s="429" t="n">
        <x:v>46226</x:v>
      </x:c>
      <x:c r="C33" s="431"/>
      <x:c r="D33" s="431"/>
      <x:c r="E33" s="431" t="str">
        <x:v>P4.2</x:v>
      </x:c>
      <x:c r="F33" s="432"/>
      <x:c r="G33" s="433"/>
      <x:c r="H33" s="431" t="str">
        <x:v>Complete / D-119 Review</x:v>
      </x:c>
      <x:c r="I33" s="431" t="str">
        <x:v>Accept D-118 and implement bounded benchmark-authoring correction: producer-visible package-contract validation, separated custodian target-reachability verification, development-only operating proof, governance alignment, and the next owner gate.</x:v>
      </x:c>
      <x:c r="J33" s="431" t="str">
        <x:v>Merged PR #70 at exact main 2246d1a; added VAL-PKG-AUTHORING-001 and VER-PKG-TARGET-REACHABILITY-001 plus two CLI commands, 14 authoring-control tests, and six-control development proof. The exact D-117 scope defect is rejected; clean and intended relationship-fault packages pass the public contract; protected target reachability and nonce-hardened public redaction pass; an unintended authority blocker is rejected. Local focused authoring plus governance 36/36; protected-safe full 354/1 at 88.02%; validation 5/5; Ruff; sentinel 4; development benchmark 22/22; baseline 9/9; demo 2/2.</x:v>
      </x:c>
      <x:c r="K33" s="431" t="str">
        <x:v>D-118 changes authoring assurance, not evaluator semantics. NC-002 remains contained pending external effectiveness. A repeated search-boundary incident created I-012/IMP-040 and reopened AIR-008; no protected value was used. New-family preparation and official execution remain separately gated.</x:v>
      </x:c>
      <x:c r="L33" s="431" t="str">
        <x:v>Review proposed D-119. Do not create a new external family, perform official semantic execution, tune the evaluator, publish protected values, begin P4.3, or make release/performance claims before the appropriate gate.</x:v>
      </x:c>
      <x:c r="M33" s="431" t="str">
        <x:v>codex/p4.2-benchmark-authoring-corrective-action; PR #70 main 2246d1a; D-118; proposed D-119; EV-191-EV-196; I-012; NC-002; AIR-003; AIR-008; AIR-011; IMP-037; IMP-040; runs/d118-proof-b; runs/t118m; runs/s118a; runs/b118a; runs/v118a; runs/d118a</x:v>
      </x:c>
    </x:row>
    <x:row r="34" ht="245" customHeight="1">
      <x:c r="A34" s="431" t="str">
        <x:v>WB-031</x:v>
      </x:c>
      <x:c r="B34" s="491" t="n">
        <x:v>46227</x:v>
      </x:c>
      <x:c r="C34" s="431"/>
      <x:c r="D34" s="431"/>
      <x:c r="E34" s="431" t="str">
        <x:v>P4.2</x:v>
      </x:c>
      <x:c r="F34" s="432"/>
      <x:c r="G34" s="433" t="n">
        <x:v>6</x:v>
      </x:c>
      <x:c r="H34" s="431" t="str">
        <x:v>Complete / D-120 Review</x:v>
      </x:c>
      <x:c r="I34" s="431" t="str">
        <x:v>Accept D-119, merge PR #71, prepare one genuinely new isolated family, prove the D-118 controls, obtain a fresh static review, and return the next owner gate.</x:v>
      </x:c>
      <x:c r="J34" s="431" t="str">
        <x:v>Merged PR #71 at exact main 17830bd. An isolated producer authored eight synthetic scenarios outside Git, passed 8/8 public validations and 7/7 protected targets, preserved three rejected revisions, and froze 317 class files plus five inventories. A fresh reviewer replayed 8/8 validations and reproduced every hash, redaction, read-only attribute, and pre/post identity. Official invocations remained zero. Local protected-safe full regression passed 354/1 at 88.02%; validation 5/5, Ruff, sentinel 4, development benchmark 22/22, baseline 9/9, and demo 2/2 passed. Final authoring-plus-governance gate passed 36/36 at runs/t119d, and the protected-safe full suite was rerun successfully at runs/t119e: 354 passed, one expected skip, 88.02% coverage. Both hosted Linux validation jobs pass on PR #72.</x:v>
      </x:c>
      <x:c r="K34" s="431" t="str">
        <x:v>D-119 proves authoring-control effectiveness only. No protected scenario data entered Git or the implementation context. NC-002 remains contained; AIR-003, AIR-008, AIR-011, NC-002, and D-120 hold release. The first focused replay failed before test bodies because the default pytest temp root was inaccessible; the unchanged tests passed 14/14 under the controlled short runs root. The first combined final gate then exposed three stale test assertions still expecting pending D-119 after the control plane advanced to D-120; only those expectations were corrected, and the unchanged gate passed 36/36.</x:v>
      </x:c>
      <x:c r="L34" s="431" t="str">
        <x:v>Review and merge PR #72, then accept or revise proposed D-120. Do not perform an official batch, protected comparison, tuning, P4.3, release, or performance claim before owner acceptance.</x:v>
      </x:c>
      <x:c r="M34" s="431" t="str">
        <x:v>codex/p4.2-new-external-family-preparation; PR #71 main 17830bd; D-119; proposed D-120; EV-197-EV-200; public evidence and review docs; producer handoff 6a89ba93...23e2; reviewer handoff 37f2e735...916c; runs/t119a; runs/t119b; runs/s119a; runs/b119a; runs/v119a; runs/d119a; runs/t119c; runs/t119d; runs/t119e; PR #72 hosted 2/2</x:v>
      </x:c>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497</x:v>
      </x:c>
      <x:c r="B1" s="235"/>
      <x:c r="C1" s="235"/>
      <x:c r="D1" s="235"/>
      <x:c r="E1" s="235"/>
      <x:c r="F1" s="235"/>
      <x:c r="G1" s="235"/>
      <x:c r="H1" s="235"/>
    </x:row>
    <x:row r="3" ht="15">
      <x:c r="A3" s="80" t="s">
        <x:v>498</x:v>
      </x:c>
      <x:c r="B3" s="80" t="s">
        <x:v>448</x:v>
      </x:c>
      <x:c r="C3" s="80" t="s">
        <x:v>499</x:v>
      </x:c>
      <x:c r="D3" s="80" t="s">
        <x:v>500</x:v>
      </x:c>
      <x:c r="E3" s="80" t="s">
        <x:v>56</x:v>
      </x:c>
      <x:c r="F3" s="80" t="s">
        <x:v>501</x:v>
      </x:c>
      <x:c r="G3" s="80" t="s">
        <x:v>502</x:v>
      </x:c>
      <x:c r="H3" s="80" t="s">
        <x:v>503</x:v>
      </x:c>
    </x:row>
    <x:row r="4" ht="28.5">
      <x:c r="A4" s="78" t="s">
        <x:v>504</x:v>
      </x:c>
      <x:c r="B4" s="81">
        <x:v>46200</x:v>
      </x:c>
      <x:c r="C4" s="78" t="s">
        <x:v>505</x:v>
      </x:c>
      <x:c r="D4" s="78" t="s">
        <x:v>506</x:v>
      </x:c>
      <x:c r="E4" s="78" t="s">
        <x:v>507</x:v>
      </x:c>
      <x:c r="F4" s="78" t="s">
        <x:v>508</x:v>
      </x:c>
      <x:c r="G4" s="78" t="s">
        <x:v>509</x:v>
      </x:c>
      <x:c r="H4" s="78" t="s">
        <x:v>510</x:v>
      </x:c>
    </x:row>
    <x:row r="5" ht="28.5">
      <x:c r="A5" s="78" t="s">
        <x:v>511</x:v>
      </x:c>
      <x:c r="B5" s="81">
        <x:v>46200</x:v>
      </x:c>
      <x:c r="C5" s="78" t="s">
        <x:v>512</x:v>
      </x:c>
      <x:c r="D5" s="78" t="s">
        <x:v>513</x:v>
      </x:c>
      <x:c r="E5" s="78" t="s">
        <x:v>507</x:v>
      </x:c>
      <x:c r="F5" s="78" t="s">
        <x:v>508</x:v>
      </x:c>
      <x:c r="G5" s="78" t="s">
        <x:v>207</x:v>
      </x:c>
      <x:c r="H5" s="78" t="s">
        <x:v>514</x:v>
      </x:c>
    </x:row>
    <x:row r="6" ht="28.5">
      <x:c r="A6" s="78" t="s">
        <x:v>515</x:v>
      </x:c>
      <x:c r="B6" s="81">
        <x:v>46207</x:v>
      </x:c>
      <x:c r="C6" s="78" t="s">
        <x:v>516</x:v>
      </x:c>
      <x:c r="D6" s="78" t="s">
        <x:v>517</x:v>
      </x:c>
      <x:c r="E6" s="78" t="s">
        <x:v>507</x:v>
      </x:c>
      <x:c r="F6" s="78" t="s">
        <x:v>68</x:v>
      </x:c>
      <x:c r="G6" s="78" t="s">
        <x:v>518</x:v>
      </x:c>
      <x:c r="H6" s="78" t="s">
        <x:v>519</x:v>
      </x:c>
    </x:row>
    <x:row r="7" ht="28.5">
      <x:c r="A7" s="78" t="s">
        <x:v>520</x:v>
      </x:c>
      <x:c r="B7" s="81">
        <x:v>46207</x:v>
      </x:c>
      <x:c r="C7" s="78" t="s">
        <x:v>521</x:v>
      </x:c>
      <x:c r="D7" s="78" t="s">
        <x:v>522</x:v>
      </x:c>
      <x:c r="E7" s="78" t="s">
        <x:v>507</x:v>
      </x:c>
      <x:c r="F7" s="78" t="s">
        <x:v>523</x:v>
      </x:c>
      <x:c r="G7" s="78" t="s">
        <x:v>524</x:v>
      </x:c>
      <x:c r="H7" s="78" t="s">
        <x:v>525</x:v>
      </x:c>
    </x:row>
    <x:row r="8" ht="28.5">
      <x:c r="A8" s="78" t="s">
        <x:v>526</x:v>
      </x:c>
      <x:c r="B8" s="81">
        <x:v>46207</x:v>
      </x:c>
      <x:c r="C8" s="78" t="s">
        <x:v>161</x:v>
      </x:c>
      <x:c r="D8" s="78" t="s">
        <x:v>527</x:v>
      </x:c>
      <x:c r="E8" s="78" t="s">
        <x:v>507</x:v>
      </x:c>
      <x:c r="F8" s="78" t="s">
        <x:v>528</x:v>
      </x:c>
      <x:c r="G8" s="78" t="s">
        <x:v>529</x:v>
      </x:c>
      <x:c r="H8" s="78" t="s">
        <x:v>530</x:v>
      </x:c>
    </x:row>
    <x:row r="9" ht="28.5">
      <x:c r="A9" s="78" t="s">
        <x:v>531</x:v>
      </x:c>
      <x:c r="B9" s="81">
        <x:v>46207</x:v>
      </x:c>
      <x:c r="C9" s="78" t="s">
        <x:v>532</x:v>
      </x:c>
      <x:c r="D9" s="78" t="s">
        <x:v>533</x:v>
      </x:c>
      <x:c r="E9" s="78" t="s">
        <x:v>507</x:v>
      </x:c>
      <x:c r="F9" s="78" t="s">
        <x:v>534</x:v>
      </x:c>
      <x:c r="G9" s="78" t="s">
        <x:v>535</x:v>
      </x:c>
      <x:c r="H9" s="78" t="s">
        <x:v>536</x:v>
      </x:c>
    </x:row>
    <x:row r="10" ht="28.5">
      <x:c r="A10" s="78" t="s">
        <x:v>537</x:v>
      </x:c>
      <x:c r="B10" s="81">
        <x:v>46207</x:v>
      </x:c>
      <x:c r="C10" s="78" t="s">
        <x:v>538</x:v>
      </x:c>
      <x:c r="D10" s="78" t="s">
        <x:v>539</x:v>
      </x:c>
      <x:c r="E10" s="78" t="s">
        <x:v>507</x:v>
      </x:c>
      <x:c r="F10" s="78" t="s">
        <x:v>540</x:v>
      </x:c>
      <x:c r="G10" s="78" t="s">
        <x:v>541</x:v>
      </x:c>
      <x:c r="H10" s="78" t="s">
        <x:v>542</x:v>
      </x:c>
    </x:row>
    <x:row r="11" ht="28.5">
      <x:c r="A11" s="78" t="s">
        <x:v>543</x:v>
      </x:c>
      <x:c r="B11" s="81">
        <x:v>46207</x:v>
      </x:c>
      <x:c r="C11" s="78" t="s">
        <x:v>544</x:v>
      </x:c>
      <x:c r="D11" s="78" t="s">
        <x:v>545</x:v>
      </x:c>
      <x:c r="E11" s="78" t="s">
        <x:v>507</x:v>
      </x:c>
      <x:c r="F11" s="78" t="s">
        <x:v>546</x:v>
      </x:c>
      <x:c r="G11" s="78" t="s">
        <x:v>202</x:v>
      </x:c>
      <x:c r="H11" s="78" t="s">
        <x:v>547</x:v>
      </x:c>
    </x:row>
    <x:row r="12" ht="62.099998474121094" customHeight="1">
      <x:c r="A12" s="182" t="s">
        <x:v>548</x:v>
      </x:c>
      <x:c r="B12" s="196">
        <x:v>46208</x:v>
      </x:c>
      <x:c r="C12" s="183" t="s">
        <x:v>549</x:v>
      </x:c>
      <x:c r="D12" s="183" t="s">
        <x:v>550</x:v>
      </x:c>
      <x:c r="E12" s="183" t="s">
        <x:v>507</x:v>
      </x:c>
      <x:c r="F12" s="183" t="s">
        <x:v>551</x:v>
      </x:c>
      <x:c r="G12" s="183" t="s">
        <x:v>552</x:v>
      </x:c>
      <x:c r="H12" s="184" t="s">
        <x:v>553</x:v>
      </x:c>
    </x:row>
    <x:row r="13" ht="62.099998474121094" customHeight="1">
      <x:c r="A13" s="187" t="s">
        <x:v>554</x:v>
      </x:c>
      <x:c r="B13" s="197">
        <x:v>46208</x:v>
      </x:c>
      <x:c r="C13" s="188" t="s">
        <x:v>555</x:v>
      </x:c>
      <x:c r="D13" s="188" t="s">
        <x:v>556</x:v>
      </x:c>
      <x:c r="E13" s="188" t="s">
        <x:v>507</x:v>
      </x:c>
      <x:c r="F13" s="188" t="s">
        <x:v>557</x:v>
      </x:c>
      <x:c r="G13" s="188" t="s">
        <x:v>558</x:v>
      </x:c>
      <x:c r="H13" s="189" t="s">
        <x:v>559</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Accepted</x:v>
      </x:c>
      <x:c r="F113" s="431" t="str">
        <x:v>P4.2 held-out recovery and replacement freeze gate</x:v>
      </x:c>
      <x:c r="G113" s="431" t="str">
        <x:v>User instruction 2026-07-21; docs/package_assurance/p4_2_held_out_contamination_and_replacement_gate_v0.3.0.md; PR #62; PR #61 exact main 5a4d57e; I-006; EV-143-EV-145; IMP-023</x:v>
      </x:c>
      <x:c r="H113" s="431" t="str">
        <x:v>A separate owner decision is required after the replacement freeze package is reviewed and before any semantic execution. Any protected-value exposure, evaluator change, or pre-freeze run invalidates the replacement claim.</x:v>
      </x:c>
    </x:row>
    <x:row r="114" ht="720" customHeight="1">
      <x:c r="A114" s="431" t="str">
        <x:v>D-111</x:v>
      </x:c>
      <x:c r="B114" s="431" t="n">
        <x:v>46224</x:v>
      </x:c>
      <x:c r="C114" s="431" t="str">
        <x:v>Accept frozen replacement FAM-HO-CONVEYOR-DRIVE-042 and authorize exactly one controlled first semantic run of each opaque scenario against frozen evaluator behavior 4cf9fe8, with immutable raw evidence preserved before protected comparison.</x:v>
      </x:c>
      <x:c r="D114" s="431" t="str">
        <x:v>The replacement was authored from approved public inputs, passed 326 custodian checks and 14/14 independent controls, imported byte-exact at 210/210 files, and has zero semantic executions. One-way execution now provides the first valid unseen relationship evidence without creating tuning or rerun authority.</x:v>
      </x:c>
      <x:c r="E114" s="431" t="str">
        <x:v>Accepted</x:v>
      </x:c>
      <x:c r="F114" s="431" t="str">
        <x:v>P4.2 replacement freeze and first-run gate</x:v>
      </x:c>
      <x:c r="G114" s="431" t="str">
        <x:v>docs/package_assurance/p4_2_replacement_freeze_review_v0.3.0.md; p4_2_replacement_independent_verification_v0.3.0.json; p4_2_replacement_import_verification_v0.3.0.json; D-110; EV-146-EV-148; I-006; IMP-023-IMP-024</x:v>
      </x:c>
      <x:c r="H114" s="431" t="str">
        <x:v>Accepted by the project owner on 2026-07-21 and integrated through PR #63 at exact main 4d2c0f5. Git metadata exposure occurred during integration before any scenario invocation. D-111 execution authority stopped unused; proposed D-112 controls recovery.</x:v>
      </x:c>
    </x:row>
    <x:row r="115" ht="765" customHeight="1">
      <x:c r="A115" s="431" t="str">
        <x:v>D-112</x:v>
      </x:c>
      <x:c r="B115" s="431" t="n">
        <x:v>46224</x:v>
      </x:c>
      <x:c r="C115" s="431" t="str">
        <x:v>Classify FAM-HO-CONVEYOR-DRIVE-042 as contaminated for release held-out claims after pre-run Git metadata exposure; preserve it unchanged and unexecuted; and authorize one materially distinct replacement that remains outside the ordinary repository until raw first-run evidence is frozen.</x:v>
      </x:c>
      <x:c r="D115" s="431" t="str">
        <x:v>Repository import created path, diff, checkout, tooling, and CI metadata channels before execution. External custody through authoring, oracle-blind execution, evidence freeze, and separate comparison removes the repository itself from the pre-run boundary and protects a credible unseen benchmark claim.</x:v>
      </x:c>
      <x:c r="E115" s="431" t="str">
        <x:v>Accepted</x:v>
      </x:c>
      <x:c r="F115" s="431" t="str">
        <x:v>P4.2 second contamination and external-custody gate</x:v>
      </x:c>
      <x:c r="G115" s="431" t="str">
        <x:v>User D-112 acceptance 2026-07-22; PR #64; PR #63 exact main 4d2c0f5; docs/package_assurance/p4_2_second_contamination_and_external_custody_gate_v0.3.0.md; D-110-D-111; EV-149-EV-152; I-006-I-007; IMP-023-IMP-025</x:v>
      </x:c>
      <x:c r="H115" s="431" t="str">
        <x:v>Accepted by the project owner on 2026-07-22. PR #64 integration and exact-main verification are prerequisites. Acceptance authorizes external authoring, independent structural/hash verification, oracle-blind staging, and a new freeze review only; it does not authorize semantic execution or repository family import.</x:v>
      </x:c>
    </x:row>
    <x:row r="116" ht="945" customHeight="1">
      <x:c r="A116" s="431" t="str">
        <x:v>D-113</x:v>
      </x:c>
      <x:c r="B116" s="431" t="n">
        <x:v>46225</x:v>
      </x:c>
      <x:c r="C116" s="431" t="str">
        <x:v>Accept external family revision FR-D112-HOIST-002 and runner revision D-112-runner-revision-6; authorize exactly one semantic invocation for each of the eight opaque packages against frozen evaluator behavior 4cf9fe8; then freeze all raw evidence and perform one separate protected comparison.</x:v>
      </x:c>
      <x:c r="D116" s="431" t="str">
        <x:v>Family revision 2 passed 68/68 independent controls and runner revision 6 passed 53/53 independent static controls with zero semantic runs. The decision converts a verified pre-execution freeze into one controlled first run without weakening the no-retry, no-tuning, external-custody, or separate-comparison boundaries.</x:v>
      </x:c>
      <x:c r="E116" s="431" t="str">
        <x:v>Accepted / Integration Pending</x:v>
      </x:c>
      <x:c r="F116" s="431" t="str">
        <x:v>P4.2 external-custody first-run freeze</x:v>
      </x:c>
      <x:c r="G116" s="431" t="str">
        <x:v>docs/package_assurance/p4_2_external_custody_freeze_review_v0.3.0.md; docs/package_assurance/p4_2_external_custody_freeze_evidence_v0.3.0.json; PR #64 exact main 0264db7; D-112; EV-153-EV-159; I-007-I-008; IMP-023-IMP-027</x:v>
      </x:c>
      <x:c r="H116" s="431" t="str">
        <x:v>Accepted by the project owner on 2026-07-22 and integrated through PR #65 at exact main 6a74c74. Preflight passed, then one runner invocation consumed all eight scenarios with exit 70 and zero complete output sets. Raw evidence and protected comparison are frozen; D-113 is fully consumed and authorizes no retry. D-114 controls the response.</x:v>
      </x:c>
    </x:row>
    <x:row r="117" ht="945" customHeight="1">
      <x:c r="A117" s="431" t="str">
        <x:v>D-114</x:v>
      </x:c>
      <x:c r="B117" s="431" t="n">
        <x:v>46225</x:v>
      </x:c>
      <x:c r="C117" s="431" t="str">
        <x:v>Accept the D-113 evidence as a valid immutable failed-run record; classify the benchmark as not evaluable and release-held; prohibit rerun or reuse of the consumed family; and authorize a bounded development-only stabilization block for the atomic publication failure.</x:v>
      </x:c>
      <x:c r="D117" s="431" t="str">
        <x:v>All eight one-shot attempts were correctly consumed but produced no semantic output. Development-only reproduction identified the exact publication-stage cause and permitted a minimal correction without weakening the no-rerun or semantic boundaries.</x:v>
      </x:c>
      <x:c r="E117" s="431" t="str">
        <x:v>Accepted / Implemented</x:v>
      </x:c>
      <x:c r="F117" s="431" t="str">
        <x:v>P4.2 failed-run acceptance and publication stabilization gate</x:v>
      </x:c>
      <x:c r="G117" s="431" t="str">
        <x:v>Owner instruction 2026-07-22; docs/package_assurance/p4_2_external_first_run_result_review_v0.3.0.md; docs/package_assurance/p4_2_publication_stabilization_review_v0.3.0.md; docs/package_assurance/p4_2_publication_stabilization_evidence_v0.3.0.json; PR #68; EV-171-EV-178; I-009; IMP-028; IMP-031-IMP-032</x:v>
      </x:c>
      <x:c r="H117" s="431" t="str">
        <x:v>Accepted by the project owner on 2026-07-22. The development-only block reproduced FileNotFoundError/errno 2 at write_package_result, corrected only internal publication naming, added exact diagnostics and fallback evidence, and installed the four-output sentinel. It authorizes no held-out rerun/reuse, new family, semantic change, P4.3, public rerun, import, or release claim.</x:v>
      </x:c>
    </x:row>
    <x:row r="118" ht="945" customHeight="1">
      <x:c r="A118" s="431" t="str">
        <x:v>D-115</x:v>
      </x:c>
      <x:c r="B118" s="431" t="n">
        <x:v>46225</x:v>
      </x:c>
      <x:c r="C118" s="431" t="str">
        <x:v>Adopt an internal ISO/IEC 42001-aligned and NIST-informed AI management system as the project's highest-level quality and safety governance below applicable obligations. Implement binding policy, system inventory, impact and risk assessment, controls, lifecycle gates, objectives, audit, management review, machine validation, and CI enforcement.</x:v>
      </x:c>
      <x:c r="D118" s="431" t="str">
        <x:v>AI-assisted work already affects planning, code, tests, evidence, and project decisions, while technical tests alone cannot prove safe governance. A single machine-checked control plane makes ownership, risk treatment, evidence, nonconformity, and release status explicit and preserves qualified human authority. The supplied standard copy is not authorized project evidence, so formal conformity is excluded.</x:v>
      </x:c>
      <x:c r="E118" s="431" t="str">
        <x:v>Accepted / Integrated</x:v>
      </x:c>
      <x:c r="F118" s="431" t="str">
        <x:v>G0.1 AI management and quality-control gate</x:v>
      </x:c>
      <x:c r="G118" s="431" t="str">
        <x:v>docs/governance/ai_management_system_policy_v0.3.0.md; governance/ai_management_system.json; docs/governance/ai_quality_control_manual_v0.3.0.md; docs/governance/ai_impact_assessment_v0.3.0.md; docs/governance/iso_iec_42001_alignment_and_gap_assessment_v0.3.0.md; AIMS-AUD-001; AIMS-MR-001; PR #67 exact main 540a1f6; EV-165-EV-171; R-018; IMP-029-IMP-030</x:v>
      </x:c>
      <x:c r="H118" s="431" t="str">
        <x:v>Accepted through the project owner's 2026-07-22 directive and integrated through PR #67 at exact main 540a1f6. This is internal governance only and makes no conformity, certification, legal-compliance, guaranteed-safety, or independent-assurance claim. D-114 was accepted separately afterward.</x:v>
      </x:c>
    </x:row>
    <x:row r="119" ht="180" customHeight="1">
      <x:c r="A119" s="431" t="str">
        <x:v>D-116</x:v>
      </x:c>
      <x:c r="B119" s="431" t="n">
        <x:v>46225</x:v>
      </x:c>
      <x:c r="C119" s="431" t="str">
        <x:v>Accept the D-114 publication correction and authorize preparation of one new, materially distinct external held-out family and one oracle-blind runner under independent custody. Require a separate owner freeze decision before semantic execution.</x:v>
      </x:c>
      <x:c r="D119" s="431" t="str">
        <x:v>The publication defect is corrected, but D-113 produced no semantic evidence and its family is consumed. A fresh zero-run family and runner with the passing in-bundle sentinel are required before one controlled external execution can be considered.</x:v>
      </x:c>
      <x:c r="E119" s="431" t="str">
        <x:v>Accepted / Implemented</x:v>
      </x:c>
      <x:c r="F119" s="431" t="str">
        <x:v>P4.2 external benchmark recovery preparation gate</x:v>
      </x:c>
      <x:c r="G119" s="431" t="str">
        <x:v>Owner instruction 2026-07-23; PR #68 exact main 3a6766f; docs/package_assurance/p4_2_external_benchmark_recovery_definition_v0.3.0.md; docs/package_assurance/p4_2_external_benchmark_recovery_freeze_review_v0.3.0.md; docs/package_assurance/p4_2_external_benchmark_recovery_freeze_evidence_v0.3.0.json; EV-179-EV-184; I-010; IMP-033-IMP-035</x:v>
      </x:c>
      <x:c r="H119" s="431" t="str">
        <x:v>Accepted by the project owner on 2026-07-23 after PR #68 merged. The block prepared one materially distinct external family and one oracle-blind runner, preserved three failed revisions, passed the final in-bundle sentinel, and kept opaque execution at zero. It authorizes no semantic run, protected comparison, P4.3, or release claim.</x:v>
      </x:c>
    </x:row>
    <x:row r="120" ht="190" customHeight="1">
      <x:c r="A120" s="431" t="str">
        <x:v>D-117</x:v>
      </x:c>
      <x:c r="B120" s="431" t="n">
        <x:v>46226</x:v>
      </x:c>
      <x:c r="C120" s="431" t="str">
        <x:v>Authorize exactly one invocation of RUNNER-D116-CIM-20260723-04 against FAM-D116-CIM-20260723-01, containing one evaluator attempt per eight frozen opaque scenarios, followed by immutable raw freeze, oracle-blind raw verification, and separate protected comparison.</x:v>
      </x:c>
      <x:c r="D120" s="431" t="str">
        <x:v>D-116 passed 8/8 mandatory and 51/51 detailed controls with one four-output development sentinel, exact static identities, zero opaque executions, and an absent authorization file. A separate owner decision is required before semantic evidence can be collected.</x:v>
      </x:c>
      <x:c r="E120" s="431" t="str">
        <x:v>Accepted / Consumed</x:v>
      </x:c>
      <x:c r="F120" s="431" t="str">
        <x:v>P4.2 external benchmark semantic execution gate</x:v>
      </x:c>
      <x:c r="G120" s="431" t="str">
        <x:v>Owner instruction 2026-07-23; docs/package_assurance/p4_2_external_benchmark_execution_gate_v0.3.0.md; docs/package_assurance/p4_2_external_benchmark_d117_result_review_v0.3.0.md; docs/package_assurance/p4_2_external_benchmark_d117_result_evidence_v0.3.0.json; EV-185-EV-190; NC-002; AIR-003; AIR-011</x:v>
      </x:c>
      <x:c r="H120" s="431" t="str">
        <x:v>Accepted by the project owner on 2026-07-23 and permanently consumed. One runner invocation completed eight attempts and eight four-output publications with no retry or tuning. Separate comparison exposed a shared authority-map defect, so the family is invalid for intended downstream performance and cannot be repaired, rerun, or reused as fresh evidence.</x:v>
      </x:c>
    </x:row>
    <x:row r="121" ht="190" customHeight="1">
      <x:c r="A121" s="431" t="str">
        <x:v>D-118</x:v>
      </x:c>
      <x:c r="B121" s="431" t="n">
        <x:v>46226</x:v>
      </x:c>
      <x:c r="C121" s="431" t="str">
        <x:v>Accept D-117 as consumed fail-closed evidence, open NC-002, and authorize a bounded benchmark-authoring corrective-action block: producer-visible public-contract validation plus separated custodian target-reachability checks before any later new-family decision.</x:v>
      </x:c>
      <x:c r="D121" s="431" t="str">
        <x:v>D-117 published complete evidence but the accepted family violated a public authority-scope invariant in all eight scenarios. Every intended relationship target was blocked, proving the freeze controls were incomplete and that state-only agreement can be misleading.</x:v>
      </x:c>
      <x:c r="E121" s="431" t="str">
        <x:v>Accepted / Implemented</x:v>
      </x:c>
      <x:c r="F121" s="431" t="str">
        <x:v>P4.2 benchmark-authoring corrective-action gate</x:v>
      </x:c>
      <x:c r="G121" s="431" t="str">
        <x:v>Owner instruction 2026-07-23; PR #70 exact main 2246d1a; docs/package_assurance/p4_2_benchmark_authoring_corrective_action_gate_v0.3.0.md; docs/package_assurance/p4_2_benchmark_authoring_control_procedure_v0.3.0.md; docs/package_assurance/p4_2_benchmark_authoring_corrective_action_review_v0.3.0.md; EV-191-EV-196; NC-002; AIR-003; AIR-008; AIR-011; I-012; IMP-037; IMP-040</x:v>
      </x:c>
      <x:c r="H121" s="431" t="str">
        <x:v>Accepted by the project owner on 2026-07-23. The bounded correction adds public contract validation and separated custodian target reachability with development-only proof. It does not authorize a new family, official execution, tuning, P4.3, or release. NC-002 remains contained pending external effectiveness evidence.</x:v>
      </x:c>
    </x:row>
    <x:row r="122" ht="195" customHeight="1">
      <x:c r="A122" s="431" t="str">
        <x:v>D-119</x:v>
      </x:c>
      <x:c r="B122" s="429" t="n">
        <x:v>46227</x:v>
      </x:c>
      <x:c r="C122" s="431" t="str">
        <x:v>Authorize preparation of one genuinely new isolated external family and apply the D-118 public-contract and protected target-reachability controls before freeze.</x:v>
      </x:c>
      <x:c r="D122" s="431" t="str">
        <x:v>D-118 prevents the known defect and proves the controls on development data. A new family tests corrective-control effectiveness without repairing, rerunning, or reusing consumed evidence.</x:v>
      </x:c>
      <x:c r="E122" s="431" t="str">
        <x:v>Accepted / Implemented</x:v>
      </x:c>
      <x:c r="F122" s="431" t="str">
        <x:v>P4.2 new external family preparation gate</x:v>
      </x:c>
      <x:c r="G122" s="431" t="str">
        <x:v>Owner instruction 2026-07-24; PR #71 exact main 17830bd; p4_2_new_external_family_preparation_gate_v0.3.0.md; p4_2_new_external_family_preparation_review_v0.3.0.md; p4_2_new_external_family_preparation_evidence_v0.3.0.json; EV-197-EV-200; NC-002; AIR-003; AIR-008; AIR-011</x:v>
      </x:c>
      <x:c r="H122" s="431" t="str">
        <x:v>Accepted by the project owner on 2026-07-24. Producer validation passed 8/8; target reachability passed 7/7; reviewer replay passed 8/8; the 322-file freeze and redaction were reproduced; three rejected revisions remain preserved; official invocations remain zero. D-120 controls official execution.</x:v>
      </x:c>
    </x:row>
    <x:row r="123" ht="195" customHeight="1">
      <x:c r="A123" s="431" t="str">
        <x:v>D-120</x:v>
      </x:c>
      <x:c r="B123" s="429" t="n">
        <x:v>46227</x:v>
      </x:c>
      <x:c r="C123" s="431" t="str">
        <x:v>Authorize one controlled official benchmark batch for the exact D-119 family, followed by immutable raw freeze, oracle-blind raw verification, one separate protected comparison, and bounded owner review.</x:v>
      </x:c>
      <x:c r="D123" s="431" t="str">
        <x:v>D-119 proves the corrected authoring controls on a new isolated family with exact frozen identities and zero official invocations. One separately authorized batch is required before external relationship-performance or NC-002 closure can be evaluated.</x:v>
      </x:c>
      <x:c r="E123" s="431" t="str">
        <x:v>Proposed / Owner Review</x:v>
      </x:c>
      <x:c r="F123" s="431" t="str">
        <x:v>P4.2 new external family official execution gate</x:v>
      </x:c>
      <x:c r="G123" s="431" t="str">
        <x:v>docs/package_assurance/p4_2_new_external_family_execution_gate_v0.3.0.md; D-119; EV-197-EV-200; family aggregate 69228bf0...69f; producer handoff 6a89ba93...23e2; reviewer handoff 37f2e735...916c; AIR-003; AIR-008; AIR-011; NC-002; PR #72 hosted 2/2</x:v>
      </x:c>
      <x:c r="H123" s="431" t="str">
        <x:v>Not accepted. Official invocations remain zero. Acceptance would authorize exactly eight package attempts inside one consumed authorization, raw freeze, oracle-blind verification, and one protected comparison; it would not authorize retry, tuning, P4.3, release, or broad claims.</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560</x:v>
      </x:c>
      <x:c r="B1" s="235"/>
      <x:c r="C1" s="235"/>
      <x:c r="D1" s="235"/>
      <x:c r="E1" s="235"/>
      <x:c r="F1" s="235"/>
      <x:c r="G1" s="235"/>
      <x:c r="H1" s="235"/>
      <x:c r="I1" s="235"/>
      <x:c r="J1" s="235"/>
    </x:row>
    <x:row r="3" ht="30">
      <x:c r="A3" s="80" t="s">
        <x:v>0</x:v>
      </x:c>
      <x:c r="B3" s="80" t="s">
        <x:v>196</x:v>
      </x:c>
      <x:c r="C3" s="80" t="s">
        <x:v>561</x:v>
      </x:c>
      <x:c r="D3" s="80" t="s">
        <x:v>562</x:v>
      </x:c>
      <x:c r="E3" s="80" t="s">
        <x:v>563</x:v>
      </x:c>
      <x:c r="F3" s="80" t="s">
        <x:v>564</x:v>
      </x:c>
      <x:c r="G3" s="80" t="s">
        <x:v>565</x:v>
      </x:c>
      <x:c r="H3" s="80" t="s">
        <x:v>56</x:v>
      </x:c>
      <x:c r="I3" s="80" t="s">
        <x:v>566</x:v>
      </x:c>
      <x:c r="J3" s="80" t="s">
        <x:v>61</x:v>
      </x:c>
    </x:row>
    <x:row r="4" ht="28.5">
      <x:c r="A4" s="78" t="s">
        <x:v>567</x:v>
      </x:c>
      <x:c r="B4" s="78" t="s">
        <x:v>568</x:v>
      </x:c>
      <x:c r="C4" s="78" t="s">
        <x:v>569</x:v>
      </x:c>
      <x:c r="D4" s="78" t="s">
        <x:v>570</x:v>
      </x:c>
      <x:c r="E4" s="78" t="s">
        <x:v>570</x:v>
      </x:c>
      <x:c r="F4" s="78" t="s">
        <x:v>571</x:v>
      </x:c>
      <x:c r="G4" s="78" t="s">
        <x:v>572</x:v>
      </x:c>
      <x:c r="H4" s="78" t="s">
        <x:v>573</x:v>
      </x:c>
      <x:c r="I4" s="81">
        <x:v>46215</x:v>
      </x:c>
      <x:c r="J4" s="78" t="s">
        <x:v>574</x:v>
      </x:c>
    </x:row>
    <x:row r="5" ht="28.5">
      <x:c r="A5" s="78" t="s">
        <x:v>575</x:v>
      </x:c>
      <x:c r="B5" s="78" t="s">
        <x:v>568</x:v>
      </x:c>
      <x:c r="C5" s="78" t="s">
        <x:v>576</x:v>
      </x:c>
      <x:c r="D5" s="78" t="s">
        <x:v>570</x:v>
      </x:c>
      <x:c r="E5" s="78" t="s">
        <x:v>570</x:v>
      </x:c>
      <x:c r="F5" s="78" t="s">
        <x:v>571</x:v>
      </x:c>
      <x:c r="G5" s="78" t="s">
        <x:v>577</x:v>
      </x:c>
      <x:c r="H5" s="78" t="s">
        <x:v>578</x:v>
      </x:c>
      <x:c r="I5" s="81">
        <x:v>46215</x:v>
      </x:c>
      <x:c r="J5" s="78" t="s">
        <x:v>579</x:v>
      </x:c>
    </x:row>
    <x:row r="6" ht="28.5">
      <x:c r="A6" s="78" t="s">
        <x:v>580</x:v>
      </x:c>
      <x:c r="B6" s="78" t="s">
        <x:v>568</x:v>
      </x:c>
      <x:c r="C6" s="78" t="s">
        <x:v>581</x:v>
      </x:c>
      <x:c r="D6" s="78" t="s">
        <x:v>582</x:v>
      </x:c>
      <x:c r="E6" s="78" t="s">
        <x:v>570</x:v>
      </x:c>
      <x:c r="F6" s="78" t="s">
        <x:v>571</x:v>
      </x:c>
      <x:c r="G6" s="78" t="s">
        <x:v>583</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584</x:v>
      </x:c>
      <x:c r="B7" s="78" t="s">
        <x:v>568</x:v>
      </x:c>
      <x:c r="C7" s="78" t="s">
        <x:v>585</x:v>
      </x:c>
      <x:c r="D7" s="78" t="s">
        <x:v>582</x:v>
      </x:c>
      <x:c r="E7" s="78" t="s">
        <x:v>570</x:v>
      </x:c>
      <x:c r="F7" s="78" t="s">
        <x:v>571</x:v>
      </x:c>
      <x:c r="G7" s="78" t="s">
        <x:v>586</x:v>
      </x:c>
      <x:c r="H7" s="78" t="s">
        <x:v>578</x:v>
      </x:c>
      <x:c r="I7" s="81">
        <x:v>46257</x:v>
      </x:c>
      <x:c r="J7" s="78" t="s">
        <x:v>587</x:v>
      </x:c>
    </x:row>
    <x:row r="8" ht="28.5">
      <x:c r="A8" s="78" t="s">
        <x:v>588</x:v>
      </x:c>
      <x:c r="B8" s="78" t="s">
        <x:v>568</x:v>
      </x:c>
      <x:c r="C8" s="78" t="s">
        <x:v>589</x:v>
      </x:c>
      <x:c r="D8" s="78" t="s">
        <x:v>582</x:v>
      </x:c>
      <x:c r="E8" s="78" t="s">
        <x:v>582</x:v>
      </x:c>
      <x:c r="F8" s="78" t="s">
        <x:v>571</x:v>
      </x:c>
      <x:c r="G8" s="78" t="s">
        <x:v>590</x:v>
      </x:c>
      <x:c r="H8" s="78" t="s">
        <x:v>573</x:v>
      </x:c>
      <x:c r="I8" s="81">
        <x:v>46222</x:v>
      </x:c>
      <x:c r="J8" s="78" t="s">
        <x:v>591</x:v>
      </x:c>
    </x:row>
    <x:row r="9" ht="28.5">
      <x:c r="A9" s="78" t="s">
        <x:v>592</x:v>
      </x:c>
      <x:c r="B9" s="78" t="s">
        <x:v>568</x:v>
      </x:c>
      <x:c r="C9" s="78" t="s">
        <x:v>593</x:v>
      </x:c>
      <x:c r="D9" s="78" t="s">
        <x:v>594</x:v>
      </x:c>
      <x:c r="E9" s="78" t="s">
        <x:v>570</x:v>
      </x:c>
      <x:c r="F9" s="78" t="s">
        <x:v>571</x:v>
      </x:c>
      <x:c r="G9" s="78" t="s">
        <x:v>595</x:v>
      </x:c>
      <x:c r="H9" s="78" t="s">
        <x:v>573</x:v>
      </x:c>
      <x:c r="I9" s="81">
        <x:v>46257</x:v>
      </x:c>
      <x:c r="J9" s="78" t="s">
        <x:v>596</x:v>
      </x:c>
    </x:row>
    <x:row r="10" ht="28.5">
      <x:c r="A10" s="78" t="s">
        <x:v>597</x:v>
      </x:c>
      <x:c r="B10" s="78" t="s">
        <x:v>598</x:v>
      </x:c>
      <x:c r="C10" s="78" t="s">
        <x:v>599</x:v>
      </x:c>
      <x:c r="D10" s="78" t="s">
        <x:v>600</x:v>
      </x:c>
      <x:c r="E10" s="78" t="s">
        <x:v>594</x:v>
      </x:c>
      <x:c r="F10" s="78" t="s">
        <x:v>571</x:v>
      </x:c>
      <x:c r="G10" s="78" t="s">
        <x:v>601</x:v>
      </x:c>
      <x:c r="H10" s="78" t="s">
        <x:v>602</x:v>
      </x:c>
      <x:c r="I10" s="81">
        <x:v>46208</x:v>
      </x:c>
      <x:c r="J10" s="78" t="s">
        <x:v>603</x:v>
      </x:c>
    </x:row>
    <x:row r="11" ht="28.5">
      <x:c r="A11" s="78" t="s">
        <x:v>604</x:v>
      </x:c>
      <x:c r="B11" s="78" t="s">
        <x:v>598</x:v>
      </x:c>
      <x:c r="C11" s="78" t="s">
        <x:v>605</x:v>
      </x:c>
      <x:c r="D11" s="78" t="s">
        <x:v>600</x:v>
      </x:c>
      <x:c r="E11" s="78" t="s">
        <x:v>582</x:v>
      </x:c>
      <x:c r="F11" s="78" t="s">
        <x:v>571</x:v>
      </x:c>
      <x:c r="G11" s="78" t="s">
        <x:v>606</x:v>
      </x:c>
      <x:c r="H11" s="78" t="s">
        <x:v>602</x:v>
      </x:c>
      <x:c r="I11" s="81">
        <x:v>46209</x:v>
      </x:c>
      <x:c r="J11" s="78" t="s">
        <x:v>607</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D-110 preserves the exposed family unchanged and unexecuted. Replacement FAM-HO-CONVEYOR-DRIVE-042 was authored and frozen in isolated custody, independently verified, and imported byte-exact. Keep implementer and CI access blocked until first-run evidence is preserved.</x:v>
      </x:c>
      <x:c r="H25" s="431" t="str">
        <x:v>Controlled / D-111 Accepted</x:v>
      </x:c>
      <x:c r="I25" s="431" t="n">
        <x:v>46224</x:v>
      </x:c>
      <x:c r="J25" s="431" t="str">
        <x:v>Replacement proof passes 326 custodian checks, 14/14 independent controls, and 210/210 byte-identical import. D-111 authorizes the first run only after PR #63 integration and exact-main staging; semantic execution count remains zero at acceptance.</x:v>
      </x:c>
    </x:row>
    <x:row r="26" ht="504" customHeight="1">
      <x:c r="A26" s="431" t="str">
        <x:v>I-007</x:v>
      </x:c>
      <x:c r="B26" s="431" t="str">
        <x:v>Issue</x:v>
      </x:c>
      <x:c r="C26" s="431" t="str">
        <x:v>PR #63 integration exposed recursive release-family paths and comparative per-file statistics before first semantic execution, creating a scenario-level metadata side channel.</x:v>
      </x:c>
      <x:c r="D26" s="431" t="str">
        <x:v>N/A</x:v>
      </x:c>
      <x:c r="E26" s="431" t="str">
        <x:v>High</x:v>
      </x:c>
      <x:c r="F26" s="431" t="str">
        <x:v>Jason</x:v>
      </x:c>
      <x:c r="G26" s="431" t="str">
        <x:v>Preserve the family unchanged and unexecuted; classify it as release-ineligible; require D-112; keep the next family outside the repository through first-run evidence freeze and protected comparison.</x:v>
      </x:c>
      <x:c r="H26" s="431" t="str">
        <x:v>Controlled / D-112 Accepted</x:v>
      </x:c>
      <x:c r="I26" s="431" t="n">
        <x:v>46225</x:v>
      </x:c>
      <x:c r="J26" s="431" t="str">
        <x:v>D-112 accepted the external-custody prevention on 2026-07-22. Both exposed families remain unchanged and unexecuted. PR #64 integration and a fresh independently verified external freeze remain open.</x:v>
      </x:c>
    </x:row>
    <x:row r="27" ht="675" customHeight="1">
      <x:c r="A27" s="431" t="str">
        <x:v>I-008</x:v>
      </x:c>
      <x:c r="B27" s="431" t="str">
        <x:v>Issue</x:v>
      </x:c>
      <x:c r="C27" s="431" t="str">
        <x:v>Instruction-only staging and runner self-checks allowed custody-control defects to survive until independent review: excluded-parent enumeration, noncanonical inventory order, external path text, writable controls, and full inherited-environment forwarding.</x:v>
      </x:c>
      <x:c r="D27" s="431" t="str">
        <x:v>N/A</x:v>
      </x:c>
      <x:c r="E27" s="431" t="str">
        <x:v>High</x:v>
      </x:c>
      <x:c r="F27" s="431" t="str">
        <x:v>Jason</x:v>
      </x:c>
      <x:c r="G27" s="431" t="str">
        <x:v>Use a physically separate producer capsule; preserve every failed runner revision; require independent static checks for hashes, path order, external-text absence, read-only coverage, one-shot behavior, bounded environment, zero artifacts, and pre/post integrity.</x:v>
      </x:c>
      <x:c r="H27" s="431" t="str">
        <x:v>Controlled / D-113 Accepted</x:v>
      </x:c>
      <x:c r="I27" s="431" t="n">
        <x:v>46225</x:v>
      </x:c>
      <x:c r="J27" s="431" t="str">
        <x:v>No protected contents or semantic results were accessed. All failed revisions remain unchanged and unexecuted. Capsule passed 16/16; final runner revision 6 passed 53/53 with 186/186 read-only files and zero artifacts.</x:v>
      </x:c>
    </x:row>
    <x:row r="28" ht="720" customHeight="1">
      <x:c r="A28" s="431" t="str">
        <x:v>I-009</x:v>
      </x:c>
      <x:c r="B28" s="431" t="str">
        <x:v>Issue</x:v>
      </x:c>
      <x:c r="C28" s="431" t="str">
        <x:v>The D-113 first held-out run consumed all eight scenarios with exit 70 before any complete atomic publication. Static and preflight controls passed, but no semantic result exists and captured evidence lacks a lower-level root cause.</x:v>
      </x:c>
      <x:c r="D28" s="431" t="str">
        <x:v>N/A</x:v>
      </x:c>
      <x:c r="E28" s="431" t="str">
        <x:v>High</x:v>
      </x:c>
      <x:c r="F28" s="431" t="str">
        <x:v>Jason</x:v>
      </x:c>
      <x:c r="G28" s="431" t="str">
        <x:v>Preserve the family, runner, raw evidence, and comparison unchanged; prohibit rerun. Require D-114 before development-only reproduction. Add a production-equivalent non-held-out four-output publication sentinel and sanitized publication-stage plus exception/OS diagnostics before any new runner freeze.</x:v>
      </x:c>
      <x:c r="H28" s="431" t="str">
        <x:v>Closed / D-114 Verified</x:v>
      </x:c>
      <x:c r="I28" s="431" t="n">
        <x:v>46225</x:v>
      </x:c>
      <x:c r="J28" s="431" t="str">
        <x:v>D-114 preserved the consumed run and reproduced the defect with development-only inputs. The root cause was the former staging path length. Short internal names, exact diagnostics, fallback evidence, and the bounded sentinel verify corrective action. The original benchmark remains not evaluable and cannot be rerun.</x:v>
      </x:c>
    </x:row>
    <x:row r="29" ht="540" customHeight="1">
      <x:c r="A29" s="431" t="str">
        <x:v>R-018</x:v>
      </x:c>
      <x:c r="B29" s="431" t="str">
        <x:v>Risk</x:v>
      </x:c>
      <x:c r="C29" s="431" t="str">
        <x:v>An internal AI management system could be mistaken for ISO/IEC 42001 conformity, certification, legal compliance, independent assurance, or a guarantee that AI is safe.</x:v>
      </x:c>
      <x:c r="D29" s="431" t="str">
        <x:v>Low</x:v>
      </x:c>
      <x:c r="E29" s="431" t="str">
        <x:v>High</x:v>
      </x:c>
      <x:c r="F29" s="431" t="str">
        <x:v>Jason</x:v>
      </x:c>
      <x:c r="G29" s="431" t="str">
        <x:v>Use only official public sources for high-level alignment; keep the supplied restricted copy outside Git; state the claims boundary in policy, README, reports, and machine records; require a properly licensed standard and competent independent assessment before any formal conformity claim.</x:v>
      </x:c>
      <x:c r="H29" s="431" t="str">
        <x:v>Controlled / Future Gate</x:v>
      </x:c>
      <x:c r="I29" s="431" t="n">
        <x:v>46225</x:v>
      </x:c>
      <x:c r="J29" s="431" t="str">
        <x:v>D-115, AIC-008, AIMS-GAP-001, and IMP-029 preserve the boundary. certification_status is schema-fixed to not_claimed and every external reference forbids repository copying.</x:v>
      </x:c>
    </x:row>
    <x:row r="30" ht="155" customHeight="1">
      <x:c r="A30" s="431" t="str">
        <x:v>I-010</x:v>
      </x:c>
      <x:c r="B30" s="431" t="str">
        <x:v>Issue</x:v>
      </x:c>
      <x:c r="C30" s="431" t="str">
        <x:v>D-116 runner revisions 1-3 failed before opaque execution because runner-level dependency visibility did not match the nested sentinel, control imports created uninventoried bytecode, and a long physical root exceeded the whole staged-tree Windows path budget.</x:v>
      </x:c>
      <x:c r="D30" s="431" t="str">
        <x:v>N/A</x:v>
      </x:c>
      <x:c r="E30" s="431" t="str">
        <x:v>High</x:v>
      </x:c>
      <x:c r="F30" s="431" t="str">
        <x:v>Jason</x:v>
      </x:c>
      <x:c r="G30" s="431" t="str">
        <x:v>Preserve every failed revision. Freeze dependencies in a capsule-local environment; use -B and pre-import bytecode suppression; reject cache artifacts; calculate every staged path; require the real development sentinel in the final short physical root.</x:v>
      </x:c>
      <x:c r="H30" s="431" t="str">
        <x:v>Closed / Runner R4 Verified</x:v>
      </x:c>
      <x:c r="I30" s="431" t="n">
        <x:v>46226</x:v>
      </x:c>
      <x:c r="J30" s="431" t="str">
        <x:v>Revisions 1-3 remain byte-exact and unexecuted against opaque inputs. Runner R4 passed 8/8 mandatory and 51/51 detailed controls; one development sentinel published four valid outputs, static hashes remained exact, and opaque execution count stayed zero. IMP-033-IMP-035 retain the controls.</x:v>
      </x:c>
    </x:row>
    <x:row r="31" ht="165" customHeight="1">
      <x:c r="A31" s="431" t="str">
        <x:v>I-011</x:v>
      </x:c>
      <x:c r="B31" s="431" t="str">
        <x:v>Issue</x:v>
      </x:c>
      <x:c r="C31" s="431" t="str">
        <x:v>The D-116 benchmark freeze accepted all eight scenario authority maps even though each applied to the family ID rather than its scenario package ID. D-117 therefore failed the authority gate in every package and never reached an intended relationship target.</x:v>
      </x:c>
      <x:c r="D31" s="431" t="str">
        <x:v>N/A</x:v>
      </x:c>
      <x:c r="E31" s="431" t="str">
        <x:v>High</x:v>
      </x:c>
      <x:c r="F31" s="431" t="str">
        <x:v>Jason</x:v>
      </x:c>
      <x:c r="G31" s="431" t="str">
        <x:v>Preserve the consumed family and all D-117 evidence. Add a producer-visible public-contract validator and a separate custodian target-reachability check. Require a later owner gate before any new family or semantic execution.</x:v>
      </x:c>
      <x:c r="H31" s="431" t="str">
        <x:v>Contained / D-119 Verified; D-120 Hold</x:v>
      </x:c>
      <x:c r="I31" s="431" t="n">
        <x:v>46227</x:v>
      </x:c>
      <x:c r="J31" s="431" t="str">
        <x:v>D-119 independently proves 8/8 public validations and 7/7 protected target reachability on a new isolated family. NC-002 remains contained until D-120 official execution, protected comparison, and owner closure review. Consumed-family repair, rerun, reuse, tuning, P4.3, and release claims remain prohibited.</x:v>
      </x:c>
    </x:row>
    <x:row r="32" ht="185" customHeight="1">
      <x:c r="A32" s="431" t="str">
        <x:v>I-012</x:v>
      </x:c>
      <x:c r="B32" s="431" t="str">
        <x:v>Issue</x:v>
      </x:c>
      <x:c r="C32" s="431" t="str">
        <x:v>During D-118, a command intended to inspect one governance file unexpectedly returned repository-wide matches and surfaced protected text from an already-consumed, release-ineligible historical family.</x:v>
      </x:c>
      <x:c r="D32" s="431" t="str">
        <x:v>N/A</x:v>
      </x:c>
      <x:c r="E32" s="431" t="str">
        <x:v>High</x:v>
      </x:c>
      <x:c r="F32" s="431" t="str">
        <x:v>Jason</x:v>
      </x:c>
      <x:c r="G32" s="431" t="str">
        <x:v>Use literal-path readers for exact files; permit recursive searches only over explicitly named approved roots; keep every future release-eligible family physically outside Git through first official execution; stop and disclose any protected match.</x:v>
      </x:c>
      <x:c r="H32" s="431" t="str">
        <x:v>Contained / D-119 Boundary Verified; AIR-008 Open</x:v>
      </x:c>
      <x:c r="I32" s="429" t="n">
        <x:v>46227</x:v>
      </x:c>
      <x:c r="J32" s="431" t="str">
        <x:v>D-119 kept all 322 frozen family and inventory files outside Git and the implementation context. Producer and reviewer public handoffs passed redaction checks, and the fresh reviewer reproduced exact pre/post identity with zero mutation. AIR-008 remains open through D-120 official execution.</x:v>
      </x:c>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608</x:v>
      </x:c>
      <x:c r="B1" s="235"/>
      <x:c r="C1" s="235"/>
      <x:c r="D1" s="235"/>
      <x:c r="E1" s="235"/>
      <x:c r="F1" s="235"/>
      <x:c r="G1" s="235"/>
      <x:c r="H1" s="235"/>
      <x:c r="I1" s="235"/>
    </x:row>
    <x:row r="3" ht="15">
      <x:c r="A3" s="80" t="s">
        <x:v>609</x:v>
      </x:c>
      <x:c r="B3" s="80" t="s">
        <x:v>448</x:v>
      </x:c>
      <x:c r="C3" s="80" t="s">
        <x:v>48</x:v>
      </x:c>
      <x:c r="D3" s="80" t="s">
        <x:v>181</x:v>
      </x:c>
      <x:c r="E3" s="80" t="s">
        <x:v>196</x:v>
      </x:c>
      <x:c r="F3" s="80" t="s">
        <x:v>610</x:v>
      </x:c>
      <x:c r="G3" s="80" t="s">
        <x:v>611</x:v>
      </x:c>
      <x:c r="H3" s="80" t="s">
        <x:v>56</x:v>
      </x:c>
      <x:c r="I3" s="80" t="s">
        <x:v>61</x:v>
      </x:c>
    </x:row>
    <x:row r="4" ht="28.5">
      <x:c r="A4" s="78" t="s">
        <x:v>612</x:v>
      </x:c>
      <x:c r="B4" s="81">
        <x:v>46201</x:v>
      </x:c>
      <x:c r="C4" s="78" t="s">
        <x:v>62</x:v>
      </x:c>
      <x:c r="D4" s="78" t="s">
        <x:v>613</x:v>
      </x:c>
      <x:c r="E4" s="78" t="s">
        <x:v>614</x:v>
      </x:c>
      <x:c r="F4" s="78" t="s">
        <x:v>615</x:v>
      </x:c>
      <x:c r="G4" s="78" t="s">
        <x:v>616</x:v>
      </x:c>
      <x:c r="H4" s="78" t="s">
        <x:v>617</x:v>
      </x:c>
      <x:c r="I4" s="78" t="s">
        <x:v>618</x:v>
      </x:c>
    </x:row>
    <x:row r="5" ht="28.5">
      <x:c r="A5" s="78" t="s">
        <x:v>619</x:v>
      </x:c>
      <x:c r="B5" s="81">
        <x:v>46203</x:v>
      </x:c>
      <x:c r="C5" s="78" t="s">
        <x:v>68</x:v>
      </x:c>
      <x:c r="D5" s="78" t="s">
        <x:v>620</x:v>
      </x:c>
      <x:c r="E5" s="78" t="s">
        <x:v>621</x:v>
      </x:c>
      <x:c r="F5" s="78" t="s">
        <x:v>622</x:v>
      </x:c>
      <x:c r="G5" s="78" t="s">
        <x:v>623</x:v>
      </x:c>
      <x:c r="H5" s="78" t="s">
        <x:v>617</x:v>
      </x:c>
      <x:c r="I5" s="78" t="s">
        <x:v>624</x:v>
      </x:c>
    </x:row>
    <x:row r="6" ht="28.5">
      <x:c r="A6" s="78" t="s">
        <x:v>625</x:v>
      </x:c>
      <x:c r="B6" s="81">
        <x:v>46207</x:v>
      </x:c>
      <x:c r="C6" s="78" t="s">
        <x:v>73</x:v>
      </x:c>
      <x:c r="D6" s="78" t="s">
        <x:v>626</x:v>
      </x:c>
      <x:c r="E6" s="78" t="s">
        <x:v>627</x:v>
      </x:c>
      <x:c r="F6" s="78" t="s">
        <x:v>628</x:v>
      </x:c>
      <x:c r="G6" s="78" t="s">
        <x:v>629</x:v>
      </x:c>
      <x:c r="H6" s="78" t="s">
        <x:v>617</x:v>
      </x:c>
      <x:c r="I6" s="78" t="s">
        <x:v>630</x:v>
      </x:c>
    </x:row>
    <x:row r="7" ht="28.5">
      <x:c r="A7" s="78" t="s">
        <x:v>631</x:v>
      </x:c>
      <x:c r="B7" s="81">
        <x:v>46207</x:v>
      </x:c>
      <x:c r="C7" s="78" t="s">
        <x:v>73</x:v>
      </x:c>
      <x:c r="D7" s="78" t="s">
        <x:v>632</x:v>
      </x:c>
      <x:c r="E7" s="78" t="s">
        <x:v>633</x:v>
      </x:c>
      <x:c r="F7" s="78" t="s">
        <x:v>634</x:v>
      </x:c>
      <x:c r="G7" s="78" t="s">
        <x:v>635</x:v>
      </x:c>
      <x:c r="H7" s="78" t="s">
        <x:v>617</x:v>
      </x:c>
      <x:c r="I7" s="78" t="s">
        <x:v>636</x:v>
      </x:c>
    </x:row>
    <x:row r="8">
      <x:c r="A8" s="78" t="s">
        <x:v>637</x:v>
      </x:c>
      <x:c r="B8" s="81">
        <x:v>46207</x:v>
      </x:c>
      <x:c r="C8" s="78" t="s">
        <x:v>73</x:v>
      </x:c>
      <x:c r="D8" s="78" t="s">
        <x:v>638</x:v>
      </x:c>
      <x:c r="E8" s="78" t="s">
        <x:v>633</x:v>
      </x:c>
      <x:c r="F8" s="78" t="s">
        <x:v>639</x:v>
      </x:c>
      <x:c r="G8" s="78" t="s">
        <x:v>640</x:v>
      </x:c>
      <x:c r="H8" s="78" t="s">
        <x:v>617</x:v>
      </x:c>
      <x:c r="I8" s="78" t="s">
        <x:v>641</x:v>
      </x:c>
    </x:row>
    <x:row r="9">
      <x:c r="A9" s="78" t="s">
        <x:v>642</x:v>
      </x:c>
      <x:c r="B9" s="81">
        <x:v>46207</x:v>
      </x:c>
      <x:c r="C9" s="78" t="s">
        <x:v>73</x:v>
      </x:c>
      <x:c r="D9" s="78" t="s">
        <x:v>643</x:v>
      </x:c>
      <x:c r="E9" s="78" t="s">
        <x:v>633</x:v>
      </x:c>
      <x:c r="F9" s="78" t="s">
        <x:v>644</x:v>
      </x:c>
      <x:c r="G9" s="78" t="s">
        <x:v>645</x:v>
      </x:c>
      <x:c r="H9" s="78" t="s">
        <x:v>617</x:v>
      </x:c>
      <x:c r="I9" s="78" t="s">
        <x:v>646</x:v>
      </x:c>
    </x:row>
    <x:row r="10" ht="28.5">
      <x:c r="A10" s="78" t="s">
        <x:v>647</x:v>
      </x:c>
      <x:c r="B10" s="81">
        <x:v>46207</x:v>
      </x:c>
      <x:c r="C10" s="78" t="s">
        <x:v>68</x:v>
      </x:c>
      <x:c r="D10" s="78" t="s">
        <x:v>648</x:v>
      </x:c>
      <x:c r="E10" s="78" t="s">
        <x:v>649</x:v>
      </x:c>
      <x:c r="F10" s="78" t="s">
        <x:v>207</x:v>
      </x:c>
      <x:c r="G10" s="78" t="s">
        <x:v>650</x:v>
      </x:c>
      <x:c r="H10" s="78" t="s">
        <x:v>617</x:v>
      </x:c>
      <x:c r="I10" s="78" t="s">
        <x:v>651</x:v>
      </x:c>
    </x:row>
    <x:row r="11" ht="28.5">
      <x:c r="A11" s="78" t="s">
        <x:v>652</x:v>
      </x:c>
      <x:c r="B11" s="81">
        <x:v>46207</x:v>
      </x:c>
      <x:c r="C11" s="78" t="s">
        <x:v>68</x:v>
      </x:c>
      <x:c r="D11" s="78" t="s">
        <x:v>653</x:v>
      </x:c>
      <x:c r="E11" s="78" t="s">
        <x:v>201</x:v>
      </x:c>
      <x:c r="F11" s="78" t="s">
        <x:v>654</x:v>
      </x:c>
      <x:c r="G11" s="78" t="s">
        <x:v>655</x:v>
      </x:c>
      <x:c r="H11" s="78" t="s">
        <x:v>617</x:v>
      </x:c>
      <x:c r="I11" s="78" t="s">
        <x:v>656</x:v>
      </x:c>
    </x:row>
    <x:row r="12" ht="28.5">
      <x:c r="A12" s="78" t="s">
        <x:v>657</x:v>
      </x:c>
      <x:c r="B12" s="81">
        <x:v>46207</x:v>
      </x:c>
      <x:c r="C12" s="78" t="s">
        <x:v>68</x:v>
      </x:c>
      <x:c r="D12" s="78" t="s">
        <x:v>658</x:v>
      </x:c>
      <x:c r="E12" s="78" t="s">
        <x:v>659</x:v>
      </x:c>
      <x:c r="F12" s="78" t="s">
        <x:v>660</x:v>
      </x:c>
      <x:c r="G12" s="78" t="s">
        <x:v>19</x:v>
      </x:c>
      <x:c r="H12" s="78" t="s">
        <x:v>617</x:v>
      </x:c>
      <x:c r="I12" s="78" t="s">
        <x:v>661</x:v>
      </x:c>
    </x:row>
    <x:row r="13" ht="60" customHeight="1">
      <x:c r="A13" s="198" t="s">
        <x:v>662</x:v>
      </x:c>
      <x:c r="B13" s="199">
        <x:v>46208</x:v>
      </x:c>
      <x:c r="C13" s="200" t="s">
        <x:v>663</x:v>
      </x:c>
      <x:c r="D13" s="200" t="s">
        <x:v>664</x:v>
      </x:c>
      <x:c r="E13" s="200" t="s">
        <x:v>665</x:v>
      </x:c>
      <x:c r="F13" s="200" t="s">
        <x:v>666</x:v>
      </x:c>
      <x:c r="G13" s="200" t="s">
        <x:v>667</x:v>
      </x:c>
      <x:c r="H13" s="200" t="s">
        <x:v>617</x:v>
      </x:c>
      <x:c r="I13" s="201" t="s">
        <x:v>668</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Accepted</x:v>
      </x:c>
      <x:c r="I147" s="431" t="str">
        <x:v>D-110 was accepted on 2026-07-21. P4.2 semantic execution, replacement authoring in this context, P4.3 release work, and held-out release claims remain blocked.</x:v>
      </x:c>
    </x:row>
    <x:row r="148" ht="522" customHeight="1">
      <x:c r="A148" s="431" t="str">
        <x:v>EV-145</x:v>
      </x:c>
      <x:c r="B148" s="431" t="n">
        <x:v>46224</x:v>
      </x:c>
      <x:c r="C148" s="431" t="str">
        <x:v>D-110 owner acceptance and isolated replacement authorization</x:v>
      </x:c>
      <x:c r="D148" s="431" t="str">
        <x:v>The project owner accepted D-110 and all recommended recovery controls. The exposed family remains unchanged, unexecuted, and release-ineligible. Authorization advances only to isolated replacement authoring, structural verification, and hash freeze; a separate owner decision remains mandatory before semantic execution.</x:v>
      </x:c>
      <x:c r="E148" s="431" t="str">
        <x:v>User decision / Gate acceptance / Scope authorization</x:v>
      </x:c>
      <x:c r="F148" s="431" t="str">
        <x:v>User instruction 2026-07-21; PR #62; docs/package_assurance/p4_2_held_out_contamination_and_replacement_gate_v0.3.0.md; D-110; I-006; IMP-023</x:v>
      </x:c>
      <x:c r="G148" s="431" t="str">
        <x:v>P4.2 replacement freeze authority</x:v>
      </x:c>
      <x:c r="H148" s="431" t="str">
        <x:v>Accepted</x:v>
      </x:c>
      <x:c r="I148" s="431" t="str">
        <x:v>No evaluator change, semantic run, public rerun, protected-value inspection by the implementation context, P4.3 work, or held-out release claim was authorized.</x:v>
      </x:c>
    </x:row>
    <x:row r="149" ht="675" customHeight="1">
      <x:c r="A149" s="431" t="str">
        <x:v>EV-146</x:v>
      </x:c>
      <x:c r="B149" s="431" t="n">
        <x:v>46224</x:v>
      </x:c>
      <x:c r="C149" s="431" t="str">
        <x:v>Isolated replacement authoring and hash freeze</x:v>
      </x:c>
      <x:c r="D149" s="431" t="str">
        <x:v>Public bundle P4.2-CUSTODIAN-EA45DCF-V1 supplied only approved contracts and schemas. Isolated authoring and disclosed recovery custodians produced FAM-HO-CONVEYOR-DRIVE-042, passed 326 structural/hash checks with zero failures, wrote the freeze record last, and recorded semantic execution count zero.</x:v>
      </x:c>
      <x:c r="E149" s="431" t="str">
        <x:v>Input-hash reproduction / Isolated custody / Structural validation / Pre-execution freeze</x:v>
      </x:c>
      <x:c r="F149" s="431" t="str">
        <x:v>p4_2_replacement_custodian_public_contract_v0.3.0.md; p4_2_replacement_custodian_input_manifest_v0.3.0.json; replacement freeze_record.public.json; complete-family SHA-256 e619c81854d9676b5d821a752e3b00e68d0072572cef64509d5cc9132a3e6ff6; IMP-024</x:v>
      </x:c>
      <x:c r="G149" s="431" t="str">
        <x:v>P4.2 replacement freeze</x:v>
      </x:c>
      <x:c r="H149" s="431" t="str">
        <x:v>Verified / Owner Review Pending</x:v>
      </x:c>
      <x:c r="I149" s="431" t="str">
        <x:v>Eight opaque scenarios and 210 family files are frozen. The implementation context did not inspect protected or scenario package values. No evaluator or semantic run occurred.</x:v>
      </x:c>
    </x:row>
    <x:row r="150" ht="657" customHeight="1">
      <x:c r="A150" s="431" t="str">
        <x:v>EV-147</x:v>
      </x:c>
      <x:c r="B150" s="431" t="n">
        <x:v>46224</x:v>
      </x:c>
      <x:c r="C150" s="431" t="str">
        <x:v>Independent freeze and opaque-import verification</x:v>
      </x:c>
      <x:c r="D150" s="431" t="str">
        <x:v>A separate fresh verifier passed 14/14 controls with zero leakage, hash mismatch, freeze-order violation, or family modification. A separate import verifier matched 210/210 files byte-for-byte and reproduced the complete-family hash at both roots.</x:v>
      </x:c>
      <x:c r="E150" s="431" t="str">
        <x:v>Independent structural review / Protected aggregate review / SHA-256 reproduction / Opaque import comparison</x:v>
      </x:c>
      <x:c r="F150" s="431" t="str">
        <x:v>p4_2_replacement_independent_verification_v0.3.0.json; p4_2_replacement_independent_verification_v0.3.0.md; p4_2_replacement_import_verification_v0.3.0.json; producer hash da154aed...8867; protected hash 2b383800...c6e; family hash e619c818...e6ff6</x:v>
      </x:c>
      <x:c r="G150" s="431" t="str">
        <x:v>P4.2 independent verification</x:v>
      </x:c>
      <x:c r="H150" s="431" t="str">
        <x:v>Pass</x:v>
      </x:c>
      <x:c r="I150" s="431" t="str">
        <x:v>All eight manifests and all eleven clean relationship contracts passed. The protected matrix met accepted aggregate requirements. Semantic execution count remains zero.</x:v>
      </x:c>
    </x:row>
    <x:row r="151" ht="675" customHeight="1">
      <x:c r="A151" s="431" t="str">
        <x:v>EV-148</x:v>
      </x:c>
      <x:c r="B151" s="431" t="n">
        <x:v>46224</x:v>
      </x:c>
      <x:c r="C151" s="431" t="str">
        <x:v>Pre-run regression and D-111 owner review package</x:v>
      </x:c>
      <x:c r="D151" s="431" t="str">
        <x:v>Safe checks that do not enumerate or load the new replacement pass: 32 focused tests; 319 full regression tests with one expected Windows skip; 88.57% coverage; repository validation 5/5; Ruff; frozen baseline 9/9; and portfolio demo 2/2. The owner freeze review proposes D-111 and preserves semantic execution count zero.</x:v>
      </x:c>
      <x:c r="E151" s="431" t="str">
        <x:v>Focused regression / Full frozen regression / Coverage / Repository validation / Lint / Baseline / Demo / Decision review</x:v>
      </x:c>
      <x:c r="F151" s="431" t="str">
        <x:v>docs/package_assurance/p4_2_replacement_freeze_review_v0.3.0.md; pytest; coverage; mech-eval validate; Ruff; generated baseline and demo evidence under runs/; D-111</x:v>
      </x:c>
      <x:c r="G151" s="431" t="str">
        <x:v>P4.2 pre-run acceptance package</x:v>
      </x:c>
      <x:c r="H151" s="431" t="str">
        <x:v>Ready for Owner Review</x:v>
      </x:c>
      <x:c r="I151" s="431" t="str">
        <x:v>The initial standalone pytest.exe collection error was an invocation-path issue; the accepted python -m pytest command passed. No replacement scenario or protected oracle was loaded or executed.</x:v>
      </x:c>
    </x:row>
    <x:row r="152" ht="585" customHeight="1">
      <x:c r="A152" s="431" t="str">
        <x:v>EV-149</x:v>
      </x:c>
      <x:c r="B152" s="431" t="n">
        <x:v>46224</x:v>
      </x:c>
      <x:c r="C152" s="431" t="str">
        <x:v>D-111 owner acceptance and first-run authorization</x:v>
      </x:c>
      <x:c r="D152" s="431" t="str">
        <x:v>The project owner accepted D-111 on 2026-07-21. Authority advances only after PR #63 merge and exact-main verification to independently verified oracle-blind staging and exactly one invocation per opaque scenario. Semantic execution count remains zero at acceptance.</x:v>
      </x:c>
      <x:c r="E152" s="431" t="str">
        <x:v>User decision / Gate acceptance / One-way execution authorization</x:v>
      </x:c>
      <x:c r="F152" s="431" t="str">
        <x:v>User instruction 2026-07-21; docs/package_assurance/p4_2_replacement_freeze_review_v0.3.0.md; PR #63; D-111; EV-146-EV-148; IMP-023-IMP-024</x:v>
      </x:c>
      <x:c r="G152" s="431" t="str">
        <x:v>P4.2 first-run authority</x:v>
      </x:c>
      <x:c r="H152" s="431" t="str">
        <x:v>Accepted / Integration Pending</x:v>
      </x:c>
      <x:c r="I152" s="431" t="str">
        <x:v>No semantic run, retry, tuning, input or evaluator change, protected comparison, P4.3 work, or release claim occurred at acceptance. Raw evidence must be frozen before a separate protected comparison.</x:v>
      </x:c>
    </x:row>
    <x:row r="153" ht="585" customHeight="1">
      <x:c r="A153" s="431" t="str">
        <x:v>EV-150</x:v>
      </x:c>
      <x:c r="B153" s="431" t="n">
        <x:v>46224</x:v>
      </x:c>
      <x:c r="C153" s="431" t="str">
        <x:v>PR #63 integration, exact-main freeze, and zero-run confirmation</x:v>
      </x:c>
      <x:c r="D153" s="431" t="str">
        <x:v>PR #63 merged D-111 and the reviewed replacement freeze at exact main 4d2c0f5. The evaluator source tree d0c3f128ee13898cdcd6fc12c6d6ad5877649551 matches behavior commit 4cf9fe8. No semantic invocation or protected comparison occurred; run count remains zero.</x:v>
      </x:c>
      <x:c r="E153" s="431" t="str">
        <x:v>GitHub merge verification / Exact-main freeze / Source-tree identity / Run-count confirmation</x:v>
      </x:c>
      <x:c r="F153" s="431" t="str">
        <x:v>PR #63; main 4d2c0f5f09950929ef057ef4f0efa3d75efdf0ed; implementation 4cf9fe8; source tree d0c3f128ee13898cdcd6fc12c6d6ad5877649551; D-111</x:v>
      </x:c>
      <x:c r="G153" s="431" t="str">
        <x:v>P4.2 integration evidence</x:v>
      </x:c>
      <x:c r="H153" s="431" t="str">
        <x:v>Accepted</x:v>
      </x:c>
      <x:c r="I153" s="431" t="str">
        <x:v>Both hosted PR checks passed with protected-fixture integrity tests excluded. Integration completed before any authorized first-run staging.</x:v>
      </x:c>
    </x:row>
    <x:row r="154" ht="675" customHeight="1">
      <x:c r="A154" s="431" t="str">
        <x:v>EV-151</x:v>
      </x:c>
      <x:c r="B154" s="431" t="n">
        <x:v>46224</x:v>
      </x:c>
      <x:c r="C154" s="431" t="str">
        <x:v>Pre-run Git metadata exposure and independent governance disposition</x:v>
      </x:c>
      <x:c r="D154" s="431" t="str">
        <x:v>The local PR #63 fast-forward printed release-family paths and comparative per-file insertion counts. No file content was deliberately opened, but the output exposed scenario-level structural differences. A fresh independent governance review classified the side channel as contamination under D-110 and IMP-023 and recommended external custody through first-run evidence freeze.</x:v>
      </x:c>
      <x:c r="E154" s="431" t="str">
        <x:v>Control-boundary incident review / Fresh independent governance review / Recovery architecture</x:v>
      </x:c>
      <x:c r="F154" s="431" t="str">
        <x:v>docs/package_assurance/p4_2_second_contamination_and_external_custody_gate_v0.3.0.md; D-110-D-112; I-007; IMP-023; IMP-025; PR #63 exact main 4d2c0f5</x:v>
      </x:c>
      <x:c r="G154" s="431" t="str">
        <x:v>P4.2 second recovery gate</x:v>
      </x:c>
      <x:c r="H154" s="431" t="str">
        <x:v>Ready for Owner Review</x:v>
      </x:c>
      <x:c r="I154" s="431" t="str">
        <x:v>FAM-HO-CONVEYOR-DRIVE-042 remains unchanged, unexecuted, and release-ineligible. D-111 authority stopped unused. No replacement authoring or semantic execution is authorized before D-112 acceptance.</x:v>
      </x:c>
    </x:row>
    <x:row r="155" ht="630" customHeight="1">
      <x:c r="A155" s="431" t="str">
        <x:v>EV-152</x:v>
      </x:c>
      <x:c r="B155" s="431" t="n">
        <x:v>46225</x:v>
      </x:c>
      <x:c r="C155" s="431" t="str">
        <x:v>D-112 owner acceptance and external-custody authorization</x:v>
      </x:c>
      <x:c r="D155" s="431" t="str">
        <x:v>The project owner accepted D-112 on 2026-07-22. Authority advances only after PR #64 integration and exact-main verification to fresh external replacement authoring, independent structural/hash verification, oracle-blind staging, and preparation of a new freeze review. Semantic execution count remains zero.</x:v>
      </x:c>
      <x:c r="E155" s="431" t="str">
        <x:v>User decision / Gate acceptance / External-custody scope authorization</x:v>
      </x:c>
      <x:c r="F155" s="431" t="str">
        <x:v>User instruction 2026-07-22; PR #64; docs/package_assurance/p4_2_second_contamination_and_external_custody_gate_v0.3.0.md; D-112; EV-150-EV-151; I-007; IMP-025</x:v>
      </x:c>
      <x:c r="G155" s="431" t="str">
        <x:v>P4.2 external-custody authority</x:v>
      </x:c>
      <x:c r="H155" s="431" t="str">
        <x:v>Accepted / Integration Pending</x:v>
      </x:c>
      <x:c r="I155" s="431" t="str">
        <x:v>No replacement authoring, semantic execution, oracle comparison, repository family import, evaluator change, protected-fixture CI restoration, P4.3 work, or release claim occurred at acceptance.</x:v>
      </x:c>
    </x:row>
    <x:row r="156" ht="675" customHeight="1">
      <x:c r="A156" s="431" t="str">
        <x:v>EV-153</x:v>
      </x:c>
      <x:c r="B156" s="431" t="n">
        <x:v>46225</x:v>
      </x:c>
      <x:c r="C156" s="431" t="str">
        <x:v>PR #64 integration and exact-main external-custody baseline</x:v>
      </x:c>
      <x:c r="D156" s="431" t="str">
        <x:v>PR #64 integrated accepted D-112 at exact main 0264db7d0c904452ffdec83c51f74103185a8e8d. Frozen evaluator behavior remains 4cf9fe8 and source tree d0c3f128ee13898cdcd6fc12c6d6ad5877649551. Semantic execution count remained zero.</x:v>
      </x:c>
      <x:c r="E156" s="431" t="str">
        <x:v>Git integration / Exact-main freeze / Source identity / Zero-run confirmation</x:v>
      </x:c>
      <x:c r="F156" s="431" t="str">
        <x:v>PR #64; main 0264db7d0c904452ffdec83c51f74103185a8e8d; implementation 4cf9fe8; source tree d0c3f128ee13898cdcd6fc12c6d6ad5877649551; D-112</x:v>
      </x:c>
      <x:c r="G156" s="431" t="str">
        <x:v>P4.2 external custody baseline</x:v>
      </x:c>
      <x:c r="H156" s="431" t="str">
        <x:v>Accepted</x:v>
      </x:c>
      <x:c r="I156" s="431" t="str">
        <x:v>No family or runner asset was imported into the review branch.</x:v>
      </x:c>
    </x:row>
    <x:row r="157" ht="675" customHeight="1">
      <x:c r="A157" s="431" t="str">
        <x:v>EV-154</x:v>
      </x:c>
      <x:c r="B157" s="431" t="n">
        <x:v>46225</x:v>
      </x:c>
      <x:c r="C157" s="431" t="str">
        <x:v>External family revision-1 failure and revision-2 remediation</x:v>
      </x:c>
      <x:c r="D157" s="431" t="str">
        <x:v>The first external family freeze passed author self-checks but failed three independent protected-oracle contract categories. It remains unchanged and unexecuted at complete hash 04d13a3f...c7be. Revision 2 corrected only those protected records and preserved producer hash b77f35e...e10ab.</x:v>
      </x:c>
      <x:c r="E157" s="431" t="str">
        <x:v>Failed freeze preservation / Sibling remediation / Producer-byte identity</x:v>
      </x:c>
      <x:c r="F157" s="431" t="str">
        <x:v>External aggregate authoring, verification, and remediation summaries; FR-D112-HOIST-001-FR-D112-HOIST-002; IMP-026</x:v>
      </x:c>
      <x:c r="G157" s="431" t="str">
        <x:v>P4.2 family remediation evidence</x:v>
      </x:c>
      <x:c r="H157" s="431" t="str">
        <x:v>Accepted</x:v>
      </x:c>
      <x:c r="I157" s="431" t="str">
        <x:v>A self-check is not acceptance. Failed family evidence was not erased or repaired in place.</x:v>
      </x:c>
    </x:row>
    <x:row r="158" ht="675" customHeight="1">
      <x:c r="A158" s="431" t="str">
        <x:v>EV-155</x:v>
      </x:c>
      <x:c r="B158" s="431" t="n">
        <x:v>46225</x:v>
      </x:c>
      <x:c r="C158" s="431" t="str">
        <x:v>Independent external family revision-2 freeze verification</x:v>
      </x:c>
      <x:c r="D158" s="431" t="str">
        <x:v>Fresh independent verification passed 68/68 controls across assurance, relationships, structure, hash/freeze, input integrity, package contract, protected oracle, and leakage. Complete-family pre/post hash is 141f3d1b...9190; semantic executions are zero.</x:v>
      </x:c>
      <x:c r="E158" s="431" t="str">
        <x:v>Independent structural and oracle-contract verification / Hash freeze / Matrix coverage</x:v>
      </x:c>
      <x:c r="F158" s="431" t="str">
        <x:v>docs/package_assurance/p4_2_external_custody_freeze_evidence_v0.3.0.json; family FR-D112-HOIST-002; producer b77f35e...e10ab; protected 1876455a...80d; complete 141f3d1b...9190</x:v>
      </x:c>
      <x:c r="G158" s="431" t="str">
        <x:v>P4.2 family freeze evidence</x:v>
      </x:c>
      <x:c r="H158" s="431" t="str">
        <x:v>Accepted / Integration Pending</x:v>
      </x:c>
      <x:c r="I158" s="431" t="str">
        <x:v>Aggregate matrix: one automatic pass, five automatic fails, one missing-authority state, one tool-failure state, and eight held findings; scenario mappings remain protected.</x:v>
      </x:c>
    </x:row>
    <x:row r="159" ht="675" customHeight="1">
      <x:c r="A159" s="431" t="str">
        <x:v>EV-156</x:v>
      </x:c>
      <x:c r="B159" s="431" t="n">
        <x:v>46225</x:v>
      </x:c>
      <x:c r="C159" s="431" t="str">
        <x:v>Producer-only physical capsule and staging-boundary recovery</x:v>
      </x:c>
      <x:c r="D159" s="431" t="str">
        <x:v>Instruction-only staging failed closed before copying after excluded-parent enumeration. A custody context then created physical capsule PC-D112-HOIST-002 with exactly eight package roots and 152 package files. It passed 16/16 controls, reproduced producer hash b77f35e...e10ab, and contained no restricted material.</x:v>
      </x:c>
      <x:c r="E159" s="431" t="str">
        <x:v>Physical access separation / Producer hash / Failed-attempt preservation</x:v>
      </x:c>
      <x:c r="F159" s="431" t="str">
        <x:v>Producer capsule aggregate summary; capsule content 92c4c20a...15b6; I-008; IMP-027</x:v>
      </x:c>
      <x:c r="G159" s="431" t="str">
        <x:v>P4.2 oracle-blind handoff evidence</x:v>
      </x:c>
      <x:c r="H159" s="431" t="str">
        <x:v>Accepted</x:v>
      </x:c>
      <x:c r="I159" s="431" t="str">
        <x:v>No package was executed and no protected contents were opened during the failed staging attempt.</x:v>
      </x:c>
    </x:row>
    <x:row r="160" ht="675" customHeight="1">
      <x:c r="A160" s="431" t="str">
        <x:v>EV-157</x:v>
      </x:c>
      <x:c r="B160" s="431" t="n">
        <x:v>46225</x:v>
      </x:c>
      <x:c r="C160" s="431" t="str">
        <x:v>Runner freeze rejection chain and revision-6 correction</x:v>
      </x:c>
      <x:c r="D160" s="431" t="str">
        <x:v>Independent static controls rejected predecessor runners for noncanonical inventory order, external path text, writable controls, an unavailable copy operation, and full inherited-environment forwarding. Every failed revision remains preserved and unexecuted. Revision 6 changed only custody controls while preserving 181/181 input identities.</x:v>
      </x:c>
      <x:c r="E160" s="431" t="str">
        <x:v>Fail-closed runner revisions / Static-control remediation / Input identity</x:v>
      </x:c>
      <x:c r="F160" s="431" t="str">
        <x:v>Runner aggregate failure and staging summaries; revisions 2-6; I-008; IMP-027</x:v>
      </x:c>
      <x:c r="G160" s="431" t="str">
        <x:v>P4.2 runner recovery evidence</x:v>
      </x:c>
      <x:c r="H160" s="431" t="str">
        <x:v>Accepted</x:v>
      </x:c>
      <x:c r="I160" s="431" t="str">
        <x:v>The evaluator and producer bytes did not change. Semantic execution count remained zero throughout.</x:v>
      </x:c>
    </x:row>
    <x:row r="161" ht="675" customHeight="1">
      <x:c r="A161" s="431" t="str">
        <x:v>EV-158</x:v>
      </x:c>
      <x:c r="B161" s="431" t="n">
        <x:v>46225</x:v>
      </x:c>
      <x:c r="C161" s="431" t="str">
        <x:v>Independent oracle-blind runner revision-6 verification</x:v>
      </x:c>
      <x:c r="D161" s="431" t="str">
        <x:v>Fresh independent verification passed 53/53 controls across seven categories. The bundle has 186/186 read-only files, zero runtime/evidence/marker/result/report/output artifacts, one-shot no-retry controls, a bounded child environment, and identical pre/post hash 54d01f7b...98fb.</x:v>
      </x:c>
      <x:c r="E161" s="431" t="str">
        <x:v>Independent static AST and filesystem verification / Hash freeze / Zero-artifact proof</x:v>
      </x:c>
      <x:c r="F161" s="431" t="str">
        <x:v>docs/package_assurance/p4_2_external_custody_freeze_evidence_v0.3.0.json; runner D-112-runner-revision-6; runner script c2ab9b56...beae; complete 54d01f7b...98fb</x:v>
      </x:c>
      <x:c r="G161" s="431" t="str">
        <x:v>P4.2 runner freeze evidence</x:v>
      </x:c>
      <x:c r="H161" s="431" t="str">
        <x:v>Accepted / Integration Pending</x:v>
      </x:c>
      <x:c r="I161" s="431" t="str">
        <x:v>No runner or evaluator import or execution occurred. Full environment forwarding, PATH, credentials, proxies, user-profile values, and unrelated variables are absent.</x:v>
      </x:c>
    </x:row>
    <x:row r="162" ht="630" customHeight="1">
      <x:c r="A162" s="431" t="str">
        <x:v>EV-159</x:v>
      </x:c>
      <x:c r="B162" s="431" t="n">
        <x:v>46225</x:v>
      </x:c>
      <x:c r="C162" s="431" t="str">
        <x:v>D-113 review-branch safe regression and frozen verification</x:v>
      </x:c>
      <x:c r="D162" s="431" t="str">
        <x:v>Focused package tests passed 40/40. Protected-safe full regression passed 313 with one expected Windows skip at 88.57% coverage. Repository validation passed 5/5, Ruff passed, frozen v0.2.0 baseline replay passed 9/9, and portfolio demo passed 2/2.</x:v>
      </x:c>
      <x:c r="E162" s="431" t="str">
        <x:v>Focused regression / Coverage gate / Repository validation / Frozen baseline / Demo</x:v>
      </x:c>
      <x:c r="F162" s="431" t="str">
        <x:v>Review branch codex/p4.2-external-held-out-freeze; generated runs/d113-freeze-review-20260722 evidence; protected fixture module excluded</x:v>
      </x:c>
      <x:c r="G162" s="431" t="str">
        <x:v>P4.2 review verification</x:v>
      </x:c>
      <x:c r="H162" s="431" t="str">
        <x:v>Accepted</x:v>
      </x:c>
      <x:c r="I162" s="431" t="str">
        <x:v>No release-eligible held-out family directory or protected fixture module was enumerated or loaded by these checks.</x:v>
      </x:c>
    </x:row>
    <x:row r="163" ht="675" customHeight="1">
      <x:c r="A163" s="431" t="str">
        <x:v>EV-160</x:v>
      </x:c>
      <x:c r="B163" s="431" t="n">
        <x:v>46225</x:v>
      </x:c>
      <x:c r="C163" s="431" t="str">
        <x:v>D-113 owner acceptance and conditional first-run authority</x:v>
      </x:c>
      <x:c r="D163" s="431" t="str">
        <x:v>The project owner accepted D-113 on 2026-07-22. The decision authorizes exactly one invocation for each of eight opaque packages only after PR #65 integration, exact-main recording, and complete frozen-identity reverification. Semantic execution count remains zero at acceptance.</x:v>
      </x:c>
      <x:c r="E163" s="431" t="str">
        <x:v>Owner decision / Conditional execution authority / Zero-run handoff</x:v>
      </x:c>
      <x:c r="F163" s="431" t="str">
        <x:v>Owner acceptance 2026-07-22; D-113; PR #65; docs/package_assurance/p4_2_external_custody_freeze_review_v0.3.0.md; EV-153-EV-159</x:v>
      </x:c>
      <x:c r="G163" s="431" t="str">
        <x:v>P4.2 first-run authority</x:v>
      </x:c>
      <x:c r="H163" s="431" t="str">
        <x:v>Accepted / Consumed</x:v>
      </x:c>
      <x:c r="I163" s="431" t="str">
        <x:v>Any invocation or infrastructure failure consumes the scenario. Raw evidence must freeze before protected comparison. Retry, tuning, import, evaluator or fixture change, P4.3 work, public rerun, and release claims remain prohibited.</x:v>
      </x:c>
    </x:row>
    <x:row r="164" ht="675" customHeight="1">
      <x:c r="A164" s="431" t="str">
        <x:v>EV-161</x:v>
      </x:c>
      <x:c r="B164" s="431" t="n">
        <x:v>46225</x:v>
      </x:c>
      <x:c r="C164" s="431" t="str">
        <x:v>D-113 integration and exact-main activation</x:v>
      </x:c>
      <x:c r="D164" s="431" t="str">
        <x:v>PR #65 integrated accepted D-113 at exact main 6a74c74a8331f92342008bff8dd376124148eb36. Frozen evaluator behavior remained 4cf9fe8. The accepted family, runner, schemas, and producer inputs remained external and unchanged through activation.</x:v>
      </x:c>
      <x:c r="E164" s="431" t="str">
        <x:v>Git integration / Exact-main activation / Frozen identity</x:v>
      </x:c>
      <x:c r="F164" s="431" t="str">
        <x:v>PR #65; main 6a74c74a8331f92342008bff8dd376124148eb36; D-113; runner static 54d01f7b...98fb</x:v>
      </x:c>
      <x:c r="G164" s="431" t="str">
        <x:v>P4.2 execution activation</x:v>
      </x:c>
      <x:c r="H164" s="431" t="str">
        <x:v>Accepted / Consumed</x:v>
      </x:c>
      <x:c r="I164" s="431" t="str">
        <x:v>Integration satisfied the final pre-run condition. No repository custody-asset import occurred.</x:v>
      </x:c>
    </x:row>
    <x:row r="165" ht="675" customHeight="1">
      <x:c r="A165" s="431" t="str">
        <x:v>EV-162</x:v>
      </x:c>
      <x:c r="B165" s="431" t="n">
        <x:v>46225</x:v>
      </x:c>
      <x:c r="C165" s="431" t="str">
        <x:v>D-113 one-shot execution and raw-evidence freeze</x:v>
      </x:c>
      <x:c r="D165" s="431" t="str">
        <x:v>Oracle-blind preflight passed 27/27 with 186/186 static files read-only and 181/181 inputs exact. One runner invocation attempted and consumed all eight scenarios. Every evaluator process returned exit 70; zero complete output sets and zero result states were available. Forty raw-evidence files froze at hash 5d45bfa3...3b21.</x:v>
      </x:c>
      <x:c r="E165" s="431" t="str">
        <x:v>One-shot execution / Failure preservation / Raw freeze / No retry</x:v>
      </x:c>
      <x:c r="F165" s="431" t="str">
        <x:v>docs/package_assurance/p4_2_external_first_run_result_evidence_v0.3.0.json; execution summary 502de2d8...b9574; raw 5d45bfa3...3b21</x:v>
      </x:c>
      <x:c r="G165" s="431" t="str">
        <x:v>P4.2 first-run execution evidence</x:v>
      </x:c>
      <x:c r="H165" s="431" t="str">
        <x:v>Failed / Preserved</x:v>
      </x:c>
      <x:c r="I165" s="431" t="str">
        <x:v>No retry, reset, resume, rerun, delete, overwrite, tuning, network access, protected access, or repository modification occurred. All eight scenarios are consumed.</x:v>
      </x:c>
    </x:row>
    <x:row r="166" ht="675" customHeight="1">
      <x:c r="A166" s="431" t="str">
        <x:v>EV-163</x:v>
      </x:c>
      <x:c r="B166" s="431" t="n">
        <x:v>46225</x:v>
      </x:c>
      <x:c r="C166" s="431" t="str">
        <x:v>Independent raw-evidence and failure verification</x:v>
      </x:c>
      <x:c r="D166" s="431" t="str">
        <x:v>A fresh oracle-blind verifier reproduced static identities, exactly one global runner invocation, eight marker-before-invocation attempts, complete failure evidence, exit 70 x8, zero outputs, and the 40-file raw hash with zero public-summary mismatches. Shared class: internal atomic-publication tooling failure; lower-level cause unavailable.</x:v>
      </x:c>
      <x:c r="E166" s="431" t="str">
        <x:v>Independent execution verification / Integrity / Aggregate failure classification</x:v>
      </x:c>
      <x:c r="F166" s="431" t="str">
        <x:v>independent verification ec2005f8...a50f0f; raw 5d45bfa3...3b21; runner 54d01f7b...98fb; IMP-028</x:v>
      </x:c>
      <x:c r="G166" s="431" t="str">
        <x:v>P4.2 independent failed-run verification</x:v>
      </x:c>
      <x:c r="H166" s="431" t="str">
        <x:v>Accepted Evidence</x:v>
      </x:c>
      <x:c r="I166" s="431" t="str">
        <x:v>This proves immutable operational failure evidence, not semantic evaluator performance.</x:v>
      </x:c>
    </x:row>
    <x:row r="167" ht="675" customHeight="1">
      <x:c r="A167" s="431" t="str">
        <x:v>EV-164</x:v>
      </x:c>
      <x:c r="B167" s="431" t="n">
        <x:v>46225</x:v>
      </x:c>
      <x:c r="C167" s="431" t="str">
        <x:v>Post-freeze protected comparison and not-evaluable verdict</x:v>
      </x:c>
      <x:c r="D167" s="431" t="str">
        <x:v>Protected access began only after raw freeze and independent verification. All eight expectations mapped to consumed attempts, but zero semantic outputs were comparable. Accuracy, exact-state/finding performance, false positives, and false negatives are undefined. Raw, protected, and complete-family hashes remained unchanged. Release hold required.</x:v>
      </x:c>
      <x:c r="E167" s="431" t="str">
        <x:v>Separate protected comparison / Claim boundary / Release hold</x:v>
      </x:c>
      <x:c r="F167" s="431" t="str">
        <x:v>comparison 20bdbf9d...ab70b7; docs/package_assurance/p4_2_external_first_run_result_review_v0.3.0.md; D-114 proposed; I-009</x:v>
      </x:c>
      <x:c r="G167" s="431" t="str">
        <x:v>P4.2 benchmark verdict</x:v>
      </x:c>
      <x:c r="H167" s="431" t="str">
        <x:v>Ready for Owner Review</x:v>
      </x:c>
      <x:c r="I167" s="431" t="str">
        <x:v>Aggregate verdict: not_evaluable_due_to_output_publication_failure. No held-out rerun, reuse, or performance claim is authorized.</x:v>
      </x:c>
    </x:row>
    <x:row r="168" ht="720" customHeight="1">
      <x:c r="A168" s="431" t="str">
        <x:v>EV-165</x:v>
      </x:c>
      <x:c r="B168" s="431" t="n">
        <x:v>46225</x:v>
      </x:c>
      <x:c r="C168" s="431" t="str">
        <x:v>D-115 owner directive and governance authority</x:v>
      </x:c>
      <x:c r="D168" s="431" t="str">
        <x:v>The project owner directed ISO/IEC 42001 to become the highest-level AI quality-control basis and authorized full implementation of a quality-control system as the next work block. D-115 records the bounded interpretation: internal governance and CI enforcement without conformity, certification, legal-compliance, guaranteed-safety, or independent-assurance claims.</x:v>
      </x:c>
      <x:c r="E168" s="431" t="str">
        <x:v>Owner instruction / Governance decision / Scope authority</x:v>
      </x:c>
      <x:c r="F168" s="431" t="str">
        <x:v>Owner instruction 2026-07-22; D-115; codex/iso-42001-ai-quality-system</x:v>
      </x:c>
      <x:c r="G168" s="431" t="str">
        <x:v>G0.1 governance authority</x:v>
      </x:c>
      <x:c r="H168" s="431" t="str">
        <x:v>Accepted</x:v>
      </x:c>
      <x:c r="I168" s="431" t="str">
        <x:v>D-114 remains pending and no held-out or semantic work was authorized by this decision.</x:v>
      </x:c>
    </x:row>
    <x:row r="169" ht="720" customHeight="1">
      <x:c r="A169" s="431" t="str">
        <x:v>EV-166</x:v>
      </x:c>
      <x:c r="B169" s="431" t="n">
        <x:v>46225</x:v>
      </x:c>
      <x:c r="C169" s="431" t="str">
        <x:v>AI management policy, manual, impact, and alignment records</x:v>
      </x:c>
      <x:c r="D169" s="431" t="str">
        <x:v>AIMS-POL-001 establishes precedence, human accountability, authorized-data use, evidence-first claims, ten mandatory stop conditions, role separation, and enforcement. The manual defines Plan-Do-Check-Act, eight lifecycle gates, risk scoring, operational controls, incidents, monitoring, audit, management review, and release mode. Impact and gap assessments cover current and future systems and formal limitations.</x:v>
      </x:c>
      <x:c r="E169" s="431" t="str">
        <x:v>Controlled policy / Operating manual / Impact and gap assessment</x:v>
      </x:c>
      <x:c r="F169" s="431" t="str">
        <x:v>docs/governance/ai_management_system_policy_v0.3.0.md; docs/governance/ai_quality_control_manual_v0.3.0.md; docs/governance/ai_impact_assessment_v0.3.0.md; docs/governance/iso_iec_42001_alignment_and_gap_assessment_v0.3.0.md</x:v>
      </x:c>
      <x:c r="G169" s="431" t="str">
        <x:v>AIMS documented controls</x:v>
      </x:c>
      <x:c r="H169" s="431" t="str">
        <x:v>Accepted Evidence</x:v>
      </x:c>
      <x:c r="I169" s="431" t="str">
        <x:v>The supplied PDF is excluded; official ISO and NIST public sources are listed with high-level-use boundaries.</x:v>
      </x:c>
    </x:row>
    <x:row r="170" ht="720" customHeight="1">
      <x:c r="A170" s="431" t="str">
        <x:v>EV-167</x:v>
      </x:c>
      <x:c r="B170" s="431" t="n">
        <x:v>46225</x:v>
      </x:c>
      <x:c r="C170" s="431" t="str">
        <x:v>Machine-readable AI management control plane</x:v>
      </x:c>
      <x:c r="D170" s="431" t="str">
        <x:v>governance/ai_management_system.json inventories 3 systems, 13 risks, 20 controls, 8 mandatory gates, 6 quality objectives, NC-001, AIMS-AUD-001, AIMS-MR-001, and exact release status. The JSON Schema fixes structure, types, allowed states, dates, paths, and certification_status not_claimed.</x:v>
      </x:c>
      <x:c r="E170" s="431" t="str">
        <x:v>Machine-readable inventory / Risk and control register / JSON Schema</x:v>
      </x:c>
      <x:c r="F170" s="431" t="str">
        <x:v>governance/ai_management_system.json; schemas/ai_management_system.schema.json; AIR-001-AIR-013; AIC-001-AIC-020; AIG-01-AIG-08; AIO-001-AIO-006; NC-001</x:v>
      </x:c>
      <x:c r="G170" s="431" t="str">
        <x:v>AIMS control-plane evidence</x:v>
      </x:c>
      <x:c r="H170" s="431" t="str">
        <x:v>Accepted Evidence</x:v>
      </x:c>
      <x:c r="I170" s="431" t="str">
        <x:v>Release is held by AIR-003, AIR-010, and NC-001; pending decision D-114 is explicit.</x:v>
      </x:c>
    </x:row>
    <x:row r="171" ht="720" customHeight="1">
      <x:c r="A171" s="431" t="str">
        <x:v>EV-168</x:v>
      </x:c>
      <x:c r="B171" s="431" t="n">
        <x:v>46225</x:v>
      </x:c>
      <x:c r="C171" s="431" t="str">
        <x:v>Automated governance validation and negative-control proof</x:v>
      </x:c>
      <x:c r="D171" s="431" t="str">
        <x:v>mech_eval_harness.ai_governance validates schema, global IDs, ownership, references, risk arithmetic, high-risk holds, minimum controls, evidence paths, authoritative source hosts, blocked future AI, partial-control gaps, pending decisions, and exact release alignment. Twenty-two focused control tests pass at 84% validator coverage, including positive CLI/state proof and deliberate failures across source, authority, risk, control, gate, data, future-AI, evidence, review-date, pending-decision, and release-state boundaries.</x:v>
      </x:c>
      <x:c r="E171" s="431" t="str">
        <x:v>Executable governance validator / Focused negative tests / CI gate</x:v>
      </x:c>
      <x:c r="F171" s="431" t="str">
        <x:v>src/mech_eval_harness/ai_governance.py; tests/test_ai_governance.py; .github/workflows/ci.yml; 22/22 focused; validator coverage 84%; Ruff passed</x:v>
      </x:c>
      <x:c r="G171" s="431" t="str">
        <x:v>AIMS automated enforcement</x:v>
      </x:c>
      <x:c r="H171" s="431" t="str">
        <x:v>Accepted Evidence</x:v>
      </x:c>
      <x:c r="I171" s="431" t="str">
        <x:v>Normal validation passes and reports HELD. --require-release-ready exits 2 on AIR-003, AIR-010, NC-001, and pending D-114 as designed.</x:v>
      </x:c>
    </x:row>
    <x:row r="172" ht="720" customHeight="1">
      <x:c r="A172" s="431" t="str">
        <x:v>EV-169</x:v>
      </x:c>
      <x:c r="B172" s="431" t="n">
        <x:v>46225</x:v>
      </x:c>
      <x:c r="C172" s="431" t="str">
        <x:v>Governance full regression and frozen baseline verification</x:v>
      </x:c>
      <x:c r="D172" s="431" t="str">
        <x:v>Protected-safe full regression passed 335 with one expected Windows skip at 88.33% coverage. Repository validation passed 5/5, Ruff passed, frozen v0.2.0 baseline replay passed 9/9 using an explicit generated evidence directory, and the portfolio demo passed 2/2.</x:v>
      </x:c>
      <x:c r="E172" s="431" t="str">
        <x:v>Full regression / Coverage / Validation / Frozen baseline / Demo</x:v>
      </x:c>
      <x:c r="F172" s="431" t="str">
        <x:v>runs/g01-ai-governance-final-20260722; full 335/1; coverage 88.33%; validation 5/5; Ruff; baseline 9/9; demo 2/2</x:v>
      </x:c>
      <x:c r="G172" s="431" t="str">
        <x:v>G0.1 regression evidence</x:v>
      </x:c>
      <x:c r="H172" s="431" t="str">
        <x:v>Accepted Evidence</x:v>
      </x:c>
      <x:c r="I172" s="431" t="str">
        <x:v>Protected held-out fixture tests remained excluded and no release-eligible family was accessed.</x:v>
      </x:c>
    </x:row>
    <x:row r="173" ht="720" customHeight="1">
      <x:c r="A173" s="431" t="str">
        <x:v>EV-170</x:v>
      </x:c>
      <x:c r="B173" s="431" t="n">
        <x:v>46225</x:v>
      </x:c>
      <x:c r="C173" s="431" t="str">
        <x:v>Initial AIMS internal audit and management review</x:v>
      </x:c>
      <x:c r="D173" s="431" t="str">
        <x:v>AIMS-AUD-001 found the internal system suitable for the current repository workflow while retaining NC-001 and external assurance gaps. AIMS-MR-001 adopted the policy, machine gate, human authority, rights boundary, and review cycle, and kept D-114 separate and pending.</x:v>
      </x:c>
      <x:c r="E173" s="431" t="str">
        <x:v>Internal audit / Management review / Continual improvement</x:v>
      </x:c>
      <x:c r="F173" s="431" t="str">
        <x:v>docs/governance/internal_audit_2026-07-22.md; docs/governance/management_review_2026-07-22.md; IMP-029-IMP-030; R-018</x:v>
      </x:c>
      <x:c r="G173" s="431" t="str">
        <x:v>AIMS performance evaluation</x:v>
      </x:c>
      <x:c r="H173" s="431" t="str">
        <x:v>Accepted with Holds</x:v>
      </x:c>
      <x:c r="I173" s="431" t="str">
        <x:v>This is an internal review with disclosed independence limitations, not external assurance or certification.</x:v>
      </x:c>
    </x:row>
    <x:row r="174" ht="160" customHeight="1">
      <x:c r="A174" s="431" t="str">
        <x:v>EV-171</x:v>
      </x:c>
      <x:c r="B174" s="431" t="n">
        <x:v>46225</x:v>
      </x:c>
      <x:c r="C174" s="431" t="str">
        <x:v>D-115 governance integration</x:v>
      </x:c>
      <x:c r="D174" s="431" t="str">
        <x:v>PR #67 passed both hosted CI checks and merged the complete AI management and quality-control system to main at exact 540a1f6. Local main was fast-forwarded cleanly before D-114 work began.</x:v>
      </x:c>
      <x:c r="E174" s="431" t="str">
        <x:v>Merge / Exact-main verification / Governance integration</x:v>
      </x:c>
      <x:c r="F174" s="431" t="str">
        <x:v>PR #67; main 540a1f6; codex/iso-42001-ai-quality-system</x:v>
      </x:c>
      <x:c r="G174" s="431" t="str">
        <x:v>G0.1 integration evidence</x:v>
      </x:c>
      <x:c r="H174" s="431" t="str">
        <x:v>Accepted Evidence</x:v>
      </x:c>
      <x:c r="I174" s="431" t="str">
        <x:v>D-115 remains the continuous governance overlay; this merge did not itself accept D-114.</x:v>
      </x:c>
    </x:row>
    <x:row r="175" ht="160" customHeight="1">
      <x:c r="A175" s="431" t="str">
        <x:v>EV-172</x:v>
      </x:c>
      <x:c r="B175" s="431" t="n">
        <x:v>46225</x:v>
      </x:c>
      <x:c r="C175" s="431" t="str">
        <x:v>D-114 owner acceptance and scope authority</x:v>
      </x:c>
      <x:c r="D175" s="431" t="str">
        <x:v>The owner accepted D-114 after merging PR #67. Authority is limited to development/public-synthetic reproduction, root-cause identification, exact diagnostics, the smallest publication correction, a non-held-out sentinel, regression evidence, and a separate recovery definition.</x:v>
      </x:c>
      <x:c r="E175" s="431" t="str">
        <x:v>Owner instruction / Corrective-action authority / Scope boundary</x:v>
      </x:c>
      <x:c r="F175" s="431" t="str">
        <x:v>Owner instruction 2026-07-22; D-114; codex/p4.2-publication-stabilization</x:v>
      </x:c>
      <x:c r="G175" s="431" t="str">
        <x:v>P4.2 corrective-action authority</x:v>
      </x:c>
      <x:c r="H175" s="431" t="str">
        <x:v>Accepted</x:v>
      </x:c>
      <x:c r="I175" s="431" t="str">
        <x:v>No held-out rerun/reuse, new family, protected change, semantic change, P4.3, public rerun, import, or release claim was authorized.</x:v>
      </x:c>
    </x:row>
    <x:row r="176" ht="160" customHeight="1">
      <x:c r="A176" s="431" t="str">
        <x:v>EV-173</x:v>
      </x:c>
      <x:c r="B176" s="431" t="n">
        <x:v>46225</x:v>
      </x:c>
      <x:c r="C176" s="431" t="str">
        <x:v>Development-only publication reproduction and exact root cause</x:v>
      </x:c>
      <x:c r="D176" s="431" t="str">
        <x:v>A bounded read-only external-bundle layout using only the development pump-skid reproduced exit 70 and zero outputs. A direct legacy first-output probe at 263 characters returned FileNotFoundError/errno 2. The former run-ID-bearing staging name, not evaluator semantics, crossed the Windows legacy path boundary.</x:v>
      </x:c>
      <x:c r="E176" s="431" t="str">
        <x:v>Controlled reproduction / Root-cause evidence / Negative proof</x:v>
      </x:c>
      <x:c r="F176" s="431" t="str">
        <x:v>runs/p4.2-d114-reproduction; docs/package_assurance/p4_2_publication_stabilization_review_v0.3.0.md; IMP-031</x:v>
      </x:c>
      <x:c r="G176" s="431" t="str">
        <x:v>D-114 reproduction evidence</x:v>
      </x:c>
      <x:c r="H176" s="431" t="str">
        <x:v>Accepted Evidence</x:v>
      </x:c>
      <x:c r="I176" s="431" t="str">
        <x:v>No protected fixture test or release-eligible family directory was opened, listed, imported, changed, or executed.</x:v>
      </x:c>
    </x:row>
    <x:row r="177" ht="160" customHeight="1">
      <x:c r="A177" s="431" t="str">
        <x:v>EV-174</x:v>
      </x:c>
      <x:c r="B177" s="431" t="n">
        <x:v>46225</x:v>
      </x:c>
      <x:c r="C177" s="431" t="str">
        <x:v>Minimal publication correction and exact failure diagnostics</x:v>
      </x:c>
      <x:c r="D177" s="431" t="str">
        <x:v>Internal staging now uses .tmp-&lt;8 hex&gt;; failed evidence uses .failed-&lt;8 hex&gt;; the immutable final run ID and output contract are unchanged. Failure evidence records stage, run ID, error type, errno, and winerror when available, with a short parent fallback marker.</x:v>
      </x:c>
      <x:c r="E177" s="431" t="str">
        <x:v>Corrective implementation / Failure evidence / Regression prevention</x:v>
      </x:c>
      <x:c r="F177" s="431" t="str">
        <x:v>src/mech_eval_harness/package_assurance/publication.py; tests/test_package_audit_publication.py; tests/test_cli_audit_package.py; IMP-028; IMP-031</x:v>
      </x:c>
      <x:c r="G177" s="431" t="str">
        <x:v>D-114 corrective-action evidence</x:v>
      </x:c>
      <x:c r="H177" s="431" t="str">
        <x:v>Accepted Evidence</x:v>
      </x:c>
      <x:c r="I177" s="431" t="str">
        <x:v>Existing final-rename retry and collision/overwrite behavior are unchanged; no semantic gate, check, state, schema, or fixture changed.</x:v>
      </x:c>
    </x:row>
    <x:row r="178" ht="160" customHeight="1">
      <x:c r="A178" s="431" t="str">
        <x:v>EV-175</x:v>
      </x:c>
      <x:c r="B178" s="431" t="n">
        <x:v>46225</x:v>
      </x:c>
      <x:c r="C178" s="431" t="str">
        <x:v>Production-equivalent four-output publication sentinel</x:v>
      </x:c>
      <x:c r="D178" s="431" t="str">
        <x:v>The sentinel staged 46 read-only evaluator/schema/package files, excluded expected assets and inherited PATH/credentials/proxies, preserved exact pre/post hash 5f5d5008...363c, used a 193-character runs root where the legacy staged path would be 264 characters, and published four schema-valid automatic-pass outputs.</x:v>
      </x:c>
      <x:c r="E178" s="431" t="str">
        <x:v>End-to-end sentinel / Bounded environment / Hash and schema proof</x:v>
      </x:c>
      <x:c r="F178" s="431" t="str">
        <x:v>scripts/run_package_assurance_publication_sentinel.py; .github/workflows/ci.yml; runs/p4.2-d114-final-20260722/publication-sentinel/SENTINEL-20260723T043500Z-4af53646/sentinel_summary.json; summary SHA-256 0c8f9511...37cf</x:v>
      </x:c>
      <x:c r="G178" s="431" t="str">
        <x:v>D-114 preventive-control evidence</x:v>
      </x:c>
      <x:c r="H178" s="431" t="str">
        <x:v>Accepted Evidence</x:v>
      </x:c>
      <x:c r="I178" s="431" t="str">
        <x:v>The sentinel is non-held-out and must pass before any future one-shot runner can be frozen.</x:v>
      </x:c>
    </x:row>
    <x:row r="179" ht="160" customHeight="1">
      <x:c r="A179" s="431" t="str">
        <x:v>EV-176</x:v>
      </x:c>
      <x:c r="B179" s="431" t="n">
        <x:v>46225</x:v>
      </x:c>
      <x:c r="C179" s="431" t="str">
        <x:v>D-114 regression, benchmark, baseline, demo, and governance proof</x:v>
      </x:c>
      <x:c r="D179" s="431" t="str">
        <x:v>Focused publication/CLI/governance/sentinel-helper tests passed 53/53. Protected-safe local full regression passed 340 with one expected skip at 88.48%; validation 5/5 and Ruff passed. P4.1-DEV-1 passed 22/22, frozen baseline 9/9, and demo 2/2. Governance normal mode passes while strict mode exits 2 on AIR-003 and pending D-116.</x:v>
      </x:c>
      <x:c r="E179" s="431" t="str">
        <x:v>Focused and full regression / Development benchmark / Frozen baseline / Governance</x:v>
      </x:c>
      <x:c r="F179" s="431" t="str">
        <x:v>runs/p4.2-d114-final-20260722; docs/package_assurance/p4_2_publication_stabilization_evidence_v0.3.0.json</x:v>
      </x:c>
      <x:c r="G179" s="431" t="str">
        <x:v>D-114 verification evidence</x:v>
      </x:c>
      <x:c r="H179" s="431" t="str">
        <x:v>Accepted Evidence</x:v>
      </x:c>
      <x:c r="I179" s="431" t="str">
        <x:v>The protected fixture module remained excluded. No held-out performance claim is made.</x:v>
      </x:c>
    </x:row>
    <x:row r="180" ht="160" customHeight="1">
      <x:c r="A180" s="431" t="str">
        <x:v>EV-177</x:v>
      </x:c>
      <x:c r="B180" s="431" t="n">
        <x:v>46225</x:v>
      </x:c>
      <x:c r="C180" s="431" t="str">
        <x:v>D-114 closeout and proposed external recovery gate</x:v>
      </x:c>
      <x:c r="D180" s="431" t="str">
        <x:v>The closeout records D-114 acceptance, root cause, correction, sentinel, claims boundary, AIR-010 control, and NC-001 closure. Proposed D-116 defines one independent zero-run external family preparation with an in-bundle sentinel and a separate D-117 freeze decision before semantic execution.</x:v>
      </x:c>
      <x:c r="E180" s="431" t="str">
        <x:v>Corrective-action review / Recovery definition / Governance update</x:v>
      </x:c>
      <x:c r="F180" s="431" t="str">
        <x:v>docs/package_assurance/p4_2_publication_stabilization_review_v0.3.0.md; docs/package_assurance/p4_2_publication_stabilization_evidence_v0.3.0.json; docs/package_assurance/p4_2_external_benchmark_recovery_definition_v0.3.0.md; governance/ai_management_system.json; D-114; proposed D-116; IMP-032</x:v>
      </x:c>
      <x:c r="G180" s="431" t="str">
        <x:v>P4.2 recovery handoff</x:v>
      </x:c>
      <x:c r="H180" s="431" t="str">
        <x:v>Owner Review Required</x:v>
      </x:c>
      <x:c r="I180" s="431" t="str">
        <x:v>Release remains held by AIR-003 and pending D-116. The D-113 family remains consumed and prohibited from rerun or reuse.</x:v>
      </x:c>
    </x:row>
    <x:row r="181" ht="160" customHeight="1">
      <x:c r="A181" s="431" t="str">
        <x:v>EV-178</x:v>
      </x:c>
      <x:c r="B181" s="431" t="n">
        <x:v>46225</x:v>
      </x:c>
      <x:c r="C181" s="431" t="str">
        <x:v>PR #68 hosted publication-sentinel and regression proof</x:v>
      </x:c>
      <x:c r="D181" s="431" t="str">
        <x:v>After the initial hosted sentinel correctly exposed a checkout-root portability assumption, implementation 1c5216e made 193 characters a minimum stress length and added three helper controls. Both push and PR workflows then passed. Hosted Linux used a 223-character runs root, published four automatic-pass outputs, and passed 341 tests at 88.50% coverage. The final scope audit also recorded IMP-032 for one broad search over tracked release-ineligible historical fixture folders.</x:v>
      </x:c>
      <x:c r="E181" s="431" t="str">
        <x:v>Hosted CI / Cross-platform sentinel / Corrective follow-up / Scope audit</x:v>
      </x:c>
      <x:c r="F181" s="431" t="str">
        <x:v>PR #68; implementation 1c5216e; GitHub Actions runs 29980958009 and 29980959507; tests/test_publication_sentinel.py; IMP-032</x:v>
      </x:c>
      <x:c r="G181" s="431" t="str">
        <x:v>D-114 hosted verification</x:v>
      </x:c>
      <x:c r="H181" s="431" t="str">
        <x:v>Accepted Evidence</x:v>
      </x:c>
      <x:c r="I181" s="431" t="str">
        <x:v>The external D-113 family and raw evidence remained outside Git and were not accessed. No future D-116 family exists, no semantic run occurred, and AIR-003 plus pending D-116 continue to hold release.</x:v>
      </x:c>
    </x:row>
    <x:row r="182" ht="175" customHeight="1">
      <x:c r="A182" s="431" t="str">
        <x:v>EV-179</x:v>
      </x:c>
      <x:c r="B182" s="431" t="n">
        <x:v>46226</x:v>
      </x:c>
      <x:c r="C182" s="431" t="str">
        <x:v>PR #68 integration and D-116 owner acceptance</x:v>
      </x:c>
      <x:c r="D182" s="431" t="str">
        <x:v>PR #68 passed both hosted checks and merged D-114 to exact main 3a6766f. The owner then accepted D-116 for one materially distinct external family and oracle-blind runner preparation with zero semantic execution and a separate D-117 gate.</x:v>
      </x:c>
      <x:c r="E182" s="431" t="str">
        <x:v>Merge / Owner decision / Scope authority</x:v>
      </x:c>
      <x:c r="F182" s="431" t="str">
        <x:v>PR #68; main 3a6766f; owner instruction 2026-07-23; D-116</x:v>
      </x:c>
      <x:c r="G182" s="431" t="str">
        <x:v>P4.2 recovery authority</x:v>
      </x:c>
      <x:c r="H182" s="431" t="str">
        <x:v>Accepted Evidence</x:v>
      </x:c>
      <x:c r="I182" s="431" t="str">
        <x:v>D-116 authorized preparation and independent zero-run freeze only. AIR-003, semantic execution, protected comparison, P4.3, and release claims remained held.</x:v>
      </x:c>
    </x:row>
    <x:row r="183" ht="175" customHeight="1">
      <x:c r="A183" s="431" t="str">
        <x:v>EV-180</x:v>
      </x:c>
      <x:c r="B183" s="431" t="n">
        <x:v>46226</x:v>
      </x:c>
      <x:c r="C183" s="431" t="str">
        <x:v>External family authorship and custody separation</x:v>
      </x:c>
      <x:c r="D183" s="431" t="str">
        <x:v>FAM-D116-CIM-20260723-01 is a self-authored synthetic carton-indexing conveyor family with eight opaque scenarios, 129 producer files, three protected files, 140 inventory entries, exact rights/provenance, schema-valid manifests, complete authority/oracle contract, and zero producer-visible oracle leakage.</x:v>
      </x:c>
      <x:c r="E183" s="431" t="str">
        <x:v>External custody / Rights / Structure / Leakage</x:v>
      </x:c>
      <x:c r="F183" s="431" t="str">
        <x:v>docs/package_assurance/p4_2_external_benchmark_recovery_freeze_evidence_v0.3.0.json; family public handoff; producer hash ccaf7ed4...2173; protected hash 27911e90...002</x:v>
      </x:c>
      <x:c r="G183" s="431" t="str">
        <x:v>D-116 family freeze evidence</x:v>
      </x:c>
      <x:c r="H183" s="431" t="str">
        <x:v>Accepted Evidence</x:v>
      </x:c>
      <x:c r="I183" s="431" t="str">
        <x:v>Family and oracle remain outside Git. The implementation context read public handoffs only. Protected values were not published.</x:v>
      </x:c>
    </x:row>
    <x:row r="184" ht="175" customHeight="1">
      <x:c r="A184" s="431" t="str">
        <x:v>EV-181</x:v>
      </x:c>
      <x:c r="B184" s="431" t="n">
        <x:v>46226</x:v>
      </x:c>
      <x:c r="C184" s="431" t="str">
        <x:v>Preserved runner failures and preventive controls</x:v>
      </x:c>
      <x:c r="D184" s="431" t="str">
        <x:v>Runner revisions 1-3 were rejected before opaque execution for nested dependency visibility, import-time bytecode mutation, and whole-tree Windows path length. Every failed capsule and report remains byte-exact; IMP-033-IMP-035 convert each failure into a mandatory control.</x:v>
      </x:c>
      <x:c r="E184" s="431" t="str">
        <x:v>Failed-run preservation / Root cause / Prevention</x:v>
      </x:c>
      <x:c r="F184" s="431" t="str">
        <x:v>docs/package_assurance/p4_2_external_benchmark_recovery_freeze_review_v0.3.0.md; IMP-033-IMP-035; runner R1-R3 preservation hashes</x:v>
      </x:c>
      <x:c r="G184" s="431" t="str">
        <x:v>D-116 improvement-loop evidence</x:v>
      </x:c>
      <x:c r="H184" s="431" t="str">
        <x:v>Accepted Evidence</x:v>
      </x:c>
      <x:c r="I184" s="431" t="str">
        <x:v>No failed revision was retried or repaired in place. No opaque audit or protected comparison occurred.</x:v>
      </x:c>
    </x:row>
    <x:row r="185" ht="175" customHeight="1">
      <x:c r="A185" s="431" t="str">
        <x:v>EV-182</x:v>
      </x:c>
      <x:c r="B185" s="431" t="n">
        <x:v>46226</x:v>
      </x:c>
      <x:c r="C185" s="431" t="str">
        <x:v>Oracle-blind runner revision 4 static freeze</x:v>
      </x:c>
      <x:c r="D185" s="431" t="str">
        <x:v>RUNNER-D116-CIM-20260723-04 freezes exact evaluator 3a6766f, 48/48 Git blobs, 340 read-only static files, 339 inventory entries, a pip-free capsule interpreter, five dependency distributions, zero cache artifacts, bounded environment, one-shot consumption, and no retry/resume/overwrite/tuning/protected-comparison path.</x:v>
      </x:c>
      <x:c r="E185" s="431" t="str">
        <x:v>Runner freeze / Static identity / Environment / One-shot control</x:v>
      </x:c>
      <x:c r="F185" s="431" t="str">
        <x:v>runner aggregate 9d7ce69e...c1eb; inventory d0aba026...e741; manifest a0949d94...0590; docs/package_assurance/p4_2_external_benchmark_recovery_freeze_evidence_v0.3.0.json</x:v>
      </x:c>
      <x:c r="G185" s="431" t="str">
        <x:v>D-116 runner freeze evidence</x:v>
      </x:c>
      <x:c r="H185" s="431" t="str">
        <x:v>Accepted Evidence</x:v>
      </x:c>
      <x:c r="I185" s="431" t="str">
        <x:v>The authorization directory is empty and semantic runtime is empty. Exact D-117 binding is required before use.</x:v>
      </x:c>
    </x:row>
    <x:row r="186" ht="175" customHeight="1">
      <x:c r="A186" s="431" t="str">
        <x:v>EV-183</x:v>
      </x:c>
      <x:c r="B186" s="431" t="n">
        <x:v>46226</x:v>
      </x:c>
      <x:c r="C186" s="431" t="str">
        <x:v>Independent D-116 freeze and publication-sentinel proof</x:v>
      </x:c>
      <x:c r="D186" s="431" t="str">
        <x:v>Internal separate-context verification passed 8/8 mandatory and 51/51 detailed controls. One development-only sentinel returned outer/child exit 0, published four schema-valid automatic-pass outputs, preserved exact static identities, forwarded no PATH or credentials, and exercised runs path 193, staged path 256, and former-defect path 264.</x:v>
      </x:c>
      <x:c r="E186" s="431" t="str">
        <x:v>Independent static review / Development sentinel / Zero-run proof</x:v>
      </x:c>
      <x:c r="F186" s="431" t="str">
        <x:v>VER-D116-R4-20260723-01; public verification SHA-256 c21e2ea6...90c4; docs/package_assurance/p4_2_external_benchmark_recovery_freeze_review_v0.3.0.md</x:v>
      </x:c>
      <x:c r="G186" s="431" t="str">
        <x:v>D-116 acceptance evidence</x:v>
      </x:c>
      <x:c r="H186" s="431" t="str">
        <x:v>Accepted Evidence</x:v>
      </x:c>
      <x:c r="I186" s="431" t="str">
        <x:v>Opaque semantic executions, held-out publications, and protected comparisons remain zero. This is internal AI-assisted review, not external independent assurance or performance evidence.</x:v>
      </x:c>
    </x:row>
    <x:row r="187" ht="175" customHeight="1">
      <x:c r="A187" s="431" t="str">
        <x:v>EV-184</x:v>
      </x:c>
      <x:c r="B187" s="431" t="n">
        <x:v>46226</x:v>
      </x:c>
      <x:c r="C187" s="431" t="str">
        <x:v>D-116 repository verification and proposed D-117 gate</x:v>
      </x:c>
      <x:c r="D187" s="431" t="str">
        <x:v>Governance tests passed 22/22. Protected-safe full regression passed 340 with one expected Windows skip at 88.33%; validation 5/5, Ruff, repository sentinel, development benchmark 22/22, frozen baseline 9/9 with explicit generated evidence, and demo 2/2 passed. Governance normal mode passes and strict mode exits 2 on AIR-003 plus pending D-117. PR #69 push and pull-request workflows passed; hosted Linux sentinel published four outputs at runs path 223 and 341 tests passed at 88.50%.</x:v>
      </x:c>
      <x:c r="E187" s="431" t="str">
        <x:v>Regression / Governance / Baseline / Decision gate</x:v>
      </x:c>
      <x:c r="F187" s="431" t="str">
        <x:v>docs/package_assurance/p4_2_external_benchmark_recovery_freeze_evidence_v0.3.0.json; docs/package_assurance/p4_2_external_benchmark_execution_gate_v0.3.0.md; runs/d116-closeout-*; PR #69; GitHub Actions 30041470927 and 30041835325; proposed D-117</x:v>
      </x:c>
      <x:c r="G187" s="431" t="str">
        <x:v>D-116 closeout and D-117 handoff</x:v>
      </x:c>
      <x:c r="H187" s="431" t="str">
        <x:v>Owner Review Required</x:v>
      </x:c>
      <x:c r="I187" s="431" t="str">
        <x:v>D-117 would authorize one runner invocation with eight frozen attempts, immediate raw freeze, oracle-blind verification, and separate protected comparison. It does not authorize retries, tuning, P4.3, or release/performance claims.</x:v>
      </x:c>
    </x:row>
    <x:row r="188" ht="180" customHeight="1">
      <x:c r="A188" s="431" t="str">
        <x:v>EV-185</x:v>
      </x:c>
      <x:c r="B188" s="431" t="n">
        <x:v>46226</x:v>
      </x:c>
      <x:c r="C188" s="431" t="str">
        <x:v>PR #69 integration and D-117 owner authority</x:v>
      </x:c>
      <x:c r="D188" s="431" t="str">
        <x:v>PR #69 passed both hosted checks and merged the exact D-116 recovery freeze to main 04d919f. The owner then accepted D-117, authorizing exactly one runner invocation with eight frozen attempts, immediate raw freeze, oracle-blind verification, and one separate protected comparison.</x:v>
      </x:c>
      <x:c r="E188" s="431" t="str">
        <x:v>Merge / Owner decision / One-shot authority</x:v>
      </x:c>
      <x:c r="F188" s="431" t="str">
        <x:v>PR #69; main 04d919f98f412fd0951cc804ce1a95f2ce078920; owner instruction 2026-07-23; D-117</x:v>
      </x:c>
      <x:c r="G188" s="431" t="str">
        <x:v>P4.2 execution authority</x:v>
      </x:c>
      <x:c r="H188" s="431" t="str">
        <x:v>Accepted Evidence</x:v>
      </x:c>
      <x:c r="I188" s="431" t="str">
        <x:v>No retry, resume, overwrite, second invocation, tuning, evaluator or scenario change, in-runner protected comparison, P4.3, or release claim was authorized.</x:v>
      </x:c>
    </x:row>
    <x:row r="189" ht="180" customHeight="1">
      <x:c r="A189" s="431" t="str">
        <x:v>EV-186</x:v>
      </x:c>
      <x:c r="B189" s="431" t="n">
        <x:v>46226</x:v>
      </x:c>
      <x:c r="C189" s="431" t="str">
        <x:v>D-117 one-shot execution and immutable raw freeze</x:v>
      </x:c>
      <x:c r="D189" s="431" t="str">
        <x:v>Execution EXEC-D117-R4-20260724-01 invoked RUNNER-D116-CIM-20260723-04 once against eight opaque scenarios. All eight attempts completed exactly once, each child returned exit 1, and all eight published four schema-valid outputs. The runner returned 0; static inputs remained exact; no retry, repair, overwrite, tuning, or second invocation occurred.</x:v>
      </x:c>
      <x:c r="E189" s="431" t="str">
        <x:v>One-shot execution / Complete publication / Raw custody</x:v>
      </x:c>
      <x:c r="F189" s="431" t="str">
        <x:v>authorization f7547399...2e7; raw handoff 8d9049b0...c07; 73-file aggregate f9bc8135...cb5c; docs/package_assurance/p4_2_external_benchmark_d117_result_evidence_v0.3.0.json</x:v>
      </x:c>
      <x:c r="G189" s="431" t="str">
        <x:v>D-117 execution evidence</x:v>
      </x:c>
      <x:c r="H189" s="431" t="str">
        <x:v>Accepted Evidence</x:v>
      </x:c>
      <x:c r="I189" s="431" t="str">
        <x:v>The family and authorization are permanently consumed. Raw evidence is read-only and remains outside Git under separated custody.</x:v>
      </x:c>
    </x:row>
    <x:row r="190" ht="180" customHeight="1">
      <x:c r="A190" s="431" t="str">
        <x:v>EV-187</x:v>
      </x:c>
      <x:c r="B190" s="431" t="n">
        <x:v>46226</x:v>
      </x:c>
      <x:c r="C190" s="431" t="str">
        <x:v>Oracle-blind D-117 raw verification</x:v>
      </x:c>
      <x:c r="D190" s="431" t="str">
        <x:v>VER-D117-RAW-20260724-03 passed 14/14 controls: 8/8 attempts, 8/8 complete publications, 8/8 schema-valid package results, exact 73-file aggregate, exact static pre/post identity, zero protected paths, and zero oracle values. Verifier revisions 1 and 2 remain preserved as failed-assumption evidence.</x:v>
      </x:c>
      <x:c r="E190" s="431" t="str">
        <x:v>Independent raw verification / Failed-verifier preservation</x:v>
      </x:c>
      <x:c r="F190" s="431" t="str">
        <x:v>verification JSON def6db6a...250; verifier 6af3d70c...c73; raw aggregate f9bc8135...cb5c; IMP-036</x:v>
      </x:c>
      <x:c r="G190" s="431" t="str">
        <x:v>D-117 raw acceptance evidence</x:v>
      </x:c>
      <x:c r="H190" s="431" t="str">
        <x:v>Accepted Evidence</x:v>
      </x:c>
      <x:c r="I190" s="431" t="str">
        <x:v>Failed verifier revisions did not mutate raw evidence or invoke the semantic runner. The accepted verifier used the exact handoff scope and encodings.</x:v>
      </x:c>
    </x:row>
    <x:row r="191" ht="180" customHeight="1">
      <x:c r="A191" s="431" t="str">
        <x:v>EV-188</x:v>
      </x:c>
      <x:c r="B191" s="431" t="n">
        <x:v>46226</x:v>
      </x:c>
      <x:c r="C191" s="431" t="str">
        <x:v>Separated protected comparison and non-diagnostic state metric</x:v>
      </x:c>
      <x:c r="D191" s="431" t="str">
        <x:v>CMP-D117-R4-20260724-01 compared the exact raw set in a separate custodian context. File/state comparison covered 8/8 scenarios: 7/8 states matched, but exact findings were 0/8, expected finding true positives 0/7, false negatives 7/7, unexpected findings 8, clean false positives 1/1, intended target checks 0/7, and exact combined matches 0/8.</x:v>
      </x:c>
      <x:c r="E191" s="431" t="str">
        <x:v>Protected comparison / Accuracy boundary / Anti-misleading metric</x:v>
      </x:c>
      <x:c r="F191" s="431" t="str">
        <x:v>comparison handoff 742132ce...c19; docs/package_assurance/p4_2_external_benchmark_d117_result_review_v0.3.0.md; IMP-038</x:v>
      </x:c>
      <x:c r="G191" s="431" t="str">
        <x:v>D-117 comparison evidence</x:v>
      </x:c>
      <x:c r="H191" s="431" t="str">
        <x:v>Accepted with Limitation</x:v>
      </x:c>
      <x:c r="I191" s="431" t="str">
        <x:v>The 87.5% broad state agreement is explicitly non-diagnostic because a shared unintended authority failure produced the same broad failure state while blocking every intended target.</x:v>
      </x:c>
    </x:row>
    <x:row r="192" ht="180" customHeight="1">
      <x:c r="A192" s="431" t="str">
        <x:v>EV-189</x:v>
      </x:c>
      <x:c r="B192" s="431" t="n">
        <x:v>46226</x:v>
      </x:c>
      <x:c r="C192" s="431" t="str">
        <x:v>Benchmark-authoring root cause, NC-002, and corrective controls</x:v>
      </x:c>
      <x:c r="D192" s="431" t="str">
        <x:v>All eight authority maps used the family ID where the accepted public contract required each scenario package ID. GATE-PKG-AUTHORITY-001 correctly failed closed in every package and skipped all eleven relationship checks. AIMS-AUD-002 opened NC-002; AIR-011 was reopened; IMP-037 requires public-contract validation and protected target reachability.</x:v>
      </x:c>
      <x:c r="E192" s="431" t="str">
        <x:v>Root cause / Internal audit / Nonconformity / Risk treatment</x:v>
      </x:c>
      <x:c r="F192" s="431" t="str">
        <x:v>docs/governance/internal_audit_d117_benchmark_authoring_2026-07-23.md; NC-002; AIR-011; IMP-037; docs/package_assurance/p4_2_replacement_custodian_public_contract_v0.3.0.md</x:v>
      </x:c>
      <x:c r="G192" s="431" t="str">
        <x:v>D-117 governance evidence</x:v>
      </x:c>
      <x:c r="H192" s="431" t="str">
        <x:v>Accepted with Hold</x:v>
      </x:c>
      <x:c r="I192" s="431" t="str">
        <x:v>Evaluator behavior is not the defect. D-117 proves fail-closed authority enforcement and complete publication, not intended downstream relationship performance.</x:v>
      </x:c>
    </x:row>
    <x:row r="193" ht="180" customHeight="1">
      <x:c r="A193" s="431" t="str">
        <x:v>EV-190</x:v>
      </x:c>
      <x:c r="B193" s="431" t="n">
        <x:v>46226</x:v>
      </x:c>
      <x:c r="C193" s="431" t="str">
        <x:v>D-117 repository verification and proposed D-118 gate</x:v>
      </x:c>
      <x:c r="D193" s="431" t="str">
        <x:v>AI-governance tests passed 22/22. Protected-safe full regression passed 340 with one expected Windows skip at 88.33%; validation 5/5, Ruff, publication sentinel four outputs, development benchmark 22/22, frozen baseline 9/9 with generated evidence, and demo 2/2 passed. A long-temp-root failure is preserved; the unchanged suite passed under short runs/t117f and IMP-039 retains the rule.</x:v>
      </x:c>
      <x:c r="E193" s="431" t="str">
        <x:v>Regression / Governance / Improvement loop / Decision gate</x:v>
      </x:c>
      <x:c r="F193" s="431" t="str">
        <x:v>runs/t117f; runs/s117a; runs/b117a; runs/v117a; runs/v117e; runs/p117a; docs/package_assurance/p4_2_benchmark_authoring_corrective_action_gate_v0.3.0.md; proposed D-118; IMP-039</x:v>
      </x:c>
      <x:c r="G193" s="431" t="str">
        <x:v>D-117 closeout and D-118 handoff</x:v>
      </x:c>
      <x:c r="H193" s="431" t="str">
        <x:v>Owner Review Required</x:v>
      </x:c>
      <x:c r="I193" s="431" t="str">
        <x:v>D-118 authorizes only public-contract validation and separated custodian reachability controls. New family creation, semantic execution, tuning, P4.3, and release claims remain held.</x:v>
      </x:c>
    </x:row>
    <x:row r="194" ht="185" customHeight="1">
      <x:c r="A194" s="431" t="str">
        <x:v>EV-191</x:v>
      </x:c>
      <x:c r="B194" s="429" t="n">
        <x:v>46226</x:v>
      </x:c>
      <x:c r="C194" s="431" t="str">
        <x:v>PR #70 integration and D-118 owner acceptance</x:v>
      </x:c>
      <x:c r="D194" s="431" t="str">
        <x:v>PR #70 merged the consumed D-117 result to exact main 2246d1a. The owner accepted D-118, authorizing bounded public-contract validation, separated custodian target-reachability controls, development-only proof, and a later new-family gate.</x:v>
      </x:c>
      <x:c r="E194" s="431" t="str">
        <x:v>Merge / Owner decision / Scope authority</x:v>
      </x:c>
      <x:c r="F194" s="431" t="str">
        <x:v>PR #70; main 2246d1ae1651b48d2dae2b2278e5120be168b9a1; owner instruction 2026-07-23; D-118</x:v>
      </x:c>
      <x:c r="G194" s="431" t="str">
        <x:v>P4.2 corrective-action authority</x:v>
      </x:c>
      <x:c r="H194" s="431" t="str">
        <x:v>Accepted Evidence</x:v>
      </x:c>
      <x:c r="I194" s="431" t="str">
        <x:v>No consumed-family repair, rerun, or reuse; no new external family; no official semantic execution, tuning, P4.3, or release claim was authorized.</x:v>
      </x:c>
    </x:row>
    <x:row r="195" ht="185" customHeight="1">
      <x:c r="A195" s="431" t="str">
        <x:v>EV-192</x:v>
      </x:c>
      <x:c r="B195" s="429" t="n">
        <x:v>46226</x:v>
      </x:c>
      <x:c r="C195" s="431" t="str">
        <x:v>Producer-visible public package-contract validator</x:v>
      </x:c>
      <x:c r="D195" s="431" t="str">
        <x:v>VAL-PKG-AUTHORING-001 reuses the accepted eight mandatory gates without running relationships. It emits deterministic path-safe JSON and rejects the exact D-117 package/authority scope defect with GATE-PKG-AUTHORITY-001 and AUTHORITY_SCOPE_CONFLICT.</x:v>
      </x:c>
      <x:c r="E195" s="431" t="str">
        <x:v>Pre-freeze prevention / Public contract / Fail closed</x:v>
      </x:c>
      <x:c r="F195" s="431" t="str">
        <x:v>src/mech_eval_harness/package_assurance/public_contract.py; CLI validate-package-contract; tests/test_package_authoring_controls.py; docs/package_assurance/p4_2_benchmark_authoring_control_procedure_v0.3.0.md</x:v>
      </x:c>
      <x:c r="G195" s="431" t="str">
        <x:v>D-118 public-control evidence</x:v>
      </x:c>
      <x:c r="H195" s="431" t="str">
        <x:v>Accepted Evidence</x:v>
      </x:c>
      <x:c r="I195" s="431" t="str">
        <x:v>The validator covers producer-visible authoring invariants only. It does not prove relationship accuracy, engineering correctness, benchmark performance, or release readiness.</x:v>
      </x:c>
    </x:row>
    <x:row r="196" ht="185" customHeight="1">
      <x:c r="A196" s="431" t="str">
        <x:v>EV-193</x:v>
      </x:c>
      <x:c r="B196" s="429" t="n">
        <x:v>46226</x:v>
      </x:c>
      <x:c r="C196" s="431" t="str">
        <x:v>Separated custodian target-reachability verifier</x:v>
      </x:c>
      <x:c r="D196" s="431" t="str">
        <x:v>VER-PKG-TARGET-REACHABILITY-001 confines inputs to one custody root, requires schema-valid exact-order package results, proves one clean scenario clears all gates, and checks each protected gate or relationship target is not skipped by an unintended earlier blocker.</x:v>
      </x:c>
      <x:c r="E196" s="431" t="str">
        <x:v>Protected reachability / Redaction / Immutable evidence</x:v>
      </x:c>
      <x:c r="F196" s="431" t="str">
        <x:v>src/mech_eval_harness/package_assurance/target_reachability.py; CLI verify-target-reachability; tests/test_package_authoring_controls.py; docs/package_assurance/p4_2_benchmark_authoring_control_procedure_v0.3.0.md</x:v>
      </x:c>
      <x:c r="G196" s="431" t="str">
        <x:v>D-118 custodian-control evidence</x:v>
      </x:c>
      <x:c r="H196" s="431" t="str">
        <x:v>Accepted Evidence</x:v>
      </x:c>
      <x:c r="I196" s="431" t="str">
        <x:v>Public output exposes aggregate counts and hashes only. Protected scenario mappings remain separate; reports are write-once and protected detail is written before the public completion marker.</x:v>
      </x:c>
    </x:row>
    <x:row r="197" ht="185" customHeight="1">
      <x:c r="A197" s="431" t="str">
        <x:v>EV-194</x:v>
      </x:c>
      <x:c r="B197" s="429" t="n">
        <x:v>46226</x:v>
      </x:c>
      <x:c r="C197" s="431" t="str">
        <x:v>Development-only D-118 operating proof</x:v>
      </x:c>
      <x:c r="D197" s="431" t="str">
        <x:v>PROOF-D118-AUTHORING-CONTROLS-001 passed all six controls: clean contract, relationship-fault contract, exact defect rejection, intended target reachability, unintended blocker rejection, and public redaction. It copied no expected directory and performed zero held-out semantic executions.</x:v>
      </x:c>
      <x:c r="E197" s="431" t="str">
        <x:v>Development proof / Positive and negative controls / Leakage boundary</x:v>
      </x:c>
      <x:c r="F197" s="431" t="str">
        <x:v>scripts/run_benchmark_authoring_control_proof.py; runs/d118-proof-b/benchmark_authoring_control_proof.json; runs/d118-proof-b/benchmark_authoring_control_proof.md</x:v>
      </x:c>
      <x:c r="G197" s="431" t="str">
        <x:v>D-118 operating evidence</x:v>
      </x:c>
      <x:c r="H197" s="431" t="str">
        <x:v>Accepted with Limitation</x:v>
      </x:c>
      <x:c r="I197" s="431" t="str">
        <x:v>This proves control operation on development-only synthetic packages. External corrective-control effectiveness and benchmark performance remain unproven.</x:v>
      </x:c>
    </x:row>
    <x:row r="198" ht="185" customHeight="1">
      <x:c r="A198" s="431" t="str">
        <x:v>EV-195</x:v>
      </x:c>
      <x:c r="B198" s="429" t="n">
        <x:v>46226</x:v>
      </x:c>
      <x:c r="C198" s="431" t="str">
        <x:v>Search-boundary recurrence, disclosure, and strengthened treatment</x:v>
      </x:c>
      <x:c r="D198" s="431" t="str">
        <x:v>An unexpectedly broad search surfaced protected text from a consumed release-ineligible historical family. No value was used and no asset changed. I-012 and IMP-040 require literal-path reads, named approved search roots, and physical external custody for every future release-eligible family through first official execution.</x:v>
      </x:c>
      <x:c r="E198" s="431" t="str">
        <x:v>Incident / Disclosure / Risk treatment / Improvement loop</x:v>
      </x:c>
      <x:c r="F198" s="431" t="str">
        <x:v>AGENTS.md; docs/quality/improvement_register.md; docs/package_assurance/p4_2_benchmark_authoring_corrective_action_review_v0.3.0.md; AIR-008; I-012; IMP-032; IMP-040</x:v>
      </x:c>
      <x:c r="G198" s="431" t="str">
        <x:v>D-118 governance evidence</x:v>
      </x:c>
      <x:c r="H198" s="431" t="str">
        <x:v>Accepted with Hold</x:v>
      </x:c>
      <x:c r="I198" s="431" t="str">
        <x:v>AIR-008 is reopened. No protected fixture test ran, no external D-117 custody asset was accessed, and no surfaced value informed implementation or testing.</x:v>
      </x:c>
    </x:row>
    <x:row r="199" ht="185" customHeight="1">
      <x:c r="A199" s="431" t="str">
        <x:v>EV-196</x:v>
      </x:c>
      <x:c r="B199" s="429" t="n">
        <x:v>46226</x:v>
      </x:c>
      <x:c r="C199" s="431" t="str">
        <x:v>D-118 local verification and proposed D-119 gate</x:v>
      </x:c>
      <x:c r="D199" s="431" t="str">
        <x:v>Authoring-control plus governance tests passed 36/36. Protected-safe full regression passed 354 with one expected Windows skip at 88.02%; repository validation 5/5, Ruff, four-output sentinel, development benchmark 22/22, frozen baseline 9/9 with generated evidence, and demo 2/2 passed. Normal governance passes; strict release-ready validation remains held.</x:v>
      </x:c>
      <x:c r="E199" s="431" t="str">
        <x:v>Regression / Governance / Operational proof / Decision gate</x:v>
      </x:c>
      <x:c r="F199" s="431" t="str">
        <x:v>runs/t118l; runs/t118m; runs/s118a; runs/b118a; runs/v118a; runs/d118a; docs/package_assurance/p4_2_benchmark_authoring_corrective_action_review_v0.3.0.md; docs/package_assurance/p4_2_new_external_family_preparation_gate_v0.3.0.md; proposed D-119</x:v>
      </x:c>
      <x:c r="G199" s="431" t="str">
        <x:v>D-118 closeout and D-119 handoff</x:v>
      </x:c>
      <x:c r="H199" s="431" t="str">
        <x:v>Owner Review Required</x:v>
      </x:c>
      <x:c r="I199" s="431" t="str">
        <x:v>D-119 would authorize isolated preparation and authoring-control verification for one genuinely new family only. Official execution remains D-120; tuning, P4.3, release, and performance claims remain held.</x:v>
      </x:c>
    </x:row>
    <x:row r="200" ht="185" customHeight="1">
      <x:c r="A200" s="431" t="str">
        <x:v>EV-197</x:v>
      </x:c>
      <x:c r="B200" s="429" t="n">
        <x:v>46227</x:v>
      </x:c>
      <x:c r="C200" s="431" t="str">
        <x:v>PR #71 integration and D-119 owner acceptance</x:v>
      </x:c>
      <x:c r="D200" s="431" t="str">
        <x:v>PR #71 passed hosted checks and merged the D-118 controls to exact main 17830bd. The owner accepted D-119, authorizing one new isolated synthetic family for public-contract and protected target-reachability verification only.</x:v>
      </x:c>
      <x:c r="E200" s="431" t="str">
        <x:v>Merge / Owner decision / Scope authority</x:v>
      </x:c>
      <x:c r="F200" s="431" t="str">
        <x:v>PR #71; main 17830bd3aecfe6b51f6f8d983a67129757208b1c; owner instruction 2026-07-24; D-119</x:v>
      </x:c>
      <x:c r="G200" s="431" t="str">
        <x:v>P4.2 D-119 authority</x:v>
      </x:c>
      <x:c r="H200" s="431" t="str">
        <x:v>Accepted Evidence</x:v>
      </x:c>
      <x:c r="I200" s="431" t="str">
        <x:v>No official benchmark execution, tuning, protected publication, P4.3, or release claim was authorized.</x:v>
      </x:c>
    </x:row>
    <x:row r="201" ht="185" customHeight="1">
      <x:c r="A201" s="431" t="str">
        <x:v>EV-198</x:v>
      </x:c>
      <x:c r="B201" s="429" t="n">
        <x:v>46227</x:v>
      </x:c>
      <x:c r="C201" s="431" t="str">
        <x:v>Isolated D-119 producer preparation and corrected-control proof</x:v>
      </x:c>
      <x:c r="D201" s="431" t="str">
        <x:v>One new synthetic family remained outside Git with eight scenarios. Producer public validation passed 8/8, the clean scenario cleared every mandatory gate, 7/7 protected targets were reachable with zero unintended blockers, and three rejected revisions were preserved. The 317 class files plus five inventories are read-only; official invocations are zero.</x:v>
      </x:c>
      <x:c r="E201" s="431" t="str">
        <x:v>External custody / Authoring controls / Freeze</x:v>
      </x:c>
      <x:c r="F201" s="431" t="str">
        <x:v>docs/package_assurance/p4_2_new_external_family_preparation_evidence_v0.3.0.json; producer public handoff SHA-256 6a89ba93934e42573a984573144d1f5dfde0efde89a99da01942663ecfc623e2; family aggregate 69228bf0...69f</x:v>
      </x:c>
      <x:c r="G201" s="431" t="str">
        <x:v>D-119 producer evidence</x:v>
      </x:c>
      <x:c r="H201" s="431" t="str">
        <x:v>Accepted with Hold</x:v>
      </x:c>
      <x:c r="I201" s="431" t="str">
        <x:v>Only opaque identity, aggregate hashes, commitments, and redacted reachability entered public review. This is not performance evidence.</x:v>
      </x:c>
    </x:row>
    <x:row r="202" ht="185" customHeight="1">
      <x:c r="A202" s="431" t="str">
        <x:v>EV-199</x:v>
      </x:c>
      <x:c r="B202" s="429" t="n">
        <x:v>46227</x:v>
      </x:c>
      <x:c r="C202" s="431" t="str">
        <x:v>Independent D-119 freeze, replay, and redaction review</x:v>
      </x:c>
      <x:c r="D202" s="431" t="str">
        <x:v>A fresh reviewer independent of authoring and evaluator implementation replayed 8/8 public validations, reproduced 7/7 target reachability, every class and inventory hash, the 322-file read-only freeze, rejected-revision preservation, redaction, and exact pre/post identity with zero mutation and zero official invocations.</x:v>
      </x:c>
      <x:c r="E202" s="431" t="str">
        <x:v>Independent static review / Integrity / Redaction</x:v>
      </x:c>
      <x:c r="F202" s="431" t="str">
        <x:v>docs/package_assurance/p4_2_new_external_family_preparation_review_v0.3.0.md; reviewer public handoff SHA-256 37f2e735a53c2da71830cdccdf7738b98c6a1513908b5922d3272c88e3bf916c; pre/post 9a986402...62f8</x:v>
      </x:c>
      <x:c r="G202" s="431" t="str">
        <x:v>D-119 independent acceptance evidence</x:v>
      </x:c>
      <x:c r="H202" s="431" t="str">
        <x:v>Accepted with Hold</x:v>
      </x:c>
      <x:c r="I202" s="431" t="str">
        <x:v>Internal separated-role review, not external independent assurance. It ran no audit-package command, semantic relationship evaluation, official batch, or protected performance comparison.</x:v>
      </x:c>
    </x:row>
    <x:row r="203" ht="235" customHeight="1">
      <x:c r="A203" s="431" t="str">
        <x:v>EV-200</x:v>
      </x:c>
      <x:c r="B203" s="429" t="n">
        <x:v>46227</x:v>
      </x:c>
      <x:c r="C203" s="431" t="str">
        <x:v>D-119 repository verification and proposed D-120 gate</x:v>
      </x:c>
      <x:c r="D203" s="431" t="str">
        <x:v>Focused authoring and governance tests passed 36/36. Protected-safe full regression passed 354 with one expected Windows skip at 88.02% coverage; validation 5/5, Ruff, four-output sentinel, development benchmark 22/22, frozen baseline 9/9 with generated evidence, and demo 2/2 passed. Normal governance passes; strict release-ready validation remains held. Both hosted Linux validation jobs pass on PR #72.</x:v>
      </x:c>
      <x:c r="E203" s="431" t="str">
        <x:v>Regression / Governance / Decision gate</x:v>
      </x:c>
      <x:c r="F203" s="431" t="str">
        <x:v>runs/t119a; runs/t119b; runs/t119c; runs/t119d; runs/t119e; runs/s119a; runs/b119a; runs/v119a; runs/d119a; docs/package_assurance/p4_2_new_external_family_execution_gate_v0.3.0.md; proposed D-120; PR #72 hosted 2/2</x:v>
      </x:c>
      <x:c r="G203" s="431" t="str">
        <x:v>D-119 closeout and D-120 handoff</x:v>
      </x:c>
      <x:c r="H203" s="431" t="str">
        <x:v>Owner Review Required</x:v>
      </x:c>
      <x:c r="I203" s="431" t="str">
        <x:v>The first focused replay failed before test bodies at an inaccessible default temp root; unchanged tests passed 14/14 under runs/t119a. The first combined final gate exposed three stale assertions expecting D-119 after governance advanced to D-120; only those expectations changed and the rerun passed 36/36. D-120 would authorize one bounded official batch only. AIR-003, AIR-008, AIR-011, NC-002, P4.3, release, and performance claims remain held.</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669</x:v>
      </x:c>
      <x:c r="C4" s="80" t="s">
        <x:v>670</x:v>
      </x:c>
      <x:c r="D4" s="80" t="s">
        <x:v>671</x:v>
      </x:c>
      <x:c r="E4" s="80" t="s">
        <x:v>672</x:v>
      </x:c>
      <x:c r="F4" s="80" t="s">
        <x:v>673</x:v>
      </x:c>
      <x:c r="G4" s="80" t="s">
        <x:v>674</x:v>
      </x:c>
      <x:c r="H4" s="80" t="s">
        <x:v>675</x:v>
      </x:c>
      <x:c r="I4" s="80" t="s">
        <x:v>56</x:v>
      </x:c>
    </x:row>
    <x:row r="5" ht="28.5">
      <x:c r="A5" s="78" t="s">
        <x:v>676</x:v>
      </x:c>
      <x:c r="B5" s="78" t="s">
        <x:v>677</x:v>
      </x:c>
      <x:c r="C5" s="78" t="s">
        <x:v>678</x:v>
      </x:c>
      <x:c r="D5" s="78" t="s">
        <x:v>679</x:v>
      </x:c>
      <x:c r="E5" s="78" t="s">
        <x:v>680</x:v>
      </x:c>
      <x:c r="F5" s="78" t="s">
        <x:v>681</x:v>
      </x:c>
      <x:c r="G5" s="78" t="s">
        <x:v>682</x:v>
      </x:c>
      <x:c r="H5" s="78" t="s">
        <x:v>683</x:v>
      </x:c>
      <x:c r="I5" s="78" t="str">
        <x:v>Deferred — expand selectively through package benchmark</x:v>
      </x:c>
    </x:row>
    <x:row r="6" ht="57">
      <x:c r="A6" s="78" t="s">
        <x:v>684</x:v>
      </x:c>
      <x:c r="B6" s="78" t="s">
        <x:v>685</x:v>
      </x:c>
      <x:c r="C6" s="78" t="s">
        <x:v>686</x:v>
      </x:c>
      <x:c r="D6" s="78" t="s">
        <x:v>687</x:v>
      </x:c>
      <x:c r="E6" s="78" t="s">
        <x:v>688</x:v>
      </x:c>
      <x:c r="F6" s="78" t="s">
        <x:v>570</x:v>
      </x:c>
      <x:c r="G6" s="78" t="s">
        <x:v>689</x:v>
      </x:c>
      <x:c r="H6" s="78" t="s">
        <x:v>685</x:v>
      </x:c>
      <x:c r="I6" s="78" t="str">
        <x:v>Deferred — v0.4+; structured manifests first</x:v>
      </x:c>
    </x:row>
    <x:row r="7" ht="57">
      <x:c r="A7" s="78" t="s">
        <x:v>690</x:v>
      </x:c>
      <x:c r="B7" s="78" t="s">
        <x:v>691</x:v>
      </x:c>
      <x:c r="C7" s="78" t="s">
        <x:v>692</x:v>
      </x:c>
      <x:c r="D7" s="78" t="s">
        <x:v>693</x:v>
      </x:c>
      <x:c r="E7" s="78" t="s">
        <x:v>694</x:v>
      </x:c>
      <x:c r="F7" s="78" t="s">
        <x:v>570</x:v>
      </x:c>
      <x:c r="G7" s="78" t="s">
        <x:v>695</x:v>
      </x:c>
      <x:c r="H7" s="78" t="s">
        <x:v>696</x:v>
      </x:c>
      <x:c r="I7" s="78" t="str">
        <x:v>Deferred — after package evaluator and sandbox/trace plan</x:v>
      </x:c>
    </x:row>
    <x:row r="8" ht="57">
      <x:c r="A8" s="78" t="s">
        <x:v>697</x:v>
      </x:c>
      <x:c r="B8" s="78" t="s">
        <x:v>698</x:v>
      </x:c>
      <x:c r="C8" s="78" t="s">
        <x:v>699</x:v>
      </x:c>
      <x:c r="D8" s="78" t="s">
        <x:v>700</x:v>
      </x:c>
      <x:c r="E8" s="78" t="s">
        <x:v>701</x:v>
      </x:c>
      <x:c r="F8" s="78" t="s">
        <x:v>570</x:v>
      </x:c>
      <x:c r="G8" s="78" t="s">
        <x:v>682</x:v>
      </x:c>
      <x:c r="H8" s="78" t="s">
        <x:v>702</x:v>
      </x:c>
      <x:c r="I8" s="78" t="s">
        <x:v>703</x:v>
      </x:c>
    </x:row>
    <x:row r="9" ht="28.5">
      <x:c r="A9" s="78" t="s">
        <x:v>704</x:v>
      </x:c>
      <x:c r="B9" s="78" t="s">
        <x:v>705</x:v>
      </x:c>
      <x:c r="C9" s="78" t="s">
        <x:v>706</x:v>
      </x:c>
      <x:c r="D9" s="78" t="s">
        <x:v>707</x:v>
      </x:c>
      <x:c r="E9" s="78" t="s">
        <x:v>708</x:v>
      </x:c>
      <x:c r="F9" s="78" t="s">
        <x:v>582</x:v>
      </x:c>
      <x:c r="G9" s="78" t="s">
        <x:v>682</x:v>
      </x:c>
      <x:c r="H9" s="78" t="s">
        <x:v>709</x:v>
      </x:c>
      <x:c r="I9" s="78" t="s">
        <x:v>703</x:v>
      </x:c>
    </x:row>
    <x:row r="10" ht="28.5">
      <x:c r="A10" s="78" t="s">
        <x:v>710</x:v>
      </x:c>
      <x:c r="B10" s="78" t="s">
        <x:v>711</x:v>
      </x:c>
      <x:c r="C10" s="78" t="s">
        <x:v>712</x:v>
      </x:c>
      <x:c r="D10" s="78" t="s">
        <x:v>713</x:v>
      </x:c>
      <x:c r="E10" s="78" t="s">
        <x:v>714</x:v>
      </x:c>
      <x:c r="F10" s="78" t="s">
        <x:v>582</x:v>
      </x:c>
      <x:c r="G10" s="78" t="s">
        <x:v>715</x:v>
      </x:c>
      <x:c r="H10" s="78" t="s">
        <x:v>711</x:v>
      </x:c>
      <x:c r="I10" s="78" t="s">
        <x:v>703</x:v>
      </x:c>
    </x:row>
    <x:row r="11" ht="28.5">
      <x:c r="A11" s="78" t="s">
        <x:v>716</x:v>
      </x:c>
      <x:c r="B11" s="78" t="s">
        <x:v>717</x:v>
      </x:c>
      <x:c r="C11" s="78" t="s">
        <x:v>718</x:v>
      </x:c>
      <x:c r="D11" s="78" t="s">
        <x:v>719</x:v>
      </x:c>
      <x:c r="E11" s="78" t="s">
        <x:v>720</x:v>
      </x:c>
      <x:c r="F11" s="78" t="s">
        <x:v>582</x:v>
      </x:c>
      <x:c r="G11" s="78" t="s">
        <x:v>721</x:v>
      </x:c>
      <x:c r="H11" s="78" t="s">
        <x:v>722</x:v>
      </x:c>
      <x:c r="I11" s="78" t="s">
        <x:v>703</x:v>
      </x:c>
    </x:row>
    <x:row r="12" ht="28.5">
      <x:c r="A12" s="78" t="s">
        <x:v>723</x:v>
      </x:c>
      <x:c r="B12" s="78" t="s">
        <x:v>724</x:v>
      </x:c>
      <x:c r="C12" s="78" t="s">
        <x:v>725</x:v>
      </x:c>
      <x:c r="D12" s="78" t="s">
        <x:v>726</x:v>
      </x:c>
      <x:c r="E12" s="78" t="s">
        <x:v>727</x:v>
      </x:c>
      <x:c r="F12" s="78" t="s">
        <x:v>594</x:v>
      </x:c>
      <x:c r="G12" s="78" t="s">
        <x:v>695</x:v>
      </x:c>
      <x:c r="H12" s="78" t="s">
        <x:v>724</x:v>
      </x:c>
      <x:c r="I12" s="78" t="s">
        <x:v>703</x:v>
      </x:c>
    </x:row>
    <x:row r="13" ht="28.5">
      <x:c r="A13" s="78" t="s">
        <x:v>728</x:v>
      </x:c>
      <x:c r="B13" s="78" t="s">
        <x:v>722</x:v>
      </x:c>
      <x:c r="C13" s="78" t="s">
        <x:v>729</x:v>
      </x:c>
      <x:c r="D13" s="78" t="s">
        <x:v>730</x:v>
      </x:c>
      <x:c r="E13" s="78" t="s">
        <x:v>731</x:v>
      </x:c>
      <x:c r="F13" s="78" t="s">
        <x:v>582</x:v>
      </x:c>
      <x:c r="G13" s="78" t="s">
        <x:v>715</x:v>
      </x:c>
      <x:c r="H13" s="78" t="s">
        <x:v>722</x:v>
      </x:c>
      <x:c r="I13" s="78" t="s">
        <x:v>703</x:v>
      </x:c>
    </x:row>
    <x:row r="14" ht="28.5">
      <x:c r="A14" s="78" t="s">
        <x:v>732</x:v>
      </x:c>
      <x:c r="B14" s="78" t="s">
        <x:v>733</x:v>
      </x:c>
      <x:c r="C14" s="78" t="s">
        <x:v>734</x:v>
      </x:c>
      <x:c r="D14" s="78" t="s">
        <x:v>735</x:v>
      </x:c>
      <x:c r="E14" s="78" t="s">
        <x:v>736</x:v>
      </x:c>
      <x:c r="F14" s="78" t="s">
        <x:v>582</x:v>
      </x:c>
      <x:c r="G14" s="78" t="s">
        <x:v>737</x:v>
      </x:c>
      <x:c r="H14" s="78" t="s">
        <x:v>733</x:v>
      </x:c>
      <x:c r="I14" s="78" t="s">
        <x:v>703</x:v>
      </x:c>
    </x:row>
    <x:row r="15" ht="28.5">
      <x:c r="A15" s="78" t="s">
        <x:v>738</x:v>
      </x:c>
      <x:c r="B15" s="78" t="s">
        <x:v>739</x:v>
      </x:c>
      <x:c r="C15" s="78" t="s">
        <x:v>740</x:v>
      </x:c>
      <x:c r="D15" s="78" t="s">
        <x:v>741</x:v>
      </x:c>
      <x:c r="E15" s="78" t="s">
        <x:v>742</x:v>
      </x:c>
      <x:c r="F15" s="78" t="s">
        <x:v>594</x:v>
      </x:c>
      <x:c r="G15" s="78" t="s">
        <x:v>743</x:v>
      </x:c>
      <x:c r="H15" s="78" t="s">
        <x:v>744</x:v>
      </x:c>
      <x:c r="I15" s="78" t="s">
        <x:v>703</x:v>
      </x:c>
    </x:row>
    <x:row r="16" ht="28.5">
      <x:c r="A16" s="78" t="s">
        <x:v>745</x:v>
      </x:c>
      <x:c r="B16" s="78" t="s">
        <x:v>746</x:v>
      </x:c>
      <x:c r="C16" s="78" t="s">
        <x:v>747</x:v>
      </x:c>
      <x:c r="D16" s="78" t="s">
        <x:v>748</x:v>
      </x:c>
      <x:c r="E16" s="78" t="s">
        <x:v>749</x:v>
      </x:c>
      <x:c r="F16" s="78" t="s">
        <x:v>594</x:v>
      </x:c>
      <x:c r="G16" s="78" t="s">
        <x:v>750</x:v>
      </x:c>
      <x:c r="H16" s="78" t="s">
        <x:v>746</x:v>
      </x:c>
      <x:c r="I16" s="78" t="s">
        <x:v>703</x:v>
      </x:c>
    </x:row>
    <x:row r="17" ht="72" customHeight="1">
      <x:c r="A17" s="182" t="s">
        <x:v>751</x:v>
      </x:c>
      <x:c r="B17" s="183" t="s">
        <x:v>752</x:v>
      </x:c>
      <x:c r="C17" s="183" t="s">
        <x:v>753</x:v>
      </x:c>
      <x:c r="D17" s="183" t="s">
        <x:v>754</x:v>
      </x:c>
      <x:c r="E17" s="183" t="str">
        <x:v>MVP v0.2.0 released; P0 contract and authority map approved; structured package manifests and reviewed ground truth available.</x:v>
      </x:c>
      <x:c r="F17" s="183" t="str">
        <x:v>Now</x:v>
      </x:c>
      <x:c r="G17" s="183" t="str">
        <x:v>46</x:v>
      </x:c>
      <x:c r="H17" s="183" t="s">
        <x:v>755</x:v>
      </x:c>
      <x:c r="I17" s="184" t="str">
        <x:v>Selected — v0.3.0</x:v>
      </x:c>
    </x:row>
    <x:row r="18" ht="72" customHeight="1">
      <x:c r="A18" s="185" t="s">
        <x:v>756</x:v>
      </x:c>
      <x:c r="B18" s="83" t="s">
        <x:v>757</x:v>
      </x:c>
      <x:c r="C18" s="83" t="s">
        <x:v>758</x:v>
      </x:c>
      <x:c r="D18" s="83" t="s">
        <x:v>759</x:v>
      </x:c>
      <x:c r="E18" s="83" t="s">
        <x:v>760</x:v>
      </x:c>
      <x:c r="F18" s="83" t="s">
        <x:v>570</x:v>
      </x:c>
      <x:c r="G18" s="83" t="s">
        <x:v>761</x:v>
      </x:c>
      <x:c r="H18" s="83" t="s">
        <x:v>762</x:v>
      </x:c>
      <x:c r="I18" s="186" t="s">
        <x:v>703</x:v>
      </x:c>
    </x:row>
    <x:row r="19" ht="72" customHeight="1">
      <x:c r="A19" s="187" t="s">
        <x:v>763</x:v>
      </x:c>
      <x:c r="B19" s="188" t="s">
        <x:v>764</x:v>
      </x:c>
      <x:c r="C19" s="188" t="s">
        <x:v>765</x:v>
      </x:c>
      <x:c r="D19" s="188" t="s">
        <x:v>766</x:v>
      </x:c>
      <x:c r="E19" s="188" t="s">
        <x:v>767</x:v>
      </x:c>
      <x:c r="F19" s="188" t="s">
        <x:v>570</x:v>
      </x:c>
      <x:c r="G19" s="188" t="s">
        <x:v>750</x:v>
      </x:c>
      <x:c r="H19" s="188" t="s">
        <x:v>768</x:v>
      </x:c>
      <x:c r="I19" s="189" t="s">
        <x:v>703</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46227</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D-119 complete; D-120 owner review</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The D-118 authoring controls now have independently reproduced evidence on one new isolated family, but official relationship performance remains untested.</x:v>
      </x:c>
      <x:c r="E7" s="765" t="str">
        <x:v>Product interpretation</x:v>
      </x:c>
      <x:c r="F7" s="431" t="str">
        <x:v>Successful kernel; not yet a complete economically useful workflow.</x:v>
      </x:c>
      <x:c r="G7" s="765" t="str">
        <x:v>Response</x:v>
      </x:c>
      <x:c r="H7" s="431" t="str">
        <x:v>Review D-119 and accept or revise D-120 before any official benchmark execution.</x:v>
      </x:c>
    </x:row>
    <x:row r="8" ht="153" hidden="0" customHeight="1">
      <x:c r="A8" s="765" t="str">
        <x:v>Immediate next action</x:v>
      </x:c>
      <x:c r="B8" s="431" t="str">
        <x:v>Review the D-119 freeze, independent redaction evidence, continuing release holds, and proposed D-120 one-shot official execution gate.</x:v>
      </x:c>
      <x:c r="C8" s="765" t="str">
        <x:v>Selected vertical</x:v>
      </x:c>
      <x:c r="D8" s="431" t="str">
        <x:v>D-119 isolated preparation complete -&gt; D-120 official one-shot batch -&gt; raw freeze and oracle-blind verification -&gt; separate protected comparison -&gt; bounded owner review.</x:v>
      </x:c>
      <x:c r="E8" s="765" t="str">
        <x:v>Primary deliverable</x:v>
      </x:c>
      <x:c r="F8" s="431" t="str">
        <x:v>Evidence-linked issue register plus release-readiness summary.</x:v>
      </x:c>
      <x:c r="G8" s="765" t="str">
        <x:v>Scope rule</x:v>
      </x:c>
      <x:c r="H8" s="431" t="str">
        <x:v>Review and merge PR #72, then accept or revise D-120 before any official benchmark execution.</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855" hidden="0" customHeight="1">
      <x:c r="A41" s="604" t="str">
        <x:v>Immediate implication</x:v>
      </x:c>
      <x:c r="B41" s="605" t="str">
        <x:v>null Final authoring-plus-governance verification passes 36/36; the final protected-safe suite passes 354 with one expected skip at 88.02%. Both hosted Linux validation jobs pass on PR #72.</x:v>
      </x:c>
      <x:c r="C41" s="606" t="str">
        <x:v>PR #71 integrated D-118 at exact main 17830bd and the owner accepted D-119. One new entirely synthetic family was authored outside Git with eight opaque scenarios. Producer validation passed 8/8, the clean package cleared every mandatory gate, and all 7 protected targets were reachable with zero unintended blockers. Three rejected revisions remain preserved. A fresh reviewer independently replayed 8/8 public validations and reproduced the 322-file read-only freeze, class and inventory hashes, redaction, and exact pre/post identity. Producer and reviewer handoffs contain only opaque identity, aggregate counts, hashes, commitments, and limitations. Official benchmark invocations remain zero. Local protected-safe regression passes 354 with one expected skip at 88.02%; validation 5/5, Ruff, the four-output sentinel, development benchmark 22/22, frozen baseline 9/9, and demo 2/2 pass. NC-002 remains contained. AIR-003, AIR-008, AIR-011, NC-002, and proposed D-120 hold release. D-120 would authorize one bounded official batch, raw freeze, oracle-blind verification, and separate protected comparison.</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769</x:v>
      </x:c>
      <x:c r="B3" s="235"/>
      <x:c r="C3" s="235"/>
      <x:c r="D3" s="235"/>
      <x:c r="F3" s="237" t="s">
        <x:v>770</x:v>
      </x:c>
      <x:c r="G3" s="235"/>
      <x:c r="H3" s="235"/>
      <x:c r="I3" s="235"/>
      <x:c r="J3" s="235"/>
      <x:c r="K3" s="235"/>
      <x:c r="L3" s="235"/>
      <x:c r="M3" s="235"/>
      <x:c r="N3" s="235"/>
    </x:row>
    <x:row r="4" ht="26.399999618530273" hidden="0" customHeight="1">
      <x:c r="A4" s="79" t="s">
        <x:v>44</x:v>
      </x:c>
      <x:c r="B4" s="166">
        <x:v>46257</x:v>
      </x:c>
      <x:c r="F4" s="449" t="s">
        <x:v>771</x:v>
      </x:c>
      <x:c r="G4" s="610" t="str">
        <x:v>Post-MVP — Select next expansion</x:v>
      </x:c>
      <x:c r="H4" s="610"/>
      <x:c r="I4" s="246"/>
      <x:c r="J4" s="245"/>
      <x:c r="K4" s="245"/>
      <x:c r="L4" s="246"/>
      <x:c r="M4" s="245"/>
      <x:c r="N4" s="245"/>
    </x:row>
    <x:row r="5" ht="14.25" hidden="0" customHeight="1">
      <x:c r="A5" s="79" t="s">
        <x:v>2</x:v>
      </x:c>
      <x:c r="B5" s="167">
        <x:v>76</x:v>
      </x:c>
      <x:c r="F5" s="449" t="s">
        <x:v>772</x:v>
      </x:c>
      <x:c r="G5" s="610" t="str">
        <x:v>Define acceptance criteria for the selected expansion</x:v>
      </x:c>
      <x:c r="H5" s="610"/>
      <x:c r="I5" s="246"/>
      <x:c r="J5" s="245"/>
      <x:c r="K5" s="245"/>
      <x:c r="L5" s="246"/>
      <x:c r="M5" s="245"/>
      <x:c r="N5" s="245"/>
    </x:row>
    <x:row r="6" ht="92.4000015258789" hidden="0" customHeight="1">
      <x:c r="A6" s="79" t="s">
        <x:v>773</x:v>
      </x:c>
      <x:c r="B6" s="168" t="n">
        <x:f>'Phase Summary'!D10</x:f>
        <x:v>17.14</x:v>
      </x:c>
      <x:c r="F6" s="449" t="s">
        <x:v>774</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775</x:v>
      </x:c>
      <x:c r="B7" s="169" t="n">
        <x:f>'Phase Summary'!E10</x:f>
        <x:v>1</x:v>
      </x:c>
      <x:c r="F7" s="449" t="s">
        <x:v>776</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777</x:v>
      </x:c>
      <x:c r="B8" s="167" t="n">
        <x:v>121</x:v>
      </x:c>
      <x:c r="F8" s="449" t="s">
        <x:v>778</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703</x:v>
      </x:c>
      <x:c r="G9" s="610" t="str">
        <x:v>All expansion work until one backlog item is selected.</x:v>
      </x:c>
      <x:c r="H9" s="610"/>
      <x:c r="I9" s="246"/>
      <x:c r="J9" s="245"/>
      <x:c r="K9" s="245"/>
      <x:c r="L9" s="246"/>
      <x:c r="M9" s="245"/>
      <x:c r="N9" s="245"/>
    </x:row>
    <x:row r="10" ht="14.25" hidden="0" customHeight="1">
      <x:c r="A10" s="79" t="s">
        <x:v>779</x:v>
      </x:c>
      <x:c r="B10" s="167" t="n">
        <x:v>22</x:v>
      </x:c>
      <x:c r="F10" s="156" t="s">
        <x:v>780</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781</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0.42</x:v>
      </x:c>
      <x:c r="D20" s="170" t="n">
        <x:f>IF(B20=0,0,SUMPRODUCT(('Detailed Gantt'!$B$6:$B$27=A20)*'Detailed Gantt'!$F$6:$F$27*'Detailed Gantt'!$L$6:$L$27)/B20)</x:f>
        <x:v>1</x:v>
      </x:c>
      <x:c r="E20" s="78" t="str">
        <x:v>Gate 6 — MVP v0.2.0 release</x:v>
      </x:c>
    </x:row>
    <x:row r="23" ht="15.75">
      <x:c r="A23" s="237" t="s">
        <x:v>782</x:v>
      </x:c>
      <x:c r="B23" s="235"/>
      <x:c r="C23" s="235"/>
      <x:c r="D23" s="235"/>
      <x:c r="E23" s="235"/>
      <x:c r="F23" s="235"/>
      <x:c r="G23" s="235"/>
      <x:c r="H23" s="235"/>
      <x:c r="I23" s="235"/>
      <x:c r="J23" s="235"/>
      <x:c r="K23" s="235"/>
      <x:c r="L23" s="235"/>
      <x:c r="M23" s="235"/>
      <x:c r="N23" s="235"/>
    </x:row>
    <x:row r="24" ht="30" customHeight="1">
      <x:c r="A24" s="175" t="s">
        <x:v>673</x:v>
      </x:c>
      <x:c r="B24" s="175" t="s">
        <x:v>48</x:v>
      </x:c>
      <x:c r="C24" s="175" t="s">
        <x:v>783</x:v>
      </x:c>
      <x:c r="D24" s="175" t="s">
        <x:v>784</x:v>
      </x:c>
      <x:c r="E24" s="175" t="s">
        <x:v>178</x:v>
      </x:c>
      <x:c r="F24" s="175" t="s">
        <x:v>785</x:v>
      </x:c>
      <x:c r="G24" s="175" t="s">
        <x:v>181</x:v>
      </x:c>
      <x:c r="H24" s="175" t="s">
        <x:v>564</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33b86d0c1ffb4442"/>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786</x:v>
      </x:c>
      <x:c r="B4" s="238"/>
      <x:c r="C4" s="238"/>
      <x:c r="D4" s="238"/>
      <x:c r="E4" s="238"/>
      <x:c r="F4" s="238"/>
      <x:c r="G4" s="238"/>
      <x:c r="H4" s="238"/>
    </x:row>
    <x:row r="5" ht="33.95000076293945" customHeight="1">
      <x:c r="A5" s="239" t="s">
        <x:v>787</x:v>
      </x:c>
      <x:c r="B5" s="240"/>
      <x:c r="C5" s="241" t="s">
        <x:v>788</x:v>
      </x:c>
      <x:c r="D5" s="242"/>
      <x:c r="E5" s="242"/>
      <x:c r="F5" s="242"/>
      <x:c r="G5" s="242"/>
      <x:c r="H5" s="243"/>
    </x:row>
    <x:row r="6" ht="33.95000076293945" customHeight="1">
      <x:c r="A6" s="239" t="s">
        <x:v>789</x:v>
      </x:c>
      <x:c r="B6" s="240"/>
      <x:c r="C6" s="241" t="str">
        <x:v>Mechanical Technical Document Evaluation Harness v0.2.0 — released evaluation kernel</x:v>
      </x:c>
      <x:c r="D6" s="242"/>
      <x:c r="E6" s="242"/>
      <x:c r="F6" s="242"/>
      <x:c r="G6" s="242"/>
      <x:c r="H6" s="243"/>
    </x:row>
    <x:row r="7" ht="33.95000076293945" customHeight="1">
      <x:c r="A7" s="239" t="s">
        <x:v>790</x:v>
      </x:c>
      <x:c r="B7" s="240"/>
      <x:c r="C7" s="241" t="s">
        <x:v>791</x:v>
      </x:c>
      <x:c r="D7" s="242"/>
      <x:c r="E7" s="242"/>
      <x:c r="F7" s="242"/>
      <x:c r="G7" s="242"/>
      <x:c r="H7" s="243"/>
    </x:row>
    <x:row r="8" ht="33.95000076293945" customHeight="1">
      <x:c r="A8" s="239" t="s">
        <x:v>792</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793</x:v>
      </x:c>
      <x:c r="B9" s="240"/>
      <x:c r="C9" s="241" t="s">
        <x:v>794</x:v>
      </x:c>
      <x:c r="D9" s="242"/>
      <x:c r="E9" s="242"/>
      <x:c r="F9" s="242"/>
      <x:c r="G9" s="242"/>
      <x:c r="H9" s="243"/>
    </x:row>
    <x:row r="11" ht="15">
      <x:c r="A11" s="238" t="s">
        <x:v>795</x:v>
      </x:c>
      <x:c r="B11" s="238"/>
      <x:c r="C11" s="238"/>
      <x:c r="D11" s="238"/>
      <x:c r="E11" s="238"/>
      <x:c r="F11" s="238"/>
      <x:c r="G11" s="238"/>
      <x:c r="H11" s="238"/>
    </x:row>
    <x:row r="12" ht="33.95000076293945" customHeight="1">
      <x:c r="A12" s="179" t="s">
        <x:v>796</x:v>
      </x:c>
      <x:c r="B12" s="180" t="s">
        <x:v>797</x:v>
      </x:c>
      <x:c r="C12" s="180" t="s">
        <x:v>798</x:v>
      </x:c>
      <x:c r="D12" s="180" t="s">
        <x:v>799</x:v>
      </x:c>
      <x:c r="E12" s="180" t="s">
        <x:v>800</x:v>
      </x:c>
      <x:c r="F12" s="180" t="s">
        <x:v>672</x:v>
      </x:c>
      <x:c r="G12" s="180" t="s">
        <x:v>56</x:v>
      </x:c>
      <x:c r="H12" s="181" t="s">
        <x:v>801</x:v>
      </x:c>
    </x:row>
    <x:row r="13" ht="78" customHeight="1">
      <x:c r="A13" s="182" t="s">
        <x:v>17</x:v>
      </x:c>
      <x:c r="B13" s="183" t="s">
        <x:v>802</x:v>
      </x:c>
      <x:c r="C13" s="183" t="s">
        <x:v>803</x:v>
      </x:c>
      <x:c r="D13" s="183" t="s">
        <x:v>804</x:v>
      </x:c>
      <x:c r="E13" s="183" t="s">
        <x:v>805</x:v>
      </x:c>
      <x:c r="F13" s="183" t="s">
        <x:v>806</x:v>
      </x:c>
      <x:c r="G13" s="183" t="str">
        <x:v>Released</x:v>
      </x:c>
      <x:c r="H13" s="184" t="str">
        <x:v>Frozen at v0.2.0; corrective releases only unless explicitly approved.</x:v>
      </x:c>
    </x:row>
    <x:row r="14" ht="78" customHeight="1">
      <x:c r="A14" s="185" t="s">
        <x:v>22</x:v>
      </x:c>
      <x:c r="B14" s="83" t="s">
        <x:v>807</x:v>
      </x:c>
      <x:c r="C14" s="83" t="s">
        <x:v>808</x:v>
      </x:c>
      <x:c r="D14" s="83" t="s">
        <x:v>809</x:v>
      </x:c>
      <x:c r="E14" s="83" t="s">
        <x:v>810</x:v>
      </x:c>
      <x:c r="F14" s="83" t="s">
        <x:v>811</x:v>
      </x:c>
      <x:c r="G14" s="83" t="str">
        <x:v>Active — v0.3.0</x:v>
      </x:c>
      <x:c r="H14" s="186" t="str">
        <x:v>Structured manifests and file references first; issue register and release summary required.</x:v>
      </x:c>
    </x:row>
    <x:row r="15" ht="78" customHeight="1">
      <x:c r="A15" s="185" t="s">
        <x:v>26</x:v>
      </x:c>
      <x:c r="B15" s="83" t="s">
        <x:v>807</x:v>
      </x:c>
      <x:c r="C15" s="83" t="s">
        <x:v>812</x:v>
      </x:c>
      <x:c r="D15" s="83" t="s">
        <x:v>813</x:v>
      </x:c>
      <x:c r="E15" s="83" t="s">
        <x:v>814</x:v>
      </x:c>
      <x:c r="F15" s="83" t="s">
        <x:v>815</x:v>
      </x:c>
      <x:c r="G15" s="83" t="str">
        <x:v>Deferred — v0.4+</x:v>
      </x:c>
      <x:c r="H15" s="186" t="str">
        <x:v>Add extraction adapters only after the structured workflow benchmark is stable.</x:v>
      </x:c>
    </x:row>
    <x:row r="16" ht="78" customHeight="1">
      <x:c r="A16" s="185" t="s">
        <x:v>30</x:v>
      </x:c>
      <x:c r="B16" s="83" t="s">
        <x:v>807</x:v>
      </x:c>
      <x:c r="C16" s="83" t="s">
        <x:v>816</x:v>
      </x:c>
      <x:c r="D16" s="83" t="s">
        <x:v>817</x:v>
      </x:c>
      <x:c r="E16" s="83" t="s">
        <x:v>818</x:v>
      </x:c>
      <x:c r="F16" s="83" t="s">
        <x:v>819</x:v>
      </x:c>
      <x:c r="G16" s="83" t="str">
        <x:v>Active in structured form</x:v>
      </x:c>
      <x:c r="H16" s="186" t="str">
        <x:v>v0.3.0 implements register/metadata/BOM/datasheet/revision consistency; native document adapters remain deferred.</x:v>
      </x:c>
    </x:row>
    <x:row r="17" ht="78" customHeight="1">
      <x:c r="A17" s="185" t="s">
        <x:v>34</x:v>
      </x:c>
      <x:c r="B17" s="83" t="s">
        <x:v>807</x:v>
      </x:c>
      <x:c r="C17" s="83" t="s">
        <x:v>820</x:v>
      </x:c>
      <x:c r="D17" s="83" t="s">
        <x:v>821</x:v>
      </x:c>
      <x:c r="E17" s="83" t="s">
        <x:v>822</x:v>
      </x:c>
      <x:c r="F17" s="83" t="s">
        <x:v>823</x:v>
      </x:c>
      <x:c r="G17" s="83" t="str">
        <x:v>Deferred</x:v>
      </x:c>
      <x:c r="H17" s="186" t="str">
        <x:v>Require sandbox, least privilege, trace schema, and independent artifact evaluator.</x:v>
      </x:c>
    </x:row>
    <x:row r="18" ht="78" customHeight="1">
      <x:c r="A18" s="185" t="s">
        <x:v>38</x:v>
      </x:c>
      <x:c r="B18" s="83" t="s">
        <x:v>807</x:v>
      </x:c>
      <x:c r="C18" s="83" t="s">
        <x:v>824</x:v>
      </x:c>
      <x:c r="D18" s="83" t="s">
        <x:v>825</x:v>
      </x:c>
      <x:c r="E18" s="83" t="s">
        <x:v>826</x:v>
      </x:c>
      <x:c r="F18" s="83" t="s">
        <x:v>827</x:v>
      </x:c>
      <x:c r="G18" s="83" t="str">
        <x:v>Deferred</x:v>
      </x:c>
      <x:c r="H18" s="186" t="str">
        <x:v>Requires controlled standards access, calibrated cases, and qualified human review.</x:v>
      </x:c>
    </x:row>
    <x:row r="19" ht="78" customHeight="1">
      <x:c r="A19" s="187" t="s">
        <x:v>438</x:v>
      </x:c>
      <x:c r="B19" s="188" t="s">
        <x:v>828</x:v>
      </x:c>
      <x:c r="C19" s="188" t="s">
        <x:v>829</x:v>
      </x:c>
      <x:c r="D19" s="188" t="s">
        <x:v>830</x:v>
      </x:c>
      <x:c r="E19" s="188" t="s">
        <x:v>831</x:v>
      </x:c>
      <x:c r="F19" s="188" t="s">
        <x:v>832</x:v>
      </x:c>
      <x:c r="G19" s="188" t="str">
        <x:v>Future</x:v>
      </x:c>
      <x:c r="H19" s="189" t="str">
        <x:v>Productize only after repeatable pilot evidence and controlled false-negative risk.</x:v>
      </x:c>
    </x:row>
    <x:row r="21" ht="15">
      <x:c r="A21" s="238" t="s">
        <x:v>833</x:v>
      </x:c>
      <x:c r="B21" s="238"/>
      <x:c r="C21" s="238"/>
      <x:c r="D21" s="238"/>
      <x:c r="E21" s="238"/>
      <x:c r="F21" s="238"/>
      <x:c r="G21" s="238"/>
      <x:c r="H21" s="238"/>
    </x:row>
    <x:row r="22" ht="38.099998474121094" customHeight="1">
      <x:c r="A22" s="239" t="s">
        <x:v>834</x:v>
      </x:c>
      <x:c r="B22" s="240"/>
      <x:c r="C22" s="241" t="s">
        <x:v>835</x:v>
      </x:c>
      <x:c r="D22" s="242"/>
      <x:c r="E22" s="242"/>
      <x:c r="F22" s="242"/>
      <x:c r="G22" s="242"/>
      <x:c r="H22" s="243"/>
    </x:row>
    <x:row r="23" ht="38.099998474121094" customHeight="1">
      <x:c r="A23" s="239" t="s">
        <x:v>836</x:v>
      </x:c>
      <x:c r="B23" s="240"/>
      <x:c r="C23" s="241" t="s">
        <x:v>837</x:v>
      </x:c>
      <x:c r="D23" s="242"/>
      <x:c r="E23" s="242"/>
      <x:c r="F23" s="242"/>
      <x:c r="G23" s="242"/>
      <x:c r="H23" s="243"/>
    </x:row>
    <x:row r="24" ht="38.099998474121094" customHeight="1">
      <x:c r="A24" s="239" t="s">
        <x:v>838</x:v>
      </x:c>
      <x:c r="B24" s="240"/>
      <x:c r="C24" s="241" t="s">
        <x:v>839</x:v>
      </x:c>
      <x:c r="D24" s="242"/>
      <x:c r="E24" s="242"/>
      <x:c r="F24" s="242"/>
      <x:c r="G24" s="242"/>
      <x:c r="H24" s="243"/>
    </x:row>
    <x:row r="25" ht="38.099998474121094" customHeight="1">
      <x:c r="A25" s="239" t="s">
        <x:v>840</x:v>
      </x:c>
      <x:c r="B25" s="240"/>
      <x:c r="C25" s="241" t="s">
        <x:v>841</x:v>
      </x:c>
      <x:c r="D25" s="242"/>
      <x:c r="E25" s="242"/>
      <x:c r="F25" s="242"/>
      <x:c r="G25" s="242"/>
      <x:c r="H25" s="243"/>
    </x:row>
    <x:row r="26" ht="38.099998474121094" customHeight="1">
      <x:c r="A26" s="239" t="s">
        <x:v>842</x:v>
      </x:c>
      <x:c r="B26" s="240"/>
      <x:c r="C26" s="241" t="s">
        <x:v>843</x:v>
      </x:c>
      <x:c r="D26" s="242"/>
      <x:c r="E26" s="242"/>
      <x:c r="F26" s="242"/>
      <x:c r="G26" s="242"/>
      <x:c r="H26" s="243"/>
    </x:row>
    <x:row r="27" ht="38.099998474121094" customHeight="1">
      <x:c r="A27" s="239" t="s">
        <x:v>844</x:v>
      </x:c>
      <x:c r="B27" s="240"/>
      <x:c r="C27" s="241" t="s">
        <x:v>845</x:v>
      </x:c>
      <x:c r="D27" s="242"/>
      <x:c r="E27" s="242"/>
      <x:c r="F27" s="242"/>
      <x:c r="G27" s="242"/>
      <x:c r="H27" s="243"/>
    </x:row>
    <x:row r="28" ht="38.099998474121094" customHeight="1">
      <x:c r="A28" s="239" t="s">
        <x:v>846</x:v>
      </x:c>
      <x:c r="B28" s="240"/>
      <x:c r="C28" s="241" t="s">
        <x:v>847</x:v>
      </x:c>
      <x:c r="D28" s="242"/>
      <x:c r="E28" s="242"/>
      <x:c r="F28" s="242"/>
      <x:c r="G28" s="242"/>
      <x:c r="H28" s="243"/>
    </x:row>
    <x:row r="29" ht="38.099998474121094" customHeight="1">
      <x:c r="A29" s="239" t="s">
        <x:v>848</x:v>
      </x:c>
      <x:c r="B29" s="240"/>
      <x:c r="C29" s="241" t="s">
        <x:v>849</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850</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851</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852</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853</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854</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855</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856</x:v>
      </x:c>
      <x:c r="B38" s="240"/>
      <x:c r="C38" s="241" t="s">
        <x:v>857</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900"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D-119 Complete / D-120 Owner Review</x:v>
      </x:c>
      <x:c r="L19" s="664" t="n">
        <x:v>0.99</x:v>
      </x:c>
      <x:c r="M19" s="662" t="n">
        <x:f>SUMIF('Work Block Log'!$E$5:$E$200,A19,'Work Block Log'!$F$5:$F$200)</x:f>
        <x:v>0</x:v>
      </x:c>
      <x:c r="N19" s="662" t="n">
        <x:f>MAX(F19*(1-L19),0)</x:f>
        <x:v>0.030000000000000027</x:v>
      </x:c>
      <x:c r="O19" s="662" t="n">
        <x:f>M19-F19</x:f>
        <x:v>-3</x:v>
      </x:c>
      <x:c r="P19" s="431" t="str">
        <x:v>PR #71 main 17830bd; D-119 accepted; isolated family 8 scenarios; public validation 8/8; target reachability 7/7; reviewer replay 8/8; 322-file freeze; zero official invocations; EV-197-EV-200; AIR-003/AIR-008/AIR-011/NC-002 held; focused 36/36; final full 354/1 at 88.02%; PR #72 hosted 2/2</x:v>
      </x:c>
      <x:c r="Q19" s="431" t="str">
        <x:v>Review and merge PR #72, then accept or revise proposed D-120. Official execution remains prohibited until owner acceptance.</x:v>
      </x:c>
      <x:c r="R19" s="431" t="str">
        <x:v>Authoring-control effectiveness is independently proven on one new isolated family. Official benchmark performance, P4.3, release, and broader claims remain unproven and held.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ht="810" customHeight="1">
      <x:c r="A23" s="431" t="str">
        <x:v>G0.1</x:v>
      </x:c>
      <x:c r="B23" s="431" t="str">
        <x:v>Governance &amp; Quality</x:v>
      </x:c>
      <x:c r="C23" s="431" t="str">
        <x:v>Implement AI management and quality-control system</x:v>
      </x:c>
      <x:c r="D23" s="431" t="str">
        <x:v>Binding policy, machine-readable system inventory, impact and risk assessment, minimum controls, lifecycle gates, objectives, evidence, audit, management review, automated validation, and CI enforcement govern AI-assisted work and exact release holds.</x:v>
      </x:c>
      <x:c r="E23" s="431" t="str">
        <x:v>D-115</x:v>
      </x:c>
      <x:c r="F23" s="662" t="n">
        <x:v>0</x:v>
      </x:c>
      <x:c r="G23" s="431" t="n">
        <x:v>6</x:v>
      </x:c>
      <x:c r="H23" s="431" t="n">
        <x:v>6</x:v>
      </x:c>
      <x:c r="I23" s="429" t="n">
        <x:v>46225</x:v>
      </x:c>
      <x:c r="J23" s="429" t="n">
        <x:v>46225</x:v>
      </x:c>
      <x:c r="K23" s="431" t="str">
        <x:v>Complete / Integrated</x:v>
      </x:c>
      <x:c r="L23" s="664" t="n">
        <x:v>1</x:v>
      </x:c>
      <x:c r="M23" s="662" t="n">
        <x:v>0</x:v>
      </x:c>
      <x:c r="N23" s="662" t="n">
        <x:v>0</x:v>
      </x:c>
      <x:c r="O23" s="662" t="n">
        <x:v>0</x:v>
      </x:c>
      <x:c r="P23" s="431" t="str">
        <x:v>PR #67 exact main 540a1f6; D-115; EV-165-EV-171; AIMS-POL-001; AIMS-MEWA-001; AIR-001-AIR-013; AIC-001-AIC-020; AIG-01-AIG-08; AIO-001-AIO-006; NC-001; R-018; IMP-029-IMP-030; focused 22; validator coverage 84%; full 335/1; coverage 88.33%; validation 5/5; Ruff; baseline 9/9; demo 2/2; GitHub CI green</x:v>
      </x:c>
      <x:c r="Q23" s="431" t="str">
        <x:v>G0.1 is integrated and remains the continuous governance overlay; no further implementation action.</x:v>
      </x:c>
      <x:c r="R23" s="431" t="str">
        <x:v>Internal high-level governance only. AIR-003, AIR-008, AIR-011, NC-002, and pending D-119 keep product release held.</x:v>
      </x:c>
    </x:row>
    <x:row r="24" ht="24" customHeight="1">
      <x:c r="A24" s="682" t="str">
        <x:v>TOTAL PILOT</x:v>
      </x:c>
      <x:c r="B24" s="682"/>
      <x:c r="C24" s="682"/>
      <x:c r="D24" s="682"/>
      <x:c r="E24" s="682"/>
      <x:c r="F24" s="683" t="n">
        <x:f>SUM(F6:F22)</x:f>
        <x:v>46</x:v>
      </x:c>
      <x:c r="G24" s="682"/>
      <x:c r="H24" s="682"/>
      <x:c r="I24" s="682"/>
      <x:c r="J24" s="682"/>
      <x:c r="K24" s="682"/>
      <x:c r="L24" s="684" t="n">
        <x:f>SUMPRODUCT(F6:F22,L6:L22)/F24</x:f>
        <x:v>0.8689130434782608</x:v>
      </x:c>
      <x:c r="M24" s="683" t="n">
        <x:f>SUM(M6:M22)</x:f>
        <x:v>0</x:v>
      </x:c>
      <x:c r="N24" s="683" t="n">
        <x:f>SUM(N6:N22)</x:f>
        <x:v>6.03</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D-119 Isolated Family Freeze</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D-119 complete; D-120 owner review</x:v>
      </x:c>
      <x:c r="H4" s="697"/>
    </x:row>
    <x:row r="5" ht="72" customHeight="1">
      <x:c r="A5" s="688" t="str">
        <x:v>Schedule Baseline</x:v>
      </x:c>
      <x:c r="B5" s="693" t="str">
        <x:v>Legacy only; not controlling</x:v>
      </x:c>
      <x:c r="C5" s="691"/>
      <x:c r="D5" s="691"/>
      <x:c r="F5" s="696" t="str">
        <x:v>Objective</x:v>
      </x:c>
      <x:c r="G5" s="697" t="str">
        <x:v>Prove the D-118 authoring controls on one new family without exposing protected content or running an official benchmark.</x:v>
      </x:c>
      <x:c r="H5" s="697"/>
    </x:row>
    <x:row r="6" ht="63" customHeight="1">
      <x:c r="A6" s="688" t="str">
        <x:v>Time Tracking</x:v>
      </x:c>
      <x:c r="B6" s="693" t="str">
        <x:v>Waived prospectively</x:v>
      </x:c>
      <x:c r="C6" s="691"/>
      <x:c r="D6" s="691"/>
      <x:c r="F6" s="696" t="str">
        <x:v>Gate Status</x:v>
      </x:c>
      <x:c r="G6" s="697" t="str">
        <x:v>Producer 8/8; reachability 7/7; reviewer replay 8/8; 322-file freeze exact; official runs 0; focused 36/36; full 354/1 at 88.02%; hosted 2/2 on PR #72.</x:v>
      </x:c>
      <x:c r="H6" s="697"/>
    </x:row>
    <x:row r="7" ht="81" customHeight="1">
      <x:c r="A7" s="688" t="str">
        <x:v>Current Gate</x:v>
      </x:c>
      <x:c r="B7" s="694" t="str">
        <x:v>D-119 complete; AIR-003, AIR-008, AIR-011, NC-002 hold release; D-120 pending</x:v>
      </x:c>
      <x:c r="C7" s="691"/>
      <x:c r="D7" s="691"/>
      <x:c r="F7" s="696" t="str">
        <x:v>Definition of Done</x:v>
      </x:c>
      <x:c r="G7" s="697" t="str">
        <x:v>Rights, custody, public validation, protected reachability, rejected revisions, independent review, redaction, and zero official runs are proven.</x:v>
      </x:c>
      <x:c r="H7" s="697"/>
    </x:row>
    <x:row r="8" ht="63" customHeight="1">
      <x:c r="A8" s="688" t="str">
        <x:v>Released Kernel</x:v>
      </x:c>
      <x:c r="B8" s="691" t="str">
        <x:v>v0.2.0 / commit 45336a2</x:v>
      </x:c>
      <x:c r="C8" s="691"/>
      <x:c r="D8" s="691"/>
      <x:c r="F8" s="696" t="str">
        <x:v>Immediate Next Action</x:v>
      </x:c>
      <x:c r="G8" s="697" t="str">
        <x:v>Review and merge PR #72, then accept or revise proposed D-120.</x:v>
      </x:c>
      <x:c r="H8" s="697"/>
    </x:row>
    <x:row r="9" ht="72" customHeight="1">
      <x:c r="A9" s="688" t="str">
        <x:v>Release Target</x:v>
      </x:c>
      <x:c r="B9" s="691" t="str">
        <x:v>v0.3.0</x:v>
      </x:c>
      <x:c r="C9" s="691"/>
      <x:c r="D9" s="691"/>
      <x:c r="F9" s="696" t="str">
        <x:v>Primary Risk</x:v>
      </x:c>
      <x:c r="G9" s="697" t="str">
        <x:v>Primary risk: treating authoring-control success as official benchmark performance before D-120 execution and comparison.</x:v>
      </x:c>
      <x:c r="H9" s="697"/>
    </x:row>
    <x:row r="10" ht="81" customHeight="1">
      <x:c r="A10" s="688" t="str">
        <x:v>Baseline Test Count</x:v>
      </x:c>
      <x:c r="B10" s="691" t="n">
        <x:v>121</x:v>
      </x:c>
      <x:c r="C10" s="691"/>
      <x:c r="D10" s="691"/>
      <x:c r="F10" s="696" t="str">
        <x:v>Deferred</x:v>
      </x:c>
      <x:c r="G10" s="697" t="str">
        <x:v>Official execution, tuning, P4.3, release, and performance claims remain deferred.</x:v>
      </x:c>
      <x:c r="H10" s="697"/>
    </x:row>
    <x:row r="11" ht="63" customHeight="1">
      <x:c r="A11" s="688" t="str">
        <x:v>Fixture Package Families</x:v>
      </x:c>
      <x:c r="B11" s="691" t="n">
        <x:v>2</x:v>
      </x:c>
      <x:c r="C11" s="691"/>
      <x:c r="D11" s="691"/>
      <x:c r="F11" s="696" t="str">
        <x:v>Data Boundary</x:v>
      </x:c>
      <x:c r="G11" s="697" t="str">
        <x:v>Supplied ISO PDF excluded due third-party single-user license; official public ISO/NIST sources used only for high-level alignment.</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D-119 Complete / D-120 Owner Review</x:v>
      </x:c>
      <x:c r="C19" s="699" t="str">
        <x:v>New isolated family passed corrected controls and independent freeze review; official runs remain zero.</x:v>
      </x:c>
      <x:c r="D19" s="700" t="n">
        <x:v>0.99</x:v>
      </x:c>
      <x:c r="E19" s="698" t="str">
        <x:v>Gate P4 - AIR-003, AIR-008, AIR-011, NC-002; D-120 decision pending</x:v>
      </x:c>
      <x:c r="F19"/>
      <x:c r="G19"/>
      <x:c r="H19"/>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1" ht="130.5" customHeight="1">
      <x:c r="A21" s="431" t="str">
        <x:v>G0 AI Management &amp; Quality</x:v>
      </x:c>
      <x:c r="B21" s="431" t="str">
        <x:v>Integrated / Continuous</x:v>
      </x:c>
      <x:c r="C21" s="431" t="str">
        <x:v>D-115 active; D-119 controls independently verified; NC-002 contained; release held</x:v>
      </x:c>
      <x:c r="D21" s="664" t="n">
        <x:v>1</x:v>
      </x:c>
      <x:c r="E21" s="431" t="str">
        <x:v>Gate G0 - AIR-003, AIR-008, AIR-011, NC-002, and D-120 preserve release hold</x:v>
      </x:c>
      <x:c r="F21"/>
      <x:c r="G21"/>
      <x:c r="H21"/>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522" customHeight="1">
      <x:c r="A52" s="431" t="n">
        <x:v>29</x:v>
      </x:c>
      <x:c r="B52" s="431" t="str">
        <x:v>P4.2</x:v>
      </x:c>
      <x:c r="C52" s="431" t="str">
        <x:v>Accepted external-custody recovery integration</x:v>
      </x:c>
      <x:c r="D52" s="431" t="str">
        <x:v>Integrate D-112, then use fresh isolated custodians to author, verify, hash-freeze, and oracle-blind-stage a materially distinct replacement outside the repository without semantic execution.</x:v>
      </x:c>
      <x:c r="E52" s="431" t="str">
        <x:v>D-112 Accepted / Integration Pending</x:v>
      </x:c>
      <x:c r="F52" s="431" t="str">
        <x:v>codex/p4.2-held-out-second-recovery</x:v>
      </x:c>
      <x:c r="G52" s="431" t="str">
        <x:v>PR #63 exact main 4d2c0f5; D-112 accepted 2026-07-22; PR #64 pending; semantic runs 0; EV-150-EV-152; I-007; IMP-025</x:v>
      </x:c>
      <x:c r="H52" s="431" t="str">
        <x:v>Jason</x:v>
      </x:c>
    </x:row>
    <x:row r="53" ht="630" customHeight="1">
      <x:c r="A53" s="431" t="n">
        <x:v>30</x:v>
      </x:c>
      <x:c r="B53" s="431" t="str">
        <x:v>P4.2</x:v>
      </x:c>
      <x:c r="C53" s="431" t="str">
        <x:v>External family and one-shot runner freeze review</x:v>
      </x:c>
      <x:c r="D53" s="431" t="str">
        <x:v>Record the independently verified external family and runner identities, preserve all failed freezes, and obtain D-113 before one irreversible semantic run per opaque package.</x:v>
      </x:c>
      <x:c r="E53" s="431" t="str">
        <x:v>D-113 Owner Review / Zero Runs</x:v>
      </x:c>
      <x:c r="F53" s="431" t="str">
        <x:v>codex/p4.2-external-held-out-freeze</x:v>
      </x:c>
      <x:c r="G53" s="431" t="str">
        <x:v>PR #64 exact main 0264db7; family revision 2 68/68; capsule 16/16; runner revision 6 53/53; 186/186 read-only; semantic runs 0; focused 40; full 313/1; coverage 88.57%; EV-153-EV-159; I-008; IMP-026-IMP-027</x:v>
      </x:c>
      <x:c r="H53" s="431" t="str">
        <x:v>Jason</x:v>
      </x:c>
    </x:row>
    <x:row r="54" ht="540" customHeight="1">
      <x:c r="A54" s="431" t="n">
        <x:v>31</x:v>
      </x:c>
      <x:c r="B54" s="431" t="str">
        <x:v>P4.2</x:v>
      </x:c>
      <x:c r="C54" s="431" t="str">
        <x:v>Accepted first-run authority integration</x:v>
      </x:c>
      <x:c r="D54" s="431" t="str">
        <x:v>Record the owner's D-113 acceptance, merge PR #65, record exact main, and reverify every frozen family, producer, runner, evaluator, and schema identity before execution.</x:v>
      </x:c>
      <x:c r="E54" s="431" t="str">
        <x:v>D-113 Accepted / Integration Pending</x:v>
      </x:c>
      <x:c r="F54" s="431" t="str">
        <x:v>codex/p4.2-external-held-out-freeze</x:v>
      </x:c>
      <x:c r="G54" s="431" t="str">
        <x:v>D-113 accepted 2026-07-22; PR #65 pending; family revision 2 68/68; capsule 16/16; runner revision 6 53/53; semantic runs 0; EV-153-EV-160; I-008; IMP-026-IMP-027</x:v>
      </x:c>
      <x:c r="H54" s="431" t="str">
        <x:v>Jason</x:v>
      </x:c>
    </x:row>
    <x:row r="55" ht="585" customHeight="1">
      <x:c r="A55" s="431" t="n">
        <x:v>32</x:v>
      </x:c>
      <x:c r="B55" s="431" t="str">
        <x:v>P4.2</x:v>
      </x:c>
      <x:c r="C55" s="431" t="str">
        <x:v>External first-run result review</x:v>
      </x:c>
      <x:c r="D55" s="431" t="str">
        <x:v>Preserve the consumed D-113 failed run, verify raw evidence and protected comparison, freeze the not-evaluable claim boundary, and obtain D-114 before stabilization.</x:v>
      </x:c>
      <x:c r="E55" s="431" t="str">
        <x:v>Stopped / D-114 Owner Review</x:v>
      </x:c>
      <x:c r="F55" s="431" t="str">
        <x:v>codex/p4.2-external-held-out-first-run</x:v>
      </x:c>
      <x:c r="G55" s="431" t="str">
        <x:v>PR #65 exact main 6a74c74; preflight 27/27; runner 1; scenarios 8/8 consumed; exit 70 x8; output sets 0; raw 40 at 5d45bfa3...3b21; comparison 0/8 comparable; release hold; EV-161-EV-164; I-009; IMP-028</x:v>
      </x:c>
      <x:c r="H55" s="431" t="str">
        <x:v>Jason</x:v>
      </x:c>
    </x:row>
    <x:row r="56" ht="630" customHeight="1">
      <x:c r="A56" s="431" t="n">
        <x:v>33</x:v>
      </x:c>
      <x:c r="B56" s="431" t="str">
        <x:v>G0.1</x:v>
      </x:c>
      <x:c r="C56" s="431" t="str">
        <x:v>AI management and quality-control system</x:v>
      </x:c>
      <x:c r="D56" s="431" t="str">
        <x:v>Adopt and implement binding policy, machine-readable inventory/risk/control records, eight lifecycle gates, objectives, audit, management review, automated validation, CI enforcement, exact holds, and honest standards boundaries.</x:v>
      </x:c>
      <x:c r="E56" s="431" t="str">
        <x:v>Complete / Review</x:v>
      </x:c>
      <x:c r="F56" s="431" t="str">
        <x:v>codex/iso-42001-ai-quality-system</x:v>
      </x:c>
      <x:c r="G56" s="431" t="str">
        <x:v>D-115; PR #67 exact main 540a1f6; EV-165-EV-171; 3 systems; 13 risks; 20 controls; 8 gates; 6 objectives; NC-001 corrective-action record; R-018; IMP-029-IMP-030; focused 22; validator coverage 84%; full 335/1; coverage 88.33%; validation 5/5; Ruff; baseline 9/9; demo 2/2</x:v>
      </x:c>
      <x:c r="H56" s="431" t="str">
        <x:v>Jason</x:v>
      </x:c>
    </x:row>
    <x:row r="57" ht="140" customHeight="1">
      <x:c r="A57" s="431" t="n">
        <x:v>34</x:v>
      </x:c>
      <x:c r="B57" s="431" t="str">
        <x:v>P4.2</x:v>
      </x:c>
      <x:c r="C57" s="431" t="str">
        <x:v>D-114 publication stabilization and recovery definition</x:v>
      </x:c>
      <x:c r="D57" s="431" t="str">
        <x:v>Reproduce the publication failure without protected access, identify the exact stage/cause, implement the smallest mechanical correction, preserve exact diagnostics, and pass the bounded four-output sentinel.</x:v>
      </x:c>
      <x:c r="E57" s="431" t="str">
        <x:v>Complete / D-116 Owner Review</x:v>
      </x:c>
      <x:c r="F57" s="431" t="str">
        <x:v>codex/p4.2-publication-stabilization</x:v>
      </x:c>
      <x:c r="G57" s="431" t="str">
        <x:v>D-114; PR #68; implementation 1c5216e; proposed D-116; EV-172-EV-178; I-009; IMP-028; IMP-031-IMP-032; focused 53; local full 340/1 at 88.48%; hosted 341 at 88.50%; validation 5/5; Ruff; sentinel pass; development benchmark 22/22; baseline 9/9; demo 2/2</x:v>
      </x:c>
      <x:c r="H57" s="431" t="str">
        <x:v>Jason</x:v>
      </x:c>
    </x:row>
    <x:row r="58" ht="165" customHeight="1">
      <x:c r="A58" s="431" t="n">
        <x:v>35</x:v>
      </x:c>
      <x:c r="B58" s="431" t="str">
        <x:v>P4.2</x:v>
      </x:c>
      <x:c r="C58" s="431" t="str">
        <x:v>D-116 external benchmark recovery freeze</x:v>
      </x:c>
      <x:c r="D58" s="431" t="str">
        <x:v>Prepare and independently verify one materially distinct external family and one oracle-blind runner, prove four-output publication in the final physical pattern, preserve every failed revision, and return D-117 with zero opaque runs.</x:v>
      </x:c>
      <x:c r="E58" s="431" t="str">
        <x:v>Complete / D-117 Owner Review</x:v>
      </x:c>
      <x:c r="F58" s="431" t="str">
        <x:v>codex/p4.2-external-benchmark-recovery-preparation</x:v>
      </x:c>
      <x:c r="G58" s="431" t="str">
        <x:v>D-116; proposed D-117; PR #68 main 3a6766f; PR #69 hosted 2/2, runs 30041470927 and 30041835325; family FAM-D116-CIM-20260723-01; runner R4; EV-179-EV-184; I-010; IMP-033-IMP-035; 8/8 mandatory; 51/51 detailed; sentinel 4 outputs; focused 22; full 340/1 at 88.33%; hosted 341 at 88.50%; validation 5/5; Ruff; dev 22/22; baseline 9/9; demo 2/2</x:v>
      </x:c>
      <x:c r="H58" s="431" t="str">
        <x:v>Jason</x:v>
      </x:c>
    </x:row>
    <x:row r="59" ht="180" customHeight="1">
      <x:c r="A59" s="431" t="n">
        <x:v>36</x:v>
      </x:c>
      <x:c r="B59" s="431" t="str">
        <x:v>P4.2</x:v>
      </x:c>
      <x:c r="C59" s="431" t="str">
        <x:v>D-117 external benchmark execution and result review</x:v>
      </x:c>
      <x:c r="D59" s="431" t="str">
        <x:v>Invoke the frozen runner exactly once, preserve eight immutable publications, verify raw evidence without oracle access, compare in a separate custodian context, and return an honest result and next gate.</x:v>
      </x:c>
      <x:c r="E59" s="431" t="str">
        <x:v>Complete / D-118 Owner Review</x:v>
      </x:c>
      <x:c r="F59" s="431" t="str">
        <x:v>codex/p4.2-external-benchmark-first-run</x:v>
      </x:c>
      <x:c r="G59" s="431" t="str">
        <x:v>D-117; proposed D-118; PR #69 main 04d919f; execution EXEC-D117-R4-20260724-01; raw f9bc8135...cb5c; verifier 14/14; comparison CMP-D117-R4-20260724-01; states 7/8; findings 0/8; targets 0/7; NC-002; AIR-011; EV-185-EV-190; I-011; IMP-036-IMP-039; focused 22; full 340/1 at 88.33%; validation 5/5; Ruff; sentinel 4; dev 22/22; baseline 9/9; demo 2/2</x:v>
      </x:c>
      <x:c r="H59" s="431" t="str">
        <x:v>Jason</x:v>
      </x:c>
    </x:row>
    <x:row r="60" ht="185" customHeight="1">
      <x:c r="A60" s="431" t="n">
        <x:v>37</x:v>
      </x:c>
      <x:c r="B60" s="431" t="str">
        <x:v>P4.2</x:v>
      </x:c>
      <x:c r="C60" s="431" t="str">
        <x:v>D-118 benchmark-authoring corrective action</x:v>
      </x:c>
      <x:c r="D60" s="431" t="str">
        <x:v>Add a producer-visible package-contract validator and separated custodian target-reachability verifier, prove both on development-only packages, align governance, and return a separate new-family gate.</x:v>
      </x:c>
      <x:c r="E60" s="431" t="str">
        <x:v>Complete / D-119 Owner Review</x:v>
      </x:c>
      <x:c r="F60" s="431" t="str">
        <x:v>codex/p4.2-benchmark-authoring-corrective-action</x:v>
      </x:c>
      <x:c r="G60" s="431" t="str">
        <x:v>PR #70 main 2246d1a; D-118; proposed D-119; VAL-PKG-AUTHORING-001; VER-PKG-TARGET-REACHABILITY-001; proof 6/6; protected nonce commitment; NC-002; AIR-008; EV-191-EV-196; I-012; IMP-037; IMP-040; focused 36/36; full 354/1 at 88.02%; validation 5/5; Ruff; sentinel 4; dev 22/22; baseline 9/9; demo 2/2</x:v>
      </x:c>
      <x:c r="H60" s="431" t="str">
        <x:v>Jason</x:v>
      </x:c>
    </x:row>
    <x:row r="61" ht="185" customHeight="1">
      <x:c r="A61" s="431" t="n">
        <x:v>38</x:v>
      </x:c>
      <x:c r="B61" s="431" t="str">
        <x:v>P4.2</x:v>
      </x:c>
      <x:c r="C61" s="431" t="str">
        <x:v>D-119 isolated new-family preparation</x:v>
      </x:c>
      <x:c r="D61" s="431" t="str">
        <x:v>Prepare one new synthetic family outside Git; pass public contract and protected reachability controls; preserve rejected revisions; obtain independent freeze and redaction review; keep official runs at zero.</x:v>
      </x:c>
      <x:c r="E61" s="431" t="str">
        <x:v>Complete / D-120 Owner Review</x:v>
      </x:c>
      <x:c r="F61" s="431" t="str">
        <x:v>codex/p4.2-new-external-family-preparation</x:v>
      </x:c>
      <x:c r="G61" s="431" t="str">
        <x:v>PR #71 main 17830bd; D-119; EV-197-EV-200; producer 8/8; targets 7/7; reviewer 8/8; 322-file freeze; official runs 0</x:v>
      </x:c>
      <x:c r="H61"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