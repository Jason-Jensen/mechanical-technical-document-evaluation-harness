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Projects\mechanical-technical-document-evaluation-harness\"/>
    </mc:Choice>
  </mc:AlternateContent>
  <xr:revisionPtr revIDLastSave="0" documentId="8_{E51EF632-F772-486E-AC30-B7656800CD25}" xr6:coauthVersionLast="47" xr6:coauthVersionMax="47" xr10:uidLastSave="{00000000-0000-0000-0000-000000000000}"/>
  <bookViews>
    <workbookView xWindow="28680" yWindow="-120" windowWidth="29040" windowHeight="15720" activeTab="2" xr2:uid="{00000000-000D-0000-FFFF-FFFF00000000}"/>
  </bookViews>
  <sheets>
    <sheet name="Start Here" sheetId="1" r:id="rId1"/>
    <sheet name="Executive Gantt" sheetId="2" r:id="rId2"/>
    <sheet name="Detailed Gantt" sheetId="3" r:id="rId3"/>
    <sheet name="Weekly Control" sheetId="4" r:id="rId4"/>
    <sheet name="Phase Summary" sheetId="5" r:id="rId5"/>
    <sheet name="Assumptions &amp; Gates" sheetId="6" r:id="rId6"/>
    <sheet name="Sources" sheetId="7" r:id="rId7"/>
  </sheets>
  <calcPr calcId="191029"/>
</workbook>
</file>

<file path=xl/calcChain.xml><?xml version="1.0" encoding="utf-8"?>
<calcChain xmlns="http://schemas.openxmlformats.org/spreadsheetml/2006/main">
  <c r="O7" i="3" l="1"/>
  <c r="F55" i="4"/>
  <c r="F54" i="4"/>
  <c r="F53" i="4"/>
  <c r="F52" i="4"/>
  <c r="F51" i="4"/>
  <c r="F50" i="4"/>
  <c r="F49" i="4"/>
  <c r="F48" i="4"/>
  <c r="F47" i="4"/>
  <c r="F46" i="4"/>
  <c r="F45" i="4"/>
  <c r="F44" i="4"/>
  <c r="F43" i="4"/>
  <c r="F42" i="4"/>
  <c r="F41" i="4"/>
  <c r="F40" i="4"/>
  <c r="F39" i="4"/>
  <c r="F38" i="4"/>
  <c r="F37" i="4"/>
  <c r="F36" i="4"/>
  <c r="F35" i="4"/>
  <c r="F34" i="4"/>
  <c r="F33" i="4"/>
  <c r="F32" i="4"/>
  <c r="F31" i="4"/>
  <c r="F30" i="4"/>
  <c r="F29" i="4"/>
  <c r="F28" i="4"/>
  <c r="F27" i="4"/>
  <c r="F26" i="4"/>
  <c r="F25" i="4"/>
  <c r="F24" i="4"/>
  <c r="F23" i="4"/>
  <c r="F22" i="4"/>
  <c r="F21" i="4"/>
  <c r="F20" i="4"/>
  <c r="F19" i="4"/>
  <c r="F18" i="4"/>
  <c r="F17" i="4"/>
  <c r="F16" i="4"/>
  <c r="F15" i="4"/>
  <c r="F14" i="4"/>
  <c r="F13" i="4"/>
  <c r="F12" i="4"/>
  <c r="F11" i="4"/>
  <c r="F10" i="4"/>
  <c r="F9" i="4"/>
  <c r="F8" i="4"/>
  <c r="F7" i="4"/>
  <c r="F6" i="4"/>
  <c r="F5" i="4"/>
  <c r="H4" i="4"/>
  <c r="H5" i="4" s="1"/>
  <c r="H6" i="4" s="1"/>
  <c r="H7" i="4" s="1"/>
  <c r="H8" i="4" s="1"/>
  <c r="H9" i="4" s="1"/>
  <c r="H10" i="4" s="1"/>
  <c r="H11" i="4" s="1"/>
  <c r="H12" i="4" s="1"/>
  <c r="H13" i="4" s="1"/>
  <c r="H14" i="4" s="1"/>
  <c r="H15" i="4" s="1"/>
  <c r="H16" i="4" s="1"/>
  <c r="H17" i="4" s="1"/>
  <c r="H18" i="4" s="1"/>
  <c r="H19" i="4" s="1"/>
  <c r="H20" i="4" s="1"/>
  <c r="H21" i="4" s="1"/>
  <c r="H22" i="4" s="1"/>
  <c r="H23" i="4" s="1"/>
  <c r="H24" i="4" s="1"/>
  <c r="H25" i="4" s="1"/>
  <c r="H26" i="4" s="1"/>
  <c r="H27" i="4" s="1"/>
  <c r="H28" i="4" s="1"/>
  <c r="H29" i="4" s="1"/>
  <c r="H30" i="4" s="1"/>
  <c r="H31" i="4" s="1"/>
  <c r="H32" i="4" s="1"/>
  <c r="H33" i="4" s="1"/>
  <c r="H34" i="4" s="1"/>
  <c r="H35" i="4" s="1"/>
  <c r="H36" i="4" s="1"/>
  <c r="H37" i="4" s="1"/>
  <c r="H38" i="4" s="1"/>
  <c r="H39" i="4" s="1"/>
  <c r="H40" i="4" s="1"/>
  <c r="H41" i="4" s="1"/>
  <c r="H42" i="4" s="1"/>
  <c r="H43" i="4" s="1"/>
  <c r="H44" i="4" s="1"/>
  <c r="H45" i="4" s="1"/>
  <c r="H46" i="4" s="1"/>
  <c r="H47" i="4" s="1"/>
  <c r="H48" i="4" s="1"/>
  <c r="H49" i="4" s="1"/>
  <c r="H50" i="4" s="1"/>
  <c r="H51" i="4" s="1"/>
  <c r="H52" i="4" s="1"/>
  <c r="H53" i="4" s="1"/>
  <c r="H54" i="4" s="1"/>
  <c r="H55" i="4" s="1"/>
  <c r="G4" i="4"/>
  <c r="G5" i="4" s="1"/>
  <c r="F4" i="4"/>
  <c r="P63" i="3"/>
  <c r="O63" i="3"/>
  <c r="K63" i="3"/>
  <c r="J63" i="3"/>
  <c r="I63" i="3"/>
  <c r="P62" i="3"/>
  <c r="O62" i="3"/>
  <c r="K62" i="3"/>
  <c r="J62" i="3"/>
  <c r="I62" i="3"/>
  <c r="P61" i="3"/>
  <c r="O61" i="3"/>
  <c r="K61" i="3"/>
  <c r="J61" i="3"/>
  <c r="I61" i="3"/>
  <c r="P60" i="3"/>
  <c r="O60" i="3"/>
  <c r="K60" i="3"/>
  <c r="J60" i="3"/>
  <c r="I60" i="3"/>
  <c r="P59" i="3"/>
  <c r="O59" i="3"/>
  <c r="K59" i="3"/>
  <c r="J59" i="3"/>
  <c r="I59" i="3"/>
  <c r="P58" i="3"/>
  <c r="O58" i="3"/>
  <c r="K58" i="3"/>
  <c r="J58" i="3"/>
  <c r="I58" i="3"/>
  <c r="P57" i="3"/>
  <c r="O57" i="3"/>
  <c r="K57" i="3"/>
  <c r="J57" i="3"/>
  <c r="I57" i="3"/>
  <c r="P56" i="3"/>
  <c r="O56" i="3"/>
  <c r="K56" i="3"/>
  <c r="J56" i="3"/>
  <c r="I56" i="3"/>
  <c r="P55" i="3"/>
  <c r="O55" i="3"/>
  <c r="K55" i="3"/>
  <c r="J55" i="3"/>
  <c r="I55" i="3"/>
  <c r="P54" i="3"/>
  <c r="O54" i="3"/>
  <c r="K54" i="3"/>
  <c r="J54" i="3"/>
  <c r="I54" i="3"/>
  <c r="P53" i="3"/>
  <c r="O53" i="3"/>
  <c r="K53" i="3"/>
  <c r="J53" i="3"/>
  <c r="I53" i="3"/>
  <c r="P52" i="3"/>
  <c r="O52" i="3"/>
  <c r="K52" i="3"/>
  <c r="J52" i="3"/>
  <c r="I52" i="3"/>
  <c r="P51" i="3"/>
  <c r="O51" i="3"/>
  <c r="K51" i="3"/>
  <c r="J51" i="3"/>
  <c r="I51" i="3"/>
  <c r="P50" i="3"/>
  <c r="O50" i="3"/>
  <c r="K50" i="3"/>
  <c r="J50" i="3"/>
  <c r="I50" i="3"/>
  <c r="P49" i="3"/>
  <c r="O49" i="3"/>
  <c r="K49" i="3"/>
  <c r="J49" i="3"/>
  <c r="I49" i="3"/>
  <c r="P48" i="3"/>
  <c r="O48" i="3"/>
  <c r="K48" i="3"/>
  <c r="J48" i="3"/>
  <c r="I48" i="3"/>
  <c r="P47" i="3"/>
  <c r="O47" i="3"/>
  <c r="K47" i="3"/>
  <c r="J47" i="3"/>
  <c r="I47" i="3"/>
  <c r="P46" i="3"/>
  <c r="O46" i="3"/>
  <c r="K46" i="3"/>
  <c r="J46" i="3"/>
  <c r="I46" i="3"/>
  <c r="P45" i="3"/>
  <c r="O45" i="3"/>
  <c r="K45" i="3"/>
  <c r="J45" i="3"/>
  <c r="I45" i="3"/>
  <c r="P44" i="3"/>
  <c r="O44" i="3"/>
  <c r="K44" i="3"/>
  <c r="J44" i="3"/>
  <c r="I44" i="3"/>
  <c r="P43" i="3"/>
  <c r="O43" i="3"/>
  <c r="K43" i="3"/>
  <c r="J43" i="3"/>
  <c r="I43" i="3"/>
  <c r="P42" i="3"/>
  <c r="O42" i="3"/>
  <c r="K42" i="3"/>
  <c r="J42" i="3"/>
  <c r="I42" i="3"/>
  <c r="P41" i="3"/>
  <c r="O41" i="3"/>
  <c r="K41" i="3"/>
  <c r="J41" i="3"/>
  <c r="I41" i="3"/>
  <c r="P40" i="3"/>
  <c r="O40" i="3"/>
  <c r="K40" i="3"/>
  <c r="J40" i="3"/>
  <c r="I40" i="3"/>
  <c r="P39" i="3"/>
  <c r="O39" i="3"/>
  <c r="K39" i="3"/>
  <c r="J39" i="3"/>
  <c r="I39" i="3"/>
  <c r="P38" i="3"/>
  <c r="O38" i="3"/>
  <c r="K38" i="3"/>
  <c r="J38" i="3"/>
  <c r="I38" i="3"/>
  <c r="P37" i="3"/>
  <c r="O37" i="3"/>
  <c r="K37" i="3"/>
  <c r="J37" i="3"/>
  <c r="I37" i="3"/>
  <c r="P36" i="3"/>
  <c r="O36" i="3"/>
  <c r="K36" i="3"/>
  <c r="J36" i="3"/>
  <c r="I36" i="3"/>
  <c r="P35" i="3"/>
  <c r="O35" i="3"/>
  <c r="K35" i="3"/>
  <c r="J35" i="3"/>
  <c r="I35" i="3"/>
  <c r="P34" i="3"/>
  <c r="O34" i="3"/>
  <c r="K34" i="3"/>
  <c r="J34" i="3"/>
  <c r="I34" i="3"/>
  <c r="P33" i="3"/>
  <c r="O33" i="3"/>
  <c r="K33" i="3"/>
  <c r="J33" i="3"/>
  <c r="I33" i="3"/>
  <c r="P32" i="3"/>
  <c r="O32" i="3"/>
  <c r="K32" i="3"/>
  <c r="J32" i="3"/>
  <c r="I32" i="3"/>
  <c r="P31" i="3"/>
  <c r="O31" i="3"/>
  <c r="K31" i="3"/>
  <c r="J31" i="3"/>
  <c r="I31" i="3"/>
  <c r="P30" i="3"/>
  <c r="O30" i="3"/>
  <c r="K30" i="3"/>
  <c r="J30" i="3"/>
  <c r="I30" i="3"/>
  <c r="P29" i="3"/>
  <c r="O29" i="3"/>
  <c r="K29" i="3"/>
  <c r="J29" i="3"/>
  <c r="I29" i="3"/>
  <c r="P28" i="3"/>
  <c r="O28" i="3"/>
  <c r="K28" i="3"/>
  <c r="J28" i="3"/>
  <c r="I28" i="3"/>
  <c r="P27" i="3"/>
  <c r="O27" i="3"/>
  <c r="K27" i="3"/>
  <c r="J27" i="3"/>
  <c r="I27" i="3"/>
  <c r="P26" i="3"/>
  <c r="O26" i="3"/>
  <c r="K26" i="3"/>
  <c r="J26" i="3"/>
  <c r="I26" i="3"/>
  <c r="P25" i="3"/>
  <c r="O25" i="3"/>
  <c r="K25" i="3"/>
  <c r="J25" i="3"/>
  <c r="I25" i="3"/>
  <c r="P24" i="3"/>
  <c r="O24" i="3"/>
  <c r="K24" i="3"/>
  <c r="J24" i="3"/>
  <c r="I24" i="3"/>
  <c r="P23" i="3"/>
  <c r="O23" i="3"/>
  <c r="K23" i="3"/>
  <c r="J23" i="3"/>
  <c r="I23" i="3"/>
  <c r="P22" i="3"/>
  <c r="O22" i="3"/>
  <c r="K22" i="3"/>
  <c r="J22" i="3"/>
  <c r="I22" i="3"/>
  <c r="P21" i="3"/>
  <c r="O21" i="3"/>
  <c r="K21" i="3"/>
  <c r="J21" i="3"/>
  <c r="I21" i="3"/>
  <c r="P20" i="3"/>
  <c r="O20" i="3"/>
  <c r="K20" i="3"/>
  <c r="J20" i="3"/>
  <c r="I20" i="3"/>
  <c r="P19" i="3"/>
  <c r="O19" i="3"/>
  <c r="K19" i="3"/>
  <c r="J19" i="3"/>
  <c r="I19" i="3"/>
  <c r="P18" i="3"/>
  <c r="O18" i="3"/>
  <c r="K18" i="3"/>
  <c r="J18" i="3"/>
  <c r="I18" i="3"/>
  <c r="P17" i="3"/>
  <c r="O17" i="3"/>
  <c r="K17" i="3"/>
  <c r="J17" i="3"/>
  <c r="I17" i="3"/>
  <c r="P16" i="3"/>
  <c r="O16" i="3"/>
  <c r="K16" i="3"/>
  <c r="J16" i="3"/>
  <c r="I16" i="3"/>
  <c r="P15" i="3"/>
  <c r="O15" i="3"/>
  <c r="K15" i="3"/>
  <c r="J15" i="3"/>
  <c r="I15" i="3"/>
  <c r="P14" i="3"/>
  <c r="O14" i="3"/>
  <c r="K14" i="3"/>
  <c r="J14" i="3"/>
  <c r="I14" i="3"/>
  <c r="P13" i="3"/>
  <c r="O13" i="3"/>
  <c r="K13" i="3"/>
  <c r="J13" i="3"/>
  <c r="I13" i="3"/>
  <c r="P12" i="3"/>
  <c r="O12" i="3"/>
  <c r="K12" i="3"/>
  <c r="J12" i="3"/>
  <c r="I12" i="3"/>
  <c r="P11" i="3"/>
  <c r="O11" i="3"/>
  <c r="K11" i="3"/>
  <c r="J11" i="3"/>
  <c r="I11" i="3"/>
  <c r="P10" i="3"/>
  <c r="O10" i="3"/>
  <c r="K10" i="3"/>
  <c r="J10" i="3"/>
  <c r="I10" i="3"/>
  <c r="P9" i="3"/>
  <c r="O9" i="3"/>
  <c r="K9" i="3"/>
  <c r="J9" i="3"/>
  <c r="I9" i="3"/>
  <c r="P8" i="3"/>
  <c r="O8" i="3"/>
  <c r="K8" i="3"/>
  <c r="J8" i="3"/>
  <c r="I8" i="3"/>
  <c r="P7" i="3"/>
  <c r="K7" i="3"/>
  <c r="J7" i="3"/>
  <c r="I7" i="3"/>
  <c r="P6" i="3"/>
  <c r="O6" i="3"/>
  <c r="K6" i="3"/>
  <c r="J6" i="3"/>
  <c r="I6" i="3"/>
  <c r="G6" i="4" l="1"/>
  <c r="I5" i="4"/>
  <c r="I4" i="4"/>
  <c r="G7" i="4" l="1"/>
  <c r="I6" i="4"/>
  <c r="I7" i="4" l="1"/>
  <c r="G8" i="4"/>
  <c r="G9" i="4" l="1"/>
  <c r="I8" i="4"/>
  <c r="G10" i="4" l="1"/>
  <c r="I9" i="4"/>
  <c r="G11" i="4" l="1"/>
  <c r="I10" i="4"/>
  <c r="I11" i="4" l="1"/>
  <c r="G12" i="4"/>
  <c r="G13" i="4" l="1"/>
  <c r="I12" i="4"/>
  <c r="G14" i="4" l="1"/>
  <c r="I13" i="4"/>
  <c r="G15" i="4" l="1"/>
  <c r="I14" i="4"/>
  <c r="I15" i="4" l="1"/>
  <c r="G16" i="4"/>
  <c r="G17" i="4" l="1"/>
  <c r="I16" i="4"/>
  <c r="G18" i="4" l="1"/>
  <c r="I17" i="4"/>
  <c r="G19" i="4" l="1"/>
  <c r="I18" i="4"/>
  <c r="I19" i="4" l="1"/>
  <c r="G20" i="4"/>
  <c r="G21" i="4" l="1"/>
  <c r="I20" i="4"/>
  <c r="G22" i="4" l="1"/>
  <c r="I21" i="4"/>
  <c r="G23" i="4" l="1"/>
  <c r="I22" i="4"/>
  <c r="I23" i="4" l="1"/>
  <c r="G24" i="4"/>
  <c r="G25" i="4" l="1"/>
  <c r="I24" i="4"/>
  <c r="G26" i="4" l="1"/>
  <c r="I25" i="4"/>
  <c r="G27" i="4" l="1"/>
  <c r="I26" i="4"/>
  <c r="I27" i="4" l="1"/>
  <c r="G28" i="4"/>
  <c r="G29" i="4" l="1"/>
  <c r="I28" i="4"/>
  <c r="G30" i="4" l="1"/>
  <c r="I29" i="4"/>
  <c r="G31" i="4" l="1"/>
  <c r="I30" i="4"/>
  <c r="I31" i="4" l="1"/>
  <c r="G32" i="4"/>
  <c r="G33" i="4" l="1"/>
  <c r="I32" i="4"/>
  <c r="G34" i="4" l="1"/>
  <c r="I33" i="4"/>
  <c r="G35" i="4" l="1"/>
  <c r="I34" i="4"/>
  <c r="I35" i="4" l="1"/>
  <c r="G36" i="4"/>
  <c r="G37" i="4" l="1"/>
  <c r="I36" i="4"/>
  <c r="G38" i="4" l="1"/>
  <c r="I37" i="4"/>
  <c r="G39" i="4" l="1"/>
  <c r="I38" i="4"/>
  <c r="I39" i="4" l="1"/>
  <c r="G40" i="4"/>
  <c r="G41" i="4" l="1"/>
  <c r="I40" i="4"/>
  <c r="G42" i="4" l="1"/>
  <c r="I41" i="4"/>
  <c r="G43" i="4" l="1"/>
  <c r="I42" i="4"/>
  <c r="I43" i="4" l="1"/>
  <c r="G44" i="4"/>
  <c r="G45" i="4" l="1"/>
  <c r="I44" i="4"/>
  <c r="G46" i="4" l="1"/>
  <c r="I45" i="4"/>
  <c r="G47" i="4" l="1"/>
  <c r="I46" i="4"/>
  <c r="I47" i="4" l="1"/>
  <c r="G48" i="4"/>
  <c r="G49" i="4" l="1"/>
  <c r="I48" i="4"/>
  <c r="G50" i="4" l="1"/>
  <c r="I49" i="4"/>
  <c r="G51" i="4" l="1"/>
  <c r="I50" i="4"/>
  <c r="I51" i="4" l="1"/>
  <c r="G52" i="4"/>
  <c r="G53" i="4" l="1"/>
  <c r="I52" i="4"/>
  <c r="G54" i="4" l="1"/>
  <c r="I53" i="4"/>
  <c r="G55" i="4" l="1"/>
  <c r="I55" i="4" s="1"/>
  <c r="I54" i="4"/>
</calcChain>
</file>

<file path=xl/sharedStrings.xml><?xml version="1.0" encoding="utf-8"?>
<sst xmlns="http://schemas.openxmlformats.org/spreadsheetml/2006/main" count="1000" uniqueCount="431">
  <si>
    <t>Mechanical Technical Document Evaluation Harness — Baseline Control Plan</t>
  </si>
  <si>
    <t>Baseline start</t>
  </si>
  <si>
    <t>How to use this workbook</t>
  </si>
  <si>
    <t>Baseline finish</t>
  </si>
  <si>
    <t>1</t>
  </si>
  <si>
    <t>Treat the Detailed Gantt as the approved baseline, not a daily to-do list.</t>
  </si>
  <si>
    <t>Calendar duration</t>
  </si>
  <si>
    <t>52 weeks</t>
  </si>
  <si>
    <t>2</t>
  </si>
  <si>
    <t>At the end of each week, enter Actual Hours and a short note in Weekly Control.</t>
  </si>
  <si>
    <t>Total planned labour</t>
  </si>
  <si>
    <t>3</t>
  </si>
  <si>
    <t>Update task Status, % Complete, and Actual Hours in Detailed Gantt.</t>
  </si>
  <si>
    <t>Normal weekly load</t>
  </si>
  <si>
    <t>11 hours</t>
  </si>
  <si>
    <t>4</t>
  </si>
  <si>
    <t>Do not move a gate silently. Record the reason in Assumptions &amp; Gates.</t>
  </si>
  <si>
    <t>Gate-week load</t>
  </si>
  <si>
    <t>12 hours</t>
  </si>
  <si>
    <t>5</t>
  </si>
  <si>
    <t>Paid Outlier work takes priority. Move unfinished portfolio work forward without exceeding 14 hours in a catch-up week.</t>
  </si>
  <si>
    <t>Maximum planned week</t>
  </si>
  <si>
    <t>6</t>
  </si>
  <si>
    <t>Review the plan monthly. Rebaseline only when scope or available capacity materially changes.</t>
  </si>
  <si>
    <t>Primary completion point</t>
  </si>
  <si>
    <t>v1.0 evaluation portfolio release</t>
  </si>
  <si>
    <t>7</t>
  </si>
  <si>
    <t>The 576-hour baseline ends at v1.0. Full RL training reproduction is a later optional project.</t>
  </si>
  <si>
    <t>Schedule type</t>
  </si>
  <si>
    <t>Level 2 control schedule with Level 3 work packages</t>
  </si>
  <si>
    <t>Definition of project completion</t>
  </si>
  <si>
    <t>The baseline project is complete when the repository contains valid engineering cases, deterministic and rubric evaluators, multimodal technical-document cases, bounded OpenClaw traces, a controlled comparison against another harness or direct baseline, held-out regression evidence, and a reproducible public portfolio release. It does not require reproducing distributed OpenClaw-RL or RLAnything training.</t>
  </si>
  <si>
    <t>Executive Gantt — 576 Planned Labour Hours</t>
  </si>
  <si>
    <t>WBS</t>
  </si>
  <si>
    <t>Phase</t>
  </si>
  <si>
    <t>Hours</t>
  </si>
  <si>
    <t>% Total</t>
  </si>
  <si>
    <t>Start</t>
  </si>
  <si>
    <t>Finish</t>
  </si>
  <si>
    <t>Gate / Hold Point</t>
  </si>
  <si>
    <t>Primary Deliverable</t>
  </si>
  <si>
    <t>Jul-26</t>
  </si>
  <si>
    <t>Aug-26</t>
  </si>
  <si>
    <t>Sep-26</t>
  </si>
  <si>
    <t>Oct-26</t>
  </si>
  <si>
    <t>Nov-26</t>
  </si>
  <si>
    <t>Dec-26</t>
  </si>
  <si>
    <t>Jan-27</t>
  </si>
  <si>
    <t>Feb-27</t>
  </si>
  <si>
    <t>Mar-27</t>
  </si>
  <si>
    <t>Apr-27</t>
  </si>
  <si>
    <t>May-27</t>
  </si>
  <si>
    <t>Jun-27</t>
  </si>
  <si>
    <t>0</t>
  </si>
  <si>
    <t>0 Project Controls &amp; Mobilization</t>
  </si>
  <si>
    <t>Ongoing controls; baseline accepted at Gate 0</t>
  </si>
  <si>
    <t>Controlled scope, updated schedule, issue log, gate records</t>
  </si>
  <si>
    <t>■</t>
  </si>
  <si>
    <t>1 Case Foundation</t>
  </si>
  <si>
    <t>Gate 1 — v0.1.0 case specification baseline</t>
  </si>
  <si>
    <t>8 reviewed synthetic cases, 3 workflow families, held-out split</t>
  </si>
  <si>
    <t>2 Software Hygiene &amp; Test Infrastructure</t>
  </si>
  <si>
    <t>Gate 2 — v0.2 test and repository baseline</t>
  </si>
  <si>
    <t>20+ tests, CI, clean Git workflow, result/trace schema stubs</t>
  </si>
  <si>
    <t>3 Evaluation Engine &amp; Measurement</t>
  </si>
  <si>
    <t>Gate 3 — deterministic evaluation baseline</t>
  </si>
  <si>
    <t>Evaluator engine, local result records, 20-case benchmark report</t>
  </si>
  <si>
    <t>4 Multimodal Technical Document Evaluation</t>
  </si>
  <si>
    <t>Gate 4 — multimodal benchmark ready</t>
  </si>
  <si>
    <t>PDF/image/table handling, artifact checks, 12 multimodal cases</t>
  </si>
  <si>
    <t>5 OpenClaw Bounded Agent Evaluation</t>
  </si>
  <si>
    <t>Gate 5 — bounded agent evaluation demonstrated</t>
  </si>
  <si>
    <t>Sandboxed OpenClaw runs, traces, process/outcome evaluators</t>
  </si>
  <si>
    <t>6 Comparative Harness &amp; Observability</t>
  </si>
  <si>
    <t>Gate 6 — comparative study complete</t>
  </si>
  <si>
    <t>Identical-task comparison, cost/latency/tool-use metrics, report</t>
  </si>
  <si>
    <t>7 Hardening, Governance &amp; Portfolio Release</t>
  </si>
  <si>
    <t>Gate 7 — v1.0 portfolio release</t>
  </si>
  <si>
    <t>Held-out regression, reproducible setup, governance pack, case studies</t>
  </si>
  <si>
    <t>TOTAL BASELINE</t>
  </si>
  <si>
    <t>Baseline Start</t>
  </si>
  <si>
    <t>Total Planned Hours</t>
  </si>
  <si>
    <t>Normal Control Rule</t>
  </si>
  <si>
    <t>Update weekly; rebaseline only through a gate decision</t>
  </si>
  <si>
    <t>Editable fields</t>
  </si>
  <si>
    <t>Status, % Complete, Actual Hours, and Notes. Baseline dates and planned hours should not be changed casually.</t>
  </si>
  <si>
    <t>Work Package</t>
  </si>
  <si>
    <t>Deliverable / Acceptance Evidence</t>
  </si>
  <si>
    <t>Predecessor</t>
  </si>
  <si>
    <t>Planned Hours</t>
  </si>
  <si>
    <t>Start Week</t>
  </si>
  <si>
    <t>Finish Week</t>
  </si>
  <si>
    <t>Duration (wk)</t>
  </si>
  <si>
    <t>Start Date</t>
  </si>
  <si>
    <t>Finish Date</t>
  </si>
  <si>
    <t>Status</t>
  </si>
  <si>
    <t>% Complete</t>
  </si>
  <si>
    <t>Actual Hours</t>
  </si>
  <si>
    <t>Hour Variance</t>
  </si>
  <si>
    <t>Remaining Planned</t>
  </si>
  <si>
    <t>Notes</t>
  </si>
  <si>
    <t>W1</t>
  </si>
  <si>
    <t>W2</t>
  </si>
  <si>
    <t>W3</t>
  </si>
  <si>
    <t>W4</t>
  </si>
  <si>
    <t>W5</t>
  </si>
  <si>
    <t>W6</t>
  </si>
  <si>
    <t>W7</t>
  </si>
  <si>
    <t>W8</t>
  </si>
  <si>
    <t>W9</t>
  </si>
  <si>
    <t>W10</t>
  </si>
  <si>
    <t>W11</t>
  </si>
  <si>
    <t>W12</t>
  </si>
  <si>
    <t>W13</t>
  </si>
  <si>
    <t>W14</t>
  </si>
  <si>
    <t>W15</t>
  </si>
  <si>
    <t>W16</t>
  </si>
  <si>
    <t>W17</t>
  </si>
  <si>
    <t>W18</t>
  </si>
  <si>
    <t>W19</t>
  </si>
  <si>
    <t>W20</t>
  </si>
  <si>
    <t>W21</t>
  </si>
  <si>
    <t>W22</t>
  </si>
  <si>
    <t>W23</t>
  </si>
  <si>
    <t>W24</t>
  </si>
  <si>
    <t>W25</t>
  </si>
  <si>
    <t>W26</t>
  </si>
  <si>
    <t>W27</t>
  </si>
  <si>
    <t>W28</t>
  </si>
  <si>
    <t>W29</t>
  </si>
  <si>
    <t>W30</t>
  </si>
  <si>
    <t>W31</t>
  </si>
  <si>
    <t>W32</t>
  </si>
  <si>
    <t>W33</t>
  </si>
  <si>
    <t>W34</t>
  </si>
  <si>
    <t>W35</t>
  </si>
  <si>
    <t>W36</t>
  </si>
  <si>
    <t>W37</t>
  </si>
  <si>
    <t>W38</t>
  </si>
  <si>
    <t>W39</t>
  </si>
  <si>
    <t>W40</t>
  </si>
  <si>
    <t>W41</t>
  </si>
  <si>
    <t>W42</t>
  </si>
  <si>
    <t>W43</t>
  </si>
  <si>
    <t>W44</t>
  </si>
  <si>
    <t>W45</t>
  </si>
  <si>
    <t>W46</t>
  </si>
  <si>
    <t>W47</t>
  </si>
  <si>
    <t>W48</t>
  </si>
  <si>
    <t>W49</t>
  </si>
  <si>
    <t>W50</t>
  </si>
  <si>
    <t>W51</t>
  </si>
  <si>
    <t>W52</t>
  </si>
  <si>
    <t>0.1</t>
  </si>
  <si>
    <t>Create local Python environment</t>
  </si>
  <si>
    <t>Working virtual environment; dependencies installed</t>
  </si>
  <si>
    <t>-</t>
  </si>
  <si>
    <t>0.2</t>
  </si>
  <si>
    <t>Initialize Git and GitHub baseline</t>
  </si>
  <si>
    <t>Repository pushed; main branch protected by working practice</t>
  </si>
  <si>
    <t>0.3</t>
  </si>
  <si>
    <t>Review architecture and four schemas</t>
  </si>
  <si>
    <t>One-page architecture walkthrough in own words</t>
  </si>
  <si>
    <t>0.4</t>
  </si>
  <si>
    <t>Set definition of done and control routine</t>
  </si>
  <si>
    <t>Weekly review checklist and change-control rule</t>
  </si>
  <si>
    <t>Not Started</t>
  </si>
  <si>
    <t>0.5</t>
  </si>
  <si>
    <t>Weekly time, issue, and decision logging</t>
  </si>
  <si>
    <t>Updated weekly control sheet and issue notes</t>
  </si>
  <si>
    <t>0.6</t>
  </si>
  <si>
    <t>Monthly schedule and forecast update</t>
  </si>
  <si>
    <t>Monthly reforecast without silent scope changes</t>
  </si>
  <si>
    <t>0.7</t>
  </si>
  <si>
    <t>Formal gate reviews and baseline changes</t>
  </si>
  <si>
    <t>Recorded gate decision and accepted corrective actions</t>
  </si>
  <si>
    <t>1.1</t>
  </si>
  <si>
    <t>Learn only the required JSON, schema, and CLI concepts</t>
  </si>
  <si>
    <t>Can explain and edit one case safely</t>
  </si>
  <si>
    <t>1.2</t>
  </si>
  <si>
    <t>Independently verify the three seed cases</t>
  </si>
  <si>
    <t>Calculations and references checked without relying on generated code</t>
  </si>
  <si>
    <t>1.3</t>
  </si>
  <si>
    <t>Author synthetic cases 4 and 5</t>
  </si>
  <si>
    <t>Two complete, valid, reviewed case instances</t>
  </si>
  <si>
    <t>1.4</t>
  </si>
  <si>
    <t>Author synthetic cases 6 through 8</t>
  </si>
  <si>
    <t>Three additional cases covering distinct failure modes</t>
  </si>
  <si>
    <t>1.5</t>
  </si>
  <si>
    <t>Expand taxonomy and assign dataset splits</t>
  </si>
  <si>
    <t>Failure codes stable; at least two held-out cases</t>
  </si>
  <si>
    <t>1.6</t>
  </si>
  <si>
    <t>Complete human review checklists</t>
  </si>
  <si>
    <t>Every case passes provenance, authenticity, correctness, and evaluability review</t>
  </si>
  <si>
    <t>1.7</t>
  </si>
  <si>
    <t>Release specification baseline v0.1.0</t>
  </si>
  <si>
    <t>Validation passes; tagged release and concise release notes</t>
  </si>
  <si>
    <t>2.1</t>
  </si>
  <si>
    <t>Practise branch, merge, and recovery workflows</t>
  </si>
  <si>
    <t>Three clean feature branches and one intentional recovery exercise</t>
  </si>
  <si>
    <t>2.2</t>
  </si>
  <si>
    <t>Refactor repository validator and loader</t>
  </si>
  <si>
    <t>Readable modules with stable error messages</t>
  </si>
  <si>
    <t>2.3</t>
  </si>
  <si>
    <t>Expand pytest suite to at least 20 tests</t>
  </si>
  <si>
    <t>Positive and negative cases run locally</t>
  </si>
  <si>
    <t>2.4</t>
  </si>
  <si>
    <t>Add schema, path, asset, and weight failure tests</t>
  </si>
  <si>
    <t>Seeded defects are caught deterministically</t>
  </si>
  <si>
    <t>2.5</t>
  </si>
  <si>
    <t>Add GitHub Actions test workflow</t>
  </si>
  <si>
    <t>CI passes on push and fails on seeded defect branch</t>
  </si>
  <si>
    <t>2.6</t>
  </si>
  <si>
    <t>Define result and trace schema stubs</t>
  </si>
  <si>
    <t>Future run data separated from task definitions</t>
  </si>
  <si>
    <t>2.7</t>
  </si>
  <si>
    <t>Clean README, changelog, and issue templates</t>
  </si>
  <si>
    <t>New contributor can understand current scope</t>
  </si>
  <si>
    <t>2.8</t>
  </si>
  <si>
    <t>Release repository baseline v0.2</t>
  </si>
  <si>
    <t>CI green; clean history; gate record complete</t>
  </si>
  <si>
    <t>3.1</t>
  </si>
  <si>
    <t>Implement deterministic evaluator engine</t>
  </si>
  <si>
    <t>One command evaluates a candidate artifact against a case</t>
  </si>
  <si>
    <t>3.2</t>
  </si>
  <si>
    <t>Implement mandatory gates and artifact validation</t>
  </si>
  <si>
    <t>Missing, malformed, and incomplete outputs fail before scoring</t>
  </si>
  <si>
    <t>3.3</t>
  </si>
  <si>
    <t>Implement numeric, exact, set, and contains checks</t>
  </si>
  <si>
    <t>Supported checks produce evidence and failure codes</t>
  </si>
  <si>
    <t>3.4</t>
  </si>
  <si>
    <t>Write immutable local run-result records</t>
  </si>
  <si>
    <t>Run result stores versions, score, pass/fail, and evidence</t>
  </si>
  <si>
    <t>3.5</t>
  </si>
  <si>
    <t>Add manual or direct-model baseline adapter</t>
  </si>
  <si>
    <t>Response/artifact can enter harness without an agent framework</t>
  </si>
  <si>
    <t>3.6</t>
  </si>
  <si>
    <t>Define calibration and human-review protocol</t>
  </si>
  <si>
    <t>Clear rule for deterministic checks, narrow rubrics, and escalation</t>
  </si>
  <si>
    <t>3.7</t>
  </si>
  <si>
    <t>Expand benchmark to 20 cases</t>
  </si>
  <si>
    <t>Balanced development and held-out set with versioned cases</t>
  </si>
  <si>
    <t>3.8</t>
  </si>
  <si>
    <t>Run baseline benchmark and write report</t>
  </si>
  <si>
    <t>Reproducible report with representative failures and limitations</t>
  </si>
  <si>
    <t>4.1</t>
  </si>
  <si>
    <t>Define supported document and artifact formats</t>
  </si>
  <si>
    <t>Format matrix, evaluator strategy, and explicit exclusions</t>
  </si>
  <si>
    <t>4.2</t>
  </si>
  <si>
    <t>Build public and synthetic technical-document corpus</t>
  </si>
  <si>
    <t>Authorized PDFs, images, tables, and self-authored drawings</t>
  </si>
  <si>
    <t>4.3</t>
  </si>
  <si>
    <t>Implement PDF, image, and table input adapters</t>
  </si>
  <si>
    <t>Local ingestion produces stable case inputs and metadata</t>
  </si>
  <si>
    <t>4.4</t>
  </si>
  <si>
    <t>Implement deterministic table and spreadsheet checks</t>
  </si>
  <si>
    <t>Cell, field, formula, and tolerance checks are reproducible</t>
  </si>
  <si>
    <t>4.5</t>
  </si>
  <si>
    <t>Implement file and artifact validation</t>
  </si>
  <si>
    <t>Expected files parse, contain required structure, and meet gates</t>
  </si>
  <si>
    <t>4.6</t>
  </si>
  <si>
    <t>Author 12 multimodal cases</t>
  </si>
  <si>
    <t>Cases cover hallucinated dimensions, units, revisions, tables, and missing constraints</t>
  </si>
  <si>
    <t>4.7</t>
  </si>
  <si>
    <t>Run multimodal regression suite and report</t>
  </si>
  <si>
    <t>Benchmark results are reproducible and failure evidence is preserved</t>
  </si>
  <si>
    <t>5.1</t>
  </si>
  <si>
    <t>Study OpenClaw agent loop and runtime concepts</t>
  </si>
  <si>
    <t>Can explain tools, context, state, permissions, and traces</t>
  </si>
  <si>
    <t>5.2</t>
  </si>
  <si>
    <t>Install and configure OpenClaw in an isolated sandbox</t>
  </si>
  <si>
    <t>No personal accounts, production credentials, or broad file access</t>
  </si>
  <si>
    <t>5.3</t>
  </si>
  <si>
    <t>Define bounded synthetic agent workflows</t>
  </si>
  <si>
    <t>Five tasks with tools, deliverables, acceptance criteria, and approval boundaries</t>
  </si>
  <si>
    <t>5.4</t>
  </si>
  <si>
    <t>Implement least-privilege tools and environment controls</t>
  </si>
  <si>
    <t>Read/write boundaries and destructive-action restrictions tested</t>
  </si>
  <si>
    <t>5.5</t>
  </si>
  <si>
    <t>Implement trace collector</t>
  </si>
  <si>
    <t>Actions, tool calls, outputs, errors, corrections, and artifacts are captured</t>
  </si>
  <si>
    <t>5.6</t>
  </si>
  <si>
    <t>Separate outcome and process evaluators</t>
  </si>
  <si>
    <t>Final deliverable and trajectory quality receive distinct scores</t>
  </si>
  <si>
    <t>5.7</t>
  </si>
  <si>
    <t>Execute repeated bounded runs</t>
  </si>
  <si>
    <t>At least five workflows run repeatedly with failed runs retained</t>
  </si>
  <si>
    <t>5.8</t>
  </si>
  <si>
    <t>Analyze failures and corrections</t>
  </si>
  <si>
    <t>Trace-linked taxonomy and small correction dataset</t>
  </si>
  <si>
    <t>6.1</t>
  </si>
  <si>
    <t>Select comparator harness or direct baseline</t>
  </si>
  <si>
    <t>Selection memo based on portability, cost, and measurement value</t>
  </si>
  <si>
    <t>6.2</t>
  </si>
  <si>
    <t>Implement common task adapter</t>
  </si>
  <si>
    <t>Identical cases execute without changing task or evaluator definitions</t>
  </si>
  <si>
    <t>6.3</t>
  </si>
  <si>
    <t>Run controlled comparative experiments</t>
  </si>
  <si>
    <t>Repeated results from OpenClaw and comparator on identical tasks</t>
  </si>
  <si>
    <t>6.4</t>
  </si>
  <si>
    <t>Add cost, latency, and tool-use metrics</t>
  </si>
  <si>
    <t>Metrics linked to each run and trace</t>
  </si>
  <si>
    <t>6.5</t>
  </si>
  <si>
    <t>Write comparative benchmark report</t>
  </si>
  <si>
    <t>Outcome/process tradeoffs and limitations stated conservatively</t>
  </si>
  <si>
    <t>6.6</t>
  </si>
  <si>
    <t>Complete comparative-study gate review</t>
  </si>
  <si>
    <t>Evidence supports or rejects claimed differences</t>
  </si>
  <si>
    <t>7.1</t>
  </si>
  <si>
    <t>Run held-out regression and seeded-bug tests</t>
  </si>
  <si>
    <t>No tuning on held-out cases; known defects are caught</t>
  </si>
  <si>
    <t>7.2</t>
  </si>
  <si>
    <t>Write security, data-handling, and governance pack</t>
  </si>
  <si>
    <t>Risk register, data policy, human-review points, and incident procedure</t>
  </si>
  <si>
    <t>7.3</t>
  </si>
  <si>
    <t>Create reproducible packaged setup</t>
  </si>
  <si>
    <t>Clean-machine setup succeeds from README; Docker optional but documented</t>
  </si>
  <si>
    <t>7.4</t>
  </si>
  <si>
    <t>Create architecture diagram and three case studies</t>
  </si>
  <si>
    <t>Portfolio explains task, agent, environment, trace, evaluator, and results</t>
  </si>
  <si>
    <t>7.5</t>
  </si>
  <si>
    <t>Run final cold-start demonstration</t>
  </si>
  <si>
    <t>New clone, tests, benchmark, and demo complete without hidden steps</t>
  </si>
  <si>
    <t>7.6</t>
  </si>
  <si>
    <t>Prepare job-facing README and walkthrough</t>
  </si>
  <si>
    <t>Ten-minute portfolio walkthrough tied to eval-engineering roles</t>
  </si>
  <si>
    <t>7.7</t>
  </si>
  <si>
    <t>Release v1.0 and record lessons learned</t>
  </si>
  <si>
    <t>Tagged release, final report, backlog, and post-project review</t>
  </si>
  <si>
    <t>Weekly Resource Control — Enter Actual Hours and Weekly Notes</t>
  </si>
  <si>
    <t>Week</t>
  </si>
  <si>
    <t>Week Start</t>
  </si>
  <si>
    <t>Week Finish</t>
  </si>
  <si>
    <t>Variance</t>
  </si>
  <si>
    <t>Cumulative Planned</t>
  </si>
  <si>
    <t>Cumulative Actual</t>
  </si>
  <si>
    <t>Remaining Baseline</t>
  </si>
  <si>
    <t>Primary Phase</t>
  </si>
  <si>
    <t>Weekly Note</t>
  </si>
  <si>
    <t>Mobilization</t>
  </si>
  <si>
    <t>Case Foundation</t>
  </si>
  <si>
    <t>Software &amp; Tests</t>
  </si>
  <si>
    <t>Evaluation Engine</t>
  </si>
  <si>
    <t>Multimodal</t>
  </si>
  <si>
    <t>OpenClaw</t>
  </si>
  <si>
    <t>Comparison</t>
  </si>
  <si>
    <t>Hardening &amp; Release</t>
  </si>
  <si>
    <t>Phase Labour Summary and Control Gates</t>
  </si>
  <si>
    <t>% of Baseline</t>
  </si>
  <si>
    <t>TOTAL</t>
  </si>
  <si>
    <t>Planning Basis, Gates, and Change-Control Rules</t>
  </si>
  <si>
    <t>Planning assumptions</t>
  </si>
  <si>
    <t>A1</t>
  </si>
  <si>
    <t>Single-person project; Jason is the engineer, developer-in-training, tester, and reviewer.</t>
  </si>
  <si>
    <t>A2</t>
  </si>
  <si>
    <t>Baseline capacity is approximately 11 hours per week; no planned week exceeds 12 hours.</t>
  </si>
  <si>
    <t>A3</t>
  </si>
  <si>
    <t>Paid Outlier work and major life obligations take priority over the portfolio schedule.</t>
  </si>
  <si>
    <t>A4</t>
  </si>
  <si>
    <t>Work packages are intentionally small and evidence-based. A task is not complete because time was spent; it is complete when the listed deliverable exists and passes its acceptance condition.</t>
  </si>
  <si>
    <t>A5</t>
  </si>
  <si>
    <t>The schedule uses familiar engineering project controls: WBS, labour hours, predecessor, baseline dates, hold points, actual hours, variance, and formal gate reviews.</t>
  </si>
  <si>
    <t>A6</t>
  </si>
  <si>
    <t>OpenClaw begins only after Python, Git, tests, cases, and deterministic evaluators are working.</t>
  </si>
  <si>
    <t>A7</t>
  </si>
  <si>
    <t>The v1.0 baseline does not include full distributed reinforcement-learning reproduction.</t>
  </si>
  <si>
    <t>A8</t>
  </si>
  <si>
    <t>An optional post-v1.0 research extension may add offline trajectory scoring, reward calibration, lightweight LoRA, or selected agentic-RL experiments.</t>
  </si>
  <si>
    <t>Gate</t>
  </si>
  <si>
    <t>Target Week</t>
  </si>
  <si>
    <t>Target Date</t>
  </si>
  <si>
    <t>Decision</t>
  </si>
  <si>
    <t>Acceptance Criteria</t>
  </si>
  <si>
    <t>Gate 0</t>
  </si>
  <si>
    <t>Scope and control baseline accepted</t>
  </si>
  <si>
    <t>Environment works; repository exists; architecture and Month 1 boundary can be explained.</t>
  </si>
  <si>
    <t>Gate 1</t>
  </si>
  <si>
    <t>Case specification baseline v0.1.0</t>
  </si>
  <si>
    <t>8 reviewed cases; 3 workflow families; held-out cases; repository validation passes.</t>
  </si>
  <si>
    <t>Gate 2</t>
  </si>
  <si>
    <t>Software and test baseline v0.2</t>
  </si>
  <si>
    <t>20+ tests; CI green; branch/recovery exercise complete; result/trace schemas separated.</t>
  </si>
  <si>
    <t>Gate 3</t>
  </si>
  <si>
    <t>Deterministic evaluation baseline</t>
  </si>
  <si>
    <t>Artifacts can be evaluated locally; evidence and failure codes stored; 20-case report complete.</t>
  </si>
  <si>
    <t>Gate 4</t>
  </si>
  <si>
    <t>Multimodal benchmark ready</t>
  </si>
  <si>
    <t>PDF/image/table cases and artifact checks pass regression; limitations documented.</t>
  </si>
  <si>
    <t>Gate 5</t>
  </si>
  <si>
    <t>Bounded OpenClaw evaluation demonstrated</t>
  </si>
  <si>
    <t>Sandboxed repeated runs; complete traces; outcome and process scores separated.</t>
  </si>
  <si>
    <t>Gate 6</t>
  </si>
  <si>
    <t>Comparative study complete</t>
  </si>
  <si>
    <t>Identical-task comparison with cost, latency, tool-use, and failure evidence.</t>
  </si>
  <si>
    <t>Gate 7</t>
  </si>
  <si>
    <t>Portfolio release v1.0</t>
  </si>
  <si>
    <t>Held-out regression, governance pack, reproducible setup, demo, and three case studies.</t>
  </si>
  <si>
    <t>Change-control rule</t>
  </si>
  <si>
    <t>Do not compensate for a missed week by silently increasing the workload. First move unfinished work to the next available week. If the forecast finish moves by more than two weeks, a gate slips, or total forecast hours increase by more than 10%, record the cause, decide whether scope or schedule changes, and issue a new baseline version.</t>
  </si>
  <si>
    <t>Planning Sources and Design Rationale</t>
  </si>
  <si>
    <t>Source</t>
  </si>
  <si>
    <t>Use in Schedule</t>
  </si>
  <si>
    <t>Type</t>
  </si>
  <si>
    <t>URL / Reference</t>
  </si>
  <si>
    <t>Twelve-Month Roadmap from Engineering-Domain AI QA Auditor to AI Evaluation and Deployment Specialist</t>
  </si>
  <si>
    <t>10–14 hour learning cadence, Python/Git/testing first, multimodal and agents later, portfolio artifacts over certificates.</t>
  </si>
  <si>
    <t>Uploaded project PDF</t>
  </si>
  <si>
    <t>Project source file</t>
  </si>
  <si>
    <t>Current-Market Analysis of AI Evaluation, AI Quality, LLM Evaluation, Model Behaviour Testing, Technical AI Auditing, AI Deployment, and Responsible-AI Roles</t>
  </si>
  <si>
    <t>Prioritizes durable evaluation systems, tooling ownership, regression testing, and traceable evidence.</t>
  </si>
  <si>
    <t>Agents' Last Exam</t>
  </si>
  <si>
    <t>Authentic professional workflows; task/agent/environment decoupling; artifact-based verification; gates before quality scoring.</t>
  </si>
  <si>
    <t>Research paper</t>
  </si>
  <si>
    <t>https://arxiv.org/abs/2606.05405</t>
  </si>
  <si>
    <t>OpenClaw-RL: Train Any Agent Simply by Talking</t>
  </si>
  <si>
    <t>Trace and next-state design; process signals from tool output, terminal errors, GUI state, corrections, and user feedback.</t>
  </si>
  <si>
    <t>https://arxiv.org/abs/2603.10165</t>
  </si>
  <si>
    <t>RLAnything</t>
  </si>
  <si>
    <t>Separates outcome and step-wise signals and motivates future difficulty adaptation only after valid environments and evaluators exist.</t>
  </si>
  <si>
    <t>https://arxiv.org/abs/2602.02488</t>
  </si>
  <si>
    <t>Practical Market for a Solo AI Implementation and Evaluation Consultant in Edmonton and Alberta</t>
  </si>
  <si>
    <t>Informs authentic mechanical document, QA/QC, revision, maintenance, and technical-record workflow selection.</t>
  </si>
  <si>
    <t>Complete</t>
  </si>
  <si>
    <t>Completed before baseline start on 2026-06-28. Python 3.14.2 virtual environment active; baseline tests passed.</t>
  </si>
  <si>
    <t>Completed 2026-06-30. Local Git initialized, baseline commit created, GitHub origin configured, and main pushed successfully. Actual time was not separately logged.</t>
  </si>
  <si>
    <t>In Progress</t>
  </si>
  <si>
    <t>Repository layout, README, CLI commands, and MECH-001 summary reviewed. Full four-schema walkthrough and concise architecture explanation remain.</t>
  </si>
  <si>
    <t>Week 1 control update completed. Actual time is recorded only where explicitly tracked.</t>
  </si>
  <si>
    <t>Started early. Created feature/test-unknown-case and added the first controlled test change. Push/PR/merge evidence and two more branches plus recovery exercise remain.</t>
  </si>
  <si>
    <t>Completed early on 2026-06-30. Added a negative CLI integration test; 20 tests pass locally. Actual time was not separately logged.</t>
  </si>
  <si>
    <t>Completed Python environment and Git/GitHub baseline; validated all 3 seed cases; inspected MECH-001; reached 20 passing tests. Only 1.5 hours were explicitly time-tracked, so other completed work remains unallocated in Actual Hours.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</si>
</sst>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"/>
    <numFmt numFmtId="165" formatCode="0.0%"/>
    <numFmt numFmtId="166" formatCode="mmm\ d"/>
  </numFmts>
  <fonts count="7">
    <font>
      <sz val="11"/>
      <name val="Carlito"/>
    </font>
    <font>
      <b/>
      <sz val="16"/>
      <color rgb="FFFFFFFF"/>
      <name val="Aptos"/>
    </font>
    <font>
      <b/>
      <sz val="10"/>
      <color rgb="FFFFFFFF"/>
      <name val="Aptos"/>
    </font>
    <font>
      <sz val="10"/>
      <name val="Aptos"/>
    </font>
    <font>
      <b/>
      <sz val="10"/>
      <name val="Aptos"/>
    </font>
    <font>
      <b/>
      <sz val="10"/>
      <color rgb="FF0F172A"/>
      <name val="Aptos"/>
    </font>
    <font>
      <b/>
      <sz val="16"/>
      <name val="Aptos"/>
    </font>
  </fonts>
  <fills count="18">
    <fill>
      <patternFill patternType="none"/>
    </fill>
    <fill>
      <patternFill patternType="gray125"/>
    </fill>
    <fill>
      <patternFill patternType="solid">
        <fgColor rgb="FF0F172A"/>
      </patternFill>
    </fill>
    <fill>
      <patternFill patternType="solid">
        <fgColor rgb="FF334155"/>
      </patternFill>
    </fill>
    <fill>
      <patternFill patternType="solid">
        <fgColor rgb="FFF8FAFC"/>
      </patternFill>
    </fill>
    <fill>
      <patternFill patternType="solid">
        <fgColor rgb="FFE2E8F0"/>
      </patternFill>
    </fill>
    <fill>
      <patternFill patternType="solid">
        <fgColor rgb="FF1E3A5F"/>
      </patternFill>
    </fill>
    <fill>
      <patternFill patternType="solid">
        <fgColor rgb="FF64748B"/>
      </patternFill>
    </fill>
    <fill>
      <patternFill patternType="solid">
        <fgColor rgb="FF2563EB"/>
      </patternFill>
    </fill>
    <fill>
      <patternFill patternType="solid">
        <fgColor rgb="FF0F766E"/>
      </patternFill>
    </fill>
    <fill>
      <patternFill patternType="solid">
        <fgColor rgb="FF7C3AED"/>
      </patternFill>
    </fill>
    <fill>
      <patternFill patternType="solid">
        <fgColor rgb="FFD97706"/>
      </patternFill>
    </fill>
    <fill>
      <patternFill patternType="solid">
        <fgColor rgb="FFB91C1C"/>
      </patternFill>
    </fill>
    <fill>
      <patternFill patternType="solid">
        <fgColor rgb="FF0891B2"/>
      </patternFill>
    </fill>
    <fill>
      <patternFill patternType="solid">
        <fgColor rgb="FF15803D"/>
      </patternFill>
    </fill>
    <fill>
      <patternFill patternType="solid">
        <fgColor rgb="FFF59E0B"/>
      </patternFill>
    </fill>
    <fill>
      <patternFill patternType="solid">
        <fgColor rgb="FFFEF3C7"/>
      </patternFill>
    </fill>
    <fill>
      <patternFill patternType="solid">
        <fgColor rgb="FFFFF7ED"/>
      </patternFill>
    </fill>
  </fills>
  <borders count="16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32">
    <xf numFmtId="0" fontId="0" fillId="0" borderId="0" xfId="0"/>
    <xf numFmtId="0" fontId="3" fillId="0" borderId="0" xfId="0" applyFont="1"/>
    <xf numFmtId="0" fontId="2" fillId="3" borderId="0" xfId="0" applyFont="1" applyFill="1" applyAlignment="1">
      <alignment vertical="center" wrapText="1"/>
    </xf>
    <xf numFmtId="164" fontId="3" fillId="4" borderId="1" xfId="0" applyNumberFormat="1" applyFont="1" applyFill="1" applyBorder="1" applyAlignment="1">
      <alignment wrapText="1"/>
    </xf>
    <xf numFmtId="0" fontId="2" fillId="3" borderId="0" xfId="0" applyFont="1" applyFill="1" applyAlignment="1">
      <alignment vertical="center"/>
    </xf>
    <xf numFmtId="164" fontId="3" fillId="4" borderId="2" xfId="0" applyNumberFormat="1" applyFont="1" applyFill="1" applyBorder="1" applyAlignment="1">
      <alignment wrapText="1"/>
    </xf>
    <xf numFmtId="0" fontId="4" fillId="5" borderId="0" xfId="0" applyFont="1" applyFill="1" applyAlignment="1">
      <alignment horizontal="center"/>
    </xf>
    <xf numFmtId="0" fontId="3" fillId="0" borderId="4" xfId="0" applyFont="1" applyBorder="1" applyAlignment="1">
      <alignment vertical="top" wrapText="1"/>
    </xf>
    <xf numFmtId="0" fontId="3" fillId="0" borderId="5" xfId="0" applyFont="1" applyBorder="1" applyAlignment="1">
      <alignment vertical="top" wrapText="1"/>
    </xf>
    <xf numFmtId="0" fontId="3" fillId="0" borderId="6" xfId="0" applyFont="1" applyBorder="1" applyAlignment="1">
      <alignment vertical="top" wrapText="1"/>
    </xf>
    <xf numFmtId="0" fontId="3" fillId="4" borderId="2" xfId="0" applyFont="1" applyFill="1" applyBorder="1" applyAlignment="1">
      <alignment wrapText="1"/>
    </xf>
    <xf numFmtId="0" fontId="3" fillId="0" borderId="7" xfId="0" applyFont="1" applyBorder="1" applyAlignment="1">
      <alignment vertical="top" wrapText="1"/>
    </xf>
    <xf numFmtId="0" fontId="3" fillId="0" borderId="0" xfId="0" applyFont="1" applyAlignment="1">
      <alignment vertical="top" wrapText="1"/>
    </xf>
    <xf numFmtId="0" fontId="3" fillId="0" borderId="8" xfId="0" applyFont="1" applyBorder="1" applyAlignment="1">
      <alignment vertical="top" wrapText="1"/>
    </xf>
    <xf numFmtId="1" fontId="3" fillId="4" borderId="2" xfId="0" applyNumberFormat="1" applyFont="1" applyFill="1" applyBorder="1" applyAlignment="1">
      <alignment wrapText="1"/>
    </xf>
    <xf numFmtId="0" fontId="3" fillId="0" borderId="9" xfId="0" applyFont="1" applyBorder="1" applyAlignment="1">
      <alignment vertical="top" wrapText="1"/>
    </xf>
    <xf numFmtId="0" fontId="3" fillId="0" borderId="10" xfId="0" applyFont="1" applyBorder="1" applyAlignment="1">
      <alignment vertical="top" wrapText="1"/>
    </xf>
    <xf numFmtId="0" fontId="3" fillId="0" borderId="11" xfId="0" applyFont="1" applyBorder="1" applyAlignment="1">
      <alignment vertical="top" wrapText="1"/>
    </xf>
    <xf numFmtId="0" fontId="3" fillId="4" borderId="3" xfId="0" applyFont="1" applyFill="1" applyBorder="1" applyAlignment="1">
      <alignment wrapText="1"/>
    </xf>
    <xf numFmtId="0" fontId="2" fillId="6" borderId="0" xfId="0" applyFont="1" applyFill="1" applyAlignment="1">
      <alignment horizontal="center" vertical="center" wrapText="1"/>
    </xf>
    <xf numFmtId="0" fontId="3" fillId="0" borderId="12" xfId="0" applyFont="1" applyBorder="1" applyAlignment="1">
      <alignment vertical="top" wrapText="1"/>
    </xf>
    <xf numFmtId="0" fontId="2" fillId="7" borderId="13" xfId="0" applyFont="1" applyFill="1" applyBorder="1" applyAlignment="1">
      <alignment vertical="top" wrapText="1"/>
    </xf>
    <xf numFmtId="0" fontId="3" fillId="0" borderId="13" xfId="0" applyFont="1" applyBorder="1" applyAlignment="1">
      <alignment vertical="top" wrapText="1"/>
    </xf>
    <xf numFmtId="165" fontId="3" fillId="0" borderId="13" xfId="0" applyNumberFormat="1" applyFont="1" applyBorder="1" applyAlignment="1">
      <alignment vertical="top" wrapText="1"/>
    </xf>
    <xf numFmtId="164" fontId="3" fillId="0" borderId="13" xfId="0" applyNumberFormat="1" applyFont="1" applyBorder="1" applyAlignment="1">
      <alignment vertical="top" wrapText="1"/>
    </xf>
    <xf numFmtId="0" fontId="3" fillId="0" borderId="14" xfId="0" applyFont="1" applyBorder="1" applyAlignment="1">
      <alignment vertical="top" wrapText="1"/>
    </xf>
    <xf numFmtId="0" fontId="2" fillId="7" borderId="15" xfId="0" applyFont="1" applyFill="1" applyBorder="1" applyAlignment="1">
      <alignment horizontal="center"/>
    </xf>
    <xf numFmtId="0" fontId="2" fillId="8" borderId="13" xfId="0" applyFont="1" applyFill="1" applyBorder="1" applyAlignment="1">
      <alignment vertical="top" wrapText="1"/>
    </xf>
    <xf numFmtId="0" fontId="2" fillId="8" borderId="15" xfId="0" applyFont="1" applyFill="1" applyBorder="1" applyAlignment="1">
      <alignment horizontal="center"/>
    </xf>
    <xf numFmtId="0" fontId="3" fillId="4" borderId="15" xfId="0" applyFont="1" applyFill="1" applyBorder="1"/>
    <xf numFmtId="0" fontId="2" fillId="9" borderId="13" xfId="0" applyFont="1" applyFill="1" applyBorder="1" applyAlignment="1">
      <alignment vertical="top" wrapText="1"/>
    </xf>
    <xf numFmtId="0" fontId="2" fillId="9" borderId="15" xfId="0" applyFont="1" applyFill="1" applyBorder="1" applyAlignment="1">
      <alignment horizontal="center"/>
    </xf>
    <xf numFmtId="0" fontId="2" fillId="10" borderId="13" xfId="0" applyFont="1" applyFill="1" applyBorder="1" applyAlignment="1">
      <alignment vertical="top" wrapText="1"/>
    </xf>
    <xf numFmtId="0" fontId="2" fillId="10" borderId="15" xfId="0" applyFont="1" applyFill="1" applyBorder="1" applyAlignment="1">
      <alignment horizontal="center"/>
    </xf>
    <xf numFmtId="0" fontId="2" fillId="11" borderId="13" xfId="0" applyFont="1" applyFill="1" applyBorder="1" applyAlignment="1">
      <alignment vertical="top" wrapText="1"/>
    </xf>
    <xf numFmtId="0" fontId="2" fillId="11" borderId="15" xfId="0" applyFont="1" applyFill="1" applyBorder="1" applyAlignment="1">
      <alignment horizontal="center"/>
    </xf>
    <xf numFmtId="0" fontId="2" fillId="12" borderId="13" xfId="0" applyFont="1" applyFill="1" applyBorder="1" applyAlignment="1">
      <alignment vertical="top" wrapText="1"/>
    </xf>
    <xf numFmtId="0" fontId="2" fillId="12" borderId="15" xfId="0" applyFont="1" applyFill="1" applyBorder="1" applyAlignment="1">
      <alignment horizontal="center"/>
    </xf>
    <xf numFmtId="0" fontId="2" fillId="13" borderId="13" xfId="0" applyFont="1" applyFill="1" applyBorder="1" applyAlignment="1">
      <alignment vertical="top" wrapText="1"/>
    </xf>
    <xf numFmtId="0" fontId="2" fillId="13" borderId="15" xfId="0" applyFont="1" applyFill="1" applyBorder="1" applyAlignment="1">
      <alignment horizontal="center"/>
    </xf>
    <xf numFmtId="0" fontId="2" fillId="14" borderId="13" xfId="0" applyFont="1" applyFill="1" applyBorder="1" applyAlignment="1">
      <alignment vertical="top" wrapText="1"/>
    </xf>
    <xf numFmtId="0" fontId="2" fillId="14" borderId="15" xfId="0" applyFont="1" applyFill="1" applyBorder="1" applyAlignment="1">
      <alignment horizontal="center"/>
    </xf>
    <xf numFmtId="0" fontId="2" fillId="2" borderId="13" xfId="0" applyFont="1" applyFill="1" applyBorder="1"/>
    <xf numFmtId="9" fontId="2" fillId="2" borderId="13" xfId="0" applyNumberFormat="1" applyFont="1" applyFill="1" applyBorder="1"/>
    <xf numFmtId="0" fontId="2" fillId="2" borderId="14" xfId="0" applyFont="1" applyFill="1" applyBorder="1"/>
    <xf numFmtId="164" fontId="2" fillId="3" borderId="0" xfId="0" applyNumberFormat="1" applyFont="1" applyFill="1" applyAlignment="1">
      <alignment vertical="center"/>
    </xf>
    <xf numFmtId="166" fontId="5" fillId="5" borderId="0" xfId="0" applyNumberFormat="1" applyFont="1" applyFill="1" applyAlignment="1">
      <alignment horizontal="center" vertical="center" wrapText="1"/>
    </xf>
    <xf numFmtId="0" fontId="3" fillId="0" borderId="13" xfId="0" applyFont="1" applyBorder="1" applyAlignment="1">
      <alignment horizontal="center" vertical="top" wrapText="1"/>
    </xf>
    <xf numFmtId="164" fontId="3" fillId="0" borderId="13" xfId="0" applyNumberFormat="1" applyFont="1" applyBorder="1" applyAlignment="1">
      <alignment horizontal="center" vertical="top" wrapText="1"/>
    </xf>
    <xf numFmtId="9" fontId="3" fillId="0" borderId="13" xfId="0" applyNumberFormat="1" applyFont="1" applyBorder="1" applyAlignment="1">
      <alignment horizontal="center" vertical="top" wrapText="1"/>
    </xf>
    <xf numFmtId="0" fontId="2" fillId="7" borderId="15" xfId="0" applyFont="1" applyFill="1" applyBorder="1" applyAlignment="1">
      <alignment horizontal="center" vertical="center"/>
    </xf>
    <xf numFmtId="0" fontId="3" fillId="0" borderId="5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8" xfId="0" applyFont="1" applyBorder="1" applyAlignment="1">
      <alignment horizontal="center"/>
    </xf>
    <xf numFmtId="0" fontId="2" fillId="7" borderId="12" xfId="0" applyFont="1" applyFill="1" applyBorder="1" applyAlignment="1">
      <alignment horizontal="center" vertical="center"/>
    </xf>
    <xf numFmtId="0" fontId="2" fillId="7" borderId="14" xfId="0" applyFont="1" applyFill="1" applyBorder="1" applyAlignment="1">
      <alignment horizontal="center" vertical="center"/>
    </xf>
    <xf numFmtId="0" fontId="3" fillId="0" borderId="7" xfId="0" applyFont="1" applyBorder="1" applyAlignment="1">
      <alignment horizontal="center"/>
    </xf>
    <xf numFmtId="0" fontId="2" fillId="7" borderId="13" xfId="0" applyFont="1" applyFill="1" applyBorder="1" applyAlignment="1">
      <alignment horizontal="center" vertical="center"/>
    </xf>
    <xf numFmtId="0" fontId="2" fillId="8" borderId="15" xfId="0" applyFont="1" applyFill="1" applyBorder="1" applyAlignment="1">
      <alignment horizontal="center" vertical="center"/>
    </xf>
    <xf numFmtId="0" fontId="2" fillId="8" borderId="12" xfId="0" applyFont="1" applyFill="1" applyBorder="1" applyAlignment="1">
      <alignment horizontal="center" vertical="center"/>
    </xf>
    <xf numFmtId="0" fontId="2" fillId="8" borderId="14" xfId="0" applyFont="1" applyFill="1" applyBorder="1" applyAlignment="1">
      <alignment horizontal="center" vertical="center"/>
    </xf>
    <xf numFmtId="0" fontId="2" fillId="8" borderId="13" xfId="0" applyFont="1" applyFill="1" applyBorder="1" applyAlignment="1">
      <alignment horizontal="center" vertical="center"/>
    </xf>
    <xf numFmtId="0" fontId="2" fillId="9" borderId="15" xfId="0" applyFont="1" applyFill="1" applyBorder="1" applyAlignment="1">
      <alignment horizontal="center" vertical="center"/>
    </xf>
    <xf numFmtId="0" fontId="2" fillId="9" borderId="12" xfId="0" applyFont="1" applyFill="1" applyBorder="1" applyAlignment="1">
      <alignment horizontal="center" vertical="center"/>
    </xf>
    <xf numFmtId="0" fontId="2" fillId="9" borderId="14" xfId="0" applyFont="1" applyFill="1" applyBorder="1" applyAlignment="1">
      <alignment horizontal="center" vertical="center"/>
    </xf>
    <xf numFmtId="0" fontId="2" fillId="10" borderId="12" xfId="0" applyFont="1" applyFill="1" applyBorder="1" applyAlignment="1">
      <alignment horizontal="center" vertical="center"/>
    </xf>
    <xf numFmtId="0" fontId="2" fillId="10" borderId="14" xfId="0" applyFont="1" applyFill="1" applyBorder="1" applyAlignment="1">
      <alignment horizontal="center" vertical="center"/>
    </xf>
    <xf numFmtId="0" fontId="2" fillId="10" borderId="15" xfId="0" applyFont="1" applyFill="1" applyBorder="1" applyAlignment="1">
      <alignment horizontal="center" vertical="center"/>
    </xf>
    <xf numFmtId="0" fontId="2" fillId="11" borderId="15" xfId="0" applyFont="1" applyFill="1" applyBorder="1" applyAlignment="1">
      <alignment horizontal="center" vertical="center"/>
    </xf>
    <xf numFmtId="0" fontId="2" fillId="11" borderId="12" xfId="0" applyFont="1" applyFill="1" applyBorder="1" applyAlignment="1">
      <alignment horizontal="center" vertical="center"/>
    </xf>
    <xf numFmtId="0" fontId="2" fillId="11" borderId="14" xfId="0" applyFont="1" applyFill="1" applyBorder="1" applyAlignment="1">
      <alignment horizontal="center" vertical="center"/>
    </xf>
    <xf numFmtId="0" fontId="2" fillId="11" borderId="13" xfId="0" applyFont="1" applyFill="1" applyBorder="1" applyAlignment="1">
      <alignment horizontal="center" vertical="center"/>
    </xf>
    <xf numFmtId="0" fontId="2" fillId="12" borderId="15" xfId="0" applyFont="1" applyFill="1" applyBorder="1" applyAlignment="1">
      <alignment horizontal="center" vertical="center"/>
    </xf>
    <xf numFmtId="0" fontId="2" fillId="12" borderId="12" xfId="0" applyFont="1" applyFill="1" applyBorder="1" applyAlignment="1">
      <alignment horizontal="center" vertical="center"/>
    </xf>
    <xf numFmtId="0" fontId="2" fillId="12" borderId="14" xfId="0" applyFont="1" applyFill="1" applyBorder="1" applyAlignment="1">
      <alignment horizontal="center" vertical="center"/>
    </xf>
    <xf numFmtId="0" fontId="2" fillId="13" borderId="15" xfId="0" applyFont="1" applyFill="1" applyBorder="1" applyAlignment="1">
      <alignment horizontal="center" vertical="center"/>
    </xf>
    <xf numFmtId="0" fontId="2" fillId="13" borderId="12" xfId="0" applyFont="1" applyFill="1" applyBorder="1" applyAlignment="1">
      <alignment horizontal="center" vertical="center"/>
    </xf>
    <xf numFmtId="0" fontId="2" fillId="13" borderId="14" xfId="0" applyFont="1" applyFill="1" applyBorder="1" applyAlignment="1">
      <alignment horizontal="center" vertical="center"/>
    </xf>
    <xf numFmtId="0" fontId="2" fillId="14" borderId="15" xfId="0" applyFont="1" applyFill="1" applyBorder="1" applyAlignment="1">
      <alignment horizontal="center" vertical="center"/>
    </xf>
    <xf numFmtId="0" fontId="2" fillId="14" borderId="12" xfId="0" applyFont="1" applyFill="1" applyBorder="1" applyAlignment="1">
      <alignment horizontal="center" vertical="center"/>
    </xf>
    <xf numFmtId="0" fontId="2" fillId="14" borderId="14" xfId="0" applyFont="1" applyFill="1" applyBorder="1" applyAlignment="1">
      <alignment horizontal="center" vertical="center"/>
    </xf>
    <xf numFmtId="0" fontId="3" fillId="0" borderId="9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3" fillId="0" borderId="12" xfId="0" applyFont="1" applyBorder="1" applyAlignment="1">
      <alignment wrapText="1"/>
    </xf>
    <xf numFmtId="164" fontId="3" fillId="0" borderId="13" xfId="0" applyNumberFormat="1" applyFont="1" applyBorder="1" applyAlignment="1">
      <alignment wrapText="1"/>
    </xf>
    <xf numFmtId="0" fontId="3" fillId="0" borderId="13" xfId="0" applyFont="1" applyBorder="1" applyAlignment="1">
      <alignment wrapText="1"/>
    </xf>
    <xf numFmtId="0" fontId="3" fillId="0" borderId="14" xfId="0" applyFont="1" applyBorder="1" applyAlignment="1">
      <alignment wrapText="1"/>
    </xf>
    <xf numFmtId="0" fontId="3" fillId="17" borderId="12" xfId="0" applyFont="1" applyFill="1" applyBorder="1" applyAlignment="1">
      <alignment wrapText="1"/>
    </xf>
    <xf numFmtId="164" fontId="3" fillId="17" borderId="13" xfId="0" applyNumberFormat="1" applyFont="1" applyFill="1" applyBorder="1" applyAlignment="1">
      <alignment wrapText="1"/>
    </xf>
    <xf numFmtId="0" fontId="3" fillId="17" borderId="13" xfId="0" applyFont="1" applyFill="1" applyBorder="1" applyAlignment="1">
      <alignment wrapText="1"/>
    </xf>
    <xf numFmtId="0" fontId="3" fillId="17" borderId="14" xfId="0" applyFont="1" applyFill="1" applyBorder="1" applyAlignment="1">
      <alignment wrapText="1"/>
    </xf>
    <xf numFmtId="0" fontId="2" fillId="7" borderId="13" xfId="0" applyFont="1" applyFill="1" applyBorder="1" applyAlignment="1">
      <alignment wrapText="1"/>
    </xf>
    <xf numFmtId="165" fontId="3" fillId="0" borderId="13" xfId="0" applyNumberFormat="1" applyFont="1" applyBorder="1" applyAlignment="1">
      <alignment wrapText="1"/>
    </xf>
    <xf numFmtId="164" fontId="3" fillId="0" borderId="14" xfId="0" applyNumberFormat="1" applyFont="1" applyBorder="1" applyAlignment="1">
      <alignment wrapText="1"/>
    </xf>
    <xf numFmtId="0" fontId="2" fillId="8" borderId="13" xfId="0" applyFont="1" applyFill="1" applyBorder="1" applyAlignment="1">
      <alignment wrapText="1"/>
    </xf>
    <xf numFmtId="0" fontId="2" fillId="9" borderId="13" xfId="0" applyFont="1" applyFill="1" applyBorder="1" applyAlignment="1">
      <alignment wrapText="1"/>
    </xf>
    <xf numFmtId="0" fontId="2" fillId="10" borderId="13" xfId="0" applyFont="1" applyFill="1" applyBorder="1" applyAlignment="1">
      <alignment wrapText="1"/>
    </xf>
    <xf numFmtId="0" fontId="2" fillId="11" borderId="13" xfId="0" applyFont="1" applyFill="1" applyBorder="1" applyAlignment="1">
      <alignment wrapText="1"/>
    </xf>
    <xf numFmtId="0" fontId="2" fillId="12" borderId="13" xfId="0" applyFont="1" applyFill="1" applyBorder="1" applyAlignment="1">
      <alignment wrapText="1"/>
    </xf>
    <xf numFmtId="0" fontId="2" fillId="13" borderId="13" xfId="0" applyFont="1" applyFill="1" applyBorder="1" applyAlignment="1">
      <alignment wrapText="1"/>
    </xf>
    <xf numFmtId="0" fontId="2" fillId="14" borderId="13" xfId="0" applyFont="1" applyFill="1" applyBorder="1" applyAlignment="1">
      <alignment wrapText="1"/>
    </xf>
    <xf numFmtId="0" fontId="5" fillId="5" borderId="0" xfId="0" applyFont="1" applyFill="1" applyAlignment="1">
      <alignment horizontal="center" vertical="center" wrapText="1"/>
    </xf>
    <xf numFmtId="0" fontId="3" fillId="0" borderId="1" xfId="0" applyFont="1" applyBorder="1" applyAlignment="1">
      <alignment vertical="top" wrapText="1"/>
    </xf>
    <xf numFmtId="0" fontId="3" fillId="0" borderId="2" xfId="0" applyFont="1" applyBorder="1" applyAlignment="1">
      <alignment vertical="top" wrapText="1"/>
    </xf>
    <xf numFmtId="0" fontId="3" fillId="0" borderId="3" xfId="0" applyFont="1" applyBorder="1" applyAlignment="1">
      <alignment vertical="top" wrapText="1"/>
    </xf>
    <xf numFmtId="0" fontId="5" fillId="15" borderId="15" xfId="0" applyFont="1" applyFill="1" applyBorder="1" applyAlignment="1">
      <alignment vertical="top" wrapText="1"/>
    </xf>
    <xf numFmtId="0" fontId="6" fillId="0" borderId="0" xfId="0" applyFont="1"/>
    <xf numFmtId="0" fontId="1" fillId="2" borderId="0" xfId="0" applyFont="1" applyFill="1" applyAlignment="1">
      <alignment vertical="center"/>
    </xf>
    <xf numFmtId="0" fontId="2" fillId="3" borderId="0" xfId="0" applyFont="1" applyFill="1" applyAlignment="1">
      <alignment vertical="center"/>
    </xf>
    <xf numFmtId="0" fontId="3" fillId="0" borderId="4" xfId="0" applyFont="1" applyBorder="1" applyAlignment="1">
      <alignment vertical="top" wrapText="1"/>
    </xf>
    <xf numFmtId="0" fontId="3" fillId="0" borderId="5" xfId="0" applyFont="1" applyBorder="1" applyAlignment="1">
      <alignment vertical="top" wrapText="1"/>
    </xf>
    <xf numFmtId="0" fontId="3" fillId="0" borderId="6" xfId="0" applyFont="1" applyBorder="1" applyAlignment="1">
      <alignment vertical="top" wrapText="1"/>
    </xf>
    <xf numFmtId="0" fontId="3" fillId="0" borderId="7" xfId="0" applyFont="1" applyBorder="1" applyAlignment="1">
      <alignment vertical="top" wrapText="1"/>
    </xf>
    <xf numFmtId="0" fontId="3" fillId="0" borderId="0" xfId="0" applyFont="1" applyAlignment="1">
      <alignment vertical="top" wrapText="1"/>
    </xf>
    <xf numFmtId="0" fontId="3" fillId="0" borderId="8" xfId="0" applyFont="1" applyBorder="1" applyAlignment="1">
      <alignment vertical="top" wrapText="1"/>
    </xf>
    <xf numFmtId="0" fontId="3" fillId="4" borderId="4" xfId="0" applyFont="1" applyFill="1" applyBorder="1" applyAlignment="1">
      <alignment vertical="top" wrapText="1"/>
    </xf>
    <xf numFmtId="0" fontId="3" fillId="4" borderId="5" xfId="0" applyFont="1" applyFill="1" applyBorder="1" applyAlignment="1">
      <alignment vertical="top" wrapText="1"/>
    </xf>
    <xf numFmtId="0" fontId="3" fillId="4" borderId="6" xfId="0" applyFont="1" applyFill="1" applyBorder="1" applyAlignment="1">
      <alignment vertical="top" wrapText="1"/>
    </xf>
    <xf numFmtId="0" fontId="3" fillId="4" borderId="7" xfId="0" applyFont="1" applyFill="1" applyBorder="1" applyAlignment="1">
      <alignment vertical="top" wrapText="1"/>
    </xf>
    <xf numFmtId="0" fontId="3" fillId="4" borderId="0" xfId="0" applyFont="1" applyFill="1" applyAlignment="1">
      <alignment vertical="top" wrapText="1"/>
    </xf>
    <xf numFmtId="0" fontId="3" fillId="4" borderId="8" xfId="0" applyFont="1" applyFill="1" applyBorder="1" applyAlignment="1">
      <alignment vertical="top" wrapText="1"/>
    </xf>
    <xf numFmtId="0" fontId="3" fillId="4" borderId="9" xfId="0" applyFont="1" applyFill="1" applyBorder="1" applyAlignment="1">
      <alignment vertical="top" wrapText="1"/>
    </xf>
    <xf numFmtId="0" fontId="3" fillId="4" borderId="10" xfId="0" applyFont="1" applyFill="1" applyBorder="1" applyAlignment="1">
      <alignment vertical="top" wrapText="1"/>
    </xf>
    <xf numFmtId="0" fontId="3" fillId="4" borderId="11" xfId="0" applyFont="1" applyFill="1" applyBorder="1" applyAlignment="1">
      <alignment vertical="top" wrapText="1"/>
    </xf>
    <xf numFmtId="0" fontId="3" fillId="0" borderId="9" xfId="0" applyFont="1" applyBorder="1" applyAlignment="1">
      <alignment vertical="top" wrapText="1"/>
    </xf>
    <xf numFmtId="0" fontId="3" fillId="0" borderId="10" xfId="0" applyFont="1" applyBorder="1" applyAlignment="1">
      <alignment vertical="top" wrapText="1"/>
    </xf>
    <xf numFmtId="0" fontId="3" fillId="0" borderId="11" xfId="0" applyFont="1" applyBorder="1" applyAlignment="1">
      <alignment vertical="top" wrapText="1"/>
    </xf>
    <xf numFmtId="0" fontId="2" fillId="2" borderId="12" xfId="0" applyFont="1" applyFill="1" applyBorder="1"/>
    <xf numFmtId="0" fontId="2" fillId="2" borderId="13" xfId="0" applyFont="1" applyFill="1" applyBorder="1"/>
    <xf numFmtId="0" fontId="5" fillId="15" borderId="0" xfId="0" applyFont="1" applyFill="1"/>
    <xf numFmtId="0" fontId="3" fillId="16" borderId="0" xfId="0" applyFont="1" applyFill="1" applyAlignment="1">
      <alignment wrapText="1"/>
    </xf>
  </cellXfs>
  <cellStyles count="1">
    <cellStyle name="Normal" xfId="0" builtinId="0"/>
  </cellStyles>
  <dxfs count="7">
    <dxf>
      <font>
        <color rgb="FF166534"/>
      </font>
      <fill>
        <patternFill>
          <bgColor rgb="FFDCFCE7"/>
        </patternFill>
      </fill>
    </dxf>
    <dxf>
      <font>
        <color rgb="FF991B1B"/>
      </font>
      <fill>
        <patternFill>
          <bgColor rgb="FFFEE2E2"/>
        </patternFill>
      </fill>
    </dxf>
    <dxf>
      <font>
        <color rgb="FF166534"/>
      </font>
      <fill>
        <patternFill>
          <bgColor rgb="FFDCFCE7"/>
        </patternFill>
      </fill>
    </dxf>
    <dxf>
      <font>
        <color rgb="FF991B1B"/>
      </font>
      <fill>
        <patternFill>
          <bgColor rgb="FFFEE2E2"/>
        </patternFill>
      </fill>
    </dxf>
    <dxf>
      <font>
        <b/>
        <color rgb="FF991B1B"/>
      </font>
      <fill>
        <patternFill>
          <bgColor rgb="FFFEE2E2"/>
        </patternFill>
      </fill>
    </dxf>
    <dxf>
      <font>
        <b/>
        <color rgb="FF1D4ED8"/>
      </font>
      <fill>
        <patternFill>
          <bgColor rgb="FFDBEAFE"/>
        </patternFill>
      </fill>
    </dxf>
    <dxf>
      <font>
        <b/>
        <color rgb="FF166534"/>
      </font>
      <fill>
        <patternFill>
          <bgColor rgb="FFDCFCE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Planned Hours</c:v>
          </c:tx>
          <c:cat>
            <c:numRef>
              <c:f>'Weekly Control'!$A$4:$A$55</c:f>
              <c:numCache>
                <c:formatCode>General</c:formatCode>
                <c:ptCount val="5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</c:numCache>
            </c:numRef>
          </c:cat>
          <c:val>
            <c:numRef>
              <c:f>'Weekly Control'!$D$4:$D$55</c:f>
              <c:numCache>
                <c:formatCode>General</c:formatCode>
                <c:ptCount val="52"/>
                <c:pt idx="0">
                  <c:v>11</c:v>
                </c:pt>
                <c:pt idx="1">
                  <c:v>11</c:v>
                </c:pt>
                <c:pt idx="2">
                  <c:v>11</c:v>
                </c:pt>
                <c:pt idx="3">
                  <c:v>11</c:v>
                </c:pt>
                <c:pt idx="4">
                  <c:v>11</c:v>
                </c:pt>
                <c:pt idx="5">
                  <c:v>11</c:v>
                </c:pt>
                <c:pt idx="6">
                  <c:v>11</c:v>
                </c:pt>
                <c:pt idx="7">
                  <c:v>11</c:v>
                </c:pt>
                <c:pt idx="8">
                  <c:v>12</c:v>
                </c:pt>
                <c:pt idx="9">
                  <c:v>11</c:v>
                </c:pt>
                <c:pt idx="10">
                  <c:v>11</c:v>
                </c:pt>
                <c:pt idx="11">
                  <c:v>11</c:v>
                </c:pt>
                <c:pt idx="12">
                  <c:v>11</c:v>
                </c:pt>
                <c:pt idx="13">
                  <c:v>11</c:v>
                </c:pt>
                <c:pt idx="14">
                  <c:v>11</c:v>
                </c:pt>
                <c:pt idx="15">
                  <c:v>11</c:v>
                </c:pt>
                <c:pt idx="16">
                  <c:v>11</c:v>
                </c:pt>
                <c:pt idx="17">
                  <c:v>11</c:v>
                </c:pt>
                <c:pt idx="18">
                  <c:v>11</c:v>
                </c:pt>
                <c:pt idx="19">
                  <c:v>11</c:v>
                </c:pt>
                <c:pt idx="20">
                  <c:v>11</c:v>
                </c:pt>
                <c:pt idx="21">
                  <c:v>11</c:v>
                </c:pt>
                <c:pt idx="22">
                  <c:v>11</c:v>
                </c:pt>
                <c:pt idx="23">
                  <c:v>12</c:v>
                </c:pt>
                <c:pt idx="24">
                  <c:v>11</c:v>
                </c:pt>
                <c:pt idx="25">
                  <c:v>11</c:v>
                </c:pt>
                <c:pt idx="26">
                  <c:v>11</c:v>
                </c:pt>
                <c:pt idx="27">
                  <c:v>11</c:v>
                </c:pt>
                <c:pt idx="28">
                  <c:v>11</c:v>
                </c:pt>
                <c:pt idx="29">
                  <c:v>11</c:v>
                </c:pt>
                <c:pt idx="30">
                  <c:v>11</c:v>
                </c:pt>
                <c:pt idx="31">
                  <c:v>11</c:v>
                </c:pt>
                <c:pt idx="32">
                  <c:v>11</c:v>
                </c:pt>
                <c:pt idx="33">
                  <c:v>11</c:v>
                </c:pt>
                <c:pt idx="34">
                  <c:v>11</c:v>
                </c:pt>
                <c:pt idx="35">
                  <c:v>11</c:v>
                </c:pt>
                <c:pt idx="36">
                  <c:v>11</c:v>
                </c:pt>
                <c:pt idx="37">
                  <c:v>11</c:v>
                </c:pt>
                <c:pt idx="38">
                  <c:v>11</c:v>
                </c:pt>
                <c:pt idx="39">
                  <c:v>11</c:v>
                </c:pt>
                <c:pt idx="40">
                  <c:v>11</c:v>
                </c:pt>
                <c:pt idx="41">
                  <c:v>12</c:v>
                </c:pt>
                <c:pt idx="42">
                  <c:v>11</c:v>
                </c:pt>
                <c:pt idx="43">
                  <c:v>11</c:v>
                </c:pt>
                <c:pt idx="44">
                  <c:v>11</c:v>
                </c:pt>
                <c:pt idx="45">
                  <c:v>11</c:v>
                </c:pt>
                <c:pt idx="46">
                  <c:v>11</c:v>
                </c:pt>
                <c:pt idx="47">
                  <c:v>11</c:v>
                </c:pt>
                <c:pt idx="48">
                  <c:v>11</c:v>
                </c:pt>
                <c:pt idx="49">
                  <c:v>11</c:v>
                </c:pt>
                <c:pt idx="50">
                  <c:v>11</c:v>
                </c:pt>
                <c:pt idx="51">
                  <c:v>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85B-41B8-85CE-A9C9AFF7D0EE}"/>
            </c:ext>
          </c:extLst>
        </c:ser>
        <c:ser>
          <c:idx val="1"/>
          <c:order val="1"/>
          <c:tx>
            <c:v>Actual Hours</c:v>
          </c:tx>
          <c:cat>
            <c:numRef>
              <c:f>'Weekly Control'!$A$4:$A$55</c:f>
              <c:numCache>
                <c:formatCode>General</c:formatCode>
                <c:ptCount val="5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</c:numCache>
            </c:numRef>
          </c:cat>
          <c:val>
            <c:numRef>
              <c:f>'Weekly Control'!$E$4:$E$55</c:f>
              <c:numCache>
                <c:formatCode>General</c:formatCode>
                <c:ptCount val="52"/>
                <c:pt idx="0">
                  <c:v>1.5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85B-41B8-85CE-A9C9AFF7D0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t>Planned Hours by Phase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Planned Hours</c:v>
          </c:tx>
          <c:invertIfNegative val="1"/>
          <c:cat>
            <c:strRef>
              <c:f>'Phase Summary'!$B$4:$B$11</c:f>
              <c:strCache>
                <c:ptCount val="8"/>
                <c:pt idx="0">
                  <c:v>0 Project Controls &amp; Mobilization</c:v>
                </c:pt>
                <c:pt idx="1">
                  <c:v>1 Case Foundation</c:v>
                </c:pt>
                <c:pt idx="2">
                  <c:v>2 Software Hygiene &amp; Test Infrastructure</c:v>
                </c:pt>
                <c:pt idx="3">
                  <c:v>3 Evaluation Engine &amp; Measurement</c:v>
                </c:pt>
                <c:pt idx="4">
                  <c:v>4 Multimodal Technical Document Evaluation</c:v>
                </c:pt>
                <c:pt idx="5">
                  <c:v>5 OpenClaw Bounded Agent Evaluation</c:v>
                </c:pt>
                <c:pt idx="6">
                  <c:v>6 Comparative Harness &amp; Observability</c:v>
                </c:pt>
                <c:pt idx="7">
                  <c:v>7 Hardening, Governance &amp; Portfolio Release</c:v>
                </c:pt>
              </c:strCache>
            </c:strRef>
          </c:cat>
          <c:val>
            <c:numRef>
              <c:f>'Phase Summary'!$C$4:$C$11</c:f>
              <c:numCache>
                <c:formatCode>General</c:formatCode>
                <c:ptCount val="8"/>
                <c:pt idx="0">
                  <c:v>40</c:v>
                </c:pt>
                <c:pt idx="1">
                  <c:v>64</c:v>
                </c:pt>
                <c:pt idx="2">
                  <c:v>72</c:v>
                </c:pt>
                <c:pt idx="3">
                  <c:v>88</c:v>
                </c:pt>
                <c:pt idx="4">
                  <c:v>96</c:v>
                </c:pt>
                <c:pt idx="5">
                  <c:v>104</c:v>
                </c:pt>
                <c:pt idx="6">
                  <c:v>52</c:v>
                </c:pt>
                <c:pt idx="7">
                  <c:v>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919-4C75-A1FE-46BAE985CC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2</xdr:row>
      <xdr:rowOff>0</xdr:rowOff>
    </xdr:from>
    <xdr:to>
      <xdr:col>22</xdr:col>
      <xdr:colOff>0</xdr:colOff>
      <xdr:row>18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2</xdr:row>
      <xdr:rowOff>0</xdr:rowOff>
    </xdr:from>
    <xdr:to>
      <xdr:col>16</xdr:col>
      <xdr:colOff>0</xdr:colOff>
      <xdr:row>20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DetailedWbsTable" displayName="DetailedWbsTable" ref="A5:Q63">
  <tableColumns count="17">
    <tableColumn id="1" xr3:uid="{00000000-0010-0000-0000-000001000000}" name="WBS"/>
    <tableColumn id="2" xr3:uid="{00000000-0010-0000-0000-000002000000}" name="Phase"/>
    <tableColumn id="3" xr3:uid="{00000000-0010-0000-0000-000003000000}" name="Work Package"/>
    <tableColumn id="4" xr3:uid="{00000000-0010-0000-0000-000004000000}" name="Deliverable / Acceptance Evidence"/>
    <tableColumn id="5" xr3:uid="{00000000-0010-0000-0000-000005000000}" name="Predecessor"/>
    <tableColumn id="6" xr3:uid="{00000000-0010-0000-0000-000006000000}" name="Planned Hours"/>
    <tableColumn id="7" xr3:uid="{00000000-0010-0000-0000-000007000000}" name="Start Week"/>
    <tableColumn id="8" xr3:uid="{00000000-0010-0000-0000-000008000000}" name="Finish Week"/>
    <tableColumn id="9" xr3:uid="{00000000-0010-0000-0000-000009000000}" name="Duration (wk)"/>
    <tableColumn id="10" xr3:uid="{00000000-0010-0000-0000-00000A000000}" name="Start Date"/>
    <tableColumn id="11" xr3:uid="{00000000-0010-0000-0000-00000B000000}" name="Finish Date"/>
    <tableColumn id="12" xr3:uid="{00000000-0010-0000-0000-00000C000000}" name="Status"/>
    <tableColumn id="13" xr3:uid="{00000000-0010-0000-0000-00000D000000}" name="% Complete"/>
    <tableColumn id="14" xr3:uid="{00000000-0010-0000-0000-00000E000000}" name="Actual Hours"/>
    <tableColumn id="15" xr3:uid="{00000000-0010-0000-0000-00000F000000}" name="Hour Variance"/>
    <tableColumn id="16" xr3:uid="{00000000-0010-0000-0000-000010000000}" name="Remaining Planned"/>
    <tableColumn id="17" xr3:uid="{00000000-0010-0000-0000-000011000000}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WeeklyControlTable" displayName="WeeklyControlTable" ref="A3:L55">
  <tableColumns count="12">
    <tableColumn id="1" xr3:uid="{00000000-0010-0000-0100-000001000000}" name="Week"/>
    <tableColumn id="2" xr3:uid="{00000000-0010-0000-0100-000002000000}" name="Week Start"/>
    <tableColumn id="3" xr3:uid="{00000000-0010-0000-0100-000003000000}" name="Week Finish"/>
    <tableColumn id="4" xr3:uid="{00000000-0010-0000-0100-000004000000}" name="Planned Hours"/>
    <tableColumn id="5" xr3:uid="{00000000-0010-0000-0100-000005000000}" name="Actual Hours"/>
    <tableColumn id="6" xr3:uid="{00000000-0010-0000-0100-000006000000}" name="Variance"/>
    <tableColumn id="7" xr3:uid="{00000000-0010-0000-0100-000007000000}" name="Cumulative Planned"/>
    <tableColumn id="8" xr3:uid="{00000000-0010-0000-0100-000008000000}" name="Cumulative Actual"/>
    <tableColumn id="9" xr3:uid="{00000000-0010-0000-0100-000009000000}" name="Remaining Baseline"/>
    <tableColumn id="10" xr3:uid="{00000000-0010-0000-0100-00000A000000}" name="Primary Phase"/>
    <tableColumn id="11" xr3:uid="{00000000-0010-0000-0100-00000B000000}" name="Status"/>
    <tableColumn id="12" xr3:uid="{00000000-0010-0000-0100-00000C000000}" name="Weekly No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Q100"/>
  <sheetViews>
    <sheetView workbookViewId="0">
      <selection sqref="A1:H1"/>
    </sheetView>
  </sheetViews>
  <sheetFormatPr defaultRowHeight="14.25"/>
  <cols>
    <col min="1" max="2" width="24" customWidth="1"/>
    <col min="3" max="3" width="3" customWidth="1"/>
    <col min="4" max="4" width="5" customWidth="1"/>
    <col min="5" max="7" width="18" customWidth="1"/>
    <col min="8" max="8" width="39.375" customWidth="1"/>
  </cols>
  <sheetData>
    <row r="1" spans="1:69" ht="30" customHeight="1">
      <c r="A1" s="108" t="s">
        <v>0</v>
      </c>
      <c r="B1" s="108"/>
      <c r="C1" s="108"/>
      <c r="D1" s="108"/>
      <c r="E1" s="108"/>
      <c r="F1" s="108"/>
      <c r="G1" s="108"/>
      <c r="H1" s="108"/>
      <c r="I1" s="107"/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  <c r="V1" s="107"/>
      <c r="W1" s="107"/>
      <c r="X1" s="107"/>
      <c r="Y1" s="107"/>
      <c r="Z1" s="107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</row>
    <row r="2" spans="1:69" ht="15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</row>
    <row r="3" spans="1:69" ht="15">
      <c r="A3" s="2" t="s">
        <v>1</v>
      </c>
      <c r="B3" s="3">
        <v>46202</v>
      </c>
      <c r="C3" s="1"/>
      <c r="D3" s="109" t="s">
        <v>2</v>
      </c>
      <c r="E3" s="109"/>
      <c r="F3" s="109"/>
      <c r="G3" s="109"/>
      <c r="H3" s="109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</row>
    <row r="4" spans="1:69" ht="15">
      <c r="A4" s="2" t="s">
        <v>3</v>
      </c>
      <c r="B4" s="5">
        <v>46565</v>
      </c>
      <c r="C4" s="1"/>
      <c r="D4" s="6" t="s">
        <v>4</v>
      </c>
      <c r="E4" s="110" t="s">
        <v>5</v>
      </c>
      <c r="F4" s="111"/>
      <c r="G4" s="111"/>
      <c r="H4" s="112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  <c r="BO4" s="1"/>
      <c r="BP4" s="1"/>
      <c r="BQ4" s="1"/>
    </row>
    <row r="5" spans="1:69" ht="15">
      <c r="A5" s="2" t="s">
        <v>6</v>
      </c>
      <c r="B5" s="10" t="s">
        <v>7</v>
      </c>
      <c r="C5" s="1"/>
      <c r="D5" s="6" t="s">
        <v>8</v>
      </c>
      <c r="E5" s="113" t="s">
        <v>9</v>
      </c>
      <c r="F5" s="114"/>
      <c r="G5" s="114"/>
      <c r="H5" s="115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</row>
    <row r="6" spans="1:69" ht="15">
      <c r="A6" s="2" t="s">
        <v>10</v>
      </c>
      <c r="B6" s="14">
        <v>576</v>
      </c>
      <c r="C6" s="1"/>
      <c r="D6" s="6" t="s">
        <v>11</v>
      </c>
      <c r="E6" s="113" t="s">
        <v>12</v>
      </c>
      <c r="F6" s="114"/>
      <c r="G6" s="114"/>
      <c r="H6" s="115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</row>
    <row r="7" spans="1:69" ht="15">
      <c r="A7" s="2" t="s">
        <v>13</v>
      </c>
      <c r="B7" s="14" t="s">
        <v>14</v>
      </c>
      <c r="C7" s="1"/>
      <c r="D7" s="6" t="s">
        <v>15</v>
      </c>
      <c r="E7" s="113" t="s">
        <v>16</v>
      </c>
      <c r="F7" s="114"/>
      <c r="G7" s="114"/>
      <c r="H7" s="115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</row>
    <row r="8" spans="1:69" ht="15">
      <c r="A8" s="2" t="s">
        <v>17</v>
      </c>
      <c r="B8" s="14" t="s">
        <v>18</v>
      </c>
      <c r="C8" s="1"/>
      <c r="D8" s="6" t="s">
        <v>19</v>
      </c>
      <c r="E8" s="113" t="s">
        <v>20</v>
      </c>
      <c r="F8" s="114"/>
      <c r="G8" s="114"/>
      <c r="H8" s="115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</row>
    <row r="9" spans="1:69" ht="15">
      <c r="A9" s="2" t="s">
        <v>21</v>
      </c>
      <c r="B9" s="10" t="s">
        <v>18</v>
      </c>
      <c r="C9" s="1"/>
      <c r="D9" s="6" t="s">
        <v>22</v>
      </c>
      <c r="E9" s="113" t="s">
        <v>23</v>
      </c>
      <c r="F9" s="114"/>
      <c r="G9" s="114"/>
      <c r="H9" s="115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</row>
    <row r="10" spans="1:69" ht="15">
      <c r="A10" s="2" t="s">
        <v>24</v>
      </c>
      <c r="B10" s="10" t="s">
        <v>25</v>
      </c>
      <c r="C10" s="1"/>
      <c r="D10" s="6" t="s">
        <v>26</v>
      </c>
      <c r="E10" s="125" t="s">
        <v>27</v>
      </c>
      <c r="F10" s="126"/>
      <c r="G10" s="126"/>
      <c r="H10" s="127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/>
      <c r="BO10" s="1"/>
      <c r="BP10" s="1"/>
      <c r="BQ10" s="1"/>
    </row>
    <row r="11" spans="1:69" ht="27">
      <c r="A11" s="2" t="s">
        <v>28</v>
      </c>
      <c r="B11" s="18" t="s">
        <v>29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</row>
    <row r="12" spans="1:69" ht="15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</row>
    <row r="13" spans="1:69" ht="15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/>
      <c r="BI13" s="1"/>
      <c r="BJ13" s="1"/>
      <c r="BK13" s="1"/>
      <c r="BL13" s="1"/>
      <c r="BM13" s="1"/>
      <c r="BN13" s="1"/>
      <c r="BO13" s="1"/>
      <c r="BP13" s="1"/>
      <c r="BQ13" s="1"/>
    </row>
    <row r="14" spans="1:69" ht="15">
      <c r="A14" s="109" t="s">
        <v>30</v>
      </c>
      <c r="B14" s="109"/>
      <c r="C14" s="109"/>
      <c r="D14" s="109"/>
      <c r="E14" s="109"/>
      <c r="F14" s="109"/>
      <c r="G14" s="109"/>
      <c r="H14" s="109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</row>
    <row r="15" spans="1:69" ht="15">
      <c r="A15" s="116" t="s">
        <v>31</v>
      </c>
      <c r="B15" s="117"/>
      <c r="C15" s="117"/>
      <c r="D15" s="117"/>
      <c r="E15" s="117"/>
      <c r="F15" s="117"/>
      <c r="G15" s="117"/>
      <c r="H15" s="118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</row>
    <row r="16" spans="1:69" ht="15">
      <c r="A16" s="119"/>
      <c r="B16" s="120"/>
      <c r="C16" s="120"/>
      <c r="D16" s="120"/>
      <c r="E16" s="120"/>
      <c r="F16" s="120"/>
      <c r="G16" s="120"/>
      <c r="H16" s="12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/>
    </row>
    <row r="17" spans="1:69" ht="15">
      <c r="A17" s="119"/>
      <c r="B17" s="120"/>
      <c r="C17" s="120"/>
      <c r="D17" s="120"/>
      <c r="E17" s="120"/>
      <c r="F17" s="120"/>
      <c r="G17" s="120"/>
      <c r="H17" s="12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  <c r="AX17" s="1"/>
      <c r="AY17" s="1"/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</row>
    <row r="18" spans="1:69" ht="15">
      <c r="A18" s="122"/>
      <c r="B18" s="123"/>
      <c r="C18" s="123"/>
      <c r="D18" s="123"/>
      <c r="E18" s="123"/>
      <c r="F18" s="123"/>
      <c r="G18" s="123"/>
      <c r="H18" s="124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/>
    </row>
    <row r="19" spans="1:69" ht="1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</row>
    <row r="20" spans="1:69" ht="1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/>
      <c r="BI20" s="1"/>
      <c r="BJ20" s="1"/>
      <c r="BK20" s="1"/>
      <c r="BL20" s="1"/>
      <c r="BM20" s="1"/>
      <c r="BN20" s="1"/>
      <c r="BO20" s="1"/>
      <c r="BP20" s="1"/>
      <c r="BQ20" s="1"/>
    </row>
    <row r="21" spans="1:69" ht="1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</row>
    <row r="22" spans="1:69" ht="1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</row>
    <row r="23" spans="1:69" ht="1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</row>
    <row r="24" spans="1:69" ht="1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</row>
    <row r="25" spans="1:69" ht="1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/>
      <c r="BC25" s="1"/>
      <c r="BD25" s="1"/>
      <c r="BE25" s="1"/>
      <c r="BF25" s="1"/>
      <c r="BG25" s="1"/>
      <c r="BH25" s="1"/>
      <c r="BI25" s="1"/>
      <c r="BJ25" s="1"/>
      <c r="BK25" s="1"/>
      <c r="BL25" s="1"/>
      <c r="BM25" s="1"/>
      <c r="BN25" s="1"/>
      <c r="BO25" s="1"/>
      <c r="BP25" s="1"/>
      <c r="BQ25" s="1"/>
    </row>
    <row r="26" spans="1:69" ht="1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</row>
    <row r="27" spans="1:69" ht="1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  <c r="BA27" s="1"/>
      <c r="BB27" s="1"/>
      <c r="BC27" s="1"/>
      <c r="BD27" s="1"/>
      <c r="BE27" s="1"/>
      <c r="BF27" s="1"/>
      <c r="BG27" s="1"/>
      <c r="BH27" s="1"/>
      <c r="BI27" s="1"/>
      <c r="BJ27" s="1"/>
      <c r="BK27" s="1"/>
      <c r="BL27" s="1"/>
      <c r="BM27" s="1"/>
      <c r="BN27" s="1"/>
      <c r="BO27" s="1"/>
      <c r="BP27" s="1"/>
      <c r="BQ27" s="1"/>
    </row>
    <row r="28" spans="1:69" ht="1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</row>
    <row r="29" spans="1:69" ht="1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  <c r="BK29" s="1"/>
      <c r="BL29" s="1"/>
      <c r="BM29" s="1"/>
      <c r="BN29" s="1"/>
      <c r="BO29" s="1"/>
      <c r="BP29" s="1"/>
      <c r="BQ29" s="1"/>
    </row>
    <row r="30" spans="1:69" ht="1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/>
    </row>
    <row r="31" spans="1:69" ht="1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/>
      <c r="BM31" s="1"/>
      <c r="BN31" s="1"/>
      <c r="BO31" s="1"/>
      <c r="BP31" s="1"/>
      <c r="BQ31" s="1"/>
    </row>
    <row r="32" spans="1:69" ht="1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</row>
    <row r="33" spans="1:69" ht="1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</row>
    <row r="34" spans="1:69" ht="1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/>
      <c r="BQ34" s="1"/>
    </row>
    <row r="35" spans="1:69" ht="1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</row>
    <row r="36" spans="1:69" ht="1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/>
      <c r="BO36" s="1"/>
      <c r="BP36" s="1"/>
      <c r="BQ36" s="1"/>
    </row>
    <row r="37" spans="1:69" ht="1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</row>
    <row r="38" spans="1:69" ht="1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  <c r="BO38" s="1"/>
      <c r="BP38" s="1"/>
      <c r="BQ38" s="1"/>
    </row>
    <row r="39" spans="1:69" ht="1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1"/>
    </row>
    <row r="40" spans="1:69" ht="1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</row>
    <row r="41" spans="1:69" ht="1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</row>
    <row r="42" spans="1:69" ht="1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</row>
    <row r="43" spans="1:69" ht="1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</row>
    <row r="44" spans="1:69" ht="1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</row>
    <row r="45" spans="1:69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</row>
    <row r="46" spans="1:69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</row>
    <row r="47" spans="1:69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</row>
    <row r="48" spans="1:69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</row>
    <row r="49" spans="1:69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</row>
    <row r="50" spans="1:69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</row>
    <row r="51" spans="1:69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</row>
    <row r="52" spans="1:69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</row>
    <row r="53" spans="1:69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  <c r="BO53" s="1"/>
      <c r="BP53" s="1"/>
      <c r="BQ53" s="1"/>
    </row>
    <row r="54" spans="1:69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</row>
    <row r="55" spans="1:69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</row>
    <row r="56" spans="1:69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</row>
    <row r="57" spans="1:69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</row>
    <row r="58" spans="1:69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</row>
    <row r="59" spans="1:69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  <c r="BK59" s="1"/>
      <c r="BL59" s="1"/>
      <c r="BM59" s="1"/>
      <c r="BN59" s="1"/>
      <c r="BO59" s="1"/>
      <c r="BP59" s="1"/>
      <c r="BQ59" s="1"/>
    </row>
    <row r="60" spans="1:69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  <c r="BK60" s="1"/>
      <c r="BL60" s="1"/>
      <c r="BM60" s="1"/>
      <c r="BN60" s="1"/>
      <c r="BO60" s="1"/>
      <c r="BP60" s="1"/>
      <c r="BQ60" s="1"/>
    </row>
    <row r="61" spans="1:69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  <c r="BK61" s="1"/>
      <c r="BL61" s="1"/>
      <c r="BM61" s="1"/>
      <c r="BN61" s="1"/>
      <c r="BO61" s="1"/>
      <c r="BP61" s="1"/>
      <c r="BQ61" s="1"/>
    </row>
    <row r="62" spans="1:69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</row>
    <row r="63" spans="1:69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</row>
    <row r="64" spans="1:69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</row>
    <row r="65" spans="1:69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</row>
    <row r="66" spans="1:69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</row>
    <row r="67" spans="1:69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</row>
    <row r="68" spans="1:69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1"/>
      <c r="BQ68" s="1"/>
    </row>
    <row r="69" spans="1:69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</row>
    <row r="70" spans="1:69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</row>
    <row r="71" spans="1:69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</row>
    <row r="72" spans="1:69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</row>
    <row r="73" spans="1:69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</row>
    <row r="74" spans="1:69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</row>
    <row r="75" spans="1:69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</row>
    <row r="76" spans="1:69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</row>
    <row r="77" spans="1:69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</row>
    <row r="78" spans="1:69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</row>
    <row r="79" spans="1:69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</row>
    <row r="80" spans="1:69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</row>
    <row r="81" spans="1:69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</row>
    <row r="82" spans="1:69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</row>
    <row r="83" spans="1:69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</row>
    <row r="84" spans="1:69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</row>
    <row r="85" spans="1:69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  <c r="BK85" s="1"/>
      <c r="BL85" s="1"/>
      <c r="BM85" s="1"/>
      <c r="BN85" s="1"/>
      <c r="BO85" s="1"/>
      <c r="BP85" s="1"/>
      <c r="BQ85" s="1"/>
    </row>
    <row r="86" spans="1:69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</row>
    <row r="87" spans="1:69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</row>
    <row r="88" spans="1:69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</row>
    <row r="89" spans="1:69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</row>
    <row r="90" spans="1:69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</row>
    <row r="91" spans="1:69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</row>
    <row r="92" spans="1:69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</row>
    <row r="93" spans="1:69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</row>
    <row r="94" spans="1:69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</row>
    <row r="95" spans="1:69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</row>
    <row r="96" spans="1:69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</row>
    <row r="97" spans="1:69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</row>
    <row r="98" spans="1:69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</row>
    <row r="99" spans="1:69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</row>
    <row r="100" spans="1:69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</row>
  </sheetData>
  <mergeCells count="11">
    <mergeCell ref="A15:H18"/>
    <mergeCell ref="E7:H7"/>
    <mergeCell ref="E8:H8"/>
    <mergeCell ref="E9:H9"/>
    <mergeCell ref="E10:H10"/>
    <mergeCell ref="A14:H14"/>
    <mergeCell ref="A1:H1"/>
    <mergeCell ref="D3:H3"/>
    <mergeCell ref="E4:H4"/>
    <mergeCell ref="E5:H5"/>
    <mergeCell ref="E6:H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Q100"/>
  <sheetViews>
    <sheetView workbookViewId="0">
      <selection sqref="A1:T1"/>
    </sheetView>
  </sheetViews>
  <sheetFormatPr defaultRowHeight="14.25"/>
  <cols>
    <col min="1" max="1" width="7" customWidth="1"/>
    <col min="2" max="2" width="34" customWidth="1"/>
    <col min="3" max="4" width="10" customWidth="1"/>
    <col min="5" max="6" width="12" customWidth="1"/>
    <col min="7" max="7" width="30" customWidth="1"/>
    <col min="8" max="8" width="42" customWidth="1"/>
    <col min="9" max="20" width="10" customWidth="1"/>
  </cols>
  <sheetData>
    <row r="1" spans="1:69" ht="21">
      <c r="A1" s="108" t="s">
        <v>32</v>
      </c>
      <c r="B1" s="108"/>
      <c r="C1" s="108"/>
      <c r="D1" s="108"/>
      <c r="E1" s="108"/>
      <c r="F1" s="108"/>
      <c r="G1" s="108"/>
      <c r="H1" s="108"/>
      <c r="I1" s="108"/>
      <c r="J1" s="108"/>
      <c r="K1" s="108"/>
      <c r="L1" s="108"/>
      <c r="M1" s="108"/>
      <c r="N1" s="108"/>
      <c r="O1" s="108"/>
      <c r="P1" s="108"/>
      <c r="Q1" s="108"/>
      <c r="R1" s="108"/>
      <c r="S1" s="108"/>
      <c r="T1" s="108"/>
      <c r="U1" s="107"/>
      <c r="V1" s="107"/>
      <c r="W1" s="107"/>
      <c r="X1" s="107"/>
      <c r="Y1" s="107"/>
      <c r="Z1" s="107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</row>
    <row r="2" spans="1:69" ht="36" customHeight="1">
      <c r="A2" s="19" t="s">
        <v>33</v>
      </c>
      <c r="B2" s="19" t="s">
        <v>34</v>
      </c>
      <c r="C2" s="19" t="s">
        <v>35</v>
      </c>
      <c r="D2" s="19" t="s">
        <v>36</v>
      </c>
      <c r="E2" s="19" t="s">
        <v>37</v>
      </c>
      <c r="F2" s="19" t="s">
        <v>38</v>
      </c>
      <c r="G2" s="19" t="s">
        <v>39</v>
      </c>
      <c r="H2" s="19" t="s">
        <v>40</v>
      </c>
      <c r="I2" s="19" t="s">
        <v>41</v>
      </c>
      <c r="J2" s="19" t="s">
        <v>42</v>
      </c>
      <c r="K2" s="19" t="s">
        <v>43</v>
      </c>
      <c r="L2" s="19" t="s">
        <v>44</v>
      </c>
      <c r="M2" s="19" t="s">
        <v>45</v>
      </c>
      <c r="N2" s="19" t="s">
        <v>46</v>
      </c>
      <c r="O2" s="19" t="s">
        <v>47</v>
      </c>
      <c r="P2" s="19" t="s">
        <v>48</v>
      </c>
      <c r="Q2" s="19" t="s">
        <v>49</v>
      </c>
      <c r="R2" s="19" t="s">
        <v>50</v>
      </c>
      <c r="S2" s="19" t="s">
        <v>51</v>
      </c>
      <c r="T2" s="19" t="s">
        <v>52</v>
      </c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</row>
    <row r="3" spans="1:69" ht="27">
      <c r="A3" s="20" t="s">
        <v>53</v>
      </c>
      <c r="B3" s="21" t="s">
        <v>54</v>
      </c>
      <c r="C3" s="22">
        <v>40</v>
      </c>
      <c r="D3" s="23">
        <v>6.9444444444444448E-2</v>
      </c>
      <c r="E3" s="24">
        <v>46202</v>
      </c>
      <c r="F3" s="24">
        <v>46565</v>
      </c>
      <c r="G3" s="22" t="s">
        <v>55</v>
      </c>
      <c r="H3" s="25" t="s">
        <v>56</v>
      </c>
      <c r="I3" s="26" t="s">
        <v>57</v>
      </c>
      <c r="J3" s="26" t="s">
        <v>57</v>
      </c>
      <c r="K3" s="26" t="s">
        <v>57</v>
      </c>
      <c r="L3" s="26" t="s">
        <v>57</v>
      </c>
      <c r="M3" s="26" t="s">
        <v>57</v>
      </c>
      <c r="N3" s="26" t="s">
        <v>57</v>
      </c>
      <c r="O3" s="26" t="s">
        <v>57</v>
      </c>
      <c r="P3" s="26" t="s">
        <v>57</v>
      </c>
      <c r="Q3" s="26" t="s">
        <v>57</v>
      </c>
      <c r="R3" s="26" t="s">
        <v>57</v>
      </c>
      <c r="S3" s="26" t="s">
        <v>57</v>
      </c>
      <c r="T3" s="26" t="s">
        <v>57</v>
      </c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</row>
    <row r="4" spans="1:69" ht="27">
      <c r="A4" s="20" t="s">
        <v>4</v>
      </c>
      <c r="B4" s="27" t="s">
        <v>58</v>
      </c>
      <c r="C4" s="22">
        <v>64</v>
      </c>
      <c r="D4" s="23">
        <v>0.1111111111111111</v>
      </c>
      <c r="E4" s="24">
        <v>46216</v>
      </c>
      <c r="F4" s="24">
        <v>46264</v>
      </c>
      <c r="G4" s="22" t="s">
        <v>59</v>
      </c>
      <c r="H4" s="25" t="s">
        <v>60</v>
      </c>
      <c r="I4" s="28" t="s">
        <v>57</v>
      </c>
      <c r="J4" s="28" t="s">
        <v>57</v>
      </c>
      <c r="K4" s="29"/>
      <c r="L4" s="29"/>
      <c r="M4" s="29"/>
      <c r="N4" s="29"/>
      <c r="O4" s="29"/>
      <c r="P4" s="29"/>
      <c r="Q4" s="29"/>
      <c r="R4" s="29"/>
      <c r="S4" s="29"/>
      <c r="T4" s="29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  <c r="BO4" s="1"/>
      <c r="BP4" s="1"/>
      <c r="BQ4" s="1"/>
    </row>
    <row r="5" spans="1:69" ht="27">
      <c r="A5" s="20" t="s">
        <v>8</v>
      </c>
      <c r="B5" s="30" t="s">
        <v>61</v>
      </c>
      <c r="C5" s="22">
        <v>72</v>
      </c>
      <c r="D5" s="23">
        <v>0.125</v>
      </c>
      <c r="E5" s="24">
        <v>46265</v>
      </c>
      <c r="F5" s="24">
        <v>46313</v>
      </c>
      <c r="G5" s="22" t="s">
        <v>62</v>
      </c>
      <c r="H5" s="25" t="s">
        <v>63</v>
      </c>
      <c r="I5" s="29"/>
      <c r="J5" s="31" t="s">
        <v>57</v>
      </c>
      <c r="K5" s="31" t="s">
        <v>57</v>
      </c>
      <c r="L5" s="31" t="s">
        <v>57</v>
      </c>
      <c r="M5" s="29"/>
      <c r="N5" s="29"/>
      <c r="O5" s="29"/>
      <c r="P5" s="29"/>
      <c r="Q5" s="29"/>
      <c r="R5" s="29"/>
      <c r="S5" s="29"/>
      <c r="T5" s="29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</row>
    <row r="6" spans="1:69" ht="27">
      <c r="A6" s="20" t="s">
        <v>11</v>
      </c>
      <c r="B6" s="32" t="s">
        <v>64</v>
      </c>
      <c r="C6" s="22">
        <v>88</v>
      </c>
      <c r="D6" s="23">
        <v>0.15277777777777779</v>
      </c>
      <c r="E6" s="24">
        <v>46314</v>
      </c>
      <c r="F6" s="24">
        <v>46369</v>
      </c>
      <c r="G6" s="22" t="s">
        <v>65</v>
      </c>
      <c r="H6" s="25" t="s">
        <v>66</v>
      </c>
      <c r="I6" s="29"/>
      <c r="J6" s="29"/>
      <c r="K6" s="29"/>
      <c r="L6" s="33" t="s">
        <v>57</v>
      </c>
      <c r="M6" s="33" t="s">
        <v>57</v>
      </c>
      <c r="N6" s="33" t="s">
        <v>57</v>
      </c>
      <c r="O6" s="29"/>
      <c r="P6" s="29"/>
      <c r="Q6" s="29"/>
      <c r="R6" s="29"/>
      <c r="S6" s="29"/>
      <c r="T6" s="29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</row>
    <row r="7" spans="1:69" ht="27">
      <c r="A7" s="20" t="s">
        <v>15</v>
      </c>
      <c r="B7" s="34" t="s">
        <v>67</v>
      </c>
      <c r="C7" s="22">
        <v>96</v>
      </c>
      <c r="D7" s="23">
        <v>0.16666666666666666</v>
      </c>
      <c r="E7" s="24">
        <v>46370</v>
      </c>
      <c r="F7" s="24">
        <v>46425</v>
      </c>
      <c r="G7" s="22" t="s">
        <v>68</v>
      </c>
      <c r="H7" s="25" t="s">
        <v>69</v>
      </c>
      <c r="I7" s="29"/>
      <c r="J7" s="29"/>
      <c r="K7" s="29"/>
      <c r="L7" s="29"/>
      <c r="M7" s="29"/>
      <c r="N7" s="35" t="s">
        <v>57</v>
      </c>
      <c r="O7" s="35" t="s">
        <v>57</v>
      </c>
      <c r="P7" s="35" t="s">
        <v>57</v>
      </c>
      <c r="Q7" s="29"/>
      <c r="R7" s="29"/>
      <c r="S7" s="29"/>
      <c r="T7" s="29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</row>
    <row r="8" spans="1:69" ht="27">
      <c r="A8" s="20" t="s">
        <v>19</v>
      </c>
      <c r="B8" s="36" t="s">
        <v>70</v>
      </c>
      <c r="C8" s="22">
        <v>104</v>
      </c>
      <c r="D8" s="23">
        <v>0.18055555555555555</v>
      </c>
      <c r="E8" s="24">
        <v>46426</v>
      </c>
      <c r="F8" s="24">
        <v>46495</v>
      </c>
      <c r="G8" s="22" t="s">
        <v>71</v>
      </c>
      <c r="H8" s="25" t="s">
        <v>72</v>
      </c>
      <c r="I8" s="29"/>
      <c r="J8" s="29"/>
      <c r="K8" s="29"/>
      <c r="L8" s="29"/>
      <c r="M8" s="29"/>
      <c r="N8" s="29"/>
      <c r="O8" s="29"/>
      <c r="P8" s="37" t="s">
        <v>57</v>
      </c>
      <c r="Q8" s="37" t="s">
        <v>57</v>
      </c>
      <c r="R8" s="37" t="s">
        <v>57</v>
      </c>
      <c r="S8" s="29"/>
      <c r="T8" s="29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</row>
    <row r="9" spans="1:69" ht="27">
      <c r="A9" s="20" t="s">
        <v>22</v>
      </c>
      <c r="B9" s="38" t="s">
        <v>73</v>
      </c>
      <c r="C9" s="22">
        <v>52</v>
      </c>
      <c r="D9" s="23">
        <v>9.0277777777777776E-2</v>
      </c>
      <c r="E9" s="24">
        <v>46496</v>
      </c>
      <c r="F9" s="24">
        <v>46530</v>
      </c>
      <c r="G9" s="22" t="s">
        <v>74</v>
      </c>
      <c r="H9" s="25" t="s">
        <v>75</v>
      </c>
      <c r="I9" s="29"/>
      <c r="J9" s="29"/>
      <c r="K9" s="29"/>
      <c r="L9" s="29"/>
      <c r="M9" s="29"/>
      <c r="N9" s="29"/>
      <c r="O9" s="29"/>
      <c r="P9" s="29"/>
      <c r="Q9" s="29"/>
      <c r="R9" s="39" t="s">
        <v>57</v>
      </c>
      <c r="S9" s="39" t="s">
        <v>57</v>
      </c>
      <c r="T9" s="29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</row>
    <row r="10" spans="1:69" ht="27">
      <c r="A10" s="20" t="s">
        <v>26</v>
      </c>
      <c r="B10" s="40" t="s">
        <v>76</v>
      </c>
      <c r="C10" s="22">
        <v>60</v>
      </c>
      <c r="D10" s="23">
        <v>0.10416666666666667</v>
      </c>
      <c r="E10" s="24">
        <v>46531</v>
      </c>
      <c r="F10" s="24">
        <v>46565</v>
      </c>
      <c r="G10" s="22" t="s">
        <v>77</v>
      </c>
      <c r="H10" s="25" t="s">
        <v>78</v>
      </c>
      <c r="I10" s="29"/>
      <c r="J10" s="29"/>
      <c r="K10" s="29"/>
      <c r="L10" s="29"/>
      <c r="M10" s="29"/>
      <c r="N10" s="29"/>
      <c r="O10" s="29"/>
      <c r="P10" s="29"/>
      <c r="Q10" s="29"/>
      <c r="R10" s="29"/>
      <c r="S10" s="41" t="s">
        <v>57</v>
      </c>
      <c r="T10" s="41" t="s">
        <v>57</v>
      </c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/>
      <c r="BO10" s="1"/>
      <c r="BP10" s="1"/>
      <c r="BQ10" s="1"/>
    </row>
    <row r="11" spans="1:69" ht="15">
      <c r="A11" s="128" t="s">
        <v>79</v>
      </c>
      <c r="B11" s="129"/>
      <c r="C11" s="42">
        <v>576</v>
      </c>
      <c r="D11" s="43">
        <v>1</v>
      </c>
      <c r="E11" s="42"/>
      <c r="F11" s="42"/>
      <c r="G11" s="42"/>
      <c r="H11" s="42"/>
      <c r="I11" s="42"/>
      <c r="J11" s="42"/>
      <c r="K11" s="42"/>
      <c r="L11" s="42"/>
      <c r="M11" s="42"/>
      <c r="N11" s="42"/>
      <c r="O11" s="42"/>
      <c r="P11" s="42"/>
      <c r="Q11" s="42"/>
      <c r="R11" s="42"/>
      <c r="S11" s="42"/>
      <c r="T11" s="44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</row>
    <row r="12" spans="1:69" ht="15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</row>
    <row r="13" spans="1:69" ht="15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/>
      <c r="BI13" s="1"/>
      <c r="BJ13" s="1"/>
      <c r="BK13" s="1"/>
      <c r="BL13" s="1"/>
      <c r="BM13" s="1"/>
      <c r="BN13" s="1"/>
      <c r="BO13" s="1"/>
      <c r="BP13" s="1"/>
      <c r="BQ13" s="1"/>
    </row>
    <row r="14" spans="1:69" ht="15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</row>
    <row r="15" spans="1:69" ht="1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</row>
    <row r="16" spans="1:69" ht="15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/>
    </row>
    <row r="17" spans="1:69" ht="15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  <c r="AX17" s="1"/>
      <c r="AY17" s="1"/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</row>
    <row r="18" spans="1:69" ht="1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/>
    </row>
    <row r="19" spans="1:69" ht="1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</row>
    <row r="20" spans="1:69" ht="1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/>
      <c r="BI20" s="1"/>
      <c r="BJ20" s="1"/>
      <c r="BK20" s="1"/>
      <c r="BL20" s="1"/>
      <c r="BM20" s="1"/>
      <c r="BN20" s="1"/>
      <c r="BO20" s="1"/>
      <c r="BP20" s="1"/>
      <c r="BQ20" s="1"/>
    </row>
    <row r="21" spans="1:69" ht="1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</row>
    <row r="22" spans="1:69" ht="1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</row>
    <row r="23" spans="1:69" ht="1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</row>
    <row r="24" spans="1:69" ht="1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</row>
    <row r="25" spans="1:69" ht="1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/>
      <c r="BC25" s="1"/>
      <c r="BD25" s="1"/>
      <c r="BE25" s="1"/>
      <c r="BF25" s="1"/>
      <c r="BG25" s="1"/>
      <c r="BH25" s="1"/>
      <c r="BI25" s="1"/>
      <c r="BJ25" s="1"/>
      <c r="BK25" s="1"/>
      <c r="BL25" s="1"/>
      <c r="BM25" s="1"/>
      <c r="BN25" s="1"/>
      <c r="BO25" s="1"/>
      <c r="BP25" s="1"/>
      <c r="BQ25" s="1"/>
    </row>
    <row r="26" spans="1:69" ht="1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</row>
    <row r="27" spans="1:69" ht="1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  <c r="BA27" s="1"/>
      <c r="BB27" s="1"/>
      <c r="BC27" s="1"/>
      <c r="BD27" s="1"/>
      <c r="BE27" s="1"/>
      <c r="BF27" s="1"/>
      <c r="BG27" s="1"/>
      <c r="BH27" s="1"/>
      <c r="BI27" s="1"/>
      <c r="BJ27" s="1"/>
      <c r="BK27" s="1"/>
      <c r="BL27" s="1"/>
      <c r="BM27" s="1"/>
      <c r="BN27" s="1"/>
      <c r="BO27" s="1"/>
      <c r="BP27" s="1"/>
      <c r="BQ27" s="1"/>
    </row>
    <row r="28" spans="1:69" ht="1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</row>
    <row r="29" spans="1:69" ht="1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  <c r="BK29" s="1"/>
      <c r="BL29" s="1"/>
      <c r="BM29" s="1"/>
      <c r="BN29" s="1"/>
      <c r="BO29" s="1"/>
      <c r="BP29" s="1"/>
      <c r="BQ29" s="1"/>
    </row>
    <row r="30" spans="1:69" ht="1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/>
    </row>
    <row r="31" spans="1:69" ht="1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/>
      <c r="BM31" s="1"/>
      <c r="BN31" s="1"/>
      <c r="BO31" s="1"/>
      <c r="BP31" s="1"/>
      <c r="BQ31" s="1"/>
    </row>
    <row r="32" spans="1:69" ht="1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</row>
    <row r="33" spans="1:69" ht="1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</row>
    <row r="34" spans="1:69" ht="1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/>
      <c r="BQ34" s="1"/>
    </row>
    <row r="35" spans="1:69" ht="1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</row>
    <row r="36" spans="1:69" ht="1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/>
      <c r="BO36" s="1"/>
      <c r="BP36" s="1"/>
      <c r="BQ36" s="1"/>
    </row>
    <row r="37" spans="1:69" ht="1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</row>
    <row r="38" spans="1:69" ht="1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  <c r="BO38" s="1"/>
      <c r="BP38" s="1"/>
      <c r="BQ38" s="1"/>
    </row>
    <row r="39" spans="1:69" ht="1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1"/>
    </row>
    <row r="40" spans="1:69" ht="1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</row>
    <row r="41" spans="1:69" ht="1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</row>
    <row r="42" spans="1:69" ht="1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</row>
    <row r="43" spans="1:69" ht="1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</row>
    <row r="44" spans="1:69" ht="1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</row>
    <row r="45" spans="1:69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</row>
    <row r="46" spans="1:69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</row>
    <row r="47" spans="1:69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</row>
    <row r="48" spans="1:69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</row>
    <row r="49" spans="1:69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</row>
    <row r="50" spans="1:69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</row>
    <row r="51" spans="1:69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</row>
    <row r="52" spans="1:69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</row>
    <row r="53" spans="1:69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  <c r="BO53" s="1"/>
      <c r="BP53" s="1"/>
      <c r="BQ53" s="1"/>
    </row>
    <row r="54" spans="1:69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</row>
    <row r="55" spans="1:69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</row>
    <row r="56" spans="1:69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</row>
    <row r="57" spans="1:69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</row>
    <row r="58" spans="1:69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</row>
    <row r="59" spans="1:69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  <c r="BK59" s="1"/>
      <c r="BL59" s="1"/>
      <c r="BM59" s="1"/>
      <c r="BN59" s="1"/>
      <c r="BO59" s="1"/>
      <c r="BP59" s="1"/>
      <c r="BQ59" s="1"/>
    </row>
    <row r="60" spans="1:69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  <c r="BK60" s="1"/>
      <c r="BL60" s="1"/>
      <c r="BM60" s="1"/>
      <c r="BN60" s="1"/>
      <c r="BO60" s="1"/>
      <c r="BP60" s="1"/>
      <c r="BQ60" s="1"/>
    </row>
    <row r="61" spans="1:69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  <c r="BK61" s="1"/>
      <c r="BL61" s="1"/>
      <c r="BM61" s="1"/>
      <c r="BN61" s="1"/>
      <c r="BO61" s="1"/>
      <c r="BP61" s="1"/>
      <c r="BQ61" s="1"/>
    </row>
    <row r="62" spans="1:69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</row>
    <row r="63" spans="1:69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</row>
    <row r="64" spans="1:69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</row>
    <row r="65" spans="1:69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</row>
    <row r="66" spans="1:69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</row>
    <row r="67" spans="1:69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</row>
    <row r="68" spans="1:69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1"/>
      <c r="BQ68" s="1"/>
    </row>
    <row r="69" spans="1:69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</row>
    <row r="70" spans="1:69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</row>
    <row r="71" spans="1:69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</row>
    <row r="72" spans="1:69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</row>
    <row r="73" spans="1:69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</row>
    <row r="74" spans="1:69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</row>
    <row r="75" spans="1:69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</row>
    <row r="76" spans="1:69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</row>
    <row r="77" spans="1:69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</row>
    <row r="78" spans="1:69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</row>
    <row r="79" spans="1:69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</row>
    <row r="80" spans="1:69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</row>
    <row r="81" spans="1:69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</row>
    <row r="82" spans="1:69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</row>
    <row r="83" spans="1:69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</row>
    <row r="84" spans="1:69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</row>
    <row r="85" spans="1:69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  <c r="BK85" s="1"/>
      <c r="BL85" s="1"/>
      <c r="BM85" s="1"/>
      <c r="BN85" s="1"/>
      <c r="BO85" s="1"/>
      <c r="BP85" s="1"/>
      <c r="BQ85" s="1"/>
    </row>
    <row r="86" spans="1:69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</row>
    <row r="87" spans="1:69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</row>
    <row r="88" spans="1:69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</row>
    <row r="89" spans="1:69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</row>
    <row r="90" spans="1:69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</row>
    <row r="91" spans="1:69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</row>
    <row r="92" spans="1:69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</row>
    <row r="93" spans="1:69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</row>
    <row r="94" spans="1:69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</row>
    <row r="95" spans="1:69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</row>
    <row r="96" spans="1:69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</row>
    <row r="97" spans="1:69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</row>
    <row r="98" spans="1:69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</row>
    <row r="99" spans="1:69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</row>
    <row r="100" spans="1:69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</row>
  </sheetData>
  <mergeCells count="2">
    <mergeCell ref="A1:T1"/>
    <mergeCell ref="A11:B1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Q100"/>
  <sheetViews>
    <sheetView tabSelected="1" topLeftCell="C1" workbookViewId="0">
      <selection activeCell="C3" sqref="C3:Q3"/>
    </sheetView>
  </sheetViews>
  <sheetFormatPr defaultRowHeight="14.25"/>
  <cols>
    <col min="1" max="1" width="7" customWidth="1"/>
    <col min="2" max="3" width="34" customWidth="1"/>
    <col min="4" max="4" width="44" customWidth="1"/>
    <col min="5" max="5" width="12" customWidth="1"/>
    <col min="6" max="9" width="11" customWidth="1"/>
    <col min="10" max="11" width="13" customWidth="1"/>
    <col min="12" max="12" width="14" customWidth="1"/>
    <col min="13" max="16" width="12" customWidth="1"/>
    <col min="17" max="17" width="28" customWidth="1"/>
    <col min="18" max="69" width="5" customWidth="1"/>
  </cols>
  <sheetData>
    <row r="1" spans="1:69" ht="15">
      <c r="A1" s="109" t="s">
        <v>80</v>
      </c>
      <c r="B1" s="109"/>
      <c r="C1" s="45">
        <v>46202</v>
      </c>
      <c r="D1" s="109" t="s">
        <v>81</v>
      </c>
      <c r="E1" s="109"/>
      <c r="F1" s="109"/>
      <c r="G1" s="4">
        <v>576</v>
      </c>
      <c r="H1" s="109" t="s">
        <v>82</v>
      </c>
      <c r="I1" s="109"/>
      <c r="J1" s="109"/>
      <c r="K1" s="109"/>
      <c r="L1" s="109" t="s">
        <v>83</v>
      </c>
      <c r="M1" s="109"/>
      <c r="N1" s="109"/>
      <c r="O1" s="109"/>
      <c r="P1" s="109"/>
      <c r="Q1" s="109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</row>
    <row r="2" spans="1:69" ht="15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</row>
    <row r="3" spans="1:69" ht="15">
      <c r="A3" s="130" t="s">
        <v>84</v>
      </c>
      <c r="B3" s="130"/>
      <c r="C3" s="131" t="s">
        <v>85</v>
      </c>
      <c r="D3" s="131"/>
      <c r="E3" s="131"/>
      <c r="F3" s="131"/>
      <c r="G3" s="131"/>
      <c r="H3" s="131"/>
      <c r="I3" s="131"/>
      <c r="J3" s="131"/>
      <c r="K3" s="131"/>
      <c r="L3" s="131"/>
      <c r="M3" s="131"/>
      <c r="N3" s="131"/>
      <c r="O3" s="131"/>
      <c r="P3" s="131"/>
      <c r="Q3" s="13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</row>
    <row r="4" spans="1:69" ht="27.95" customHeight="1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46">
        <v>46202</v>
      </c>
      <c r="S4" s="46">
        <v>46209</v>
      </c>
      <c r="T4" s="46">
        <v>46216</v>
      </c>
      <c r="U4" s="46">
        <v>46223</v>
      </c>
      <c r="V4" s="46">
        <v>46230</v>
      </c>
      <c r="W4" s="46">
        <v>46237</v>
      </c>
      <c r="X4" s="46">
        <v>46244</v>
      </c>
      <c r="Y4" s="46">
        <v>46251</v>
      </c>
      <c r="Z4" s="46">
        <v>46258</v>
      </c>
      <c r="AA4" s="46">
        <v>46265</v>
      </c>
      <c r="AB4" s="46">
        <v>46272</v>
      </c>
      <c r="AC4" s="46">
        <v>46279</v>
      </c>
      <c r="AD4" s="46">
        <v>46286</v>
      </c>
      <c r="AE4" s="46">
        <v>46293</v>
      </c>
      <c r="AF4" s="46">
        <v>46300</v>
      </c>
      <c r="AG4" s="46">
        <v>46307</v>
      </c>
      <c r="AH4" s="46">
        <v>46314</v>
      </c>
      <c r="AI4" s="46">
        <v>46321</v>
      </c>
      <c r="AJ4" s="46">
        <v>46328</v>
      </c>
      <c r="AK4" s="46">
        <v>46335</v>
      </c>
      <c r="AL4" s="46">
        <v>46342</v>
      </c>
      <c r="AM4" s="46">
        <v>46349</v>
      </c>
      <c r="AN4" s="46">
        <v>46356</v>
      </c>
      <c r="AO4" s="46">
        <v>46363</v>
      </c>
      <c r="AP4" s="46">
        <v>46370</v>
      </c>
      <c r="AQ4" s="46">
        <v>46377</v>
      </c>
      <c r="AR4" s="46">
        <v>46384</v>
      </c>
      <c r="AS4" s="46">
        <v>46391</v>
      </c>
      <c r="AT4" s="46">
        <v>46398</v>
      </c>
      <c r="AU4" s="46">
        <v>46405</v>
      </c>
      <c r="AV4" s="46">
        <v>46412</v>
      </c>
      <c r="AW4" s="46">
        <v>46419</v>
      </c>
      <c r="AX4" s="46">
        <v>46426</v>
      </c>
      <c r="AY4" s="46">
        <v>46433</v>
      </c>
      <c r="AZ4" s="46">
        <v>46440</v>
      </c>
      <c r="BA4" s="46">
        <v>46447</v>
      </c>
      <c r="BB4" s="46">
        <v>46454</v>
      </c>
      <c r="BC4" s="46">
        <v>46461</v>
      </c>
      <c r="BD4" s="46">
        <v>46468</v>
      </c>
      <c r="BE4" s="46">
        <v>46475</v>
      </c>
      <c r="BF4" s="46">
        <v>46482</v>
      </c>
      <c r="BG4" s="46">
        <v>46489</v>
      </c>
      <c r="BH4" s="46">
        <v>46496</v>
      </c>
      <c r="BI4" s="46">
        <v>46503</v>
      </c>
      <c r="BJ4" s="46">
        <v>46510</v>
      </c>
      <c r="BK4" s="46">
        <v>46517</v>
      </c>
      <c r="BL4" s="46">
        <v>46524</v>
      </c>
      <c r="BM4" s="46">
        <v>46531</v>
      </c>
      <c r="BN4" s="46">
        <v>46538</v>
      </c>
      <c r="BO4" s="46">
        <v>46545</v>
      </c>
      <c r="BP4" s="46">
        <v>46552</v>
      </c>
      <c r="BQ4" s="46">
        <v>46559</v>
      </c>
    </row>
    <row r="5" spans="1:69" ht="42" customHeight="1">
      <c r="A5" s="19" t="s">
        <v>33</v>
      </c>
      <c r="B5" s="19" t="s">
        <v>34</v>
      </c>
      <c r="C5" s="19" t="s">
        <v>86</v>
      </c>
      <c r="D5" s="19" t="s">
        <v>87</v>
      </c>
      <c r="E5" s="19" t="s">
        <v>88</v>
      </c>
      <c r="F5" s="19" t="s">
        <v>89</v>
      </c>
      <c r="G5" s="19" t="s">
        <v>90</v>
      </c>
      <c r="H5" s="19" t="s">
        <v>91</v>
      </c>
      <c r="I5" s="19" t="s">
        <v>92</v>
      </c>
      <c r="J5" s="19" t="s">
        <v>93</v>
      </c>
      <c r="K5" s="19" t="s">
        <v>94</v>
      </c>
      <c r="L5" s="19" t="s">
        <v>95</v>
      </c>
      <c r="M5" s="19" t="s">
        <v>96</v>
      </c>
      <c r="N5" s="19" t="s">
        <v>97</v>
      </c>
      <c r="O5" s="19" t="s">
        <v>98</v>
      </c>
      <c r="P5" s="19" t="s">
        <v>99</v>
      </c>
      <c r="Q5" s="19" t="s">
        <v>100</v>
      </c>
      <c r="R5" s="19" t="s">
        <v>101</v>
      </c>
      <c r="S5" s="19" t="s">
        <v>102</v>
      </c>
      <c r="T5" s="19" t="s">
        <v>103</v>
      </c>
      <c r="U5" s="19" t="s">
        <v>104</v>
      </c>
      <c r="V5" s="19" t="s">
        <v>105</v>
      </c>
      <c r="W5" s="19" t="s">
        <v>106</v>
      </c>
      <c r="X5" s="19" t="s">
        <v>107</v>
      </c>
      <c r="Y5" s="19" t="s">
        <v>108</v>
      </c>
      <c r="Z5" s="19" t="s">
        <v>109</v>
      </c>
      <c r="AA5" s="19" t="s">
        <v>110</v>
      </c>
      <c r="AB5" s="19" t="s">
        <v>111</v>
      </c>
      <c r="AC5" s="19" t="s">
        <v>112</v>
      </c>
      <c r="AD5" s="19" t="s">
        <v>113</v>
      </c>
      <c r="AE5" s="19" t="s">
        <v>114</v>
      </c>
      <c r="AF5" s="19" t="s">
        <v>115</v>
      </c>
      <c r="AG5" s="19" t="s">
        <v>116</v>
      </c>
      <c r="AH5" s="19" t="s">
        <v>117</v>
      </c>
      <c r="AI5" s="19" t="s">
        <v>118</v>
      </c>
      <c r="AJ5" s="19" t="s">
        <v>119</v>
      </c>
      <c r="AK5" s="19" t="s">
        <v>120</v>
      </c>
      <c r="AL5" s="19" t="s">
        <v>121</v>
      </c>
      <c r="AM5" s="19" t="s">
        <v>122</v>
      </c>
      <c r="AN5" s="19" t="s">
        <v>123</v>
      </c>
      <c r="AO5" s="19" t="s">
        <v>124</v>
      </c>
      <c r="AP5" s="19" t="s">
        <v>125</v>
      </c>
      <c r="AQ5" s="19" t="s">
        <v>126</v>
      </c>
      <c r="AR5" s="19" t="s">
        <v>127</v>
      </c>
      <c r="AS5" s="19" t="s">
        <v>128</v>
      </c>
      <c r="AT5" s="19" t="s">
        <v>129</v>
      </c>
      <c r="AU5" s="19" t="s">
        <v>130</v>
      </c>
      <c r="AV5" s="19" t="s">
        <v>131</v>
      </c>
      <c r="AW5" s="19" t="s">
        <v>132</v>
      </c>
      <c r="AX5" s="19" t="s">
        <v>133</v>
      </c>
      <c r="AY5" s="19" t="s">
        <v>134</v>
      </c>
      <c r="AZ5" s="19" t="s">
        <v>135</v>
      </c>
      <c r="BA5" s="19" t="s">
        <v>136</v>
      </c>
      <c r="BB5" s="19" t="s">
        <v>137</v>
      </c>
      <c r="BC5" s="19" t="s">
        <v>138</v>
      </c>
      <c r="BD5" s="19" t="s">
        <v>139</v>
      </c>
      <c r="BE5" s="19" t="s">
        <v>140</v>
      </c>
      <c r="BF5" s="19" t="s">
        <v>141</v>
      </c>
      <c r="BG5" s="19" t="s">
        <v>142</v>
      </c>
      <c r="BH5" s="19" t="s">
        <v>143</v>
      </c>
      <c r="BI5" s="19" t="s">
        <v>144</v>
      </c>
      <c r="BJ5" s="19" t="s">
        <v>145</v>
      </c>
      <c r="BK5" s="19" t="s">
        <v>146</v>
      </c>
      <c r="BL5" s="19" t="s">
        <v>147</v>
      </c>
      <c r="BM5" s="19" t="s">
        <v>148</v>
      </c>
      <c r="BN5" s="19" t="s">
        <v>149</v>
      </c>
      <c r="BO5" s="19" t="s">
        <v>150</v>
      </c>
      <c r="BP5" s="19" t="s">
        <v>151</v>
      </c>
      <c r="BQ5" s="19" t="s">
        <v>152</v>
      </c>
    </row>
    <row r="6" spans="1:69" ht="42" customHeight="1">
      <c r="A6" s="20" t="s">
        <v>153</v>
      </c>
      <c r="B6" s="21" t="s">
        <v>54</v>
      </c>
      <c r="C6" s="22" t="s">
        <v>154</v>
      </c>
      <c r="D6" s="22" t="s">
        <v>155</v>
      </c>
      <c r="E6" s="22" t="s">
        <v>156</v>
      </c>
      <c r="F6" s="47">
        <v>4</v>
      </c>
      <c r="G6" s="47">
        <v>1</v>
      </c>
      <c r="H6" s="47">
        <v>1</v>
      </c>
      <c r="I6" s="47">
        <f t="shared" ref="I6:I37" si="0">H6-G6+1</f>
        <v>1</v>
      </c>
      <c r="J6" s="48">
        <f t="shared" ref="J6:J37" si="1">$C$1+(G6-1)*7</f>
        <v>46202</v>
      </c>
      <c r="K6" s="48">
        <f t="shared" ref="K6:K37" si="2">$C$1+H6*7-1</f>
        <v>46208</v>
      </c>
      <c r="L6" s="47" t="s">
        <v>422</v>
      </c>
      <c r="M6" s="49">
        <v>1</v>
      </c>
      <c r="N6" s="47">
        <v>1.5</v>
      </c>
      <c r="O6" s="47">
        <f t="shared" ref="O6:O37" si="3">IF(N6="","",N6-F6)</f>
        <v>-2.5</v>
      </c>
      <c r="P6" s="47">
        <f t="shared" ref="P6:P37" si="4">MAX(F6*(1-M6),0)</f>
        <v>0</v>
      </c>
      <c r="Q6" s="25" t="s">
        <v>423</v>
      </c>
      <c r="R6" s="50" t="s">
        <v>57</v>
      </c>
      <c r="S6" s="51"/>
      <c r="T6" s="51"/>
      <c r="U6" s="51"/>
      <c r="V6" s="51"/>
      <c r="W6" s="51"/>
      <c r="X6" s="51"/>
      <c r="Y6" s="51"/>
      <c r="Z6" s="51"/>
      <c r="AA6" s="51"/>
      <c r="AB6" s="51"/>
      <c r="AC6" s="51"/>
      <c r="AD6" s="51"/>
      <c r="AE6" s="51"/>
      <c r="AF6" s="51"/>
      <c r="AG6" s="51"/>
      <c r="AH6" s="51"/>
      <c r="AI6" s="51"/>
      <c r="AJ6" s="51"/>
      <c r="AK6" s="51"/>
      <c r="AL6" s="51"/>
      <c r="AM6" s="51"/>
      <c r="AN6" s="51"/>
      <c r="AO6" s="51"/>
      <c r="AP6" s="51"/>
      <c r="AQ6" s="51"/>
      <c r="AR6" s="51"/>
      <c r="AS6" s="51"/>
      <c r="AT6" s="51"/>
      <c r="AU6" s="51"/>
      <c r="AV6" s="51"/>
      <c r="AW6" s="51"/>
      <c r="AX6" s="51"/>
      <c r="AY6" s="51"/>
      <c r="AZ6" s="51"/>
      <c r="BA6" s="51"/>
      <c r="BB6" s="51"/>
      <c r="BC6" s="51"/>
      <c r="BD6" s="51"/>
      <c r="BE6" s="51"/>
      <c r="BF6" s="51"/>
      <c r="BG6" s="51"/>
      <c r="BH6" s="51"/>
      <c r="BI6" s="51"/>
      <c r="BJ6" s="51"/>
      <c r="BK6" s="51"/>
      <c r="BL6" s="51"/>
      <c r="BM6" s="51"/>
      <c r="BN6" s="51"/>
      <c r="BO6" s="51"/>
      <c r="BP6" s="51"/>
      <c r="BQ6" s="52"/>
    </row>
    <row r="7" spans="1:69" ht="42" customHeight="1">
      <c r="A7" s="20" t="s">
        <v>157</v>
      </c>
      <c r="B7" s="21" t="s">
        <v>54</v>
      </c>
      <c r="C7" s="22" t="s">
        <v>158</v>
      </c>
      <c r="D7" s="22" t="s">
        <v>159</v>
      </c>
      <c r="E7" s="22" t="s">
        <v>153</v>
      </c>
      <c r="F7" s="47">
        <v>4</v>
      </c>
      <c r="G7" s="47">
        <v>1</v>
      </c>
      <c r="H7" s="47">
        <v>1</v>
      </c>
      <c r="I7" s="47">
        <f t="shared" si="0"/>
        <v>1</v>
      </c>
      <c r="J7" s="48">
        <f t="shared" si="1"/>
        <v>46202</v>
      </c>
      <c r="K7" s="48">
        <f t="shared" si="2"/>
        <v>46208</v>
      </c>
      <c r="L7" s="47" t="s">
        <v>422</v>
      </c>
      <c r="M7" s="49">
        <v>1</v>
      </c>
      <c r="N7" s="47"/>
      <c r="O7" s="47" t="str">
        <f t="shared" si="3"/>
        <v/>
      </c>
      <c r="P7" s="47">
        <f t="shared" si="4"/>
        <v>0</v>
      </c>
      <c r="Q7" s="25" t="s">
        <v>424</v>
      </c>
      <c r="R7" s="50" t="s">
        <v>57</v>
      </c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 s="53"/>
      <c r="AT7" s="53"/>
      <c r="AU7" s="53"/>
      <c r="AV7" s="53"/>
      <c r="AW7" s="53"/>
      <c r="AX7" s="53"/>
      <c r="AY7" s="53"/>
      <c r="AZ7" s="53"/>
      <c r="BA7" s="53"/>
      <c r="BB7" s="53"/>
      <c r="BC7" s="53"/>
      <c r="BD7" s="53"/>
      <c r="BE7" s="53"/>
      <c r="BF7" s="53"/>
      <c r="BG7" s="53"/>
      <c r="BH7" s="53"/>
      <c r="BI7" s="53"/>
      <c r="BJ7" s="53"/>
      <c r="BK7" s="53"/>
      <c r="BL7" s="53"/>
      <c r="BM7" s="53"/>
      <c r="BN7" s="53"/>
      <c r="BO7" s="53"/>
      <c r="BP7" s="53"/>
      <c r="BQ7" s="54"/>
    </row>
    <row r="8" spans="1:69" ht="42" customHeight="1">
      <c r="A8" s="20" t="s">
        <v>160</v>
      </c>
      <c r="B8" s="21" t="s">
        <v>54</v>
      </c>
      <c r="C8" s="22" t="s">
        <v>161</v>
      </c>
      <c r="D8" s="22" t="s">
        <v>162</v>
      </c>
      <c r="E8" s="22" t="s">
        <v>153</v>
      </c>
      <c r="F8" s="47">
        <v>4</v>
      </c>
      <c r="G8" s="47">
        <v>1</v>
      </c>
      <c r="H8" s="47">
        <v>2</v>
      </c>
      <c r="I8" s="47">
        <f t="shared" si="0"/>
        <v>2</v>
      </c>
      <c r="J8" s="48">
        <f t="shared" si="1"/>
        <v>46202</v>
      </c>
      <c r="K8" s="48">
        <f t="shared" si="2"/>
        <v>46215</v>
      </c>
      <c r="L8" s="47" t="s">
        <v>425</v>
      </c>
      <c r="M8" s="49">
        <v>0.5</v>
      </c>
      <c r="N8" s="47"/>
      <c r="O8" s="47" t="str">
        <f t="shared" si="3"/>
        <v/>
      </c>
      <c r="P8" s="47">
        <f t="shared" si="4"/>
        <v>2</v>
      </c>
      <c r="Q8" s="25" t="s">
        <v>426</v>
      </c>
      <c r="R8" s="55" t="s">
        <v>57</v>
      </c>
      <c r="S8" s="56" t="s">
        <v>57</v>
      </c>
      <c r="T8" s="53"/>
      <c r="U8" s="53"/>
      <c r="V8" s="53"/>
      <c r="W8" s="53"/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  <c r="AP8" s="53"/>
      <c r="AQ8" s="53"/>
      <c r="AR8" s="53"/>
      <c r="AS8" s="53"/>
      <c r="AT8" s="53"/>
      <c r="AU8" s="53"/>
      <c r="AV8" s="53"/>
      <c r="AW8" s="53"/>
      <c r="AX8" s="53"/>
      <c r="AY8" s="53"/>
      <c r="AZ8" s="53"/>
      <c r="BA8" s="53"/>
      <c r="BB8" s="53"/>
      <c r="BC8" s="53"/>
      <c r="BD8" s="53"/>
      <c r="BE8" s="53"/>
      <c r="BF8" s="53"/>
      <c r="BG8" s="53"/>
      <c r="BH8" s="53"/>
      <c r="BI8" s="53"/>
      <c r="BJ8" s="53"/>
      <c r="BK8" s="53"/>
      <c r="BL8" s="53"/>
      <c r="BM8" s="53"/>
      <c r="BN8" s="53"/>
      <c r="BO8" s="53"/>
      <c r="BP8" s="53"/>
      <c r="BQ8" s="54"/>
    </row>
    <row r="9" spans="1:69" ht="42" customHeight="1">
      <c r="A9" s="20" t="s">
        <v>163</v>
      </c>
      <c r="B9" s="21" t="s">
        <v>54</v>
      </c>
      <c r="C9" s="22" t="s">
        <v>164</v>
      </c>
      <c r="D9" s="22" t="s">
        <v>165</v>
      </c>
      <c r="E9" s="22" t="s">
        <v>157</v>
      </c>
      <c r="F9" s="47">
        <v>4</v>
      </c>
      <c r="G9" s="47">
        <v>2</v>
      </c>
      <c r="H9" s="47">
        <v>2</v>
      </c>
      <c r="I9" s="47">
        <f t="shared" si="0"/>
        <v>1</v>
      </c>
      <c r="J9" s="48">
        <f t="shared" si="1"/>
        <v>46209</v>
      </c>
      <c r="K9" s="48">
        <f t="shared" si="2"/>
        <v>46215</v>
      </c>
      <c r="L9" s="47" t="s">
        <v>166</v>
      </c>
      <c r="M9" s="49">
        <v>0</v>
      </c>
      <c r="N9" s="47"/>
      <c r="O9" s="47" t="str">
        <f t="shared" si="3"/>
        <v/>
      </c>
      <c r="P9" s="47">
        <f t="shared" si="4"/>
        <v>4</v>
      </c>
      <c r="Q9" s="25"/>
      <c r="R9" s="57"/>
      <c r="S9" s="50" t="s">
        <v>57</v>
      </c>
      <c r="T9" s="53"/>
      <c r="U9" s="53"/>
      <c r="V9" s="53"/>
      <c r="W9" s="53"/>
      <c r="X9" s="53"/>
      <c r="Y9" s="53"/>
      <c r="Z9" s="53"/>
      <c r="AA9" s="53"/>
      <c r="AB9" s="53"/>
      <c r="AC9" s="53"/>
      <c r="AD9" s="53"/>
      <c r="AE9" s="53"/>
      <c r="AF9" s="53"/>
      <c r="AG9" s="53"/>
      <c r="AH9" s="53"/>
      <c r="AI9" s="53"/>
      <c r="AJ9" s="53"/>
      <c r="AK9" s="53"/>
      <c r="AL9" s="53"/>
      <c r="AM9" s="53"/>
      <c r="AN9" s="53"/>
      <c r="AO9" s="53"/>
      <c r="AP9" s="53"/>
      <c r="AQ9" s="53"/>
      <c r="AR9" s="53"/>
      <c r="AS9" s="53"/>
      <c r="AT9" s="53"/>
      <c r="AU9" s="53"/>
      <c r="AV9" s="53"/>
      <c r="AW9" s="53"/>
      <c r="AX9" s="53"/>
      <c r="AY9" s="53"/>
      <c r="AZ9" s="53"/>
      <c r="BA9" s="53"/>
      <c r="BB9" s="53"/>
      <c r="BC9" s="53"/>
      <c r="BD9" s="53"/>
      <c r="BE9" s="53"/>
      <c r="BF9" s="53"/>
      <c r="BG9" s="53"/>
      <c r="BH9" s="53"/>
      <c r="BI9" s="53"/>
      <c r="BJ9" s="53"/>
      <c r="BK9" s="53"/>
      <c r="BL9" s="53"/>
      <c r="BM9" s="53"/>
      <c r="BN9" s="53"/>
      <c r="BO9" s="53"/>
      <c r="BP9" s="53"/>
      <c r="BQ9" s="54"/>
    </row>
    <row r="10" spans="1:69" ht="42" customHeight="1">
      <c r="A10" s="20" t="s">
        <v>167</v>
      </c>
      <c r="B10" s="21" t="s">
        <v>54</v>
      </c>
      <c r="C10" s="22" t="s">
        <v>168</v>
      </c>
      <c r="D10" s="22" t="s">
        <v>169</v>
      </c>
      <c r="E10" s="22" t="s">
        <v>163</v>
      </c>
      <c r="F10" s="47">
        <v>12</v>
      </c>
      <c r="G10" s="47">
        <v>1</v>
      </c>
      <c r="H10" s="47">
        <v>52</v>
      </c>
      <c r="I10" s="47">
        <f t="shared" si="0"/>
        <v>52</v>
      </c>
      <c r="J10" s="48">
        <f t="shared" si="1"/>
        <v>46202</v>
      </c>
      <c r="K10" s="48">
        <f t="shared" si="2"/>
        <v>46565</v>
      </c>
      <c r="L10" s="47" t="s">
        <v>425</v>
      </c>
      <c r="M10" s="49">
        <v>0.02</v>
      </c>
      <c r="N10" s="47"/>
      <c r="O10" s="47" t="str">
        <f t="shared" si="3"/>
        <v/>
      </c>
      <c r="P10" s="47">
        <f t="shared" si="4"/>
        <v>11.76</v>
      </c>
      <c r="Q10" s="25" t="s">
        <v>427</v>
      </c>
      <c r="R10" s="55" t="s">
        <v>57</v>
      </c>
      <c r="S10" s="58" t="s">
        <v>57</v>
      </c>
      <c r="T10" s="58" t="s">
        <v>57</v>
      </c>
      <c r="U10" s="58" t="s">
        <v>57</v>
      </c>
      <c r="V10" s="58" t="s">
        <v>57</v>
      </c>
      <c r="W10" s="58" t="s">
        <v>57</v>
      </c>
      <c r="X10" s="58" t="s">
        <v>57</v>
      </c>
      <c r="Y10" s="58" t="s">
        <v>57</v>
      </c>
      <c r="Z10" s="58" t="s">
        <v>57</v>
      </c>
      <c r="AA10" s="58" t="s">
        <v>57</v>
      </c>
      <c r="AB10" s="58" t="s">
        <v>57</v>
      </c>
      <c r="AC10" s="58" t="s">
        <v>57</v>
      </c>
      <c r="AD10" s="58" t="s">
        <v>57</v>
      </c>
      <c r="AE10" s="58" t="s">
        <v>57</v>
      </c>
      <c r="AF10" s="58" t="s">
        <v>57</v>
      </c>
      <c r="AG10" s="58" t="s">
        <v>57</v>
      </c>
      <c r="AH10" s="58" t="s">
        <v>57</v>
      </c>
      <c r="AI10" s="58" t="s">
        <v>57</v>
      </c>
      <c r="AJ10" s="58" t="s">
        <v>57</v>
      </c>
      <c r="AK10" s="58" t="s">
        <v>57</v>
      </c>
      <c r="AL10" s="58" t="s">
        <v>57</v>
      </c>
      <c r="AM10" s="58" t="s">
        <v>57</v>
      </c>
      <c r="AN10" s="58" t="s">
        <v>57</v>
      </c>
      <c r="AO10" s="58" t="s">
        <v>57</v>
      </c>
      <c r="AP10" s="58" t="s">
        <v>57</v>
      </c>
      <c r="AQ10" s="58" t="s">
        <v>57</v>
      </c>
      <c r="AR10" s="58" t="s">
        <v>57</v>
      </c>
      <c r="AS10" s="58" t="s">
        <v>57</v>
      </c>
      <c r="AT10" s="58" t="s">
        <v>57</v>
      </c>
      <c r="AU10" s="58" t="s">
        <v>57</v>
      </c>
      <c r="AV10" s="58" t="s">
        <v>57</v>
      </c>
      <c r="AW10" s="58" t="s">
        <v>57</v>
      </c>
      <c r="AX10" s="58" t="s">
        <v>57</v>
      </c>
      <c r="AY10" s="58" t="s">
        <v>57</v>
      </c>
      <c r="AZ10" s="58" t="s">
        <v>57</v>
      </c>
      <c r="BA10" s="58" t="s">
        <v>57</v>
      </c>
      <c r="BB10" s="58" t="s">
        <v>57</v>
      </c>
      <c r="BC10" s="58" t="s">
        <v>57</v>
      </c>
      <c r="BD10" s="58" t="s">
        <v>57</v>
      </c>
      <c r="BE10" s="58" t="s">
        <v>57</v>
      </c>
      <c r="BF10" s="58" t="s">
        <v>57</v>
      </c>
      <c r="BG10" s="58" t="s">
        <v>57</v>
      </c>
      <c r="BH10" s="58" t="s">
        <v>57</v>
      </c>
      <c r="BI10" s="58" t="s">
        <v>57</v>
      </c>
      <c r="BJ10" s="58" t="s">
        <v>57</v>
      </c>
      <c r="BK10" s="58" t="s">
        <v>57</v>
      </c>
      <c r="BL10" s="58" t="s">
        <v>57</v>
      </c>
      <c r="BM10" s="58" t="s">
        <v>57</v>
      </c>
      <c r="BN10" s="58" t="s">
        <v>57</v>
      </c>
      <c r="BO10" s="58" t="s">
        <v>57</v>
      </c>
      <c r="BP10" s="58" t="s">
        <v>57</v>
      </c>
      <c r="BQ10" s="56" t="s">
        <v>57</v>
      </c>
    </row>
    <row r="11" spans="1:69" ht="42" customHeight="1">
      <c r="A11" s="20" t="s">
        <v>170</v>
      </c>
      <c r="B11" s="21" t="s">
        <v>54</v>
      </c>
      <c r="C11" s="22" t="s">
        <v>171</v>
      </c>
      <c r="D11" s="22" t="s">
        <v>172</v>
      </c>
      <c r="E11" s="22" t="s">
        <v>163</v>
      </c>
      <c r="F11" s="47">
        <v>6</v>
      </c>
      <c r="G11" s="47">
        <v>4</v>
      </c>
      <c r="H11" s="47">
        <v>52</v>
      </c>
      <c r="I11" s="47">
        <f t="shared" si="0"/>
        <v>49</v>
      </c>
      <c r="J11" s="48">
        <f t="shared" si="1"/>
        <v>46223</v>
      </c>
      <c r="K11" s="48">
        <f t="shared" si="2"/>
        <v>46565</v>
      </c>
      <c r="L11" s="47" t="s">
        <v>166</v>
      </c>
      <c r="M11" s="49">
        <v>0</v>
      </c>
      <c r="N11" s="47"/>
      <c r="O11" s="47" t="str">
        <f t="shared" si="3"/>
        <v/>
      </c>
      <c r="P11" s="47">
        <f t="shared" si="4"/>
        <v>6</v>
      </c>
      <c r="Q11" s="25"/>
      <c r="R11" s="57"/>
      <c r="S11" s="53"/>
      <c r="T11" s="53"/>
      <c r="U11" s="55" t="s">
        <v>57</v>
      </c>
      <c r="V11" s="58" t="s">
        <v>57</v>
      </c>
      <c r="W11" s="58" t="s">
        <v>57</v>
      </c>
      <c r="X11" s="58" t="s">
        <v>57</v>
      </c>
      <c r="Y11" s="58" t="s">
        <v>57</v>
      </c>
      <c r="Z11" s="58" t="s">
        <v>57</v>
      </c>
      <c r="AA11" s="58" t="s">
        <v>57</v>
      </c>
      <c r="AB11" s="58" t="s">
        <v>57</v>
      </c>
      <c r="AC11" s="58" t="s">
        <v>57</v>
      </c>
      <c r="AD11" s="58" t="s">
        <v>57</v>
      </c>
      <c r="AE11" s="58" t="s">
        <v>57</v>
      </c>
      <c r="AF11" s="58" t="s">
        <v>57</v>
      </c>
      <c r="AG11" s="58" t="s">
        <v>57</v>
      </c>
      <c r="AH11" s="58" t="s">
        <v>57</v>
      </c>
      <c r="AI11" s="58" t="s">
        <v>57</v>
      </c>
      <c r="AJ11" s="58" t="s">
        <v>57</v>
      </c>
      <c r="AK11" s="58" t="s">
        <v>57</v>
      </c>
      <c r="AL11" s="58" t="s">
        <v>57</v>
      </c>
      <c r="AM11" s="58" t="s">
        <v>57</v>
      </c>
      <c r="AN11" s="58" t="s">
        <v>57</v>
      </c>
      <c r="AO11" s="58" t="s">
        <v>57</v>
      </c>
      <c r="AP11" s="58" t="s">
        <v>57</v>
      </c>
      <c r="AQ11" s="58" t="s">
        <v>57</v>
      </c>
      <c r="AR11" s="58" t="s">
        <v>57</v>
      </c>
      <c r="AS11" s="58" t="s">
        <v>57</v>
      </c>
      <c r="AT11" s="58" t="s">
        <v>57</v>
      </c>
      <c r="AU11" s="58" t="s">
        <v>57</v>
      </c>
      <c r="AV11" s="58" t="s">
        <v>57</v>
      </c>
      <c r="AW11" s="58" t="s">
        <v>57</v>
      </c>
      <c r="AX11" s="58" t="s">
        <v>57</v>
      </c>
      <c r="AY11" s="58" t="s">
        <v>57</v>
      </c>
      <c r="AZ11" s="58" t="s">
        <v>57</v>
      </c>
      <c r="BA11" s="58" t="s">
        <v>57</v>
      </c>
      <c r="BB11" s="58" t="s">
        <v>57</v>
      </c>
      <c r="BC11" s="58" t="s">
        <v>57</v>
      </c>
      <c r="BD11" s="58" t="s">
        <v>57</v>
      </c>
      <c r="BE11" s="58" t="s">
        <v>57</v>
      </c>
      <c r="BF11" s="58" t="s">
        <v>57</v>
      </c>
      <c r="BG11" s="58" t="s">
        <v>57</v>
      </c>
      <c r="BH11" s="58" t="s">
        <v>57</v>
      </c>
      <c r="BI11" s="58" t="s">
        <v>57</v>
      </c>
      <c r="BJ11" s="58" t="s">
        <v>57</v>
      </c>
      <c r="BK11" s="58" t="s">
        <v>57</v>
      </c>
      <c r="BL11" s="58" t="s">
        <v>57</v>
      </c>
      <c r="BM11" s="58" t="s">
        <v>57</v>
      </c>
      <c r="BN11" s="58" t="s">
        <v>57</v>
      </c>
      <c r="BO11" s="58" t="s">
        <v>57</v>
      </c>
      <c r="BP11" s="58" t="s">
        <v>57</v>
      </c>
      <c r="BQ11" s="56" t="s">
        <v>57</v>
      </c>
    </row>
    <row r="12" spans="1:69" ht="42" customHeight="1">
      <c r="A12" s="20" t="s">
        <v>173</v>
      </c>
      <c r="B12" s="21" t="s">
        <v>54</v>
      </c>
      <c r="C12" s="22" t="s">
        <v>174</v>
      </c>
      <c r="D12" s="22" t="s">
        <v>175</v>
      </c>
      <c r="E12" s="22" t="s">
        <v>163</v>
      </c>
      <c r="F12" s="47">
        <v>6</v>
      </c>
      <c r="G12" s="47">
        <v>9</v>
      </c>
      <c r="H12" s="47">
        <v>52</v>
      </c>
      <c r="I12" s="47">
        <f t="shared" si="0"/>
        <v>44</v>
      </c>
      <c r="J12" s="48">
        <f t="shared" si="1"/>
        <v>46258</v>
      </c>
      <c r="K12" s="48">
        <f t="shared" si="2"/>
        <v>46565</v>
      </c>
      <c r="L12" s="47" t="s">
        <v>166</v>
      </c>
      <c r="M12" s="49">
        <v>0</v>
      </c>
      <c r="N12" s="47"/>
      <c r="O12" s="47" t="str">
        <f t="shared" si="3"/>
        <v/>
      </c>
      <c r="P12" s="47">
        <f t="shared" si="4"/>
        <v>6</v>
      </c>
      <c r="Q12" s="25"/>
      <c r="R12" s="57"/>
      <c r="S12" s="53"/>
      <c r="T12" s="53"/>
      <c r="U12" s="53"/>
      <c r="V12" s="53"/>
      <c r="W12" s="53"/>
      <c r="X12" s="53"/>
      <c r="Y12" s="53"/>
      <c r="Z12" s="55" t="s">
        <v>57</v>
      </c>
      <c r="AA12" s="58" t="s">
        <v>57</v>
      </c>
      <c r="AB12" s="58" t="s">
        <v>57</v>
      </c>
      <c r="AC12" s="58" t="s">
        <v>57</v>
      </c>
      <c r="AD12" s="58" t="s">
        <v>57</v>
      </c>
      <c r="AE12" s="58" t="s">
        <v>57</v>
      </c>
      <c r="AF12" s="58" t="s">
        <v>57</v>
      </c>
      <c r="AG12" s="58" t="s">
        <v>57</v>
      </c>
      <c r="AH12" s="58" t="s">
        <v>57</v>
      </c>
      <c r="AI12" s="58" t="s">
        <v>57</v>
      </c>
      <c r="AJ12" s="58" t="s">
        <v>57</v>
      </c>
      <c r="AK12" s="58" t="s">
        <v>57</v>
      </c>
      <c r="AL12" s="58" t="s">
        <v>57</v>
      </c>
      <c r="AM12" s="58" t="s">
        <v>57</v>
      </c>
      <c r="AN12" s="58" t="s">
        <v>57</v>
      </c>
      <c r="AO12" s="58" t="s">
        <v>57</v>
      </c>
      <c r="AP12" s="58" t="s">
        <v>57</v>
      </c>
      <c r="AQ12" s="58" t="s">
        <v>57</v>
      </c>
      <c r="AR12" s="58" t="s">
        <v>57</v>
      </c>
      <c r="AS12" s="58" t="s">
        <v>57</v>
      </c>
      <c r="AT12" s="58" t="s">
        <v>57</v>
      </c>
      <c r="AU12" s="58" t="s">
        <v>57</v>
      </c>
      <c r="AV12" s="58" t="s">
        <v>57</v>
      </c>
      <c r="AW12" s="58" t="s">
        <v>57</v>
      </c>
      <c r="AX12" s="58" t="s">
        <v>57</v>
      </c>
      <c r="AY12" s="58" t="s">
        <v>57</v>
      </c>
      <c r="AZ12" s="58" t="s">
        <v>57</v>
      </c>
      <c r="BA12" s="58" t="s">
        <v>57</v>
      </c>
      <c r="BB12" s="58" t="s">
        <v>57</v>
      </c>
      <c r="BC12" s="58" t="s">
        <v>57</v>
      </c>
      <c r="BD12" s="58" t="s">
        <v>57</v>
      </c>
      <c r="BE12" s="58" t="s">
        <v>57</v>
      </c>
      <c r="BF12" s="58" t="s">
        <v>57</v>
      </c>
      <c r="BG12" s="58" t="s">
        <v>57</v>
      </c>
      <c r="BH12" s="58" t="s">
        <v>57</v>
      </c>
      <c r="BI12" s="58" t="s">
        <v>57</v>
      </c>
      <c r="BJ12" s="58" t="s">
        <v>57</v>
      </c>
      <c r="BK12" s="58" t="s">
        <v>57</v>
      </c>
      <c r="BL12" s="58" t="s">
        <v>57</v>
      </c>
      <c r="BM12" s="58" t="s">
        <v>57</v>
      </c>
      <c r="BN12" s="58" t="s">
        <v>57</v>
      </c>
      <c r="BO12" s="58" t="s">
        <v>57</v>
      </c>
      <c r="BP12" s="58" t="s">
        <v>57</v>
      </c>
      <c r="BQ12" s="56" t="s">
        <v>57</v>
      </c>
    </row>
    <row r="13" spans="1:69" ht="42" customHeight="1">
      <c r="A13" s="20" t="s">
        <v>176</v>
      </c>
      <c r="B13" s="27" t="s">
        <v>58</v>
      </c>
      <c r="C13" s="22" t="s">
        <v>177</v>
      </c>
      <c r="D13" s="22" t="s">
        <v>178</v>
      </c>
      <c r="E13" s="22" t="s">
        <v>160</v>
      </c>
      <c r="F13" s="47">
        <v>8</v>
      </c>
      <c r="G13" s="47">
        <v>3</v>
      </c>
      <c r="H13" s="47">
        <v>3</v>
      </c>
      <c r="I13" s="47">
        <f t="shared" si="0"/>
        <v>1</v>
      </c>
      <c r="J13" s="48">
        <f t="shared" si="1"/>
        <v>46216</v>
      </c>
      <c r="K13" s="48">
        <f t="shared" si="2"/>
        <v>46222</v>
      </c>
      <c r="L13" s="47" t="s">
        <v>166</v>
      </c>
      <c r="M13" s="49">
        <v>0</v>
      </c>
      <c r="N13" s="47"/>
      <c r="O13" s="47" t="str">
        <f t="shared" si="3"/>
        <v/>
      </c>
      <c r="P13" s="47">
        <f t="shared" si="4"/>
        <v>8</v>
      </c>
      <c r="Q13" s="25"/>
      <c r="R13" s="57"/>
      <c r="S13" s="53"/>
      <c r="T13" s="59" t="s">
        <v>57</v>
      </c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  <c r="AP13" s="53"/>
      <c r="AQ13" s="53"/>
      <c r="AR13" s="53"/>
      <c r="AS13" s="53"/>
      <c r="AT13" s="53"/>
      <c r="AU13" s="53"/>
      <c r="AV13" s="53"/>
      <c r="AW13" s="53"/>
      <c r="AX13" s="53"/>
      <c r="AY13" s="53"/>
      <c r="AZ13" s="53"/>
      <c r="BA13" s="53"/>
      <c r="BB13" s="53"/>
      <c r="BC13" s="53"/>
      <c r="BD13" s="53"/>
      <c r="BE13" s="53"/>
      <c r="BF13" s="53"/>
      <c r="BG13" s="53"/>
      <c r="BH13" s="53"/>
      <c r="BI13" s="53"/>
      <c r="BJ13" s="53"/>
      <c r="BK13" s="53"/>
      <c r="BL13" s="53"/>
      <c r="BM13" s="53"/>
      <c r="BN13" s="53"/>
      <c r="BO13" s="53"/>
      <c r="BP13" s="53"/>
      <c r="BQ13" s="54"/>
    </row>
    <row r="14" spans="1:69" ht="42" customHeight="1">
      <c r="A14" s="20" t="s">
        <v>179</v>
      </c>
      <c r="B14" s="27" t="s">
        <v>58</v>
      </c>
      <c r="C14" s="22" t="s">
        <v>180</v>
      </c>
      <c r="D14" s="22" t="s">
        <v>181</v>
      </c>
      <c r="E14" s="22" t="s">
        <v>176</v>
      </c>
      <c r="F14" s="47">
        <v>6</v>
      </c>
      <c r="G14" s="47">
        <v>3</v>
      </c>
      <c r="H14" s="47">
        <v>4</v>
      </c>
      <c r="I14" s="47">
        <f t="shared" si="0"/>
        <v>2</v>
      </c>
      <c r="J14" s="48">
        <f t="shared" si="1"/>
        <v>46216</v>
      </c>
      <c r="K14" s="48">
        <f t="shared" si="2"/>
        <v>46229</v>
      </c>
      <c r="L14" s="47" t="s">
        <v>166</v>
      </c>
      <c r="M14" s="49">
        <v>0</v>
      </c>
      <c r="N14" s="47"/>
      <c r="O14" s="47" t="str">
        <f t="shared" si="3"/>
        <v/>
      </c>
      <c r="P14" s="47">
        <f t="shared" si="4"/>
        <v>6</v>
      </c>
      <c r="Q14" s="25"/>
      <c r="R14" s="57"/>
      <c r="S14" s="53"/>
      <c r="T14" s="60" t="s">
        <v>57</v>
      </c>
      <c r="U14" s="61" t="s">
        <v>57</v>
      </c>
      <c r="V14" s="53"/>
      <c r="W14" s="53"/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  <c r="AP14" s="53"/>
      <c r="AQ14" s="53"/>
      <c r="AR14" s="53"/>
      <c r="AS14" s="53"/>
      <c r="AT14" s="53"/>
      <c r="AU14" s="53"/>
      <c r="AV14" s="53"/>
      <c r="AW14" s="53"/>
      <c r="AX14" s="53"/>
      <c r="AY14" s="53"/>
      <c r="AZ14" s="53"/>
      <c r="BA14" s="53"/>
      <c r="BB14" s="53"/>
      <c r="BC14" s="53"/>
      <c r="BD14" s="53"/>
      <c r="BE14" s="53"/>
      <c r="BF14" s="53"/>
      <c r="BG14" s="53"/>
      <c r="BH14" s="53"/>
      <c r="BI14" s="53"/>
      <c r="BJ14" s="53"/>
      <c r="BK14" s="53"/>
      <c r="BL14" s="53"/>
      <c r="BM14" s="53"/>
      <c r="BN14" s="53"/>
      <c r="BO14" s="53"/>
      <c r="BP14" s="53"/>
      <c r="BQ14" s="54"/>
    </row>
    <row r="15" spans="1:69" ht="42" customHeight="1">
      <c r="A15" s="20" t="s">
        <v>182</v>
      </c>
      <c r="B15" s="27" t="s">
        <v>58</v>
      </c>
      <c r="C15" s="22" t="s">
        <v>183</v>
      </c>
      <c r="D15" s="22" t="s">
        <v>184</v>
      </c>
      <c r="E15" s="22" t="s">
        <v>179</v>
      </c>
      <c r="F15" s="47">
        <v>14</v>
      </c>
      <c r="G15" s="47">
        <v>4</v>
      </c>
      <c r="H15" s="47">
        <v>5</v>
      </c>
      <c r="I15" s="47">
        <f t="shared" si="0"/>
        <v>2</v>
      </c>
      <c r="J15" s="48">
        <f t="shared" si="1"/>
        <v>46223</v>
      </c>
      <c r="K15" s="48">
        <f t="shared" si="2"/>
        <v>46236</v>
      </c>
      <c r="L15" s="47" t="s">
        <v>166</v>
      </c>
      <c r="M15" s="49">
        <v>0</v>
      </c>
      <c r="N15" s="47"/>
      <c r="O15" s="47" t="str">
        <f t="shared" si="3"/>
        <v/>
      </c>
      <c r="P15" s="47">
        <f t="shared" si="4"/>
        <v>14</v>
      </c>
      <c r="Q15" s="25"/>
      <c r="R15" s="57"/>
      <c r="S15" s="53"/>
      <c r="T15" s="53"/>
      <c r="U15" s="60" t="s">
        <v>57</v>
      </c>
      <c r="V15" s="61" t="s">
        <v>57</v>
      </c>
      <c r="W15" s="53"/>
      <c r="X15" s="53"/>
      <c r="Y15" s="53"/>
      <c r="Z15" s="53"/>
      <c r="AA15" s="53"/>
      <c r="AB15" s="53"/>
      <c r="AC15" s="53"/>
      <c r="AD15" s="53"/>
      <c r="AE15" s="53"/>
      <c r="AF15" s="53"/>
      <c r="AG15" s="53"/>
      <c r="AH15" s="53"/>
      <c r="AI15" s="53"/>
      <c r="AJ15" s="53"/>
      <c r="AK15" s="53"/>
      <c r="AL15" s="53"/>
      <c r="AM15" s="53"/>
      <c r="AN15" s="53"/>
      <c r="AO15" s="53"/>
      <c r="AP15" s="53"/>
      <c r="AQ15" s="53"/>
      <c r="AR15" s="53"/>
      <c r="AS15" s="53"/>
      <c r="AT15" s="53"/>
      <c r="AU15" s="53"/>
      <c r="AV15" s="53"/>
      <c r="AW15" s="53"/>
      <c r="AX15" s="53"/>
      <c r="AY15" s="53"/>
      <c r="AZ15" s="53"/>
      <c r="BA15" s="53"/>
      <c r="BB15" s="53"/>
      <c r="BC15" s="53"/>
      <c r="BD15" s="53"/>
      <c r="BE15" s="53"/>
      <c r="BF15" s="53"/>
      <c r="BG15" s="53"/>
      <c r="BH15" s="53"/>
      <c r="BI15" s="53"/>
      <c r="BJ15" s="53"/>
      <c r="BK15" s="53"/>
      <c r="BL15" s="53"/>
      <c r="BM15" s="53"/>
      <c r="BN15" s="53"/>
      <c r="BO15" s="53"/>
      <c r="BP15" s="53"/>
      <c r="BQ15" s="54"/>
    </row>
    <row r="16" spans="1:69" ht="42" customHeight="1">
      <c r="A16" s="20" t="s">
        <v>185</v>
      </c>
      <c r="B16" s="27" t="s">
        <v>58</v>
      </c>
      <c r="C16" s="22" t="s">
        <v>186</v>
      </c>
      <c r="D16" s="22" t="s">
        <v>187</v>
      </c>
      <c r="E16" s="22" t="s">
        <v>182</v>
      </c>
      <c r="F16" s="47">
        <v>18</v>
      </c>
      <c r="G16" s="47">
        <v>5</v>
      </c>
      <c r="H16" s="47">
        <v>7</v>
      </c>
      <c r="I16" s="47">
        <f t="shared" si="0"/>
        <v>3</v>
      </c>
      <c r="J16" s="48">
        <f t="shared" si="1"/>
        <v>46230</v>
      </c>
      <c r="K16" s="48">
        <f t="shared" si="2"/>
        <v>46250</v>
      </c>
      <c r="L16" s="47" t="s">
        <v>166</v>
      </c>
      <c r="M16" s="49">
        <v>0</v>
      </c>
      <c r="N16" s="47"/>
      <c r="O16" s="47" t="str">
        <f t="shared" si="3"/>
        <v/>
      </c>
      <c r="P16" s="47">
        <f t="shared" si="4"/>
        <v>18</v>
      </c>
      <c r="Q16" s="25"/>
      <c r="R16" s="57"/>
      <c r="S16" s="53"/>
      <c r="T16" s="53"/>
      <c r="U16" s="53"/>
      <c r="V16" s="60" t="s">
        <v>57</v>
      </c>
      <c r="W16" s="62" t="s">
        <v>57</v>
      </c>
      <c r="X16" s="61" t="s">
        <v>57</v>
      </c>
      <c r="Y16" s="53"/>
      <c r="Z16" s="53"/>
      <c r="AA16" s="53"/>
      <c r="AB16" s="53"/>
      <c r="AC16" s="53"/>
      <c r="AD16" s="53"/>
      <c r="AE16" s="53"/>
      <c r="AF16" s="53"/>
      <c r="AG16" s="53"/>
      <c r="AH16" s="53"/>
      <c r="AI16" s="53"/>
      <c r="AJ16" s="53"/>
      <c r="AK16" s="53"/>
      <c r="AL16" s="53"/>
      <c r="AM16" s="53"/>
      <c r="AN16" s="53"/>
      <c r="AO16" s="53"/>
      <c r="AP16" s="53"/>
      <c r="AQ16" s="53"/>
      <c r="AR16" s="53"/>
      <c r="AS16" s="53"/>
      <c r="AT16" s="53"/>
      <c r="AU16" s="53"/>
      <c r="AV16" s="53"/>
      <c r="AW16" s="53"/>
      <c r="AX16" s="53"/>
      <c r="AY16" s="53"/>
      <c r="AZ16" s="53"/>
      <c r="BA16" s="53"/>
      <c r="BB16" s="53"/>
      <c r="BC16" s="53"/>
      <c r="BD16" s="53"/>
      <c r="BE16" s="53"/>
      <c r="BF16" s="53"/>
      <c r="BG16" s="53"/>
      <c r="BH16" s="53"/>
      <c r="BI16" s="53"/>
      <c r="BJ16" s="53"/>
      <c r="BK16" s="53"/>
      <c r="BL16" s="53"/>
      <c r="BM16" s="53"/>
      <c r="BN16" s="53"/>
      <c r="BO16" s="53"/>
      <c r="BP16" s="53"/>
      <c r="BQ16" s="54"/>
    </row>
    <row r="17" spans="1:69" ht="42" customHeight="1">
      <c r="A17" s="20" t="s">
        <v>188</v>
      </c>
      <c r="B17" s="27" t="s">
        <v>58</v>
      </c>
      <c r="C17" s="22" t="s">
        <v>189</v>
      </c>
      <c r="D17" s="22" t="s">
        <v>190</v>
      </c>
      <c r="E17" s="22" t="s">
        <v>185</v>
      </c>
      <c r="F17" s="47">
        <v>6</v>
      </c>
      <c r="G17" s="47">
        <v>7</v>
      </c>
      <c r="H17" s="47">
        <v>8</v>
      </c>
      <c r="I17" s="47">
        <f t="shared" si="0"/>
        <v>2</v>
      </c>
      <c r="J17" s="48">
        <f t="shared" si="1"/>
        <v>46244</v>
      </c>
      <c r="K17" s="48">
        <f t="shared" si="2"/>
        <v>46257</v>
      </c>
      <c r="L17" s="47" t="s">
        <v>166</v>
      </c>
      <c r="M17" s="49">
        <v>0</v>
      </c>
      <c r="N17" s="47"/>
      <c r="O17" s="47" t="str">
        <f t="shared" si="3"/>
        <v/>
      </c>
      <c r="P17" s="47">
        <f t="shared" si="4"/>
        <v>6</v>
      </c>
      <c r="Q17" s="25"/>
      <c r="R17" s="57"/>
      <c r="S17" s="53"/>
      <c r="T17" s="53"/>
      <c r="U17" s="53"/>
      <c r="V17" s="53"/>
      <c r="W17" s="53"/>
      <c r="X17" s="60" t="s">
        <v>57</v>
      </c>
      <c r="Y17" s="61" t="s">
        <v>57</v>
      </c>
      <c r="Z17" s="53"/>
      <c r="AA17" s="53"/>
      <c r="AB17" s="53"/>
      <c r="AC17" s="53"/>
      <c r="AD17" s="53"/>
      <c r="AE17" s="53"/>
      <c r="AF17" s="53"/>
      <c r="AG17" s="53"/>
      <c r="AH17" s="53"/>
      <c r="AI17" s="53"/>
      <c r="AJ17" s="53"/>
      <c r="AK17" s="53"/>
      <c r="AL17" s="53"/>
      <c r="AM17" s="53"/>
      <c r="AN17" s="53"/>
      <c r="AO17" s="53"/>
      <c r="AP17" s="53"/>
      <c r="AQ17" s="53"/>
      <c r="AR17" s="53"/>
      <c r="AS17" s="53"/>
      <c r="AT17" s="53"/>
      <c r="AU17" s="53"/>
      <c r="AV17" s="53"/>
      <c r="AW17" s="53"/>
      <c r="AX17" s="53"/>
      <c r="AY17" s="53"/>
      <c r="AZ17" s="53"/>
      <c r="BA17" s="53"/>
      <c r="BB17" s="53"/>
      <c r="BC17" s="53"/>
      <c r="BD17" s="53"/>
      <c r="BE17" s="53"/>
      <c r="BF17" s="53"/>
      <c r="BG17" s="53"/>
      <c r="BH17" s="53"/>
      <c r="BI17" s="53"/>
      <c r="BJ17" s="53"/>
      <c r="BK17" s="53"/>
      <c r="BL17" s="53"/>
      <c r="BM17" s="53"/>
      <c r="BN17" s="53"/>
      <c r="BO17" s="53"/>
      <c r="BP17" s="53"/>
      <c r="BQ17" s="54"/>
    </row>
    <row r="18" spans="1:69" ht="42" customHeight="1">
      <c r="A18" s="20" t="s">
        <v>191</v>
      </c>
      <c r="B18" s="27" t="s">
        <v>58</v>
      </c>
      <c r="C18" s="22" t="s">
        <v>192</v>
      </c>
      <c r="D18" s="22" t="s">
        <v>193</v>
      </c>
      <c r="E18" s="22" t="s">
        <v>188</v>
      </c>
      <c r="F18" s="47">
        <v>6</v>
      </c>
      <c r="G18" s="47">
        <v>8</v>
      </c>
      <c r="H18" s="47">
        <v>8</v>
      </c>
      <c r="I18" s="47">
        <f t="shared" si="0"/>
        <v>1</v>
      </c>
      <c r="J18" s="48">
        <f t="shared" si="1"/>
        <v>46251</v>
      </c>
      <c r="K18" s="48">
        <f t="shared" si="2"/>
        <v>46257</v>
      </c>
      <c r="L18" s="47" t="s">
        <v>166</v>
      </c>
      <c r="M18" s="49">
        <v>0</v>
      </c>
      <c r="N18" s="47"/>
      <c r="O18" s="47" t="str">
        <f t="shared" si="3"/>
        <v/>
      </c>
      <c r="P18" s="47">
        <f t="shared" si="4"/>
        <v>6</v>
      </c>
      <c r="Q18" s="25"/>
      <c r="R18" s="57"/>
      <c r="S18" s="53"/>
      <c r="T18" s="53"/>
      <c r="U18" s="53"/>
      <c r="V18" s="53"/>
      <c r="W18" s="53"/>
      <c r="X18" s="53"/>
      <c r="Y18" s="59" t="s">
        <v>57</v>
      </c>
      <c r="Z18" s="53"/>
      <c r="AA18" s="53"/>
      <c r="AB18" s="53"/>
      <c r="AC18" s="53"/>
      <c r="AD18" s="53"/>
      <c r="AE18" s="53"/>
      <c r="AF18" s="53"/>
      <c r="AG18" s="53"/>
      <c r="AH18" s="53"/>
      <c r="AI18" s="53"/>
      <c r="AJ18" s="53"/>
      <c r="AK18" s="53"/>
      <c r="AL18" s="53"/>
      <c r="AM18" s="53"/>
      <c r="AN18" s="53"/>
      <c r="AO18" s="53"/>
      <c r="AP18" s="53"/>
      <c r="AQ18" s="53"/>
      <c r="AR18" s="53"/>
      <c r="AS18" s="53"/>
      <c r="AT18" s="53"/>
      <c r="AU18" s="53"/>
      <c r="AV18" s="53"/>
      <c r="AW18" s="53"/>
      <c r="AX18" s="53"/>
      <c r="AY18" s="53"/>
      <c r="AZ18" s="53"/>
      <c r="BA18" s="53"/>
      <c r="BB18" s="53"/>
      <c r="BC18" s="53"/>
      <c r="BD18" s="53"/>
      <c r="BE18" s="53"/>
      <c r="BF18" s="53"/>
      <c r="BG18" s="53"/>
      <c r="BH18" s="53"/>
      <c r="BI18" s="53"/>
      <c r="BJ18" s="53"/>
      <c r="BK18" s="53"/>
      <c r="BL18" s="53"/>
      <c r="BM18" s="53"/>
      <c r="BN18" s="53"/>
      <c r="BO18" s="53"/>
      <c r="BP18" s="53"/>
      <c r="BQ18" s="54"/>
    </row>
    <row r="19" spans="1:69" ht="42" customHeight="1">
      <c r="A19" s="20" t="s">
        <v>194</v>
      </c>
      <c r="B19" s="27" t="s">
        <v>58</v>
      </c>
      <c r="C19" s="22" t="s">
        <v>195</v>
      </c>
      <c r="D19" s="22" t="s">
        <v>196</v>
      </c>
      <c r="E19" s="22" t="s">
        <v>191</v>
      </c>
      <c r="F19" s="47">
        <v>6</v>
      </c>
      <c r="G19" s="47">
        <v>9</v>
      </c>
      <c r="H19" s="47">
        <v>9</v>
      </c>
      <c r="I19" s="47">
        <f t="shared" si="0"/>
        <v>1</v>
      </c>
      <c r="J19" s="48">
        <f t="shared" si="1"/>
        <v>46258</v>
      </c>
      <c r="K19" s="48">
        <f t="shared" si="2"/>
        <v>46264</v>
      </c>
      <c r="L19" s="47" t="s">
        <v>166</v>
      </c>
      <c r="M19" s="49">
        <v>0</v>
      </c>
      <c r="N19" s="47"/>
      <c r="O19" s="47" t="str">
        <f t="shared" si="3"/>
        <v/>
      </c>
      <c r="P19" s="47">
        <f t="shared" si="4"/>
        <v>6</v>
      </c>
      <c r="Q19" s="25"/>
      <c r="R19" s="57"/>
      <c r="S19" s="53"/>
      <c r="T19" s="53"/>
      <c r="U19" s="53"/>
      <c r="V19" s="53"/>
      <c r="W19" s="53"/>
      <c r="X19" s="53"/>
      <c r="Y19" s="53"/>
      <c r="Z19" s="59" t="s">
        <v>57</v>
      </c>
      <c r="AA19" s="53"/>
      <c r="AB19" s="53"/>
      <c r="AC19" s="53"/>
      <c r="AD19" s="53"/>
      <c r="AE19" s="53"/>
      <c r="AF19" s="53"/>
      <c r="AG19" s="53"/>
      <c r="AH19" s="53"/>
      <c r="AI19" s="53"/>
      <c r="AJ19" s="53"/>
      <c r="AK19" s="53"/>
      <c r="AL19" s="53"/>
      <c r="AM19" s="53"/>
      <c r="AN19" s="53"/>
      <c r="AO19" s="53"/>
      <c r="AP19" s="53"/>
      <c r="AQ19" s="53"/>
      <c r="AR19" s="53"/>
      <c r="AS19" s="53"/>
      <c r="AT19" s="53"/>
      <c r="AU19" s="53"/>
      <c r="AV19" s="53"/>
      <c r="AW19" s="53"/>
      <c r="AX19" s="53"/>
      <c r="AY19" s="53"/>
      <c r="AZ19" s="53"/>
      <c r="BA19" s="53"/>
      <c r="BB19" s="53"/>
      <c r="BC19" s="53"/>
      <c r="BD19" s="53"/>
      <c r="BE19" s="53"/>
      <c r="BF19" s="53"/>
      <c r="BG19" s="53"/>
      <c r="BH19" s="53"/>
      <c r="BI19" s="53"/>
      <c r="BJ19" s="53"/>
      <c r="BK19" s="53"/>
      <c r="BL19" s="53"/>
      <c r="BM19" s="53"/>
      <c r="BN19" s="53"/>
      <c r="BO19" s="53"/>
      <c r="BP19" s="53"/>
      <c r="BQ19" s="54"/>
    </row>
    <row r="20" spans="1:69" ht="42" customHeight="1">
      <c r="A20" s="20" t="s">
        <v>197</v>
      </c>
      <c r="B20" s="30" t="s">
        <v>61</v>
      </c>
      <c r="C20" s="22" t="s">
        <v>198</v>
      </c>
      <c r="D20" s="22" t="s">
        <v>199</v>
      </c>
      <c r="E20" s="22" t="s">
        <v>194</v>
      </c>
      <c r="F20" s="47">
        <v>10</v>
      </c>
      <c r="G20" s="47">
        <v>10</v>
      </c>
      <c r="H20" s="47">
        <v>10</v>
      </c>
      <c r="I20" s="47">
        <f t="shared" si="0"/>
        <v>1</v>
      </c>
      <c r="J20" s="48">
        <f t="shared" si="1"/>
        <v>46265</v>
      </c>
      <c r="K20" s="48">
        <f t="shared" si="2"/>
        <v>46271</v>
      </c>
      <c r="L20" s="47" t="s">
        <v>425</v>
      </c>
      <c r="M20" s="49">
        <v>0.2</v>
      </c>
      <c r="N20" s="47"/>
      <c r="O20" s="47" t="str">
        <f t="shared" si="3"/>
        <v/>
      </c>
      <c r="P20" s="47">
        <f t="shared" si="4"/>
        <v>8</v>
      </c>
      <c r="Q20" s="25" t="s">
        <v>428</v>
      </c>
      <c r="R20" s="57"/>
      <c r="S20" s="53"/>
      <c r="T20" s="53"/>
      <c r="U20" s="53"/>
      <c r="V20" s="53"/>
      <c r="W20" s="53"/>
      <c r="X20" s="53"/>
      <c r="Y20" s="53"/>
      <c r="Z20" s="53"/>
      <c r="AA20" s="63" t="s">
        <v>57</v>
      </c>
      <c r="AB20" s="53"/>
      <c r="AC20" s="53"/>
      <c r="AD20" s="53"/>
      <c r="AE20" s="53"/>
      <c r="AF20" s="53"/>
      <c r="AG20" s="53"/>
      <c r="AH20" s="53"/>
      <c r="AI20" s="53"/>
      <c r="AJ20" s="53"/>
      <c r="AK20" s="53"/>
      <c r="AL20" s="53"/>
      <c r="AM20" s="53"/>
      <c r="AN20" s="53"/>
      <c r="AO20" s="53"/>
      <c r="AP20" s="53"/>
      <c r="AQ20" s="53"/>
      <c r="AR20" s="53"/>
      <c r="AS20" s="53"/>
      <c r="AT20" s="53"/>
      <c r="AU20" s="53"/>
      <c r="AV20" s="53"/>
      <c r="AW20" s="53"/>
      <c r="AX20" s="53"/>
      <c r="AY20" s="53"/>
      <c r="AZ20" s="53"/>
      <c r="BA20" s="53"/>
      <c r="BB20" s="53"/>
      <c r="BC20" s="53"/>
      <c r="BD20" s="53"/>
      <c r="BE20" s="53"/>
      <c r="BF20" s="53"/>
      <c r="BG20" s="53"/>
      <c r="BH20" s="53"/>
      <c r="BI20" s="53"/>
      <c r="BJ20" s="53"/>
      <c r="BK20" s="53"/>
      <c r="BL20" s="53"/>
      <c r="BM20" s="53"/>
      <c r="BN20" s="53"/>
      <c r="BO20" s="53"/>
      <c r="BP20" s="53"/>
      <c r="BQ20" s="54"/>
    </row>
    <row r="21" spans="1:69" ht="42" customHeight="1">
      <c r="A21" s="20" t="s">
        <v>200</v>
      </c>
      <c r="B21" s="30" t="s">
        <v>61</v>
      </c>
      <c r="C21" s="22" t="s">
        <v>201</v>
      </c>
      <c r="D21" s="22" t="s">
        <v>202</v>
      </c>
      <c r="E21" s="22" t="s">
        <v>197</v>
      </c>
      <c r="F21" s="47">
        <v>12</v>
      </c>
      <c r="G21" s="47">
        <v>10</v>
      </c>
      <c r="H21" s="47">
        <v>11</v>
      </c>
      <c r="I21" s="47">
        <f t="shared" si="0"/>
        <v>2</v>
      </c>
      <c r="J21" s="48">
        <f t="shared" si="1"/>
        <v>46265</v>
      </c>
      <c r="K21" s="48">
        <f t="shared" si="2"/>
        <v>46278</v>
      </c>
      <c r="L21" s="47" t="s">
        <v>166</v>
      </c>
      <c r="M21" s="49">
        <v>0</v>
      </c>
      <c r="N21" s="47"/>
      <c r="O21" s="47" t="str">
        <f t="shared" si="3"/>
        <v/>
      </c>
      <c r="P21" s="47">
        <f t="shared" si="4"/>
        <v>12</v>
      </c>
      <c r="Q21" s="25"/>
      <c r="R21" s="57"/>
      <c r="S21" s="53"/>
      <c r="T21" s="53"/>
      <c r="U21" s="53"/>
      <c r="V21" s="53"/>
      <c r="W21" s="53"/>
      <c r="X21" s="53"/>
      <c r="Y21" s="53"/>
      <c r="Z21" s="53"/>
      <c r="AA21" s="64" t="s">
        <v>57</v>
      </c>
      <c r="AB21" s="65" t="s">
        <v>57</v>
      </c>
      <c r="AC21" s="53"/>
      <c r="AD21" s="53"/>
      <c r="AE21" s="53"/>
      <c r="AF21" s="53"/>
      <c r="AG21" s="53"/>
      <c r="AH21" s="53"/>
      <c r="AI21" s="53"/>
      <c r="AJ21" s="53"/>
      <c r="AK21" s="53"/>
      <c r="AL21" s="53"/>
      <c r="AM21" s="53"/>
      <c r="AN21" s="53"/>
      <c r="AO21" s="53"/>
      <c r="AP21" s="53"/>
      <c r="AQ21" s="53"/>
      <c r="AR21" s="53"/>
      <c r="AS21" s="53"/>
      <c r="AT21" s="53"/>
      <c r="AU21" s="53"/>
      <c r="AV21" s="53"/>
      <c r="AW21" s="53"/>
      <c r="AX21" s="53"/>
      <c r="AY21" s="53"/>
      <c r="AZ21" s="53"/>
      <c r="BA21" s="53"/>
      <c r="BB21" s="53"/>
      <c r="BC21" s="53"/>
      <c r="BD21" s="53"/>
      <c r="BE21" s="53"/>
      <c r="BF21" s="53"/>
      <c r="BG21" s="53"/>
      <c r="BH21" s="53"/>
      <c r="BI21" s="53"/>
      <c r="BJ21" s="53"/>
      <c r="BK21" s="53"/>
      <c r="BL21" s="53"/>
      <c r="BM21" s="53"/>
      <c r="BN21" s="53"/>
      <c r="BO21" s="53"/>
      <c r="BP21" s="53"/>
      <c r="BQ21" s="54"/>
    </row>
    <row r="22" spans="1:69" ht="42" customHeight="1">
      <c r="A22" s="20" t="s">
        <v>203</v>
      </c>
      <c r="B22" s="30" t="s">
        <v>61</v>
      </c>
      <c r="C22" s="22" t="s">
        <v>204</v>
      </c>
      <c r="D22" s="22" t="s">
        <v>205</v>
      </c>
      <c r="E22" s="22" t="s">
        <v>200</v>
      </c>
      <c r="F22" s="47">
        <v>14</v>
      </c>
      <c r="G22" s="47">
        <v>11</v>
      </c>
      <c r="H22" s="47">
        <v>12</v>
      </c>
      <c r="I22" s="47">
        <f t="shared" si="0"/>
        <v>2</v>
      </c>
      <c r="J22" s="48">
        <f t="shared" si="1"/>
        <v>46272</v>
      </c>
      <c r="K22" s="48">
        <f t="shared" si="2"/>
        <v>46285</v>
      </c>
      <c r="L22" s="47" t="s">
        <v>422</v>
      </c>
      <c r="M22" s="49">
        <v>1</v>
      </c>
      <c r="N22" s="47"/>
      <c r="O22" s="47" t="str">
        <f t="shared" si="3"/>
        <v/>
      </c>
      <c r="P22" s="47">
        <f t="shared" si="4"/>
        <v>0</v>
      </c>
      <c r="Q22" s="25" t="s">
        <v>429</v>
      </c>
      <c r="R22" s="57"/>
      <c r="S22" s="53"/>
      <c r="T22" s="53"/>
      <c r="U22" s="53"/>
      <c r="V22" s="53"/>
      <c r="W22" s="53"/>
      <c r="X22" s="53"/>
      <c r="Y22" s="53"/>
      <c r="Z22" s="53"/>
      <c r="AA22" s="53"/>
      <c r="AB22" s="64" t="s">
        <v>57</v>
      </c>
      <c r="AC22" s="65" t="s">
        <v>57</v>
      </c>
      <c r="AD22" s="53"/>
      <c r="AE22" s="53"/>
      <c r="AF22" s="53"/>
      <c r="AG22" s="53"/>
      <c r="AH22" s="53"/>
      <c r="AI22" s="53"/>
      <c r="AJ22" s="53"/>
      <c r="AK22" s="53"/>
      <c r="AL22" s="53"/>
      <c r="AM22" s="53"/>
      <c r="AN22" s="53"/>
      <c r="AO22" s="53"/>
      <c r="AP22" s="53"/>
      <c r="AQ22" s="53"/>
      <c r="AR22" s="53"/>
      <c r="AS22" s="53"/>
      <c r="AT22" s="53"/>
      <c r="AU22" s="53"/>
      <c r="AV22" s="53"/>
      <c r="AW22" s="53"/>
      <c r="AX22" s="53"/>
      <c r="AY22" s="53"/>
      <c r="AZ22" s="53"/>
      <c r="BA22" s="53"/>
      <c r="BB22" s="53"/>
      <c r="BC22" s="53"/>
      <c r="BD22" s="53"/>
      <c r="BE22" s="53"/>
      <c r="BF22" s="53"/>
      <c r="BG22" s="53"/>
      <c r="BH22" s="53"/>
      <c r="BI22" s="53"/>
      <c r="BJ22" s="53"/>
      <c r="BK22" s="53"/>
      <c r="BL22" s="53"/>
      <c r="BM22" s="53"/>
      <c r="BN22" s="53"/>
      <c r="BO22" s="53"/>
      <c r="BP22" s="53"/>
      <c r="BQ22" s="54"/>
    </row>
    <row r="23" spans="1:69" ht="42" customHeight="1">
      <c r="A23" s="20" t="s">
        <v>206</v>
      </c>
      <c r="B23" s="30" t="s">
        <v>61</v>
      </c>
      <c r="C23" s="22" t="s">
        <v>207</v>
      </c>
      <c r="D23" s="22" t="s">
        <v>208</v>
      </c>
      <c r="E23" s="22" t="s">
        <v>203</v>
      </c>
      <c r="F23" s="47">
        <v>10</v>
      </c>
      <c r="G23" s="47">
        <v>12</v>
      </c>
      <c r="H23" s="47">
        <v>13</v>
      </c>
      <c r="I23" s="47">
        <f t="shared" si="0"/>
        <v>2</v>
      </c>
      <c r="J23" s="48">
        <f t="shared" si="1"/>
        <v>46279</v>
      </c>
      <c r="K23" s="48">
        <f t="shared" si="2"/>
        <v>46292</v>
      </c>
      <c r="L23" s="47" t="s">
        <v>166</v>
      </c>
      <c r="M23" s="49">
        <v>0</v>
      </c>
      <c r="N23" s="47"/>
      <c r="O23" s="47" t="str">
        <f t="shared" si="3"/>
        <v/>
      </c>
      <c r="P23" s="47">
        <f t="shared" si="4"/>
        <v>10</v>
      </c>
      <c r="Q23" s="25"/>
      <c r="R23" s="57"/>
      <c r="S23" s="53"/>
      <c r="T23" s="53"/>
      <c r="U23" s="53"/>
      <c r="V23" s="53"/>
      <c r="W23" s="53"/>
      <c r="X23" s="53"/>
      <c r="Y23" s="53"/>
      <c r="Z23" s="53"/>
      <c r="AA23" s="53"/>
      <c r="AB23" s="53"/>
      <c r="AC23" s="64" t="s">
        <v>57</v>
      </c>
      <c r="AD23" s="65" t="s">
        <v>57</v>
      </c>
      <c r="AE23" s="53"/>
      <c r="AF23" s="53"/>
      <c r="AG23" s="53"/>
      <c r="AH23" s="53"/>
      <c r="AI23" s="53"/>
      <c r="AJ23" s="53"/>
      <c r="AK23" s="53"/>
      <c r="AL23" s="53"/>
      <c r="AM23" s="53"/>
      <c r="AN23" s="53"/>
      <c r="AO23" s="53"/>
      <c r="AP23" s="53"/>
      <c r="AQ23" s="53"/>
      <c r="AR23" s="53"/>
      <c r="AS23" s="53"/>
      <c r="AT23" s="53"/>
      <c r="AU23" s="53"/>
      <c r="AV23" s="53"/>
      <c r="AW23" s="53"/>
      <c r="AX23" s="53"/>
      <c r="AY23" s="53"/>
      <c r="AZ23" s="53"/>
      <c r="BA23" s="53"/>
      <c r="BB23" s="53"/>
      <c r="BC23" s="53"/>
      <c r="BD23" s="53"/>
      <c r="BE23" s="53"/>
      <c r="BF23" s="53"/>
      <c r="BG23" s="53"/>
      <c r="BH23" s="53"/>
      <c r="BI23" s="53"/>
      <c r="BJ23" s="53"/>
      <c r="BK23" s="53"/>
      <c r="BL23" s="53"/>
      <c r="BM23" s="53"/>
      <c r="BN23" s="53"/>
      <c r="BO23" s="53"/>
      <c r="BP23" s="53"/>
      <c r="BQ23" s="54"/>
    </row>
    <row r="24" spans="1:69" ht="42" customHeight="1">
      <c r="A24" s="20" t="s">
        <v>209</v>
      </c>
      <c r="B24" s="30" t="s">
        <v>61</v>
      </c>
      <c r="C24" s="22" t="s">
        <v>210</v>
      </c>
      <c r="D24" s="22" t="s">
        <v>211</v>
      </c>
      <c r="E24" s="22" t="s">
        <v>203</v>
      </c>
      <c r="F24" s="47">
        <v>10</v>
      </c>
      <c r="G24" s="47">
        <v>13</v>
      </c>
      <c r="H24" s="47">
        <v>14</v>
      </c>
      <c r="I24" s="47">
        <f t="shared" si="0"/>
        <v>2</v>
      </c>
      <c r="J24" s="48">
        <f t="shared" si="1"/>
        <v>46286</v>
      </c>
      <c r="K24" s="48">
        <f t="shared" si="2"/>
        <v>46299</v>
      </c>
      <c r="L24" s="47" t="s">
        <v>166</v>
      </c>
      <c r="M24" s="49">
        <v>0</v>
      </c>
      <c r="N24" s="47"/>
      <c r="O24" s="47" t="str">
        <f t="shared" si="3"/>
        <v/>
      </c>
      <c r="P24" s="47">
        <f t="shared" si="4"/>
        <v>10</v>
      </c>
      <c r="Q24" s="25"/>
      <c r="R24" s="57"/>
      <c r="S24" s="53"/>
      <c r="T24" s="53"/>
      <c r="U24" s="53"/>
      <c r="V24" s="53"/>
      <c r="W24" s="53"/>
      <c r="X24" s="53"/>
      <c r="Y24" s="53"/>
      <c r="Z24" s="53"/>
      <c r="AA24" s="53"/>
      <c r="AB24" s="53"/>
      <c r="AC24" s="53"/>
      <c r="AD24" s="64" t="s">
        <v>57</v>
      </c>
      <c r="AE24" s="65" t="s">
        <v>57</v>
      </c>
      <c r="AF24" s="53"/>
      <c r="AG24" s="53"/>
      <c r="AH24" s="53"/>
      <c r="AI24" s="53"/>
      <c r="AJ24" s="53"/>
      <c r="AK24" s="53"/>
      <c r="AL24" s="53"/>
      <c r="AM24" s="53"/>
      <c r="AN24" s="53"/>
      <c r="AO24" s="53"/>
      <c r="AP24" s="53"/>
      <c r="AQ24" s="53"/>
      <c r="AR24" s="53"/>
      <c r="AS24" s="53"/>
      <c r="AT24" s="53"/>
      <c r="AU24" s="53"/>
      <c r="AV24" s="53"/>
      <c r="AW24" s="53"/>
      <c r="AX24" s="53"/>
      <c r="AY24" s="53"/>
      <c r="AZ24" s="53"/>
      <c r="BA24" s="53"/>
      <c r="BB24" s="53"/>
      <c r="BC24" s="53"/>
      <c r="BD24" s="53"/>
      <c r="BE24" s="53"/>
      <c r="BF24" s="53"/>
      <c r="BG24" s="53"/>
      <c r="BH24" s="53"/>
      <c r="BI24" s="53"/>
      <c r="BJ24" s="53"/>
      <c r="BK24" s="53"/>
      <c r="BL24" s="53"/>
      <c r="BM24" s="53"/>
      <c r="BN24" s="53"/>
      <c r="BO24" s="53"/>
      <c r="BP24" s="53"/>
      <c r="BQ24" s="54"/>
    </row>
    <row r="25" spans="1:69" ht="42" customHeight="1">
      <c r="A25" s="20" t="s">
        <v>212</v>
      </c>
      <c r="B25" s="30" t="s">
        <v>61</v>
      </c>
      <c r="C25" s="22" t="s">
        <v>213</v>
      </c>
      <c r="D25" s="22" t="s">
        <v>214</v>
      </c>
      <c r="E25" s="22" t="s">
        <v>206</v>
      </c>
      <c r="F25" s="47">
        <v>8</v>
      </c>
      <c r="G25" s="47">
        <v>14</v>
      </c>
      <c r="H25" s="47">
        <v>15</v>
      </c>
      <c r="I25" s="47">
        <f t="shared" si="0"/>
        <v>2</v>
      </c>
      <c r="J25" s="48">
        <f t="shared" si="1"/>
        <v>46293</v>
      </c>
      <c r="K25" s="48">
        <f t="shared" si="2"/>
        <v>46306</v>
      </c>
      <c r="L25" s="47" t="s">
        <v>166</v>
      </c>
      <c r="M25" s="49">
        <v>0</v>
      </c>
      <c r="N25" s="47"/>
      <c r="O25" s="47" t="str">
        <f t="shared" si="3"/>
        <v/>
      </c>
      <c r="P25" s="47">
        <f t="shared" si="4"/>
        <v>8</v>
      </c>
      <c r="Q25" s="25"/>
      <c r="R25" s="57"/>
      <c r="S25" s="53"/>
      <c r="T25" s="53"/>
      <c r="U25" s="53"/>
      <c r="V25" s="53"/>
      <c r="W25" s="53"/>
      <c r="X25" s="53"/>
      <c r="Y25" s="53"/>
      <c r="Z25" s="53"/>
      <c r="AA25" s="53"/>
      <c r="AB25" s="53"/>
      <c r="AC25" s="53"/>
      <c r="AD25" s="53"/>
      <c r="AE25" s="64" t="s">
        <v>57</v>
      </c>
      <c r="AF25" s="65" t="s">
        <v>57</v>
      </c>
      <c r="AG25" s="53"/>
      <c r="AH25" s="53"/>
      <c r="AI25" s="53"/>
      <c r="AJ25" s="53"/>
      <c r="AK25" s="53"/>
      <c r="AL25" s="53"/>
      <c r="AM25" s="53"/>
      <c r="AN25" s="53"/>
      <c r="AO25" s="53"/>
      <c r="AP25" s="53"/>
      <c r="AQ25" s="53"/>
      <c r="AR25" s="53"/>
      <c r="AS25" s="53"/>
      <c r="AT25" s="53"/>
      <c r="AU25" s="53"/>
      <c r="AV25" s="53"/>
      <c r="AW25" s="53"/>
      <c r="AX25" s="53"/>
      <c r="AY25" s="53"/>
      <c r="AZ25" s="53"/>
      <c r="BA25" s="53"/>
      <c r="BB25" s="53"/>
      <c r="BC25" s="53"/>
      <c r="BD25" s="53"/>
      <c r="BE25" s="53"/>
      <c r="BF25" s="53"/>
      <c r="BG25" s="53"/>
      <c r="BH25" s="53"/>
      <c r="BI25" s="53"/>
      <c r="BJ25" s="53"/>
      <c r="BK25" s="53"/>
      <c r="BL25" s="53"/>
      <c r="BM25" s="53"/>
      <c r="BN25" s="53"/>
      <c r="BO25" s="53"/>
      <c r="BP25" s="53"/>
      <c r="BQ25" s="54"/>
    </row>
    <row r="26" spans="1:69" ht="42" customHeight="1">
      <c r="A26" s="20" t="s">
        <v>215</v>
      </c>
      <c r="B26" s="30" t="s">
        <v>61</v>
      </c>
      <c r="C26" s="22" t="s">
        <v>216</v>
      </c>
      <c r="D26" s="22" t="s">
        <v>217</v>
      </c>
      <c r="E26" s="22" t="s">
        <v>209</v>
      </c>
      <c r="F26" s="47">
        <v>4</v>
      </c>
      <c r="G26" s="47">
        <v>15</v>
      </c>
      <c r="H26" s="47">
        <v>15</v>
      </c>
      <c r="I26" s="47">
        <f t="shared" si="0"/>
        <v>1</v>
      </c>
      <c r="J26" s="48">
        <f t="shared" si="1"/>
        <v>46300</v>
      </c>
      <c r="K26" s="48">
        <f t="shared" si="2"/>
        <v>46306</v>
      </c>
      <c r="L26" s="47" t="s">
        <v>166</v>
      </c>
      <c r="M26" s="49">
        <v>0</v>
      </c>
      <c r="N26" s="47"/>
      <c r="O26" s="47" t="str">
        <f t="shared" si="3"/>
        <v/>
      </c>
      <c r="P26" s="47">
        <f t="shared" si="4"/>
        <v>4</v>
      </c>
      <c r="Q26" s="25"/>
      <c r="R26" s="57"/>
      <c r="S26" s="53"/>
      <c r="T26" s="53"/>
      <c r="U26" s="53"/>
      <c r="V26" s="53"/>
      <c r="W26" s="53"/>
      <c r="X26" s="53"/>
      <c r="Y26" s="53"/>
      <c r="Z26" s="53"/>
      <c r="AA26" s="53"/>
      <c r="AB26" s="53"/>
      <c r="AC26" s="53"/>
      <c r="AD26" s="53"/>
      <c r="AE26" s="53"/>
      <c r="AF26" s="63" t="s">
        <v>57</v>
      </c>
      <c r="AG26" s="53"/>
      <c r="AH26" s="53"/>
      <c r="AI26" s="53"/>
      <c r="AJ26" s="53"/>
      <c r="AK26" s="53"/>
      <c r="AL26" s="53"/>
      <c r="AM26" s="53"/>
      <c r="AN26" s="53"/>
      <c r="AO26" s="53"/>
      <c r="AP26" s="53"/>
      <c r="AQ26" s="53"/>
      <c r="AR26" s="53"/>
      <c r="AS26" s="53"/>
      <c r="AT26" s="53"/>
      <c r="AU26" s="53"/>
      <c r="AV26" s="53"/>
      <c r="AW26" s="53"/>
      <c r="AX26" s="53"/>
      <c r="AY26" s="53"/>
      <c r="AZ26" s="53"/>
      <c r="BA26" s="53"/>
      <c r="BB26" s="53"/>
      <c r="BC26" s="53"/>
      <c r="BD26" s="53"/>
      <c r="BE26" s="53"/>
      <c r="BF26" s="53"/>
      <c r="BG26" s="53"/>
      <c r="BH26" s="53"/>
      <c r="BI26" s="53"/>
      <c r="BJ26" s="53"/>
      <c r="BK26" s="53"/>
      <c r="BL26" s="53"/>
      <c r="BM26" s="53"/>
      <c r="BN26" s="53"/>
      <c r="BO26" s="53"/>
      <c r="BP26" s="53"/>
      <c r="BQ26" s="54"/>
    </row>
    <row r="27" spans="1:69" ht="42" customHeight="1">
      <c r="A27" s="20" t="s">
        <v>218</v>
      </c>
      <c r="B27" s="30" t="s">
        <v>61</v>
      </c>
      <c r="C27" s="22" t="s">
        <v>219</v>
      </c>
      <c r="D27" s="22" t="s">
        <v>220</v>
      </c>
      <c r="E27" s="22" t="s">
        <v>212</v>
      </c>
      <c r="F27" s="47">
        <v>4</v>
      </c>
      <c r="G27" s="47">
        <v>16</v>
      </c>
      <c r="H27" s="47">
        <v>16</v>
      </c>
      <c r="I27" s="47">
        <f t="shared" si="0"/>
        <v>1</v>
      </c>
      <c r="J27" s="48">
        <f t="shared" si="1"/>
        <v>46307</v>
      </c>
      <c r="K27" s="48">
        <f t="shared" si="2"/>
        <v>46313</v>
      </c>
      <c r="L27" s="47" t="s">
        <v>166</v>
      </c>
      <c r="M27" s="49">
        <v>0</v>
      </c>
      <c r="N27" s="47"/>
      <c r="O27" s="47" t="str">
        <f t="shared" si="3"/>
        <v/>
      </c>
      <c r="P27" s="47">
        <f t="shared" si="4"/>
        <v>4</v>
      </c>
      <c r="Q27" s="25"/>
      <c r="R27" s="57"/>
      <c r="S27" s="53"/>
      <c r="T27" s="53"/>
      <c r="U27" s="53"/>
      <c r="V27" s="53"/>
      <c r="W27" s="53"/>
      <c r="X27" s="53"/>
      <c r="Y27" s="53"/>
      <c r="Z27" s="53"/>
      <c r="AA27" s="53"/>
      <c r="AB27" s="53"/>
      <c r="AC27" s="53"/>
      <c r="AD27" s="53"/>
      <c r="AE27" s="53"/>
      <c r="AF27" s="53"/>
      <c r="AG27" s="63" t="s">
        <v>57</v>
      </c>
      <c r="AH27" s="53"/>
      <c r="AI27" s="53"/>
      <c r="AJ27" s="53"/>
      <c r="AK27" s="53"/>
      <c r="AL27" s="53"/>
      <c r="AM27" s="53"/>
      <c r="AN27" s="53"/>
      <c r="AO27" s="53"/>
      <c r="AP27" s="53"/>
      <c r="AQ27" s="53"/>
      <c r="AR27" s="53"/>
      <c r="AS27" s="53"/>
      <c r="AT27" s="53"/>
      <c r="AU27" s="53"/>
      <c r="AV27" s="53"/>
      <c r="AW27" s="53"/>
      <c r="AX27" s="53"/>
      <c r="AY27" s="53"/>
      <c r="AZ27" s="53"/>
      <c r="BA27" s="53"/>
      <c r="BB27" s="53"/>
      <c r="BC27" s="53"/>
      <c r="BD27" s="53"/>
      <c r="BE27" s="53"/>
      <c r="BF27" s="53"/>
      <c r="BG27" s="53"/>
      <c r="BH27" s="53"/>
      <c r="BI27" s="53"/>
      <c r="BJ27" s="53"/>
      <c r="BK27" s="53"/>
      <c r="BL27" s="53"/>
      <c r="BM27" s="53"/>
      <c r="BN27" s="53"/>
      <c r="BO27" s="53"/>
      <c r="BP27" s="53"/>
      <c r="BQ27" s="54"/>
    </row>
    <row r="28" spans="1:69" ht="42" customHeight="1">
      <c r="A28" s="20" t="s">
        <v>221</v>
      </c>
      <c r="B28" s="32" t="s">
        <v>64</v>
      </c>
      <c r="C28" s="22" t="s">
        <v>222</v>
      </c>
      <c r="D28" s="22" t="s">
        <v>223</v>
      </c>
      <c r="E28" s="22" t="s">
        <v>218</v>
      </c>
      <c r="F28" s="47">
        <v>18</v>
      </c>
      <c r="G28" s="47">
        <v>17</v>
      </c>
      <c r="H28" s="47">
        <v>18</v>
      </c>
      <c r="I28" s="47">
        <f t="shared" si="0"/>
        <v>2</v>
      </c>
      <c r="J28" s="48">
        <f t="shared" si="1"/>
        <v>46314</v>
      </c>
      <c r="K28" s="48">
        <f t="shared" si="2"/>
        <v>46327</v>
      </c>
      <c r="L28" s="47" t="s">
        <v>166</v>
      </c>
      <c r="M28" s="49">
        <v>0</v>
      </c>
      <c r="N28" s="47"/>
      <c r="O28" s="47" t="str">
        <f t="shared" si="3"/>
        <v/>
      </c>
      <c r="P28" s="47">
        <f t="shared" si="4"/>
        <v>18</v>
      </c>
      <c r="Q28" s="25"/>
      <c r="R28" s="57"/>
      <c r="S28" s="53"/>
      <c r="T28" s="53"/>
      <c r="U28" s="53"/>
      <c r="V28" s="53"/>
      <c r="W28" s="53"/>
      <c r="X28" s="53"/>
      <c r="Y28" s="53"/>
      <c r="Z28" s="53"/>
      <c r="AA28" s="53"/>
      <c r="AB28" s="53"/>
      <c r="AC28" s="53"/>
      <c r="AD28" s="53"/>
      <c r="AE28" s="53"/>
      <c r="AF28" s="53"/>
      <c r="AG28" s="53"/>
      <c r="AH28" s="66" t="s">
        <v>57</v>
      </c>
      <c r="AI28" s="67" t="s">
        <v>57</v>
      </c>
      <c r="AJ28" s="53"/>
      <c r="AK28" s="53"/>
      <c r="AL28" s="53"/>
      <c r="AM28" s="53"/>
      <c r="AN28" s="53"/>
      <c r="AO28" s="53"/>
      <c r="AP28" s="53"/>
      <c r="AQ28" s="53"/>
      <c r="AR28" s="53"/>
      <c r="AS28" s="53"/>
      <c r="AT28" s="53"/>
      <c r="AU28" s="53"/>
      <c r="AV28" s="53"/>
      <c r="AW28" s="53"/>
      <c r="AX28" s="53"/>
      <c r="AY28" s="53"/>
      <c r="AZ28" s="53"/>
      <c r="BA28" s="53"/>
      <c r="BB28" s="53"/>
      <c r="BC28" s="53"/>
      <c r="BD28" s="53"/>
      <c r="BE28" s="53"/>
      <c r="BF28" s="53"/>
      <c r="BG28" s="53"/>
      <c r="BH28" s="53"/>
      <c r="BI28" s="53"/>
      <c r="BJ28" s="53"/>
      <c r="BK28" s="53"/>
      <c r="BL28" s="53"/>
      <c r="BM28" s="53"/>
      <c r="BN28" s="53"/>
      <c r="BO28" s="53"/>
      <c r="BP28" s="53"/>
      <c r="BQ28" s="54"/>
    </row>
    <row r="29" spans="1:69" ht="42" customHeight="1">
      <c r="A29" s="20" t="s">
        <v>224</v>
      </c>
      <c r="B29" s="32" t="s">
        <v>64</v>
      </c>
      <c r="C29" s="22" t="s">
        <v>225</v>
      </c>
      <c r="D29" s="22" t="s">
        <v>226</v>
      </c>
      <c r="E29" s="22" t="s">
        <v>221</v>
      </c>
      <c r="F29" s="47">
        <v>12</v>
      </c>
      <c r="G29" s="47">
        <v>18</v>
      </c>
      <c r="H29" s="47">
        <v>19</v>
      </c>
      <c r="I29" s="47">
        <f t="shared" si="0"/>
        <v>2</v>
      </c>
      <c r="J29" s="48">
        <f t="shared" si="1"/>
        <v>46321</v>
      </c>
      <c r="K29" s="48">
        <f t="shared" si="2"/>
        <v>46334</v>
      </c>
      <c r="L29" s="47" t="s">
        <v>166</v>
      </c>
      <c r="M29" s="49">
        <v>0</v>
      </c>
      <c r="N29" s="47"/>
      <c r="O29" s="47" t="str">
        <f t="shared" si="3"/>
        <v/>
      </c>
      <c r="P29" s="47">
        <f t="shared" si="4"/>
        <v>12</v>
      </c>
      <c r="Q29" s="25"/>
      <c r="R29" s="57"/>
      <c r="S29" s="53"/>
      <c r="T29" s="53"/>
      <c r="U29" s="53"/>
      <c r="V29" s="53"/>
      <c r="W29" s="53"/>
      <c r="X29" s="53"/>
      <c r="Y29" s="53"/>
      <c r="Z29" s="53"/>
      <c r="AA29" s="53"/>
      <c r="AB29" s="53"/>
      <c r="AC29" s="53"/>
      <c r="AD29" s="53"/>
      <c r="AE29" s="53"/>
      <c r="AF29" s="53"/>
      <c r="AG29" s="53"/>
      <c r="AH29" s="53"/>
      <c r="AI29" s="66" t="s">
        <v>57</v>
      </c>
      <c r="AJ29" s="67" t="s">
        <v>57</v>
      </c>
      <c r="AK29" s="53"/>
      <c r="AL29" s="53"/>
      <c r="AM29" s="53"/>
      <c r="AN29" s="53"/>
      <c r="AO29" s="53"/>
      <c r="AP29" s="53"/>
      <c r="AQ29" s="53"/>
      <c r="AR29" s="53"/>
      <c r="AS29" s="53"/>
      <c r="AT29" s="53"/>
      <c r="AU29" s="53"/>
      <c r="AV29" s="53"/>
      <c r="AW29" s="53"/>
      <c r="AX29" s="53"/>
      <c r="AY29" s="53"/>
      <c r="AZ29" s="53"/>
      <c r="BA29" s="53"/>
      <c r="BB29" s="53"/>
      <c r="BC29" s="53"/>
      <c r="BD29" s="53"/>
      <c r="BE29" s="53"/>
      <c r="BF29" s="53"/>
      <c r="BG29" s="53"/>
      <c r="BH29" s="53"/>
      <c r="BI29" s="53"/>
      <c r="BJ29" s="53"/>
      <c r="BK29" s="53"/>
      <c r="BL29" s="53"/>
      <c r="BM29" s="53"/>
      <c r="BN29" s="53"/>
      <c r="BO29" s="53"/>
      <c r="BP29" s="53"/>
      <c r="BQ29" s="54"/>
    </row>
    <row r="30" spans="1:69" ht="42" customHeight="1">
      <c r="A30" s="20" t="s">
        <v>227</v>
      </c>
      <c r="B30" s="32" t="s">
        <v>64</v>
      </c>
      <c r="C30" s="22" t="s">
        <v>228</v>
      </c>
      <c r="D30" s="22" t="s">
        <v>229</v>
      </c>
      <c r="E30" s="22" t="s">
        <v>224</v>
      </c>
      <c r="F30" s="47">
        <v>12</v>
      </c>
      <c r="G30" s="47">
        <v>19</v>
      </c>
      <c r="H30" s="47">
        <v>20</v>
      </c>
      <c r="I30" s="47">
        <f t="shared" si="0"/>
        <v>2</v>
      </c>
      <c r="J30" s="48">
        <f t="shared" si="1"/>
        <v>46328</v>
      </c>
      <c r="K30" s="48">
        <f t="shared" si="2"/>
        <v>46341</v>
      </c>
      <c r="L30" s="47" t="s">
        <v>166</v>
      </c>
      <c r="M30" s="49">
        <v>0</v>
      </c>
      <c r="N30" s="47"/>
      <c r="O30" s="47" t="str">
        <f t="shared" si="3"/>
        <v/>
      </c>
      <c r="P30" s="47">
        <f t="shared" si="4"/>
        <v>12</v>
      </c>
      <c r="Q30" s="25"/>
      <c r="R30" s="57"/>
      <c r="S30" s="53"/>
      <c r="T30" s="53"/>
      <c r="U30" s="53"/>
      <c r="V30" s="53"/>
      <c r="W30" s="53"/>
      <c r="X30" s="53"/>
      <c r="Y30" s="53"/>
      <c r="Z30" s="53"/>
      <c r="AA30" s="53"/>
      <c r="AB30" s="53"/>
      <c r="AC30" s="53"/>
      <c r="AD30" s="53"/>
      <c r="AE30" s="53"/>
      <c r="AF30" s="53"/>
      <c r="AG30" s="53"/>
      <c r="AH30" s="53"/>
      <c r="AI30" s="53"/>
      <c r="AJ30" s="66" t="s">
        <v>57</v>
      </c>
      <c r="AK30" s="67" t="s">
        <v>57</v>
      </c>
      <c r="AL30" s="53"/>
      <c r="AM30" s="53"/>
      <c r="AN30" s="53"/>
      <c r="AO30" s="53"/>
      <c r="AP30" s="53"/>
      <c r="AQ30" s="53"/>
      <c r="AR30" s="53"/>
      <c r="AS30" s="53"/>
      <c r="AT30" s="53"/>
      <c r="AU30" s="53"/>
      <c r="AV30" s="53"/>
      <c r="AW30" s="53"/>
      <c r="AX30" s="53"/>
      <c r="AY30" s="53"/>
      <c r="AZ30" s="53"/>
      <c r="BA30" s="53"/>
      <c r="BB30" s="53"/>
      <c r="BC30" s="53"/>
      <c r="BD30" s="53"/>
      <c r="BE30" s="53"/>
      <c r="BF30" s="53"/>
      <c r="BG30" s="53"/>
      <c r="BH30" s="53"/>
      <c r="BI30" s="53"/>
      <c r="BJ30" s="53"/>
      <c r="BK30" s="53"/>
      <c r="BL30" s="53"/>
      <c r="BM30" s="53"/>
      <c r="BN30" s="53"/>
      <c r="BO30" s="53"/>
      <c r="BP30" s="53"/>
      <c r="BQ30" s="54"/>
    </row>
    <row r="31" spans="1:69" ht="42" customHeight="1">
      <c r="A31" s="20" t="s">
        <v>230</v>
      </c>
      <c r="B31" s="32" t="s">
        <v>64</v>
      </c>
      <c r="C31" s="22" t="s">
        <v>231</v>
      </c>
      <c r="D31" s="22" t="s">
        <v>232</v>
      </c>
      <c r="E31" s="22" t="s">
        <v>227</v>
      </c>
      <c r="F31" s="47">
        <v>8</v>
      </c>
      <c r="G31" s="47">
        <v>20</v>
      </c>
      <c r="H31" s="47">
        <v>20</v>
      </c>
      <c r="I31" s="47">
        <f t="shared" si="0"/>
        <v>1</v>
      </c>
      <c r="J31" s="48">
        <f t="shared" si="1"/>
        <v>46335</v>
      </c>
      <c r="K31" s="48">
        <f t="shared" si="2"/>
        <v>46341</v>
      </c>
      <c r="L31" s="47" t="s">
        <v>166</v>
      </c>
      <c r="M31" s="49">
        <v>0</v>
      </c>
      <c r="N31" s="47"/>
      <c r="O31" s="47" t="str">
        <f t="shared" si="3"/>
        <v/>
      </c>
      <c r="P31" s="47">
        <f t="shared" si="4"/>
        <v>8</v>
      </c>
      <c r="Q31" s="25"/>
      <c r="R31" s="57"/>
      <c r="S31" s="53"/>
      <c r="T31" s="53"/>
      <c r="U31" s="53"/>
      <c r="V31" s="53"/>
      <c r="W31" s="53"/>
      <c r="X31" s="53"/>
      <c r="Y31" s="53"/>
      <c r="Z31" s="53"/>
      <c r="AA31" s="53"/>
      <c r="AB31" s="53"/>
      <c r="AC31" s="53"/>
      <c r="AD31" s="53"/>
      <c r="AE31" s="53"/>
      <c r="AF31" s="53"/>
      <c r="AG31" s="53"/>
      <c r="AH31" s="53"/>
      <c r="AI31" s="53"/>
      <c r="AJ31" s="53"/>
      <c r="AK31" s="68" t="s">
        <v>57</v>
      </c>
      <c r="AL31" s="53"/>
      <c r="AM31" s="53"/>
      <c r="AN31" s="53"/>
      <c r="AO31" s="53"/>
      <c r="AP31" s="53"/>
      <c r="AQ31" s="53"/>
      <c r="AR31" s="53"/>
      <c r="AS31" s="53"/>
      <c r="AT31" s="53"/>
      <c r="AU31" s="53"/>
      <c r="AV31" s="53"/>
      <c r="AW31" s="53"/>
      <c r="AX31" s="53"/>
      <c r="AY31" s="53"/>
      <c r="AZ31" s="53"/>
      <c r="BA31" s="53"/>
      <c r="BB31" s="53"/>
      <c r="BC31" s="53"/>
      <c r="BD31" s="53"/>
      <c r="BE31" s="53"/>
      <c r="BF31" s="53"/>
      <c r="BG31" s="53"/>
      <c r="BH31" s="53"/>
      <c r="BI31" s="53"/>
      <c r="BJ31" s="53"/>
      <c r="BK31" s="53"/>
      <c r="BL31" s="53"/>
      <c r="BM31" s="53"/>
      <c r="BN31" s="53"/>
      <c r="BO31" s="53"/>
      <c r="BP31" s="53"/>
      <c r="BQ31" s="54"/>
    </row>
    <row r="32" spans="1:69" ht="42" customHeight="1">
      <c r="A32" s="20" t="s">
        <v>233</v>
      </c>
      <c r="B32" s="32" t="s">
        <v>64</v>
      </c>
      <c r="C32" s="22" t="s">
        <v>234</v>
      </c>
      <c r="D32" s="22" t="s">
        <v>235</v>
      </c>
      <c r="E32" s="22" t="s">
        <v>230</v>
      </c>
      <c r="F32" s="47">
        <v>10</v>
      </c>
      <c r="G32" s="47">
        <v>21</v>
      </c>
      <c r="H32" s="47">
        <v>21</v>
      </c>
      <c r="I32" s="47">
        <f t="shared" si="0"/>
        <v>1</v>
      </c>
      <c r="J32" s="48">
        <f t="shared" si="1"/>
        <v>46342</v>
      </c>
      <c r="K32" s="48">
        <f t="shared" si="2"/>
        <v>46348</v>
      </c>
      <c r="L32" s="47" t="s">
        <v>166</v>
      </c>
      <c r="M32" s="49">
        <v>0</v>
      </c>
      <c r="N32" s="47"/>
      <c r="O32" s="47" t="str">
        <f t="shared" si="3"/>
        <v/>
      </c>
      <c r="P32" s="47">
        <f t="shared" si="4"/>
        <v>10</v>
      </c>
      <c r="Q32" s="25"/>
      <c r="R32" s="57"/>
      <c r="S32" s="53"/>
      <c r="T32" s="53"/>
      <c r="U32" s="53"/>
      <c r="V32" s="53"/>
      <c r="W32" s="53"/>
      <c r="X32" s="53"/>
      <c r="Y32" s="53"/>
      <c r="Z32" s="53"/>
      <c r="AA32" s="53"/>
      <c r="AB32" s="53"/>
      <c r="AC32" s="53"/>
      <c r="AD32" s="53"/>
      <c r="AE32" s="53"/>
      <c r="AF32" s="53"/>
      <c r="AG32" s="53"/>
      <c r="AH32" s="53"/>
      <c r="AI32" s="53"/>
      <c r="AJ32" s="53"/>
      <c r="AK32" s="53"/>
      <c r="AL32" s="68" t="s">
        <v>57</v>
      </c>
      <c r="AM32" s="53"/>
      <c r="AN32" s="53"/>
      <c r="AO32" s="53"/>
      <c r="AP32" s="53"/>
      <c r="AQ32" s="53"/>
      <c r="AR32" s="53"/>
      <c r="AS32" s="53"/>
      <c r="AT32" s="53"/>
      <c r="AU32" s="53"/>
      <c r="AV32" s="53"/>
      <c r="AW32" s="53"/>
      <c r="AX32" s="53"/>
      <c r="AY32" s="53"/>
      <c r="AZ32" s="53"/>
      <c r="BA32" s="53"/>
      <c r="BB32" s="53"/>
      <c r="BC32" s="53"/>
      <c r="BD32" s="53"/>
      <c r="BE32" s="53"/>
      <c r="BF32" s="53"/>
      <c r="BG32" s="53"/>
      <c r="BH32" s="53"/>
      <c r="BI32" s="53"/>
      <c r="BJ32" s="53"/>
      <c r="BK32" s="53"/>
      <c r="BL32" s="53"/>
      <c r="BM32" s="53"/>
      <c r="BN32" s="53"/>
      <c r="BO32" s="53"/>
      <c r="BP32" s="53"/>
      <c r="BQ32" s="54"/>
    </row>
    <row r="33" spans="1:69" ht="42" customHeight="1">
      <c r="A33" s="20" t="s">
        <v>236</v>
      </c>
      <c r="B33" s="32" t="s">
        <v>64</v>
      </c>
      <c r="C33" s="22" t="s">
        <v>237</v>
      </c>
      <c r="D33" s="22" t="s">
        <v>238</v>
      </c>
      <c r="E33" s="22" t="s">
        <v>233</v>
      </c>
      <c r="F33" s="47">
        <v>10</v>
      </c>
      <c r="G33" s="47">
        <v>21</v>
      </c>
      <c r="H33" s="47">
        <v>22</v>
      </c>
      <c r="I33" s="47">
        <f t="shared" si="0"/>
        <v>2</v>
      </c>
      <c r="J33" s="48">
        <f t="shared" si="1"/>
        <v>46342</v>
      </c>
      <c r="K33" s="48">
        <f t="shared" si="2"/>
        <v>46355</v>
      </c>
      <c r="L33" s="47" t="s">
        <v>166</v>
      </c>
      <c r="M33" s="49">
        <v>0</v>
      </c>
      <c r="N33" s="47"/>
      <c r="O33" s="47" t="str">
        <f t="shared" si="3"/>
        <v/>
      </c>
      <c r="P33" s="47">
        <f t="shared" si="4"/>
        <v>10</v>
      </c>
      <c r="Q33" s="25"/>
      <c r="R33" s="57"/>
      <c r="S33" s="53"/>
      <c r="T33" s="53"/>
      <c r="U33" s="53"/>
      <c r="V33" s="53"/>
      <c r="W33" s="53"/>
      <c r="X33" s="53"/>
      <c r="Y33" s="53"/>
      <c r="Z33" s="53"/>
      <c r="AA33" s="53"/>
      <c r="AB33" s="53"/>
      <c r="AC33" s="53"/>
      <c r="AD33" s="53"/>
      <c r="AE33" s="53"/>
      <c r="AF33" s="53"/>
      <c r="AG33" s="53"/>
      <c r="AH33" s="53"/>
      <c r="AI33" s="53"/>
      <c r="AJ33" s="53"/>
      <c r="AK33" s="53"/>
      <c r="AL33" s="66" t="s">
        <v>57</v>
      </c>
      <c r="AM33" s="67" t="s">
        <v>57</v>
      </c>
      <c r="AN33" s="53"/>
      <c r="AO33" s="53"/>
      <c r="AP33" s="53"/>
      <c r="AQ33" s="53"/>
      <c r="AR33" s="53"/>
      <c r="AS33" s="53"/>
      <c r="AT33" s="53"/>
      <c r="AU33" s="53"/>
      <c r="AV33" s="53"/>
      <c r="AW33" s="53"/>
      <c r="AX33" s="53"/>
      <c r="AY33" s="53"/>
      <c r="AZ33" s="53"/>
      <c r="BA33" s="53"/>
      <c r="BB33" s="53"/>
      <c r="BC33" s="53"/>
      <c r="BD33" s="53"/>
      <c r="BE33" s="53"/>
      <c r="BF33" s="53"/>
      <c r="BG33" s="53"/>
      <c r="BH33" s="53"/>
      <c r="BI33" s="53"/>
      <c r="BJ33" s="53"/>
      <c r="BK33" s="53"/>
      <c r="BL33" s="53"/>
      <c r="BM33" s="53"/>
      <c r="BN33" s="53"/>
      <c r="BO33" s="53"/>
      <c r="BP33" s="53"/>
      <c r="BQ33" s="54"/>
    </row>
    <row r="34" spans="1:69" ht="42" customHeight="1">
      <c r="A34" s="20" t="s">
        <v>239</v>
      </c>
      <c r="B34" s="32" t="s">
        <v>64</v>
      </c>
      <c r="C34" s="22" t="s">
        <v>240</v>
      </c>
      <c r="D34" s="22" t="s">
        <v>241</v>
      </c>
      <c r="E34" s="22" t="s">
        <v>236</v>
      </c>
      <c r="F34" s="47">
        <v>10</v>
      </c>
      <c r="G34" s="47">
        <v>22</v>
      </c>
      <c r="H34" s="47">
        <v>23</v>
      </c>
      <c r="I34" s="47">
        <f t="shared" si="0"/>
        <v>2</v>
      </c>
      <c r="J34" s="48">
        <f t="shared" si="1"/>
        <v>46349</v>
      </c>
      <c r="K34" s="48">
        <f t="shared" si="2"/>
        <v>46362</v>
      </c>
      <c r="L34" s="47" t="s">
        <v>166</v>
      </c>
      <c r="M34" s="49">
        <v>0</v>
      </c>
      <c r="N34" s="47"/>
      <c r="O34" s="47" t="str">
        <f t="shared" si="3"/>
        <v/>
      </c>
      <c r="P34" s="47">
        <f t="shared" si="4"/>
        <v>10</v>
      </c>
      <c r="Q34" s="25"/>
      <c r="R34" s="57"/>
      <c r="S34" s="53"/>
      <c r="T34" s="53"/>
      <c r="U34" s="53"/>
      <c r="V34" s="53"/>
      <c r="W34" s="53"/>
      <c r="X34" s="53"/>
      <c r="Y34" s="53"/>
      <c r="Z34" s="53"/>
      <c r="AA34" s="53"/>
      <c r="AB34" s="53"/>
      <c r="AC34" s="53"/>
      <c r="AD34" s="53"/>
      <c r="AE34" s="53"/>
      <c r="AF34" s="53"/>
      <c r="AG34" s="53"/>
      <c r="AH34" s="53"/>
      <c r="AI34" s="53"/>
      <c r="AJ34" s="53"/>
      <c r="AK34" s="53"/>
      <c r="AL34" s="53"/>
      <c r="AM34" s="66" t="s">
        <v>57</v>
      </c>
      <c r="AN34" s="67" t="s">
        <v>57</v>
      </c>
      <c r="AO34" s="53"/>
      <c r="AP34" s="53"/>
      <c r="AQ34" s="53"/>
      <c r="AR34" s="53"/>
      <c r="AS34" s="53"/>
      <c r="AT34" s="53"/>
      <c r="AU34" s="53"/>
      <c r="AV34" s="53"/>
      <c r="AW34" s="53"/>
      <c r="AX34" s="53"/>
      <c r="AY34" s="53"/>
      <c r="AZ34" s="53"/>
      <c r="BA34" s="53"/>
      <c r="BB34" s="53"/>
      <c r="BC34" s="53"/>
      <c r="BD34" s="53"/>
      <c r="BE34" s="53"/>
      <c r="BF34" s="53"/>
      <c r="BG34" s="53"/>
      <c r="BH34" s="53"/>
      <c r="BI34" s="53"/>
      <c r="BJ34" s="53"/>
      <c r="BK34" s="53"/>
      <c r="BL34" s="53"/>
      <c r="BM34" s="53"/>
      <c r="BN34" s="53"/>
      <c r="BO34" s="53"/>
      <c r="BP34" s="53"/>
      <c r="BQ34" s="54"/>
    </row>
    <row r="35" spans="1:69" ht="42" customHeight="1">
      <c r="A35" s="20" t="s">
        <v>242</v>
      </c>
      <c r="B35" s="32" t="s">
        <v>64</v>
      </c>
      <c r="C35" s="22" t="s">
        <v>243</v>
      </c>
      <c r="D35" s="22" t="s">
        <v>244</v>
      </c>
      <c r="E35" s="22" t="s">
        <v>239</v>
      </c>
      <c r="F35" s="47">
        <v>8</v>
      </c>
      <c r="G35" s="47">
        <v>24</v>
      </c>
      <c r="H35" s="47">
        <v>24</v>
      </c>
      <c r="I35" s="47">
        <f t="shared" si="0"/>
        <v>1</v>
      </c>
      <c r="J35" s="48">
        <f t="shared" si="1"/>
        <v>46363</v>
      </c>
      <c r="K35" s="48">
        <f t="shared" si="2"/>
        <v>46369</v>
      </c>
      <c r="L35" s="47" t="s">
        <v>166</v>
      </c>
      <c r="M35" s="49">
        <v>0</v>
      </c>
      <c r="N35" s="47"/>
      <c r="O35" s="47" t="str">
        <f t="shared" si="3"/>
        <v/>
      </c>
      <c r="P35" s="47">
        <f t="shared" si="4"/>
        <v>8</v>
      </c>
      <c r="Q35" s="25"/>
      <c r="R35" s="57"/>
      <c r="S35" s="53"/>
      <c r="T35" s="53"/>
      <c r="U35" s="53"/>
      <c r="V35" s="53"/>
      <c r="W35" s="53"/>
      <c r="X35" s="53"/>
      <c r="Y35" s="53"/>
      <c r="Z35" s="53"/>
      <c r="AA35" s="53"/>
      <c r="AB35" s="53"/>
      <c r="AC35" s="53"/>
      <c r="AD35" s="53"/>
      <c r="AE35" s="53"/>
      <c r="AF35" s="53"/>
      <c r="AG35" s="53"/>
      <c r="AH35" s="53"/>
      <c r="AI35" s="53"/>
      <c r="AJ35" s="53"/>
      <c r="AK35" s="53"/>
      <c r="AL35" s="53"/>
      <c r="AM35" s="53"/>
      <c r="AN35" s="53"/>
      <c r="AO35" s="68" t="s">
        <v>57</v>
      </c>
      <c r="AP35" s="53"/>
      <c r="AQ35" s="53"/>
      <c r="AR35" s="53"/>
      <c r="AS35" s="53"/>
      <c r="AT35" s="53"/>
      <c r="AU35" s="53"/>
      <c r="AV35" s="53"/>
      <c r="AW35" s="53"/>
      <c r="AX35" s="53"/>
      <c r="AY35" s="53"/>
      <c r="AZ35" s="53"/>
      <c r="BA35" s="53"/>
      <c r="BB35" s="53"/>
      <c r="BC35" s="53"/>
      <c r="BD35" s="53"/>
      <c r="BE35" s="53"/>
      <c r="BF35" s="53"/>
      <c r="BG35" s="53"/>
      <c r="BH35" s="53"/>
      <c r="BI35" s="53"/>
      <c r="BJ35" s="53"/>
      <c r="BK35" s="53"/>
      <c r="BL35" s="53"/>
      <c r="BM35" s="53"/>
      <c r="BN35" s="53"/>
      <c r="BO35" s="53"/>
      <c r="BP35" s="53"/>
      <c r="BQ35" s="54"/>
    </row>
    <row r="36" spans="1:69" ht="42" customHeight="1">
      <c r="A36" s="20" t="s">
        <v>245</v>
      </c>
      <c r="B36" s="34" t="s">
        <v>67</v>
      </c>
      <c r="C36" s="22" t="s">
        <v>246</v>
      </c>
      <c r="D36" s="22" t="s">
        <v>247</v>
      </c>
      <c r="E36" s="22" t="s">
        <v>242</v>
      </c>
      <c r="F36" s="47">
        <v>8</v>
      </c>
      <c r="G36" s="47">
        <v>25</v>
      </c>
      <c r="H36" s="47">
        <v>25</v>
      </c>
      <c r="I36" s="47">
        <f t="shared" si="0"/>
        <v>1</v>
      </c>
      <c r="J36" s="48">
        <f t="shared" si="1"/>
        <v>46370</v>
      </c>
      <c r="K36" s="48">
        <f t="shared" si="2"/>
        <v>46376</v>
      </c>
      <c r="L36" s="47" t="s">
        <v>166</v>
      </c>
      <c r="M36" s="49">
        <v>0</v>
      </c>
      <c r="N36" s="47"/>
      <c r="O36" s="47" t="str">
        <f t="shared" si="3"/>
        <v/>
      </c>
      <c r="P36" s="47">
        <f t="shared" si="4"/>
        <v>8</v>
      </c>
      <c r="Q36" s="25"/>
      <c r="R36" s="57"/>
      <c r="S36" s="53"/>
      <c r="T36" s="53"/>
      <c r="U36" s="53"/>
      <c r="V36" s="53"/>
      <c r="W36" s="53"/>
      <c r="X36" s="53"/>
      <c r="Y36" s="53"/>
      <c r="Z36" s="53"/>
      <c r="AA36" s="53"/>
      <c r="AB36" s="53"/>
      <c r="AC36" s="53"/>
      <c r="AD36" s="53"/>
      <c r="AE36" s="53"/>
      <c r="AF36" s="53"/>
      <c r="AG36" s="53"/>
      <c r="AH36" s="53"/>
      <c r="AI36" s="53"/>
      <c r="AJ36" s="53"/>
      <c r="AK36" s="53"/>
      <c r="AL36" s="53"/>
      <c r="AM36" s="53"/>
      <c r="AN36" s="53"/>
      <c r="AO36" s="53"/>
      <c r="AP36" s="69" t="s">
        <v>57</v>
      </c>
      <c r="AQ36" s="53"/>
      <c r="AR36" s="53"/>
      <c r="AS36" s="53"/>
      <c r="AT36" s="53"/>
      <c r="AU36" s="53"/>
      <c r="AV36" s="53"/>
      <c r="AW36" s="53"/>
      <c r="AX36" s="53"/>
      <c r="AY36" s="53"/>
      <c r="AZ36" s="53"/>
      <c r="BA36" s="53"/>
      <c r="BB36" s="53"/>
      <c r="BC36" s="53"/>
      <c r="BD36" s="53"/>
      <c r="BE36" s="53"/>
      <c r="BF36" s="53"/>
      <c r="BG36" s="53"/>
      <c r="BH36" s="53"/>
      <c r="BI36" s="53"/>
      <c r="BJ36" s="53"/>
      <c r="BK36" s="53"/>
      <c r="BL36" s="53"/>
      <c r="BM36" s="53"/>
      <c r="BN36" s="53"/>
      <c r="BO36" s="53"/>
      <c r="BP36" s="53"/>
      <c r="BQ36" s="54"/>
    </row>
    <row r="37" spans="1:69" ht="42" customHeight="1">
      <c r="A37" s="20" t="s">
        <v>248</v>
      </c>
      <c r="B37" s="34" t="s">
        <v>67</v>
      </c>
      <c r="C37" s="22" t="s">
        <v>249</v>
      </c>
      <c r="D37" s="22" t="s">
        <v>250</v>
      </c>
      <c r="E37" s="22" t="s">
        <v>245</v>
      </c>
      <c r="F37" s="47">
        <v>10</v>
      </c>
      <c r="G37" s="47">
        <v>25</v>
      </c>
      <c r="H37" s="47">
        <v>26</v>
      </c>
      <c r="I37" s="47">
        <f t="shared" si="0"/>
        <v>2</v>
      </c>
      <c r="J37" s="48">
        <f t="shared" si="1"/>
        <v>46370</v>
      </c>
      <c r="K37" s="48">
        <f t="shared" si="2"/>
        <v>46383</v>
      </c>
      <c r="L37" s="47" t="s">
        <v>166</v>
      </c>
      <c r="M37" s="49">
        <v>0</v>
      </c>
      <c r="N37" s="47"/>
      <c r="O37" s="47" t="str">
        <f t="shared" si="3"/>
        <v/>
      </c>
      <c r="P37" s="47">
        <f t="shared" si="4"/>
        <v>10</v>
      </c>
      <c r="Q37" s="25"/>
      <c r="R37" s="57"/>
      <c r="S37" s="53"/>
      <c r="T37" s="53"/>
      <c r="U37" s="53"/>
      <c r="V37" s="53"/>
      <c r="W37" s="53"/>
      <c r="X37" s="53"/>
      <c r="Y37" s="53"/>
      <c r="Z37" s="53"/>
      <c r="AA37" s="53"/>
      <c r="AB37" s="53"/>
      <c r="AC37" s="53"/>
      <c r="AD37" s="53"/>
      <c r="AE37" s="53"/>
      <c r="AF37" s="53"/>
      <c r="AG37" s="53"/>
      <c r="AH37" s="53"/>
      <c r="AI37" s="53"/>
      <c r="AJ37" s="53"/>
      <c r="AK37" s="53"/>
      <c r="AL37" s="53"/>
      <c r="AM37" s="53"/>
      <c r="AN37" s="53"/>
      <c r="AO37" s="53"/>
      <c r="AP37" s="70" t="s">
        <v>57</v>
      </c>
      <c r="AQ37" s="71" t="s">
        <v>57</v>
      </c>
      <c r="AR37" s="53"/>
      <c r="AS37" s="53"/>
      <c r="AT37" s="53"/>
      <c r="AU37" s="53"/>
      <c r="AV37" s="53"/>
      <c r="AW37" s="53"/>
      <c r="AX37" s="53"/>
      <c r="AY37" s="53"/>
      <c r="AZ37" s="53"/>
      <c r="BA37" s="53"/>
      <c r="BB37" s="53"/>
      <c r="BC37" s="53"/>
      <c r="BD37" s="53"/>
      <c r="BE37" s="53"/>
      <c r="BF37" s="53"/>
      <c r="BG37" s="53"/>
      <c r="BH37" s="53"/>
      <c r="BI37" s="53"/>
      <c r="BJ37" s="53"/>
      <c r="BK37" s="53"/>
      <c r="BL37" s="53"/>
      <c r="BM37" s="53"/>
      <c r="BN37" s="53"/>
      <c r="BO37" s="53"/>
      <c r="BP37" s="53"/>
      <c r="BQ37" s="54"/>
    </row>
    <row r="38" spans="1:69" ht="42" customHeight="1">
      <c r="A38" s="20" t="s">
        <v>251</v>
      </c>
      <c r="B38" s="34" t="s">
        <v>67</v>
      </c>
      <c r="C38" s="22" t="s">
        <v>252</v>
      </c>
      <c r="D38" s="22" t="s">
        <v>253</v>
      </c>
      <c r="E38" s="22" t="s">
        <v>248</v>
      </c>
      <c r="F38" s="47">
        <v>18</v>
      </c>
      <c r="G38" s="47">
        <v>26</v>
      </c>
      <c r="H38" s="47">
        <v>28</v>
      </c>
      <c r="I38" s="47">
        <f t="shared" ref="I38:I63" si="5">H38-G38+1</f>
        <v>3</v>
      </c>
      <c r="J38" s="48">
        <f t="shared" ref="J38:J63" si="6">$C$1+(G38-1)*7</f>
        <v>46377</v>
      </c>
      <c r="K38" s="48">
        <f t="shared" ref="K38:K63" si="7">$C$1+H38*7-1</f>
        <v>46397</v>
      </c>
      <c r="L38" s="47" t="s">
        <v>166</v>
      </c>
      <c r="M38" s="49">
        <v>0</v>
      </c>
      <c r="N38" s="47"/>
      <c r="O38" s="47" t="str">
        <f t="shared" ref="O38:O63" si="8">IF(N38="","",N38-F38)</f>
        <v/>
      </c>
      <c r="P38" s="47">
        <f t="shared" ref="P38:P63" si="9">MAX(F38*(1-M38),0)</f>
        <v>18</v>
      </c>
      <c r="Q38" s="25"/>
      <c r="R38" s="57"/>
      <c r="S38" s="53"/>
      <c r="T38" s="53"/>
      <c r="U38" s="53"/>
      <c r="V38" s="53"/>
      <c r="W38" s="53"/>
      <c r="X38" s="53"/>
      <c r="Y38" s="53"/>
      <c r="Z38" s="53"/>
      <c r="AA38" s="53"/>
      <c r="AB38" s="53"/>
      <c r="AC38" s="53"/>
      <c r="AD38" s="53"/>
      <c r="AE38" s="53"/>
      <c r="AF38" s="53"/>
      <c r="AG38" s="53"/>
      <c r="AH38" s="53"/>
      <c r="AI38" s="53"/>
      <c r="AJ38" s="53"/>
      <c r="AK38" s="53"/>
      <c r="AL38" s="53"/>
      <c r="AM38" s="53"/>
      <c r="AN38" s="53"/>
      <c r="AO38" s="53"/>
      <c r="AP38" s="53"/>
      <c r="AQ38" s="70" t="s">
        <v>57</v>
      </c>
      <c r="AR38" s="72" t="s">
        <v>57</v>
      </c>
      <c r="AS38" s="71" t="s">
        <v>57</v>
      </c>
      <c r="AT38" s="53"/>
      <c r="AU38" s="53"/>
      <c r="AV38" s="53"/>
      <c r="AW38" s="53"/>
      <c r="AX38" s="53"/>
      <c r="AY38" s="53"/>
      <c r="AZ38" s="53"/>
      <c r="BA38" s="53"/>
      <c r="BB38" s="53"/>
      <c r="BC38" s="53"/>
      <c r="BD38" s="53"/>
      <c r="BE38" s="53"/>
      <c r="BF38" s="53"/>
      <c r="BG38" s="53"/>
      <c r="BH38" s="53"/>
      <c r="BI38" s="53"/>
      <c r="BJ38" s="53"/>
      <c r="BK38" s="53"/>
      <c r="BL38" s="53"/>
      <c r="BM38" s="53"/>
      <c r="BN38" s="53"/>
      <c r="BO38" s="53"/>
      <c r="BP38" s="53"/>
      <c r="BQ38" s="54"/>
    </row>
    <row r="39" spans="1:69" ht="42" customHeight="1">
      <c r="A39" s="20" t="s">
        <v>254</v>
      </c>
      <c r="B39" s="34" t="s">
        <v>67</v>
      </c>
      <c r="C39" s="22" t="s">
        <v>255</v>
      </c>
      <c r="D39" s="22" t="s">
        <v>256</v>
      </c>
      <c r="E39" s="22" t="s">
        <v>251</v>
      </c>
      <c r="F39" s="47">
        <v>14</v>
      </c>
      <c r="G39" s="47">
        <v>28</v>
      </c>
      <c r="H39" s="47">
        <v>29</v>
      </c>
      <c r="I39" s="47">
        <f t="shared" si="5"/>
        <v>2</v>
      </c>
      <c r="J39" s="48">
        <f t="shared" si="6"/>
        <v>46391</v>
      </c>
      <c r="K39" s="48">
        <f t="shared" si="7"/>
        <v>46404</v>
      </c>
      <c r="L39" s="47" t="s">
        <v>166</v>
      </c>
      <c r="M39" s="49">
        <v>0</v>
      </c>
      <c r="N39" s="47"/>
      <c r="O39" s="47" t="str">
        <f t="shared" si="8"/>
        <v/>
      </c>
      <c r="P39" s="47">
        <f t="shared" si="9"/>
        <v>14</v>
      </c>
      <c r="Q39" s="25"/>
      <c r="R39" s="57"/>
      <c r="S39" s="53"/>
      <c r="T39" s="53"/>
      <c r="U39" s="53"/>
      <c r="V39" s="53"/>
      <c r="W39" s="53"/>
      <c r="X39" s="53"/>
      <c r="Y39" s="53"/>
      <c r="Z39" s="53"/>
      <c r="AA39" s="53"/>
      <c r="AB39" s="53"/>
      <c r="AC39" s="53"/>
      <c r="AD39" s="53"/>
      <c r="AE39" s="53"/>
      <c r="AF39" s="53"/>
      <c r="AG39" s="53"/>
      <c r="AH39" s="53"/>
      <c r="AI39" s="53"/>
      <c r="AJ39" s="53"/>
      <c r="AK39" s="53"/>
      <c r="AL39" s="53"/>
      <c r="AM39" s="53"/>
      <c r="AN39" s="53"/>
      <c r="AO39" s="53"/>
      <c r="AP39" s="53"/>
      <c r="AQ39" s="53"/>
      <c r="AR39" s="53"/>
      <c r="AS39" s="70" t="s">
        <v>57</v>
      </c>
      <c r="AT39" s="71" t="s">
        <v>57</v>
      </c>
      <c r="AU39" s="53"/>
      <c r="AV39" s="53"/>
      <c r="AW39" s="53"/>
      <c r="AX39" s="53"/>
      <c r="AY39" s="53"/>
      <c r="AZ39" s="53"/>
      <c r="BA39" s="53"/>
      <c r="BB39" s="53"/>
      <c r="BC39" s="53"/>
      <c r="BD39" s="53"/>
      <c r="BE39" s="53"/>
      <c r="BF39" s="53"/>
      <c r="BG39" s="53"/>
      <c r="BH39" s="53"/>
      <c r="BI39" s="53"/>
      <c r="BJ39" s="53"/>
      <c r="BK39" s="53"/>
      <c r="BL39" s="53"/>
      <c r="BM39" s="53"/>
      <c r="BN39" s="53"/>
      <c r="BO39" s="53"/>
      <c r="BP39" s="53"/>
      <c r="BQ39" s="54"/>
    </row>
    <row r="40" spans="1:69" ht="42" customHeight="1">
      <c r="A40" s="20" t="s">
        <v>257</v>
      </c>
      <c r="B40" s="34" t="s">
        <v>67</v>
      </c>
      <c r="C40" s="22" t="s">
        <v>258</v>
      </c>
      <c r="D40" s="22" t="s">
        <v>259</v>
      </c>
      <c r="E40" s="22" t="s">
        <v>251</v>
      </c>
      <c r="F40" s="47">
        <v>14</v>
      </c>
      <c r="G40" s="47">
        <v>29</v>
      </c>
      <c r="H40" s="47">
        <v>30</v>
      </c>
      <c r="I40" s="47">
        <f t="shared" si="5"/>
        <v>2</v>
      </c>
      <c r="J40" s="48">
        <f t="shared" si="6"/>
        <v>46398</v>
      </c>
      <c r="K40" s="48">
        <f t="shared" si="7"/>
        <v>46411</v>
      </c>
      <c r="L40" s="47" t="s">
        <v>166</v>
      </c>
      <c r="M40" s="49">
        <v>0</v>
      </c>
      <c r="N40" s="47"/>
      <c r="O40" s="47" t="str">
        <f t="shared" si="8"/>
        <v/>
      </c>
      <c r="P40" s="47">
        <f t="shared" si="9"/>
        <v>14</v>
      </c>
      <c r="Q40" s="25"/>
      <c r="R40" s="57"/>
      <c r="S40" s="53"/>
      <c r="T40" s="53"/>
      <c r="U40" s="53"/>
      <c r="V40" s="53"/>
      <c r="W40" s="53"/>
      <c r="X40" s="53"/>
      <c r="Y40" s="53"/>
      <c r="Z40" s="53"/>
      <c r="AA40" s="53"/>
      <c r="AB40" s="53"/>
      <c r="AC40" s="53"/>
      <c r="AD40" s="53"/>
      <c r="AE40" s="53"/>
      <c r="AF40" s="53"/>
      <c r="AG40" s="53"/>
      <c r="AH40" s="53"/>
      <c r="AI40" s="53"/>
      <c r="AJ40" s="53"/>
      <c r="AK40" s="53"/>
      <c r="AL40" s="53"/>
      <c r="AM40" s="53"/>
      <c r="AN40" s="53"/>
      <c r="AO40" s="53"/>
      <c r="AP40" s="53"/>
      <c r="AQ40" s="53"/>
      <c r="AR40" s="53"/>
      <c r="AS40" s="53"/>
      <c r="AT40" s="70" t="s">
        <v>57</v>
      </c>
      <c r="AU40" s="71" t="s">
        <v>57</v>
      </c>
      <c r="AV40" s="53"/>
      <c r="AW40" s="53"/>
      <c r="AX40" s="53"/>
      <c r="AY40" s="53"/>
      <c r="AZ40" s="53"/>
      <c r="BA40" s="53"/>
      <c r="BB40" s="53"/>
      <c r="BC40" s="53"/>
      <c r="BD40" s="53"/>
      <c r="BE40" s="53"/>
      <c r="BF40" s="53"/>
      <c r="BG40" s="53"/>
      <c r="BH40" s="53"/>
      <c r="BI40" s="53"/>
      <c r="BJ40" s="53"/>
      <c r="BK40" s="53"/>
      <c r="BL40" s="53"/>
      <c r="BM40" s="53"/>
      <c r="BN40" s="53"/>
      <c r="BO40" s="53"/>
      <c r="BP40" s="53"/>
      <c r="BQ40" s="54"/>
    </row>
    <row r="41" spans="1:69" ht="42" customHeight="1">
      <c r="A41" s="20" t="s">
        <v>260</v>
      </c>
      <c r="B41" s="34" t="s">
        <v>67</v>
      </c>
      <c r="C41" s="22" t="s">
        <v>261</v>
      </c>
      <c r="D41" s="22" t="s">
        <v>262</v>
      </c>
      <c r="E41" s="22" t="s">
        <v>254</v>
      </c>
      <c r="F41" s="47">
        <v>20</v>
      </c>
      <c r="G41" s="47">
        <v>30</v>
      </c>
      <c r="H41" s="47">
        <v>31</v>
      </c>
      <c r="I41" s="47">
        <f t="shared" si="5"/>
        <v>2</v>
      </c>
      <c r="J41" s="48">
        <f t="shared" si="6"/>
        <v>46405</v>
      </c>
      <c r="K41" s="48">
        <f t="shared" si="7"/>
        <v>46418</v>
      </c>
      <c r="L41" s="47" t="s">
        <v>166</v>
      </c>
      <c r="M41" s="49">
        <v>0</v>
      </c>
      <c r="N41" s="47"/>
      <c r="O41" s="47" t="str">
        <f t="shared" si="8"/>
        <v/>
      </c>
      <c r="P41" s="47">
        <f t="shared" si="9"/>
        <v>20</v>
      </c>
      <c r="Q41" s="25"/>
      <c r="R41" s="57"/>
      <c r="S41" s="53"/>
      <c r="T41" s="53"/>
      <c r="U41" s="53"/>
      <c r="V41" s="53"/>
      <c r="W41" s="53"/>
      <c r="X41" s="53"/>
      <c r="Y41" s="53"/>
      <c r="Z41" s="53"/>
      <c r="AA41" s="53"/>
      <c r="AB41" s="53"/>
      <c r="AC41" s="53"/>
      <c r="AD41" s="53"/>
      <c r="AE41" s="53"/>
      <c r="AF41" s="53"/>
      <c r="AG41" s="53"/>
      <c r="AH41" s="53"/>
      <c r="AI41" s="53"/>
      <c r="AJ41" s="53"/>
      <c r="AK41" s="53"/>
      <c r="AL41" s="53"/>
      <c r="AM41" s="53"/>
      <c r="AN41" s="53"/>
      <c r="AO41" s="53"/>
      <c r="AP41" s="53"/>
      <c r="AQ41" s="53"/>
      <c r="AR41" s="53"/>
      <c r="AS41" s="53"/>
      <c r="AT41" s="53"/>
      <c r="AU41" s="70" t="s">
        <v>57</v>
      </c>
      <c r="AV41" s="71" t="s">
        <v>57</v>
      </c>
      <c r="AW41" s="53"/>
      <c r="AX41" s="53"/>
      <c r="AY41" s="53"/>
      <c r="AZ41" s="53"/>
      <c r="BA41" s="53"/>
      <c r="BB41" s="53"/>
      <c r="BC41" s="53"/>
      <c r="BD41" s="53"/>
      <c r="BE41" s="53"/>
      <c r="BF41" s="53"/>
      <c r="BG41" s="53"/>
      <c r="BH41" s="53"/>
      <c r="BI41" s="53"/>
      <c r="BJ41" s="53"/>
      <c r="BK41" s="53"/>
      <c r="BL41" s="53"/>
      <c r="BM41" s="53"/>
      <c r="BN41" s="53"/>
      <c r="BO41" s="53"/>
      <c r="BP41" s="53"/>
      <c r="BQ41" s="54"/>
    </row>
    <row r="42" spans="1:69" ht="42" customHeight="1">
      <c r="A42" s="20" t="s">
        <v>263</v>
      </c>
      <c r="B42" s="34" t="s">
        <v>67</v>
      </c>
      <c r="C42" s="22" t="s">
        <v>264</v>
      </c>
      <c r="D42" s="22" t="s">
        <v>265</v>
      </c>
      <c r="E42" s="22" t="s">
        <v>260</v>
      </c>
      <c r="F42" s="47">
        <v>12</v>
      </c>
      <c r="G42" s="47">
        <v>32</v>
      </c>
      <c r="H42" s="47">
        <v>32</v>
      </c>
      <c r="I42" s="47">
        <f t="shared" si="5"/>
        <v>1</v>
      </c>
      <c r="J42" s="48">
        <f t="shared" si="6"/>
        <v>46419</v>
      </c>
      <c r="K42" s="48">
        <f t="shared" si="7"/>
        <v>46425</v>
      </c>
      <c r="L42" s="47" t="s">
        <v>166</v>
      </c>
      <c r="M42" s="49">
        <v>0</v>
      </c>
      <c r="N42" s="47"/>
      <c r="O42" s="47" t="str">
        <f t="shared" si="8"/>
        <v/>
      </c>
      <c r="P42" s="47">
        <f t="shared" si="9"/>
        <v>12</v>
      </c>
      <c r="Q42" s="25"/>
      <c r="R42" s="57"/>
      <c r="S42" s="53"/>
      <c r="T42" s="53"/>
      <c r="U42" s="53"/>
      <c r="V42" s="53"/>
      <c r="W42" s="53"/>
      <c r="X42" s="53"/>
      <c r="Y42" s="53"/>
      <c r="Z42" s="53"/>
      <c r="AA42" s="53"/>
      <c r="AB42" s="53"/>
      <c r="AC42" s="53"/>
      <c r="AD42" s="53"/>
      <c r="AE42" s="53"/>
      <c r="AF42" s="53"/>
      <c r="AG42" s="53"/>
      <c r="AH42" s="53"/>
      <c r="AI42" s="53"/>
      <c r="AJ42" s="53"/>
      <c r="AK42" s="53"/>
      <c r="AL42" s="53"/>
      <c r="AM42" s="53"/>
      <c r="AN42" s="53"/>
      <c r="AO42" s="53"/>
      <c r="AP42" s="53"/>
      <c r="AQ42" s="53"/>
      <c r="AR42" s="53"/>
      <c r="AS42" s="53"/>
      <c r="AT42" s="53"/>
      <c r="AU42" s="53"/>
      <c r="AV42" s="53"/>
      <c r="AW42" s="69" t="s">
        <v>57</v>
      </c>
      <c r="AX42" s="53"/>
      <c r="AY42" s="53"/>
      <c r="AZ42" s="53"/>
      <c r="BA42" s="53"/>
      <c r="BB42" s="53"/>
      <c r="BC42" s="53"/>
      <c r="BD42" s="53"/>
      <c r="BE42" s="53"/>
      <c r="BF42" s="53"/>
      <c r="BG42" s="53"/>
      <c r="BH42" s="53"/>
      <c r="BI42" s="53"/>
      <c r="BJ42" s="53"/>
      <c r="BK42" s="53"/>
      <c r="BL42" s="53"/>
      <c r="BM42" s="53"/>
      <c r="BN42" s="53"/>
      <c r="BO42" s="53"/>
      <c r="BP42" s="53"/>
      <c r="BQ42" s="54"/>
    </row>
    <row r="43" spans="1:69" ht="42" customHeight="1">
      <c r="A43" s="20" t="s">
        <v>266</v>
      </c>
      <c r="B43" s="36" t="s">
        <v>70</v>
      </c>
      <c r="C43" s="22" t="s">
        <v>267</v>
      </c>
      <c r="D43" s="22" t="s">
        <v>268</v>
      </c>
      <c r="E43" s="22" t="s">
        <v>263</v>
      </c>
      <c r="F43" s="47">
        <v>10</v>
      </c>
      <c r="G43" s="47">
        <v>33</v>
      </c>
      <c r="H43" s="47">
        <v>33</v>
      </c>
      <c r="I43" s="47">
        <f t="shared" si="5"/>
        <v>1</v>
      </c>
      <c r="J43" s="48">
        <f t="shared" si="6"/>
        <v>46426</v>
      </c>
      <c r="K43" s="48">
        <f t="shared" si="7"/>
        <v>46432</v>
      </c>
      <c r="L43" s="47" t="s">
        <v>166</v>
      </c>
      <c r="M43" s="49">
        <v>0</v>
      </c>
      <c r="N43" s="47"/>
      <c r="O43" s="47" t="str">
        <f t="shared" si="8"/>
        <v/>
      </c>
      <c r="P43" s="47">
        <f t="shared" si="9"/>
        <v>10</v>
      </c>
      <c r="Q43" s="25"/>
      <c r="R43" s="57"/>
      <c r="S43" s="53"/>
      <c r="T43" s="53"/>
      <c r="U43" s="53"/>
      <c r="V43" s="53"/>
      <c r="W43" s="53"/>
      <c r="X43" s="53"/>
      <c r="Y43" s="53"/>
      <c r="Z43" s="53"/>
      <c r="AA43" s="53"/>
      <c r="AB43" s="53"/>
      <c r="AC43" s="53"/>
      <c r="AD43" s="53"/>
      <c r="AE43" s="53"/>
      <c r="AF43" s="53"/>
      <c r="AG43" s="53"/>
      <c r="AH43" s="53"/>
      <c r="AI43" s="53"/>
      <c r="AJ43" s="53"/>
      <c r="AK43" s="53"/>
      <c r="AL43" s="53"/>
      <c r="AM43" s="53"/>
      <c r="AN43" s="53"/>
      <c r="AO43" s="53"/>
      <c r="AP43" s="53"/>
      <c r="AQ43" s="53"/>
      <c r="AR43" s="53"/>
      <c r="AS43" s="53"/>
      <c r="AT43" s="53"/>
      <c r="AU43" s="53"/>
      <c r="AV43" s="53"/>
      <c r="AW43" s="53"/>
      <c r="AX43" s="73" t="s">
        <v>57</v>
      </c>
      <c r="AY43" s="53"/>
      <c r="AZ43" s="53"/>
      <c r="BA43" s="53"/>
      <c r="BB43" s="53"/>
      <c r="BC43" s="53"/>
      <c r="BD43" s="53"/>
      <c r="BE43" s="53"/>
      <c r="BF43" s="53"/>
      <c r="BG43" s="53"/>
      <c r="BH43" s="53"/>
      <c r="BI43" s="53"/>
      <c r="BJ43" s="53"/>
      <c r="BK43" s="53"/>
      <c r="BL43" s="53"/>
      <c r="BM43" s="53"/>
      <c r="BN43" s="53"/>
      <c r="BO43" s="53"/>
      <c r="BP43" s="53"/>
      <c r="BQ43" s="54"/>
    </row>
    <row r="44" spans="1:69" ht="42" customHeight="1">
      <c r="A44" s="20" t="s">
        <v>269</v>
      </c>
      <c r="B44" s="36" t="s">
        <v>70</v>
      </c>
      <c r="C44" s="22" t="s">
        <v>270</v>
      </c>
      <c r="D44" s="22" t="s">
        <v>271</v>
      </c>
      <c r="E44" s="22" t="s">
        <v>266</v>
      </c>
      <c r="F44" s="47">
        <v>16</v>
      </c>
      <c r="G44" s="47">
        <v>34</v>
      </c>
      <c r="H44" s="47">
        <v>35</v>
      </c>
      <c r="I44" s="47">
        <f t="shared" si="5"/>
        <v>2</v>
      </c>
      <c r="J44" s="48">
        <f t="shared" si="6"/>
        <v>46433</v>
      </c>
      <c r="K44" s="48">
        <f t="shared" si="7"/>
        <v>46446</v>
      </c>
      <c r="L44" s="47" t="s">
        <v>166</v>
      </c>
      <c r="M44" s="49">
        <v>0</v>
      </c>
      <c r="N44" s="47"/>
      <c r="O44" s="47" t="str">
        <f t="shared" si="8"/>
        <v/>
      </c>
      <c r="P44" s="47">
        <f t="shared" si="9"/>
        <v>16</v>
      </c>
      <c r="Q44" s="25"/>
      <c r="R44" s="57"/>
      <c r="S44" s="53"/>
      <c r="T44" s="53"/>
      <c r="U44" s="53"/>
      <c r="V44" s="53"/>
      <c r="W44" s="53"/>
      <c r="X44" s="53"/>
      <c r="Y44" s="53"/>
      <c r="Z44" s="53"/>
      <c r="AA44" s="53"/>
      <c r="AB44" s="53"/>
      <c r="AC44" s="53"/>
      <c r="AD44" s="53"/>
      <c r="AE44" s="53"/>
      <c r="AF44" s="53"/>
      <c r="AG44" s="53"/>
      <c r="AH44" s="53"/>
      <c r="AI44" s="53"/>
      <c r="AJ44" s="53"/>
      <c r="AK44" s="53"/>
      <c r="AL44" s="53"/>
      <c r="AM44" s="53"/>
      <c r="AN44" s="53"/>
      <c r="AO44" s="53"/>
      <c r="AP44" s="53"/>
      <c r="AQ44" s="53"/>
      <c r="AR44" s="53"/>
      <c r="AS44" s="53"/>
      <c r="AT44" s="53"/>
      <c r="AU44" s="53"/>
      <c r="AV44" s="53"/>
      <c r="AW44" s="53"/>
      <c r="AX44" s="53"/>
      <c r="AY44" s="74" t="s">
        <v>57</v>
      </c>
      <c r="AZ44" s="75" t="s">
        <v>57</v>
      </c>
      <c r="BA44" s="53"/>
      <c r="BB44" s="53"/>
      <c r="BC44" s="53"/>
      <c r="BD44" s="53"/>
      <c r="BE44" s="53"/>
      <c r="BF44" s="53"/>
      <c r="BG44" s="53"/>
      <c r="BH44" s="53"/>
      <c r="BI44" s="53"/>
      <c r="BJ44" s="53"/>
      <c r="BK44" s="53"/>
      <c r="BL44" s="53"/>
      <c r="BM44" s="53"/>
      <c r="BN44" s="53"/>
      <c r="BO44" s="53"/>
      <c r="BP44" s="53"/>
      <c r="BQ44" s="54"/>
    </row>
    <row r="45" spans="1:69" ht="42" customHeight="1">
      <c r="A45" s="20" t="s">
        <v>272</v>
      </c>
      <c r="B45" s="36" t="s">
        <v>70</v>
      </c>
      <c r="C45" s="22" t="s">
        <v>273</v>
      </c>
      <c r="D45" s="22" t="s">
        <v>274</v>
      </c>
      <c r="E45" s="22" t="s">
        <v>269</v>
      </c>
      <c r="F45" s="47">
        <v>12</v>
      </c>
      <c r="G45" s="47">
        <v>35</v>
      </c>
      <c r="H45" s="47">
        <v>36</v>
      </c>
      <c r="I45" s="47">
        <f t="shared" si="5"/>
        <v>2</v>
      </c>
      <c r="J45" s="48">
        <f t="shared" si="6"/>
        <v>46440</v>
      </c>
      <c r="K45" s="48">
        <f t="shared" si="7"/>
        <v>46453</v>
      </c>
      <c r="L45" s="47" t="s">
        <v>166</v>
      </c>
      <c r="M45" s="49">
        <v>0</v>
      </c>
      <c r="N45" s="47"/>
      <c r="O45" s="47" t="str">
        <f t="shared" si="8"/>
        <v/>
      </c>
      <c r="P45" s="47">
        <f t="shared" si="9"/>
        <v>12</v>
      </c>
      <c r="Q45" s="25"/>
      <c r="R45" s="57"/>
      <c r="S45" s="53"/>
      <c r="T45" s="53"/>
      <c r="U45" s="53"/>
      <c r="V45" s="53"/>
      <c r="W45" s="53"/>
      <c r="X45" s="53"/>
      <c r="Y45" s="53"/>
      <c r="Z45" s="53"/>
      <c r="AA45" s="53"/>
      <c r="AB45" s="53"/>
      <c r="AC45" s="53"/>
      <c r="AD45" s="53"/>
      <c r="AE45" s="53"/>
      <c r="AF45" s="53"/>
      <c r="AG45" s="53"/>
      <c r="AH45" s="53"/>
      <c r="AI45" s="53"/>
      <c r="AJ45" s="53"/>
      <c r="AK45" s="53"/>
      <c r="AL45" s="53"/>
      <c r="AM45" s="53"/>
      <c r="AN45" s="53"/>
      <c r="AO45" s="53"/>
      <c r="AP45" s="53"/>
      <c r="AQ45" s="53"/>
      <c r="AR45" s="53"/>
      <c r="AS45" s="53"/>
      <c r="AT45" s="53"/>
      <c r="AU45" s="53"/>
      <c r="AV45" s="53"/>
      <c r="AW45" s="53"/>
      <c r="AX45" s="53"/>
      <c r="AY45" s="53"/>
      <c r="AZ45" s="74" t="s">
        <v>57</v>
      </c>
      <c r="BA45" s="75" t="s">
        <v>57</v>
      </c>
      <c r="BB45" s="53"/>
      <c r="BC45" s="53"/>
      <c r="BD45" s="53"/>
      <c r="BE45" s="53"/>
      <c r="BF45" s="53"/>
      <c r="BG45" s="53"/>
      <c r="BH45" s="53"/>
      <c r="BI45" s="53"/>
      <c r="BJ45" s="53"/>
      <c r="BK45" s="53"/>
      <c r="BL45" s="53"/>
      <c r="BM45" s="53"/>
      <c r="BN45" s="53"/>
      <c r="BO45" s="53"/>
      <c r="BP45" s="53"/>
      <c r="BQ45" s="54"/>
    </row>
    <row r="46" spans="1:69" ht="42" customHeight="1">
      <c r="A46" s="20" t="s">
        <v>275</v>
      </c>
      <c r="B46" s="36" t="s">
        <v>70</v>
      </c>
      <c r="C46" s="22" t="s">
        <v>276</v>
      </c>
      <c r="D46" s="22" t="s">
        <v>277</v>
      </c>
      <c r="E46" s="22" t="s">
        <v>272</v>
      </c>
      <c r="F46" s="47">
        <v>10</v>
      </c>
      <c r="G46" s="47">
        <v>36</v>
      </c>
      <c r="H46" s="47">
        <v>36</v>
      </c>
      <c r="I46" s="47">
        <f t="shared" si="5"/>
        <v>1</v>
      </c>
      <c r="J46" s="48">
        <f t="shared" si="6"/>
        <v>46447</v>
      </c>
      <c r="K46" s="48">
        <f t="shared" si="7"/>
        <v>46453</v>
      </c>
      <c r="L46" s="47" t="s">
        <v>166</v>
      </c>
      <c r="M46" s="49">
        <v>0</v>
      </c>
      <c r="N46" s="47"/>
      <c r="O46" s="47" t="str">
        <f t="shared" si="8"/>
        <v/>
      </c>
      <c r="P46" s="47">
        <f t="shared" si="9"/>
        <v>10</v>
      </c>
      <c r="Q46" s="25"/>
      <c r="R46" s="57"/>
      <c r="S46" s="53"/>
      <c r="T46" s="53"/>
      <c r="U46" s="53"/>
      <c r="V46" s="53"/>
      <c r="W46" s="53"/>
      <c r="X46" s="53"/>
      <c r="Y46" s="53"/>
      <c r="Z46" s="53"/>
      <c r="AA46" s="53"/>
      <c r="AB46" s="53"/>
      <c r="AC46" s="53"/>
      <c r="AD46" s="53"/>
      <c r="AE46" s="53"/>
      <c r="AF46" s="53"/>
      <c r="AG46" s="53"/>
      <c r="AH46" s="53"/>
      <c r="AI46" s="53"/>
      <c r="AJ46" s="53"/>
      <c r="AK46" s="53"/>
      <c r="AL46" s="53"/>
      <c r="AM46" s="53"/>
      <c r="AN46" s="53"/>
      <c r="AO46" s="53"/>
      <c r="AP46" s="53"/>
      <c r="AQ46" s="53"/>
      <c r="AR46" s="53"/>
      <c r="AS46" s="53"/>
      <c r="AT46" s="53"/>
      <c r="AU46" s="53"/>
      <c r="AV46" s="53"/>
      <c r="AW46" s="53"/>
      <c r="AX46" s="53"/>
      <c r="AY46" s="53"/>
      <c r="AZ46" s="53"/>
      <c r="BA46" s="73" t="s">
        <v>57</v>
      </c>
      <c r="BB46" s="53"/>
      <c r="BC46" s="53"/>
      <c r="BD46" s="53"/>
      <c r="BE46" s="53"/>
      <c r="BF46" s="53"/>
      <c r="BG46" s="53"/>
      <c r="BH46" s="53"/>
      <c r="BI46" s="53"/>
      <c r="BJ46" s="53"/>
      <c r="BK46" s="53"/>
      <c r="BL46" s="53"/>
      <c r="BM46" s="53"/>
      <c r="BN46" s="53"/>
      <c r="BO46" s="53"/>
      <c r="BP46" s="53"/>
      <c r="BQ46" s="54"/>
    </row>
    <row r="47" spans="1:69" ht="42" customHeight="1">
      <c r="A47" s="20" t="s">
        <v>278</v>
      </c>
      <c r="B47" s="36" t="s">
        <v>70</v>
      </c>
      <c r="C47" s="22" t="s">
        <v>279</v>
      </c>
      <c r="D47" s="22" t="s">
        <v>280</v>
      </c>
      <c r="E47" s="22" t="s">
        <v>275</v>
      </c>
      <c r="F47" s="47">
        <v>16</v>
      </c>
      <c r="G47" s="47">
        <v>37</v>
      </c>
      <c r="H47" s="47">
        <v>38</v>
      </c>
      <c r="I47" s="47">
        <f t="shared" si="5"/>
        <v>2</v>
      </c>
      <c r="J47" s="48">
        <f t="shared" si="6"/>
        <v>46454</v>
      </c>
      <c r="K47" s="48">
        <f t="shared" si="7"/>
        <v>46467</v>
      </c>
      <c r="L47" s="47" t="s">
        <v>166</v>
      </c>
      <c r="M47" s="49">
        <v>0</v>
      </c>
      <c r="N47" s="47"/>
      <c r="O47" s="47" t="str">
        <f t="shared" si="8"/>
        <v/>
      </c>
      <c r="P47" s="47">
        <f t="shared" si="9"/>
        <v>16</v>
      </c>
      <c r="Q47" s="25"/>
      <c r="R47" s="57"/>
      <c r="S47" s="53"/>
      <c r="T47" s="53"/>
      <c r="U47" s="53"/>
      <c r="V47" s="53"/>
      <c r="W47" s="53"/>
      <c r="X47" s="53"/>
      <c r="Y47" s="53"/>
      <c r="Z47" s="53"/>
      <c r="AA47" s="53"/>
      <c r="AB47" s="53"/>
      <c r="AC47" s="53"/>
      <c r="AD47" s="53"/>
      <c r="AE47" s="53"/>
      <c r="AF47" s="53"/>
      <c r="AG47" s="53"/>
      <c r="AH47" s="53"/>
      <c r="AI47" s="53"/>
      <c r="AJ47" s="53"/>
      <c r="AK47" s="53"/>
      <c r="AL47" s="53"/>
      <c r="AM47" s="53"/>
      <c r="AN47" s="53"/>
      <c r="AO47" s="53"/>
      <c r="AP47" s="53"/>
      <c r="AQ47" s="53"/>
      <c r="AR47" s="53"/>
      <c r="AS47" s="53"/>
      <c r="AT47" s="53"/>
      <c r="AU47" s="53"/>
      <c r="AV47" s="53"/>
      <c r="AW47" s="53"/>
      <c r="AX47" s="53"/>
      <c r="AY47" s="53"/>
      <c r="AZ47" s="53"/>
      <c r="BA47" s="53"/>
      <c r="BB47" s="74" t="s">
        <v>57</v>
      </c>
      <c r="BC47" s="75" t="s">
        <v>57</v>
      </c>
      <c r="BD47" s="53"/>
      <c r="BE47" s="53"/>
      <c r="BF47" s="53"/>
      <c r="BG47" s="53"/>
      <c r="BH47" s="53"/>
      <c r="BI47" s="53"/>
      <c r="BJ47" s="53"/>
      <c r="BK47" s="53"/>
      <c r="BL47" s="53"/>
      <c r="BM47" s="53"/>
      <c r="BN47" s="53"/>
      <c r="BO47" s="53"/>
      <c r="BP47" s="53"/>
      <c r="BQ47" s="54"/>
    </row>
    <row r="48" spans="1:69" ht="42" customHeight="1">
      <c r="A48" s="20" t="s">
        <v>281</v>
      </c>
      <c r="B48" s="36" t="s">
        <v>70</v>
      </c>
      <c r="C48" s="22" t="s">
        <v>282</v>
      </c>
      <c r="D48" s="22" t="s">
        <v>283</v>
      </c>
      <c r="E48" s="22" t="s">
        <v>278</v>
      </c>
      <c r="F48" s="47">
        <v>14</v>
      </c>
      <c r="G48" s="47">
        <v>38</v>
      </c>
      <c r="H48" s="47">
        <v>39</v>
      </c>
      <c r="I48" s="47">
        <f t="shared" si="5"/>
        <v>2</v>
      </c>
      <c r="J48" s="48">
        <f t="shared" si="6"/>
        <v>46461</v>
      </c>
      <c r="K48" s="48">
        <f t="shared" si="7"/>
        <v>46474</v>
      </c>
      <c r="L48" s="47" t="s">
        <v>166</v>
      </c>
      <c r="M48" s="49">
        <v>0</v>
      </c>
      <c r="N48" s="47"/>
      <c r="O48" s="47" t="str">
        <f t="shared" si="8"/>
        <v/>
      </c>
      <c r="P48" s="47">
        <f t="shared" si="9"/>
        <v>14</v>
      </c>
      <c r="Q48" s="25"/>
      <c r="R48" s="57"/>
      <c r="S48" s="53"/>
      <c r="T48" s="53"/>
      <c r="U48" s="53"/>
      <c r="V48" s="53"/>
      <c r="W48" s="53"/>
      <c r="X48" s="53"/>
      <c r="Y48" s="53"/>
      <c r="Z48" s="53"/>
      <c r="AA48" s="53"/>
      <c r="AB48" s="53"/>
      <c r="AC48" s="53"/>
      <c r="AD48" s="53"/>
      <c r="AE48" s="53"/>
      <c r="AF48" s="53"/>
      <c r="AG48" s="53"/>
      <c r="AH48" s="53"/>
      <c r="AI48" s="53"/>
      <c r="AJ48" s="53"/>
      <c r="AK48" s="53"/>
      <c r="AL48" s="53"/>
      <c r="AM48" s="53"/>
      <c r="AN48" s="53"/>
      <c r="AO48" s="53"/>
      <c r="AP48" s="53"/>
      <c r="AQ48" s="53"/>
      <c r="AR48" s="53"/>
      <c r="AS48" s="53"/>
      <c r="AT48" s="53"/>
      <c r="AU48" s="53"/>
      <c r="AV48" s="53"/>
      <c r="AW48" s="53"/>
      <c r="AX48" s="53"/>
      <c r="AY48" s="53"/>
      <c r="AZ48" s="53"/>
      <c r="BA48" s="53"/>
      <c r="BB48" s="53"/>
      <c r="BC48" s="74" t="s">
        <v>57</v>
      </c>
      <c r="BD48" s="75" t="s">
        <v>57</v>
      </c>
      <c r="BE48" s="53"/>
      <c r="BF48" s="53"/>
      <c r="BG48" s="53"/>
      <c r="BH48" s="53"/>
      <c r="BI48" s="53"/>
      <c r="BJ48" s="53"/>
      <c r="BK48" s="53"/>
      <c r="BL48" s="53"/>
      <c r="BM48" s="53"/>
      <c r="BN48" s="53"/>
      <c r="BO48" s="53"/>
      <c r="BP48" s="53"/>
      <c r="BQ48" s="54"/>
    </row>
    <row r="49" spans="1:69" ht="42" customHeight="1">
      <c r="A49" s="20" t="s">
        <v>284</v>
      </c>
      <c r="B49" s="36" t="s">
        <v>70</v>
      </c>
      <c r="C49" s="22" t="s">
        <v>285</v>
      </c>
      <c r="D49" s="22" t="s">
        <v>286</v>
      </c>
      <c r="E49" s="22" t="s">
        <v>281</v>
      </c>
      <c r="F49" s="47">
        <v>16</v>
      </c>
      <c r="G49" s="47">
        <v>40</v>
      </c>
      <c r="H49" s="47">
        <v>41</v>
      </c>
      <c r="I49" s="47">
        <f t="shared" si="5"/>
        <v>2</v>
      </c>
      <c r="J49" s="48">
        <f t="shared" si="6"/>
        <v>46475</v>
      </c>
      <c r="K49" s="48">
        <f t="shared" si="7"/>
        <v>46488</v>
      </c>
      <c r="L49" s="47" t="s">
        <v>166</v>
      </c>
      <c r="M49" s="49">
        <v>0</v>
      </c>
      <c r="N49" s="47"/>
      <c r="O49" s="47" t="str">
        <f t="shared" si="8"/>
        <v/>
      </c>
      <c r="P49" s="47">
        <f t="shared" si="9"/>
        <v>16</v>
      </c>
      <c r="Q49" s="25"/>
      <c r="R49" s="57"/>
      <c r="S49" s="53"/>
      <c r="T49" s="53"/>
      <c r="U49" s="53"/>
      <c r="V49" s="53"/>
      <c r="W49" s="53"/>
      <c r="X49" s="53"/>
      <c r="Y49" s="53"/>
      <c r="Z49" s="53"/>
      <c r="AA49" s="53"/>
      <c r="AB49" s="53"/>
      <c r="AC49" s="53"/>
      <c r="AD49" s="53"/>
      <c r="AE49" s="53"/>
      <c r="AF49" s="53"/>
      <c r="AG49" s="53"/>
      <c r="AH49" s="53"/>
      <c r="AI49" s="53"/>
      <c r="AJ49" s="53"/>
      <c r="AK49" s="53"/>
      <c r="AL49" s="53"/>
      <c r="AM49" s="53"/>
      <c r="AN49" s="53"/>
      <c r="AO49" s="53"/>
      <c r="AP49" s="53"/>
      <c r="AQ49" s="53"/>
      <c r="AR49" s="53"/>
      <c r="AS49" s="53"/>
      <c r="AT49" s="53"/>
      <c r="AU49" s="53"/>
      <c r="AV49" s="53"/>
      <c r="AW49" s="53"/>
      <c r="AX49" s="53"/>
      <c r="AY49" s="53"/>
      <c r="AZ49" s="53"/>
      <c r="BA49" s="53"/>
      <c r="BB49" s="53"/>
      <c r="BC49" s="53"/>
      <c r="BD49" s="53"/>
      <c r="BE49" s="74" t="s">
        <v>57</v>
      </c>
      <c r="BF49" s="75" t="s">
        <v>57</v>
      </c>
      <c r="BG49" s="53"/>
      <c r="BH49" s="53"/>
      <c r="BI49" s="53"/>
      <c r="BJ49" s="53"/>
      <c r="BK49" s="53"/>
      <c r="BL49" s="53"/>
      <c r="BM49" s="53"/>
      <c r="BN49" s="53"/>
      <c r="BO49" s="53"/>
      <c r="BP49" s="53"/>
      <c r="BQ49" s="54"/>
    </row>
    <row r="50" spans="1:69" ht="42" customHeight="1">
      <c r="A50" s="20" t="s">
        <v>287</v>
      </c>
      <c r="B50" s="36" t="s">
        <v>70</v>
      </c>
      <c r="C50" s="22" t="s">
        <v>288</v>
      </c>
      <c r="D50" s="22" t="s">
        <v>289</v>
      </c>
      <c r="E50" s="22" t="s">
        <v>284</v>
      </c>
      <c r="F50" s="47">
        <v>10</v>
      </c>
      <c r="G50" s="47">
        <v>42</v>
      </c>
      <c r="H50" s="47">
        <v>42</v>
      </c>
      <c r="I50" s="47">
        <f t="shared" si="5"/>
        <v>1</v>
      </c>
      <c r="J50" s="48">
        <f t="shared" si="6"/>
        <v>46489</v>
      </c>
      <c r="K50" s="48">
        <f t="shared" si="7"/>
        <v>46495</v>
      </c>
      <c r="L50" s="47" t="s">
        <v>166</v>
      </c>
      <c r="M50" s="49">
        <v>0</v>
      </c>
      <c r="N50" s="47"/>
      <c r="O50" s="47" t="str">
        <f t="shared" si="8"/>
        <v/>
      </c>
      <c r="P50" s="47">
        <f t="shared" si="9"/>
        <v>10</v>
      </c>
      <c r="Q50" s="25"/>
      <c r="R50" s="57"/>
      <c r="S50" s="53"/>
      <c r="T50" s="53"/>
      <c r="U50" s="53"/>
      <c r="V50" s="53"/>
      <c r="W50" s="53"/>
      <c r="X50" s="53"/>
      <c r="Y50" s="53"/>
      <c r="Z50" s="53"/>
      <c r="AA50" s="53"/>
      <c r="AB50" s="53"/>
      <c r="AC50" s="53"/>
      <c r="AD50" s="53"/>
      <c r="AE50" s="53"/>
      <c r="AF50" s="53"/>
      <c r="AG50" s="53"/>
      <c r="AH50" s="53"/>
      <c r="AI50" s="53"/>
      <c r="AJ50" s="53"/>
      <c r="AK50" s="53"/>
      <c r="AL50" s="53"/>
      <c r="AM50" s="53"/>
      <c r="AN50" s="53"/>
      <c r="AO50" s="53"/>
      <c r="AP50" s="53"/>
      <c r="AQ50" s="53"/>
      <c r="AR50" s="53"/>
      <c r="AS50" s="53"/>
      <c r="AT50" s="53"/>
      <c r="AU50" s="53"/>
      <c r="AV50" s="53"/>
      <c r="AW50" s="53"/>
      <c r="AX50" s="53"/>
      <c r="AY50" s="53"/>
      <c r="AZ50" s="53"/>
      <c r="BA50" s="53"/>
      <c r="BB50" s="53"/>
      <c r="BC50" s="53"/>
      <c r="BD50" s="53"/>
      <c r="BE50" s="53"/>
      <c r="BF50" s="53"/>
      <c r="BG50" s="73" t="s">
        <v>57</v>
      </c>
      <c r="BH50" s="53"/>
      <c r="BI50" s="53"/>
      <c r="BJ50" s="53"/>
      <c r="BK50" s="53"/>
      <c r="BL50" s="53"/>
      <c r="BM50" s="53"/>
      <c r="BN50" s="53"/>
      <c r="BO50" s="53"/>
      <c r="BP50" s="53"/>
      <c r="BQ50" s="54"/>
    </row>
    <row r="51" spans="1:69" ht="42" customHeight="1">
      <c r="A51" s="20" t="s">
        <v>290</v>
      </c>
      <c r="B51" s="38" t="s">
        <v>73</v>
      </c>
      <c r="C51" s="22" t="s">
        <v>291</v>
      </c>
      <c r="D51" s="22" t="s">
        <v>292</v>
      </c>
      <c r="E51" s="22" t="s">
        <v>287</v>
      </c>
      <c r="F51" s="47">
        <v>6</v>
      </c>
      <c r="G51" s="47">
        <v>43</v>
      </c>
      <c r="H51" s="47">
        <v>43</v>
      </c>
      <c r="I51" s="47">
        <f t="shared" si="5"/>
        <v>1</v>
      </c>
      <c r="J51" s="48">
        <f t="shared" si="6"/>
        <v>46496</v>
      </c>
      <c r="K51" s="48">
        <f t="shared" si="7"/>
        <v>46502</v>
      </c>
      <c r="L51" s="47" t="s">
        <v>166</v>
      </c>
      <c r="M51" s="49">
        <v>0</v>
      </c>
      <c r="N51" s="47"/>
      <c r="O51" s="47" t="str">
        <f t="shared" si="8"/>
        <v/>
      </c>
      <c r="P51" s="47">
        <f t="shared" si="9"/>
        <v>6</v>
      </c>
      <c r="Q51" s="25"/>
      <c r="R51" s="57"/>
      <c r="S51" s="53"/>
      <c r="T51" s="53"/>
      <c r="U51" s="53"/>
      <c r="V51" s="53"/>
      <c r="W51" s="53"/>
      <c r="X51" s="53"/>
      <c r="Y51" s="53"/>
      <c r="Z51" s="53"/>
      <c r="AA51" s="53"/>
      <c r="AB51" s="53"/>
      <c r="AC51" s="53"/>
      <c r="AD51" s="53"/>
      <c r="AE51" s="53"/>
      <c r="AF51" s="53"/>
      <c r="AG51" s="53"/>
      <c r="AH51" s="53"/>
      <c r="AI51" s="53"/>
      <c r="AJ51" s="53"/>
      <c r="AK51" s="53"/>
      <c r="AL51" s="53"/>
      <c r="AM51" s="53"/>
      <c r="AN51" s="53"/>
      <c r="AO51" s="53"/>
      <c r="AP51" s="53"/>
      <c r="AQ51" s="53"/>
      <c r="AR51" s="53"/>
      <c r="AS51" s="53"/>
      <c r="AT51" s="53"/>
      <c r="AU51" s="53"/>
      <c r="AV51" s="53"/>
      <c r="AW51" s="53"/>
      <c r="AX51" s="53"/>
      <c r="AY51" s="53"/>
      <c r="AZ51" s="53"/>
      <c r="BA51" s="53"/>
      <c r="BB51" s="53"/>
      <c r="BC51" s="53"/>
      <c r="BD51" s="53"/>
      <c r="BE51" s="53"/>
      <c r="BF51" s="53"/>
      <c r="BG51" s="53"/>
      <c r="BH51" s="76" t="s">
        <v>57</v>
      </c>
      <c r="BI51" s="53"/>
      <c r="BJ51" s="53"/>
      <c r="BK51" s="53"/>
      <c r="BL51" s="53"/>
      <c r="BM51" s="53"/>
      <c r="BN51" s="53"/>
      <c r="BO51" s="53"/>
      <c r="BP51" s="53"/>
      <c r="BQ51" s="54"/>
    </row>
    <row r="52" spans="1:69" ht="42" customHeight="1">
      <c r="A52" s="20" t="s">
        <v>293</v>
      </c>
      <c r="B52" s="38" t="s">
        <v>73</v>
      </c>
      <c r="C52" s="22" t="s">
        <v>294</v>
      </c>
      <c r="D52" s="22" t="s">
        <v>295</v>
      </c>
      <c r="E52" s="22" t="s">
        <v>290</v>
      </c>
      <c r="F52" s="47">
        <v>10</v>
      </c>
      <c r="G52" s="47">
        <v>43</v>
      </c>
      <c r="H52" s="47">
        <v>44</v>
      </c>
      <c r="I52" s="47">
        <f t="shared" si="5"/>
        <v>2</v>
      </c>
      <c r="J52" s="48">
        <f t="shared" si="6"/>
        <v>46496</v>
      </c>
      <c r="K52" s="48">
        <f t="shared" si="7"/>
        <v>46509</v>
      </c>
      <c r="L52" s="47" t="s">
        <v>166</v>
      </c>
      <c r="M52" s="49">
        <v>0</v>
      </c>
      <c r="N52" s="47"/>
      <c r="O52" s="47" t="str">
        <f t="shared" si="8"/>
        <v/>
      </c>
      <c r="P52" s="47">
        <f t="shared" si="9"/>
        <v>10</v>
      </c>
      <c r="Q52" s="25"/>
      <c r="R52" s="57"/>
      <c r="S52" s="53"/>
      <c r="T52" s="53"/>
      <c r="U52" s="53"/>
      <c r="V52" s="53"/>
      <c r="W52" s="53"/>
      <c r="X52" s="53"/>
      <c r="Y52" s="53"/>
      <c r="Z52" s="53"/>
      <c r="AA52" s="53"/>
      <c r="AB52" s="53"/>
      <c r="AC52" s="53"/>
      <c r="AD52" s="53"/>
      <c r="AE52" s="53"/>
      <c r="AF52" s="53"/>
      <c r="AG52" s="53"/>
      <c r="AH52" s="53"/>
      <c r="AI52" s="53"/>
      <c r="AJ52" s="53"/>
      <c r="AK52" s="53"/>
      <c r="AL52" s="53"/>
      <c r="AM52" s="53"/>
      <c r="AN52" s="53"/>
      <c r="AO52" s="53"/>
      <c r="AP52" s="53"/>
      <c r="AQ52" s="53"/>
      <c r="AR52" s="53"/>
      <c r="AS52" s="53"/>
      <c r="AT52" s="53"/>
      <c r="AU52" s="53"/>
      <c r="AV52" s="53"/>
      <c r="AW52" s="53"/>
      <c r="AX52" s="53"/>
      <c r="AY52" s="53"/>
      <c r="AZ52" s="53"/>
      <c r="BA52" s="53"/>
      <c r="BB52" s="53"/>
      <c r="BC52" s="53"/>
      <c r="BD52" s="53"/>
      <c r="BE52" s="53"/>
      <c r="BF52" s="53"/>
      <c r="BG52" s="53"/>
      <c r="BH52" s="77" t="s">
        <v>57</v>
      </c>
      <c r="BI52" s="78" t="s">
        <v>57</v>
      </c>
      <c r="BJ52" s="53"/>
      <c r="BK52" s="53"/>
      <c r="BL52" s="53"/>
      <c r="BM52" s="53"/>
      <c r="BN52" s="53"/>
      <c r="BO52" s="53"/>
      <c r="BP52" s="53"/>
      <c r="BQ52" s="54"/>
    </row>
    <row r="53" spans="1:69" ht="42" customHeight="1">
      <c r="A53" s="20" t="s">
        <v>296</v>
      </c>
      <c r="B53" s="38" t="s">
        <v>73</v>
      </c>
      <c r="C53" s="22" t="s">
        <v>297</v>
      </c>
      <c r="D53" s="22" t="s">
        <v>298</v>
      </c>
      <c r="E53" s="22" t="s">
        <v>293</v>
      </c>
      <c r="F53" s="47">
        <v>14</v>
      </c>
      <c r="G53" s="47">
        <v>44</v>
      </c>
      <c r="H53" s="47">
        <v>45</v>
      </c>
      <c r="I53" s="47">
        <f t="shared" si="5"/>
        <v>2</v>
      </c>
      <c r="J53" s="48">
        <f t="shared" si="6"/>
        <v>46503</v>
      </c>
      <c r="K53" s="48">
        <f t="shared" si="7"/>
        <v>46516</v>
      </c>
      <c r="L53" s="47" t="s">
        <v>166</v>
      </c>
      <c r="M53" s="49">
        <v>0</v>
      </c>
      <c r="N53" s="47"/>
      <c r="O53" s="47" t="str">
        <f t="shared" si="8"/>
        <v/>
      </c>
      <c r="P53" s="47">
        <f t="shared" si="9"/>
        <v>14</v>
      </c>
      <c r="Q53" s="25"/>
      <c r="R53" s="57"/>
      <c r="S53" s="53"/>
      <c r="T53" s="53"/>
      <c r="U53" s="53"/>
      <c r="V53" s="53"/>
      <c r="W53" s="53"/>
      <c r="X53" s="53"/>
      <c r="Y53" s="53"/>
      <c r="Z53" s="53"/>
      <c r="AA53" s="53"/>
      <c r="AB53" s="53"/>
      <c r="AC53" s="53"/>
      <c r="AD53" s="53"/>
      <c r="AE53" s="53"/>
      <c r="AF53" s="53"/>
      <c r="AG53" s="53"/>
      <c r="AH53" s="53"/>
      <c r="AI53" s="53"/>
      <c r="AJ53" s="53"/>
      <c r="AK53" s="53"/>
      <c r="AL53" s="53"/>
      <c r="AM53" s="53"/>
      <c r="AN53" s="53"/>
      <c r="AO53" s="53"/>
      <c r="AP53" s="53"/>
      <c r="AQ53" s="53"/>
      <c r="AR53" s="53"/>
      <c r="AS53" s="53"/>
      <c r="AT53" s="53"/>
      <c r="AU53" s="53"/>
      <c r="AV53" s="53"/>
      <c r="AW53" s="53"/>
      <c r="AX53" s="53"/>
      <c r="AY53" s="53"/>
      <c r="AZ53" s="53"/>
      <c r="BA53" s="53"/>
      <c r="BB53" s="53"/>
      <c r="BC53" s="53"/>
      <c r="BD53" s="53"/>
      <c r="BE53" s="53"/>
      <c r="BF53" s="53"/>
      <c r="BG53" s="53"/>
      <c r="BH53" s="53"/>
      <c r="BI53" s="77" t="s">
        <v>57</v>
      </c>
      <c r="BJ53" s="78" t="s">
        <v>57</v>
      </c>
      <c r="BK53" s="53"/>
      <c r="BL53" s="53"/>
      <c r="BM53" s="53"/>
      <c r="BN53" s="53"/>
      <c r="BO53" s="53"/>
      <c r="BP53" s="53"/>
      <c r="BQ53" s="54"/>
    </row>
    <row r="54" spans="1:69" ht="42" customHeight="1">
      <c r="A54" s="20" t="s">
        <v>299</v>
      </c>
      <c r="B54" s="38" t="s">
        <v>73</v>
      </c>
      <c r="C54" s="22" t="s">
        <v>300</v>
      </c>
      <c r="D54" s="22" t="s">
        <v>301</v>
      </c>
      <c r="E54" s="22" t="s">
        <v>296</v>
      </c>
      <c r="F54" s="47">
        <v>8</v>
      </c>
      <c r="G54" s="47">
        <v>45</v>
      </c>
      <c r="H54" s="47">
        <v>46</v>
      </c>
      <c r="I54" s="47">
        <f t="shared" si="5"/>
        <v>2</v>
      </c>
      <c r="J54" s="48">
        <f t="shared" si="6"/>
        <v>46510</v>
      </c>
      <c r="K54" s="48">
        <f t="shared" si="7"/>
        <v>46523</v>
      </c>
      <c r="L54" s="47" t="s">
        <v>166</v>
      </c>
      <c r="M54" s="49">
        <v>0</v>
      </c>
      <c r="N54" s="47"/>
      <c r="O54" s="47" t="str">
        <f t="shared" si="8"/>
        <v/>
      </c>
      <c r="P54" s="47">
        <f t="shared" si="9"/>
        <v>8</v>
      </c>
      <c r="Q54" s="25"/>
      <c r="R54" s="57"/>
      <c r="S54" s="53"/>
      <c r="T54" s="53"/>
      <c r="U54" s="53"/>
      <c r="V54" s="53"/>
      <c r="W54" s="53"/>
      <c r="X54" s="53"/>
      <c r="Y54" s="53"/>
      <c r="Z54" s="53"/>
      <c r="AA54" s="53"/>
      <c r="AB54" s="53"/>
      <c r="AC54" s="53"/>
      <c r="AD54" s="53"/>
      <c r="AE54" s="53"/>
      <c r="AF54" s="53"/>
      <c r="AG54" s="53"/>
      <c r="AH54" s="53"/>
      <c r="AI54" s="53"/>
      <c r="AJ54" s="53"/>
      <c r="AK54" s="53"/>
      <c r="AL54" s="53"/>
      <c r="AM54" s="53"/>
      <c r="AN54" s="53"/>
      <c r="AO54" s="53"/>
      <c r="AP54" s="53"/>
      <c r="AQ54" s="53"/>
      <c r="AR54" s="53"/>
      <c r="AS54" s="53"/>
      <c r="AT54" s="53"/>
      <c r="AU54" s="53"/>
      <c r="AV54" s="53"/>
      <c r="AW54" s="53"/>
      <c r="AX54" s="53"/>
      <c r="AY54" s="53"/>
      <c r="AZ54" s="53"/>
      <c r="BA54" s="53"/>
      <c r="BB54" s="53"/>
      <c r="BC54" s="53"/>
      <c r="BD54" s="53"/>
      <c r="BE54" s="53"/>
      <c r="BF54" s="53"/>
      <c r="BG54" s="53"/>
      <c r="BH54" s="53"/>
      <c r="BI54" s="53"/>
      <c r="BJ54" s="77" t="s">
        <v>57</v>
      </c>
      <c r="BK54" s="78" t="s">
        <v>57</v>
      </c>
      <c r="BL54" s="53"/>
      <c r="BM54" s="53"/>
      <c r="BN54" s="53"/>
      <c r="BO54" s="53"/>
      <c r="BP54" s="53"/>
      <c r="BQ54" s="54"/>
    </row>
    <row r="55" spans="1:69" ht="42" customHeight="1">
      <c r="A55" s="20" t="s">
        <v>302</v>
      </c>
      <c r="B55" s="38" t="s">
        <v>73</v>
      </c>
      <c r="C55" s="22" t="s">
        <v>303</v>
      </c>
      <c r="D55" s="22" t="s">
        <v>304</v>
      </c>
      <c r="E55" s="22" t="s">
        <v>299</v>
      </c>
      <c r="F55" s="47">
        <v>10</v>
      </c>
      <c r="G55" s="47">
        <v>46</v>
      </c>
      <c r="H55" s="47">
        <v>47</v>
      </c>
      <c r="I55" s="47">
        <f t="shared" si="5"/>
        <v>2</v>
      </c>
      <c r="J55" s="48">
        <f t="shared" si="6"/>
        <v>46517</v>
      </c>
      <c r="K55" s="48">
        <f t="shared" si="7"/>
        <v>46530</v>
      </c>
      <c r="L55" s="47" t="s">
        <v>166</v>
      </c>
      <c r="M55" s="49">
        <v>0</v>
      </c>
      <c r="N55" s="47"/>
      <c r="O55" s="47" t="str">
        <f t="shared" si="8"/>
        <v/>
      </c>
      <c r="P55" s="47">
        <f t="shared" si="9"/>
        <v>10</v>
      </c>
      <c r="Q55" s="25"/>
      <c r="R55" s="57"/>
      <c r="S55" s="53"/>
      <c r="T55" s="53"/>
      <c r="U55" s="53"/>
      <c r="V55" s="53"/>
      <c r="W55" s="53"/>
      <c r="X55" s="53"/>
      <c r="Y55" s="53"/>
      <c r="Z55" s="53"/>
      <c r="AA55" s="53"/>
      <c r="AB55" s="53"/>
      <c r="AC55" s="53"/>
      <c r="AD55" s="53"/>
      <c r="AE55" s="53"/>
      <c r="AF55" s="53"/>
      <c r="AG55" s="53"/>
      <c r="AH55" s="53"/>
      <c r="AI55" s="53"/>
      <c r="AJ55" s="53"/>
      <c r="AK55" s="53"/>
      <c r="AL55" s="53"/>
      <c r="AM55" s="53"/>
      <c r="AN55" s="53"/>
      <c r="AO55" s="53"/>
      <c r="AP55" s="53"/>
      <c r="AQ55" s="53"/>
      <c r="AR55" s="53"/>
      <c r="AS55" s="53"/>
      <c r="AT55" s="53"/>
      <c r="AU55" s="53"/>
      <c r="AV55" s="53"/>
      <c r="AW55" s="53"/>
      <c r="AX55" s="53"/>
      <c r="AY55" s="53"/>
      <c r="AZ55" s="53"/>
      <c r="BA55" s="53"/>
      <c r="BB55" s="53"/>
      <c r="BC55" s="53"/>
      <c r="BD55" s="53"/>
      <c r="BE55" s="53"/>
      <c r="BF55" s="53"/>
      <c r="BG55" s="53"/>
      <c r="BH55" s="53"/>
      <c r="BI55" s="53"/>
      <c r="BJ55" s="53"/>
      <c r="BK55" s="77" t="s">
        <v>57</v>
      </c>
      <c r="BL55" s="78" t="s">
        <v>57</v>
      </c>
      <c r="BM55" s="53"/>
      <c r="BN55" s="53"/>
      <c r="BO55" s="53"/>
      <c r="BP55" s="53"/>
      <c r="BQ55" s="54"/>
    </row>
    <row r="56" spans="1:69" ht="42" customHeight="1">
      <c r="A56" s="20" t="s">
        <v>305</v>
      </c>
      <c r="B56" s="38" t="s">
        <v>73</v>
      </c>
      <c r="C56" s="22" t="s">
        <v>306</v>
      </c>
      <c r="D56" s="22" t="s">
        <v>307</v>
      </c>
      <c r="E56" s="22" t="s">
        <v>302</v>
      </c>
      <c r="F56" s="47">
        <v>4</v>
      </c>
      <c r="G56" s="47">
        <v>47</v>
      </c>
      <c r="H56" s="47">
        <v>47</v>
      </c>
      <c r="I56" s="47">
        <f t="shared" si="5"/>
        <v>1</v>
      </c>
      <c r="J56" s="48">
        <f t="shared" si="6"/>
        <v>46524</v>
      </c>
      <c r="K56" s="48">
        <f t="shared" si="7"/>
        <v>46530</v>
      </c>
      <c r="L56" s="47" t="s">
        <v>166</v>
      </c>
      <c r="M56" s="49">
        <v>0</v>
      </c>
      <c r="N56" s="47"/>
      <c r="O56" s="47" t="str">
        <f t="shared" si="8"/>
        <v/>
      </c>
      <c r="P56" s="47">
        <f t="shared" si="9"/>
        <v>4</v>
      </c>
      <c r="Q56" s="25"/>
      <c r="R56" s="57"/>
      <c r="S56" s="53"/>
      <c r="T56" s="53"/>
      <c r="U56" s="53"/>
      <c r="V56" s="53"/>
      <c r="W56" s="53"/>
      <c r="X56" s="53"/>
      <c r="Y56" s="53"/>
      <c r="Z56" s="53"/>
      <c r="AA56" s="53"/>
      <c r="AB56" s="53"/>
      <c r="AC56" s="53"/>
      <c r="AD56" s="53"/>
      <c r="AE56" s="53"/>
      <c r="AF56" s="53"/>
      <c r="AG56" s="53"/>
      <c r="AH56" s="53"/>
      <c r="AI56" s="53"/>
      <c r="AJ56" s="53"/>
      <c r="AK56" s="53"/>
      <c r="AL56" s="53"/>
      <c r="AM56" s="53"/>
      <c r="AN56" s="53"/>
      <c r="AO56" s="53"/>
      <c r="AP56" s="53"/>
      <c r="AQ56" s="53"/>
      <c r="AR56" s="53"/>
      <c r="AS56" s="53"/>
      <c r="AT56" s="53"/>
      <c r="AU56" s="53"/>
      <c r="AV56" s="53"/>
      <c r="AW56" s="53"/>
      <c r="AX56" s="53"/>
      <c r="AY56" s="53"/>
      <c r="AZ56" s="53"/>
      <c r="BA56" s="53"/>
      <c r="BB56" s="53"/>
      <c r="BC56" s="53"/>
      <c r="BD56" s="53"/>
      <c r="BE56" s="53"/>
      <c r="BF56" s="53"/>
      <c r="BG56" s="53"/>
      <c r="BH56" s="53"/>
      <c r="BI56" s="53"/>
      <c r="BJ56" s="53"/>
      <c r="BK56" s="53"/>
      <c r="BL56" s="76" t="s">
        <v>57</v>
      </c>
      <c r="BM56" s="53"/>
      <c r="BN56" s="53"/>
      <c r="BO56" s="53"/>
      <c r="BP56" s="53"/>
      <c r="BQ56" s="54"/>
    </row>
    <row r="57" spans="1:69" ht="42" customHeight="1">
      <c r="A57" s="20" t="s">
        <v>308</v>
      </c>
      <c r="B57" s="40" t="s">
        <v>76</v>
      </c>
      <c r="C57" s="22" t="s">
        <v>309</v>
      </c>
      <c r="D57" s="22" t="s">
        <v>310</v>
      </c>
      <c r="E57" s="22" t="s">
        <v>305</v>
      </c>
      <c r="F57" s="47">
        <v>12</v>
      </c>
      <c r="G57" s="47">
        <v>48</v>
      </c>
      <c r="H57" s="47">
        <v>48</v>
      </c>
      <c r="I57" s="47">
        <f t="shared" si="5"/>
        <v>1</v>
      </c>
      <c r="J57" s="48">
        <f t="shared" si="6"/>
        <v>46531</v>
      </c>
      <c r="K57" s="48">
        <f t="shared" si="7"/>
        <v>46537</v>
      </c>
      <c r="L57" s="47" t="s">
        <v>166</v>
      </c>
      <c r="M57" s="49">
        <v>0</v>
      </c>
      <c r="N57" s="47"/>
      <c r="O57" s="47" t="str">
        <f t="shared" si="8"/>
        <v/>
      </c>
      <c r="P57" s="47">
        <f t="shared" si="9"/>
        <v>12</v>
      </c>
      <c r="Q57" s="25"/>
      <c r="R57" s="57"/>
      <c r="S57" s="53"/>
      <c r="T57" s="53"/>
      <c r="U57" s="53"/>
      <c r="V57" s="53"/>
      <c r="W57" s="53"/>
      <c r="X57" s="53"/>
      <c r="Y57" s="53"/>
      <c r="Z57" s="53"/>
      <c r="AA57" s="53"/>
      <c r="AB57" s="53"/>
      <c r="AC57" s="53"/>
      <c r="AD57" s="53"/>
      <c r="AE57" s="53"/>
      <c r="AF57" s="53"/>
      <c r="AG57" s="53"/>
      <c r="AH57" s="53"/>
      <c r="AI57" s="53"/>
      <c r="AJ57" s="53"/>
      <c r="AK57" s="53"/>
      <c r="AL57" s="53"/>
      <c r="AM57" s="53"/>
      <c r="AN57" s="53"/>
      <c r="AO57" s="53"/>
      <c r="AP57" s="53"/>
      <c r="AQ57" s="53"/>
      <c r="AR57" s="53"/>
      <c r="AS57" s="53"/>
      <c r="AT57" s="53"/>
      <c r="AU57" s="53"/>
      <c r="AV57" s="53"/>
      <c r="AW57" s="53"/>
      <c r="AX57" s="53"/>
      <c r="AY57" s="53"/>
      <c r="AZ57" s="53"/>
      <c r="BA57" s="53"/>
      <c r="BB57" s="53"/>
      <c r="BC57" s="53"/>
      <c r="BD57" s="53"/>
      <c r="BE57" s="53"/>
      <c r="BF57" s="53"/>
      <c r="BG57" s="53"/>
      <c r="BH57" s="53"/>
      <c r="BI57" s="53"/>
      <c r="BJ57" s="53"/>
      <c r="BK57" s="53"/>
      <c r="BL57" s="53"/>
      <c r="BM57" s="79" t="s">
        <v>57</v>
      </c>
      <c r="BN57" s="53"/>
      <c r="BO57" s="53"/>
      <c r="BP57" s="53"/>
      <c r="BQ57" s="54"/>
    </row>
    <row r="58" spans="1:69" ht="42" customHeight="1">
      <c r="A58" s="20" t="s">
        <v>311</v>
      </c>
      <c r="B58" s="40" t="s">
        <v>76</v>
      </c>
      <c r="C58" s="22" t="s">
        <v>312</v>
      </c>
      <c r="D58" s="22" t="s">
        <v>313</v>
      </c>
      <c r="E58" s="22" t="s">
        <v>308</v>
      </c>
      <c r="F58" s="47">
        <v>10</v>
      </c>
      <c r="G58" s="47">
        <v>48</v>
      </c>
      <c r="H58" s="47">
        <v>49</v>
      </c>
      <c r="I58" s="47">
        <f t="shared" si="5"/>
        <v>2</v>
      </c>
      <c r="J58" s="48">
        <f t="shared" si="6"/>
        <v>46531</v>
      </c>
      <c r="K58" s="48">
        <f t="shared" si="7"/>
        <v>46544</v>
      </c>
      <c r="L58" s="47" t="s">
        <v>166</v>
      </c>
      <c r="M58" s="49">
        <v>0</v>
      </c>
      <c r="N58" s="47"/>
      <c r="O58" s="47" t="str">
        <f t="shared" si="8"/>
        <v/>
      </c>
      <c r="P58" s="47">
        <f t="shared" si="9"/>
        <v>10</v>
      </c>
      <c r="Q58" s="25"/>
      <c r="R58" s="57"/>
      <c r="S58" s="53"/>
      <c r="T58" s="53"/>
      <c r="U58" s="53"/>
      <c r="V58" s="53"/>
      <c r="W58" s="53"/>
      <c r="X58" s="53"/>
      <c r="Y58" s="53"/>
      <c r="Z58" s="53"/>
      <c r="AA58" s="53"/>
      <c r="AB58" s="53"/>
      <c r="AC58" s="53"/>
      <c r="AD58" s="53"/>
      <c r="AE58" s="53"/>
      <c r="AF58" s="53"/>
      <c r="AG58" s="53"/>
      <c r="AH58" s="53"/>
      <c r="AI58" s="53"/>
      <c r="AJ58" s="53"/>
      <c r="AK58" s="53"/>
      <c r="AL58" s="53"/>
      <c r="AM58" s="53"/>
      <c r="AN58" s="53"/>
      <c r="AO58" s="53"/>
      <c r="AP58" s="53"/>
      <c r="AQ58" s="53"/>
      <c r="AR58" s="53"/>
      <c r="AS58" s="53"/>
      <c r="AT58" s="53"/>
      <c r="AU58" s="53"/>
      <c r="AV58" s="53"/>
      <c r="AW58" s="53"/>
      <c r="AX58" s="53"/>
      <c r="AY58" s="53"/>
      <c r="AZ58" s="53"/>
      <c r="BA58" s="53"/>
      <c r="BB58" s="53"/>
      <c r="BC58" s="53"/>
      <c r="BD58" s="53"/>
      <c r="BE58" s="53"/>
      <c r="BF58" s="53"/>
      <c r="BG58" s="53"/>
      <c r="BH58" s="53"/>
      <c r="BI58" s="53"/>
      <c r="BJ58" s="53"/>
      <c r="BK58" s="53"/>
      <c r="BL58" s="53"/>
      <c r="BM58" s="80" t="s">
        <v>57</v>
      </c>
      <c r="BN58" s="81" t="s">
        <v>57</v>
      </c>
      <c r="BO58" s="53"/>
      <c r="BP58" s="53"/>
      <c r="BQ58" s="54"/>
    </row>
    <row r="59" spans="1:69" ht="42" customHeight="1">
      <c r="A59" s="20" t="s">
        <v>314</v>
      </c>
      <c r="B59" s="40" t="s">
        <v>76</v>
      </c>
      <c r="C59" s="22" t="s">
        <v>315</v>
      </c>
      <c r="D59" s="22" t="s">
        <v>316</v>
      </c>
      <c r="E59" s="22" t="s">
        <v>308</v>
      </c>
      <c r="F59" s="47">
        <v>10</v>
      </c>
      <c r="G59" s="47">
        <v>49</v>
      </c>
      <c r="H59" s="47">
        <v>50</v>
      </c>
      <c r="I59" s="47">
        <f t="shared" si="5"/>
        <v>2</v>
      </c>
      <c r="J59" s="48">
        <f t="shared" si="6"/>
        <v>46538</v>
      </c>
      <c r="K59" s="48">
        <f t="shared" si="7"/>
        <v>46551</v>
      </c>
      <c r="L59" s="47" t="s">
        <v>166</v>
      </c>
      <c r="M59" s="49">
        <v>0</v>
      </c>
      <c r="N59" s="47"/>
      <c r="O59" s="47" t="str">
        <f t="shared" si="8"/>
        <v/>
      </c>
      <c r="P59" s="47">
        <f t="shared" si="9"/>
        <v>10</v>
      </c>
      <c r="Q59" s="25"/>
      <c r="R59" s="57"/>
      <c r="S59" s="53"/>
      <c r="T59" s="53"/>
      <c r="U59" s="53"/>
      <c r="V59" s="53"/>
      <c r="W59" s="53"/>
      <c r="X59" s="53"/>
      <c r="Y59" s="53"/>
      <c r="Z59" s="53"/>
      <c r="AA59" s="53"/>
      <c r="AB59" s="53"/>
      <c r="AC59" s="53"/>
      <c r="AD59" s="53"/>
      <c r="AE59" s="53"/>
      <c r="AF59" s="53"/>
      <c r="AG59" s="53"/>
      <c r="AH59" s="53"/>
      <c r="AI59" s="53"/>
      <c r="AJ59" s="53"/>
      <c r="AK59" s="53"/>
      <c r="AL59" s="53"/>
      <c r="AM59" s="53"/>
      <c r="AN59" s="53"/>
      <c r="AO59" s="53"/>
      <c r="AP59" s="53"/>
      <c r="AQ59" s="53"/>
      <c r="AR59" s="53"/>
      <c r="AS59" s="53"/>
      <c r="AT59" s="53"/>
      <c r="AU59" s="53"/>
      <c r="AV59" s="53"/>
      <c r="AW59" s="53"/>
      <c r="AX59" s="53"/>
      <c r="AY59" s="53"/>
      <c r="AZ59" s="53"/>
      <c r="BA59" s="53"/>
      <c r="BB59" s="53"/>
      <c r="BC59" s="53"/>
      <c r="BD59" s="53"/>
      <c r="BE59" s="53"/>
      <c r="BF59" s="53"/>
      <c r="BG59" s="53"/>
      <c r="BH59" s="53"/>
      <c r="BI59" s="53"/>
      <c r="BJ59" s="53"/>
      <c r="BK59" s="53"/>
      <c r="BL59" s="53"/>
      <c r="BM59" s="53"/>
      <c r="BN59" s="80" t="s">
        <v>57</v>
      </c>
      <c r="BO59" s="81" t="s">
        <v>57</v>
      </c>
      <c r="BP59" s="53"/>
      <c r="BQ59" s="54"/>
    </row>
    <row r="60" spans="1:69" ht="42" customHeight="1">
      <c r="A60" s="20" t="s">
        <v>317</v>
      </c>
      <c r="B60" s="40" t="s">
        <v>76</v>
      </c>
      <c r="C60" s="22" t="s">
        <v>318</v>
      </c>
      <c r="D60" s="22" t="s">
        <v>319</v>
      </c>
      <c r="E60" s="22" t="s">
        <v>311</v>
      </c>
      <c r="F60" s="47">
        <v>10</v>
      </c>
      <c r="G60" s="47">
        <v>50</v>
      </c>
      <c r="H60" s="47">
        <v>50</v>
      </c>
      <c r="I60" s="47">
        <f t="shared" si="5"/>
        <v>1</v>
      </c>
      <c r="J60" s="48">
        <f t="shared" si="6"/>
        <v>46545</v>
      </c>
      <c r="K60" s="48">
        <f t="shared" si="7"/>
        <v>46551</v>
      </c>
      <c r="L60" s="47" t="s">
        <v>166</v>
      </c>
      <c r="M60" s="49">
        <v>0</v>
      </c>
      <c r="N60" s="47"/>
      <c r="O60" s="47" t="str">
        <f t="shared" si="8"/>
        <v/>
      </c>
      <c r="P60" s="47">
        <f t="shared" si="9"/>
        <v>10</v>
      </c>
      <c r="Q60" s="25"/>
      <c r="R60" s="57"/>
      <c r="S60" s="53"/>
      <c r="T60" s="53"/>
      <c r="U60" s="53"/>
      <c r="V60" s="53"/>
      <c r="W60" s="53"/>
      <c r="X60" s="53"/>
      <c r="Y60" s="53"/>
      <c r="Z60" s="53"/>
      <c r="AA60" s="53"/>
      <c r="AB60" s="53"/>
      <c r="AC60" s="53"/>
      <c r="AD60" s="53"/>
      <c r="AE60" s="53"/>
      <c r="AF60" s="53"/>
      <c r="AG60" s="53"/>
      <c r="AH60" s="53"/>
      <c r="AI60" s="53"/>
      <c r="AJ60" s="53"/>
      <c r="AK60" s="53"/>
      <c r="AL60" s="53"/>
      <c r="AM60" s="53"/>
      <c r="AN60" s="53"/>
      <c r="AO60" s="53"/>
      <c r="AP60" s="53"/>
      <c r="AQ60" s="53"/>
      <c r="AR60" s="53"/>
      <c r="AS60" s="53"/>
      <c r="AT60" s="53"/>
      <c r="AU60" s="53"/>
      <c r="AV60" s="53"/>
      <c r="AW60" s="53"/>
      <c r="AX60" s="53"/>
      <c r="AY60" s="53"/>
      <c r="AZ60" s="53"/>
      <c r="BA60" s="53"/>
      <c r="BB60" s="53"/>
      <c r="BC60" s="53"/>
      <c r="BD60" s="53"/>
      <c r="BE60" s="53"/>
      <c r="BF60" s="53"/>
      <c r="BG60" s="53"/>
      <c r="BH60" s="53"/>
      <c r="BI60" s="53"/>
      <c r="BJ60" s="53"/>
      <c r="BK60" s="53"/>
      <c r="BL60" s="53"/>
      <c r="BM60" s="53"/>
      <c r="BN60" s="53"/>
      <c r="BO60" s="79" t="s">
        <v>57</v>
      </c>
      <c r="BP60" s="53"/>
      <c r="BQ60" s="54"/>
    </row>
    <row r="61" spans="1:69" ht="42" customHeight="1">
      <c r="A61" s="20" t="s">
        <v>320</v>
      </c>
      <c r="B61" s="40" t="s">
        <v>76</v>
      </c>
      <c r="C61" s="22" t="s">
        <v>321</v>
      </c>
      <c r="D61" s="22" t="s">
        <v>322</v>
      </c>
      <c r="E61" s="22" t="s">
        <v>314</v>
      </c>
      <c r="F61" s="47">
        <v>8</v>
      </c>
      <c r="G61" s="47">
        <v>51</v>
      </c>
      <c r="H61" s="47">
        <v>51</v>
      </c>
      <c r="I61" s="47">
        <f t="shared" si="5"/>
        <v>1</v>
      </c>
      <c r="J61" s="48">
        <f t="shared" si="6"/>
        <v>46552</v>
      </c>
      <c r="K61" s="48">
        <f t="shared" si="7"/>
        <v>46558</v>
      </c>
      <c r="L61" s="47" t="s">
        <v>166</v>
      </c>
      <c r="M61" s="49">
        <v>0</v>
      </c>
      <c r="N61" s="47"/>
      <c r="O61" s="47" t="str">
        <f t="shared" si="8"/>
        <v/>
      </c>
      <c r="P61" s="47">
        <f t="shared" si="9"/>
        <v>8</v>
      </c>
      <c r="Q61" s="25"/>
      <c r="R61" s="57"/>
      <c r="S61" s="53"/>
      <c r="T61" s="53"/>
      <c r="U61" s="53"/>
      <c r="V61" s="53"/>
      <c r="W61" s="53"/>
      <c r="X61" s="53"/>
      <c r="Y61" s="53"/>
      <c r="Z61" s="53"/>
      <c r="AA61" s="53"/>
      <c r="AB61" s="53"/>
      <c r="AC61" s="53"/>
      <c r="AD61" s="53"/>
      <c r="AE61" s="53"/>
      <c r="AF61" s="53"/>
      <c r="AG61" s="53"/>
      <c r="AH61" s="53"/>
      <c r="AI61" s="53"/>
      <c r="AJ61" s="53"/>
      <c r="AK61" s="53"/>
      <c r="AL61" s="53"/>
      <c r="AM61" s="53"/>
      <c r="AN61" s="53"/>
      <c r="AO61" s="53"/>
      <c r="AP61" s="53"/>
      <c r="AQ61" s="53"/>
      <c r="AR61" s="53"/>
      <c r="AS61" s="53"/>
      <c r="AT61" s="53"/>
      <c r="AU61" s="53"/>
      <c r="AV61" s="53"/>
      <c r="AW61" s="53"/>
      <c r="AX61" s="53"/>
      <c r="AY61" s="53"/>
      <c r="AZ61" s="53"/>
      <c r="BA61" s="53"/>
      <c r="BB61" s="53"/>
      <c r="BC61" s="53"/>
      <c r="BD61" s="53"/>
      <c r="BE61" s="53"/>
      <c r="BF61" s="53"/>
      <c r="BG61" s="53"/>
      <c r="BH61" s="53"/>
      <c r="BI61" s="53"/>
      <c r="BJ61" s="53"/>
      <c r="BK61" s="53"/>
      <c r="BL61" s="53"/>
      <c r="BM61" s="53"/>
      <c r="BN61" s="53"/>
      <c r="BO61" s="53"/>
      <c r="BP61" s="79" t="s">
        <v>57</v>
      </c>
      <c r="BQ61" s="54"/>
    </row>
    <row r="62" spans="1:69" ht="42" customHeight="1">
      <c r="A62" s="20" t="s">
        <v>323</v>
      </c>
      <c r="B62" s="40" t="s">
        <v>76</v>
      </c>
      <c r="C62" s="22" t="s">
        <v>324</v>
      </c>
      <c r="D62" s="22" t="s">
        <v>325</v>
      </c>
      <c r="E62" s="22" t="s">
        <v>317</v>
      </c>
      <c r="F62" s="47">
        <v>6</v>
      </c>
      <c r="G62" s="47">
        <v>51</v>
      </c>
      <c r="H62" s="47">
        <v>52</v>
      </c>
      <c r="I62" s="47">
        <f t="shared" si="5"/>
        <v>2</v>
      </c>
      <c r="J62" s="48">
        <f t="shared" si="6"/>
        <v>46552</v>
      </c>
      <c r="K62" s="48">
        <f t="shared" si="7"/>
        <v>46565</v>
      </c>
      <c r="L62" s="47" t="s">
        <v>166</v>
      </c>
      <c r="M62" s="49">
        <v>0</v>
      </c>
      <c r="N62" s="47"/>
      <c r="O62" s="47" t="str">
        <f t="shared" si="8"/>
        <v/>
      </c>
      <c r="P62" s="47">
        <f t="shared" si="9"/>
        <v>6</v>
      </c>
      <c r="Q62" s="25"/>
      <c r="R62" s="57"/>
      <c r="S62" s="53"/>
      <c r="T62" s="53"/>
      <c r="U62" s="53"/>
      <c r="V62" s="53"/>
      <c r="W62" s="53"/>
      <c r="X62" s="53"/>
      <c r="Y62" s="53"/>
      <c r="Z62" s="53"/>
      <c r="AA62" s="53"/>
      <c r="AB62" s="53"/>
      <c r="AC62" s="53"/>
      <c r="AD62" s="53"/>
      <c r="AE62" s="53"/>
      <c r="AF62" s="53"/>
      <c r="AG62" s="53"/>
      <c r="AH62" s="53"/>
      <c r="AI62" s="53"/>
      <c r="AJ62" s="53"/>
      <c r="AK62" s="53"/>
      <c r="AL62" s="53"/>
      <c r="AM62" s="53"/>
      <c r="AN62" s="53"/>
      <c r="AO62" s="53"/>
      <c r="AP62" s="53"/>
      <c r="AQ62" s="53"/>
      <c r="AR62" s="53"/>
      <c r="AS62" s="53"/>
      <c r="AT62" s="53"/>
      <c r="AU62" s="53"/>
      <c r="AV62" s="53"/>
      <c r="AW62" s="53"/>
      <c r="AX62" s="53"/>
      <c r="AY62" s="53"/>
      <c r="AZ62" s="53"/>
      <c r="BA62" s="53"/>
      <c r="BB62" s="53"/>
      <c r="BC62" s="53"/>
      <c r="BD62" s="53"/>
      <c r="BE62" s="53"/>
      <c r="BF62" s="53"/>
      <c r="BG62" s="53"/>
      <c r="BH62" s="53"/>
      <c r="BI62" s="53"/>
      <c r="BJ62" s="53"/>
      <c r="BK62" s="53"/>
      <c r="BL62" s="53"/>
      <c r="BM62" s="53"/>
      <c r="BN62" s="53"/>
      <c r="BO62" s="53"/>
      <c r="BP62" s="80" t="s">
        <v>57</v>
      </c>
      <c r="BQ62" s="81" t="s">
        <v>57</v>
      </c>
    </row>
    <row r="63" spans="1:69" ht="42" customHeight="1">
      <c r="A63" s="20" t="s">
        <v>326</v>
      </c>
      <c r="B63" s="40" t="s">
        <v>76</v>
      </c>
      <c r="C63" s="22" t="s">
        <v>327</v>
      </c>
      <c r="D63" s="22" t="s">
        <v>328</v>
      </c>
      <c r="E63" s="22" t="s">
        <v>320</v>
      </c>
      <c r="F63" s="47">
        <v>4</v>
      </c>
      <c r="G63" s="47">
        <v>52</v>
      </c>
      <c r="H63" s="47">
        <v>52</v>
      </c>
      <c r="I63" s="47">
        <f t="shared" si="5"/>
        <v>1</v>
      </c>
      <c r="J63" s="48">
        <f t="shared" si="6"/>
        <v>46559</v>
      </c>
      <c r="K63" s="48">
        <f t="shared" si="7"/>
        <v>46565</v>
      </c>
      <c r="L63" s="47" t="s">
        <v>166</v>
      </c>
      <c r="M63" s="49">
        <v>0</v>
      </c>
      <c r="N63" s="47"/>
      <c r="O63" s="47" t="str">
        <f t="shared" si="8"/>
        <v/>
      </c>
      <c r="P63" s="47">
        <f t="shared" si="9"/>
        <v>4</v>
      </c>
      <c r="Q63" s="25"/>
      <c r="R63" s="82"/>
      <c r="S63" s="83"/>
      <c r="T63" s="83"/>
      <c r="U63" s="83"/>
      <c r="V63" s="83"/>
      <c r="W63" s="83"/>
      <c r="X63" s="83"/>
      <c r="Y63" s="83"/>
      <c r="Z63" s="83"/>
      <c r="AA63" s="83"/>
      <c r="AB63" s="83"/>
      <c r="AC63" s="83"/>
      <c r="AD63" s="83"/>
      <c r="AE63" s="83"/>
      <c r="AF63" s="83"/>
      <c r="AG63" s="83"/>
      <c r="AH63" s="83"/>
      <c r="AI63" s="83"/>
      <c r="AJ63" s="83"/>
      <c r="AK63" s="83"/>
      <c r="AL63" s="83"/>
      <c r="AM63" s="83"/>
      <c r="AN63" s="83"/>
      <c r="AO63" s="83"/>
      <c r="AP63" s="83"/>
      <c r="AQ63" s="83"/>
      <c r="AR63" s="83"/>
      <c r="AS63" s="83"/>
      <c r="AT63" s="83"/>
      <c r="AU63" s="83"/>
      <c r="AV63" s="83"/>
      <c r="AW63" s="83"/>
      <c r="AX63" s="83"/>
      <c r="AY63" s="83"/>
      <c r="AZ63" s="83"/>
      <c r="BA63" s="83"/>
      <c r="BB63" s="83"/>
      <c r="BC63" s="83"/>
      <c r="BD63" s="83"/>
      <c r="BE63" s="83"/>
      <c r="BF63" s="83"/>
      <c r="BG63" s="83"/>
      <c r="BH63" s="83"/>
      <c r="BI63" s="83"/>
      <c r="BJ63" s="83"/>
      <c r="BK63" s="83"/>
      <c r="BL63" s="83"/>
      <c r="BM63" s="83"/>
      <c r="BN63" s="83"/>
      <c r="BO63" s="83"/>
      <c r="BP63" s="83"/>
      <c r="BQ63" s="79" t="s">
        <v>57</v>
      </c>
    </row>
    <row r="64" spans="1:69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</row>
    <row r="65" spans="1:69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</row>
    <row r="66" spans="1:69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</row>
    <row r="67" spans="1:69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</row>
    <row r="68" spans="1:69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1"/>
      <c r="BQ68" s="1"/>
    </row>
    <row r="69" spans="1:69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</row>
    <row r="70" spans="1:69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</row>
    <row r="71" spans="1:69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</row>
    <row r="72" spans="1:69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</row>
    <row r="73" spans="1:69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</row>
    <row r="74" spans="1:69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</row>
    <row r="75" spans="1:69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</row>
    <row r="76" spans="1:69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</row>
    <row r="77" spans="1:69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</row>
    <row r="78" spans="1:69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</row>
    <row r="79" spans="1:69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</row>
    <row r="80" spans="1:69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</row>
    <row r="81" spans="1:69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</row>
    <row r="82" spans="1:69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</row>
    <row r="83" spans="1:69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</row>
    <row r="84" spans="1:69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</row>
    <row r="85" spans="1:69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  <c r="BK85" s="1"/>
      <c r="BL85" s="1"/>
      <c r="BM85" s="1"/>
      <c r="BN85" s="1"/>
      <c r="BO85" s="1"/>
      <c r="BP85" s="1"/>
      <c r="BQ85" s="1"/>
    </row>
    <row r="86" spans="1:69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</row>
    <row r="87" spans="1:69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</row>
    <row r="88" spans="1:69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</row>
    <row r="89" spans="1:69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</row>
    <row r="90" spans="1:69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</row>
    <row r="91" spans="1:69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</row>
    <row r="92" spans="1:69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</row>
    <row r="93" spans="1:69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</row>
    <row r="94" spans="1:69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</row>
    <row r="95" spans="1:69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</row>
    <row r="96" spans="1:69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</row>
    <row r="97" spans="1:69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</row>
    <row r="98" spans="1:69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</row>
    <row r="99" spans="1:69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</row>
    <row r="100" spans="1:69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</row>
  </sheetData>
  <mergeCells count="6">
    <mergeCell ref="A1:B1"/>
    <mergeCell ref="D1:F1"/>
    <mergeCell ref="H1:K1"/>
    <mergeCell ref="L1:Q1"/>
    <mergeCell ref="A3:B3"/>
    <mergeCell ref="C3:Q3"/>
  </mergeCells>
  <conditionalFormatting sqref="L6:L63">
    <cfRule type="expression" dxfId="6" priority="1">
      <formula>L6="Complete"</formula>
    </cfRule>
    <cfRule type="expression" dxfId="5" priority="2">
      <formula>L6="In Progress"</formula>
    </cfRule>
    <cfRule type="expression" dxfId="4" priority="3">
      <formula>L6="On Hold"</formula>
    </cfRule>
  </conditionalFormatting>
  <conditionalFormatting sqref="M6:M63">
    <cfRule type="dataBar" priority="4">
      <dataBar>
        <cfvo type="min"/>
        <cfvo type="max"/>
        <color rgb="FF2563EB"/>
      </dataBar>
    </cfRule>
    <cfRule type="dataBar" priority="7">
      <dataBar>
        <cfvo type="min"/>
        <cfvo type="max"/>
        <color rgb="FF2563EB"/>
      </dataBar>
    </cfRule>
    <cfRule type="dataBar" priority="8">
      <dataBar>
        <cfvo type="min"/>
        <cfvo type="max"/>
        <color rgb="FF2563EB"/>
      </dataBar>
      <extLst>
        <ext xmlns:x14="http://schemas.microsoft.com/office/spreadsheetml/2009/9/main" uri="{B025F937-C7B1-47D3-B67F-A62EFF666E3E}">
          <x14:id>{B05FFF90-18D4-A5A7-8560-2BA14D3F5BBD}</x14:id>
        </ext>
      </extLst>
    </cfRule>
  </conditionalFormatting>
  <conditionalFormatting sqref="O6:O63">
    <cfRule type="cellIs" dxfId="3" priority="5" operator="greaterThan">
      <formula>0</formula>
    </cfRule>
    <cfRule type="cellIs" dxfId="2" priority="6" operator="lessThan">
      <formula>0</formula>
    </cfRule>
  </conditionalFormatting>
  <dataValidations count="1">
    <dataValidation type="list" sqref="L6:L63" xr:uid="{00000000-0002-0000-0200-000000000000}">
      <formula1>"Not Started,In Progress,Complete,On Hold"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05FFF90-18D4-A5A7-8560-2BA14D3F5BBD}">
            <x14:dataBar>
              <x14:cfvo type="min"/>
              <x14:cfvo type="max"/>
              <x14:negativeFillColor auto="1"/>
              <x14:axisColor auto="1"/>
            </x14:dataBar>
          </x14:cfRule>
          <xm:sqref>M6:M63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Q100"/>
  <sheetViews>
    <sheetView workbookViewId="0">
      <selection sqref="A1:L1"/>
    </sheetView>
  </sheetViews>
  <sheetFormatPr defaultRowHeight="14.25"/>
  <cols>
    <col min="1" max="1" width="7" customWidth="1"/>
    <col min="2" max="3" width="13" customWidth="1"/>
    <col min="4" max="9" width="14" customWidth="1"/>
    <col min="10" max="10" width="24" customWidth="1"/>
    <col min="11" max="11" width="14" customWidth="1"/>
    <col min="12" max="12" width="38" customWidth="1"/>
  </cols>
  <sheetData>
    <row r="1" spans="1:69" ht="21">
      <c r="A1" s="108" t="s">
        <v>329</v>
      </c>
      <c r="B1" s="108"/>
      <c r="C1" s="108"/>
      <c r="D1" s="108"/>
      <c r="E1" s="108"/>
      <c r="F1" s="108"/>
      <c r="G1" s="108"/>
      <c r="H1" s="108"/>
      <c r="I1" s="108"/>
      <c r="J1" s="108"/>
      <c r="K1" s="108"/>
      <c r="L1" s="108"/>
      <c r="M1" s="107"/>
      <c r="N1" s="107"/>
      <c r="O1" s="107"/>
      <c r="P1" s="107"/>
      <c r="Q1" s="107"/>
      <c r="R1" s="107"/>
      <c r="S1" s="107"/>
      <c r="T1" s="107"/>
      <c r="U1" s="107"/>
      <c r="V1" s="107"/>
      <c r="W1" s="107"/>
      <c r="X1" s="107"/>
      <c r="Y1" s="107"/>
      <c r="Z1" s="107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</row>
    <row r="2" spans="1:69" ht="15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</row>
    <row r="3" spans="1:69" ht="36" customHeight="1">
      <c r="A3" s="19" t="s">
        <v>330</v>
      </c>
      <c r="B3" s="19" t="s">
        <v>331</v>
      </c>
      <c r="C3" s="19" t="s">
        <v>332</v>
      </c>
      <c r="D3" s="19" t="s">
        <v>89</v>
      </c>
      <c r="E3" s="19" t="s">
        <v>97</v>
      </c>
      <c r="F3" s="19" t="s">
        <v>333</v>
      </c>
      <c r="G3" s="19" t="s">
        <v>334</v>
      </c>
      <c r="H3" s="19" t="s">
        <v>335</v>
      </c>
      <c r="I3" s="19" t="s">
        <v>336</v>
      </c>
      <c r="J3" s="19" t="s">
        <v>337</v>
      </c>
      <c r="K3" s="19" t="s">
        <v>95</v>
      </c>
      <c r="L3" s="19" t="s">
        <v>338</v>
      </c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</row>
    <row r="4" spans="1:69" ht="81">
      <c r="A4" s="84">
        <v>1</v>
      </c>
      <c r="B4" s="85">
        <v>46202</v>
      </c>
      <c r="C4" s="85">
        <v>46208</v>
      </c>
      <c r="D4" s="86">
        <v>11</v>
      </c>
      <c r="E4" s="86">
        <v>1.5</v>
      </c>
      <c r="F4" s="86">
        <f t="shared" ref="F4:F35" si="0">IF(E4="","",E4-D4)</f>
        <v>-9.5</v>
      </c>
      <c r="G4" s="86">
        <f>D4</f>
        <v>11</v>
      </c>
      <c r="H4" s="86">
        <f>IF(E4="",0,E4)</f>
        <v>1.5</v>
      </c>
      <c r="I4" s="86">
        <f t="shared" ref="I4:I35" si="1">MAX(576-G4,0)</f>
        <v>565</v>
      </c>
      <c r="J4" s="86" t="s">
        <v>339</v>
      </c>
      <c r="K4" s="86" t="s">
        <v>425</v>
      </c>
      <c r="L4" s="87" t="s">
        <v>430</v>
      </c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  <c r="BO4" s="1"/>
      <c r="BP4" s="1"/>
      <c r="BQ4" s="1"/>
    </row>
    <row r="5" spans="1:69" ht="15">
      <c r="A5" s="84">
        <v>2</v>
      </c>
      <c r="B5" s="85">
        <v>46209</v>
      </c>
      <c r="C5" s="85">
        <v>46215</v>
      </c>
      <c r="D5" s="86">
        <v>11</v>
      </c>
      <c r="E5" s="86"/>
      <c r="F5" s="86" t="str">
        <f t="shared" si="0"/>
        <v/>
      </c>
      <c r="G5" s="86">
        <f t="shared" ref="G5:G36" si="2">G4+D5</f>
        <v>22</v>
      </c>
      <c r="H5" s="86">
        <f t="shared" ref="H5:H36" si="3">H4+IF(E5="",0,E5)</f>
        <v>1.5</v>
      </c>
      <c r="I5" s="86">
        <f t="shared" si="1"/>
        <v>554</v>
      </c>
      <c r="J5" s="86" t="s">
        <v>339</v>
      </c>
      <c r="K5" s="86" t="s">
        <v>166</v>
      </c>
      <c r="L5" s="87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</row>
    <row r="6" spans="1:69" ht="15">
      <c r="A6" s="84">
        <v>3</v>
      </c>
      <c r="B6" s="85">
        <v>46216</v>
      </c>
      <c r="C6" s="85">
        <v>46222</v>
      </c>
      <c r="D6" s="86">
        <v>11</v>
      </c>
      <c r="E6" s="86"/>
      <c r="F6" s="86" t="str">
        <f t="shared" si="0"/>
        <v/>
      </c>
      <c r="G6" s="86">
        <f t="shared" si="2"/>
        <v>33</v>
      </c>
      <c r="H6" s="86">
        <f t="shared" si="3"/>
        <v>1.5</v>
      </c>
      <c r="I6" s="86">
        <f t="shared" si="1"/>
        <v>543</v>
      </c>
      <c r="J6" s="86" t="s">
        <v>340</v>
      </c>
      <c r="K6" s="86" t="s">
        <v>166</v>
      </c>
      <c r="L6" s="87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</row>
    <row r="7" spans="1:69" ht="15">
      <c r="A7" s="84">
        <v>4</v>
      </c>
      <c r="B7" s="85">
        <v>46223</v>
      </c>
      <c r="C7" s="85">
        <v>46229</v>
      </c>
      <c r="D7" s="86">
        <v>11</v>
      </c>
      <c r="E7" s="86"/>
      <c r="F7" s="86" t="str">
        <f t="shared" si="0"/>
        <v/>
      </c>
      <c r="G7" s="86">
        <f t="shared" si="2"/>
        <v>44</v>
      </c>
      <c r="H7" s="86">
        <f t="shared" si="3"/>
        <v>1.5</v>
      </c>
      <c r="I7" s="86">
        <f t="shared" si="1"/>
        <v>532</v>
      </c>
      <c r="J7" s="86" t="s">
        <v>340</v>
      </c>
      <c r="K7" s="86" t="s">
        <v>166</v>
      </c>
      <c r="L7" s="87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</row>
    <row r="8" spans="1:69" ht="15">
      <c r="A8" s="84">
        <v>5</v>
      </c>
      <c r="B8" s="85">
        <v>46230</v>
      </c>
      <c r="C8" s="85">
        <v>46236</v>
      </c>
      <c r="D8" s="86">
        <v>11</v>
      </c>
      <c r="E8" s="86"/>
      <c r="F8" s="86" t="str">
        <f t="shared" si="0"/>
        <v/>
      </c>
      <c r="G8" s="86">
        <f t="shared" si="2"/>
        <v>55</v>
      </c>
      <c r="H8" s="86">
        <f t="shared" si="3"/>
        <v>1.5</v>
      </c>
      <c r="I8" s="86">
        <f t="shared" si="1"/>
        <v>521</v>
      </c>
      <c r="J8" s="86" t="s">
        <v>340</v>
      </c>
      <c r="K8" s="86" t="s">
        <v>166</v>
      </c>
      <c r="L8" s="87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</row>
    <row r="9" spans="1:69" ht="15">
      <c r="A9" s="84">
        <v>6</v>
      </c>
      <c r="B9" s="85">
        <v>46237</v>
      </c>
      <c r="C9" s="85">
        <v>46243</v>
      </c>
      <c r="D9" s="86">
        <v>11</v>
      </c>
      <c r="E9" s="86"/>
      <c r="F9" s="86" t="str">
        <f t="shared" si="0"/>
        <v/>
      </c>
      <c r="G9" s="86">
        <f t="shared" si="2"/>
        <v>66</v>
      </c>
      <c r="H9" s="86">
        <f t="shared" si="3"/>
        <v>1.5</v>
      </c>
      <c r="I9" s="86">
        <f t="shared" si="1"/>
        <v>510</v>
      </c>
      <c r="J9" s="86" t="s">
        <v>340</v>
      </c>
      <c r="K9" s="86" t="s">
        <v>166</v>
      </c>
      <c r="L9" s="87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</row>
    <row r="10" spans="1:69" ht="15">
      <c r="A10" s="84">
        <v>7</v>
      </c>
      <c r="B10" s="85">
        <v>46244</v>
      </c>
      <c r="C10" s="85">
        <v>46250</v>
      </c>
      <c r="D10" s="86">
        <v>11</v>
      </c>
      <c r="E10" s="86"/>
      <c r="F10" s="86" t="str">
        <f t="shared" si="0"/>
        <v/>
      </c>
      <c r="G10" s="86">
        <f t="shared" si="2"/>
        <v>77</v>
      </c>
      <c r="H10" s="86">
        <f t="shared" si="3"/>
        <v>1.5</v>
      </c>
      <c r="I10" s="86">
        <f t="shared" si="1"/>
        <v>499</v>
      </c>
      <c r="J10" s="86" t="s">
        <v>340</v>
      </c>
      <c r="K10" s="86" t="s">
        <v>166</v>
      </c>
      <c r="L10" s="87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/>
      <c r="BO10" s="1"/>
      <c r="BP10" s="1"/>
      <c r="BQ10" s="1"/>
    </row>
    <row r="11" spans="1:69" ht="15">
      <c r="A11" s="84">
        <v>8</v>
      </c>
      <c r="B11" s="85">
        <v>46251</v>
      </c>
      <c r="C11" s="85">
        <v>46257</v>
      </c>
      <c r="D11" s="86">
        <v>11</v>
      </c>
      <c r="E11" s="86"/>
      <c r="F11" s="86" t="str">
        <f t="shared" si="0"/>
        <v/>
      </c>
      <c r="G11" s="86">
        <f t="shared" si="2"/>
        <v>88</v>
      </c>
      <c r="H11" s="86">
        <f t="shared" si="3"/>
        <v>1.5</v>
      </c>
      <c r="I11" s="86">
        <f t="shared" si="1"/>
        <v>488</v>
      </c>
      <c r="J11" s="86" t="s">
        <v>340</v>
      </c>
      <c r="K11" s="86" t="s">
        <v>166</v>
      </c>
      <c r="L11" s="87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</row>
    <row r="12" spans="1:69" ht="15">
      <c r="A12" s="88">
        <v>9</v>
      </c>
      <c r="B12" s="89">
        <v>46258</v>
      </c>
      <c r="C12" s="89">
        <v>46264</v>
      </c>
      <c r="D12" s="90">
        <v>12</v>
      </c>
      <c r="E12" s="90"/>
      <c r="F12" s="90" t="str">
        <f t="shared" si="0"/>
        <v/>
      </c>
      <c r="G12" s="90">
        <f t="shared" si="2"/>
        <v>100</v>
      </c>
      <c r="H12" s="90">
        <f t="shared" si="3"/>
        <v>1.5</v>
      </c>
      <c r="I12" s="90">
        <f t="shared" si="1"/>
        <v>476</v>
      </c>
      <c r="J12" s="90" t="s">
        <v>340</v>
      </c>
      <c r="K12" s="90" t="s">
        <v>166</v>
      </c>
      <c r="L12" s="9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</row>
    <row r="13" spans="1:69" ht="15">
      <c r="A13" s="84">
        <v>10</v>
      </c>
      <c r="B13" s="85">
        <v>46265</v>
      </c>
      <c r="C13" s="85">
        <v>46271</v>
      </c>
      <c r="D13" s="86">
        <v>11</v>
      </c>
      <c r="E13" s="86"/>
      <c r="F13" s="86" t="str">
        <f t="shared" si="0"/>
        <v/>
      </c>
      <c r="G13" s="86">
        <f t="shared" si="2"/>
        <v>111</v>
      </c>
      <c r="H13" s="86">
        <f t="shared" si="3"/>
        <v>1.5</v>
      </c>
      <c r="I13" s="86">
        <f t="shared" si="1"/>
        <v>465</v>
      </c>
      <c r="J13" s="86" t="s">
        <v>341</v>
      </c>
      <c r="K13" s="86" t="s">
        <v>166</v>
      </c>
      <c r="L13" s="87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/>
      <c r="BI13" s="1"/>
      <c r="BJ13" s="1"/>
      <c r="BK13" s="1"/>
      <c r="BL13" s="1"/>
      <c r="BM13" s="1"/>
      <c r="BN13" s="1"/>
      <c r="BO13" s="1"/>
      <c r="BP13" s="1"/>
      <c r="BQ13" s="1"/>
    </row>
    <row r="14" spans="1:69" ht="15">
      <c r="A14" s="84">
        <v>11</v>
      </c>
      <c r="B14" s="85">
        <v>46272</v>
      </c>
      <c r="C14" s="85">
        <v>46278</v>
      </c>
      <c r="D14" s="86">
        <v>11</v>
      </c>
      <c r="E14" s="86"/>
      <c r="F14" s="86" t="str">
        <f t="shared" si="0"/>
        <v/>
      </c>
      <c r="G14" s="86">
        <f t="shared" si="2"/>
        <v>122</v>
      </c>
      <c r="H14" s="86">
        <f t="shared" si="3"/>
        <v>1.5</v>
      </c>
      <c r="I14" s="86">
        <f t="shared" si="1"/>
        <v>454</v>
      </c>
      <c r="J14" s="86" t="s">
        <v>341</v>
      </c>
      <c r="K14" s="86" t="s">
        <v>166</v>
      </c>
      <c r="L14" s="87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</row>
    <row r="15" spans="1:69" ht="15">
      <c r="A15" s="84">
        <v>12</v>
      </c>
      <c r="B15" s="85">
        <v>46279</v>
      </c>
      <c r="C15" s="85">
        <v>46285</v>
      </c>
      <c r="D15" s="86">
        <v>11</v>
      </c>
      <c r="E15" s="86"/>
      <c r="F15" s="86" t="str">
        <f t="shared" si="0"/>
        <v/>
      </c>
      <c r="G15" s="86">
        <f t="shared" si="2"/>
        <v>133</v>
      </c>
      <c r="H15" s="86">
        <f t="shared" si="3"/>
        <v>1.5</v>
      </c>
      <c r="I15" s="86">
        <f t="shared" si="1"/>
        <v>443</v>
      </c>
      <c r="J15" s="86" t="s">
        <v>341</v>
      </c>
      <c r="K15" s="86" t="s">
        <v>166</v>
      </c>
      <c r="L15" s="87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</row>
    <row r="16" spans="1:69" ht="15">
      <c r="A16" s="84">
        <v>13</v>
      </c>
      <c r="B16" s="85">
        <v>46286</v>
      </c>
      <c r="C16" s="85">
        <v>46292</v>
      </c>
      <c r="D16" s="86">
        <v>11</v>
      </c>
      <c r="E16" s="86"/>
      <c r="F16" s="86" t="str">
        <f t="shared" si="0"/>
        <v/>
      </c>
      <c r="G16" s="86">
        <f t="shared" si="2"/>
        <v>144</v>
      </c>
      <c r="H16" s="86">
        <f t="shared" si="3"/>
        <v>1.5</v>
      </c>
      <c r="I16" s="86">
        <f t="shared" si="1"/>
        <v>432</v>
      </c>
      <c r="J16" s="86" t="s">
        <v>341</v>
      </c>
      <c r="K16" s="86" t="s">
        <v>166</v>
      </c>
      <c r="L16" s="87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/>
    </row>
    <row r="17" spans="1:69" ht="15">
      <c r="A17" s="84">
        <v>14</v>
      </c>
      <c r="B17" s="85">
        <v>46293</v>
      </c>
      <c r="C17" s="85">
        <v>46299</v>
      </c>
      <c r="D17" s="86">
        <v>11</v>
      </c>
      <c r="E17" s="86"/>
      <c r="F17" s="86" t="str">
        <f t="shared" si="0"/>
        <v/>
      </c>
      <c r="G17" s="86">
        <f t="shared" si="2"/>
        <v>155</v>
      </c>
      <c r="H17" s="86">
        <f t="shared" si="3"/>
        <v>1.5</v>
      </c>
      <c r="I17" s="86">
        <f t="shared" si="1"/>
        <v>421</v>
      </c>
      <c r="J17" s="86" t="s">
        <v>341</v>
      </c>
      <c r="K17" s="86" t="s">
        <v>166</v>
      </c>
      <c r="L17" s="87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  <c r="AX17" s="1"/>
      <c r="AY17" s="1"/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</row>
    <row r="18" spans="1:69" ht="15">
      <c r="A18" s="84">
        <v>15</v>
      </c>
      <c r="B18" s="85">
        <v>46300</v>
      </c>
      <c r="C18" s="85">
        <v>46306</v>
      </c>
      <c r="D18" s="86">
        <v>11</v>
      </c>
      <c r="E18" s="86"/>
      <c r="F18" s="86" t="str">
        <f t="shared" si="0"/>
        <v/>
      </c>
      <c r="G18" s="86">
        <f t="shared" si="2"/>
        <v>166</v>
      </c>
      <c r="H18" s="86">
        <f t="shared" si="3"/>
        <v>1.5</v>
      </c>
      <c r="I18" s="86">
        <f t="shared" si="1"/>
        <v>410</v>
      </c>
      <c r="J18" s="86" t="s">
        <v>341</v>
      </c>
      <c r="K18" s="86" t="s">
        <v>166</v>
      </c>
      <c r="L18" s="87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/>
    </row>
    <row r="19" spans="1:69" ht="15">
      <c r="A19" s="84">
        <v>16</v>
      </c>
      <c r="B19" s="85">
        <v>46307</v>
      </c>
      <c r="C19" s="85">
        <v>46313</v>
      </c>
      <c r="D19" s="86">
        <v>11</v>
      </c>
      <c r="E19" s="86"/>
      <c r="F19" s="86" t="str">
        <f t="shared" si="0"/>
        <v/>
      </c>
      <c r="G19" s="86">
        <f t="shared" si="2"/>
        <v>177</v>
      </c>
      <c r="H19" s="86">
        <f t="shared" si="3"/>
        <v>1.5</v>
      </c>
      <c r="I19" s="86">
        <f t="shared" si="1"/>
        <v>399</v>
      </c>
      <c r="J19" s="86" t="s">
        <v>341</v>
      </c>
      <c r="K19" s="86" t="s">
        <v>166</v>
      </c>
      <c r="L19" s="87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</row>
    <row r="20" spans="1:69" ht="15">
      <c r="A20" s="84">
        <v>17</v>
      </c>
      <c r="B20" s="85">
        <v>46314</v>
      </c>
      <c r="C20" s="85">
        <v>46320</v>
      </c>
      <c r="D20" s="86">
        <v>11</v>
      </c>
      <c r="E20" s="86"/>
      <c r="F20" s="86" t="str">
        <f t="shared" si="0"/>
        <v/>
      </c>
      <c r="G20" s="86">
        <f t="shared" si="2"/>
        <v>188</v>
      </c>
      <c r="H20" s="86">
        <f t="shared" si="3"/>
        <v>1.5</v>
      </c>
      <c r="I20" s="86">
        <f t="shared" si="1"/>
        <v>388</v>
      </c>
      <c r="J20" s="86" t="s">
        <v>342</v>
      </c>
      <c r="K20" s="86" t="s">
        <v>166</v>
      </c>
      <c r="L20" s="87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/>
      <c r="BI20" s="1"/>
      <c r="BJ20" s="1"/>
      <c r="BK20" s="1"/>
      <c r="BL20" s="1"/>
      <c r="BM20" s="1"/>
      <c r="BN20" s="1"/>
      <c r="BO20" s="1"/>
      <c r="BP20" s="1"/>
      <c r="BQ20" s="1"/>
    </row>
    <row r="21" spans="1:69" ht="15">
      <c r="A21" s="84">
        <v>18</v>
      </c>
      <c r="B21" s="85">
        <v>46321</v>
      </c>
      <c r="C21" s="85">
        <v>46327</v>
      </c>
      <c r="D21" s="86">
        <v>11</v>
      </c>
      <c r="E21" s="86"/>
      <c r="F21" s="86" t="str">
        <f t="shared" si="0"/>
        <v/>
      </c>
      <c r="G21" s="86">
        <f t="shared" si="2"/>
        <v>199</v>
      </c>
      <c r="H21" s="86">
        <f t="shared" si="3"/>
        <v>1.5</v>
      </c>
      <c r="I21" s="86">
        <f t="shared" si="1"/>
        <v>377</v>
      </c>
      <c r="J21" s="86" t="s">
        <v>342</v>
      </c>
      <c r="K21" s="86" t="s">
        <v>166</v>
      </c>
      <c r="L21" s="87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</row>
    <row r="22" spans="1:69" ht="15">
      <c r="A22" s="84">
        <v>19</v>
      </c>
      <c r="B22" s="85">
        <v>46328</v>
      </c>
      <c r="C22" s="85">
        <v>46334</v>
      </c>
      <c r="D22" s="86">
        <v>11</v>
      </c>
      <c r="E22" s="86"/>
      <c r="F22" s="86" t="str">
        <f t="shared" si="0"/>
        <v/>
      </c>
      <c r="G22" s="86">
        <f t="shared" si="2"/>
        <v>210</v>
      </c>
      <c r="H22" s="86">
        <f t="shared" si="3"/>
        <v>1.5</v>
      </c>
      <c r="I22" s="86">
        <f t="shared" si="1"/>
        <v>366</v>
      </c>
      <c r="J22" s="86" t="s">
        <v>342</v>
      </c>
      <c r="K22" s="86" t="s">
        <v>166</v>
      </c>
      <c r="L22" s="87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</row>
    <row r="23" spans="1:69" ht="15">
      <c r="A23" s="84">
        <v>20</v>
      </c>
      <c r="B23" s="85">
        <v>46335</v>
      </c>
      <c r="C23" s="85">
        <v>46341</v>
      </c>
      <c r="D23" s="86">
        <v>11</v>
      </c>
      <c r="E23" s="86"/>
      <c r="F23" s="86" t="str">
        <f t="shared" si="0"/>
        <v/>
      </c>
      <c r="G23" s="86">
        <f t="shared" si="2"/>
        <v>221</v>
      </c>
      <c r="H23" s="86">
        <f t="shared" si="3"/>
        <v>1.5</v>
      </c>
      <c r="I23" s="86">
        <f t="shared" si="1"/>
        <v>355</v>
      </c>
      <c r="J23" s="86" t="s">
        <v>342</v>
      </c>
      <c r="K23" s="86" t="s">
        <v>166</v>
      </c>
      <c r="L23" s="87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</row>
    <row r="24" spans="1:69" ht="15">
      <c r="A24" s="84">
        <v>21</v>
      </c>
      <c r="B24" s="85">
        <v>46342</v>
      </c>
      <c r="C24" s="85">
        <v>46348</v>
      </c>
      <c r="D24" s="86">
        <v>11</v>
      </c>
      <c r="E24" s="86"/>
      <c r="F24" s="86" t="str">
        <f t="shared" si="0"/>
        <v/>
      </c>
      <c r="G24" s="86">
        <f t="shared" si="2"/>
        <v>232</v>
      </c>
      <c r="H24" s="86">
        <f t="shared" si="3"/>
        <v>1.5</v>
      </c>
      <c r="I24" s="86">
        <f t="shared" si="1"/>
        <v>344</v>
      </c>
      <c r="J24" s="86" t="s">
        <v>342</v>
      </c>
      <c r="K24" s="86" t="s">
        <v>166</v>
      </c>
      <c r="L24" s="87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</row>
    <row r="25" spans="1:69" ht="15">
      <c r="A25" s="84">
        <v>22</v>
      </c>
      <c r="B25" s="85">
        <v>46349</v>
      </c>
      <c r="C25" s="85">
        <v>46355</v>
      </c>
      <c r="D25" s="86">
        <v>11</v>
      </c>
      <c r="E25" s="86"/>
      <c r="F25" s="86" t="str">
        <f t="shared" si="0"/>
        <v/>
      </c>
      <c r="G25" s="86">
        <f t="shared" si="2"/>
        <v>243</v>
      </c>
      <c r="H25" s="86">
        <f t="shared" si="3"/>
        <v>1.5</v>
      </c>
      <c r="I25" s="86">
        <f t="shared" si="1"/>
        <v>333</v>
      </c>
      <c r="J25" s="86" t="s">
        <v>342</v>
      </c>
      <c r="K25" s="86" t="s">
        <v>166</v>
      </c>
      <c r="L25" s="87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/>
      <c r="BC25" s="1"/>
      <c r="BD25" s="1"/>
      <c r="BE25" s="1"/>
      <c r="BF25" s="1"/>
      <c r="BG25" s="1"/>
      <c r="BH25" s="1"/>
      <c r="BI25" s="1"/>
      <c r="BJ25" s="1"/>
      <c r="BK25" s="1"/>
      <c r="BL25" s="1"/>
      <c r="BM25" s="1"/>
      <c r="BN25" s="1"/>
      <c r="BO25" s="1"/>
      <c r="BP25" s="1"/>
      <c r="BQ25" s="1"/>
    </row>
    <row r="26" spans="1:69" ht="15">
      <c r="A26" s="84">
        <v>23</v>
      </c>
      <c r="B26" s="85">
        <v>46356</v>
      </c>
      <c r="C26" s="85">
        <v>46362</v>
      </c>
      <c r="D26" s="86">
        <v>11</v>
      </c>
      <c r="E26" s="86"/>
      <c r="F26" s="86" t="str">
        <f t="shared" si="0"/>
        <v/>
      </c>
      <c r="G26" s="86">
        <f t="shared" si="2"/>
        <v>254</v>
      </c>
      <c r="H26" s="86">
        <f t="shared" si="3"/>
        <v>1.5</v>
      </c>
      <c r="I26" s="86">
        <f t="shared" si="1"/>
        <v>322</v>
      </c>
      <c r="J26" s="86" t="s">
        <v>342</v>
      </c>
      <c r="K26" s="86" t="s">
        <v>166</v>
      </c>
      <c r="L26" s="87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</row>
    <row r="27" spans="1:69" ht="15">
      <c r="A27" s="88">
        <v>24</v>
      </c>
      <c r="B27" s="89">
        <v>46363</v>
      </c>
      <c r="C27" s="89">
        <v>46369</v>
      </c>
      <c r="D27" s="90">
        <v>12</v>
      </c>
      <c r="E27" s="90"/>
      <c r="F27" s="90" t="str">
        <f t="shared" si="0"/>
        <v/>
      </c>
      <c r="G27" s="90">
        <f t="shared" si="2"/>
        <v>266</v>
      </c>
      <c r="H27" s="90">
        <f t="shared" si="3"/>
        <v>1.5</v>
      </c>
      <c r="I27" s="90">
        <f t="shared" si="1"/>
        <v>310</v>
      </c>
      <c r="J27" s="90" t="s">
        <v>342</v>
      </c>
      <c r="K27" s="90" t="s">
        <v>166</v>
      </c>
      <c r="L27" s="9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  <c r="BA27" s="1"/>
      <c r="BB27" s="1"/>
      <c r="BC27" s="1"/>
      <c r="BD27" s="1"/>
      <c r="BE27" s="1"/>
      <c r="BF27" s="1"/>
      <c r="BG27" s="1"/>
      <c r="BH27" s="1"/>
      <c r="BI27" s="1"/>
      <c r="BJ27" s="1"/>
      <c r="BK27" s="1"/>
      <c r="BL27" s="1"/>
      <c r="BM27" s="1"/>
      <c r="BN27" s="1"/>
      <c r="BO27" s="1"/>
      <c r="BP27" s="1"/>
      <c r="BQ27" s="1"/>
    </row>
    <row r="28" spans="1:69" ht="15">
      <c r="A28" s="84">
        <v>25</v>
      </c>
      <c r="B28" s="85">
        <v>46370</v>
      </c>
      <c r="C28" s="85">
        <v>46376</v>
      </c>
      <c r="D28" s="86">
        <v>11</v>
      </c>
      <c r="E28" s="86"/>
      <c r="F28" s="86" t="str">
        <f t="shared" si="0"/>
        <v/>
      </c>
      <c r="G28" s="86">
        <f t="shared" si="2"/>
        <v>277</v>
      </c>
      <c r="H28" s="86">
        <f t="shared" si="3"/>
        <v>1.5</v>
      </c>
      <c r="I28" s="86">
        <f t="shared" si="1"/>
        <v>299</v>
      </c>
      <c r="J28" s="86" t="s">
        <v>343</v>
      </c>
      <c r="K28" s="86" t="s">
        <v>166</v>
      </c>
      <c r="L28" s="87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</row>
    <row r="29" spans="1:69" ht="15">
      <c r="A29" s="84">
        <v>26</v>
      </c>
      <c r="B29" s="85">
        <v>46377</v>
      </c>
      <c r="C29" s="85">
        <v>46383</v>
      </c>
      <c r="D29" s="86">
        <v>11</v>
      </c>
      <c r="E29" s="86"/>
      <c r="F29" s="86" t="str">
        <f t="shared" si="0"/>
        <v/>
      </c>
      <c r="G29" s="86">
        <f t="shared" si="2"/>
        <v>288</v>
      </c>
      <c r="H29" s="86">
        <f t="shared" si="3"/>
        <v>1.5</v>
      </c>
      <c r="I29" s="86">
        <f t="shared" si="1"/>
        <v>288</v>
      </c>
      <c r="J29" s="86" t="s">
        <v>343</v>
      </c>
      <c r="K29" s="86" t="s">
        <v>166</v>
      </c>
      <c r="L29" s="87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  <c r="BK29" s="1"/>
      <c r="BL29" s="1"/>
      <c r="BM29" s="1"/>
      <c r="BN29" s="1"/>
      <c r="BO29" s="1"/>
      <c r="BP29" s="1"/>
      <c r="BQ29" s="1"/>
    </row>
    <row r="30" spans="1:69" ht="15">
      <c r="A30" s="84">
        <v>27</v>
      </c>
      <c r="B30" s="85">
        <v>46384</v>
      </c>
      <c r="C30" s="85">
        <v>46390</v>
      </c>
      <c r="D30" s="86">
        <v>11</v>
      </c>
      <c r="E30" s="86"/>
      <c r="F30" s="86" t="str">
        <f t="shared" si="0"/>
        <v/>
      </c>
      <c r="G30" s="86">
        <f t="shared" si="2"/>
        <v>299</v>
      </c>
      <c r="H30" s="86">
        <f t="shared" si="3"/>
        <v>1.5</v>
      </c>
      <c r="I30" s="86">
        <f t="shared" si="1"/>
        <v>277</v>
      </c>
      <c r="J30" s="86" t="s">
        <v>343</v>
      </c>
      <c r="K30" s="86" t="s">
        <v>166</v>
      </c>
      <c r="L30" s="87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/>
    </row>
    <row r="31" spans="1:69" ht="15">
      <c r="A31" s="84">
        <v>28</v>
      </c>
      <c r="B31" s="85">
        <v>46391</v>
      </c>
      <c r="C31" s="85">
        <v>46397</v>
      </c>
      <c r="D31" s="86">
        <v>11</v>
      </c>
      <c r="E31" s="86"/>
      <c r="F31" s="86" t="str">
        <f t="shared" si="0"/>
        <v/>
      </c>
      <c r="G31" s="86">
        <f t="shared" si="2"/>
        <v>310</v>
      </c>
      <c r="H31" s="86">
        <f t="shared" si="3"/>
        <v>1.5</v>
      </c>
      <c r="I31" s="86">
        <f t="shared" si="1"/>
        <v>266</v>
      </c>
      <c r="J31" s="86" t="s">
        <v>343</v>
      </c>
      <c r="K31" s="86" t="s">
        <v>166</v>
      </c>
      <c r="L31" s="87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/>
      <c r="BM31" s="1"/>
      <c r="BN31" s="1"/>
      <c r="BO31" s="1"/>
      <c r="BP31" s="1"/>
      <c r="BQ31" s="1"/>
    </row>
    <row r="32" spans="1:69" ht="15">
      <c r="A32" s="84">
        <v>29</v>
      </c>
      <c r="B32" s="85">
        <v>46398</v>
      </c>
      <c r="C32" s="85">
        <v>46404</v>
      </c>
      <c r="D32" s="86">
        <v>11</v>
      </c>
      <c r="E32" s="86"/>
      <c r="F32" s="86" t="str">
        <f t="shared" si="0"/>
        <v/>
      </c>
      <c r="G32" s="86">
        <f t="shared" si="2"/>
        <v>321</v>
      </c>
      <c r="H32" s="86">
        <f t="shared" si="3"/>
        <v>1.5</v>
      </c>
      <c r="I32" s="86">
        <f t="shared" si="1"/>
        <v>255</v>
      </c>
      <c r="J32" s="86" t="s">
        <v>343</v>
      </c>
      <c r="K32" s="86" t="s">
        <v>166</v>
      </c>
      <c r="L32" s="87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</row>
    <row r="33" spans="1:69" ht="15">
      <c r="A33" s="84">
        <v>30</v>
      </c>
      <c r="B33" s="85">
        <v>46405</v>
      </c>
      <c r="C33" s="85">
        <v>46411</v>
      </c>
      <c r="D33" s="86">
        <v>11</v>
      </c>
      <c r="E33" s="86"/>
      <c r="F33" s="86" t="str">
        <f t="shared" si="0"/>
        <v/>
      </c>
      <c r="G33" s="86">
        <f t="shared" si="2"/>
        <v>332</v>
      </c>
      <c r="H33" s="86">
        <f t="shared" si="3"/>
        <v>1.5</v>
      </c>
      <c r="I33" s="86">
        <f t="shared" si="1"/>
        <v>244</v>
      </c>
      <c r="J33" s="86" t="s">
        <v>343</v>
      </c>
      <c r="K33" s="86" t="s">
        <v>166</v>
      </c>
      <c r="L33" s="87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</row>
    <row r="34" spans="1:69" ht="15">
      <c r="A34" s="84">
        <v>31</v>
      </c>
      <c r="B34" s="85">
        <v>46412</v>
      </c>
      <c r="C34" s="85">
        <v>46418</v>
      </c>
      <c r="D34" s="86">
        <v>11</v>
      </c>
      <c r="E34" s="86"/>
      <c r="F34" s="86" t="str">
        <f t="shared" si="0"/>
        <v/>
      </c>
      <c r="G34" s="86">
        <f t="shared" si="2"/>
        <v>343</v>
      </c>
      <c r="H34" s="86">
        <f t="shared" si="3"/>
        <v>1.5</v>
      </c>
      <c r="I34" s="86">
        <f t="shared" si="1"/>
        <v>233</v>
      </c>
      <c r="J34" s="86" t="s">
        <v>343</v>
      </c>
      <c r="K34" s="86" t="s">
        <v>166</v>
      </c>
      <c r="L34" s="87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/>
      <c r="BQ34" s="1"/>
    </row>
    <row r="35" spans="1:69" ht="15">
      <c r="A35" s="84">
        <v>32</v>
      </c>
      <c r="B35" s="85">
        <v>46419</v>
      </c>
      <c r="C35" s="85">
        <v>46425</v>
      </c>
      <c r="D35" s="86">
        <v>11</v>
      </c>
      <c r="E35" s="86"/>
      <c r="F35" s="86" t="str">
        <f t="shared" si="0"/>
        <v/>
      </c>
      <c r="G35" s="86">
        <f t="shared" si="2"/>
        <v>354</v>
      </c>
      <c r="H35" s="86">
        <f t="shared" si="3"/>
        <v>1.5</v>
      </c>
      <c r="I35" s="86">
        <f t="shared" si="1"/>
        <v>222</v>
      </c>
      <c r="J35" s="86" t="s">
        <v>343</v>
      </c>
      <c r="K35" s="86" t="s">
        <v>166</v>
      </c>
      <c r="L35" s="87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</row>
    <row r="36" spans="1:69" ht="15">
      <c r="A36" s="84">
        <v>33</v>
      </c>
      <c r="B36" s="85">
        <v>46426</v>
      </c>
      <c r="C36" s="85">
        <v>46432</v>
      </c>
      <c r="D36" s="86">
        <v>11</v>
      </c>
      <c r="E36" s="86"/>
      <c r="F36" s="86" t="str">
        <f t="shared" ref="F36:F55" si="4">IF(E36="","",E36-D36)</f>
        <v/>
      </c>
      <c r="G36" s="86">
        <f t="shared" si="2"/>
        <v>365</v>
      </c>
      <c r="H36" s="86">
        <f t="shared" si="3"/>
        <v>1.5</v>
      </c>
      <c r="I36" s="86">
        <f t="shared" ref="I36:I55" si="5">MAX(576-G36,0)</f>
        <v>211</v>
      </c>
      <c r="J36" s="86" t="s">
        <v>344</v>
      </c>
      <c r="K36" s="86" t="s">
        <v>166</v>
      </c>
      <c r="L36" s="87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/>
      <c r="BO36" s="1"/>
      <c r="BP36" s="1"/>
      <c r="BQ36" s="1"/>
    </row>
    <row r="37" spans="1:69" ht="15">
      <c r="A37" s="84">
        <v>34</v>
      </c>
      <c r="B37" s="85">
        <v>46433</v>
      </c>
      <c r="C37" s="85">
        <v>46439</v>
      </c>
      <c r="D37" s="86">
        <v>11</v>
      </c>
      <c r="E37" s="86"/>
      <c r="F37" s="86" t="str">
        <f t="shared" si="4"/>
        <v/>
      </c>
      <c r="G37" s="86">
        <f t="shared" ref="G37:G55" si="6">G36+D37</f>
        <v>376</v>
      </c>
      <c r="H37" s="86">
        <f t="shared" ref="H37:H55" si="7">H36+IF(E37="",0,E37)</f>
        <v>1.5</v>
      </c>
      <c r="I37" s="86">
        <f t="shared" si="5"/>
        <v>200</v>
      </c>
      <c r="J37" s="86" t="s">
        <v>344</v>
      </c>
      <c r="K37" s="86" t="s">
        <v>166</v>
      </c>
      <c r="L37" s="87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</row>
    <row r="38" spans="1:69" ht="15">
      <c r="A38" s="84">
        <v>35</v>
      </c>
      <c r="B38" s="85">
        <v>46440</v>
      </c>
      <c r="C38" s="85">
        <v>46446</v>
      </c>
      <c r="D38" s="86">
        <v>11</v>
      </c>
      <c r="E38" s="86"/>
      <c r="F38" s="86" t="str">
        <f t="shared" si="4"/>
        <v/>
      </c>
      <c r="G38" s="86">
        <f t="shared" si="6"/>
        <v>387</v>
      </c>
      <c r="H38" s="86">
        <f t="shared" si="7"/>
        <v>1.5</v>
      </c>
      <c r="I38" s="86">
        <f t="shared" si="5"/>
        <v>189</v>
      </c>
      <c r="J38" s="86" t="s">
        <v>344</v>
      </c>
      <c r="K38" s="86" t="s">
        <v>166</v>
      </c>
      <c r="L38" s="87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  <c r="BO38" s="1"/>
      <c r="BP38" s="1"/>
      <c r="BQ38" s="1"/>
    </row>
    <row r="39" spans="1:69" ht="15">
      <c r="A39" s="84">
        <v>36</v>
      </c>
      <c r="B39" s="85">
        <v>46447</v>
      </c>
      <c r="C39" s="85">
        <v>46453</v>
      </c>
      <c r="D39" s="86">
        <v>11</v>
      </c>
      <c r="E39" s="86"/>
      <c r="F39" s="86" t="str">
        <f t="shared" si="4"/>
        <v/>
      </c>
      <c r="G39" s="86">
        <f t="shared" si="6"/>
        <v>398</v>
      </c>
      <c r="H39" s="86">
        <f t="shared" si="7"/>
        <v>1.5</v>
      </c>
      <c r="I39" s="86">
        <f t="shared" si="5"/>
        <v>178</v>
      </c>
      <c r="J39" s="86" t="s">
        <v>344</v>
      </c>
      <c r="K39" s="86" t="s">
        <v>166</v>
      </c>
      <c r="L39" s="87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1"/>
    </row>
    <row r="40" spans="1:69" ht="15">
      <c r="A40" s="84">
        <v>37</v>
      </c>
      <c r="B40" s="85">
        <v>46454</v>
      </c>
      <c r="C40" s="85">
        <v>46460</v>
      </c>
      <c r="D40" s="86">
        <v>11</v>
      </c>
      <c r="E40" s="86"/>
      <c r="F40" s="86" t="str">
        <f t="shared" si="4"/>
        <v/>
      </c>
      <c r="G40" s="86">
        <f t="shared" si="6"/>
        <v>409</v>
      </c>
      <c r="H40" s="86">
        <f t="shared" si="7"/>
        <v>1.5</v>
      </c>
      <c r="I40" s="86">
        <f t="shared" si="5"/>
        <v>167</v>
      </c>
      <c r="J40" s="86" t="s">
        <v>344</v>
      </c>
      <c r="K40" s="86" t="s">
        <v>166</v>
      </c>
      <c r="L40" s="87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</row>
    <row r="41" spans="1:69" ht="15">
      <c r="A41" s="84">
        <v>38</v>
      </c>
      <c r="B41" s="85">
        <v>46461</v>
      </c>
      <c r="C41" s="85">
        <v>46467</v>
      </c>
      <c r="D41" s="86">
        <v>11</v>
      </c>
      <c r="E41" s="86"/>
      <c r="F41" s="86" t="str">
        <f t="shared" si="4"/>
        <v/>
      </c>
      <c r="G41" s="86">
        <f t="shared" si="6"/>
        <v>420</v>
      </c>
      <c r="H41" s="86">
        <f t="shared" si="7"/>
        <v>1.5</v>
      </c>
      <c r="I41" s="86">
        <f t="shared" si="5"/>
        <v>156</v>
      </c>
      <c r="J41" s="86" t="s">
        <v>344</v>
      </c>
      <c r="K41" s="86" t="s">
        <v>166</v>
      </c>
      <c r="L41" s="87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</row>
    <row r="42" spans="1:69" ht="15">
      <c r="A42" s="84">
        <v>39</v>
      </c>
      <c r="B42" s="85">
        <v>46468</v>
      </c>
      <c r="C42" s="85">
        <v>46474</v>
      </c>
      <c r="D42" s="86">
        <v>11</v>
      </c>
      <c r="E42" s="86"/>
      <c r="F42" s="86" t="str">
        <f t="shared" si="4"/>
        <v/>
      </c>
      <c r="G42" s="86">
        <f t="shared" si="6"/>
        <v>431</v>
      </c>
      <c r="H42" s="86">
        <f t="shared" si="7"/>
        <v>1.5</v>
      </c>
      <c r="I42" s="86">
        <f t="shared" si="5"/>
        <v>145</v>
      </c>
      <c r="J42" s="86" t="s">
        <v>344</v>
      </c>
      <c r="K42" s="86" t="s">
        <v>166</v>
      </c>
      <c r="L42" s="87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</row>
    <row r="43" spans="1:69" ht="15">
      <c r="A43" s="84">
        <v>40</v>
      </c>
      <c r="B43" s="85">
        <v>46475</v>
      </c>
      <c r="C43" s="85">
        <v>46481</v>
      </c>
      <c r="D43" s="86">
        <v>11</v>
      </c>
      <c r="E43" s="86"/>
      <c r="F43" s="86" t="str">
        <f t="shared" si="4"/>
        <v/>
      </c>
      <c r="G43" s="86">
        <f t="shared" si="6"/>
        <v>442</v>
      </c>
      <c r="H43" s="86">
        <f t="shared" si="7"/>
        <v>1.5</v>
      </c>
      <c r="I43" s="86">
        <f t="shared" si="5"/>
        <v>134</v>
      </c>
      <c r="J43" s="86" t="s">
        <v>344</v>
      </c>
      <c r="K43" s="86" t="s">
        <v>166</v>
      </c>
      <c r="L43" s="87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</row>
    <row r="44" spans="1:69" ht="15">
      <c r="A44" s="84">
        <v>41</v>
      </c>
      <c r="B44" s="85">
        <v>46482</v>
      </c>
      <c r="C44" s="85">
        <v>46488</v>
      </c>
      <c r="D44" s="86">
        <v>11</v>
      </c>
      <c r="E44" s="86"/>
      <c r="F44" s="86" t="str">
        <f t="shared" si="4"/>
        <v/>
      </c>
      <c r="G44" s="86">
        <f t="shared" si="6"/>
        <v>453</v>
      </c>
      <c r="H44" s="86">
        <f t="shared" si="7"/>
        <v>1.5</v>
      </c>
      <c r="I44" s="86">
        <f t="shared" si="5"/>
        <v>123</v>
      </c>
      <c r="J44" s="86" t="s">
        <v>344</v>
      </c>
      <c r="K44" s="86" t="s">
        <v>166</v>
      </c>
      <c r="L44" s="87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</row>
    <row r="45" spans="1:69" ht="15">
      <c r="A45" s="88">
        <v>42</v>
      </c>
      <c r="B45" s="89">
        <v>46489</v>
      </c>
      <c r="C45" s="89">
        <v>46495</v>
      </c>
      <c r="D45" s="90">
        <v>12</v>
      </c>
      <c r="E45" s="90"/>
      <c r="F45" s="90" t="str">
        <f t="shared" si="4"/>
        <v/>
      </c>
      <c r="G45" s="90">
        <f t="shared" si="6"/>
        <v>465</v>
      </c>
      <c r="H45" s="90">
        <f t="shared" si="7"/>
        <v>1.5</v>
      </c>
      <c r="I45" s="90">
        <f t="shared" si="5"/>
        <v>111</v>
      </c>
      <c r="J45" s="90" t="s">
        <v>344</v>
      </c>
      <c r="K45" s="90" t="s">
        <v>166</v>
      </c>
      <c r="L45" s="9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</row>
    <row r="46" spans="1:69" ht="15">
      <c r="A46" s="84">
        <v>43</v>
      </c>
      <c r="B46" s="85">
        <v>46496</v>
      </c>
      <c r="C46" s="85">
        <v>46502</v>
      </c>
      <c r="D46" s="86">
        <v>11</v>
      </c>
      <c r="E46" s="86"/>
      <c r="F46" s="86" t="str">
        <f t="shared" si="4"/>
        <v/>
      </c>
      <c r="G46" s="86">
        <f t="shared" si="6"/>
        <v>476</v>
      </c>
      <c r="H46" s="86">
        <f t="shared" si="7"/>
        <v>1.5</v>
      </c>
      <c r="I46" s="86">
        <f t="shared" si="5"/>
        <v>100</v>
      </c>
      <c r="J46" s="86" t="s">
        <v>345</v>
      </c>
      <c r="K46" s="86" t="s">
        <v>166</v>
      </c>
      <c r="L46" s="87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</row>
    <row r="47" spans="1:69" ht="15">
      <c r="A47" s="84">
        <v>44</v>
      </c>
      <c r="B47" s="85">
        <v>46503</v>
      </c>
      <c r="C47" s="85">
        <v>46509</v>
      </c>
      <c r="D47" s="86">
        <v>11</v>
      </c>
      <c r="E47" s="86"/>
      <c r="F47" s="86" t="str">
        <f t="shared" si="4"/>
        <v/>
      </c>
      <c r="G47" s="86">
        <f t="shared" si="6"/>
        <v>487</v>
      </c>
      <c r="H47" s="86">
        <f t="shared" si="7"/>
        <v>1.5</v>
      </c>
      <c r="I47" s="86">
        <f t="shared" si="5"/>
        <v>89</v>
      </c>
      <c r="J47" s="86" t="s">
        <v>345</v>
      </c>
      <c r="K47" s="86" t="s">
        <v>166</v>
      </c>
      <c r="L47" s="87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</row>
    <row r="48" spans="1:69" ht="15">
      <c r="A48" s="84">
        <v>45</v>
      </c>
      <c r="B48" s="85">
        <v>46510</v>
      </c>
      <c r="C48" s="85">
        <v>46516</v>
      </c>
      <c r="D48" s="86">
        <v>11</v>
      </c>
      <c r="E48" s="86"/>
      <c r="F48" s="86" t="str">
        <f t="shared" si="4"/>
        <v/>
      </c>
      <c r="G48" s="86">
        <f t="shared" si="6"/>
        <v>498</v>
      </c>
      <c r="H48" s="86">
        <f t="shared" si="7"/>
        <v>1.5</v>
      </c>
      <c r="I48" s="86">
        <f t="shared" si="5"/>
        <v>78</v>
      </c>
      <c r="J48" s="86" t="s">
        <v>345</v>
      </c>
      <c r="K48" s="86" t="s">
        <v>166</v>
      </c>
      <c r="L48" s="87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</row>
    <row r="49" spans="1:69" ht="15">
      <c r="A49" s="84">
        <v>46</v>
      </c>
      <c r="B49" s="85">
        <v>46517</v>
      </c>
      <c r="C49" s="85">
        <v>46523</v>
      </c>
      <c r="D49" s="86">
        <v>11</v>
      </c>
      <c r="E49" s="86"/>
      <c r="F49" s="86" t="str">
        <f t="shared" si="4"/>
        <v/>
      </c>
      <c r="G49" s="86">
        <f t="shared" si="6"/>
        <v>509</v>
      </c>
      <c r="H49" s="86">
        <f t="shared" si="7"/>
        <v>1.5</v>
      </c>
      <c r="I49" s="86">
        <f t="shared" si="5"/>
        <v>67</v>
      </c>
      <c r="J49" s="86" t="s">
        <v>345</v>
      </c>
      <c r="K49" s="86" t="s">
        <v>166</v>
      </c>
      <c r="L49" s="87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</row>
    <row r="50" spans="1:69" ht="15">
      <c r="A50" s="84">
        <v>47</v>
      </c>
      <c r="B50" s="85">
        <v>46524</v>
      </c>
      <c r="C50" s="85">
        <v>46530</v>
      </c>
      <c r="D50" s="86">
        <v>11</v>
      </c>
      <c r="E50" s="86"/>
      <c r="F50" s="86" t="str">
        <f t="shared" si="4"/>
        <v/>
      </c>
      <c r="G50" s="86">
        <f t="shared" si="6"/>
        <v>520</v>
      </c>
      <c r="H50" s="86">
        <f t="shared" si="7"/>
        <v>1.5</v>
      </c>
      <c r="I50" s="86">
        <f t="shared" si="5"/>
        <v>56</v>
      </c>
      <c r="J50" s="86" t="s">
        <v>345</v>
      </c>
      <c r="K50" s="86" t="s">
        <v>166</v>
      </c>
      <c r="L50" s="87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</row>
    <row r="51" spans="1:69" ht="15">
      <c r="A51" s="84">
        <v>48</v>
      </c>
      <c r="B51" s="85">
        <v>46531</v>
      </c>
      <c r="C51" s="85">
        <v>46537</v>
      </c>
      <c r="D51" s="86">
        <v>11</v>
      </c>
      <c r="E51" s="86"/>
      <c r="F51" s="86" t="str">
        <f t="shared" si="4"/>
        <v/>
      </c>
      <c r="G51" s="86">
        <f t="shared" si="6"/>
        <v>531</v>
      </c>
      <c r="H51" s="86">
        <f t="shared" si="7"/>
        <v>1.5</v>
      </c>
      <c r="I51" s="86">
        <f t="shared" si="5"/>
        <v>45</v>
      </c>
      <c r="J51" s="86" t="s">
        <v>346</v>
      </c>
      <c r="K51" s="86" t="s">
        <v>166</v>
      </c>
      <c r="L51" s="87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</row>
    <row r="52" spans="1:69" ht="15">
      <c r="A52" s="84">
        <v>49</v>
      </c>
      <c r="B52" s="85">
        <v>46538</v>
      </c>
      <c r="C52" s="85">
        <v>46544</v>
      </c>
      <c r="D52" s="86">
        <v>11</v>
      </c>
      <c r="E52" s="86"/>
      <c r="F52" s="86" t="str">
        <f t="shared" si="4"/>
        <v/>
      </c>
      <c r="G52" s="86">
        <f t="shared" si="6"/>
        <v>542</v>
      </c>
      <c r="H52" s="86">
        <f t="shared" si="7"/>
        <v>1.5</v>
      </c>
      <c r="I52" s="86">
        <f t="shared" si="5"/>
        <v>34</v>
      </c>
      <c r="J52" s="86" t="s">
        <v>346</v>
      </c>
      <c r="K52" s="86" t="s">
        <v>166</v>
      </c>
      <c r="L52" s="87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</row>
    <row r="53" spans="1:69" ht="15">
      <c r="A53" s="84">
        <v>50</v>
      </c>
      <c r="B53" s="85">
        <v>46545</v>
      </c>
      <c r="C53" s="85">
        <v>46551</v>
      </c>
      <c r="D53" s="86">
        <v>11</v>
      </c>
      <c r="E53" s="86"/>
      <c r="F53" s="86" t="str">
        <f t="shared" si="4"/>
        <v/>
      </c>
      <c r="G53" s="86">
        <f t="shared" si="6"/>
        <v>553</v>
      </c>
      <c r="H53" s="86">
        <f t="shared" si="7"/>
        <v>1.5</v>
      </c>
      <c r="I53" s="86">
        <f t="shared" si="5"/>
        <v>23</v>
      </c>
      <c r="J53" s="86" t="s">
        <v>346</v>
      </c>
      <c r="K53" s="86" t="s">
        <v>166</v>
      </c>
      <c r="L53" s="87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  <c r="BO53" s="1"/>
      <c r="BP53" s="1"/>
      <c r="BQ53" s="1"/>
    </row>
    <row r="54" spans="1:69" ht="15">
      <c r="A54" s="84">
        <v>51</v>
      </c>
      <c r="B54" s="85">
        <v>46552</v>
      </c>
      <c r="C54" s="85">
        <v>46558</v>
      </c>
      <c r="D54" s="86">
        <v>11</v>
      </c>
      <c r="E54" s="86"/>
      <c r="F54" s="86" t="str">
        <f t="shared" si="4"/>
        <v/>
      </c>
      <c r="G54" s="86">
        <f t="shared" si="6"/>
        <v>564</v>
      </c>
      <c r="H54" s="86">
        <f t="shared" si="7"/>
        <v>1.5</v>
      </c>
      <c r="I54" s="86">
        <f t="shared" si="5"/>
        <v>12</v>
      </c>
      <c r="J54" s="86" t="s">
        <v>346</v>
      </c>
      <c r="K54" s="86" t="s">
        <v>166</v>
      </c>
      <c r="L54" s="87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</row>
    <row r="55" spans="1:69" ht="15">
      <c r="A55" s="88">
        <v>52</v>
      </c>
      <c r="B55" s="89">
        <v>46559</v>
      </c>
      <c r="C55" s="89">
        <v>46565</v>
      </c>
      <c r="D55" s="90">
        <v>12</v>
      </c>
      <c r="E55" s="90"/>
      <c r="F55" s="90" t="str">
        <f t="shared" si="4"/>
        <v/>
      </c>
      <c r="G55" s="90">
        <f t="shared" si="6"/>
        <v>576</v>
      </c>
      <c r="H55" s="90">
        <f t="shared" si="7"/>
        <v>1.5</v>
      </c>
      <c r="I55" s="90">
        <f t="shared" si="5"/>
        <v>0</v>
      </c>
      <c r="J55" s="90" t="s">
        <v>346</v>
      </c>
      <c r="K55" s="90" t="s">
        <v>166</v>
      </c>
      <c r="L55" s="9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</row>
    <row r="56" spans="1:69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</row>
    <row r="57" spans="1:69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</row>
    <row r="58" spans="1:69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</row>
    <row r="59" spans="1:69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  <c r="BK59" s="1"/>
      <c r="BL59" s="1"/>
      <c r="BM59" s="1"/>
      <c r="BN59" s="1"/>
      <c r="BO59" s="1"/>
      <c r="BP59" s="1"/>
      <c r="BQ59" s="1"/>
    </row>
    <row r="60" spans="1:69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  <c r="BK60" s="1"/>
      <c r="BL60" s="1"/>
      <c r="BM60" s="1"/>
      <c r="BN60" s="1"/>
      <c r="BO60" s="1"/>
      <c r="BP60" s="1"/>
      <c r="BQ60" s="1"/>
    </row>
    <row r="61" spans="1:69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  <c r="BK61" s="1"/>
      <c r="BL61" s="1"/>
      <c r="BM61" s="1"/>
      <c r="BN61" s="1"/>
      <c r="BO61" s="1"/>
      <c r="BP61" s="1"/>
      <c r="BQ61" s="1"/>
    </row>
    <row r="62" spans="1:69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</row>
    <row r="63" spans="1:69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</row>
    <row r="64" spans="1:69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</row>
    <row r="65" spans="1:69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</row>
    <row r="66" spans="1:69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</row>
    <row r="67" spans="1:69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</row>
    <row r="68" spans="1:69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1"/>
      <c r="BQ68" s="1"/>
    </row>
    <row r="69" spans="1:69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</row>
    <row r="70" spans="1:69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</row>
    <row r="71" spans="1:69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</row>
    <row r="72" spans="1:69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</row>
    <row r="73" spans="1:69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</row>
    <row r="74" spans="1:69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</row>
    <row r="75" spans="1:69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</row>
    <row r="76" spans="1:69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</row>
    <row r="77" spans="1:69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</row>
    <row r="78" spans="1:69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</row>
    <row r="79" spans="1:69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</row>
    <row r="80" spans="1:69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</row>
    <row r="81" spans="1:69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</row>
    <row r="82" spans="1:69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</row>
    <row r="83" spans="1:69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</row>
    <row r="84" spans="1:69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</row>
    <row r="85" spans="1:69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  <c r="BK85" s="1"/>
      <c r="BL85" s="1"/>
      <c r="BM85" s="1"/>
      <c r="BN85" s="1"/>
      <c r="BO85" s="1"/>
      <c r="BP85" s="1"/>
      <c r="BQ85" s="1"/>
    </row>
    <row r="86" spans="1:69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</row>
    <row r="87" spans="1:69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</row>
    <row r="88" spans="1:69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</row>
    <row r="89" spans="1:69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</row>
    <row r="90" spans="1:69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</row>
    <row r="91" spans="1:69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</row>
    <row r="92" spans="1:69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</row>
    <row r="93" spans="1:69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</row>
    <row r="94" spans="1:69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</row>
    <row r="95" spans="1:69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</row>
    <row r="96" spans="1:69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</row>
    <row r="97" spans="1:69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</row>
    <row r="98" spans="1:69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</row>
    <row r="99" spans="1:69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</row>
    <row r="100" spans="1:69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</row>
  </sheetData>
  <mergeCells count="1">
    <mergeCell ref="A1:L1"/>
  </mergeCells>
  <conditionalFormatting sqref="D4:D55">
    <cfRule type="dataBar" priority="3">
      <dataBar>
        <cfvo type="min"/>
        <cfvo type="max"/>
        <color rgb="FF2563EB"/>
      </dataBar>
    </cfRule>
    <cfRule type="dataBar" priority="5">
      <dataBar>
        <cfvo type="min"/>
        <cfvo type="max"/>
        <color rgb="FF2563EB"/>
      </dataBar>
    </cfRule>
    <cfRule type="dataBar" priority="7">
      <dataBar>
        <cfvo type="min"/>
        <cfvo type="max"/>
        <color rgb="FF2563EB"/>
      </dataBar>
      <extLst>
        <ext xmlns:x14="http://schemas.microsoft.com/office/spreadsheetml/2009/9/main" uri="{B025F937-C7B1-47D3-B67F-A62EFF666E3E}">
          <x14:id>{B9CF9B83-EEEF-806F-3865-A7F6C560F42A}</x14:id>
        </ext>
      </extLst>
    </cfRule>
  </conditionalFormatting>
  <conditionalFormatting sqref="E4:E55">
    <cfRule type="dataBar" priority="4">
      <dataBar>
        <cfvo type="min"/>
        <cfvo type="max"/>
        <color rgb="FF16A34A"/>
      </dataBar>
    </cfRule>
    <cfRule type="dataBar" priority="6">
      <dataBar>
        <cfvo type="min"/>
        <cfvo type="max"/>
        <color rgb="FF16A34A"/>
      </dataBar>
    </cfRule>
    <cfRule type="dataBar" priority="8">
      <dataBar>
        <cfvo type="min"/>
        <cfvo type="max"/>
        <color rgb="FF16A34A"/>
      </dataBar>
      <extLst>
        <ext xmlns:x14="http://schemas.microsoft.com/office/spreadsheetml/2009/9/main" uri="{B025F937-C7B1-47D3-B67F-A62EFF666E3E}">
          <x14:id>{C5949B8B-F80D-9915-0B44-DA00EAF5A662}</x14:id>
        </ext>
      </extLst>
    </cfRule>
  </conditionalFormatting>
  <conditionalFormatting sqref="F4:F55">
    <cfRule type="cellIs" dxfId="1" priority="1" operator="greaterThan">
      <formula>0</formula>
    </cfRule>
    <cfRule type="cellIs" dxfId="0" priority="2" operator="lessThan">
      <formula>0</formula>
    </cfRule>
  </conditionalFormatting>
  <dataValidations count="1">
    <dataValidation type="list" sqref="K4:K55" xr:uid="{00000000-0002-0000-0300-000000000000}">
      <formula1>"Not Started,In Progress,Complete,Missed,Replanned"</formula1>
    </dataValidation>
  </dataValidations>
  <pageMargins left="0.7" right="0.7" top="0.75" bottom="0.75" header="0.3" footer="0.3"/>
  <drawing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9CF9B83-EEEF-806F-3865-A7F6C560F42A}">
            <x14:dataBar>
              <x14:cfvo type="min"/>
              <x14:cfvo type="max"/>
              <x14:negativeFillColor auto="1"/>
              <x14:axisColor auto="1"/>
            </x14:dataBar>
          </x14:cfRule>
          <xm:sqref>D4:D55</xm:sqref>
        </x14:conditionalFormatting>
        <x14:conditionalFormatting xmlns:xm="http://schemas.microsoft.com/office/excel/2006/main">
          <x14:cfRule type="dataBar" id="{C5949B8B-F80D-9915-0B44-DA00EAF5A662}">
            <x14:dataBar>
              <x14:cfvo type="min"/>
              <x14:cfvo type="max"/>
              <x14:negativeFillColor auto="1"/>
              <x14:axisColor auto="1"/>
            </x14:dataBar>
          </x14:cfRule>
          <xm:sqref>E4:E55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Q100"/>
  <sheetViews>
    <sheetView workbookViewId="0"/>
  </sheetViews>
  <sheetFormatPr defaultRowHeight="14.25"/>
  <cols>
    <col min="1" max="1" width="7" customWidth="1"/>
    <col min="2" max="2" width="40" customWidth="1"/>
    <col min="3" max="4" width="16" customWidth="1"/>
    <col min="5" max="6" width="13" customWidth="1"/>
  </cols>
  <sheetData>
    <row r="1" spans="1:69" ht="21">
      <c r="A1" s="108" t="s">
        <v>347</v>
      </c>
      <c r="B1" s="108"/>
      <c r="C1" s="108"/>
      <c r="D1" s="108"/>
      <c r="E1" s="108"/>
      <c r="F1" s="108"/>
      <c r="G1" s="108"/>
      <c r="H1" s="108"/>
      <c r="I1" s="107"/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  <c r="V1" s="107"/>
      <c r="W1" s="107"/>
      <c r="X1" s="107"/>
      <c r="Y1" s="107"/>
      <c r="Z1" s="107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</row>
    <row r="2" spans="1:69" ht="15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</row>
    <row r="3" spans="1:69" ht="15">
      <c r="A3" s="19" t="s">
        <v>33</v>
      </c>
      <c r="B3" s="19" t="s">
        <v>34</v>
      </c>
      <c r="C3" s="19" t="s">
        <v>89</v>
      </c>
      <c r="D3" s="19" t="s">
        <v>348</v>
      </c>
      <c r="E3" s="19" t="s">
        <v>37</v>
      </c>
      <c r="F3" s="19" t="s">
        <v>38</v>
      </c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</row>
    <row r="4" spans="1:69" ht="15">
      <c r="A4" s="84" t="s">
        <v>53</v>
      </c>
      <c r="B4" s="92" t="s">
        <v>54</v>
      </c>
      <c r="C4" s="86">
        <v>40</v>
      </c>
      <c r="D4" s="93">
        <v>6.9444444444444448E-2</v>
      </c>
      <c r="E4" s="85">
        <v>46202</v>
      </c>
      <c r="F4" s="94">
        <v>46565</v>
      </c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  <c r="BO4" s="1"/>
      <c r="BP4" s="1"/>
      <c r="BQ4" s="1"/>
    </row>
    <row r="5" spans="1:69" ht="15">
      <c r="A5" s="84" t="s">
        <v>4</v>
      </c>
      <c r="B5" s="95" t="s">
        <v>58</v>
      </c>
      <c r="C5" s="86">
        <v>64</v>
      </c>
      <c r="D5" s="93">
        <v>0.1111111111111111</v>
      </c>
      <c r="E5" s="85">
        <v>46216</v>
      </c>
      <c r="F5" s="94">
        <v>46264</v>
      </c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</row>
    <row r="6" spans="1:69" ht="15">
      <c r="A6" s="84" t="s">
        <v>8</v>
      </c>
      <c r="B6" s="96" t="s">
        <v>61</v>
      </c>
      <c r="C6" s="86">
        <v>72</v>
      </c>
      <c r="D6" s="93">
        <v>0.125</v>
      </c>
      <c r="E6" s="85">
        <v>46265</v>
      </c>
      <c r="F6" s="94">
        <v>46313</v>
      </c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</row>
    <row r="7" spans="1:69" ht="15">
      <c r="A7" s="84" t="s">
        <v>11</v>
      </c>
      <c r="B7" s="97" t="s">
        <v>64</v>
      </c>
      <c r="C7" s="86">
        <v>88</v>
      </c>
      <c r="D7" s="93">
        <v>0.15277777777777779</v>
      </c>
      <c r="E7" s="85">
        <v>46314</v>
      </c>
      <c r="F7" s="94">
        <v>46369</v>
      </c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</row>
    <row r="8" spans="1:69" ht="15">
      <c r="A8" s="84" t="s">
        <v>15</v>
      </c>
      <c r="B8" s="98" t="s">
        <v>67</v>
      </c>
      <c r="C8" s="86">
        <v>96</v>
      </c>
      <c r="D8" s="93">
        <v>0.16666666666666666</v>
      </c>
      <c r="E8" s="85">
        <v>46370</v>
      </c>
      <c r="F8" s="94">
        <v>46425</v>
      </c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</row>
    <row r="9" spans="1:69" ht="15">
      <c r="A9" s="84" t="s">
        <v>19</v>
      </c>
      <c r="B9" s="99" t="s">
        <v>70</v>
      </c>
      <c r="C9" s="86">
        <v>104</v>
      </c>
      <c r="D9" s="93">
        <v>0.18055555555555555</v>
      </c>
      <c r="E9" s="85">
        <v>46426</v>
      </c>
      <c r="F9" s="94">
        <v>46495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</row>
    <row r="10" spans="1:69" ht="15">
      <c r="A10" s="84" t="s">
        <v>22</v>
      </c>
      <c r="B10" s="100" t="s">
        <v>73</v>
      </c>
      <c r="C10" s="86">
        <v>52</v>
      </c>
      <c r="D10" s="93">
        <v>9.0277777777777776E-2</v>
      </c>
      <c r="E10" s="85">
        <v>46496</v>
      </c>
      <c r="F10" s="94">
        <v>46530</v>
      </c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/>
      <c r="BO10" s="1"/>
      <c r="BP10" s="1"/>
      <c r="BQ10" s="1"/>
    </row>
    <row r="11" spans="1:69" ht="15">
      <c r="A11" s="84" t="s">
        <v>26</v>
      </c>
      <c r="B11" s="101" t="s">
        <v>76</v>
      </c>
      <c r="C11" s="86">
        <v>60</v>
      </c>
      <c r="D11" s="93">
        <v>0.10416666666666667</v>
      </c>
      <c r="E11" s="85">
        <v>46531</v>
      </c>
      <c r="F11" s="94">
        <v>46565</v>
      </c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</row>
    <row r="12" spans="1:69" ht="15">
      <c r="A12" s="128" t="s">
        <v>349</v>
      </c>
      <c r="B12" s="129"/>
      <c r="C12" s="42">
        <v>576</v>
      </c>
      <c r="D12" s="43">
        <v>1</v>
      </c>
      <c r="E12" s="42"/>
      <c r="F12" s="44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</row>
    <row r="13" spans="1:69" ht="15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/>
      <c r="BI13" s="1"/>
      <c r="BJ13" s="1"/>
      <c r="BK13" s="1"/>
      <c r="BL13" s="1"/>
      <c r="BM13" s="1"/>
      <c r="BN13" s="1"/>
      <c r="BO13" s="1"/>
      <c r="BP13" s="1"/>
      <c r="BQ13" s="1"/>
    </row>
    <row r="14" spans="1:69" ht="15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</row>
    <row r="15" spans="1:69" ht="1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</row>
    <row r="16" spans="1:69" ht="15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/>
    </row>
    <row r="17" spans="1:69" ht="15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  <c r="AX17" s="1"/>
      <c r="AY17" s="1"/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</row>
    <row r="18" spans="1:69" ht="1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/>
    </row>
    <row r="19" spans="1:69" ht="1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</row>
    <row r="20" spans="1:69" ht="1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/>
      <c r="BI20" s="1"/>
      <c r="BJ20" s="1"/>
      <c r="BK20" s="1"/>
      <c r="BL20" s="1"/>
      <c r="BM20" s="1"/>
      <c r="BN20" s="1"/>
      <c r="BO20" s="1"/>
      <c r="BP20" s="1"/>
      <c r="BQ20" s="1"/>
    </row>
    <row r="21" spans="1:69" ht="1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</row>
    <row r="22" spans="1:69" ht="1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</row>
    <row r="23" spans="1:69" ht="1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</row>
    <row r="24" spans="1:69" ht="1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</row>
    <row r="25" spans="1:69" ht="1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/>
      <c r="BC25" s="1"/>
      <c r="BD25" s="1"/>
      <c r="BE25" s="1"/>
      <c r="BF25" s="1"/>
      <c r="BG25" s="1"/>
      <c r="BH25" s="1"/>
      <c r="BI25" s="1"/>
      <c r="BJ25" s="1"/>
      <c r="BK25" s="1"/>
      <c r="BL25" s="1"/>
      <c r="BM25" s="1"/>
      <c r="BN25" s="1"/>
      <c r="BO25" s="1"/>
      <c r="BP25" s="1"/>
      <c r="BQ25" s="1"/>
    </row>
    <row r="26" spans="1:69" ht="1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</row>
    <row r="27" spans="1:69" ht="1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  <c r="BA27" s="1"/>
      <c r="BB27" s="1"/>
      <c r="BC27" s="1"/>
      <c r="BD27" s="1"/>
      <c r="BE27" s="1"/>
      <c r="BF27" s="1"/>
      <c r="BG27" s="1"/>
      <c r="BH27" s="1"/>
      <c r="BI27" s="1"/>
      <c r="BJ27" s="1"/>
      <c r="BK27" s="1"/>
      <c r="BL27" s="1"/>
      <c r="BM27" s="1"/>
      <c r="BN27" s="1"/>
      <c r="BO27" s="1"/>
      <c r="BP27" s="1"/>
      <c r="BQ27" s="1"/>
    </row>
    <row r="28" spans="1:69" ht="1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</row>
    <row r="29" spans="1:69" ht="1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  <c r="BK29" s="1"/>
      <c r="BL29" s="1"/>
      <c r="BM29" s="1"/>
      <c r="BN29" s="1"/>
      <c r="BO29" s="1"/>
      <c r="BP29" s="1"/>
      <c r="BQ29" s="1"/>
    </row>
    <row r="30" spans="1:69" ht="1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/>
    </row>
    <row r="31" spans="1:69" ht="1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/>
      <c r="BM31" s="1"/>
      <c r="BN31" s="1"/>
      <c r="BO31" s="1"/>
      <c r="BP31" s="1"/>
      <c r="BQ31" s="1"/>
    </row>
    <row r="32" spans="1:69" ht="1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</row>
    <row r="33" spans="1:69" ht="1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</row>
    <row r="34" spans="1:69" ht="1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/>
      <c r="BQ34" s="1"/>
    </row>
    <row r="35" spans="1:69" ht="1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</row>
    <row r="36" spans="1:69" ht="1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/>
      <c r="BO36" s="1"/>
      <c r="BP36" s="1"/>
      <c r="BQ36" s="1"/>
    </row>
    <row r="37" spans="1:69" ht="1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</row>
    <row r="38" spans="1:69" ht="1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  <c r="BO38" s="1"/>
      <c r="BP38" s="1"/>
      <c r="BQ38" s="1"/>
    </row>
    <row r="39" spans="1:69" ht="1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1"/>
    </row>
    <row r="40" spans="1:69" ht="1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</row>
    <row r="41" spans="1:69" ht="1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</row>
    <row r="42" spans="1:69" ht="1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</row>
    <row r="43" spans="1:69" ht="1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</row>
    <row r="44" spans="1:69" ht="1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</row>
    <row r="45" spans="1:69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</row>
    <row r="46" spans="1:69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</row>
    <row r="47" spans="1:69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</row>
    <row r="48" spans="1:69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</row>
    <row r="49" spans="1:69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</row>
    <row r="50" spans="1:69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</row>
    <row r="51" spans="1:69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</row>
    <row r="52" spans="1:69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</row>
    <row r="53" spans="1:69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  <c r="BO53" s="1"/>
      <c r="BP53" s="1"/>
      <c r="BQ53" s="1"/>
    </row>
    <row r="54" spans="1:69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</row>
    <row r="55" spans="1:69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</row>
    <row r="56" spans="1:69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</row>
    <row r="57" spans="1:69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</row>
    <row r="58" spans="1:69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</row>
    <row r="59" spans="1:69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  <c r="BK59" s="1"/>
      <c r="BL59" s="1"/>
      <c r="BM59" s="1"/>
      <c r="BN59" s="1"/>
      <c r="BO59" s="1"/>
      <c r="BP59" s="1"/>
      <c r="BQ59" s="1"/>
    </row>
    <row r="60" spans="1:69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  <c r="BK60" s="1"/>
      <c r="BL60" s="1"/>
      <c r="BM60" s="1"/>
      <c r="BN60" s="1"/>
      <c r="BO60" s="1"/>
      <c r="BP60" s="1"/>
      <c r="BQ60" s="1"/>
    </row>
    <row r="61" spans="1:69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  <c r="BK61" s="1"/>
      <c r="BL61" s="1"/>
      <c r="BM61" s="1"/>
      <c r="BN61" s="1"/>
      <c r="BO61" s="1"/>
      <c r="BP61" s="1"/>
      <c r="BQ61" s="1"/>
    </row>
    <row r="62" spans="1:69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</row>
    <row r="63" spans="1:69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</row>
    <row r="64" spans="1:69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</row>
    <row r="65" spans="1:69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</row>
    <row r="66" spans="1:69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</row>
    <row r="67" spans="1:69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</row>
    <row r="68" spans="1:69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1"/>
      <c r="BQ68" s="1"/>
    </row>
    <row r="69" spans="1:69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</row>
    <row r="70" spans="1:69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</row>
    <row r="71" spans="1:69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</row>
    <row r="72" spans="1:69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</row>
    <row r="73" spans="1:69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</row>
    <row r="74" spans="1:69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</row>
    <row r="75" spans="1:69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</row>
    <row r="76" spans="1:69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</row>
    <row r="77" spans="1:69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</row>
    <row r="78" spans="1:69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</row>
    <row r="79" spans="1:69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</row>
    <row r="80" spans="1:69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</row>
    <row r="81" spans="1:69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</row>
    <row r="82" spans="1:69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</row>
    <row r="83" spans="1:69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</row>
    <row r="84" spans="1:69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</row>
    <row r="85" spans="1:69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  <c r="BK85" s="1"/>
      <c r="BL85" s="1"/>
      <c r="BM85" s="1"/>
      <c r="BN85" s="1"/>
      <c r="BO85" s="1"/>
      <c r="BP85" s="1"/>
      <c r="BQ85" s="1"/>
    </row>
    <row r="86" spans="1:69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</row>
    <row r="87" spans="1:69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</row>
    <row r="88" spans="1:69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</row>
    <row r="89" spans="1:69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</row>
    <row r="90" spans="1:69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</row>
    <row r="91" spans="1:69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</row>
    <row r="92" spans="1:69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</row>
    <row r="93" spans="1:69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</row>
    <row r="94" spans="1:69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</row>
    <row r="95" spans="1:69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</row>
    <row r="96" spans="1:69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</row>
    <row r="97" spans="1:69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</row>
    <row r="98" spans="1:69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</row>
    <row r="99" spans="1:69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</row>
    <row r="100" spans="1:69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</row>
  </sheetData>
  <mergeCells count="2">
    <mergeCell ref="A1:H1"/>
    <mergeCell ref="A12:B12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Q100"/>
  <sheetViews>
    <sheetView workbookViewId="0"/>
  </sheetViews>
  <sheetFormatPr defaultRowHeight="14.25"/>
  <cols>
    <col min="1" max="3" width="18" customWidth="1"/>
    <col min="4" max="4" width="34" customWidth="1"/>
    <col min="5" max="5" width="78" customWidth="1"/>
  </cols>
  <sheetData>
    <row r="1" spans="1:69" ht="21">
      <c r="A1" s="108" t="s">
        <v>350</v>
      </c>
      <c r="B1" s="108"/>
      <c r="C1" s="108"/>
      <c r="D1" s="108"/>
      <c r="E1" s="108"/>
      <c r="F1" s="108"/>
      <c r="G1" s="108"/>
      <c r="H1" s="108"/>
      <c r="I1" s="107"/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  <c r="V1" s="107"/>
      <c r="W1" s="107"/>
      <c r="X1" s="107"/>
      <c r="Y1" s="107"/>
      <c r="Z1" s="107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</row>
    <row r="2" spans="1:69" ht="15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</row>
    <row r="3" spans="1:69" ht="15">
      <c r="A3" s="109" t="s">
        <v>351</v>
      </c>
      <c r="B3" s="109"/>
      <c r="C3" s="109"/>
      <c r="D3" s="109"/>
      <c r="E3" s="109"/>
      <c r="F3" s="109"/>
      <c r="G3" s="109"/>
      <c r="H3" s="109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</row>
    <row r="4" spans="1:69" ht="54">
      <c r="A4" s="102" t="s">
        <v>352</v>
      </c>
      <c r="B4" s="103" t="s">
        <v>353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  <c r="BO4" s="1"/>
      <c r="BP4" s="1"/>
      <c r="BQ4" s="1"/>
    </row>
    <row r="5" spans="1:69" ht="54">
      <c r="A5" s="102" t="s">
        <v>354</v>
      </c>
      <c r="B5" s="104" t="s">
        <v>355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</row>
    <row r="6" spans="1:69" ht="54">
      <c r="A6" s="102" t="s">
        <v>356</v>
      </c>
      <c r="B6" s="104" t="s">
        <v>357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</row>
    <row r="7" spans="1:69" ht="135">
      <c r="A7" s="102" t="s">
        <v>358</v>
      </c>
      <c r="B7" s="104" t="s">
        <v>359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</row>
    <row r="8" spans="1:69" ht="121.5">
      <c r="A8" s="102" t="s">
        <v>360</v>
      </c>
      <c r="B8" s="104" t="s">
        <v>361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</row>
    <row r="9" spans="1:69" ht="67.5">
      <c r="A9" s="102" t="s">
        <v>362</v>
      </c>
      <c r="B9" s="104" t="s">
        <v>363</v>
      </c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</row>
    <row r="10" spans="1:69" ht="67.5">
      <c r="A10" s="102" t="s">
        <v>364</v>
      </c>
      <c r="B10" s="104" t="s">
        <v>365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/>
      <c r="BO10" s="1"/>
      <c r="BP10" s="1"/>
      <c r="BQ10" s="1"/>
    </row>
    <row r="11" spans="1:69" ht="94.5">
      <c r="A11" s="102" t="s">
        <v>366</v>
      </c>
      <c r="B11" s="105" t="s">
        <v>367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</row>
    <row r="12" spans="1:69" ht="15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</row>
    <row r="13" spans="1:69" ht="15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/>
      <c r="BI13" s="1"/>
      <c r="BJ13" s="1"/>
      <c r="BK13" s="1"/>
      <c r="BL13" s="1"/>
      <c r="BM13" s="1"/>
      <c r="BN13" s="1"/>
      <c r="BO13" s="1"/>
      <c r="BP13" s="1"/>
      <c r="BQ13" s="1"/>
    </row>
    <row r="14" spans="1:69" ht="15">
      <c r="A14" s="19" t="s">
        <v>368</v>
      </c>
      <c r="B14" s="19" t="s">
        <v>369</v>
      </c>
      <c r="C14" s="19" t="s">
        <v>370</v>
      </c>
      <c r="D14" s="19" t="s">
        <v>371</v>
      </c>
      <c r="E14" s="19" t="s">
        <v>372</v>
      </c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</row>
    <row r="15" spans="1:69" ht="15">
      <c r="A15" s="106" t="s">
        <v>373</v>
      </c>
      <c r="B15" s="22">
        <v>2</v>
      </c>
      <c r="C15" s="24">
        <v>46215</v>
      </c>
      <c r="D15" s="22" t="s">
        <v>374</v>
      </c>
      <c r="E15" s="25" t="s">
        <v>375</v>
      </c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</row>
    <row r="16" spans="1:69" ht="15">
      <c r="A16" s="106" t="s">
        <v>376</v>
      </c>
      <c r="B16" s="22">
        <v>9</v>
      </c>
      <c r="C16" s="24">
        <v>46264</v>
      </c>
      <c r="D16" s="22" t="s">
        <v>377</v>
      </c>
      <c r="E16" s="25" t="s">
        <v>378</v>
      </c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/>
    </row>
    <row r="17" spans="1:69" ht="15">
      <c r="A17" s="106" t="s">
        <v>379</v>
      </c>
      <c r="B17" s="22">
        <v>16</v>
      </c>
      <c r="C17" s="24">
        <v>46313</v>
      </c>
      <c r="D17" s="22" t="s">
        <v>380</v>
      </c>
      <c r="E17" s="25" t="s">
        <v>381</v>
      </c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  <c r="AX17" s="1"/>
      <c r="AY17" s="1"/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</row>
    <row r="18" spans="1:69" ht="15">
      <c r="A18" s="106" t="s">
        <v>382</v>
      </c>
      <c r="B18" s="22">
        <v>24</v>
      </c>
      <c r="C18" s="24">
        <v>46369</v>
      </c>
      <c r="D18" s="22" t="s">
        <v>383</v>
      </c>
      <c r="E18" s="25" t="s">
        <v>384</v>
      </c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/>
    </row>
    <row r="19" spans="1:69" ht="15">
      <c r="A19" s="106" t="s">
        <v>385</v>
      </c>
      <c r="B19" s="22">
        <v>32</v>
      </c>
      <c r="C19" s="24">
        <v>46425</v>
      </c>
      <c r="D19" s="22" t="s">
        <v>386</v>
      </c>
      <c r="E19" s="25" t="s">
        <v>387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</row>
    <row r="20" spans="1:69" ht="15">
      <c r="A20" s="106" t="s">
        <v>388</v>
      </c>
      <c r="B20" s="22">
        <v>42</v>
      </c>
      <c r="C20" s="24">
        <v>46495</v>
      </c>
      <c r="D20" s="22" t="s">
        <v>389</v>
      </c>
      <c r="E20" s="25" t="s">
        <v>390</v>
      </c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/>
      <c r="BI20" s="1"/>
      <c r="BJ20" s="1"/>
      <c r="BK20" s="1"/>
      <c r="BL20" s="1"/>
      <c r="BM20" s="1"/>
      <c r="BN20" s="1"/>
      <c r="BO20" s="1"/>
      <c r="BP20" s="1"/>
      <c r="BQ20" s="1"/>
    </row>
    <row r="21" spans="1:69" ht="15">
      <c r="A21" s="106" t="s">
        <v>391</v>
      </c>
      <c r="B21" s="22">
        <v>47</v>
      </c>
      <c r="C21" s="24">
        <v>46530</v>
      </c>
      <c r="D21" s="22" t="s">
        <v>392</v>
      </c>
      <c r="E21" s="25" t="s">
        <v>393</v>
      </c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</row>
    <row r="22" spans="1:69" ht="15">
      <c r="A22" s="106" t="s">
        <v>394</v>
      </c>
      <c r="B22" s="22">
        <v>52</v>
      </c>
      <c r="C22" s="24">
        <v>46565</v>
      </c>
      <c r="D22" s="22" t="s">
        <v>395</v>
      </c>
      <c r="E22" s="25" t="s">
        <v>396</v>
      </c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</row>
    <row r="23" spans="1:69" ht="1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</row>
    <row r="24" spans="1:69" ht="1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</row>
    <row r="25" spans="1:69" ht="1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/>
      <c r="BC25" s="1"/>
      <c r="BD25" s="1"/>
      <c r="BE25" s="1"/>
      <c r="BF25" s="1"/>
      <c r="BG25" s="1"/>
      <c r="BH25" s="1"/>
      <c r="BI25" s="1"/>
      <c r="BJ25" s="1"/>
      <c r="BK25" s="1"/>
      <c r="BL25" s="1"/>
      <c r="BM25" s="1"/>
      <c r="BN25" s="1"/>
      <c r="BO25" s="1"/>
      <c r="BP25" s="1"/>
      <c r="BQ25" s="1"/>
    </row>
    <row r="26" spans="1:69" ht="15">
      <c r="A26" s="109" t="s">
        <v>397</v>
      </c>
      <c r="B26" s="109"/>
      <c r="C26" s="109"/>
      <c r="D26" s="109"/>
      <c r="E26" s="109"/>
      <c r="F26" s="109"/>
      <c r="G26" s="109"/>
      <c r="H26" s="109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</row>
    <row r="27" spans="1:69" ht="15">
      <c r="A27" s="116" t="s">
        <v>398</v>
      </c>
      <c r="B27" s="117"/>
      <c r="C27" s="117"/>
      <c r="D27" s="117"/>
      <c r="E27" s="117"/>
      <c r="F27" s="117"/>
      <c r="G27" s="117"/>
      <c r="H27" s="118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  <c r="BA27" s="1"/>
      <c r="BB27" s="1"/>
      <c r="BC27" s="1"/>
      <c r="BD27" s="1"/>
      <c r="BE27" s="1"/>
      <c r="BF27" s="1"/>
      <c r="BG27" s="1"/>
      <c r="BH27" s="1"/>
      <c r="BI27" s="1"/>
      <c r="BJ27" s="1"/>
      <c r="BK27" s="1"/>
      <c r="BL27" s="1"/>
      <c r="BM27" s="1"/>
      <c r="BN27" s="1"/>
      <c r="BO27" s="1"/>
      <c r="BP27" s="1"/>
      <c r="BQ27" s="1"/>
    </row>
    <row r="28" spans="1:69" ht="15">
      <c r="A28" s="119"/>
      <c r="B28" s="120"/>
      <c r="C28" s="120"/>
      <c r="D28" s="120"/>
      <c r="E28" s="120"/>
      <c r="F28" s="120"/>
      <c r="G28" s="120"/>
      <c r="H28" s="12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</row>
    <row r="29" spans="1:69" ht="15">
      <c r="A29" s="119"/>
      <c r="B29" s="120"/>
      <c r="C29" s="120"/>
      <c r="D29" s="120"/>
      <c r="E29" s="120"/>
      <c r="F29" s="120"/>
      <c r="G29" s="120"/>
      <c r="H29" s="12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  <c r="BK29" s="1"/>
      <c r="BL29" s="1"/>
      <c r="BM29" s="1"/>
      <c r="BN29" s="1"/>
      <c r="BO29" s="1"/>
      <c r="BP29" s="1"/>
      <c r="BQ29" s="1"/>
    </row>
    <row r="30" spans="1:69" ht="15">
      <c r="A30" s="122"/>
      <c r="B30" s="123"/>
      <c r="C30" s="123"/>
      <c r="D30" s="123"/>
      <c r="E30" s="123"/>
      <c r="F30" s="123"/>
      <c r="G30" s="123"/>
      <c r="H30" s="124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/>
    </row>
    <row r="31" spans="1:69" ht="1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/>
      <c r="BM31" s="1"/>
      <c r="BN31" s="1"/>
      <c r="BO31" s="1"/>
      <c r="BP31" s="1"/>
      <c r="BQ31" s="1"/>
    </row>
    <row r="32" spans="1:69" ht="1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</row>
    <row r="33" spans="1:69" ht="1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</row>
    <row r="34" spans="1:69" ht="1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/>
      <c r="BQ34" s="1"/>
    </row>
    <row r="35" spans="1:69" ht="1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</row>
    <row r="36" spans="1:69" ht="1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/>
      <c r="BO36" s="1"/>
      <c r="BP36" s="1"/>
      <c r="BQ36" s="1"/>
    </row>
    <row r="37" spans="1:69" ht="1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</row>
    <row r="38" spans="1:69" ht="1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  <c r="BO38" s="1"/>
      <c r="BP38" s="1"/>
      <c r="BQ38" s="1"/>
    </row>
    <row r="39" spans="1:69" ht="1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1"/>
    </row>
    <row r="40" spans="1:69" ht="1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</row>
    <row r="41" spans="1:69" ht="1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</row>
    <row r="42" spans="1:69" ht="1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</row>
    <row r="43" spans="1:69" ht="1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</row>
    <row r="44" spans="1:69" ht="1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</row>
    <row r="45" spans="1:69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</row>
    <row r="46" spans="1:69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</row>
    <row r="47" spans="1:69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</row>
    <row r="48" spans="1:69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</row>
    <row r="49" spans="1:69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</row>
    <row r="50" spans="1:69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</row>
    <row r="51" spans="1:69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</row>
    <row r="52" spans="1:69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</row>
    <row r="53" spans="1:69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  <c r="BO53" s="1"/>
      <c r="BP53" s="1"/>
      <c r="BQ53" s="1"/>
    </row>
    <row r="54" spans="1:69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</row>
    <row r="55" spans="1:69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</row>
    <row r="56" spans="1:69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</row>
    <row r="57" spans="1:69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</row>
    <row r="58" spans="1:69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</row>
    <row r="59" spans="1:69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  <c r="BK59" s="1"/>
      <c r="BL59" s="1"/>
      <c r="BM59" s="1"/>
      <c r="BN59" s="1"/>
      <c r="BO59" s="1"/>
      <c r="BP59" s="1"/>
      <c r="BQ59" s="1"/>
    </row>
    <row r="60" spans="1:69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  <c r="BK60" s="1"/>
      <c r="BL60" s="1"/>
      <c r="BM60" s="1"/>
      <c r="BN60" s="1"/>
      <c r="BO60" s="1"/>
      <c r="BP60" s="1"/>
      <c r="BQ60" s="1"/>
    </row>
    <row r="61" spans="1:69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  <c r="BK61" s="1"/>
      <c r="BL61" s="1"/>
      <c r="BM61" s="1"/>
      <c r="BN61" s="1"/>
      <c r="BO61" s="1"/>
      <c r="BP61" s="1"/>
      <c r="BQ61" s="1"/>
    </row>
    <row r="62" spans="1:69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</row>
    <row r="63" spans="1:69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</row>
    <row r="64" spans="1:69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</row>
    <row r="65" spans="1:69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</row>
    <row r="66" spans="1:69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</row>
    <row r="67" spans="1:69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</row>
    <row r="68" spans="1:69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1"/>
      <c r="BQ68" s="1"/>
    </row>
    <row r="69" spans="1:69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</row>
    <row r="70" spans="1:69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</row>
    <row r="71" spans="1:69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</row>
    <row r="72" spans="1:69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</row>
    <row r="73" spans="1:69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</row>
    <row r="74" spans="1:69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</row>
    <row r="75" spans="1:69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</row>
    <row r="76" spans="1:69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</row>
    <row r="77" spans="1:69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</row>
    <row r="78" spans="1:69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</row>
    <row r="79" spans="1:69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</row>
    <row r="80" spans="1:69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</row>
    <row r="81" spans="1:69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</row>
    <row r="82" spans="1:69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</row>
    <row r="83" spans="1:69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</row>
    <row r="84" spans="1:69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</row>
    <row r="85" spans="1:69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  <c r="BK85" s="1"/>
      <c r="BL85" s="1"/>
      <c r="BM85" s="1"/>
      <c r="BN85" s="1"/>
      <c r="BO85" s="1"/>
      <c r="BP85" s="1"/>
      <c r="BQ85" s="1"/>
    </row>
    <row r="86" spans="1:69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</row>
    <row r="87" spans="1:69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</row>
    <row r="88" spans="1:69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</row>
    <row r="89" spans="1:69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</row>
    <row r="90" spans="1:69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</row>
    <row r="91" spans="1:69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</row>
    <row r="92" spans="1:69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</row>
    <row r="93" spans="1:69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</row>
    <row r="94" spans="1:69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</row>
    <row r="95" spans="1:69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</row>
    <row r="96" spans="1:69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</row>
    <row r="97" spans="1:69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</row>
    <row r="98" spans="1:69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</row>
    <row r="99" spans="1:69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</row>
    <row r="100" spans="1:69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</row>
  </sheetData>
  <mergeCells count="4">
    <mergeCell ref="A1:H1"/>
    <mergeCell ref="A3:H3"/>
    <mergeCell ref="A26:H26"/>
    <mergeCell ref="A27:H3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Q100"/>
  <sheetViews>
    <sheetView workbookViewId="0"/>
  </sheetViews>
  <sheetFormatPr defaultRowHeight="14.25"/>
  <cols>
    <col min="1" max="1" width="48" customWidth="1"/>
    <col min="2" max="2" width="70" customWidth="1"/>
    <col min="3" max="3" width="20" customWidth="1"/>
    <col min="4" max="4" width="42" customWidth="1"/>
  </cols>
  <sheetData>
    <row r="1" spans="1:69" ht="21">
      <c r="A1" s="108" t="s">
        <v>399</v>
      </c>
      <c r="B1" s="108"/>
      <c r="C1" s="108"/>
      <c r="D1" s="108"/>
      <c r="E1" s="107"/>
      <c r="F1" s="107"/>
      <c r="G1" s="107"/>
      <c r="H1" s="107"/>
      <c r="I1" s="107"/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  <c r="V1" s="107"/>
      <c r="W1" s="107"/>
      <c r="X1" s="107"/>
      <c r="Y1" s="107"/>
      <c r="Z1" s="107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</row>
    <row r="2" spans="1:69" ht="15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</row>
    <row r="3" spans="1:69" ht="15">
      <c r="A3" s="19" t="s">
        <v>400</v>
      </c>
      <c r="B3" s="19" t="s">
        <v>401</v>
      </c>
      <c r="C3" s="19" t="s">
        <v>402</v>
      </c>
      <c r="D3" s="19" t="s">
        <v>403</v>
      </c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</row>
    <row r="4" spans="1:69" ht="27">
      <c r="A4" s="7" t="s">
        <v>404</v>
      </c>
      <c r="B4" s="8" t="s">
        <v>405</v>
      </c>
      <c r="C4" s="8" t="s">
        <v>406</v>
      </c>
      <c r="D4" s="9" t="s">
        <v>407</v>
      </c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  <c r="BO4" s="1"/>
      <c r="BP4" s="1"/>
      <c r="BQ4" s="1"/>
    </row>
    <row r="5" spans="1:69" ht="40.5">
      <c r="A5" s="11" t="s">
        <v>408</v>
      </c>
      <c r="B5" s="12" t="s">
        <v>409</v>
      </c>
      <c r="C5" s="12" t="s">
        <v>406</v>
      </c>
      <c r="D5" s="13" t="s">
        <v>407</v>
      </c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</row>
    <row r="6" spans="1:69" ht="27">
      <c r="A6" s="11" t="s">
        <v>410</v>
      </c>
      <c r="B6" s="12" t="s">
        <v>411</v>
      </c>
      <c r="C6" s="12" t="s">
        <v>412</v>
      </c>
      <c r="D6" s="13" t="s">
        <v>413</v>
      </c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</row>
    <row r="7" spans="1:69" ht="27">
      <c r="A7" s="11" t="s">
        <v>414</v>
      </c>
      <c r="B7" s="12" t="s">
        <v>415</v>
      </c>
      <c r="C7" s="12" t="s">
        <v>412</v>
      </c>
      <c r="D7" s="13" t="s">
        <v>416</v>
      </c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</row>
    <row r="8" spans="1:69" ht="27">
      <c r="A8" s="11" t="s">
        <v>417</v>
      </c>
      <c r="B8" s="12" t="s">
        <v>418</v>
      </c>
      <c r="C8" s="12" t="s">
        <v>412</v>
      </c>
      <c r="D8" s="13" t="s">
        <v>419</v>
      </c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</row>
    <row r="9" spans="1:69" ht="27">
      <c r="A9" s="15" t="s">
        <v>420</v>
      </c>
      <c r="B9" s="16" t="s">
        <v>421</v>
      </c>
      <c r="C9" s="16" t="s">
        <v>406</v>
      </c>
      <c r="D9" s="17" t="s">
        <v>407</v>
      </c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</row>
    <row r="10" spans="1:69" ht="15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/>
      <c r="BO10" s="1"/>
      <c r="BP10" s="1"/>
      <c r="BQ10" s="1"/>
    </row>
    <row r="11" spans="1:69" ht="15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</row>
    <row r="12" spans="1:69" ht="15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</row>
    <row r="13" spans="1:69" ht="15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/>
      <c r="BI13" s="1"/>
      <c r="BJ13" s="1"/>
      <c r="BK13" s="1"/>
      <c r="BL13" s="1"/>
      <c r="BM13" s="1"/>
      <c r="BN13" s="1"/>
      <c r="BO13" s="1"/>
      <c r="BP13" s="1"/>
      <c r="BQ13" s="1"/>
    </row>
    <row r="14" spans="1:69" ht="15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</row>
    <row r="15" spans="1:69" ht="1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</row>
    <row r="16" spans="1:69" ht="15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/>
    </row>
    <row r="17" spans="1:69" ht="15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  <c r="AX17" s="1"/>
      <c r="AY17" s="1"/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</row>
    <row r="18" spans="1:69" ht="1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/>
    </row>
    <row r="19" spans="1:69" ht="1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</row>
    <row r="20" spans="1:69" ht="1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/>
      <c r="BI20" s="1"/>
      <c r="BJ20" s="1"/>
      <c r="BK20" s="1"/>
      <c r="BL20" s="1"/>
      <c r="BM20" s="1"/>
      <c r="BN20" s="1"/>
      <c r="BO20" s="1"/>
      <c r="BP20" s="1"/>
      <c r="BQ20" s="1"/>
    </row>
    <row r="21" spans="1:69" ht="1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</row>
    <row r="22" spans="1:69" ht="1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</row>
    <row r="23" spans="1:69" ht="1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</row>
    <row r="24" spans="1:69" ht="1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</row>
    <row r="25" spans="1:69" ht="1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/>
      <c r="BC25" s="1"/>
      <c r="BD25" s="1"/>
      <c r="BE25" s="1"/>
      <c r="BF25" s="1"/>
      <c r="BG25" s="1"/>
      <c r="BH25" s="1"/>
      <c r="BI25" s="1"/>
      <c r="BJ25" s="1"/>
      <c r="BK25" s="1"/>
      <c r="BL25" s="1"/>
      <c r="BM25" s="1"/>
      <c r="BN25" s="1"/>
      <c r="BO25" s="1"/>
      <c r="BP25" s="1"/>
      <c r="BQ25" s="1"/>
    </row>
    <row r="26" spans="1:69" ht="1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</row>
    <row r="27" spans="1:69" ht="1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  <c r="BA27" s="1"/>
      <c r="BB27" s="1"/>
      <c r="BC27" s="1"/>
      <c r="BD27" s="1"/>
      <c r="BE27" s="1"/>
      <c r="BF27" s="1"/>
      <c r="BG27" s="1"/>
      <c r="BH27" s="1"/>
      <c r="BI27" s="1"/>
      <c r="BJ27" s="1"/>
      <c r="BK27" s="1"/>
      <c r="BL27" s="1"/>
      <c r="BM27" s="1"/>
      <c r="BN27" s="1"/>
      <c r="BO27" s="1"/>
      <c r="BP27" s="1"/>
      <c r="BQ27" s="1"/>
    </row>
    <row r="28" spans="1:69" ht="1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</row>
    <row r="29" spans="1:69" ht="1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  <c r="BK29" s="1"/>
      <c r="BL29" s="1"/>
      <c r="BM29" s="1"/>
      <c r="BN29" s="1"/>
      <c r="BO29" s="1"/>
      <c r="BP29" s="1"/>
      <c r="BQ29" s="1"/>
    </row>
    <row r="30" spans="1:69" ht="1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/>
    </row>
    <row r="31" spans="1:69" ht="1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/>
      <c r="BM31" s="1"/>
      <c r="BN31" s="1"/>
      <c r="BO31" s="1"/>
      <c r="BP31" s="1"/>
      <c r="BQ31" s="1"/>
    </row>
    <row r="32" spans="1:69" ht="1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</row>
    <row r="33" spans="1:69" ht="1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</row>
    <row r="34" spans="1:69" ht="1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/>
      <c r="BQ34" s="1"/>
    </row>
    <row r="35" spans="1:69" ht="1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</row>
    <row r="36" spans="1:69" ht="1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/>
      <c r="BO36" s="1"/>
      <c r="BP36" s="1"/>
      <c r="BQ36" s="1"/>
    </row>
    <row r="37" spans="1:69" ht="1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</row>
    <row r="38" spans="1:69" ht="1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  <c r="BO38" s="1"/>
      <c r="BP38" s="1"/>
      <c r="BQ38" s="1"/>
    </row>
    <row r="39" spans="1:69" ht="1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1"/>
    </row>
    <row r="40" spans="1:69" ht="1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</row>
    <row r="41" spans="1:69" ht="1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</row>
    <row r="42" spans="1:69" ht="1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</row>
    <row r="43" spans="1:69" ht="1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</row>
    <row r="44" spans="1:69" ht="1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</row>
    <row r="45" spans="1:69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</row>
    <row r="46" spans="1:69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</row>
    <row r="47" spans="1:69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</row>
    <row r="48" spans="1:69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</row>
    <row r="49" spans="1:69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</row>
    <row r="50" spans="1:69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</row>
    <row r="51" spans="1:69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</row>
    <row r="52" spans="1:69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</row>
    <row r="53" spans="1:69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  <c r="BO53" s="1"/>
      <c r="BP53" s="1"/>
      <c r="BQ53" s="1"/>
    </row>
    <row r="54" spans="1:69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</row>
    <row r="55" spans="1:69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</row>
    <row r="56" spans="1:69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</row>
    <row r="57" spans="1:69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</row>
    <row r="58" spans="1:69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</row>
    <row r="59" spans="1:69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  <c r="BK59" s="1"/>
      <c r="BL59" s="1"/>
      <c r="BM59" s="1"/>
      <c r="BN59" s="1"/>
      <c r="BO59" s="1"/>
      <c r="BP59" s="1"/>
      <c r="BQ59" s="1"/>
    </row>
    <row r="60" spans="1:69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  <c r="BK60" s="1"/>
      <c r="BL60" s="1"/>
      <c r="BM60" s="1"/>
      <c r="BN60" s="1"/>
      <c r="BO60" s="1"/>
      <c r="BP60" s="1"/>
      <c r="BQ60" s="1"/>
    </row>
    <row r="61" spans="1:69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  <c r="BK61" s="1"/>
      <c r="BL61" s="1"/>
      <c r="BM61" s="1"/>
      <c r="BN61" s="1"/>
      <c r="BO61" s="1"/>
      <c r="BP61" s="1"/>
      <c r="BQ61" s="1"/>
    </row>
    <row r="62" spans="1:69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</row>
    <row r="63" spans="1:69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</row>
    <row r="64" spans="1:69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</row>
    <row r="65" spans="1:69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</row>
    <row r="66" spans="1:69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</row>
    <row r="67" spans="1:69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</row>
    <row r="68" spans="1:69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1"/>
      <c r="BQ68" s="1"/>
    </row>
    <row r="69" spans="1:69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</row>
    <row r="70" spans="1:69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</row>
    <row r="71" spans="1:69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</row>
    <row r="72" spans="1:69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</row>
    <row r="73" spans="1:69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</row>
    <row r="74" spans="1:69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</row>
    <row r="75" spans="1:69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</row>
    <row r="76" spans="1:69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</row>
    <row r="77" spans="1:69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</row>
    <row r="78" spans="1:69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</row>
    <row r="79" spans="1:69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</row>
    <row r="80" spans="1:69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</row>
    <row r="81" spans="1:69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</row>
    <row r="82" spans="1:69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</row>
    <row r="83" spans="1:69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</row>
    <row r="84" spans="1:69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</row>
    <row r="85" spans="1:69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  <c r="BK85" s="1"/>
      <c r="BL85" s="1"/>
      <c r="BM85" s="1"/>
      <c r="BN85" s="1"/>
      <c r="BO85" s="1"/>
      <c r="BP85" s="1"/>
      <c r="BQ85" s="1"/>
    </row>
    <row r="86" spans="1:69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</row>
    <row r="87" spans="1:69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</row>
    <row r="88" spans="1:69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</row>
    <row r="89" spans="1:69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</row>
    <row r="90" spans="1:69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</row>
    <row r="91" spans="1:69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</row>
    <row r="92" spans="1:69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</row>
    <row r="93" spans="1:69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</row>
    <row r="94" spans="1:69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</row>
    <row r="95" spans="1:69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</row>
    <row r="96" spans="1:69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</row>
    <row r="97" spans="1:69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</row>
    <row r="98" spans="1:69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</row>
    <row r="99" spans="1:69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</row>
    <row r="100" spans="1:69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</row>
  </sheetData>
  <mergeCells count="1">
    <mergeCell ref="A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Start Here</vt:lpstr>
      <vt:lpstr>Executive Gantt</vt:lpstr>
      <vt:lpstr>Detailed Gantt</vt:lpstr>
      <vt:lpstr>Weekly Control</vt:lpstr>
      <vt:lpstr>Phase Summary</vt:lpstr>
      <vt:lpstr>Assumptions &amp; Gates</vt:lpstr>
      <vt:lpstr>Sources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Jason Jensen</cp:lastModifiedBy>
  <dcterms:created xsi:type="dcterms:W3CDTF">2026-07-01T02:30:21Z</dcterms:created>
  <dcterms:modified xsi:type="dcterms:W3CDTF">2026-07-01T02:30:22Z</dcterms:modified>
</cp:coreProperties>
</file>