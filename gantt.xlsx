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ed7406453314afb" /></Relationships>
</file>

<file path=xl/workbook.xml><?xml version="1.0" encoding="utf-8"?>
<x:workbook xmlns:x="http://schemas.openxmlformats.org/spreadsheetml/2006/main">
  <x:sheets>
    <x:sheet xmlns:r="http://schemas.openxmlformats.org/officeDocument/2006/relationships" name="Start Here" sheetId="1" r:id="R0c0f1d9a18f64a0b"/>
    <x:sheet xmlns:r="http://schemas.openxmlformats.org/officeDocument/2006/relationships" name="Executive Gantt" sheetId="2" r:id="R04a94af3076e41f4"/>
    <x:sheet xmlns:r="http://schemas.openxmlformats.org/officeDocument/2006/relationships" name="Detailed Gantt" sheetId="3" r:id="R4390dba4d3a44dd2"/>
    <x:sheet xmlns:r="http://schemas.openxmlformats.org/officeDocument/2006/relationships" name="Weekly Control" sheetId="4" r:id="R1226a487f1f440ff"/>
    <x:sheet xmlns:r="http://schemas.openxmlformats.org/officeDocument/2006/relationships" name="Phase Summary" sheetId="5" r:id="Rc329da32aca34a17"/>
    <x:sheet xmlns:r="http://schemas.openxmlformats.org/officeDocument/2006/relationships" name="Assumptions &amp; Gates" sheetId="6" r:id="R48d3f176cf9f4efb"/>
    <x:sheet xmlns:r="http://schemas.openxmlformats.org/officeDocument/2006/relationships" name="Sources" sheetId="7" r:id="Rda39befbcbdb44e1"/>
    <x:sheet xmlns:r="http://schemas.openxmlformats.org/officeDocument/2006/relationships" name="Legacy Baseline" sheetId="8" r:id="R91d3e2e800584a29"/>
    <x:sheet xmlns:r="http://schemas.openxmlformats.org/officeDocument/2006/relationships" name="Work Block Log" sheetId="9" r:id="R4b1e1e3f6769400a"/>
    <x:sheet xmlns:r="http://schemas.openxmlformats.org/officeDocument/2006/relationships" name="Decision Register" sheetId="10" r:id="Raa30a6e4a16242e4"/>
    <x:sheet xmlns:r="http://schemas.openxmlformats.org/officeDocument/2006/relationships" name="Risks &amp; Issues" sheetId="11" r:id="Rb764bd19ecab41c8"/>
    <x:sheet xmlns:r="http://schemas.openxmlformats.org/officeDocument/2006/relationships" name="Evidence Register" sheetId="12" r:id="R97f4037ef2804848"/>
    <x:sheet xmlns:r="http://schemas.openxmlformats.org/officeDocument/2006/relationships" name="Expansion Backlog" sheetId="13" r:id="Rc57076c9dab04cad"/>
    <x:sheet xmlns:r="http://schemas.openxmlformats.org/officeDocument/2006/relationships" name="AI Context" sheetId="14" r:id="Re13379377ea04831"/>
    <x:sheet xmlns:r="http://schemas.openxmlformats.org/officeDocument/2006/relationships" name="MVP Dashboard" sheetId="15" r:id="R95fb47a5054d4ad8"/>
    <x:sheet xmlns:r="http://schemas.openxmlformats.org/officeDocument/2006/relationships" name="Product Vision" sheetId="16" r:id="R96d9f50ce62f49a5"/>
    <x:sheet xmlns:r="http://schemas.openxmlformats.org/officeDocument/2006/relationships" name="Pilot Gantt" sheetId="17" r:id="R31faefd5e7cc4e05"/>
    <x:sheet xmlns:r="http://schemas.openxmlformats.org/officeDocument/2006/relationships" name="Pilot Dashboard" sheetId="18" r:id="R15114db93bf64d96"/>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<x:sst xmlns:x="http://schemas.openxmlformats.org/spreadsheetml/2006/main">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</x:sst>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135105934b74bcf" /><Relationship Type="http://schemas.openxmlformats.org/officeDocument/2006/relationships/theme" Target="/xl/theme/theme1.xml" Id="R9c105c92a45d48a4" /><Relationship Type="http://schemas.openxmlformats.org/officeDocument/2006/relationships/sharedStrings" Target="/xl/sharedStrings.xml" Id="R8e457284b6b54c55" /><Relationship Type="http://schemas.openxmlformats.org/officeDocument/2006/relationships/worksheet" Target="/xl/worksheets/sheet1.xml" Id="R0c0f1d9a18f64a0b" /><Relationship Type="http://schemas.openxmlformats.org/officeDocument/2006/relationships/worksheet" Target="/xl/worksheets/sheet2.xml" Id="R04a94af3076e41f4" /><Relationship Type="http://schemas.openxmlformats.org/officeDocument/2006/relationships/worksheet" Target="/xl/worksheets/sheet3.xml" Id="R4390dba4d3a44dd2" /><Relationship Type="http://schemas.openxmlformats.org/officeDocument/2006/relationships/worksheet" Target="/xl/worksheets/sheet4.xml" Id="R1226a487f1f440ff" /><Relationship Type="http://schemas.openxmlformats.org/officeDocument/2006/relationships/worksheet" Target="/xl/worksheets/sheet5.xml" Id="Rc329da32aca34a17" /><Relationship Type="http://schemas.openxmlformats.org/officeDocument/2006/relationships/worksheet" Target="/xl/worksheets/sheet6.xml" Id="R48d3f176cf9f4efb" /><Relationship Type="http://schemas.openxmlformats.org/officeDocument/2006/relationships/worksheet" Target="/xl/worksheets/sheet7.xml" Id="Rda39befbcbdb44e1" /><Relationship Type="http://schemas.openxmlformats.org/officeDocument/2006/relationships/worksheet" Target="/xl/worksheets/sheet8.xml" Id="R91d3e2e800584a29" /><Relationship Type="http://schemas.openxmlformats.org/officeDocument/2006/relationships/worksheet" Target="/xl/worksheets/sheet9.xml" Id="R4b1e1e3f6769400a" /><Relationship Type="http://schemas.openxmlformats.org/officeDocument/2006/relationships/worksheet" Target="/xl/worksheets/sheet10.xml" Id="Raa30a6e4a16242e4" /><Relationship Type="http://schemas.openxmlformats.org/officeDocument/2006/relationships/worksheet" Target="/xl/worksheets/sheet11.xml" Id="Rb764bd19ecab41c8" /><Relationship Type="http://schemas.openxmlformats.org/officeDocument/2006/relationships/worksheet" Target="/xl/worksheets/sheet12.xml" Id="R97f4037ef2804848" /><Relationship Type="http://schemas.openxmlformats.org/officeDocument/2006/relationships/worksheet" Target="/xl/worksheets/sheet13.xml" Id="Rc57076c9dab04cad" /><Relationship Type="http://schemas.openxmlformats.org/officeDocument/2006/relationships/worksheet" Target="/xl/worksheets/sheet14.xml" Id="Re13379377ea04831" /><Relationship Type="http://schemas.openxmlformats.org/officeDocument/2006/relationships/worksheet" Target="/xl/worksheets/sheet15.xml" Id="R95fb47a5054d4ad8" /><Relationship Type="http://schemas.openxmlformats.org/officeDocument/2006/relationships/worksheet" Target="/xl/worksheets/sheet16.xml" Id="R96d9f50ce62f49a5" /><Relationship Type="http://schemas.openxmlformats.org/officeDocument/2006/relationships/worksheet" Target="/xl/worksheets/sheet17.xml" Id="R31faefd5e7cc4e05" /><Relationship Type="http://schemas.openxmlformats.org/officeDocument/2006/relationships/worksheet" Target="/xl/worksheets/sheet18.xml" Id="R15114db93bf64d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8ed7782eec614f16" /></Relationships>
</file>

<file path=xl/drawings/_rels/drawing2.xml.rels>&#65279;<?xml version="1.0" encoding="utf-8"?><Relationships xmlns="http://schemas.openxmlformats.org/package/2006/relationships"><Relationship Type="http://schemas.openxmlformats.org/officeDocument/2006/relationships/chart" Target="/xl/drawings/charts/chart2.xml" Id="Rd8a6fae28e16454f" /></Relationships>
</file>

<file path=xl/drawings/_rels/drawing3.xml.rels>&#65279;<?xml version="1.0" encoding="utf-8"?><Relationships xmlns="http://schemas.openxmlformats.org/package/2006/relationships"><Relationship Type="http://schemas.openxmlformats.org/officeDocument/2006/relationships/chart" Target="/xl/drawings/charts/chart3.xml" Id="Rac6957409efc4c0a"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ed7782eec614f16"/>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8a6fae28e16454f"/>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c6957409efc4c0a"/>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c3fe5ad1ed084ba4" /></Relationships>
</file>

<file path=xl/worksheets/_rels/sheet5.xml.rels>&#65279;<?xml version="1.0" encoding="utf-8"?><Relationships xmlns="http://schemas.openxmlformats.org/package/2006/relationships"><Relationship Type="http://schemas.openxmlformats.org/officeDocument/2006/relationships/drawing" Target="/xl/drawings/drawing2.xml" Id="R8d12d2449102445f" /></Relationships>
</file>

<file path=xl/worksheets/_rels/sheet15.xml.rels>&#65279;<?xml version="1.0" encoding="utf-8"?><Relationships xmlns="http://schemas.openxmlformats.org/package/2006/relationships"><Relationship Type="http://schemas.openxmlformats.org/officeDocument/2006/relationships/drawing" Target="/xl/drawings/drawing3.xml" Id="R6e0a328c55cc4d6d"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Control revision</x:v>
      </x:c>
      <x:c r="B4" s="747" t="str">
        <x:v>Program v2.8 - P1.3 accepted and P2.1 opened 2026-07-16</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 (legacy)</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Target finish (legacy)</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Planned labour (legacy)</x:v>
      </x:c>
      <x:c r="B8" s="749" t="str">
        <x:v>46 hours; not controlling</x:v>
      </x:c>
      <x:c r="C8" s="1"/>
      <x:c r="D8" s="752" t="n">
        <x:v>5</x:v>
      </x:c>
      <x:c r="E8" s="72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Time tracking</x:v>
      </x:c>
      <x:c r="B9" s="749" t="str">
        <x:v>Waived prospectively</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Current gate</x:v>
      </x:c>
      <x:c r="B10" s="750" t="str">
        <x:v>P2.1 package inventory, parse, revision, and authority gates in progress</x:v>
      </x:c>
      <x:c r="C10" s="1"/>
      <x:c r="D10" s="752" t="n">
        <x:v>7</x:v>
      </x:c>
      <x:c r="E10" s="72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P2.1 - Implement package inventory gates</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P2.2 - Document and tag relationship checks (blocked pending P2.1 acceptance)</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63" hidden="0" customHeight="1">
      <x:c r="A28" s="704" t="str">
        <x:v>P1.3 was accepted at commit 4b7516e and its frozen_pre_tuning status is active. P2.1 is authorized on feature/package-inventory-gates against development inputs only. Do not inspect the accepted held-out family before first held-out execution.</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c3fe5ad1ed084ba4"/>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8d12d2449102445f"/>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x:c r="A48" s="78"/>
      <x:c r="B48" s="78"/>
      <x:c r="C48" s="78"/>
      <x:c r="D48" s="78"/>
      <x:c r="E48" s="78"/>
      <x:c r="F48" s="78"/>
      <x:c r="G48" s="78"/>
      <x:c r="H48" s="78"/>
    </x:row>
    <x:row r="49">
      <x:c r="A49" s="78"/>
      <x:c r="B49" s="78"/>
      <x:c r="C49" s="78"/>
      <x:c r="D49" s="78"/>
      <x:c r="E49" s="78"/>
      <x:c r="F49" s="78"/>
      <x:c r="G49" s="78"/>
      <x:c r="H49" s="78"/>
    </x:row>
    <x:row r="50">
      <x:c r="A50" s="78"/>
      <x:c r="B50" s="78"/>
      <x:c r="C50" s="78"/>
      <x:c r="D50" s="78"/>
      <x:c r="E50" s="78"/>
      <x:c r="F50" s="78"/>
      <x:c r="G50" s="78"/>
      <x:c r="H50" s="78"/>
    </x:row>
    <x:row r="51">
      <x:c r="A51" s="78"/>
      <x:c r="B51" s="78"/>
      <x:c r="C51" s="78"/>
      <x:c r="D51" s="78"/>
      <x:c r="E51" s="78"/>
      <x:c r="F51" s="78"/>
      <x:c r="G51" s="78"/>
      <x:c r="H51" s="78"/>
    </x:row>
    <x:row r="52">
      <x:c r="A52" s="78"/>
      <x:c r="B52" s="78"/>
      <x:c r="C52" s="78"/>
      <x:c r="D52" s="78"/>
      <x:c r="E52" s="78"/>
      <x:c r="F52" s="78"/>
      <x:c r="G52" s="78"/>
      <x:c r="H52" s="78"/>
    </x:row>
    <x:row r="53">
      <x:c r="A53" s="78"/>
      <x:c r="B53" s="78"/>
      <x:c r="C53" s="78"/>
      <x:c r="D53" s="78"/>
      <x:c r="E53" s="78"/>
      <x:c r="F53" s="78"/>
      <x:c r="G53" s="78"/>
      <x:c r="H53" s="78"/>
    </x:row>
    <x:row r="54">
      <x:c r="A54" s="78"/>
      <x:c r="B54" s="78"/>
      <x:c r="C54" s="78"/>
      <x:c r="D54" s="78"/>
      <x:c r="E54" s="78"/>
      <x:c r="F54" s="78"/>
      <x:c r="G54" s="78"/>
      <x:c r="H54" s="78"/>
    </x:row>
    <x:row r="55">
      <x:c r="A55" s="78"/>
      <x:c r="B55" s="78"/>
      <x:c r="C55" s="78"/>
      <x:c r="D55" s="78"/>
      <x:c r="E55" s="78"/>
      <x:c r="F55" s="78"/>
      <x:c r="G55" s="78"/>
      <x:c r="H55" s="78"/>
    </x:row>
    <x:row r="56">
      <x:c r="A56" s="78"/>
      <x:c r="B56" s="78"/>
      <x:c r="C56" s="78"/>
      <x:c r="D56" s="78"/>
      <x:c r="E56" s="78"/>
      <x:c r="F56" s="78"/>
      <x:c r="G56" s="78"/>
      <x:c r="H56" s="78"/>
    </x:row>
    <x:row r="57">
      <x:c r="A57" s="78"/>
      <x:c r="B57" s="78"/>
      <x:c r="C57" s="78"/>
      <x:c r="D57" s="78"/>
      <x:c r="E57" s="78"/>
      <x:c r="F57" s="78"/>
      <x:c r="G57" s="78"/>
      <x:c r="H57" s="78"/>
    </x:row>
    <x:row r="58">
      <x:c r="A58" s="78"/>
      <x:c r="B58" s="78"/>
      <x:c r="C58" s="78"/>
      <x:c r="D58" s="78"/>
      <x:c r="E58" s="78"/>
      <x:c r="F58" s="78"/>
      <x:c r="G58" s="78"/>
      <x:c r="H58" s="78"/>
    </x:row>
    <x:row r="59">
      <x:c r="A59" s="78"/>
      <x:c r="B59" s="78"/>
      <x:c r="C59" s="78"/>
      <x:c r="D59" s="78"/>
      <x:c r="E59" s="78"/>
      <x:c r="F59" s="78"/>
      <x:c r="G59" s="78"/>
      <x:c r="H59" s="78"/>
    </x:row>
    <x:row r="60">
      <x:c r="A60" s="78"/>
      <x:c r="B60" s="78"/>
      <x:c r="C60" s="78"/>
      <x:c r="D60" s="78"/>
      <x:c r="E60" s="78"/>
      <x:c r="F60" s="78"/>
      <x:c r="G60" s="78"/>
      <x:c r="H60" s="78"/>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x:c r="A21" s="78"/>
      <x:c r="B21" s="78"/>
      <x:c r="C21" s="78"/>
      <x:c r="D21" s="78"/>
      <x:c r="E21" s="78"/>
      <x:c r="F21" s="78"/>
      <x:c r="G21" s="78"/>
      <x:c r="H21" s="78"/>
      <x:c r="I21" s="78"/>
      <x:c r="J21" s="78"/>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7" t="str">
        <x:v>2026-07-16</x:v>
      </x:c>
      <x:c r="C5" s="449" t="str">
        <x:v>Control baseline</x:v>
      </x:c>
      <x:c r="D5" s="447" t="str">
        <x:v>Program v2.8 / gate-based control</x:v>
      </x:c>
      <x:c r="E5" s="449" t="str">
        <x:v>Schedule</x:v>
      </x:c>
      <x:c r="F5" s="447" t="str">
        <x:v>Historical baseline only</x:v>
      </x:c>
      <x:c r="G5" s="449" t="str">
        <x:v>Time tracking</x:v>
      </x:c>
      <x:c r="H5" s="447" t="str">
        <x:v>Waived prospectively; historical workbook values retained</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P2.1 - package gates in progress</x:v>
      </x:c>
    </x:row>
    <x:row r="7" ht="108.75"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Manifest boundary and both fixture families are accepted. P2.1 package gates are now authorized; relationship evaluation, result routing, issue register, release summary, and held-out execution remain unimplemented.</x:v>
      </x:c>
      <x:c r="E7" s="449" t="str">
        <x:v>Product interpretation</x:v>
      </x:c>
      <x:c r="F7" s="447" t="str">
        <x:v>Successful kernel; not yet a complete economically useful workflow.</x:v>
      </x:c>
      <x:c r="G7" s="449" t="str">
        <x:v>Response</x:v>
      </x:c>
      <x:c r="H7" s="447" t="str">
        <x:v>Build one vertical end-to-end without restarting the repository.</x:v>
      </x:c>
    </x:row>
    <x:row r="8" ht="63" hidden="0" customHeight="1">
      <x:c r="A8" s="449" t="str">
        <x:v>Immediate next action</x:v>
      </x:c>
      <x:c r="B8" s="447" t="str">
        <x:v>Implement P2.1 inventory, structured-source parse, revision, authority, duplicate, evidence-locator, and controlled-file gates against the development package only. Stop for acceptance before P2.2.</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Capable long-horizon coding agents improve repository work, tool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56"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P1.3 is frozen pre-tuning. P2.1 may use only accepted contracts and development inputs; held-out content is inaccessible until the controlled P4 execution.</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90" hidden="0" customHeight="1">
      <x:c r="A41" s="604" t="str">
        <x:v>Immediate implication</x:v>
      </x:c>
      <x:c r="B41" s="605"/>
      <x:c r="C41" s="606" t="str">
        <x:v>The user accepted P1.3 at pushed commit 4b7516e on 2026-07-16. The recorded activation rule now treats the held-out family as frozen_pre_tuning without editing protected content. Local main was fast-forwarded and feature/package-inventory-gates opened for P2.1. Implementers must not inspect the accepted held-out directory before first held-out execution. P2.2 and later work remain blocked.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6e0a328c55cc4d6d"/>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08"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In Progress</x:v>
      </x:c>
      <x:c r="L11" s="664" t="n">
        <x:v>0</x:v>
      </x:c>
      <x:c r="M11" s="662" t="n">
        <x:f>SUMIF('Work Block Log'!$E$5:$E$200,A11,'Work Block Log'!$F$5:$F$200)</x:f>
        <x:v>0</x:v>
      </x:c>
      <x:c r="N11" s="662" t="n">
        <x:f>MAX(F11*(1-L11),0)</x:f>
        <x:v>3</x:v>
      </x:c>
      <x:c r="O11" s="662" t="n">
        <x:f>M11-F11</x:f>
        <x:v>-3</x:v>
      </x:c>
      <x:c r="P11" s="431" t="str">
        <x:v>feature/package-inventory-gates; baseline commit 4b7516e; D-044; EV-041</x:v>
      </x:c>
      <x:c r="Q11" s="431" t="str">
        <x:v>Implement deterministic package inventory, parse, revision, authority, duplicate, evidence-locator, and controlled-file gates against development inputs; run focused and frozen regression tests; stop for acceptance.</x:v>
      </x:c>
      <x:c r="R11" s="431" t="str">
        <x:v>P2.1 excludes cross-document relationship rules, BOM/datasheet consistency, package-state precedence, CLI/reporting, and every deferred capability. Do not inspect or execute the accepted held-out family during implementation.</x:v>
      </x:c>
      <x:c r="S11" s="669"/>
      <x:c r="T11" s="669" t="str">
        <x:v>■</x:v>
      </x:c>
      <x:c r="U11" s="669" t="str">
        <x:v>■</x:v>
      </x:c>
      <x:c r="V11" s="669"/>
      <x:c r="W11" s="669"/>
      <x:c r="X11" s="669"/>
    </x:row>
    <x:row r="12" ht="64"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Not Started</x:v>
      </x:c>
      <x:c r="L12" s="664" t="n">
        <x:v>0</x:v>
      </x:c>
      <x:c r="M12" s="662" t="n">
        <x:f>SUMIF('Work Block Log'!$E$5:$E$200,A12,'Work Block Log'!$F$5:$F$200)</x:f>
        <x:v>0</x:v>
      </x:c>
      <x:c r="N12" s="662" t="n">
        <x:f>MAX(F12*(1-L12),0)</x:f>
        <x:v>4</x:v>
      </x:c>
      <x:c r="O12" s="662" t="n">
        <x:f>M12-F12</x:f>
        <x:v>-4</x:v>
      </x:c>
      <x:c r="P12" s="431" t="str">
        <x:v>feature/tag-relationship-checks</x:v>
      </x:c>
      <x:c r="Q12" s="431" t="str">
        <x:v>Use canonical IDs and explicit normalization rules.</x:v>
      </x:c>
      <x:c r="R12" s="431" t="str">
        <x:v>Do not infer authority from file order or filename alone.</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0.2608695652173913</x:v>
      </x:c>
      <x:c r="M24" s="683" t="n">
        <x:f>SUM(M6:M22)</x:f>
        <x:v>0</x:v>
      </x:c>
      <x:c r="N24" s="683" t="n">
        <x:f>SUM(N6:N22)</x:f>
        <x:v>34</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P2.1 In Progress 2026-07-16</x:v>
      </x:c>
      <x:c r="B1" s="686"/>
      <x:c r="C1" s="686"/>
      <x:c r="D1" s="686"/>
      <x:c r="E1" s="686"/>
      <x:c r="F1" s="686"/>
      <x:c r="G1" s="686"/>
      <x:c r="H1" s="686"/>
    </x:row>
    <x:row r="3">
      <x:c r="A3" s="687" t="str">
        <x:v>Key Metrics</x:v>
      </x:c>
      <x:c r="B3" s="687"/>
      <x:c r="C3" s="687"/>
      <x:c r="D3" s="687"/>
      <x:c r="F3" s="687" t="str">
        <x:v>Current Focus</x:v>
      </x:c>
      <x:c r="G3" s="687"/>
      <x:c r="H3" s="687"/>
    </x:row>
    <x:row r="4" ht="36" customHeight="1">
      <x:c r="A4" s="688" t="str">
        <x:v>Control Basis</x:v>
      </x:c>
      <x:c r="B4" s="692" t="str">
        <x:v>Gate and evidence based</x:v>
      </x:c>
      <x:c r="C4" s="691"/>
      <x:c r="D4" s="691"/>
      <x:c r="F4" s="696" t="str">
        <x:v>Active WBS</x:v>
      </x:c>
      <x:c r="G4" s="697" t="str">
        <x:v>P2.1 - Package inventory gates</x:v>
      </x:c>
      <x:c r="H4" s="697"/>
    </x:row>
    <x:row r="5" ht="54" customHeight="1">
      <x:c r="A5" s="688" t="str">
        <x:v>Schedule Baseline</x:v>
      </x:c>
      <x:c r="B5" s="693" t="str">
        <x:v>Legacy only; not controlling</x:v>
      </x:c>
      <x:c r="C5" s="691"/>
      <x:c r="D5" s="691"/>
      <x:c r="F5" s="696" t="str">
        <x:v>Objective</x:v>
      </x:c>
      <x:c r="G5" s="697" t="str">
        <x:v>Implement fail-closed inventory, parse, revision, authority, duplicate, evidence-locator, and controlled-file gates.</x:v>
      </x:c>
      <x:c r="H5" s="697"/>
    </x:row>
    <x:row r="6" ht="45" customHeight="1">
      <x:c r="A6" s="688" t="str">
        <x:v>Time Tracking</x:v>
      </x:c>
      <x:c r="B6" s="693" t="str">
        <x:v>Waived prospectively</x:v>
      </x:c>
      <x:c r="C6" s="691"/>
      <x:c r="D6" s="691"/>
      <x:c r="F6" s="696" t="str">
        <x:v>Gate Status</x:v>
      </x:c>
      <x:c r="G6" s="697" t="str">
        <x:v>P1.3 is accepted at commit 4b7516e; frozen_pre_tuning is active. P2.1 is open on feature/package-inventory-gates.</x:v>
      </x:c>
      <x:c r="H6" s="697"/>
    </x:row>
    <x:row r="7" ht="63" customHeight="1">
      <x:c r="A7" s="688" t="str">
        <x:v>Current Gate</x:v>
      </x:c>
      <x:c r="B7" s="694" t="str">
        <x:v>P2.1 deterministic package gates</x:v>
      </x:c>
      <x:c r="C7" s="691"/>
      <x:c r="D7" s="691"/>
      <x:c r="F7" s="696" t="str">
        <x:v>Definition of Done</x:v>
      </x:c>
      <x:c r="G7" s="697" t="str">
        <x:v>Use accepted contracts and the development package only. Preserve deterministic finding evidence and prerequisite skip behavior.</x:v>
      </x:c>
      <x:c r="H7" s="697"/>
    </x:row>
    <x:row r="8" ht="54" customHeight="1">
      <x:c r="A8" s="688" t="str">
        <x:v>Released Kernel</x:v>
      </x:c>
      <x:c r="B8" s="691" t="str">
        <x:v>v0.2.0 / commit 45336a2</x:v>
      </x:c>
      <x:c r="C8" s="691"/>
      <x:c r="D8" s="691"/>
      <x:c r="F8" s="696" t="str">
        <x:v>Immediate Next Action</x:v>
      </x:c>
      <x:c r="G8" s="697" t="str">
        <x:v>Complete focused and full regression verification, record evidence, and stop for P2.1 acceptance before P2.2.</x:v>
      </x:c>
      <x:c r="H8" s="697"/>
    </x:row>
    <x:row r="9" ht="45" customHeight="1">
      <x:c r="A9" s="688" t="str">
        <x:v>Release Target</x:v>
      </x:c>
      <x:c r="B9" s="691" t="str">
        <x:v>v0.3.0</x:v>
      </x:c>
      <x:c r="C9" s="691"/>
      <x:c r="D9" s="691"/>
      <x:c r="F9" s="696" t="str">
        <x:v>Primary Risk</x:v>
      </x:c>
      <x:c r="G9" s="697" t="str">
        <x:v>Held-out exposure would contaminate the benchmark. Do not inspect or execute the accepted held-out family.</x:v>
      </x:c>
      <x:c r="H9" s="697"/>
    </x:row>
    <x:row r="10" ht="54" customHeight="1">
      <x:c r="A10" s="688" t="str">
        <x:v>Baseline Test Count</x:v>
      </x:c>
      <x:c r="B10" s="691" t="n">
        <x:v>121</x:v>
      </x:c>
      <x:c r="C10" s="691"/>
      <x:c r="D10" s="691"/>
      <x:c r="F10" s="696" t="str">
        <x:v>Deferred</x:v>
      </x:c>
      <x:c r="G10" s="697" t="str">
        <x:v>P2.2+ relationship/consistency/state routing, CLI/reporting, PDF/CAD, agents, APIs/databases, RAG, hosting, and RL.</x:v>
      </x:c>
      <x:c r="H10" s="697"/>
    </x:row>
    <x:row r="11" ht="45" customHeight="1">
      <x:c r="A11" s="688" t="str">
        <x:v>Fixture Package Families</x:v>
      </x:c>
      <x:c r="B11" s="691" t="n">
        <x:v>2</x:v>
      </x:c>
      <x:c r="C11" s="691"/>
      <x:c r="D11" s="691"/>
      <x:c r="F11" s="696" t="str">
        <x:v>Data Boundary</x:v>
      </x:c>
      <x:c r="G11" s="697" t="str">
        <x:v>Public, synthetic, self-authored, or authorized data only; outputs remain decision support for qualified human review.</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36" customHeight="1">
      <x:c r="A17" s="698" t="str">
        <x:v>P2 Consistency Rules</x:v>
      </x:c>
      <x:c r="B17" s="699" t="str">
        <x:v>In Progress</x:v>
      </x:c>
      <x:c r="C17" s="699" t="str">
        <x:v>P2.1 package gates</x:v>
      </x:c>
      <x:c r="D17" s="700" t="n">
        <x:v>0</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81" customHeight="1">
      <x:c r="A26" s="431" t="n">
        <x:v>3</x:v>
      </x:c>
      <x:c r="B26" s="431" t="str">
        <x:v>P2.1</x:v>
      </x:c>
      <x:c r="C26" s="431" t="str">
        <x:v>Package inventory gates</x:v>
      </x:c>
      <x:c r="D26" s="431" t="str">
        <x:v>Fail-closed inventory, parse, revision, authority, duplicate, evidence-locator, and controlled-file gates produce deterministic evidence.</x:v>
      </x:c>
      <x:c r="E26" s="431" t="str">
        <x:v>In Progress</x:v>
      </x:c>
      <x:c r="F26" s="431" t="str">
        <x:v>feature/package-inventory-gates</x:v>
      </x:c>
      <x:c r="G26" s="431" t="str">
        <x:v>D-044; EV-041</x:v>
      </x:c>
      <x:c r="H26"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