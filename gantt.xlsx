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bc1f44e407645e4" /></Relationships>
</file>

<file path=xl/workbook.xml><?xml version="1.0" encoding="utf-8"?>
<x:workbook xmlns:x="http://schemas.openxmlformats.org/spreadsheetml/2006/main">
  <x:sheets>
    <x:sheet xmlns:r="http://schemas.openxmlformats.org/officeDocument/2006/relationships" name="Start Here" sheetId="1" r:id="Rafc7df365ee64a10"/>
    <x:sheet xmlns:r="http://schemas.openxmlformats.org/officeDocument/2006/relationships" name="Executive Gantt" sheetId="2" r:id="R9e586598880341a5"/>
    <x:sheet xmlns:r="http://schemas.openxmlformats.org/officeDocument/2006/relationships" name="Detailed Gantt" sheetId="3" r:id="R4f4820171d404d63"/>
    <x:sheet xmlns:r="http://schemas.openxmlformats.org/officeDocument/2006/relationships" name="Weekly Control" sheetId="4" r:id="Rdff3c71b72b24297"/>
    <x:sheet xmlns:r="http://schemas.openxmlformats.org/officeDocument/2006/relationships" name="Phase Summary" sheetId="5" r:id="R569652aea02f480a"/>
    <x:sheet xmlns:r="http://schemas.openxmlformats.org/officeDocument/2006/relationships" name="Assumptions &amp; Gates" sheetId="6" r:id="Rddf3666da4e44dc5"/>
    <x:sheet xmlns:r="http://schemas.openxmlformats.org/officeDocument/2006/relationships" name="Sources" sheetId="7" r:id="R0bee1420054843f8"/>
    <x:sheet xmlns:r="http://schemas.openxmlformats.org/officeDocument/2006/relationships" name="Legacy Baseline" sheetId="8" r:id="R91babe9a6bbe4631"/>
    <x:sheet xmlns:r="http://schemas.openxmlformats.org/officeDocument/2006/relationships" name="Work Block Log" sheetId="9" r:id="Ra036fab52e144e11"/>
    <x:sheet xmlns:r="http://schemas.openxmlformats.org/officeDocument/2006/relationships" name="Decision Register" sheetId="10" r:id="R53041fcc7ccf4fb2"/>
    <x:sheet xmlns:r="http://schemas.openxmlformats.org/officeDocument/2006/relationships" name="Risks &amp; Issues" sheetId="11" r:id="R5e41d3fe66fe45dd"/>
    <x:sheet xmlns:r="http://schemas.openxmlformats.org/officeDocument/2006/relationships" name="Evidence Register" sheetId="12" r:id="Rd5f2f31ea99c4340"/>
    <x:sheet xmlns:r="http://schemas.openxmlformats.org/officeDocument/2006/relationships" name="Expansion Backlog" sheetId="13" r:id="R3a4ff413f4fd4c6f"/>
    <x:sheet xmlns:r="http://schemas.openxmlformats.org/officeDocument/2006/relationships" name="AI Context" sheetId="14" r:id="R703e327a3cc84c60"/>
    <x:sheet xmlns:r="http://schemas.openxmlformats.org/officeDocument/2006/relationships" name="MVP Dashboard" sheetId="15" r:id="R5668561fcb7d4d9e"/>
    <x:sheet xmlns:r="http://schemas.openxmlformats.org/officeDocument/2006/relationships" name="Product Vision" sheetId="16" r:id="R2bcca188f21d4d13"/>
    <x:sheet xmlns:r="http://schemas.openxmlformats.org/officeDocument/2006/relationships" name="Pilot Gantt" sheetId="17" r:id="R8625c156af804d01"/>
    <x:sheet xmlns:r="http://schemas.openxmlformats.org/officeDocument/2006/relationships" name="Pilot Dashboard" sheetId="18" r:id="Rec04fb11e3d24855"/>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<x:sst xmlns:x="http://schemas.openxmlformats.org/spreadsheetml/2006/main">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</x:sst>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a004516c9a64e8b" /><Relationship Type="http://schemas.openxmlformats.org/officeDocument/2006/relationships/theme" Target="/xl/theme/theme1.xml" Id="Rb163b9971ea7413e" /><Relationship Type="http://schemas.openxmlformats.org/officeDocument/2006/relationships/sharedStrings" Target="/xl/sharedStrings.xml" Id="R3205621adb3044b6" /><Relationship Type="http://schemas.openxmlformats.org/officeDocument/2006/relationships/worksheet" Target="/xl/worksheets/sheet1.xml" Id="Rafc7df365ee64a10" /><Relationship Type="http://schemas.openxmlformats.org/officeDocument/2006/relationships/worksheet" Target="/xl/worksheets/sheet2.xml" Id="R9e586598880341a5" /><Relationship Type="http://schemas.openxmlformats.org/officeDocument/2006/relationships/worksheet" Target="/xl/worksheets/sheet3.xml" Id="R4f4820171d404d63" /><Relationship Type="http://schemas.openxmlformats.org/officeDocument/2006/relationships/worksheet" Target="/xl/worksheets/sheet4.xml" Id="Rdff3c71b72b24297" /><Relationship Type="http://schemas.openxmlformats.org/officeDocument/2006/relationships/worksheet" Target="/xl/worksheets/sheet5.xml" Id="R569652aea02f480a" /><Relationship Type="http://schemas.openxmlformats.org/officeDocument/2006/relationships/worksheet" Target="/xl/worksheets/sheet6.xml" Id="Rddf3666da4e44dc5" /><Relationship Type="http://schemas.openxmlformats.org/officeDocument/2006/relationships/worksheet" Target="/xl/worksheets/sheet7.xml" Id="R0bee1420054843f8" /><Relationship Type="http://schemas.openxmlformats.org/officeDocument/2006/relationships/worksheet" Target="/xl/worksheets/sheet8.xml" Id="R91babe9a6bbe4631" /><Relationship Type="http://schemas.openxmlformats.org/officeDocument/2006/relationships/worksheet" Target="/xl/worksheets/sheet9.xml" Id="Ra036fab52e144e11" /><Relationship Type="http://schemas.openxmlformats.org/officeDocument/2006/relationships/worksheet" Target="/xl/worksheets/sheet10.xml" Id="R53041fcc7ccf4fb2" /><Relationship Type="http://schemas.openxmlformats.org/officeDocument/2006/relationships/worksheet" Target="/xl/worksheets/sheet11.xml" Id="R5e41d3fe66fe45dd" /><Relationship Type="http://schemas.openxmlformats.org/officeDocument/2006/relationships/worksheet" Target="/xl/worksheets/sheet12.xml" Id="Rd5f2f31ea99c4340" /><Relationship Type="http://schemas.openxmlformats.org/officeDocument/2006/relationships/worksheet" Target="/xl/worksheets/sheet13.xml" Id="R3a4ff413f4fd4c6f" /><Relationship Type="http://schemas.openxmlformats.org/officeDocument/2006/relationships/worksheet" Target="/xl/worksheets/sheet14.xml" Id="R703e327a3cc84c60" /><Relationship Type="http://schemas.openxmlformats.org/officeDocument/2006/relationships/worksheet" Target="/xl/worksheets/sheet15.xml" Id="R5668561fcb7d4d9e" /><Relationship Type="http://schemas.openxmlformats.org/officeDocument/2006/relationships/worksheet" Target="/xl/worksheets/sheet16.xml" Id="R2bcca188f21d4d13" /><Relationship Type="http://schemas.openxmlformats.org/officeDocument/2006/relationships/worksheet" Target="/xl/worksheets/sheet17.xml" Id="R8625c156af804d01" /><Relationship Type="http://schemas.openxmlformats.org/officeDocument/2006/relationships/worksheet" Target="/xl/worksheets/sheet18.xml" Id="Rec04fb11e3d24855" /></Relationships>
</file>

<file path=xl/drawings/_rels/drawing1.xml.rels>&#65279;<?xml version="1.0" encoding="utf-8"?><Relationships xmlns="http://schemas.openxmlformats.org/package/2006/relationships"><Relationship Type="http://schemas.openxmlformats.org/officeDocument/2006/relationships/chart" Target="/xl/drawings/charts/chart1.xml" Id="R80fd22b3a49244fa" /></Relationships>
</file>

<file path=xl/drawings/_rels/drawing2.xml.rels>&#65279;<?xml version="1.0" encoding="utf-8"?><Relationships xmlns="http://schemas.openxmlformats.org/package/2006/relationships"><Relationship Type="http://schemas.openxmlformats.org/officeDocument/2006/relationships/chart" Target="/xl/drawings/charts/chart2.xml" Id="R581863afbaa44a49" /></Relationships>
</file>

<file path=xl/drawings/_rels/drawing3.xml.rels>&#65279;<?xml version="1.0" encoding="utf-8"?><Relationships xmlns="http://schemas.openxmlformats.org/package/2006/relationships"><Relationship Type="http://schemas.openxmlformats.org/officeDocument/2006/relationships/chart" Target="/xl/drawings/charts/chart3.xml" Id="Rfb7fb3208e7d402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fd22b3a49244f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1863afbaa44a4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b7fb3208e7d402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d48488e547a42aa" /></Relationships>
</file>

<file path=xl/worksheets/_rels/sheet5.xml.rels>&#65279;<?xml version="1.0" encoding="utf-8"?><Relationships xmlns="http://schemas.openxmlformats.org/package/2006/relationships"><Relationship Type="http://schemas.openxmlformats.org/officeDocument/2006/relationships/drawing" Target="/xl/drawings/drawing2.xml" Id="Re6965349e70d4e06" /></Relationships>
</file>

<file path=xl/worksheets/_rels/sheet15.xml.rels>&#65279;<?xml version="1.0" encoding="utf-8"?><Relationships xmlns="http://schemas.openxmlformats.org/package/2006/relationships"><Relationship Type="http://schemas.openxmlformats.org/officeDocument/2006/relationships/drawing" Target="/xl/drawings/drawing3.xml" Id="R15562fd7db79420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P3.1 issue-register implementation ready for review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P3.1 issue-register implementation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P3.1 - Review deterministic CSV and Markdown issue views</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Review P3.1 only; P3.2 release summary remains blocked</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P3.1 implementation 2f93335 is ready for explicit review on codex/p3.1-issue-register from accepted predecessor main b9de4e6. It loads strict JSON, rejects duplicate keys and non-JSON constants, validates package_result.json, and renders deterministic CSV and Markdown from stored canonical findings without recomputing evaluator logic. Verification: 11 renderer tests; 26 focused result/report tests; full 248 passed / 1 expected Windows symlink skip; repository validation 5/5; Ruff passed; coverage 86.49%. A real revision-conflict report was inspected and preserves package-relative machine-readable evidence with no approval claim. P3.1 acceptance and integration remain required. Report publishing, P3.2 release summary, P3.3 CLI, P2.3 expansion, semantic held-out execution, protected changes,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d48488e547a42a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6965349e70d4e06"/>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P3.1 issue-register implementation review</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P3.1 now has verified CSV and Markdown views of the accepted package result. It still lacks user acceptance/integration, report publishing, release summary, audit-package CLI, broad P2.3 relationships, and semantic held-out execution.</x:v>
      </x:c>
      <x:c r="E7" s="765" t="str">
        <x:v>Product interpretation</x:v>
      </x:c>
      <x:c r="F7" s="431" t="str">
        <x:v>Successful kernel; not yet a complete economically useful workflow.</x:v>
      </x:c>
      <x:c r="G7" s="765" t="str">
        <x:v>Response</x:v>
      </x:c>
      <x:c r="H7" s="431" t="str">
        <x:v>Review implementation 2f93335 and its evidence. Confirm the views preserve canonical meaning and remain non-approving before P3.2.</x:v>
      </x:c>
    </x:row>
    <x:row r="8" ht="99" hidden="0" customHeight="1">
      <x:c r="A8" s="765" t="str">
        <x:v>Immediate next action</x:v>
      </x:c>
      <x:c r="B8" s="431" t="str">
        <x:v>Review the P3.1 diff, 11 renderer tests, 26 focused tests, 248/1 full regression, and the inspected revision-conflict output. Accept, revise, or reject; do not begin P3.2 yet.</x:v>
      </x:c>
      <x:c r="C8" s="765" t="str">
        <x:v>Selected vertical</x:v>
      </x:c>
      <x:c r="D8" s="431" t="str">
        <x:v>Eight P2.1 gates -&gt; five P2.2 checks -&gt; completeness control -&gt; canonical findings -&gt; state router -&gt; immutable package result -&gt; pure P3.1 issue views.</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P3.1 implementation 2f93335 is ready for review from exact predecessor main b9de4e6. The renderer reads strict JSON, rejects duplicate keys and non-JSON constants, schema-validates package_result.json, and emits in-memory CSV/Markdown strings from the stored finding order. CSV structured fields remain deterministic JSON; clean CSV has one header and zero data rows. Markdown repeats the exact finding facts and engineering-review limitation without release, compliance, or correctness approval. It does not import or call gate, relationship, authority, router, or hold logic and does not publish files. Proof: renderer 11; focused result/report 26; full 248/1; validation 5/5; Ruff; coverage 86.49%; inspected revision-conflict view. P3.2, P3.3, P2.3, held-out semantics, protected changes, and deferred capabilities remain blocked pending acceptance and integration.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5562fd7db79420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Implementation Complete - Review Required</x:v>
      </x:c>
      <x:c r="L15" s="664" t="n">
        <x:v>0.8</x:v>
      </x:c>
      <x:c r="M15" s="662" t="n">
        <x:f>SUMIF('Work Block Log'!$E$5:$E$200,A15,'Work Block Log'!$F$5:$F$200)</x:f>
        <x:v>0</x:v>
      </x:c>
      <x:c r="N15" s="662" t="n">
        <x:f>MAX(F15*(1-L15),0)</x:f>
        <x:v>0.7999999999999998</x:v>
      </x:c>
      <x:c r="O15" s="662" t="n">
        <x:f>M15-F15</x:f>
        <x:v>-4</x:v>
      </x:c>
      <x:c r="P15" s="431" t="str">
        <x:v>implementation 2f93335; predecessor main b9de4e6; codex/p3.1-issue-register; D-079; EV-076; renderer 11; focused result/report 26; full 248/1; validation 5/5; Ruff; coverage 86.49%; inspected revision-conflict CSV/Markdown; IMP-012</x:v>
      </x:c>
      <x:c r="Q15" s="431" t="str">
        <x:v>Review and accept, revise, or reject P3.1. After acceptance, integrate and verify exact main before authorizing P3.2.</x:v>
      </x:c>
      <x:c r="R15" s="431" t="str">
        <x:v>Views only: strict schema-valid result input, canonical stored order, deterministic JSON evidence, clean zero-row CSV, non-approving Markdown. No publishing, release summary, CLI, P2.3, held-out semantics, protected changes, or deferred capabilities.</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0.5478260869565217</x:v>
      </x:c>
      <x:c r="M24" s="683" t="n">
        <x:f>SUM(M6:M22)</x:f>
        <x:v>0</x:v>
      </x:c>
      <x:c r="N24" s="683" t="n">
        <x:f>SUM(N6:N22)</x:f>
        <x:v>20.8</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P3.1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P3.1 - Review pure issue-register views of package_result.json</x:v>
      </x:c>
      <x:c r="H4" s="697"/>
    </x:row>
    <x:row r="5" ht="72" customHeight="1">
      <x:c r="A5" s="688" t="str">
        <x:v>Schedule Baseline</x:v>
      </x:c>
      <x:c r="B5" s="693" t="str">
        <x:v>Legacy only; not controlling</x:v>
      </x:c>
      <x:c r="C5" s="691"/>
      <x:c r="D5" s="691"/>
      <x:c r="F5" s="696" t="str">
        <x:v>Objective</x:v>
      </x:c>
      <x:c r="G5" s="697" t="str">
        <x:v>Confirm canonical machine findings are readable without changing their meaning.</x:v>
      </x:c>
      <x:c r="H5" s="697"/>
    </x:row>
    <x:row r="6" ht="63" customHeight="1">
      <x:c r="A6" s="688" t="str">
        <x:v>Time Tracking</x:v>
      </x:c>
      <x:c r="B6" s="693" t="str">
        <x:v>Waived prospectively</x:v>
      </x:c>
      <x:c r="C6" s="691"/>
      <x:c r="D6" s="691"/>
      <x:c r="F6" s="696" t="str">
        <x:v>Gate Status</x:v>
      </x:c>
      <x:c r="G6" s="697" t="str">
        <x:v>Implementation 2f93335 is verified and ready for explicit acceptance; integration remains required.</x:v>
      </x:c>
      <x:c r="H6" s="697"/>
    </x:row>
    <x:row r="7" ht="81" customHeight="1">
      <x:c r="A7" s="688" t="str">
        <x:v>Current Gate</x:v>
      </x:c>
      <x:c r="B7" s="694" t="str">
        <x:v>P3.1 issue-register implementation review</x:v>
      </x:c>
      <x:c r="C7" s="691"/>
      <x:c r="D7" s="691"/>
      <x:c r="F7" s="696" t="str">
        <x:v>Definition of Done</x:v>
      </x:c>
      <x:c r="G7" s="697" t="str">
        <x:v>Strict input validation; stable CSV/Markdown; clean zero-row output; machine-readable evidence; no evaluator recomputation.</x:v>
      </x:c>
      <x:c r="H7" s="697"/>
    </x:row>
    <x:row r="8" ht="63" customHeight="1">
      <x:c r="A8" s="688" t="str">
        <x:v>Released Kernel</x:v>
      </x:c>
      <x:c r="B8" s="691" t="str">
        <x:v>v0.2.0 / commit 45336a2</x:v>
      </x:c>
      <x:c r="C8" s="691"/>
      <x:c r="D8" s="691"/>
      <x:c r="F8" s="696" t="str">
        <x:v>Immediate Next Action</x:v>
      </x:c>
      <x:c r="G8" s="697" t="str">
        <x:v>Review the diff, tests, and inspected revision-conflict output; accept, revise, or reject P3.1.</x:v>
      </x:c>
      <x:c r="H8" s="697"/>
    </x:row>
    <x:row r="9" ht="72" customHeight="1">
      <x:c r="A9" s="688" t="str">
        <x:v>Release Target</x:v>
      </x:c>
      <x:c r="B9" s="691" t="str">
        <x:v>v0.3.0</x:v>
      </x:c>
      <x:c r="C9" s="691"/>
      <x:c r="D9" s="691"/>
      <x:c r="F9" s="696" t="str">
        <x:v>Primary Risk</x:v>
      </x:c>
      <x:c r="G9" s="697" t="str">
        <x:v>Primary risk is treating a readable report as an approval or allowing report code to reinterpret canonical findings.</x:v>
      </x:c>
      <x:c r="H9" s="697"/>
    </x:row>
    <x:row r="10" ht="81" customHeight="1">
      <x:c r="A10" s="688" t="str">
        <x:v>Baseline Test Count</x:v>
      </x:c>
      <x:c r="B10" s="691" t="n">
        <x:v>121</x:v>
      </x:c>
      <x:c r="C10" s="691"/>
      <x:c r="D10" s="691"/>
      <x:c r="F10" s="696" t="str">
        <x:v>Deferred</x:v>
      </x:c>
      <x:c r="G10" s="697" t="str">
        <x:v>Report publishing, release summary, CLI, P2.3 expansion, semantic held-out execution, protected changes, and deferred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accepted; P2.3 intentionally sequenced later</x:v>
      </x:c>
      <x:c r="D17" s="700" t="n">
        <x:v>0.75</x:v>
      </x:c>
      <x:c r="E17" s="698" t="str">
        <x:v>Gate P2 - deterministic audit core and result-state routing</x:v>
      </x:c>
    </x:row>
    <x:row r="18" ht="36" customHeight="1">
      <x:c r="A18" s="698" t="str">
        <x:v>P3 Issue Register &amp; CLI</x:v>
      </x:c>
      <x:c r="B18" s="699" t="str">
        <x:v>In Progress</x:v>
      </x:c>
      <x:c r="C18" s="699" t="str">
        <x:v>P3.1 implementation ready for review</x:v>
      </x:c>
      <x:c r="D18" s="700" t="n">
        <x:v>0.4</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207"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Implementation Complete / Review Required</x:v>
      </x:c>
      <x:c r="F29" s="431" t="str">
        <x:v>codex/p3.1-issue-register</x:v>
      </x:c>
      <x:c r="G29" s="431" t="str">
        <x:v>implementation 2f93335; predecessor b9de4e6; D-079; EV-076; renderer 11; focused 26; full 248/1; validation 5/5; Ruff; coverage 86.49%; inspected revision-conflict views; P3.2 remains blocked</x:v>
      </x:c>
      <x:c r="H29"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