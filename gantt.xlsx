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921bf3ef3cc4629" /></Relationships>
</file>

<file path=xl/workbook.xml><?xml version="1.0" encoding="utf-8"?>
<x:workbook xmlns:x="http://schemas.openxmlformats.org/spreadsheetml/2006/main">
  <x:sheets>
    <x:sheet xmlns:r="http://schemas.openxmlformats.org/officeDocument/2006/relationships" name="Start Here" sheetId="1" r:id="Re00ded9d88684e17"/>
    <x:sheet xmlns:r="http://schemas.openxmlformats.org/officeDocument/2006/relationships" name="Executive Gantt" sheetId="2" r:id="R39253c0d0b234884"/>
    <x:sheet xmlns:r="http://schemas.openxmlformats.org/officeDocument/2006/relationships" name="Detailed Gantt" sheetId="3" r:id="R402ce37753ab44be"/>
    <x:sheet xmlns:r="http://schemas.openxmlformats.org/officeDocument/2006/relationships" name="Weekly Control" sheetId="4" r:id="Ra14bb32202534754"/>
    <x:sheet xmlns:r="http://schemas.openxmlformats.org/officeDocument/2006/relationships" name="Phase Summary" sheetId="5" r:id="Rb5aa68be29444c61"/>
    <x:sheet xmlns:r="http://schemas.openxmlformats.org/officeDocument/2006/relationships" name="Assumptions &amp; Gates" sheetId="6" r:id="Rbeb5486bf6ea4ccc"/>
    <x:sheet xmlns:r="http://schemas.openxmlformats.org/officeDocument/2006/relationships" name="Sources" sheetId="7" r:id="Rd6e9e1fe20454923"/>
    <x:sheet xmlns:r="http://schemas.openxmlformats.org/officeDocument/2006/relationships" name="Legacy Baseline" sheetId="8" r:id="Rd65572ce40d24994"/>
    <x:sheet xmlns:r="http://schemas.openxmlformats.org/officeDocument/2006/relationships" name="Work Block Log" sheetId="9" r:id="R10e5d38955154ee8"/>
    <x:sheet xmlns:r="http://schemas.openxmlformats.org/officeDocument/2006/relationships" name="Decision Register" sheetId="10" r:id="R9f5ca3c47da94315"/>
    <x:sheet xmlns:r="http://schemas.openxmlformats.org/officeDocument/2006/relationships" name="Risks &amp; Issues" sheetId="11" r:id="Rfe20554ddbf947b3"/>
    <x:sheet xmlns:r="http://schemas.openxmlformats.org/officeDocument/2006/relationships" name="Evidence Register" sheetId="12" r:id="R507b7961a64948c9"/>
    <x:sheet xmlns:r="http://schemas.openxmlformats.org/officeDocument/2006/relationships" name="Expansion Backlog" sheetId="13" r:id="R083c5c120eb44220"/>
    <x:sheet xmlns:r="http://schemas.openxmlformats.org/officeDocument/2006/relationships" name="AI Context" sheetId="14" r:id="Rdb5b6a9c7e594f4c"/>
    <x:sheet xmlns:r="http://schemas.openxmlformats.org/officeDocument/2006/relationships" name="MVP Dashboard" sheetId="15" r:id="Ree4c7dfb3c464291"/>
    <x:sheet xmlns:r="http://schemas.openxmlformats.org/officeDocument/2006/relationships" name="Product Vision" sheetId="16" r:id="Ra6ab7052103a4b0e"/>
    <x:sheet xmlns:r="http://schemas.openxmlformats.org/officeDocument/2006/relationships" name="Pilot Gantt" sheetId="17" r:id="R1ebddad6ca7b42af"/>
    <x:sheet xmlns:r="http://schemas.openxmlformats.org/officeDocument/2006/relationships" name="Pilot Dashboard" sheetId="18" r:id="R27bbb0494ad4406e"/>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<x:sst xmlns:x="http://schemas.openxmlformats.org/spreadsheetml/2006/main">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</x:sst>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d3945c35fc74eca" /><Relationship Type="http://schemas.openxmlformats.org/officeDocument/2006/relationships/theme" Target="/xl/theme/theme1.xml" Id="R71a0613c63234110" /><Relationship Type="http://schemas.openxmlformats.org/officeDocument/2006/relationships/sharedStrings" Target="/xl/sharedStrings.xml" Id="R2dc8aa48c8ac4407" /><Relationship Type="http://schemas.openxmlformats.org/officeDocument/2006/relationships/worksheet" Target="/xl/worksheets/sheet1.xml" Id="Re00ded9d88684e17" /><Relationship Type="http://schemas.openxmlformats.org/officeDocument/2006/relationships/worksheet" Target="/xl/worksheets/sheet2.xml" Id="R39253c0d0b234884" /><Relationship Type="http://schemas.openxmlformats.org/officeDocument/2006/relationships/worksheet" Target="/xl/worksheets/sheet3.xml" Id="R402ce37753ab44be" /><Relationship Type="http://schemas.openxmlformats.org/officeDocument/2006/relationships/worksheet" Target="/xl/worksheets/sheet4.xml" Id="Ra14bb32202534754" /><Relationship Type="http://schemas.openxmlformats.org/officeDocument/2006/relationships/worksheet" Target="/xl/worksheets/sheet5.xml" Id="Rb5aa68be29444c61" /><Relationship Type="http://schemas.openxmlformats.org/officeDocument/2006/relationships/worksheet" Target="/xl/worksheets/sheet6.xml" Id="Rbeb5486bf6ea4ccc" /><Relationship Type="http://schemas.openxmlformats.org/officeDocument/2006/relationships/worksheet" Target="/xl/worksheets/sheet7.xml" Id="Rd6e9e1fe20454923" /><Relationship Type="http://schemas.openxmlformats.org/officeDocument/2006/relationships/worksheet" Target="/xl/worksheets/sheet8.xml" Id="Rd65572ce40d24994" /><Relationship Type="http://schemas.openxmlformats.org/officeDocument/2006/relationships/worksheet" Target="/xl/worksheets/sheet9.xml" Id="R10e5d38955154ee8" /><Relationship Type="http://schemas.openxmlformats.org/officeDocument/2006/relationships/worksheet" Target="/xl/worksheets/sheet10.xml" Id="R9f5ca3c47da94315" /><Relationship Type="http://schemas.openxmlformats.org/officeDocument/2006/relationships/worksheet" Target="/xl/worksheets/sheet11.xml" Id="Rfe20554ddbf947b3" /><Relationship Type="http://schemas.openxmlformats.org/officeDocument/2006/relationships/worksheet" Target="/xl/worksheets/sheet12.xml" Id="R507b7961a64948c9" /><Relationship Type="http://schemas.openxmlformats.org/officeDocument/2006/relationships/worksheet" Target="/xl/worksheets/sheet13.xml" Id="R083c5c120eb44220" /><Relationship Type="http://schemas.openxmlformats.org/officeDocument/2006/relationships/worksheet" Target="/xl/worksheets/sheet14.xml" Id="Rdb5b6a9c7e594f4c" /><Relationship Type="http://schemas.openxmlformats.org/officeDocument/2006/relationships/worksheet" Target="/xl/worksheets/sheet15.xml" Id="Ree4c7dfb3c464291" /><Relationship Type="http://schemas.openxmlformats.org/officeDocument/2006/relationships/worksheet" Target="/xl/worksheets/sheet16.xml" Id="Ra6ab7052103a4b0e" /><Relationship Type="http://schemas.openxmlformats.org/officeDocument/2006/relationships/worksheet" Target="/xl/worksheets/sheet17.xml" Id="R1ebddad6ca7b42af" /><Relationship Type="http://schemas.openxmlformats.org/officeDocument/2006/relationships/worksheet" Target="/xl/worksheets/sheet18.xml" Id="R27bbb0494ad4406e" /></Relationships>
</file>

<file path=xl/drawings/_rels/drawing1.xml.rels>&#65279;<?xml version="1.0" encoding="utf-8"?><Relationships xmlns="http://schemas.openxmlformats.org/package/2006/relationships"><Relationship Type="http://schemas.openxmlformats.org/officeDocument/2006/relationships/chart" Target="/xl/drawings/charts/chart1.xml" Id="R4838173f8395431f" /></Relationships>
</file>

<file path=xl/drawings/_rels/drawing2.xml.rels>&#65279;<?xml version="1.0" encoding="utf-8"?><Relationships xmlns="http://schemas.openxmlformats.org/package/2006/relationships"><Relationship Type="http://schemas.openxmlformats.org/officeDocument/2006/relationships/chart" Target="/xl/drawings/charts/chart2.xml" Id="Rd281e826122c4e9e" /></Relationships>
</file>

<file path=xl/drawings/_rels/drawing3.xml.rels>&#65279;<?xml version="1.0" encoding="utf-8"?><Relationships xmlns="http://schemas.openxmlformats.org/package/2006/relationships"><Relationship Type="http://schemas.openxmlformats.org/officeDocument/2006/relationships/chart" Target="/xl/drawings/charts/chart3.xml" Id="R7a19fc38844e49a1"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838173f8395431f"/>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281e826122c4e9e"/>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a19fc38844e49a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0d22e9f6e0064b96" /></Relationships>
</file>

<file path=xl/worksheets/_rels/sheet5.xml.rels>&#65279;<?xml version="1.0" encoding="utf-8"?><Relationships xmlns="http://schemas.openxmlformats.org/package/2006/relationships"><Relationship Type="http://schemas.openxmlformats.org/officeDocument/2006/relationships/drawing" Target="/xl/drawings/drawing2.xml" Id="R2aaa095c3aba4d0f" /></Relationships>
</file>

<file path=xl/worksheets/_rels/sheet15.xml.rels>&#65279;<?xml version="1.0" encoding="utf-8"?><Relationships xmlns="http://schemas.openxmlformats.org/package/2006/relationships"><Relationship Type="http://schemas.openxmlformats.org/officeDocument/2006/relationships/drawing" Target="/xl/drawings/drawing3.xml" Id="Ra35d8d4b743c4b4a"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6" customHeight="1">
      <x:c r="A4" s="545" t="str">
        <x:v>Control revision</x:v>
      </x:c>
      <x:c r="B4" s="755" t="str">
        <x:v>Program v3.0 - first usable audit vertical-slice definition ready for review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First usable package-audit vertical-slice definition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0.5" hidden="0" customHeight="1">
      <x:c r="A12" s="545" t="str">
        <x:v>Active WBS</x:v>
      </x:c>
      <x:c r="B12" s="761" t="str">
        <x:v>Cross-WBS P2.2/P2.4/P3 - Definition and proposed resequencing</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Accept, revise, or reject the definition before any implementation</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 hidden="0" customHeight="1">
      <x:c r="A28" s="597" t="str">
        <x:v>Definition review is active from clean main baseline a18fc5f on codex/first-usable-audit-definition. The proposal appends one drawing-register-to-manifest file-reciprocity check under existing AUTH-DWG-002, then delivers required-result completeness, package-state routing, immutable package_result.json, issue-register and release-readiness views, and audit-package CLI behavior before broad P2.3 expansion. P2.3 remains required for release. The definition also identifies a necessary final-finding boundary so reports do not infer missing fields from gate messages. No executable behavior, schema, fixture, authority map, expected result, held-out asset, or accepted predecessor has changed. All implementation remains blocked pending explicit definition acceptance.</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0d22e9f6e0064b96"/>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aaa095c3aba4d0f"/>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4"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First usable audit vertical-slice definition / proposed resequencing</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Four drawing checks are integrated, but users still cannot run one complete package audit. The current dependency chain makes package-state routing and reports wait for all P2.3 relationship families. Current gate findings also need a reviewed canonical final-finding boundary before they can honestly populate the promised issue register.</x:v>
      </x:c>
      <x:c r="E7" s="765" t="str">
        <x:v>Product interpretation</x:v>
      </x:c>
      <x:c r="F7" s="431" t="str">
        <x:v>Successful kernel; not yet a complete economically useful workflow.</x:v>
      </x:c>
      <x:c r="G7" s="765" t="str">
        <x:v>Response</x:v>
      </x:c>
      <x:c r="H7" s="431" t="str">
        <x:v>Define and accept one thin structured-package audit from gates and five drawing checks through state, immutable result, reports, and CLI before broad rule expansion.</x:v>
      </x:c>
    </x:row>
    <x:row r="8" ht="90" hidden="0" customHeight="1">
      <x:c r="A8" s="765" t="str">
        <x:v>Immediate next action</x:v>
      </x:c>
      <x:c r="B8" s="431" t="str">
        <x:v>Review docs/package_assurance/first_usable_audit_vertical_slice_definition_v0.3.0.md and accept, revise, or reject its ten decisions. Do not implement before acceptance.</x:v>
      </x:c>
      <x:c r="C8" s="765" t="str">
        <x:v>Selected vertical</x:v>
      </x:c>
      <x:c r="D8" s="431" t="str">
        <x:v>Eight P2.1 gates -&gt; five drawing checks -&gt; completeness control -&gt; state router -&gt; immutable result -&gt; issue register -&gt; release summary -&gt; CLI.</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17" hidden="0" customHeight="1">
      <x:c r="A41" s="604" t="str">
        <x:v>Immediate implication</x:v>
      </x:c>
      <x:c r="B41" s="605"/>
      <x:c r="C41" s="606" t="str">
        <x:v>The proposed next executable block is a fifth P2.2 check: drawing_register_manifest_file_reciprocity v0.3.0 under existing AUTH-DWG-002. Each authoritative register drawing must match one manifest inventory item, one declared/resolved file reference, and one required document_to_file relationship, with no conflicting required mapping. One failed drawing becomes one evidence-rich automatic-fail release hold. After acceptance and implementation, the minimum P2.4/P3 result path proceeds before broad P2.3 expansion. No new authority rule or held-out-asset change is proposed.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a35d8d4b743c4b4a"/>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62"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0.5</x:v>
      </x:c>
      <x:c r="M12" s="662" t="n">
        <x:f>SUMIF('Work Block Log'!$E$5:$E$200,A12,'Work Block Log'!$F$5:$F$200)</x:f>
        <x:v>0</x:v>
      </x:c>
      <x:c r="N12" s="662" t="n">
        <x:f>MAX(F12*(1-L12),0)</x:f>
        <x:v>2</x:v>
      </x:c>
      <x:c r="O12" s="662" t="n">
        <x:f>M12-F12</x:f>
        <x:v>-4</x:v>
      </x:c>
      <x:c r="P12" s="431" t="str">
        <x:v>four drawing checks integrated through control closeout a18fc5f; first usable audit definition on codex/first-usable-audit-definition; docs/package_assurance/first_usable_audit_vertical_slice_definition_v0.3.0.md; D-072; EV-069; IMP-012</x:v>
      </x:c>
      <x:c r="Q12" s="431" t="str">
        <x:v>Review and explicitly accept, revise, or reject the vertical-slice definition. After acceptance, implement only drawing_register_manifest_file_reciprocity v0.3.0 on a separate branch.</x:v>
      </x:c>
      <x:c r="R12" s="431" t="str">
        <x:v>P2.2 remains 50%. The proposed fifth check closes drawing declaration/manifest reciprocity under existing AUTH-DWG-002. No executable behavior, accepted fixture, schema, authority map, golden, held-out asset, or predecessor has 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Review the proposed sequence only; do not begin P2.3 implementation during the definition gate.</x:v>
      </x:c>
      <x:c r="R13" s="431" t="str">
        <x:v>P2.3 remains required before release. Moving it behind the first usable audit lets later rule families use a proven state/result/report/CLI path.</x:v>
      </x:c>
      <x:c r="S13" s="669"/>
      <x:c r="T13" s="669"/>
      <x:c r="U13" s="669" t="str">
        <x:v>■</x:v>
      </x:c>
      <x:c r="V13" s="669" t="str">
        <x:v>■</x:v>
      </x:c>
      <x:c r="W13" s="669"/>
      <x:c r="X13" s="669"/>
    </x:row>
    <x:row r="14" ht="135"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 first usable audit definition; D-072; EV-069</x:v>
      </x:c>
      <x:c r="Q14" s="431" t="str">
        <x:v>After definition acceptance and fifth-check integration, implement required-result completeness, canonical final findings, state precedence, package result, schema, and immutable persistence.</x:v>
      </x:c>
      <x:c r="R14" s="431" t="str">
        <x:v>Proposed sequence removes P2.3 from the minimum vertical-slice dependency only; the accepted release still requires P2.3 before P4/release. No predecessor cell changes until definition acceptance.</x:v>
      </x:c>
      <x:c r="S14" s="669"/>
      <x:c r="T14" s="669"/>
      <x:c r="U14" s="669"/>
      <x:c r="V14" s="669" t="str">
        <x:v>■</x:v>
      </x:c>
      <x:c r="W14" s="669"/>
      <x:c r="X14" s="669"/>
    </x:row>
    <x:row r="15" ht="135"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 first usable audit definition; D-072; EV-069</x:v>
      </x:c>
      <x:c r="Q15" s="431" t="str">
        <x:v>After the accepted result core, render CSV and Markdown issue registers as pure views of package_result.json.</x:v>
      </x:c>
      <x:c r="R15" s="431" t="str">
        <x:v>Canonical findings must be report-ready; report code cannot infer authority, owner, severity, or state from prose messages.</x:v>
      </x:c>
      <x:c r="S15" s="669"/>
      <x:c r="T15" s="669"/>
      <x:c r="U15" s="669"/>
      <x:c r="V15" s="669" t="str">
        <x:v>■</x:v>
      </x:c>
      <x:c r="W15" s="669"/>
      <x:c r="X15" s="669"/>
    </x:row>
    <x:row r="16" ht="135"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 first usable audit definition; D-072; EV-069</x:v>
      </x:c>
      <x:c r="Q16" s="431" t="str">
        <x:v>After the issue-register view, render one concise non-approving release-readiness summary from the same immutable result.</x:v>
      </x:c>
      <x:c r="R16" s="431" t="str">
        <x:v>Summary supports qualified human review and cannot approve release, compliance, or engineering correctness.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0.3695652173913043</x:v>
      </x:c>
      <x:c r="M24" s="683" t="n">
        <x:f>SUM(M6:M22)</x:f>
        <x:v>0</x:v>
      </x:c>
      <x:c r="N24" s="683" t="n">
        <x:f>SUM(N6:N22)</x:f>
        <x:v>29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First Usable Audit Definition</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Cross-WBS P2.2/P2.4/P3 - Definition and proposed resequencing</x:v>
      </x:c>
      <x:c r="H4" s="697"/>
    </x:row>
    <x:row r="5" ht="63" customHeight="1">
      <x:c r="A5" s="688" t="str">
        <x:v>Schedule Baseline</x:v>
      </x:c>
      <x:c r="B5" s="693" t="str">
        <x:v>Legacy only; not controlling</x:v>
      </x:c>
      <x:c r="C5" s="691"/>
      <x:c r="D5" s="691"/>
      <x:c r="F5" s="696" t="str">
        <x:v>Objective</x:v>
      </x:c>
      <x:c r="G5" s="697" t="str">
        <x:v>Freeze one honest package audit from structured input through state, immutable result, reports, and CLI.</x:v>
      </x:c>
      <x:c r="H5" s="697"/>
    </x:row>
    <x:row r="6" ht="63" customHeight="1">
      <x:c r="A6" s="688" t="str">
        <x:v>Time Tracking</x:v>
      </x:c>
      <x:c r="B6" s="693" t="str">
        <x:v>Waived prospectively</x:v>
      </x:c>
      <x:c r="C6" s="691"/>
      <x:c r="D6" s="691"/>
      <x:c r="F6" s="696" t="str">
        <x:v>Gate Status</x:v>
      </x:c>
      <x:c r="G6" s="697" t="str">
        <x:v>Four drawing checks are integrated; the fifth drawing-manifest reciprocity check is defined but not authorized for implementation.</x:v>
      </x:c>
      <x:c r="H6" s="697"/>
    </x:row>
    <x:row r="7" ht="72" customHeight="1">
      <x:c r="A7" s="688" t="str">
        <x:v>Current Gate</x:v>
      </x:c>
      <x:c r="B7" s="694" t="str">
        <x:v>First usable package-audit vertical-slice definition review</x:v>
      </x:c>
      <x:c r="C7" s="691"/>
      <x:c r="D7" s="691"/>
      <x:c r="F7" s="696" t="str">
        <x:v>Definition of Done</x:v>
      </x:c>
      <x:c r="G7" s="697" t="str">
        <x:v>Definition freezes ten review decisions, exact fifth-check behavior, state completeness, final findings, outputs, failures, and acceptance tests.</x:v>
      </x:c>
      <x:c r="H7" s="697"/>
    </x:row>
    <x:row r="8" ht="63" customHeight="1">
      <x:c r="A8" s="688" t="str">
        <x:v>Released Kernel</x:v>
      </x:c>
      <x:c r="B8" s="691" t="str">
        <x:v>v0.2.0 / commit 45336a2</x:v>
      </x:c>
      <x:c r="C8" s="691"/>
      <x:c r="D8" s="691"/>
      <x:c r="F8" s="696" t="str">
        <x:v>Immediate Next Action</x:v>
      </x:c>
      <x:c r="G8" s="697" t="str">
        <x:v>Accept, revise, or reject the vertical-slice definition before implementation.</x:v>
      </x:c>
      <x:c r="H8" s="697"/>
    </x:row>
    <x:row r="9" ht="72" customHeight="1">
      <x:c r="A9" s="688" t="str">
        <x:v>Release Target</x:v>
      </x:c>
      <x:c r="B9" s="691" t="str">
        <x:v>v0.3.0</x:v>
      </x:c>
      <x:c r="C9" s="691"/>
      <x:c r="D9" s="691"/>
      <x:c r="F9" s="696" t="str">
        <x:v>Primary Risk</x:v>
      </x:c>
      <x:c r="G9" s="697" t="str">
        <x:v>Primary risk is producing a polished report from incomplete or under-specified findings; required-result and canonical-finding controls address it.</x:v>
      </x:c>
      <x:c r="H9" s="697"/>
    </x:row>
    <x:row r="10" ht="72" customHeight="1">
      <x:c r="A10" s="688" t="str">
        <x:v>Baseline Test Count</x:v>
      </x:c>
      <x:c r="B10" s="691" t="n">
        <x:v>121</x:v>
      </x:c>
      <x:c r="C10" s="691"/>
      <x:c r="D10" s="691"/>
      <x:c r="F10" s="696" t="str">
        <x:v>Deferred</x:v>
      </x:c>
      <x:c r="G10" s="697" t="str">
        <x:v>All implementation, semantic held-out execution, PDF/CAD, agents, API, database, RAG, frontend, and deferred capabilities remain blocked.</x:v>
      </x:c>
      <x:c r="H10" s="697"/>
    </x:row>
    <x:row r="11" ht="63" customHeight="1">
      <x:c r="A11" s="688" t="str">
        <x:v>Fixture Package Families</x:v>
      </x:c>
      <x:c r="B11" s="691" t="n">
        <x:v>2</x:v>
      </x:c>
      <x:c r="C11" s="691"/>
      <x:c r="D11" s="691"/>
      <x:c r="F11" s="696" t="str">
        <x:v>Data Boundary</x:v>
      </x:c>
      <x:c r="G11" s="697" t="str">
        <x:v>P2.3 remains required for release; the proposal changes delivery order, not the accepted product scope.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Four checks integrated; vertical definition review</x:v>
      </x:c>
      <x:c r="D17" s="700" t="n">
        <x:f>AVERAGE('Pilot Gantt'!L11:L14)</x:f>
        <x:v>0.375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80" customHeight="1">
      <x:c r="A28" s="431" t="n">
        <x:v>5</x:v>
      </x:c>
      <x:c r="B28" s="431" t="str">
        <x:v>P2.2/P2.4/P3</x:v>
      </x:c>
      <x:c r="C28" s="431" t="str">
        <x:v>First usable audit vertical-slice definition</x:v>
      </x:c>
      <x:c r="D28" s="431" t="str">
        <x:v>Define the fifth drawing-manifest reciprocity check and the complete state/result/report/CLI boundary before broad P2.3 expansion.</x:v>
      </x:c>
      <x:c r="E28" s="431" t="str">
        <x:v>Definition Review</x:v>
      </x:c>
      <x:c r="F28" s="431" t="str">
        <x:v>codex/first-usable-audit-definition</x:v>
      </x:c>
      <x:c r="G28" s="431" t="str">
        <x:v>main a18fc5f; definition document; D-072 proposed; EV-069 ready for review; IMP-012 open; no executable/schema/fixture/authority/golden/held-out changes; predecessor cells unchanged pending acceptance</x:v>
      </x:c>
      <x:c r="H2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