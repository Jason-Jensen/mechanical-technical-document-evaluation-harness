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4233d3bbd04139" /></Relationships>
</file>

<file path=xl/workbook.xml><?xml version="1.0" encoding="utf-8"?>
<x:workbook xmlns:x="http://schemas.openxmlformats.org/spreadsheetml/2006/main">
  <x:sheets>
    <x:sheet xmlns:r="http://schemas.openxmlformats.org/officeDocument/2006/relationships" name="Start Here" sheetId="1" r:id="R07ad7de6911d4318"/>
    <x:sheet xmlns:r="http://schemas.openxmlformats.org/officeDocument/2006/relationships" name="Executive Gantt" sheetId="2" r:id="Rdb011b341ce341e7"/>
    <x:sheet xmlns:r="http://schemas.openxmlformats.org/officeDocument/2006/relationships" name="Detailed Gantt" sheetId="3" r:id="R40047181c4de4e3c"/>
    <x:sheet xmlns:r="http://schemas.openxmlformats.org/officeDocument/2006/relationships" name="Weekly Control" sheetId="4" r:id="R2a417cb10e6e4f6b"/>
    <x:sheet xmlns:r="http://schemas.openxmlformats.org/officeDocument/2006/relationships" name="Phase Summary" sheetId="5" r:id="R099d2f9624ac4052"/>
    <x:sheet xmlns:r="http://schemas.openxmlformats.org/officeDocument/2006/relationships" name="Assumptions &amp; Gates" sheetId="6" r:id="Rb0c8bbafe2024552"/>
    <x:sheet xmlns:r="http://schemas.openxmlformats.org/officeDocument/2006/relationships" name="Sources" sheetId="7" r:id="R2f222b78ffab4639"/>
    <x:sheet xmlns:r="http://schemas.openxmlformats.org/officeDocument/2006/relationships" name="Legacy Baseline" sheetId="8" r:id="Rb6221a5e5f014ea8"/>
    <x:sheet xmlns:r="http://schemas.openxmlformats.org/officeDocument/2006/relationships" name="Work Block Log" sheetId="9" r:id="Re7c714d8cd4c4789"/>
    <x:sheet xmlns:r="http://schemas.openxmlformats.org/officeDocument/2006/relationships" name="Decision Register" sheetId="10" r:id="R0138e45e9efb4959"/>
    <x:sheet xmlns:r="http://schemas.openxmlformats.org/officeDocument/2006/relationships" name="Risks &amp; Issues" sheetId="11" r:id="R72c43df6aa6d4029"/>
    <x:sheet xmlns:r="http://schemas.openxmlformats.org/officeDocument/2006/relationships" name="Evidence Register" sheetId="12" r:id="R107a1934f7754cdc"/>
    <x:sheet xmlns:r="http://schemas.openxmlformats.org/officeDocument/2006/relationships" name="Expansion Backlog" sheetId="13" r:id="R9914f703afa0497c"/>
    <x:sheet xmlns:r="http://schemas.openxmlformats.org/officeDocument/2006/relationships" name="AI Context" sheetId="14" r:id="R2a24325be39a4d99"/>
    <x:sheet xmlns:r="http://schemas.openxmlformats.org/officeDocument/2006/relationships" name="MVP Dashboard" sheetId="15" r:id="R2b24209c3ff74971"/>
    <x:sheet xmlns:r="http://schemas.openxmlformats.org/officeDocument/2006/relationships" name="Product Vision" sheetId="16" r:id="R3055b460c7414432"/>
    <x:sheet xmlns:r="http://schemas.openxmlformats.org/officeDocument/2006/relationships" name="Pilot Gantt" sheetId="17" r:id="Rd0af838adca14230"/>
    <x:sheet xmlns:r="http://schemas.openxmlformats.org/officeDocument/2006/relationships" name="Pilot Dashboard" sheetId="18" r:id="R7084399696c1427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<x:sst xmlns:x="http://schemas.openxmlformats.org/spreadsheetml/2006/main">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</x:sst>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3f45754538c48f1" /><Relationship Type="http://schemas.openxmlformats.org/officeDocument/2006/relationships/theme" Target="/xl/theme/theme1.xml" Id="R54b5cb7b129446fd" /><Relationship Type="http://schemas.openxmlformats.org/officeDocument/2006/relationships/sharedStrings" Target="/xl/sharedStrings.xml" Id="Rbacbe5968e114830" /><Relationship Type="http://schemas.openxmlformats.org/officeDocument/2006/relationships/worksheet" Target="/xl/worksheets/sheet1.xml" Id="R07ad7de6911d4318" /><Relationship Type="http://schemas.openxmlformats.org/officeDocument/2006/relationships/worksheet" Target="/xl/worksheets/sheet2.xml" Id="Rdb011b341ce341e7" /><Relationship Type="http://schemas.openxmlformats.org/officeDocument/2006/relationships/worksheet" Target="/xl/worksheets/sheet3.xml" Id="R40047181c4de4e3c" /><Relationship Type="http://schemas.openxmlformats.org/officeDocument/2006/relationships/worksheet" Target="/xl/worksheets/sheet4.xml" Id="R2a417cb10e6e4f6b" /><Relationship Type="http://schemas.openxmlformats.org/officeDocument/2006/relationships/worksheet" Target="/xl/worksheets/sheet5.xml" Id="R099d2f9624ac4052" /><Relationship Type="http://schemas.openxmlformats.org/officeDocument/2006/relationships/worksheet" Target="/xl/worksheets/sheet6.xml" Id="Rb0c8bbafe2024552" /><Relationship Type="http://schemas.openxmlformats.org/officeDocument/2006/relationships/worksheet" Target="/xl/worksheets/sheet7.xml" Id="R2f222b78ffab4639" /><Relationship Type="http://schemas.openxmlformats.org/officeDocument/2006/relationships/worksheet" Target="/xl/worksheets/sheet8.xml" Id="Rb6221a5e5f014ea8" /><Relationship Type="http://schemas.openxmlformats.org/officeDocument/2006/relationships/worksheet" Target="/xl/worksheets/sheet9.xml" Id="Re7c714d8cd4c4789" /><Relationship Type="http://schemas.openxmlformats.org/officeDocument/2006/relationships/worksheet" Target="/xl/worksheets/sheet10.xml" Id="R0138e45e9efb4959" /><Relationship Type="http://schemas.openxmlformats.org/officeDocument/2006/relationships/worksheet" Target="/xl/worksheets/sheet11.xml" Id="R72c43df6aa6d4029" /><Relationship Type="http://schemas.openxmlformats.org/officeDocument/2006/relationships/worksheet" Target="/xl/worksheets/sheet12.xml" Id="R107a1934f7754cdc" /><Relationship Type="http://schemas.openxmlformats.org/officeDocument/2006/relationships/worksheet" Target="/xl/worksheets/sheet13.xml" Id="R9914f703afa0497c" /><Relationship Type="http://schemas.openxmlformats.org/officeDocument/2006/relationships/worksheet" Target="/xl/worksheets/sheet14.xml" Id="R2a24325be39a4d99" /><Relationship Type="http://schemas.openxmlformats.org/officeDocument/2006/relationships/worksheet" Target="/xl/worksheets/sheet15.xml" Id="R2b24209c3ff74971" /><Relationship Type="http://schemas.openxmlformats.org/officeDocument/2006/relationships/worksheet" Target="/xl/worksheets/sheet16.xml" Id="R3055b460c7414432" /><Relationship Type="http://schemas.openxmlformats.org/officeDocument/2006/relationships/worksheet" Target="/xl/worksheets/sheet17.xml" Id="Rd0af838adca14230" /><Relationship Type="http://schemas.openxmlformats.org/officeDocument/2006/relationships/worksheet" Target="/xl/worksheets/sheet18.xml" Id="R7084399696c1427a" /></Relationships>
</file>

<file path=xl/drawings/_rels/drawing1.xml.rels>&#65279;<?xml version="1.0" encoding="utf-8"?><Relationships xmlns="http://schemas.openxmlformats.org/package/2006/relationships"><Relationship Type="http://schemas.openxmlformats.org/officeDocument/2006/relationships/chart" Target="/xl/drawings/charts/chart1.xml" Id="R8d1034893b584fd3" /></Relationships>
</file>

<file path=xl/drawings/_rels/drawing2.xml.rels>&#65279;<?xml version="1.0" encoding="utf-8"?><Relationships xmlns="http://schemas.openxmlformats.org/package/2006/relationships"><Relationship Type="http://schemas.openxmlformats.org/officeDocument/2006/relationships/chart" Target="/xl/drawings/charts/chart2.xml" Id="R7a9b065ba0184044" /></Relationships>
</file>

<file path=xl/drawings/_rels/drawing3.xml.rels>&#65279;<?xml version="1.0" encoding="utf-8"?><Relationships xmlns="http://schemas.openxmlformats.org/package/2006/relationships"><Relationship Type="http://schemas.openxmlformats.org/officeDocument/2006/relationships/chart" Target="/xl/drawings/charts/chart3.xml" Id="Rf3f7e091e3b24200"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d1034893b584fd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a9b065ba018404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3f7e091e3b2420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be7ccf006d14015" /></Relationships>
</file>

<file path=xl/worksheets/_rels/sheet5.xml.rels>&#65279;<?xml version="1.0" encoding="utf-8"?><Relationships xmlns="http://schemas.openxmlformats.org/package/2006/relationships"><Relationship Type="http://schemas.openxmlformats.org/officeDocument/2006/relationships/drawing" Target="/xl/drawings/drawing2.xml" Id="R496b0d86f08c4f83" /></Relationships>
</file>

<file path=xl/worksheets/_rels/sheet15.xml.rels>&#65279;<?xml version="1.0" encoding="utf-8"?><Relationships xmlns="http://schemas.openxmlformats.org/package/2006/relationships"><Relationship Type="http://schemas.openxmlformats.org/officeDocument/2006/relationships/drawing" Target="/xl/drawings/drawing3.xml" Id="R291c0b2c273343f9"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check 6 accepted and integrated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relationship maintainability stabilization</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Simplify relationship implementation before check 7</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Preserve behavior while splitting the growing relationship module by domain</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P2.3 check 6 is accepted and integrated through PR #42 at exact main 559bb81. Its reviewed proof remains 31 relationship tests, 75 focused tests, 278 full-suite tests with one expected skip, validation 5/5, Ruff, 87.02% coverage, and inspected clean/fault four-output runs. D-087 is accepted and EV-085 records integration. The next authorized action is a bounded, behavior-preserving maintainability stabilization of the relationship implementation and tests before check 7. No evaluator semantics, schema, fixture, authority map, golden, held-out content, v0.2 behavior, or deferred capability may change. Checks 7-11 remain unimplemented.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4be7ccf006d14015"/>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496b0d86f08c4f83"/>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check 6 accepted and integrated; maintainability stabilization active</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Six ordered checks now run end to end; checks 7-11 and six unsupported claims remain blocked.</x:v>
      </x:c>
      <x:c r="E7" s="765" t="str">
        <x:v>Product interpretation</x:v>
      </x:c>
      <x:c r="F7" s="431" t="str">
        <x:v>Successful kernel; not yet a complete economically useful workflow.</x:v>
      </x:c>
      <x:c r="G7" s="765" t="str">
        <x:v>Response</x:v>
      </x:c>
      <x:c r="H7" s="431" t="str">
        <x:v>Reduce review risk in the 1,741-line relationship module without changing accepted behavior.</x:v>
      </x:c>
    </x:row>
    <x:row r="8" ht="99" hidden="0" customHeight="1">
      <x:c r="A8" s="765" t="str">
        <x:v>Immediate next action</x:v>
      </x:c>
      <x:c r="B8" s="431" t="str">
        <x:v>Complete the bounded no-behavior cleanup, prove exact regression, then implement only check 7.</x:v>
      </x:c>
      <x:c r="C8" s="765" t="str">
        <x:v>Selected vertical</x:v>
      </x:c>
      <x:c r="D8" s="431" t="str">
        <x:v>Accepted audit path -&gt; check 6 integrated -&gt; maintainability stabilization -&gt; check 7 -&gt; authorized real-package trial.</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The user accepted check 6 and approved the management sequence on 2026-07-20. PR #42 merged the reviewed branch at exact main 559bb81. D-087 and EV-085 close the implementation gate. The active work is a bounded relationship-module stabilization because relationships.py and its focused test file are each over 1,700 lines before five further checks. The cleanup must preserve every accepted gate, check, finding, result, report, publication, CLI exit, fixture, authority rule, held-out boundary, and frozen v0.2 behavior. Check 7 follows only after exact focused/full regression proof.</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291c0b2c273343f9"/>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3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0.55</x:v>
      </x:c>
      <x:c r="M13" s="662" t="n">
        <x:f>SUMIF('Work Block Log'!$E$5:$E$200,A13,'Work Block Log'!$F$5:$F$200)</x:f>
        <x:v>0</x:v>
      </x:c>
      <x:c r="N13" s="662" t="n">
        <x:f>MAX(F13*(1-L13),0)</x:f>
        <x:v>1.7999999999999998</x:v>
      </x:c>
      <x:c r="O13" s="662" t="n">
        <x:f>M13-F13</x:f>
        <x:v>-4</x:v>
      </x:c>
      <x:c r="P13" s="431" t="str">
        <x:v>check 6 accepted; implementation c1dcc4a; review evidence 0386b7f; PR #42 exact main 559bb81; D-085-D-088; EV-082-EV-085; IMP-013-IMP-014; relationship 31; focused 75; full 278/1; validation 5/5; Ruff; coverage 87.02%</x:v>
      </x:c>
      <x:c r="Q13" s="431" t="str">
        <x:v>Complete a bounded behavior-preserving relationship maintainability stabilization, then implement only check 7 bom_equipment_drawing_presence.</x:v>
      </x:c>
      <x:c r="R13" s="431" t="str">
        <x:v>Check 6 is accepted and integrated. Six checks now run through the immutable result, reports, publication, and CLI. Checks 7-11, six authority gaps, held-out semantics, and deferred capabilities remain blocked pending their sequence.</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0.7000000000000001</x:v>
      </x:c>
      <x:c r="M24" s="683" t="n">
        <x:f>SUM(M6:M22)</x:f>
        <x:v>0</x:v>
      </x:c>
      <x:c r="N24" s="683" t="n">
        <x:f>SUM(N6:N22)</x:f>
        <x:v>13.8</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P2.3 Stabilization</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Simplify relationship implementation before check 7</x:v>
      </x:c>
      <x:c r="H4" s="697"/>
    </x:row>
    <x:row r="5" ht="72" customHeight="1">
      <x:c r="A5" s="688" t="str">
        <x:v>Schedule Baseline</x:v>
      </x:c>
      <x:c r="B5" s="693" t="str">
        <x:v>Legacy only; not controlling</x:v>
      </x:c>
      <x:c r="C5" s="691"/>
      <x:c r="D5" s="691"/>
      <x:c r="F5" s="696" t="str">
        <x:v>Objective</x:v>
      </x:c>
      <x:c r="G5" s="697" t="str">
        <x:v>Reduce review and regression risk without changing accepted audit behavior.</x:v>
      </x:c>
      <x:c r="H5" s="697"/>
    </x:row>
    <x:row r="6" ht="63" customHeight="1">
      <x:c r="A6" s="688" t="str">
        <x:v>Time Tracking</x:v>
      </x:c>
      <x:c r="B6" s="693" t="str">
        <x:v>Waived prospectively</x:v>
      </x:c>
      <x:c r="C6" s="691"/>
      <x:c r="D6" s="691"/>
      <x:c r="F6" s="696" t="str">
        <x:v>Gate Status</x:v>
      </x:c>
      <x:c r="G6" s="697" t="str">
        <x:v>Check 6 is accepted and integrated through PR #42 at main 559bb81.</x:v>
      </x:c>
      <x:c r="H6" s="697"/>
    </x:row>
    <x:row r="7" ht="81" customHeight="1">
      <x:c r="A7" s="688" t="str">
        <x:v>Current Gate</x:v>
      </x:c>
      <x:c r="B7" s="694" t="str">
        <x:v>P2.3 relationship maintainability stabilization</x:v>
      </x:c>
      <x:c r="C7" s="691"/>
      <x:c r="D7" s="691"/>
      <x:c r="F7" s="696" t="str">
        <x:v>Definition of Done</x:v>
      </x:c>
      <x:c r="G7" s="697" t="str">
        <x:v>Focused and full regression prove an exact behavior-preserving domain split.</x:v>
      </x:c>
      <x:c r="H7" s="697"/>
    </x:row>
    <x:row r="8" ht="63" customHeight="1">
      <x:c r="A8" s="688" t="str">
        <x:v>Released Kernel</x:v>
      </x:c>
      <x:c r="B8" s="691" t="str">
        <x:v>v0.2.0 / commit 45336a2</x:v>
      </x:c>
      <x:c r="C8" s="691"/>
      <x:c r="D8" s="691"/>
      <x:c r="F8" s="696" t="str">
        <x:v>Immediate Next Action</x:v>
      </x:c>
      <x:c r="G8" s="697" t="str">
        <x:v>Complete stabilization, then implement only check 7 under exact AUTH-BOM-002.</x:v>
      </x:c>
      <x:c r="H8" s="697"/>
    </x:row>
    <x:row r="9" ht="72" customHeight="1">
      <x:c r="A9" s="688" t="str">
        <x:v>Release Target</x:v>
      </x:c>
      <x:c r="B9" s="691" t="str">
        <x:v>v0.3.0</x:v>
      </x:c>
      <x:c r="C9" s="691"/>
      <x:c r="D9" s="691"/>
      <x:c r="F9" s="696" t="str">
        <x:v>Primary Risk</x:v>
      </x:c>
      <x:c r="G9" s="697" t="str">
        <x:v>Primary risk is allowing five further checks to accumulate in oversized modules.</x:v>
      </x:c>
      <x:c r="H9" s="697"/>
    </x:row>
    <x:row r="10" ht="81" customHeight="1">
      <x:c r="A10" s="688" t="str">
        <x:v>Baseline Test Count</x:v>
      </x:c>
      <x:c r="B10" s="691" t="n">
        <x:v>121</x:v>
      </x:c>
      <x:c r="C10" s="691"/>
      <x:c r="D10" s="691"/>
      <x:c r="F10" s="696" t="str">
        <x:v>Deferred</x:v>
      </x:c>
      <x:c r="G10" s="697" t="str">
        <x:v>No schema, fixture, golden, authority-map, held-out semantic, or deferred-capability change is authorized.</x:v>
      </x:c>
      <x:c r="H10" s="697"/>
    </x:row>
    <x:row r="11" ht="63" customHeight="1">
      <x:c r="A11" s="688" t="str">
        <x:v>Fixture Package Families</x:v>
      </x:c>
      <x:c r="B11" s="691" t="n">
        <x:v>2</x:v>
      </x:c>
      <x:c r="C11" s="691"/>
      <x:c r="D11" s="691"/>
      <x:c r="F11" s="696" t="str">
        <x:v>Data Boundary</x:v>
      </x:c>
      <x:c r="G11" s="697" t="str">
        <x:v>Accepted audit meaning and all existing outputs must remain byte/semantic stable apart from volatile run metadata.</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Check 6 accepted; maintainability stabilization active</x:v>
      </x:c>
      <x:c r="D17" s="700" t="n">
        <x:v>0.55</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