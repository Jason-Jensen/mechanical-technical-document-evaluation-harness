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dd3d5d255514bd7" /></Relationships>
</file>

<file path=xl/workbook.xml><?xml version="1.0" encoding="utf-8"?>
<x:workbook xmlns:x="http://schemas.openxmlformats.org/spreadsheetml/2006/main">
  <x:sheets>
    <x:sheet xmlns:r="http://schemas.openxmlformats.org/officeDocument/2006/relationships" name="Start Here" sheetId="1" r:id="Rb82d47f1ec024632"/>
    <x:sheet xmlns:r="http://schemas.openxmlformats.org/officeDocument/2006/relationships" name="Executive Gantt" sheetId="2" r:id="R148efeaaa59d49d2"/>
    <x:sheet xmlns:r="http://schemas.openxmlformats.org/officeDocument/2006/relationships" name="Detailed Gantt" sheetId="3" r:id="R4499c60b4896481c"/>
    <x:sheet xmlns:r="http://schemas.openxmlformats.org/officeDocument/2006/relationships" name="Weekly Control" sheetId="4" r:id="Rb08f1aa5c0244a88"/>
    <x:sheet xmlns:r="http://schemas.openxmlformats.org/officeDocument/2006/relationships" name="Phase Summary" sheetId="5" r:id="Rec292299d8134d8e"/>
    <x:sheet xmlns:r="http://schemas.openxmlformats.org/officeDocument/2006/relationships" name="Assumptions &amp; Gates" sheetId="6" r:id="R270a9f086a1c4b5f"/>
    <x:sheet xmlns:r="http://schemas.openxmlformats.org/officeDocument/2006/relationships" name="Sources" sheetId="7" r:id="Re17fe735e1114afc"/>
    <x:sheet xmlns:r="http://schemas.openxmlformats.org/officeDocument/2006/relationships" name="Legacy Baseline" sheetId="8" r:id="Rb980deaa30db46cb"/>
    <x:sheet xmlns:r="http://schemas.openxmlformats.org/officeDocument/2006/relationships" name="Work Block Log" sheetId="9" r:id="Ra9e0919127dc4c1e"/>
    <x:sheet xmlns:r="http://schemas.openxmlformats.org/officeDocument/2006/relationships" name="Decision Register" sheetId="10" r:id="R3c317df5ccdc4b0b"/>
    <x:sheet xmlns:r="http://schemas.openxmlformats.org/officeDocument/2006/relationships" name="Risks &amp; Issues" sheetId="11" r:id="Re008183670364284"/>
    <x:sheet xmlns:r="http://schemas.openxmlformats.org/officeDocument/2006/relationships" name="Evidence Register" sheetId="12" r:id="Re860afb1ffb54ffc"/>
    <x:sheet xmlns:r="http://schemas.openxmlformats.org/officeDocument/2006/relationships" name="Expansion Backlog" sheetId="13" r:id="Racc7ccd4efd04b80"/>
    <x:sheet xmlns:r="http://schemas.openxmlformats.org/officeDocument/2006/relationships" name="AI Context" sheetId="14" r:id="Rd67398732bb54084"/>
    <x:sheet xmlns:r="http://schemas.openxmlformats.org/officeDocument/2006/relationships" name="MVP Dashboard" sheetId="15" r:id="R907f7c4315564ca4"/>
    <x:sheet xmlns:r="http://schemas.openxmlformats.org/officeDocument/2006/relationships" name="Product Vision" sheetId="16" r:id="Rf97a3f4b614f4388"/>
    <x:sheet xmlns:r="http://schemas.openxmlformats.org/officeDocument/2006/relationships" name="Pilot Gantt" sheetId="17" r:id="Rce90c3b86cc54a80"/>
    <x:sheet xmlns:r="http://schemas.openxmlformats.org/officeDocument/2006/relationships" name="Pilot Dashboard" sheetId="18" r:id="R93cfe99c535e479b"/>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<x:sst xmlns:x="http://schemas.openxmlformats.org/spreadsheetml/2006/main">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</x:sst>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280beaa4274d14" /><Relationship Type="http://schemas.openxmlformats.org/officeDocument/2006/relationships/theme" Target="/xl/theme/theme1.xml" Id="R790b3592ea824c36" /><Relationship Type="http://schemas.openxmlformats.org/officeDocument/2006/relationships/sharedStrings" Target="/xl/sharedStrings.xml" Id="R13226b1654e046f1" /><Relationship Type="http://schemas.openxmlformats.org/officeDocument/2006/relationships/worksheet" Target="/xl/worksheets/sheet1.xml" Id="Rb82d47f1ec024632" /><Relationship Type="http://schemas.openxmlformats.org/officeDocument/2006/relationships/worksheet" Target="/xl/worksheets/sheet2.xml" Id="R148efeaaa59d49d2" /><Relationship Type="http://schemas.openxmlformats.org/officeDocument/2006/relationships/worksheet" Target="/xl/worksheets/sheet3.xml" Id="R4499c60b4896481c" /><Relationship Type="http://schemas.openxmlformats.org/officeDocument/2006/relationships/worksheet" Target="/xl/worksheets/sheet4.xml" Id="Rb08f1aa5c0244a88" /><Relationship Type="http://schemas.openxmlformats.org/officeDocument/2006/relationships/worksheet" Target="/xl/worksheets/sheet5.xml" Id="Rec292299d8134d8e" /><Relationship Type="http://schemas.openxmlformats.org/officeDocument/2006/relationships/worksheet" Target="/xl/worksheets/sheet6.xml" Id="R270a9f086a1c4b5f" /><Relationship Type="http://schemas.openxmlformats.org/officeDocument/2006/relationships/worksheet" Target="/xl/worksheets/sheet7.xml" Id="Re17fe735e1114afc" /><Relationship Type="http://schemas.openxmlformats.org/officeDocument/2006/relationships/worksheet" Target="/xl/worksheets/sheet8.xml" Id="Rb980deaa30db46cb" /><Relationship Type="http://schemas.openxmlformats.org/officeDocument/2006/relationships/worksheet" Target="/xl/worksheets/sheet9.xml" Id="Ra9e0919127dc4c1e" /><Relationship Type="http://schemas.openxmlformats.org/officeDocument/2006/relationships/worksheet" Target="/xl/worksheets/sheet10.xml" Id="R3c317df5ccdc4b0b" /><Relationship Type="http://schemas.openxmlformats.org/officeDocument/2006/relationships/worksheet" Target="/xl/worksheets/sheet11.xml" Id="Re008183670364284" /><Relationship Type="http://schemas.openxmlformats.org/officeDocument/2006/relationships/worksheet" Target="/xl/worksheets/sheet12.xml" Id="Re860afb1ffb54ffc" /><Relationship Type="http://schemas.openxmlformats.org/officeDocument/2006/relationships/worksheet" Target="/xl/worksheets/sheet13.xml" Id="Racc7ccd4efd04b80" /><Relationship Type="http://schemas.openxmlformats.org/officeDocument/2006/relationships/worksheet" Target="/xl/worksheets/sheet14.xml" Id="Rd67398732bb54084" /><Relationship Type="http://schemas.openxmlformats.org/officeDocument/2006/relationships/worksheet" Target="/xl/worksheets/sheet15.xml" Id="R907f7c4315564ca4" /><Relationship Type="http://schemas.openxmlformats.org/officeDocument/2006/relationships/worksheet" Target="/xl/worksheets/sheet16.xml" Id="Rf97a3f4b614f4388" /><Relationship Type="http://schemas.openxmlformats.org/officeDocument/2006/relationships/worksheet" Target="/xl/worksheets/sheet17.xml" Id="Rce90c3b86cc54a80" /><Relationship Type="http://schemas.openxmlformats.org/officeDocument/2006/relationships/worksheet" Target="/xl/worksheets/sheet18.xml" Id="R93cfe99c535e479b" /></Relationships>
</file>

<file path=xl/drawings/_rels/drawing1.xml.rels>&#65279;<?xml version="1.0" encoding="utf-8"?><Relationships xmlns="http://schemas.openxmlformats.org/package/2006/relationships"><Relationship Type="http://schemas.openxmlformats.org/officeDocument/2006/relationships/chart" Target="/xl/drawings/charts/chart1.xml" Id="R9c6f72f3fd454993" /></Relationships>
</file>

<file path=xl/drawings/_rels/drawing2.xml.rels>&#65279;<?xml version="1.0" encoding="utf-8"?><Relationships xmlns="http://schemas.openxmlformats.org/package/2006/relationships"><Relationship Type="http://schemas.openxmlformats.org/officeDocument/2006/relationships/chart" Target="/xl/drawings/charts/chart2.xml" Id="R8cf42a7dbad444e3" /></Relationships>
</file>

<file path=xl/drawings/_rels/drawing3.xml.rels>&#65279;<?xml version="1.0" encoding="utf-8"?><Relationships xmlns="http://schemas.openxmlformats.org/package/2006/relationships"><Relationship Type="http://schemas.openxmlformats.org/officeDocument/2006/relationships/chart" Target="/xl/drawings/charts/chart3.xml" Id="Rdc51f07d36304f90"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c6f72f3fd454993"/>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cf42a7dbad444e3"/>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c51f07d36304f9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1cca71ebcfe74221" /></Relationships>
</file>

<file path=xl/worksheets/_rels/sheet5.xml.rels>&#65279;<?xml version="1.0" encoding="utf-8"?><Relationships xmlns="http://schemas.openxmlformats.org/package/2006/relationships"><Relationship Type="http://schemas.openxmlformats.org/officeDocument/2006/relationships/drawing" Target="/xl/drawings/drawing2.xml" Id="Rde3eae5f0c1244d9" /></Relationships>
</file>

<file path=xl/worksheets/_rels/sheet15.xml.rels>&#65279;<?xml version="1.0" encoding="utf-8"?><Relationships xmlns="http://schemas.openxmlformats.org/package/2006/relationships"><Relationship Type="http://schemas.openxmlformats.org/officeDocument/2006/relationships/drawing" Target="/xl/drawings/drawing3.xml" Id="R598d80a8aa1e45b0"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P2.1 accepted; P2.2 relationship-slice definition review-ready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relationship-slice definition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drawing-register-to-metadata relationship slice</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relationship implementation (blocked pending definition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9" hidden="0" customHeight="1">
      <x:c r="A28" s="704" t="str">
        <x:v>The user accepted stabilization and P2.1 on 2026-07-17. Draft integration PR #27 is open from codex/stabilization-improvement-loop to main, is merge-clean, and has green CI; review and merge remain pending. The first P2.2 definition is review-ready on codex/p2.2-relationship-slice-definition. It freezes one drawing-register-to-metadata revision check under AUTH-DWG-001, exact clean/fault outcomes, field-level evidence, deterministic identity, a separate relationships.py boundary, future state/CLI handoff, tests, and exclusions. No executable P2.2 behavior or protected-asset change was added.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1cca71ebcfe74221"/>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de3eae5f0c1244d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draft PR #27; green GitHub CI; D-047; EV-044; EV-045; codex/stabilization-improvement-loop</x:v>
      </x:c>
      <x:c r="H51" s="78" t="str">
        <x:v>P2.2 implementation remains blocked until the slice definition is accepted. Draft PR #27 is merge-clean with green CI; review and merge remain required before main is current.</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Review Ready</x:v>
      </x:c>
      <x:c r="F52" s="78" t="str">
        <x:v>P2.2</x:v>
      </x:c>
      <x:c r="G52" s="78" t="str">
        <x:v>docs/package_assurance/p2_2_relationship_slice_definition_v0.3.0.md; workflow_contract_v0.3.0.md; acceptance_plan_v0.3.0.md; authority_map_example_v0.3.0.json; EV-046</x:v>
      </x:c>
      <x:c r="H52" s="78" t="str">
        <x:v>Implementation requires explicit user acceptance. Missing/extra drawings, other metadata fields, revision history, tags, BOM/equipment, datasheet/specification, routing, reports, CLI, semantic held-out evaluation, and deferred capabilities remain excluded.</x:v>
      </x:c>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remains ahead of origin/main. Draft integration PR #27 is open, merge-clean, and has green CI, but review and merge are still pending.</x:v>
      </x:c>
      <x:c r="D21" s="78" t="str">
        <x:v>N/A</x:v>
      </x:c>
      <x:c r="E21" s="78" t="str">
        <x:v>Medium</x:v>
      </x:c>
      <x:c r="F21" s="78" t="str">
        <x:v>Jason</x:v>
      </x:c>
      <x:c r="G21" s="78" t="str">
        <x:v>Review draft PR #27, confirm its accepted scope and evidence, and merge it to main only after approval. Then verify main and close this issue.</x:v>
      </x:c>
      <x:c r="H21" s="78" t="str">
        <x:v>Mitigating</x:v>
      </x:c>
      <x:c r="I21" s="78" t="n">
        <x:v>46220</x:v>
      </x:c>
      <x:c r="J21" s="78" t="str">
        <x:v>PR creation and remote-check steps are complete. The remaining control is human review and merge. IMP-006 tracks the permanent closeout rule.</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Verified - acceptance pending</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draft PR #27; D-048</x:v>
      </x:c>
      <x:c r="G48" s="78" t="str">
        <x:v>P2.1 acceptance and P2.2 definition authorization</x:v>
      </x:c>
      <x:c r="H48" s="78" t="str">
        <x:v>Accepted</x:v>
      </x:c>
      <x:c r="I48" s="78" t="str">
        <x:v>Focused tests 26 passed; full frozen regression 197 passed/1 expected skip; repository validation 5/5; Ruff passed; coverage 84.33%. Draft integration PR #27 is open, merge-clean, and has green GitHub CI; review and merge remain pending.</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Verified - acceptance pending</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relationship-slice definition review-ready</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P2.1 and its stabilization controls are accepted. The first P2.2 drawing-register-to-metadata revision slice is defined and review-ready, but relationship behavior remains unimplemented. P2.3 consistency rules, P2.4 package-state routing, reports, and semantic held-out evaluation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81" hidden="0" customHeight="1">
      <x:c r="A8" s="449" t="str">
        <x:v>Immediate next action</x:v>
      </x:c>
      <x:c r="B8" s="447" t="str">
        <x:v>Review and accept, revise, or reject the first P2.2 relationship-slice definition. Review and merge draft integration PR #27 after approval; its CI is green. Do not implement P2.2 until the definition is accepted.</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35" hidden="0" customHeight="1">
      <x:c r="A41" s="604" t="str">
        <x:v>Immediate implication</x:v>
      </x:c>
      <x:c r="B41" s="605"/>
      <x:c r="C41" s="606" t="str">
        <x:v>Stabilization and P2.1 were accepted on 2026-07-17. The first P2.2 definition freezes check drawing_register_metadata_revision v0.3.0, authority rule AUTH-DWG-001, exact drawing-number joining, a high-severity release-hold mismatch, both evidence locators, stable identity, a separate relationships.py module boundary, future P2.4/P3 handoff, acceptance tests, and exclusions. It is review-ready with no relationship implementation, fixture/golden change, package-state routing, report, CLI, protected held-out semantic execution, or deferred capability added.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598d80a8aa1e45b0"/>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codex/stabilization-improvement-loop; commits e1ada72, 13c2527, and 4d8dc81; draft PR #27; CI green; 26 focused tests passed; full 197 passed/1 skipped; validation 5/5; Ruff passed; coverage 84.33%; D-047; D-048; EV-044; EV-045</x:v>
      </x:c>
      <x:c r="Q11" s="431" t="str">
        <x:v>Review and merge draft integration PR #27 after approval. Preserve P2.1 as the accepted predecessor for P2.2.</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99"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x:v>
      </x:c>
      <x:c r="M12" s="662" t="n">
        <x:f>SUMIF('Work Block Log'!$E$5:$E$200,A12,'Work Block Log'!$F$5:$F$200)</x:f>
        <x:v>0</x:v>
      </x:c>
      <x:c r="N12" s="662" t="n">
        <x:f>MAX(F12*(1-L12),0)</x:f>
        <x:v>4</x:v>
      </x:c>
      <x:c r="O12" s="662" t="n">
        <x:f>M12-F12</x:f>
        <x:v>-4</x:v>
      </x:c>
      <x:c r="P12" s="431" t="str">
        <x:v>codex/p2.2-relationship-slice-definition; commit d366cd7; docs/package_assurance/p2_2_relationship_slice_definition_v0.3.0.md; D-048; D-049; EV-045; EV-046; no P2.2 implementation present</x:v>
      </x:c>
      <x:c r="Q12" s="431" t="str">
        <x:v>Review and accept, revise, or reject the drawing-register-to-metadata revision definition. Authorize implementation separately only after acceptance.</x:v>
      </x:c>
      <x:c r="R12" s="431" t="str">
        <x:v>Definition is review-ready. It freezes AUTH-DWG-001, check ID/version, exact fault/evidence, deterministic identity, relationships.py boundary, downstream handoff, tests, and exclusions. No executable P2.2 behavior or protected-asset change was added.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0.32608695652173914</x:v>
      </x:c>
      <x:c r="M24" s="683" t="n">
        <x:f>SUM(M6:M22)</x:f>
        <x:v>0</x:v>
      </x:c>
      <x:c r="N24" s="683" t="n">
        <x:f>SUM(N6:N22)</x:f>
        <x:v>31</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P2.1 Accepted / P2.2 Definition Review Ready</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P2.2 - Relationship-slice definition review</x:v>
      </x:c>
      <x:c r="H4" s="697"/>
    </x:row>
    <x:row r="5" ht="63" customHeight="1">
      <x:c r="A5" s="688" t="str">
        <x:v>Schedule Baseline</x:v>
      </x:c>
      <x:c r="B5" s="693" t="str">
        <x:v>Legacy only; not controlling</x:v>
      </x:c>
      <x:c r="C5" s="691"/>
      <x:c r="D5" s="691"/>
      <x:c r="F5" s="696" t="str">
        <x:v>Objective</x:v>
      </x:c>
      <x:c r="G5" s="697" t="str">
        <x:v>Review one drawing-register-to-metadata revision check and its downstream handoff without adding executable P2.2 behavior.</x:v>
      </x:c>
      <x:c r="H5" s="697"/>
    </x:row>
    <x:row r="6" ht="54" customHeight="1">
      <x:c r="A6" s="688" t="str">
        <x:v>Time Tracking</x:v>
      </x:c>
      <x:c r="B6" s="693" t="str">
        <x:v>Waived prospectively</x:v>
      </x:c>
      <x:c r="C6" s="691"/>
      <x:c r="D6" s="691"/>
      <x:c r="F6" s="696" t="str">
        <x:v>Gate Status</x:v>
      </x:c>
      <x:c r="G6" s="697" t="str">
        <x:v>P2.1 accepted; 26 focused tests passed; full regression 197 passed/1 skipped; validation 5/5; Ruff passed; coverage 84.33%.</x:v>
      </x:c>
      <x:c r="H6" s="697"/>
    </x:row>
    <x:row r="7" ht="54" customHeight="1">
      <x:c r="A7" s="688" t="str">
        <x:v>Current Gate</x:v>
      </x:c>
      <x:c r="B7" s="694" t="str">
        <x:v>P2.2 relationship-slice definition review</x:v>
      </x:c>
      <x:c r="C7" s="691"/>
      <x:c r="D7" s="691"/>
      <x:c r="F7" s="696" t="str">
        <x:v>Definition of Done</x:v>
      </x:c>
      <x:c r="G7" s="697" t="str">
        <x:v>User acceptance of the definition plus integrated accepted feature chain and green remote checks.</x:v>
      </x:c>
      <x:c r="H7" s="697"/>
    </x:row>
    <x:row r="8" ht="54" customHeight="1">
      <x:c r="A8" s="688" t="str">
        <x:v>Released Kernel</x:v>
      </x:c>
      <x:c r="B8" s="691" t="str">
        <x:v>v0.2.0 / commit 45336a2</x:v>
      </x:c>
      <x:c r="C8" s="691"/>
      <x:c r="D8" s="691"/>
      <x:c r="F8" s="696" t="str">
        <x:v>Immediate Next Action</x:v>
      </x:c>
      <x:c r="G8" s="697" t="str">
        <x:v>Accept, revise, or reject the frozen authority, join, fault, evidence, tests, module boundary, downstream handoff, and exclusions.</x:v>
      </x:c>
      <x:c r="H8" s="697"/>
    </x:row>
    <x:row r="9" ht="63" customHeight="1">
      <x:c r="A9" s="688" t="str">
        <x:v>Release Target</x:v>
      </x:c>
      <x:c r="B9" s="691" t="str">
        <x:v>v0.3.0</x:v>
      </x:c>
      <x:c r="C9" s="691"/>
      <x:c r="D9" s="691"/>
      <x:c r="F9" s="696" t="str">
        <x:v>Primary Risk</x:v>
      </x:c>
      <x:c r="G9" s="697" t="str">
        <x:v>Draft integration PR #27 is merge-clean and has green CI; human review and merge remain pending.</x:v>
      </x:c>
      <x:c r="H9" s="697"/>
    </x:row>
    <x:row r="10" ht="54" customHeight="1">
      <x:c r="A10" s="688" t="str">
        <x:v>Baseline Test Count</x:v>
      </x:c>
      <x:c r="B10" s="691" t="n">
        <x:v>121</x:v>
      </x:c>
      <x:c r="C10" s="691"/>
      <x:c r="D10" s="691"/>
      <x:c r="F10" s="696" t="str">
        <x:v>Deferred</x:v>
      </x:c>
      <x:c r="G10" s="697" t="str">
        <x:v>P2.2+ behavior, semantic held-out execution, PDF/CAD, agents, APIs/databases, RAG, hosting, and RL.</x:v>
      </x:c>
      <x:c r="H10" s="697"/>
    </x:row>
    <x:row r="11" ht="63" customHeight="1">
      <x:c r="A11" s="688" t="str">
        <x:v>Fixture Package Families</x:v>
      </x:c>
      <x:c r="B11" s="691" t="n">
        <x:v>2</x:v>
      </x:c>
      <x:c r="C11" s="691"/>
      <x:c r="D11" s="691"/>
      <x:c r="F11" s="696" t="str">
        <x:v>Data Boundary</x:v>
      </x:c>
      <x:c r="G11" s="697" t="str">
        <x:v>Outputs remain decision support for qualified human review; current held-out evidence is protected regression, not independently blind proof.</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36" customHeight="1">
      <x:c r="A17" s="698" t="str">
        <x:v>P2 Consistency Rules</x:v>
      </x:c>
      <x:c r="B17" s="699" t="str">
        <x:v>In Progress</x:v>
      </x:c>
      <x:c r="C17" s="699" t="str">
        <x:v>P2.1 accepted; P2.2 definition review-ready; P2.2 implementation not started</x:v>
      </x:c>
      <x:c r="D17" s="700" t="n">
        <x:f>AVERAGE('Pilot Gantt'!L11:L14)</x:f>
        <x:v>0.25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CI green; D-045; D-046; D-047; D-048; EV-042; EV-043; EV-044; EV-045; focused 26; full 197/1; coverage 84.33%</x:v>
      </x:c>
      <x:c r="H26" s="431" t="str">
        <x:v>Jason</x:v>
      </x:c>
    </x:row>
    <x:row r="27" ht="108" customHeight="1">
      <x:c r="A27" s="431" t="n">
        <x:v>4</x:v>
      </x:c>
      <x:c r="B27" s="431" t="str">
        <x:v>P2.2</x:v>
      </x:c>
      <x:c r="C27" s="431" t="str">
        <x:v>First relationship-slice definition</x:v>
      </x:c>
      <x:c r="D27" s="431" t="str">
        <x:v>Freeze one drawing-register-to-metadata revision check, exact evidence and outcome, downstream handoff, module boundary, tests, and exclusions before implementation.</x:v>
      </x:c>
      <x:c r="E27" s="431" t="str">
        <x:v>Review Ready</x:v>
      </x:c>
      <x:c r="F27" s="431" t="str">
        <x:v>codex/p2.2-relationship-slice-definition</x:v>
      </x:c>
      <x:c r="G27" s="431" t="str">
        <x:v>d366cd7; D-048; D-049; EV-045; EV-046; p2_2_relationship_slice_definition_v0.3.0.md</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