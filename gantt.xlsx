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1ecd74b1b484f38" /></Relationships>
</file>

<file path=xl/workbook.xml><?xml version="1.0" encoding="utf-8"?>
<x:workbook xmlns:x="http://schemas.openxmlformats.org/spreadsheetml/2006/main">
  <x:sheets>
    <x:sheet xmlns:r="http://schemas.openxmlformats.org/officeDocument/2006/relationships" name="Start Here" sheetId="1" r:id="R34ac1e7d587545b7"/>
    <x:sheet xmlns:r="http://schemas.openxmlformats.org/officeDocument/2006/relationships" name="Executive Gantt" sheetId="2" r:id="R107adb7e630f4245"/>
    <x:sheet xmlns:r="http://schemas.openxmlformats.org/officeDocument/2006/relationships" name="Detailed Gantt" sheetId="3" r:id="R9e71f37424804bdd"/>
    <x:sheet xmlns:r="http://schemas.openxmlformats.org/officeDocument/2006/relationships" name="Weekly Control" sheetId="4" r:id="Rb835d1084a534182"/>
    <x:sheet xmlns:r="http://schemas.openxmlformats.org/officeDocument/2006/relationships" name="Phase Summary" sheetId="5" r:id="R9c9401a471514833"/>
    <x:sheet xmlns:r="http://schemas.openxmlformats.org/officeDocument/2006/relationships" name="Assumptions &amp; Gates" sheetId="6" r:id="R22d31fa00f1a4e83"/>
    <x:sheet xmlns:r="http://schemas.openxmlformats.org/officeDocument/2006/relationships" name="Sources" sheetId="7" r:id="Rd2e0e646ddd84188"/>
    <x:sheet xmlns:r="http://schemas.openxmlformats.org/officeDocument/2006/relationships" name="Legacy Baseline" sheetId="8" r:id="R282de668bee04431"/>
    <x:sheet xmlns:r="http://schemas.openxmlformats.org/officeDocument/2006/relationships" name="Work Block Log" sheetId="9" r:id="R4f19163f5a204d5a"/>
    <x:sheet xmlns:r="http://schemas.openxmlformats.org/officeDocument/2006/relationships" name="Decision Register" sheetId="10" r:id="R53879ffd93094852"/>
    <x:sheet xmlns:r="http://schemas.openxmlformats.org/officeDocument/2006/relationships" name="Risks &amp; Issues" sheetId="11" r:id="R3b8f20d518bd44bb"/>
    <x:sheet xmlns:r="http://schemas.openxmlformats.org/officeDocument/2006/relationships" name="Evidence Register" sheetId="12" r:id="R039d0a8a2fd442ec"/>
    <x:sheet xmlns:r="http://schemas.openxmlformats.org/officeDocument/2006/relationships" name="Expansion Backlog" sheetId="13" r:id="R58d3746b616141eb"/>
    <x:sheet xmlns:r="http://schemas.openxmlformats.org/officeDocument/2006/relationships" name="AI Context" sheetId="14" r:id="R4d2366630ab8491d"/>
    <x:sheet xmlns:r="http://schemas.openxmlformats.org/officeDocument/2006/relationships" name="MVP Dashboard" sheetId="15" r:id="Rfbfdc03746de4516"/>
    <x:sheet xmlns:r="http://schemas.openxmlformats.org/officeDocument/2006/relationships" name="Product Vision" sheetId="16" r:id="Ra049ad96a0aa4a77"/>
    <x:sheet xmlns:r="http://schemas.openxmlformats.org/officeDocument/2006/relationships" name="Pilot Gantt" sheetId="17" r:id="Rdc47bd7eb8b94e7e"/>
    <x:sheet xmlns:r="http://schemas.openxmlformats.org/officeDocument/2006/relationships" name="Pilot Dashboard" sheetId="18" r:id="R0dafab01590c431d"/>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<x:sst xmlns:x="http://schemas.openxmlformats.org/spreadsheetml/2006/main">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</x:sst>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39fc7e44d34f31" /><Relationship Type="http://schemas.openxmlformats.org/officeDocument/2006/relationships/theme" Target="/xl/theme/theme1.xml" Id="R83288c157f1744bb" /><Relationship Type="http://schemas.openxmlformats.org/officeDocument/2006/relationships/sharedStrings" Target="/xl/sharedStrings.xml" Id="Ra2b480aaa3cd40ef" /><Relationship Type="http://schemas.openxmlformats.org/officeDocument/2006/relationships/worksheet" Target="/xl/worksheets/sheet1.xml" Id="R34ac1e7d587545b7" /><Relationship Type="http://schemas.openxmlformats.org/officeDocument/2006/relationships/worksheet" Target="/xl/worksheets/sheet2.xml" Id="R107adb7e630f4245" /><Relationship Type="http://schemas.openxmlformats.org/officeDocument/2006/relationships/worksheet" Target="/xl/worksheets/sheet3.xml" Id="R9e71f37424804bdd" /><Relationship Type="http://schemas.openxmlformats.org/officeDocument/2006/relationships/worksheet" Target="/xl/worksheets/sheet4.xml" Id="Rb835d1084a534182" /><Relationship Type="http://schemas.openxmlformats.org/officeDocument/2006/relationships/worksheet" Target="/xl/worksheets/sheet5.xml" Id="R9c9401a471514833" /><Relationship Type="http://schemas.openxmlformats.org/officeDocument/2006/relationships/worksheet" Target="/xl/worksheets/sheet6.xml" Id="R22d31fa00f1a4e83" /><Relationship Type="http://schemas.openxmlformats.org/officeDocument/2006/relationships/worksheet" Target="/xl/worksheets/sheet7.xml" Id="Rd2e0e646ddd84188" /><Relationship Type="http://schemas.openxmlformats.org/officeDocument/2006/relationships/worksheet" Target="/xl/worksheets/sheet8.xml" Id="R282de668bee04431" /><Relationship Type="http://schemas.openxmlformats.org/officeDocument/2006/relationships/worksheet" Target="/xl/worksheets/sheet9.xml" Id="R4f19163f5a204d5a" /><Relationship Type="http://schemas.openxmlformats.org/officeDocument/2006/relationships/worksheet" Target="/xl/worksheets/sheet10.xml" Id="R53879ffd93094852" /><Relationship Type="http://schemas.openxmlformats.org/officeDocument/2006/relationships/worksheet" Target="/xl/worksheets/sheet11.xml" Id="R3b8f20d518bd44bb" /><Relationship Type="http://schemas.openxmlformats.org/officeDocument/2006/relationships/worksheet" Target="/xl/worksheets/sheet12.xml" Id="R039d0a8a2fd442ec" /><Relationship Type="http://schemas.openxmlformats.org/officeDocument/2006/relationships/worksheet" Target="/xl/worksheets/sheet13.xml" Id="R58d3746b616141eb" /><Relationship Type="http://schemas.openxmlformats.org/officeDocument/2006/relationships/worksheet" Target="/xl/worksheets/sheet14.xml" Id="R4d2366630ab8491d" /><Relationship Type="http://schemas.openxmlformats.org/officeDocument/2006/relationships/worksheet" Target="/xl/worksheets/sheet15.xml" Id="Rfbfdc03746de4516" /><Relationship Type="http://schemas.openxmlformats.org/officeDocument/2006/relationships/worksheet" Target="/xl/worksheets/sheet16.xml" Id="Ra049ad96a0aa4a77" /><Relationship Type="http://schemas.openxmlformats.org/officeDocument/2006/relationships/worksheet" Target="/xl/worksheets/sheet17.xml" Id="Rdc47bd7eb8b94e7e" /><Relationship Type="http://schemas.openxmlformats.org/officeDocument/2006/relationships/worksheet" Target="/xl/worksheets/sheet18.xml" Id="R0dafab01590c431d" /></Relationships>
</file>

<file path=xl/drawings/_rels/drawing1.xml.rels>&#65279;<?xml version="1.0" encoding="utf-8"?><Relationships xmlns="http://schemas.openxmlformats.org/package/2006/relationships"><Relationship Type="http://schemas.openxmlformats.org/officeDocument/2006/relationships/chart" Target="/xl/drawings/charts/chart1.xml" Id="R9fe6dac8362f48c5" /></Relationships>
</file>

<file path=xl/drawings/_rels/drawing2.xml.rels>&#65279;<?xml version="1.0" encoding="utf-8"?><Relationships xmlns="http://schemas.openxmlformats.org/package/2006/relationships"><Relationship Type="http://schemas.openxmlformats.org/officeDocument/2006/relationships/chart" Target="/xl/drawings/charts/chart2.xml" Id="Rc41de5ae56614393" /></Relationships>
</file>

<file path=xl/drawings/_rels/drawing3.xml.rels>&#65279;<?xml version="1.0" encoding="utf-8"?><Relationships xmlns="http://schemas.openxmlformats.org/package/2006/relationships"><Relationship Type="http://schemas.openxmlformats.org/officeDocument/2006/relationships/chart" Target="/xl/drawings/charts/chart3.xml" Id="Rf7c0dd01f4e547de"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fe6dac8362f48c5"/>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1de5ae56614393"/>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7c0dd01f4e547d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ccaf05f489aa411a" /></Relationships>
</file>

<file path=xl/worksheets/_rels/sheet5.xml.rels>&#65279;<?xml version="1.0" encoding="utf-8"?><Relationships xmlns="http://schemas.openxmlformats.org/package/2006/relationships"><Relationship Type="http://schemas.openxmlformats.org/officeDocument/2006/relationships/drawing" Target="/xl/drawings/drawing2.xml" Id="Reca22683116c4f46" /></Relationships>
</file>

<file path=xl/worksheets/_rels/sheet15.xml.rels>&#65279;<?xml version="1.0" encoding="utf-8"?><Relationships xmlns="http://schemas.openxmlformats.org/package/2006/relationships"><Relationship Type="http://schemas.openxmlformats.org/officeDocument/2006/relationships/drawing" Target="/xl/drawings/drawing3.xml" Id="R2205d86d30dd4ce9"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P3.3 accepted and integrated; P2.3 definition active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BOM, equipment, datasheet, specification, and revision relationship definition</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Define bounded ordered relationship slices; no implementation</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Review and accept the P2.3 definition before the first implementation slice</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The user explicitly accepted P3.3 on 2026-07-20. PR #40 merged implementation b5f0fcd and review evidence 411928e at exact main e4080fd. Exact-main verification: focused result/report/CLI 49 passed; full 271 passed / 1 expected Windows symlink skip; repository validation 5/5; Ruff passed; coverage 86.76%. P3.3 is closed and the first runnable structured audit is accepted. P2.3 definition is now authorized to freeze small ordered BOM/equipment, datasheet/specification, and revision relationship slices. No P2.3 evaluator code, schema, fixture, golden, held-out semantic execution, protected-content change, or deferred capability is authorized before definition acceptance.</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ccaf05f489aa411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eca22683116c4f46"/>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relationship-expansion definition active</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The first runnable structured audit is accepted and integrated. Remaining release scope is P2.3 relationships, benchmark/reliability, release, and portfolio proof.</x:v>
      </x:c>
      <x:c r="E7" s="765" t="str">
        <x:v>Product interpretation</x:v>
      </x:c>
      <x:c r="F7" s="431" t="str">
        <x:v>Successful kernel; not yet a complete economically useful workflow.</x:v>
      </x:c>
      <x:c r="G7" s="765" t="str">
        <x:v>Response</x:v>
      </x:c>
      <x:c r="H7" s="431" t="str">
        <x:v>Define exact P2.3 sources, targets, authority rules, prerequisites, outcomes, evidence, negative tests, order, and exclusions before implementation.</x:v>
      </x:c>
    </x:row>
    <x:row r="8" ht="99" hidden="0" customHeight="1">
      <x:c r="A8" s="765" t="str">
        <x:v>Immediate next action</x:v>
      </x:c>
      <x:c r="B8" s="431" t="str">
        <x:v>Create and review the bounded P2.3 relationship-expansion definition. Do not implement a rule or execute held-out semantics before acceptance.</x:v>
      </x:c>
      <x:c r="C8" s="765" t="str">
        <x:v>Selected vertical</x:v>
      </x:c>
      <x:c r="D8" s="431" t="str">
        <x:v>Accepted audit path -&gt; bounded P2.3 definition -&gt; individually accepted relationship slices -&gt; benchmark gate.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P3.3 implementation b5f0fcd and review evidence 411928e are integrated through PR #40 at exact main e4080fd. Exact-main proof: focused 49; full 271/1; validation 5/5; Ruff; coverage 86.76%. The accepted command atomically publishes the four reviewed outputs with exact exits and unchanged v0.2 behavior. P2.3 definition alone is authorized next. It must separate relationship existence and agreement from single-source field validation, bind each check to an accepted authority rule, preserve exact evidence and result-state routing, and stage implementation in small reviewable slices. P2.3 code, held-out semantics, protected content, and deferred capabilities remain blocked pending definition acceptance.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2205d86d30dd4ce9"/>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216"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0.1</x:v>
      </x:c>
      <x:c r="M13" s="662" t="n">
        <x:f>SUMIF('Work Block Log'!$E$5:$E$200,A13,'Work Block Log'!$F$5:$F$200)</x:f>
        <x:v>0</x:v>
      </x:c>
      <x:c r="N13" s="662" t="n">
        <x:f>MAX(F13*(1-L13),0)</x:f>
        <x:v>3.6</x:v>
      </x:c>
      <x:c r="O13" s="662" t="n">
        <x:f>M13-F13</x:f>
        <x:v>-4</x:v>
      </x:c>
      <x:c r="P13" s="431" t="str">
        <x:v>P3.3 accepted/integrated through PR #40 at exact main e4080fd; D-084; EV-081; definition branch codex/p2.3-relationship-expansion-definition</x:v>
      </x:c>
      <x:c r="Q13" s="431" t="str">
        <x:v>Define the ordered P2.3 relationship slices with exact authority, evidence, state/hold, prerequisite, and test contracts; then obtain explicit acceptance before implementation.</x:v>
      </x:c>
      <x:c r="R13" s="431" t="str">
        <x:v>Definition only. Do not change evaluator code, schemas, fixtures, goldens, held-out content, or deferred capabilities.</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0.6608695652173913</x:v>
      </x:c>
      <x:c r="M24" s="683" t="n">
        <x:f>SUM(M6:M22)</x:f>
        <x:v>0</x:v>
      </x:c>
      <x:c r="N24" s="683" t="n">
        <x:f>SUM(N6:N22)</x:f>
        <x:v>15.6</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P2.3 Definition</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Define bounded BOM/equipment/datasheet relationship slices</x:v>
      </x:c>
      <x:c r="H4" s="697"/>
    </x:row>
    <x:row r="5" ht="72" customHeight="1">
      <x:c r="A5" s="688" t="str">
        <x:v>Schedule Baseline</x:v>
      </x:c>
      <x:c r="B5" s="693" t="str">
        <x:v>Legacy only; not controlling</x:v>
      </x:c>
      <x:c r="C5" s="691"/>
      <x:c r="D5" s="691"/>
      <x:c r="F5" s="696" t="str">
        <x:v>Objective</x:v>
      </x:c>
      <x:c r="G5" s="697" t="str">
        <x:v>Freeze exact source-target, authority, evidence, state/hold, prerequisite, and test contracts before code changes.</x:v>
      </x:c>
      <x:c r="H5" s="697"/>
    </x:row>
    <x:row r="6" ht="63" customHeight="1">
      <x:c r="A6" s="688" t="str">
        <x:v>Time Tracking</x:v>
      </x:c>
      <x:c r="B6" s="693" t="str">
        <x:v>Waived prospectively</x:v>
      </x:c>
      <x:c r="C6" s="691"/>
      <x:c r="D6" s="691"/>
      <x:c r="F6" s="696" t="str">
        <x:v>Gate Status</x:v>
      </x:c>
      <x:c r="G6" s="697" t="str">
        <x:v>P3.3 is accepted and integrated through PR #40 at exact main e4080fd; the first runnable structured audit is complete.</x:v>
      </x:c>
      <x:c r="H6" s="697"/>
    </x:row>
    <x:row r="7" ht="81" customHeight="1">
      <x:c r="A7" s="688" t="str">
        <x:v>Current Gate</x:v>
      </x:c>
      <x:c r="B7" s="694" t="str">
        <x:v>P2.3 relationship-expansion definition</x:v>
      </x:c>
      <x:c r="C7" s="691"/>
      <x:c r="D7" s="691"/>
      <x:c r="F7" s="696" t="str">
        <x:v>Definition of Done</x:v>
      </x:c>
      <x:c r="G7" s="697" t="str">
        <x:v>P2.3 definition must separate relationship checks from unsupported single-source comparison claims and stage implementation in small slices.</x:v>
      </x:c>
      <x:c r="H7" s="697"/>
    </x:row>
    <x:row r="8" ht="63" customHeight="1">
      <x:c r="A8" s="688" t="str">
        <x:v>Released Kernel</x:v>
      </x:c>
      <x:c r="B8" s="691" t="str">
        <x:v>v0.2.0 / commit 45336a2</x:v>
      </x:c>
      <x:c r="C8" s="691"/>
      <x:c r="D8" s="691"/>
      <x:c r="F8" s="696" t="str">
        <x:v>Immediate Next Action</x:v>
      </x:c>
      <x:c r="G8" s="697" t="str">
        <x:v>Review and accept the P2.3 definition before the first relationship implementation branch.</x:v>
      </x:c>
      <x:c r="H8" s="697"/>
    </x:row>
    <x:row r="9" ht="72" customHeight="1">
      <x:c r="A9" s="688" t="str">
        <x:v>Release Target</x:v>
      </x:c>
      <x:c r="B9" s="691" t="str">
        <x:v>v0.3.0</x:v>
      </x:c>
      <x:c r="C9" s="691"/>
      <x:c r="D9" s="691"/>
      <x:c r="F9" s="696" t="str">
        <x:v>Primary Risk</x:v>
      </x:c>
      <x:c r="G9" s="697" t="str">
        <x:v>Primary risk is false assurance from treating a present single-source field, such as quantity, as a reconciled cross-document value.</x:v>
      </x:c>
      <x:c r="H9" s="697"/>
    </x:row>
    <x:row r="10" ht="81" customHeight="1">
      <x:c r="A10" s="688" t="str">
        <x:v>Baseline Test Count</x:v>
      </x:c>
      <x:c r="B10" s="691" t="n">
        <x:v>121</x:v>
      </x:c>
      <x:c r="C10" s="691"/>
      <x:c r="D10" s="691"/>
      <x:c r="F10" s="696" t="str">
        <x:v>Deferred</x:v>
      </x:c>
      <x:c r="G10" s="697" t="str">
        <x:v>P2.3 implementation, held-out semantics, protected-content changes, and deferred capabilities remain blocked pending definition acceptance.</x:v>
      </x:c>
      <x:c r="H10" s="697"/>
    </x:row>
    <x:row r="11" ht="63" customHeight="1">
      <x:c r="A11" s="688" t="str">
        <x:v>Fixture Package Families</x:v>
      </x:c>
      <x:c r="B11" s="691" t="n">
        <x:v>2</x:v>
      </x:c>
      <x:c r="C11" s="691"/>
      <x:c r="D11" s="691"/>
      <x:c r="F11" s="696" t="str">
        <x:v>Data Boundary</x:v>
      </x:c>
      <x:c r="G11" s="697" t="str">
        <x:v>P2.3 remains required before P4 benchmark execution and v0.3.0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P2.3 definition active; implementation blocked</x:v>
      </x:c>
      <x:c r="D17" s="700" t="n">
        <x:v>0.775</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by P2.3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198" customHeight="1">
      <x:c r="A32" s="431" t="n">
        <x:v>9</x:v>
      </x:c>
      <x:c r="B32" s="431" t="str">
        <x:v>P2.3</x:v>
      </x:c>
      <x:c r="C32" s="431" t="str">
        <x:v>Relationship-expansion definition</x:v>
      </x:c>
      <x:c r="D32" s="431" t="str">
        <x:v>Freeze ordered BOM/equipment, datasheet/specification, and revision checks with exact authority, evidence, state/hold, prerequisites, tests, and exclusions before implementation.</x:v>
      </x:c>
      <x:c r="E32" s="431" t="str">
        <x:v>Definition Active</x:v>
      </x:c>
      <x:c r="F32" s="431" t="str">
        <x:v>codex/p2.3-relationship-expansion-definition</x:v>
      </x:c>
      <x:c r="G32" s="431" t="str">
        <x:v>P3.3 accepted through PR #40 main e4080fd; D-084; EV-081; definition only; no evaluator/schema/fixture/golden/held-out changes</x:v>
      </x:c>
      <x:c r="H3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