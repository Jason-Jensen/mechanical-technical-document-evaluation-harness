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98821f3d6e4ee2" /></Relationships>
</file>

<file path=xl/workbook.xml><?xml version="1.0" encoding="utf-8"?>
<x:workbook xmlns:x="http://schemas.openxmlformats.org/spreadsheetml/2006/main">
  <x:sheets>
    <x:sheet xmlns:r="http://schemas.openxmlformats.org/officeDocument/2006/relationships" name="Start Here" sheetId="1" r:id="R03b467b0f6d14c1c"/>
    <x:sheet xmlns:r="http://schemas.openxmlformats.org/officeDocument/2006/relationships" name="Executive Gantt" sheetId="2" r:id="Rde69faf362bb45ac"/>
    <x:sheet xmlns:r="http://schemas.openxmlformats.org/officeDocument/2006/relationships" name="Detailed Gantt" sheetId="3" r:id="Rb4f448e58fe74c88"/>
    <x:sheet xmlns:r="http://schemas.openxmlformats.org/officeDocument/2006/relationships" name="Weekly Control" sheetId="4" r:id="Rc2e8ff6dde9a4ec7"/>
    <x:sheet xmlns:r="http://schemas.openxmlformats.org/officeDocument/2006/relationships" name="Phase Summary" sheetId="5" r:id="R48c6afad5ccf4c5d"/>
    <x:sheet xmlns:r="http://schemas.openxmlformats.org/officeDocument/2006/relationships" name="Assumptions &amp; Gates" sheetId="6" r:id="R400702363a944324"/>
    <x:sheet xmlns:r="http://schemas.openxmlformats.org/officeDocument/2006/relationships" name="Sources" sheetId="7" r:id="Rf6c6b7bf39634ade"/>
    <x:sheet xmlns:r="http://schemas.openxmlformats.org/officeDocument/2006/relationships" name="Legacy Baseline" sheetId="8" r:id="R02d8c2dce4ae4dbd"/>
    <x:sheet xmlns:r="http://schemas.openxmlformats.org/officeDocument/2006/relationships" name="Work Block Log" sheetId="9" r:id="R77286d30d7534be5"/>
    <x:sheet xmlns:r="http://schemas.openxmlformats.org/officeDocument/2006/relationships" name="Decision Register" sheetId="10" r:id="Rcd257c06f16249ab"/>
    <x:sheet xmlns:r="http://schemas.openxmlformats.org/officeDocument/2006/relationships" name="Risks &amp; Issues" sheetId="11" r:id="Rdb5ec93e528f48af"/>
    <x:sheet xmlns:r="http://schemas.openxmlformats.org/officeDocument/2006/relationships" name="Evidence Register" sheetId="12" r:id="Rd66c479280764f57"/>
    <x:sheet xmlns:r="http://schemas.openxmlformats.org/officeDocument/2006/relationships" name="Expansion Backlog" sheetId="13" r:id="Re13a0ee04a8643c2"/>
    <x:sheet xmlns:r="http://schemas.openxmlformats.org/officeDocument/2006/relationships" name="AI Context" sheetId="14" r:id="Rcffbef970d4a47b2"/>
    <x:sheet xmlns:r="http://schemas.openxmlformats.org/officeDocument/2006/relationships" name="MVP Dashboard" sheetId="15" r:id="R0732ee776a5f47a2"/>
    <x:sheet xmlns:r="http://schemas.openxmlformats.org/officeDocument/2006/relationships" name="Product Vision" sheetId="16" r:id="R15642bdb09d64ceb"/>
    <x:sheet xmlns:r="http://schemas.openxmlformats.org/officeDocument/2006/relationships" name="Pilot Gantt" sheetId="17" r:id="Re6d012c0853c4b3e"/>
    <x:sheet xmlns:r="http://schemas.openxmlformats.org/officeDocument/2006/relationships" name="Pilot Dashboard" sheetId="18" r:id="R57181e987dd54ec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<x:sst xmlns:x="http://schemas.openxmlformats.org/spreadsheetml/2006/main">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</x:sst>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6bded673cb400d" /><Relationship Type="http://schemas.openxmlformats.org/officeDocument/2006/relationships/theme" Target="/xl/theme/theme1.xml" Id="Rb2dfd96c02944b05" /><Relationship Type="http://schemas.openxmlformats.org/officeDocument/2006/relationships/sharedStrings" Target="/xl/sharedStrings.xml" Id="Rbaee720b19e9471e" /><Relationship Type="http://schemas.openxmlformats.org/officeDocument/2006/relationships/worksheet" Target="/xl/worksheets/sheet1.xml" Id="R03b467b0f6d14c1c" /><Relationship Type="http://schemas.openxmlformats.org/officeDocument/2006/relationships/worksheet" Target="/xl/worksheets/sheet2.xml" Id="Rde69faf362bb45ac" /><Relationship Type="http://schemas.openxmlformats.org/officeDocument/2006/relationships/worksheet" Target="/xl/worksheets/sheet3.xml" Id="Rb4f448e58fe74c88" /><Relationship Type="http://schemas.openxmlformats.org/officeDocument/2006/relationships/worksheet" Target="/xl/worksheets/sheet4.xml" Id="Rc2e8ff6dde9a4ec7" /><Relationship Type="http://schemas.openxmlformats.org/officeDocument/2006/relationships/worksheet" Target="/xl/worksheets/sheet5.xml" Id="R48c6afad5ccf4c5d" /><Relationship Type="http://schemas.openxmlformats.org/officeDocument/2006/relationships/worksheet" Target="/xl/worksheets/sheet6.xml" Id="R400702363a944324" /><Relationship Type="http://schemas.openxmlformats.org/officeDocument/2006/relationships/worksheet" Target="/xl/worksheets/sheet7.xml" Id="Rf6c6b7bf39634ade" /><Relationship Type="http://schemas.openxmlformats.org/officeDocument/2006/relationships/worksheet" Target="/xl/worksheets/sheet8.xml" Id="R02d8c2dce4ae4dbd" /><Relationship Type="http://schemas.openxmlformats.org/officeDocument/2006/relationships/worksheet" Target="/xl/worksheets/sheet9.xml" Id="R77286d30d7534be5" /><Relationship Type="http://schemas.openxmlformats.org/officeDocument/2006/relationships/worksheet" Target="/xl/worksheets/sheet10.xml" Id="Rcd257c06f16249ab" /><Relationship Type="http://schemas.openxmlformats.org/officeDocument/2006/relationships/worksheet" Target="/xl/worksheets/sheet11.xml" Id="Rdb5ec93e528f48af" /><Relationship Type="http://schemas.openxmlformats.org/officeDocument/2006/relationships/worksheet" Target="/xl/worksheets/sheet12.xml" Id="Rd66c479280764f57" /><Relationship Type="http://schemas.openxmlformats.org/officeDocument/2006/relationships/worksheet" Target="/xl/worksheets/sheet13.xml" Id="Re13a0ee04a8643c2" /><Relationship Type="http://schemas.openxmlformats.org/officeDocument/2006/relationships/worksheet" Target="/xl/worksheets/sheet14.xml" Id="Rcffbef970d4a47b2" /><Relationship Type="http://schemas.openxmlformats.org/officeDocument/2006/relationships/worksheet" Target="/xl/worksheets/sheet15.xml" Id="R0732ee776a5f47a2" /><Relationship Type="http://schemas.openxmlformats.org/officeDocument/2006/relationships/worksheet" Target="/xl/worksheets/sheet16.xml" Id="R15642bdb09d64ceb" /><Relationship Type="http://schemas.openxmlformats.org/officeDocument/2006/relationships/worksheet" Target="/xl/worksheets/sheet17.xml" Id="Re6d012c0853c4b3e" /><Relationship Type="http://schemas.openxmlformats.org/officeDocument/2006/relationships/worksheet" Target="/xl/worksheets/sheet18.xml" Id="R57181e987dd54e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4cd8e720ca224ffc" /></Relationships>
</file>

<file path=xl/drawings/_rels/drawing2.xml.rels>&#65279;<?xml version="1.0" encoding="utf-8"?><Relationships xmlns="http://schemas.openxmlformats.org/package/2006/relationships"><Relationship Type="http://schemas.openxmlformats.org/officeDocument/2006/relationships/chart" Target="/xl/drawings/charts/chart2.xml" Id="R796580513af54234" /></Relationships>
</file>

<file path=xl/drawings/_rels/drawing3.xml.rels>&#65279;<?xml version="1.0" encoding="utf-8"?><Relationships xmlns="http://schemas.openxmlformats.org/package/2006/relationships"><Relationship Type="http://schemas.openxmlformats.org/officeDocument/2006/relationships/chart" Target="/xl/drawings/charts/chart3.xml" Id="Ra616176a491343a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cd8e720ca224ff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6580513af5423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616176a491343a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ceb08561aa4f405e" /></Relationships>
</file>

<file path=xl/worksheets/_rels/sheet5.xml.rels>&#65279;<?xml version="1.0" encoding="utf-8"?><Relationships xmlns="http://schemas.openxmlformats.org/package/2006/relationships"><Relationship Type="http://schemas.openxmlformats.org/officeDocument/2006/relationships/drawing" Target="/xl/drawings/drawing2.xml" Id="R852a71702de548cd" /></Relationships>
</file>

<file path=xl/worksheets/_rels/sheet15.xml.rels>&#65279;<?xml version="1.0" encoding="utf-8"?><Relationships xmlns="http://schemas.openxmlformats.org/package/2006/relationships"><Relationship Type="http://schemas.openxmlformats.org/officeDocument/2006/relationships/drawing" Target="/xl/drawings/drawing3.xml" Id="R07de3ed570ef48e5"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check 11 implementation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D-106 check 11 implementation and D-107 review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specification revision-history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D-107; authority-gap disposition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504" hidden="0" customHeight="1">
      <x:c r="A28" s="597" t="str">
        <x:v>D-106 is accepted and PR #58 merged check 10 at exact main 761ac76. Check 11, specification_revision_history, is implemented as the eleventh ordered check under exact AUTH-SPEC-003. Every release-required specification metadata record must match exactly one current revision-history record by normalized specification_id. The clean run passed 8/8 gates and 11/11 checks. Changing only SPMETA-001 revision A to valid B produced one FND-C74035C8B9E5C4E7 automatic-fail hold with expected B, actual A, exit 1, and four exact outputs. Focused 99, full 314/1, coverage 88.48%, validation 5/5, Ruff, baseline 9/9, and demo 2/2 pass. EV-133-EV-136 preserve acceptance, implementation, output, and regression evidence. D-107 proposes accepting check 11 and authorizing only the authority-gap disposition and P2.3 completion-definition block.</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ceb08561aa4f405e"/>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52a71702de548cd"/>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Proposed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CEO accepts or revises check 11 and the authority-gap disposition block. Recommended: explicitly defer all six unsupported claims, narrow the v0.3.0 pilot claim to the eleven proven checks, and then plan P4. Do not invent sources or authority rules merely to mark P2.3 complete.</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78" customHeight="1">
      <x:c r="A24" s="431" t="str">
        <x:v>I-005</x:v>
      </x:c>
      <x:c r="B24" s="431" t="str">
        <x:v>Issue</x:v>
      </x:c>
      <x:c r="C24" s="431" t="str">
        <x:v>A valid package audit can generate all four staged outputs but fail the final Windows directory rename when a transient process holds the staging directory.</x:v>
      </x:c>
      <x:c r="D24" s="431" t="str">
        <x:v>N/A</x:v>
      </x:c>
      <x:c r="E24" s="431" t="str">
        <x:v>High</x:v>
      </x:c>
      <x:c r="F24" s="431" t="str">
        <x:v>Jason</x:v>
      </x:c>
      <x:c r="G24" s="431" t="str">
        <x:v>Retain the fixed final-rename PermissionError retry boundary and its injected recovery, exhaustion, collision, other-error, and CLI regression tests.</x:v>
      </x:c>
      <x:c r="H24" s="431" t="str">
        <x:v>Closed</x:v>
      </x:c>
      <x:c r="I24" s="431" t="n">
        <x:v>46224</x:v>
      </x:c>
      <x:c r="J24" s="431" t="str">
        <x:v>Closed as controlled under accepted D-105. PR #57 merged the stabilization at exact main dbcd242; IMP-019 remains retained. Persistent filesystem failures intentionally remain operator-visible exit 70 conditions.</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Ready for CEO review</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Ready for CEO review</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Ready for CEO review</x:v>
      </x:c>
      <x:c r="I139" s="431" t="str">
        <x:v>No accepted fixture, authority map, schema, golden, held-out asset, public package, historical result, v0.2 behavior, or acceptance criterion changed.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11 implemented; D-107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Eleven relationship checks are implemented. Check 11 reconciles release-required specification metadata with exactly one current revision-history record under exact AUTH-SPEC-003. Six authority/source gaps remain unsupported.</x:v>
      </x:c>
      <x:c r="E7" s="765" t="str">
        <x:v>Product interpretation</x:v>
      </x:c>
      <x:c r="F7" s="431" t="str">
        <x:v>Successful kernel; not yet a complete economically useful workflow.</x:v>
      </x:c>
      <x:c r="G7" s="765" t="str">
        <x:v>Response</x:v>
      </x:c>
      <x:c r="H7" s="431" t="str">
        <x:v>Review D-107 before the authority-gap disposition, P4, or any new capability.</x:v>
      </x:c>
    </x:row>
    <x:row r="8" ht="153" hidden="0" customHeight="1">
      <x:c r="A8" s="765" t="str">
        <x:v>Immediate next action</x:v>
      </x:c>
      <x:c r="B8" s="431" t="str">
        <x:v>Accept or revise D-107: accept check 11 and authorize only the P2.3 authority-gap disposition and completion-definition block.</x:v>
      </x:c>
      <x:c r="C8" s="765" t="str">
        <x:v>Selected vertical</x:v>
      </x:c>
      <x:c r="D8" s="431" t="str">
        <x:v>Check 11 review -&gt; D-107 -&gt; authority-gap disposition and claim narrowing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522" hidden="0" customHeight="1">
      <x:c r="A41" s="604" t="str">
        <x:v>Immediate implication</x:v>
      </x:c>
      <x:c r="B41" s="605"/>
      <x:c r="C41" s="606" t="str">
        <x:v>D-106 was accepted and PR #58 merged check 10 at exact main 761ac76. Check 11 now compares every release-required specification-metadata revision with exactly one current revision-history record joined by normalized specification_id under exact AUTH-SPEC-003. Missing, multiple, and mismatched current history records are automatic-fail high-severity holds owned by document_control. Clean run RUN-20260721T164400783739Z-e5fdce3c passed 8/8 gates and 11/11 checks with four outputs. Fault run RUN-20260721T164405746563Z-8ccbbbf1 changed only SPMETA-001 revision A to valid B and returned automatic_fail, hold true, one FND-C74035C8B9E5C4E7 finding with expected B and actual A, exit 1, and the same four outputs. Focused 99, full 314/1, coverage 88.48%, validation 5/5, Ruff, baseline 9/9, and demo 2/2 pass. No accepted fixture, schema, authority, golden, held-out asset, public package, historical result, or v0.2 behavior changed. All six currently supportable P2.3 checks are now implemented. D-107 proposes deferring the six unsupported claims, narrowing the pilot claim to the eleven proven checks, and authorizing only the P2.3 completion-definition block before P4. Public reruns,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7de3ed570ef48e5"/>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7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0.99</x:v>
      </x:c>
      <x:c r="M13" s="662" t="n">
        <x:f>SUMIF('Work Block Log'!$E$5:$E$200,A13,'Work Block Log'!$F$5:$F$200)</x:f>
        <x:v>0</x:v>
      </x:c>
      <x:c r="N13" s="662" t="n">
        <x:f>MAX(F13*(1-L13),0)</x:f>
        <x:v>0.040000000000000036</x:v>
      </x:c>
      <x:c r="O13" s="662" t="n">
        <x:f>M13-F13</x:f>
        <x:v>-4</x:v>
      </x:c>
      <x:c r="P13" s="431" t="str">
        <x:v>checks 6-10 integrated; PR #58 exact main 761ac76; check 11 implemented; D-085-D-107; EV-082-EV-136; exact AUTH-SPEC-003; clean 11/11; wrong-spec revision automatic_fail/hold/exit-1/four outputs; focused 99; full 314/1; coverage 88.48%; validation 5/5; Ruff; baseline 9/9; demo 2/2</x:v>
      </x:c>
      <x:c r="Q13" s="431" t="str">
        <x:v>CEO reviews specification_revision_history_implementation_review_2026-07-21.md and accepts or revises D-107.</x:v>
      </x:c>
      <x:c r="R13" s="431" t="str">
        <x:v>D-107 may authorize only the authority-gap disposition and P2.3 completion-definition block. Keep unsupported claims,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0.7382608695652174</x:v>
      </x:c>
      <x:c r="M24" s="683" t="n">
        <x:f>SUM(M6:M22)</x:f>
        <x:v>0</x:v>
      </x:c>
      <x:c r="N24" s="683" t="n">
        <x:f>SUM(N6:N22)</x:f>
        <x:v>12.04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Check 11 Implementation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specification revision-history review</x:v>
      </x:c>
      <x:c r="H4" s="697"/>
    </x:row>
    <x:row r="5" ht="72" customHeight="1">
      <x:c r="A5" s="688" t="str">
        <x:v>Schedule Baseline</x:v>
      </x:c>
      <x:c r="B5" s="693" t="str">
        <x:v>Legacy only; not controlling</x:v>
      </x:c>
      <x:c r="C5" s="691"/>
      <x:c r="D5" s="691"/>
      <x:c r="F5" s="696" t="str">
        <x:v>Objective</x:v>
      </x:c>
      <x:c r="G5" s="697" t="str">
        <x:v>Require every release-required specification revision to match exactly one current history record.</x:v>
      </x:c>
      <x:c r="H5" s="697"/>
    </x:row>
    <x:row r="6" ht="63" customHeight="1">
      <x:c r="A6" s="688" t="str">
        <x:v>Time Tracking</x:v>
      </x:c>
      <x:c r="B6" s="693" t="str">
        <x:v>Waived prospectively</x:v>
      </x:c>
      <x:c r="C6" s="691"/>
      <x:c r="D6" s="691"/>
      <x:c r="F6" s="696" t="str">
        <x:v>Gate Status</x:v>
      </x:c>
      <x:c r="G6" s="697" t="str">
        <x:v>Clean 11/11; wrong-valid metadata revision routes to automatic fail, hold true, exit 1, and four exact outputs.</x:v>
      </x:c>
      <x:c r="H6" s="697"/>
    </x:row>
    <x:row r="7" ht="81" customHeight="1">
      <x:c r="A7" s="688" t="str">
        <x:v>Current Gate</x:v>
      </x:c>
      <x:c r="B7" s="694" t="str">
        <x:v>P2.3 D-106 check 11 implementation and D-107 review</x:v>
      </x:c>
      <x:c r="C7" s="691"/>
      <x:c r="D7" s="691"/>
      <x:c r="F7" s="696" t="str">
        <x:v>Definition of Done</x:v>
      </x:c>
      <x:c r="G7" s="697" t="str">
        <x:v>CEO accepts or revises D-107.</x:v>
      </x:c>
      <x:c r="H7" s="697"/>
    </x:row>
    <x:row r="8" ht="63" customHeight="1">
      <x:c r="A8" s="688" t="str">
        <x:v>Released Kernel</x:v>
      </x:c>
      <x:c r="B8" s="691" t="str">
        <x:v>v0.2.0 / commit 45336a2</x:v>
      </x:c>
      <x:c r="C8" s="691"/>
      <x:c r="D8" s="691"/>
      <x:c r="F8" s="696" t="str">
        <x:v>Immediate Next Action</x:v>
      </x:c>
      <x:c r="G8" s="697" t="str">
        <x:v>Review specification_revision_history_implementation_review_2026-07-21.md.</x:v>
      </x:c>
      <x:c r="H8" s="697"/>
    </x:row>
    <x:row r="9" ht="72" customHeight="1">
      <x:c r="A9" s="688" t="str">
        <x:v>Release Target</x:v>
      </x:c>
      <x:c r="B9" s="691" t="str">
        <x:v>v0.3.0</x:v>
      </x:c>
      <x:c r="C9" s="691"/>
      <x:c r="D9" s="691"/>
      <x:c r="F9" s="696" t="str">
        <x:v>Primary Risk</x:v>
      </x:c>
      <x:c r="G9" s="697" t="str">
        <x:v>Primary next decision is how to close or explicitly defer the six unsupported authority/source claims.</x:v>
      </x:c>
      <x:c r="H9" s="697"/>
    </x:row>
    <x:row r="10" ht="81" customHeight="1">
      <x:c r="A10" s="688" t="str">
        <x:v>Baseline Test Count</x:v>
      </x:c>
      <x:c r="B10" s="691" t="n">
        <x:v>121</x:v>
      </x:c>
      <x:c r="C10" s="691"/>
      <x:c r="D10" s="691"/>
      <x:c r="F10" s="696" t="str">
        <x:v>Deferred</x:v>
      </x:c>
      <x:c r="G10" s="697" t="str">
        <x:v>Authority gaps, public reruns, held-out semantics, P4 execution, and deferred capabilities remain blocked.</x:v>
      </x:c>
      <x:c r="H10" s="697"/>
    </x:row>
    <x:row r="11" ht="63" customHeight="1">
      <x:c r="A11" s="688" t="str">
        <x:v>Fixture Package Families</x:v>
      </x:c>
      <x:c r="B11" s="691" t="n">
        <x:v>2</x:v>
      </x:c>
      <x:c r="C11" s="691"/>
      <x:c r="D11" s="691"/>
      <x:c r="F11" s="696" t="str">
        <x:v>Data Boundary</x:v>
      </x:c>
      <x:c r="G11" s="697" t="str">
        <x:v>Accepted development, held-out, public-package, schema, golden,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D-107 review required</x:v>
      </x:c>
      <x:c r="D17" s="700" t="n">
        <x:v>0.99</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Ready for Review</x:v>
      </x:c>
      <x:c r="F49" s="431" t="str">
        <x:v>codex/p2.3-specification-revision-history</x:v>
      </x:c>
      <x:c r="G49" s="431" t="str">
        <x:v>D-106-D-107; EV-133-EV-136; clean RUN-20260721T164400783739Z-e5fdce3c; fault RUN-20260721T164405746563Z-8ccbbbf1; FND-C74035C8B9E5C4E7; expected B actual A; automatic_fail; hold true; exit 1; exactly four outputs; focused 99; full 314/1; coverage 88.48%; validation 5/5; Ruff; baseline 9/9; demo 2/2; no protected asset changed</x:v>
      </x:c>
      <x:c r="H49"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