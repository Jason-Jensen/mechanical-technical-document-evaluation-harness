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39bcaa7aaf4a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3c025f632774f5f"/>
    <x:sheet xmlns:r="http://schemas.openxmlformats.org/officeDocument/2006/relationships" name="Executive Gantt" sheetId="2" r:id="R4c45830cd2f24db4"/>
    <x:sheet xmlns:r="http://schemas.openxmlformats.org/officeDocument/2006/relationships" name="Detailed Gantt" sheetId="3" r:id="R72832efa6ac24825"/>
    <x:sheet xmlns:r="http://schemas.openxmlformats.org/officeDocument/2006/relationships" name="Weekly Control" sheetId="4" r:id="R561190fddbff4dac"/>
    <x:sheet xmlns:r="http://schemas.openxmlformats.org/officeDocument/2006/relationships" name="Phase Summary" sheetId="5" r:id="R6c9c35303a7d45b9"/>
    <x:sheet xmlns:r="http://schemas.openxmlformats.org/officeDocument/2006/relationships" name="Assumptions &amp; Gates" sheetId="6" r:id="R1f959efecb534260"/>
    <x:sheet xmlns:r="http://schemas.openxmlformats.org/officeDocument/2006/relationships" name="Sources" sheetId="7" r:id="R551b72c46f4d475a"/>
    <x:sheet xmlns:r="http://schemas.openxmlformats.org/officeDocument/2006/relationships" name="Legacy Baseline" sheetId="8" r:id="Rbc694a3e03cf4bbf"/>
    <x:sheet xmlns:r="http://schemas.openxmlformats.org/officeDocument/2006/relationships" name="Work Block Log" sheetId="9" r:id="Rc99593338b2c429e"/>
    <x:sheet xmlns:r="http://schemas.openxmlformats.org/officeDocument/2006/relationships" name="Decision Register" sheetId="10" r:id="R34050df220ae4472"/>
    <x:sheet xmlns:r="http://schemas.openxmlformats.org/officeDocument/2006/relationships" name="Risks &amp; Issues" sheetId="11" r:id="R2079a71a75674eb5"/>
    <x:sheet xmlns:r="http://schemas.openxmlformats.org/officeDocument/2006/relationships" name="Evidence Register" sheetId="12" r:id="Re518c6271c5b432f"/>
    <x:sheet xmlns:r="http://schemas.openxmlformats.org/officeDocument/2006/relationships" name="Expansion Backlog" sheetId="13" r:id="R3b7ca7f66ce848ac"/>
    <x:sheet xmlns:r="http://schemas.openxmlformats.org/officeDocument/2006/relationships" name="AI Context" sheetId="14" r:id="R789cdacd3cde47ce"/>
    <x:sheet xmlns:r="http://schemas.openxmlformats.org/officeDocument/2006/relationships" name="MVP Dashboard" sheetId="15" r:id="R67d4209da3014863"/>
    <x:sheet xmlns:r="http://schemas.openxmlformats.org/officeDocument/2006/relationships" name="Product Vision" sheetId="16" r:id="R739aa21543c74b3d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<x:sst xmlns:x="http://schemas.openxmlformats.org/spreadsheetml/2006/main">
  <x:si>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</x:si>
  <x:si>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</x:si>
  <x:si>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</x:si>
  <x:si>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</x:si>
  <x:si>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</x:si>
  <x:si>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</x:si>
  <x:si>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</x:si>
  <x:si>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</x:si>
  <x:si>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</x:si>
  <x:si>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</x:si>
  <x:si>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</x:si>
  <x:si>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</x:si>
  <x:si>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</x:si>
  <x:si>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</x:si>
  <x:si>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</x:si>
  <x:si>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</x:si>
  <x:si>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</x:si>
  <x:si>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</x:si>
  <x:si>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</x:si>
  <x:si>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</x:si>
  <x:si>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</x:si>
  <x:si>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</x:si>
  <x:si>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</x:si>
  <x:si>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</x:si>
  <x:si>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</x:si>
  <x:si>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</x:si>
  <x:si>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</x:si>
  <x:si>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</x:si>
  <x:si>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main @ c71676d; 25 tests passing</x:t>
  </x:si>
  <x:si>
    <x:t xml:space="preserve">Active WBS</x:t>
  </x:si>
  <x:si>
    <x:t xml:space="preserve">1.1 — Candidate artifact contract and loader</x:t>
  </x:si>
  <x:si>
    <x:t xml:space="preserve">Next build WBS</x:t>
  </x:si>
  <x:si>
    <x:t xml:space="preserve">1.2 — Mandatory gate engine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</x:si>
  <x:si>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</x:si>
  <x:si>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</x:si>
  <x:si>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</x:si>
  <x:si>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</x:si>
  <x:si>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</x:si>
  <x:si>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</x:si>
  <x:si>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</x:si>
  <x:si>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</x:si>
  <x:si>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</x:si>
  <x:si>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</x:si>
  <x:si>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</x:si>
  <x:si>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</x:si>
  <x:si>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</x:si>
  <x:si>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</x:si>
  <x:si>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</x:si>
  <x:si>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</x:si>
  <x:si>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</x:si>
  <x:si>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</x:si>
  <x:si>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</x:si>
  <x:si>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</x:si>
  <x:si>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</x:si>
  <x:si>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</x:si>
  <x:si>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</x:si>
  <x:si>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</x:si>
  <x:si>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</x:si>
  <x:si>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</x:si>
  <x:si>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</x:si>
  <x:si>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</x:si>
  <x:si>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</x:si>
  <x:si>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</x:si>
  <x:si>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</x:si>
  <x:si>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</x:si>
  <x:si>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</x:si>
  <x:si>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</x:si>
  <x:si>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The project currently validates case definitions but cannot yet evaluate a candidate artifact. The next product milestone remains WBS 1.1–1.5. WBS 1.1 must define a small extensible candidate envelope (schema_version, case_id, candidate_id, artifact_type, artifacts, payload, optional provenance) so future drawing, document-package, and agent artifacts can use the same evaluation kernel. Do not implement those deferred capabilities before the MVP completion gate.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</x:si>
  <x:si>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</x:si>
  <x:si>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</x:si>
  <x:si>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</x:si>
  <x:si>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</x:si>
  <x:si>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</x:si>
  <x:si>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</x:si>
  <x:si>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</x:si>
  <x:si>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</x:si>
  <x:si>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</x:si>
  <x:si>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</x:si>
  <x:si>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</x:si>
  <x:si>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</x:si>
  <x:si>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</x:si>
  <x:si>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</x:si>
  <x:si>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</x:si>
  <x:si>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</x:si>
  <x:si>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</x:si>
  <x:si>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</x:si>
  <x:si>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</x:si>
  <x:si>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</x:si>
  <x:si>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</x:si>
  <x:si>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</x:si>
  <x:si>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</x:si>
  <x:si>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</x:si>
  <x:si>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</x:si>
  <x:si>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</x:si>
  <x:si>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</x:si>
  <x:si>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</x:si>
  <x:si>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</x:si>
  <x:si>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</x:si>
  <x:si>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</x:si>
  <x:si>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</x:si>
  <x:si>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</x:si>
  <x:si>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</x:si>
  <x:si>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</x:si>
  <x:si>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</x:si>
  <x:si>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</x:si>
  <x:si>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</x:si>
  <x:si>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</x:si>
  <x:si>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</x:si>
  <x:si>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</x:si>
  <x:si>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</x:si>
  <x:si>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</x:si>
  <x:si>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</x:si>
  <x:si>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</x:si>
  <x:si>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</x:si>
  <x:si>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</x:si>
  <x:si>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</x:si>
  <x:si>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</x:si>
  <x:si>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</x:si>
  <x:si>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</x:si>
  <x:si>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</x:si>
  <x:si>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</x:si>
  <x:si>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</x:si>
  <x:si>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</x:si>
  <x:si>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</x:si>
  <x:si>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</x:si>
  <x:si>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</x:si>
  <x:si>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</x:si>
  <x:si>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</x:si>
  <x:si>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</x:si>
  <x:si>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</x:si>
  <x:si>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</x:si>
  <x:si>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</x:si>
  <x:si>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</x:si>
  <x:si>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</x:si>
  <x:si>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</x:si>
  <x:si>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</x:si>
  <x:si>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</x:si>
  <x:si>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</x:si>
  <x:si>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</x:si>
  <x:si>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</x:si>
  <x:si>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</x:si>
  <x:si>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</x:si>
  <x:si>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</x:si>
  <x:si>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</x:si>
  <x:si>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</x:si>
  <x:si>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</x:si>
  <x:si>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</x:si>
  <x:si>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</x:si>
  <x:si>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</x:si>
  <x:si>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</x:si>
  <x:si>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</x:si>
  <x:si>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</x:si>
  <x:si>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Implement a dispatcher over evaluator check kinds.</x:t>
  </x:si>
  <x:si>
    <x:t xml:space="preserve">Only implement check types required by MVP cases.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</x:si>
  <x:si>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</x:si>
  <x:si>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</x:si>
  <x:si>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</x:si>
  <x:si>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Implement numeric_close and boundary tests.</x:t>
  </x:si>
  <x:si>
    <x:t xml:space="preserve">Units remain explicit in case/evaluator data.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</x:si>
  <x:si>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</x:si>
  <x:si>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</x:si>
  <x:si>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</x:si>
  <x:si>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</x:si>
  <x:si>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Compose gate and check results into one evaluation result.</x:t>
  </x:si>
  <x:si>
    <x:t xml:space="preserve">Outcome scoring only; process scoring is deferred.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</x:si>
  <x:si>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</x:si>
  <x:si>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</x:si>
  <x:si>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</x:si>
  <x:si>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Add evaluate parser and human-readable output.</x:t>
  </x:si>
  <x:si>
    <x:t xml:space="preserve">CLI remains the MVP interface.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</x:si>
  <x:si>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</x:si>
  <x:si>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</x:si>
  <x:si>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</x:si>
  <x:si>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</x:si>
  <x:si>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</x:si>
  <x:si>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</x:si>
  <x:si>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</x:si>
  <x:si>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</x:si>
  <x:si>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</x:si>
  <x:si>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</x:si>
  <x:si>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</x:si>
  <x:si>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</x:si>
  <x:si>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</x:si>
  <x:si>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</x:si>
  <x:si>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</x:si>
  <x:si>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</x:si>
  <x:si>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</x:si>
  <x:si>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</x:si>
  <x:si>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</x:si>
  <x:si>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</x:si>
  <x:si>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</x:si>
  <x:si>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</x:si>
  <x:si>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</x:si>
  <x:si>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</x:si>
  <x:si>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</x:si>
  <x:si>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</x:si>
  <x:si>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</x:si>
  <x:si>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</x:si>
  <x:si>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</x:si>
  <x:si>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</x:si>
  <x:si>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</x:si>
  <x:si>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</x:si>
  <x:si>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</x:si>
  <x:si>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</x:si>
  <x:si>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</x:si>
  <x:si>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</x:si>
  <x:si>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</x:si>
  <x:si>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</x:si>
  <x:si>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</x:si>
  <x:si>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</x:si>
  <x:si>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</x:si>
  <x:si>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</x:si>
  <x:si>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</x:si>
  <x:si>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</x:si>
  <x:si>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</x:si>
  <x:si>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</x:si>
  <x:si>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</x:si>
  <x:si>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</x:si>
  <x:si>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</x:si>
  <x:si>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</x:si>
  <x:si>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</x:si>
  <x:si>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</x:si>
  <x:si>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</x:si>
  <x:si>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</x:si>
  <x:si>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</x:si>
  <x:si>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</x:si>
  <x:si>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</x:si>
  <x:si>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</x:si>
  <x:si>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</x:si>
  <x:si>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</x:si>
  <x:si>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</x:si>
  <x:si>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</x:si>
  <x:si>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</x:si>
  <x:si>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</x:si>
  <x:si>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</x:si>
  <x:si>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</x:si>
  <x:si>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</x:si>
  <x:si>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</x:si>
  <x:si>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</x:si>
  <x:si>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</x:si>
  <x:si>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</x:si>
  <x:si>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</x:si>
  <x:si>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</x:si>
  <x:si>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Week</x:t>
  </x:si>
  <x:si>
    <x:t xml:space="preserve">Week Start</x:t>
  </x:si>
  <x:si>
    <x:t xml:space="preserve">Week Finish</x:t>
  </x:si>
  <x:si>
    <x:t xml:space="preserve">Cumulative Planned</x:t>
  </x:si>
  <x:si>
    <x:t xml:space="preserve">Cumulative Actual</x:t>
  </x:si>
  <x:si>
    <x:t xml:space="preserve">Primary Focus</x:t>
  </x:si>
  <x:si>
    <x:t xml:space="preserve">Weekly Note</x:t>
  </x:si>
  <x:si>
    <x:t xml:space="preserve">Control baseline; loader/validator</x:t>
  </x:si>
  <x:si>
    <x:t xml:space="preserve">In Progress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</x:si>
  <x:si>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</x:si>
  <x:si>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</x:si>
  <x:si>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</x:si>
  <x:si>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</x:si>
  <x:si>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</x:si>
  <x:si>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</x:si>
  <x:si>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</x:si>
  <x:si>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</x:si>
  <x:si>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</x:si>
  <x:si>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</x:si>
  <x:si>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</x:si>
  <x:si>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</x:si>
  <x:si>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</x:si>
  <x:si>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</x:si>
  <x:si>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</x:si>
  <x:si>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</x:si>
  <x:si>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</x:si>
  <x:si>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</x:si>
  <x:si>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</x:si>
  <x:si>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</x:si>
  <x:si>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</x:si>
  <x:si>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</x:si>
  <x:si>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</x:si>
  <x:si>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</x:si>
  <x:si>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</x:si>
  <x:si>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</x:si>
  <x:si>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</x:si>
  <x:si>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</x:si>
  <x:si>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</x:si>
  <x:si>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</x:si>
  <x:si>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</x:si>
  <x:si>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</x:si>
  <x:si>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</x:si>
  <x:si>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</x:si>
  <x:si>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</x:si>
  <x:si>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</x:si>
  <x:si>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</x:si>
  <x:si>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</x:si>
  <x:si>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</x:si>
  <x:si>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</x:si>
  <x:si>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</x:si>
  <x:si>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</x:si>
  <x:si>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</x:si>
  <x:si>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</x:si>
  <x:si>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</x:si>
  <x:si>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</x:si>
  <x:si>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</x:si>
  <x:si>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</x:si>
  <x:si>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</x:si>
  <x:si>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</x:si>
  <x:si>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</x:si>
  <x:si>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Planned</x:t>
  </x:si>
  <x:si>
    <x:t xml:space="preserve">Candidate artifact contract and loader work for MECH-002 with controlled errors.</x:t>
  </x:si>
  <x:si>
    <x:t xml:space="preserve">Tests and CLI/manual load evidence</x:t>
  </x:si>
  <x:si>
    <x:t xml:space="preserve">Proceed to gate engine.</x:t>
  </x:si>
  <x:si>
    <x:t xml:space="preserve">Gate 2</x:t>
  </x:si>
  <x:si>
    <x:t xml:space="preserve">Mandatory gates, deterministic checks, weighted score, failure modes, and evidence work end-to-end.</x:t>
  </x:si>
  <x:si>
    <x:t xml:space="preserve">Engine tests; pass/fail artifacts</x:t>
  </x:si>
  <x:si>
    <x:t xml:space="preserve">Authorize CLI integration.</x:t>
  </x:si>
  <x:si>
    <x:t xml:space="preserve">Gate 3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</x:si>
  <x:si>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</x:si>
  <x:si>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</x:si>
  <x:si>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</x:si>
  <x:si>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</x:si>
  <x:si>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</x:si>
  <x:si>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</x:si>
  <x:si>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</x:si>
  <x:si>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</x:si>
  <x:si>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</x:si>
  <x:si>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</x:si>
  <x:si>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</x:si>
  <x:si>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</x:si>
  <x:si>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</x:si>
  <x:si>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</x:si>
  <x:si>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</x:si>
  <x:si>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</x:si>
  <x:si>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</x:si>
  <x:si>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</x:si>
  <x:si>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</x:si>
  <x:si>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</x:si>
  <x:si>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</x:si>
  <x:si>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</x:si>
  <x:si>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</x:si>
  <x:si>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</x:si>
  <x:si>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</x:si>
  <x:si>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</x:si>
  <x:si>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</x:si>
  <x:si>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</x:si>
  <x:si>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</x:si>
  <x:si>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</x:si>
  <x:si>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</x:si>
  <x:si>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</x:si>
  <x:si>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</x:si>
  <x:si>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</x:si>
  <x:si>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</x:si>
  <x:si>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</x:si>
  <x:si>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</x:si>
  <x:si>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</x:si>
  <x:si>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</x:si>
  <x:si>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</x:si>
  <x:si>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</x:si>
  <x:si>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</x:si>
  <x:si>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</x:si>
  <x:si>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</x:si>
  <x:si>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</x:si>
  <x:si>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</x:si>
  <x:si>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</x:si>
  <x:si>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</x:si>
  <x:si>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</x:si>
  <x:si>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</x:si>
  <x:si>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</x:si>
  <x:si>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</x:si>
  <x:si>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</x:si>
  <x:si>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</x:si>
  <x:si>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</x:si>
  <x:si>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</x:si>
  <x:si>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</x:si>
  <x:si>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</x:si>
  <x:si>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</x:si>
  <x:si>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</x:si>
  <x:si>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</x:si>
  <x:si>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</x:si>
  <x:si>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</x:si>
  <x:si>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</x:si>
  <x:si>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</x:si>
  <x:si>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</x:si>
  <x:si>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</x:si>
  <x:si>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</x:si>
  <x:si>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</x:si>
  <x:si>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</x:si>
  <x:si>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</x:si>
  <x:si>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</x:si>
  <x:si>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</x:si>
  <x:si>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</x:si>
  <x:si>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</x:si>
  <x:si>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</x:si>
  <x:si>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</x:si>
  <x:si>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</x:si>
  <x:si>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</x:si>
  <x:si>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</x:si>
  <x:si>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</x:si>
  <x:si>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</x:si>
  <x:si>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</x:si>
  <x:si>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</x:si>
  <x:si>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</x:si>
  <x:si>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</x:si>
  <x:si>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</x:si>
  <x:si>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</x:si>
  <x:si>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</x:si>
  <x:si>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</x:si>
  <x:si>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</x:si>
  <x:si>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</x:si>
  <x:si>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</x:si>
  <x:si>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</x:si>
  <x:si>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</x:si>
  <x:si>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</x:si>
  <x:si>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</x:si>
  <x:si>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</x:si>
  <x:si>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</x:si>
  <x:si>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</x:si>
  <x:si>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</x:si>
  <x:si>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</x:si>
  <x:si>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</x:si>
  <x:si>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</x:si>
  <x:si>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</x:si>
  <x:si>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</x:si>
  <x:si>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</x:si>
  <x:si>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</x:si>
  <x:si>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</x:si>
  <x:si>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</x:si>
  <x:si>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</x:si>
  <x:si>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</x:si>
  <x:si>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</x:si>
  <x:si>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</x:si>
  <x:si>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</x:si>
  <x:si>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</x:si>
  <x:si>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</x:si>
  <x:si>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</x:si>
  <x:si>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</x:si>
  <x:si>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</x:si>
  <x:si>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</x:si>
  <x:si>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</x:si>
  <x:si>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</x:si>
  <x:si>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</x:si>
  <x:si>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</x:si>
  <x:si>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</x:si>
  <x:si>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</x:si>
  <x:si>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</x:si>
  <x:si>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</x:si>
  <x:si>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</x:si>
  <x:si>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</x:si>
  <x:si>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</x:si>
  <x:si>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</x:si>
  <x:si>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</x:si>
  <x:si>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</x:si>
  <x:si>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</x:si>
  <x:si>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</x:si>
  <x:si>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</x:si>
  <x:si>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</x:si>
  <x:si>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</x:si>
  <x:si>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</x:si>
  <x:si>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</x:si>
  <x:si>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</x:si>
  <x:si>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</x:si>
  <x:si>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</x:si>
  <x:si>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</x:si>
  <x:si>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</x:si>
  <x:si>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</x:si>
  <x:si>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</x:si>
  <x:si>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</x:si>
  <x:si>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</x:si>
  <x:si>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</x:si>
  <x:si>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</x:si>
  <x:si>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</x:si>
  <x:si>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</x:si>
  <x:si>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</x:si>
  <x:si>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</x:si>
  <x:si>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</x:si>
  <x:si>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</x:si>
  <x:si>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</x:si>
  <x:si>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</x:si>
  <x:si>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</x:si>
  <x:si>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</x:si>
  <x:si>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</x:si>
  <x:si>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</x:si>
  <x:si>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</x:si>
  <x:si>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</x:si>
  <x:si>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</x:si>
  <x:si>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</x:si>
  <x:si>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</x:si>
  <x:si>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</x:si>
  <x:si>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</x:si>
  <x:si>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</x:si>
  <x:si>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</x:si>
  <x:si>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</x:si>
  <x:si>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</x:si>
  <x:si>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</x:si>
  <x:si>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</x:si>
  <x:si>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</x:si>
  <x:si>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</x:si>
  <x:si>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</x:si>
  <x:si>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</x:si>
  <x:si>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</x:si>
  <x:si>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</x:si>
  <x:si>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</x:si>
  <x:si>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</x:si>
  <x:si>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</x:si>
  <x:si>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</x:si>
  <x:si>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</x:si>
  <x:si>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</x:si>
  <x:si>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</x:si>
  <x:si>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</x:si>
  <x:si>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</x:si>
  <x:si>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</x:si>
  <x:si>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</x:si>
  <x:si>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</x:si>
  <x:si>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</x:si>
  <x:si>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</x:si>
  <x:si>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</x:si>
  <x:si>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</x:si>
  <x:si>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</x:si>
  <x:si>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</x:si>
  <x:si>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</x:si>
  <x:si>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</x:si>
  <x:si>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</x:si>
  <x:si>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</x:si>
  <x:si>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</x:si>
  <x:si>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</x:si>
  <x:si>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</x:si>
  <x:si>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</x:si>
  <x:si>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</x:si>
  <x:si>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</x:si>
  <x:si>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</x:si>
  <x:si>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</x:si>
  <x:si>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</x:si>
  <x:si>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</x:si>
  <x:si>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</x:si>
  <x:si>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</x:si>
  <x:si>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</x:si>
  <x:si>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</x:si>
  <x:si>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</x:si>
  <x:si>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</x:si>
  <x:si>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</x:si>
  <x:si>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</x:si>
  <x:si>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</x:si>
  <x:si>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</x:si>
  <x:si>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</x:si>
  <x:si>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</x:si>
  <x:si>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</x:si>
  <x:si>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</x:si>
  <x:si>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</x:si>
  <x:si>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</x:si>
  <x:si>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</x:si>
  <x:si>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</x:si>
  <x:si>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</x:si>
  <x:si>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</x:si>
  <x:si>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</x:si>
  <x:si>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</x:si>
  <x:si>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</x:si>
  <x:si>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</x:si>
  <x:si>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</x:si>
  <x:si>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</x:si>
  <x:si>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</x:si>
  <x:si>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</x:si>
  <x:si>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</x:si>
  <x:si>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</x:si>
  <x:si>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</x:si>
  <x:si>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</x:si>
  <x:si>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</x:si>
  <x:si>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</x:si>
  <x:si>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</x:si>
  <x:si>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</x:si>
  <x:si>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</x:si>
  <x:si>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</x:si>
  <x:si>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</x:si>
  <x:si>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</x:si>
  <x:si>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</x:si>
  <x:si>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</x:si>
  <x:si>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</x:si>
  <x:si>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</x:si>
  <x:si>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</x:si>
  <x:si>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</x:si>
  <x:si>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</x:si>
  <x:si>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</x:si>
  <x:si>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</x:si>
  <x:si>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</x:si>
  <x:si>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</x:si>
  <x:si>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</x:si>
  <x:si>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</x:si>
  <x:si>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</x:si>
  <x:si>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</x:si>
  <x:si>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</x:si>
  <x:si>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</x:si>
  <x:si>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</x:si>
  <x:si>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</x:si>
  <x:si>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</x:si>
  <x:si>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</x:si>
  <x:si>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</x:si>
  <x:si>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</x:si>
  <x:si>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</x:si>
  <x:si>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</x:si>
  <x:si>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</x:si>
  <x:si>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</x:si>
  <x:si>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</x:si>
  <x:si>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</x:si>
  <x:si>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</x:si>
  <x:si>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</x:si>
  <x:si>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</x:si>
  <x:si>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</x:si>
  <x:si>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</x:si>
  <x:si>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</x:si>
  <x:si>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</x:si>
  <x:si>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</x:si>
  <x:si>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</x:si>
  <x:si>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</x:si>
  <x:si>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</x:si>
  <x:si>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</x:si>
  <x:si>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</x:si>
  <x:si>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</x:si>
  <x:si>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</x:si>
  <x:si>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</x:si>
  <x:si>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</x:si>
  <x:si>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</x:si>
  <x:si>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</x:si>
  <x:si>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</x:si>
  <x:si>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</x:si>
  <x:si>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</x:si>
  <x:si>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</x:si>
  <x:si>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</x:si>
  <x:si>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</x:si>
  <x:si>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</x:si>
  <x:si>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</x:si>
  <x:si>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</x:si>
  <x:si>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</x:si>
  <x:si>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</x:si>
  <x:si>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</x:si>
  <x:si>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</x:si>
  <x:si>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</x:si>
  <x:si>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</x:si>
  <x:si>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</x:si>
  <x:si>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</x:si>
  <x:si>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</x:si>
  <x:si>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</x:si>
  <x:si>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</x:si>
  <x:si>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</x:si>
  <x:si>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</x:si>
  <x:si>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</x:si>
  <x:si>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</x:si>
  <x:si>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</x:si>
  <x:si>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</x:si>
  <x:si>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</x:si>
  <x:si>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</x:si>
  <x:si>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</x:si>
  <x:si>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</x:si>
  <x:si>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</x:si>
  <x:si>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</x:si>
  <x:si>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</x:si>
  <x:si>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</x:si>
  <x:si>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</x:si>
  <x:si>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</x:si>
  <x:si>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</x:si>
  <x:si>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</x:si>
  <x:si>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</x:si>
  <x:si>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</x:si>
  <x:si>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</x:si>
  <x:si>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</x:si>
  <x:si>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</x:si>
  <x:si>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</x:si>
  <x:si>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</x:si>
  <x:si>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</x:si>
  <x:si>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</x:si>
  <x:si>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</x:si>
  <x:si>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</x:si>
  <x:si>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</x:si>
  <x:si>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</x:si>
  <x:si>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</x:si>
  <x:si>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</x:si>
  <x:si>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</x:si>
  <x:si>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</x:si>
  <x:si>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</x:si>
  <x:si>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</x:si>
  <x:si>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</x:si>
  <x:si>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</x:si>
  <x:si>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</x:si>
  <x:si>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</x:si>
  <x:si>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</x:si>
  <x:si>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</x:si>
  <x:si>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</x:si>
  <x:si>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</x:si>
  <x:si>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</x:si>
  <x:si>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</x:si>
  <x:si>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</x:si>
  <x:si>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</x:si>
  <x:si>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</x:si>
  <x:si>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</x:si>
  <x:si>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</x:si>
  <x:si>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</x:si>
  <x:si>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</x:si>
  <x:si>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</x:si>
  <x:si>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</x:si>
  <x:si>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</x:si>
  <x:si>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</x:si>
  <x:si>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</x:si>
  <x:si>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</x:si>
  <x:si>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</x:si>
  <x:si>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</x:si>
  <x:si>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</x:si>
  <x:si>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</x:si>
  <x:si>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</x:si>
  <x:si>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</x:si>
  <x:si>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</x:si>
  <x:si>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</x:si>
  <x:si>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</x:si>
  <x:si>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</x:si>
  <x:si>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</x:si>
  <x:si>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</x:si>
  <x:si>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</x:si>
  <x:si>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</x:si>
  <x:si>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</x:si>
  <x:si>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</x:si>
  <x:si>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</x:si>
  <x:si>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</x:si>
  <x:si>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</x:si>
  <x:si>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</x:si>
  <x:si>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</x:si>
  <x:si>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</x:si>
  <x:si>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</x:si>
  <x:si>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</x:si>
  <x:si>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</x:si>
  <x:si>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</x:si>
  <x:si>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</x:si>
  <x:si>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</x:si>
  <x:si>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</x:si>
  <x:si>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</x:si>
  <x:si>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</x:si>
  <x:si>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</x:si>
  <x:si>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</x:si>
  <x:si>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</x:si>
  <x:si>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</x:si>
  <x:si>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</x:si>
  <x:si>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</x:si>
  <x:si>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</x:si>
  <x:si>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</x:si>
  <x:si>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</x:si>
  <x:si>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</x:si>
  <x:si>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</x:si>
  <x:si>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</x:si>
  <x:si>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</x:si>
  <x:si>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</x:si>
  <x:si>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</x:si>
  <x:si>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</x:si>
  <x:si>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</x:si>
  <x:si>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</x:si>
  <x:si>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</x:si>
  <x:si>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</x:si>
  <x:si>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</x:si>
  <x:si>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</x:si>
  <x:si>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</x:si>
  <x:si>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</x:si>
  <x:si>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</x:si>
  <x:si>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</x:si>
  <x:si>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</x:si>
  <x:si>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</x:si>
  <x:si>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</x:si>
  <x:si>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</x:si>
  <x:si>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</x:si>
  <x:si>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</x:si>
  <x:si>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</x:si>
  <x:si>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</x:si>
  <x:si>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</x:si>
  <x:si>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</x:si>
  <x:si>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</x:si>
  <x:si>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</x:si>
  <x:si>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</x:si>
  <x:si>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</x:si>
  <x:si>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</x:si>
  <x:si>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</x:si>
  <x:si>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</x:si>
  <x:si>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</x:si>
  <x:si>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</x:si>
  <x:si>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</x:si>
  <x:si>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</x:si>
  <x:si>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</x:si>
  <x:si>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</x:si>
  <x:si>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</x:si>
  <x:si>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</x:si>
  <x:si>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</x:si>
  <x:si>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</x:si>
  <x:si>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</x:si>
  <x:si>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</x:si>
  <x:si>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</x:si>
  <x:si>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</x:si>
  <x:si>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</x:si>
  <x:si>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</x:si>
  <x:si>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</x:si>
  <x:si>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</x:si>
  <x:si>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</x:si>
  <x:si>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</x:si>
  <x:si>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</x:si>
  <x:si>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</x:si>
  <x:si>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</x:si>
  <x:si>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</x:si>
  <x:si>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</x:si>
  <x:si>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</x:si>
  <x:si>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</x:si>
  <x:si>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</x:si>
  <x:si>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</x:si>
  <x:si>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</x:si>
  <x:si>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</x:si>
  <x:si>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</x:si>
  <x:si>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</x:si>
  <x:si>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</x:si>
  <x:si>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</x:si>
  <x:si>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</x:si>
  <x:si>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</x:si>
  <x:si>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</x:si>
  <x:si>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</x:si>
  <x:si>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</x:si>
  <x:si>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</x:si>
  <x:si>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</x:si>
  <x:si>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</x:si>
  <x:si>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</x:si>
  <x:si>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</x:si>
  <x:si>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</x:si>
  <x:si>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</x:si>
  <x:si>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</x:si>
  <x:si>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</x:si>
  <x:si>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</x:si>
  <x:si>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</x:si>
  <x:si>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</x:si>
  <x:si>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</x:si>
  <x:si>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</x:si>
  <x:si>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</x:si>
  <x:si>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</x:si>
  <x:si>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</x:si>
  <x:si>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</x:si>
  <x:si>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</x:si>
  <x:si>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</x:si>
  <x:si>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</x:si>
  <x:si>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</x:si>
  <x:si>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</x:si>
  <x:si>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</x:si>
  <x:si>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</x:si>
  <x:si>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</x:si>
  <x:si>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</x:si>
  <x:si>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</x:si>
  <x:si>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</x:si>
  <x:si>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</x:si>
  <x:si>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</x:si>
  <x:si>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</x:si>
  <x:si>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</x:si>
  <x:si>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</x:si>
  <x:si>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</x:si>
  <x:si>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</x:si>
  <x:si>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</x:si>
  <x:si>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</x:si>
  <x:si>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</x:si>
  <x:si>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</x:si>
  <x:si>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</x:si>
  <x:si>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</x:si>
  <x:si>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</x:si>
  <x:si>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</x:si>
  <x:si>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</x:si>
  <x:si>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</x:si>
  <x:si>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</x:si>
  <x:si>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</x:si>
  <x:si>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</x:si>
  <x:si>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</x:si>
  <x:si>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</x:si>
  <x:si>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</x:si>
  <x:si>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</x:si>
  <x:si>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</x:si>
  <x:si>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</x:si>
  <x:si>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</x:si>
  <x:si>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</x:si>
  <x:si>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</x:si>
  <x:si>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</x:si>
  <x:si>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</x:si>
  <x:si>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</x:si>
  <x:si>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</x:si>
  <x:si>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</x:si>
  <x:si>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</x:si>
  <x:si>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</x:si>
  <x:si>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</x:si>
  <x:si>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</x:si>
  <x:si>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</x:si>
  <x:si>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</x:si>
  <x:si>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</x:si>
  <x:si>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</x:si>
  <x:si>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</x:si>
  <x:si>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</x:si>
  <x:si>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</x:si>
  <x:si>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</x:si>
  <x:si>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</x:si>
  <x:si>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</x:si>
  <x:si>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</x:si>
  <x:si>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</x:si>
  <x:si>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</x:si>
  <x:si>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</x:si>
  <x:si>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</x:si>
  <x:si>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</x:si>
  <x:si>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</x:si>
  <x:si>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</x:si>
  <x:si>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</x:si>
  <x:si>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</x:si>
  <x:si>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</x:si>
  <x:si>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</x:si>
  <x:si>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</x:si>
  <x:si>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</x:si>
  <x:si>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</x:si>
  <x:si>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</x:si>
  <x:si>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</x:si>
  <x:si>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</x:si>
  <x:si>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</x:si>
  <x:si>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</x:si>
  <x:si>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</x:si>
  <x:si>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Last updated</x:t>
  </x:si>
  <x:si>
    <x:t xml:space="preserve">2026-08-23</x:t>
  </x:si>
  <x:si>
    <x:t xml:space="preserve">Planned hours</x:t>
  </x:si>
  <x:si>
    <x:t xml:space="preserve">76</x:t>
  </x:si>
  <x:si>
    <x:t xml:space="preserve">Repository state</x:t>
  </x:si>
  <x:si>
    <x:t xml:space="preserve">Tests</x:t>
  </x:si>
  <x:si>
    <x:t xml:space="preserve">Seed cases</x:t>
  </x:si>
  <x:si>
    <x:t xml:space="preserve">MECH-001 to MECH-003</x:t>
  </x:si>
  <x:si>
    <x:t xml:space="preserve">PRs merged</x:t>
  </x:si>
  <x:si>
    <x:t xml:space="preserve">Current capability</x:t>
  </x:si>
  <x:si>
    <x:t xml:space="preserve">Not implemented</x:t>
  </x:si>
  <x:si>
    <x:t xml:space="preserve">Next WBS</x:t>
  </x:si>
  <x:si>
    <x:t xml:space="preserve">Immediate next action</x:t>
  </x:si>
  <x:si>
    <x:t xml:space="preserve">Do not do next</x:t>
  </x:si>
  <x:si>
    <x:t xml:space="preserve">More isolated validator tests, API/database, PDF/CAD parsing, redlining, standards/GD&amp;T, multimodal, OpenClaw/agents, observability, deployment, or RL.</x:t>
  </x:si>
  <x:si>
    <x:t xml:space="preserve">MVP interface</x:t>
  </x:si>
  <x:si>
    <x:t xml:space="preserve">CLI</x:t>
  </x:si>
  <x:si>
    <x:t xml:space="preserve">Candidate type</x:t>
  </x:si>
  <x:si>
    <x:t xml:space="preserve">JSON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</x:si>
  <x:si>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</x:si>
  <x:si>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</x:si>
  <x:si>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</x:si>
  <x:si>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</x:si>
  <x:si>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</x:si>
  <x:si>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</x:si>
  <x:si>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</x:si>
  <x:si>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</x:si>
  <x:si>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</x:si>
  <x:si>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</x:si>
  <x:si>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</x:si>
  <x:si>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</x:si>
  <x:si>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</x:si>
  <x:si>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</x:si>
  <x:si>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</x:si>
  <x:si>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</x:si>
  <x:si>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</x:si>
  <x:si>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</x:si>
  <x:si>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</x:si>
  <x:si>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</x:si>
  <x:si>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</x:si>
  <x:si>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</x:si>
  <x:si>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</x:si>
  <x:si>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</x:si>
  <x:si>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</x:si>
  <x:si>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</x:si>
  <x:si>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</x:si>
  <x:si>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</x:si>
  <x:si>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</x:si>
  <x:si>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</x:si>
  <x:si>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</x:si>
  <x:si>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</x:si>
  <x:si>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</x:si>
  <x:si>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</x:si>
  <x:si>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</x:si>
  <x:si>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</x:si>
  <x:si>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</x:si>
  <x:si>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</x:si>
  <x:si>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</x:si>
  <x:si>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</x:si>
  <x:si>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</x:si>
  <x:si>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</x:si>
  <x:si>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</x:si>
  <x:si>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</x:si>
  <x:si>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</x:si>
  <x:si>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</x:si>
  <x:si>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PR #1–#5 merged; 25 tests pass; seed cases validate; targeted inspect and key validator defects covered.</x:t>
  </x:si>
  <x:si>
    <x:t xml:space="preserve">Gap</x:t>
  </x:si>
  <x:si>
    <x:t xml:space="preserve">No candidate evaluation engine exists.</x:t>
  </x:si>
  <x:si>
    <x:t xml:space="preserve">Response</x:t>
  </x:si>
  <x:si>
    <x:t xml:space="preserve">Build WBS 1.1–1.5 next.</x:t>
  </x:si>
  <x:si>
    <x:t xml:space="preserve">Architecture and controlling Gantt workbook committed in c71676d.</x:t>
  </x:si>
  <x:si>
    <x:t xml:space="preserve">No open commit gap.</x:t>
  </x:si>
  <x:si>
    <x:t xml:space="preserve">Begin WBS 1.1 in the next work block.</x:t>
  </x:si>
  <x:si>
    <x:t xml:space="preserve">Known logged time is 7.55 hours through WB-006.</x:t>
  </x:si>
  <x:si>
    <x:t xml:space="preserve">No known time-entry gap.</x:t>
  </x:si>
  <x:si>
    <x:t xml:space="preserve">Record future actuals only when explicitly known.</x:t>
  </x:si>
  <x:si>
    <x:t xml:space="preserve">Strategic platform direction is recorded in Product Vision, Decision Register, AI Context, and Expansion Backlog.</x:t>
  </x:si>
  <x:si>
    <x:t xml:space="preserve">Post-MVP expansion sequence is intentionally unselected.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</x:si>
  <x:si>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</x:si>
  <x:si>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</x:si>
  <x:si>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</x:si>
  <x:si>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</x:si>
  <x:si>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</x:si>
  <x:si>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</x:si>
  <x:si>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</x:si>
  <x:si>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</x:si>
  <x:si>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</x:si>
  <x:si>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</x:si>
  <x:si>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</x:si>
  <x:si>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</x:si>
  <x:si>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</x:si>
  <x:si>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</x:si>
  <x:si>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</x:si>
  <x:si>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</x:si>
  <x:si>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</x:si>
  <x:si>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</x:si>
  <x:si>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WBS 1.1 and 2.2 preserve small extension points; all drawing, standards, CAD, and agent implementation remains deferred.</x:t>
  </x:si>
  <x:si>
    <x:t xml:space="preserve">MVP Dashboard — Status as of 2026-07-04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</x:si>
  <x:si>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</x:si>
  <x:si>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</x:si>
  <x:si>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</x:si>
  <x:si>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</x:si>
  <x:si>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</x:si>
  <x:si>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Validated case-definition layer; no candidate evaluation engine yet.</x:t>
  </x:si>
  <x:si>
    <x:t xml:space="preserve">Weighted Progress</x:t>
  </x:si>
  <x:si>
    <x:t xml:space="preserve">Next work block: create feature/candidate-artifact-contract and define/load a MECH-002 candidate JSON artifact.</x:t>
  </x:si>
  <x:si>
    <x:t xml:space="preserve">Tests Passing</x:t>
  </x:si>
  <x:si>
    <x:t xml:space="preserve">Primary risk</x:t>
  </x:si>
  <x:si>
    <x:t xml:space="preserve">Planning or test activity displaces implementation.</x:t>
  </x:si>
  <x:si>
    <x:t xml:space="preserve">Seed Cases</x:t>
  </x:si>
  <x:si>
    <x:t xml:space="preserve">OpenClaw, multimodal, API/database, observability, deployment, governance pack, and RL.</x:t>
  </x:si>
  <x:si>
    <x:t xml:space="preserve">Merged PRs</x:t>
  </x:si>
  <x:si>
    <x:t xml:space="preserve">Data boundary</x:t>
  </x:si>
  <x:si>
    <x:t xml:space="preserve">Public, synthetic, self-authored, or authorized data only.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</x:si>
  <x:si>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</x:si>
  <x:si>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</x:si>
  <x:si>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</x:si>
  <x:si>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</x:si>
  <x:si>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</x:si>
  <x:si>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</x:si>
  <x:si>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docs/architecture.md and gantt.xlsx committed; Gate 0 evidence accepted.</x:t>
  </x:si>
  <x:si>
    <x:t xml:space="preserve">docs/control update</x:t>
  </x:si>
  <x:si>
    <x:t xml:space="preserve">Commit + evidence register</x:t>
  </x:si>
  <x:si>
    <x:t xml:space="preserve">Candidate artifact contract and loader</x:t>
  </x:si>
  <x:si>
    <x:t xml:space="preserve">MECH-002 candidate JSON loads; missing/malformed candidates fail clearly.</x:t>
  </x:si>
  <x:si>
    <x:t xml:space="preserve">feature/candidate-artifact-contract</x:t>
  </x:si>
  <x:si>
    <x:t xml:space="preserve">Tests + manual load</x:t>
  </x:si>
  <x:si>
    <x:t xml:space="preserve">Mandatory gate engine</x:t>
  </x:si>
  <x:si>
    <x:t xml:space="preserve">Required gates execute before checks and return structured evidence.</x:t>
  </x:si>
  <x:si>
    <x:t xml:space="preserve">feature/gate-engine</x:t>
  </x:si>
  <x:si>
    <x:t xml:space="preserve">Engine tests + example artifacts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</x:si>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</x:sst>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3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</x:fonts>
  <x:fills count="35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452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9f6ee4e0d44625" /><Relationship Type="http://schemas.openxmlformats.org/officeDocument/2006/relationships/theme" Target="/xl/theme/theme1.xml" Id="R8dda022860034557" /><Relationship Type="http://schemas.openxmlformats.org/officeDocument/2006/relationships/sharedStrings" Target="/xl/sharedStrings.xml" Id="Rba6b20f601c34fcd" /><Relationship Type="http://schemas.openxmlformats.org/officeDocument/2006/relationships/worksheet" Target="/xl/worksheets/sheet1.xml" Id="R33c025f632774f5f" /><Relationship Type="http://schemas.openxmlformats.org/officeDocument/2006/relationships/worksheet" Target="/xl/worksheets/sheet2.xml" Id="R4c45830cd2f24db4" /><Relationship Type="http://schemas.openxmlformats.org/officeDocument/2006/relationships/worksheet" Target="/xl/worksheets/sheet3.xml" Id="R72832efa6ac24825" /><Relationship Type="http://schemas.openxmlformats.org/officeDocument/2006/relationships/worksheet" Target="/xl/worksheets/sheet4.xml" Id="R561190fddbff4dac" /><Relationship Type="http://schemas.openxmlformats.org/officeDocument/2006/relationships/worksheet" Target="/xl/worksheets/sheet5.xml" Id="R6c9c35303a7d45b9" /><Relationship Type="http://schemas.openxmlformats.org/officeDocument/2006/relationships/worksheet" Target="/xl/worksheets/sheet6.xml" Id="R1f959efecb534260" /><Relationship Type="http://schemas.openxmlformats.org/officeDocument/2006/relationships/worksheet" Target="/xl/worksheets/sheet7.xml" Id="R551b72c46f4d475a" /><Relationship Type="http://schemas.openxmlformats.org/officeDocument/2006/relationships/worksheet" Target="/xl/worksheets/sheet8.xml" Id="Rbc694a3e03cf4bbf" /><Relationship Type="http://schemas.openxmlformats.org/officeDocument/2006/relationships/worksheet" Target="/xl/worksheets/sheet9.xml" Id="Rc99593338b2c429e" /><Relationship Type="http://schemas.openxmlformats.org/officeDocument/2006/relationships/worksheet" Target="/xl/worksheets/sheet10.xml" Id="R34050df220ae4472" /><Relationship Type="http://schemas.openxmlformats.org/officeDocument/2006/relationships/worksheet" Target="/xl/worksheets/sheet11.xml" Id="R2079a71a75674eb5" /><Relationship Type="http://schemas.openxmlformats.org/officeDocument/2006/relationships/worksheet" Target="/xl/worksheets/sheet12.xml" Id="Re518c6271c5b432f" /><Relationship Type="http://schemas.openxmlformats.org/officeDocument/2006/relationships/worksheet" Target="/xl/worksheets/sheet13.xml" Id="R3b7ca7f66ce848ac" /><Relationship Type="http://schemas.openxmlformats.org/officeDocument/2006/relationships/worksheet" Target="/xl/worksheets/sheet14.xml" Id="R789cdacd3cde47ce" /><Relationship Type="http://schemas.openxmlformats.org/officeDocument/2006/relationships/worksheet" Target="/xl/worksheets/sheet15.xml" Id="R67d4209da3014863" /><Relationship Type="http://schemas.openxmlformats.org/officeDocument/2006/relationships/worksheet" Target="/xl/worksheets/sheet16.xml" Id="R739aa21543c74b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17649dce18488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646f292ed0da425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7f6bdff5126e465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17649dce18488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6f292ed0da425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6bdff5126e465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bead1678526f464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76c07f3cc8d94ae2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896b75d0d969450f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f>SUM('Work Block Log'!F5:F200)</x:f>
        <x:v>8.13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f>SUMPRODUCT('Detailed Gantt'!F6:F27,'Detailed Gantt'!L6:L27)/SUM('Detailed Gantt'!F6:F27)</x:f>
        <x:v>0.1855263157894737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">
        <x:v>28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29</x:v>
      </x:c>
      <x:c r="B12" s="163" t="s">
        <x:v>30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31</x:v>
      </x:c>
      <x:c r="B13" s="163" t="s">
        <x:v>32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33</x:v>
      </x:c>
      <x:c r="B15" s="214"/>
      <x:c r="C15" s="154"/>
      <x:c r="D15" s="214" t="s">
        <x:v>34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35</x:v>
      </x:c>
      <x:c r="C16" s="72"/>
      <x:c r="D16" s="165" t="s">
        <x:v>36</x:v>
      </x:c>
      <x:c r="E16" s="72" t="s">
        <x:v>37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38</x:v>
      </x:c>
      <x:c r="C17" s="72"/>
      <x:c r="D17" s="165" t="s">
        <x:v>39</x:v>
      </x:c>
      <x:c r="E17" s="72" t="s">
        <x:v>40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41</x:v>
      </x:c>
      <x:c r="C18" s="74"/>
      <x:c r="D18" s="165" t="s">
        <x:v>42</x:v>
      </x:c>
      <x:c r="E18" s="72" t="s">
        <x:v>43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44</x:v>
      </x:c>
      <x:c r="C19" s="1"/>
      <x:c r="D19" s="153" t="s">
        <x:v>45</x:v>
      </x:c>
      <x:c r="E19" s="141" t="s">
        <x:v>46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47</x:v>
      </x:c>
      <x:c r="C20" s="1"/>
      <x:c r="D20" s="153" t="s">
        <x:v>48</x:v>
      </x:c>
      <x:c r="E20" s="141" t="s">
        <x:v>49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50</x:v>
      </x:c>
      <x:c r="C21" s="1"/>
      <x:c r="D21" s="153" t="s">
        <x:v>51</x:v>
      </x:c>
      <x:c r="E21" s="141" t="s">
        <x:v>52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53</x:v>
      </x:c>
      <x:c r="C22" s="1"/>
      <x:c r="D22" s="153" t="s">
        <x:v>54</x:v>
      </x:c>
      <x:c r="E22" s="141" t="s">
        <x:v>55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56</x:v>
      </x:c>
      <x:c r="B23" s="141" t="s">
        <x:v>57</x:v>
      </x:c>
      <x:c r="C23" s="1"/>
      <x:c r="D23" s="153" t="s">
        <x:v>58</x:v>
      </x:c>
      <x:c r="E23" s="141" t="s">
        <x:v>59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60</x:v>
      </x:c>
      <x:c r="E24" s="141" t="s">
        <x:v>61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62</x:v>
      </x:c>
      <x:c r="E25" s="141" t="s">
        <x:v>63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64</x:v>
      </x:c>
      <x:c r="E26" s="191" t="s">
        <x:v>65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66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217" t="s">
        <x:v>67</x:v>
      </x:c>
      <x:c r="B28" s="217"/>
      <x:c r="C28" s="217"/>
      <x:c r="D28" s="217"/>
      <x:c r="E28" s="217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68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69</x:v>
      </x:c>
      <x:c r="B3" s="88" t="s">
        <x:v>70</x:v>
      </x:c>
      <x:c r="C3" s="88" t="s">
        <x:v>71</x:v>
      </x:c>
      <x:c r="D3" s="117" t="s">
        <x:v>72</x:v>
      </x:c>
      <x:c r="E3" s="118" t="s">
        <x:v>73</x:v>
      </x:c>
      <x:c r="F3" s="118" t="s">
        <x:v>74</x:v>
      </x:c>
      <x:c r="G3" s="88" t="s">
        <x:v>75</x:v>
      </x:c>
      <x:c r="H3" s="88" t="s">
        <x:v>76</x:v>
      </x:c>
      <x:c r="I3" s="88" t="s">
        <x:v>77</x:v>
      </x:c>
      <x:c r="J3" s="88" t="s">
        <x:v>78</x:v>
      </x:c>
      <x:c r="K3" s="88" t="s">
        <x:v>79</x:v>
      </x:c>
      <x:c r="L3" s="88" t="s">
        <x:v>80</x:v>
      </x:c>
      <x:c r="M3" s="88" t="s">
        <x:v>81</x:v>
      </x:c>
      <x:c r="N3" s="88" t="s">
        <x:v>82</x:v>
      </x:c>
      <x:c r="O3" s="88" t="s">
        <x:v>83</x:v>
      </x:c>
      <x:c r="P3" s="88" t="s">
        <x:v>84</x:v>
      </x:c>
      <x:c r="Q3" s="88" t="s">
        <x:v>85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86</x:v>
      </x:c>
      <x:c r="B4" s="98" t="s">
        <x:v>87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88</x:v>
      </x:c>
      <x:c r="I4" s="125" t="s">
        <x:v>89</x:v>
      </x:c>
      <x:c r="J4" s="125" t="s">
        <x:v>90</x:v>
      </x:c>
      <x:c r="K4" s="126" t="s">
        <x:v>90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91</x:v>
      </x:c>
      <x:c r="C5" s="120">
        <x:v>24</x:v>
      </x:c>
      <x:c r="D5" s="120" t="n">
        <x:f>SUMIF('Detailed Gantt'!$B$6:$B$27,B5,'Detailed Gantt'!$M$6:$M$27)</x:f>
        <x:v>0.58</x:v>
      </x:c>
      <x:c r="E5" s="122" t="n">
        <x:f>IF(C5=0,0,SUMPRODUCT(('Detailed Gantt'!$B$6:$B$27=B5)*'Detailed Gantt'!$F$6:$F$27*'Detailed Gantt'!$L$6:$L$27)/C5)</x:f>
        <x:v>0.16666666666666666</x:v>
      </x:c>
      <x:c r="F5" s="124">
        <x:v>46209</x:v>
      </x:c>
      <x:c r="G5" s="124">
        <x:v>46229</x:v>
      </x:c>
      <x:c r="H5" s="3" t="s">
        <x:v>92</x:v>
      </x:c>
      <x:c r="I5" s="126" t="s">
        <x:v>93</x:v>
      </x:c>
      <x:c r="J5" s="127"/>
      <x:c r="K5" s="127" t="s">
        <x:v>90</x:v>
      </x:c>
      <x:c r="L5" s="127" t="s">
        <x:v>90</x:v>
      </x:c>
      <x:c r="M5" s="126" t="s">
        <x:v>90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94</x:v>
      </x:c>
      <x:c r="C6" s="120">
        <x:v>14</x:v>
      </x:c>
      <x:c r="D6" s="120" t="n">
        <x:f>SUMIF('Detailed Gantt'!$B$6:$B$27,B6,'Detailed Gantt'!$M$6:$M$27)</x:f>
        <x:v>0</x:v>
      </x:c>
      <x:c r="E6" s="122" t="n">
        <x:f>IF(C6=0,0,SUMPRODUCT(('Detailed Gantt'!$B$6:$B$27=B6)*'Detailed Gantt'!$F$6:$F$27*'Detailed Gantt'!$L$6:$L$27)/C6)</x:f>
        <x:v>0</x:v>
      </x:c>
      <x:c r="F6" s="124">
        <x:v>46230</x:v>
      </x:c>
      <x:c r="G6" s="124">
        <x:v>46236</x:v>
      </x:c>
      <x:c r="H6" s="3" t="s">
        <x:v>95</x:v>
      </x:c>
      <x:c r="I6" s="126" t="s">
        <x:v>96</x:v>
      </x:c>
      <x:c r="J6" s="126"/>
      <x:c r="K6" s="126"/>
      <x:c r="L6" s="128"/>
      <x:c r="M6" s="128"/>
      <x:c r="N6" s="128" t="s">
        <x:v>90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97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98</x:v>
      </x:c>
      <x:c r="I7" s="126" t="s">
        <x:v>99</x:v>
      </x:c>
      <x:c r="J7" s="126"/>
      <x:c r="K7" s="126" t="s">
        <x:v>90</x:v>
      </x:c>
      <x:c r="L7" s="126" t="s">
        <x:v>90</x:v>
      </x:c>
      <x:c r="M7" s="126" t="s">
        <x:v>90</x:v>
      </x:c>
      <x:c r="N7" s="130" t="s">
        <x:v>90</x:v>
      </x:c>
      <x:c r="O7" s="130" t="s">
        <x:v>90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100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101</x:v>
      </x:c>
      <x:c r="I8" s="126" t="s">
        <x:v>102</x:v>
      </x:c>
      <x:c r="J8" s="126"/>
      <x:c r="K8" s="126"/>
      <x:c r="L8" s="126"/>
      <x:c r="M8" s="126" t="s">
        <x:v>90</x:v>
      </x:c>
      <x:c r="N8" s="126" t="s">
        <x:v>90</x:v>
      </x:c>
      <x:c r="O8" s="126" t="s">
        <x:v>90</x:v>
      </x:c>
      <x:c r="P8" s="132" t="s">
        <x:v>90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103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104</x:v>
      </x:c>
      <x:c r="I9" s="126" t="s">
        <x:v>105</x:v>
      </x:c>
      <x:c r="J9" s="126"/>
      <x:c r="K9" s="126"/>
      <x:c r="L9" s="126"/>
      <x:c r="M9" s="126"/>
      <x:c r="N9" s="126"/>
      <x:c r="O9" s="126"/>
      <x:c r="P9" s="126" t="s">
        <x:v>90</x:v>
      </x:c>
      <x:c r="Q9" s="126" t="s">
        <x:v>90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106</x:v>
      </x:c>
      <x:c r="B10" s="89"/>
      <x:c r="C10" s="121" t="n">
        <x:f>SUM(C4:C9)</x:f>
        <x:v>76</x:v>
      </x:c>
      <x:c r="D10" s="121" t="n">
        <x:f>SUM(D4:D9)</x:f>
        <x:v>8.13</x:v>
      </x:c>
      <x:c r="E10" s="123" t="n">
        <x:f>SUMPRODUCT(C4:C9,E4:E9)/C10</x:f>
        <x:v>0.18552631578947368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107</x:v>
      </x:c>
      <x:c r="B1" s="87">
        <x:v>46202</x:v>
      </x:c>
      <x:c r="C1" s="87"/>
      <x:c r="D1" s="86" t="s">
        <x:v>108</x:v>
      </x:c>
      <x:c r="E1" s="86">
        <x:v>76</x:v>
      </x:c>
      <x:c r="F1" s="86"/>
      <x:c r="G1" s="86" t="s">
        <x:v>109</x:v>
      </x:c>
      <x:c r="H1" s="87">
        <x:v>46257</x:v>
      </x:c>
      <x:c r="I1" s="86"/>
      <x:c r="J1" s="86" t="s">
        <x:v>110</x:v>
      </x:c>
      <x:c r="K1" s="86" t="s">
        <x:v>111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112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88" t="s">
        <x:v>113</x:v>
      </x:c>
      <x:c r="B5" s="88" t="s">
        <x:v>70</x:v>
      </x:c>
      <x:c r="C5" s="88" t="s">
        <x:v>114</x:v>
      </x:c>
      <x:c r="D5" s="88" t="s">
        <x:v>115</x:v>
      </x:c>
      <x:c r="E5" s="88" t="s">
        <x:v>116</x:v>
      </x:c>
      <x:c r="F5" s="88" t="s">
        <x:v>71</x:v>
      </x:c>
      <x:c r="G5" s="88" t="s">
        <x:v>117</x:v>
      </x:c>
      <x:c r="H5" s="88" t="s">
        <x:v>118</x:v>
      </x:c>
      <x:c r="I5" s="88" t="s">
        <x:v>119</x:v>
      </x:c>
      <x:c r="J5" s="88" t="s">
        <x:v>120</x:v>
      </x:c>
      <x:c r="K5" s="88" t="s">
        <x:v>121</x:v>
      </x:c>
      <x:c r="L5" s="88" t="s">
        <x:v>73</x:v>
      </x:c>
      <x:c r="M5" s="88" t="s">
        <x:v>72</x:v>
      </x:c>
      <x:c r="N5" s="88" t="s">
        <x:v>122</x:v>
      </x:c>
      <x:c r="O5" s="88" t="s">
        <x:v>123</x:v>
      </x:c>
      <x:c r="P5" s="88" t="s">
        <x:v>124</x:v>
      </x:c>
      <x:c r="Q5" s="88" t="s">
        <x:v>125</x:v>
      </x:c>
      <x:c r="R5" s="88" t="s">
        <x:v>126</x:v>
      </x:c>
      <x:c r="S5" s="172" t="s">
        <x:v>78</x:v>
      </x:c>
      <x:c r="T5" s="172" t="s">
        <x:v>79</x:v>
      </x:c>
      <x:c r="U5" s="172" t="s">
        <x:v>80</x:v>
      </x:c>
      <x:c r="V5" s="172" t="s">
        <x:v>81</x:v>
      </x:c>
      <x:c r="W5" s="172" t="s">
        <x:v>82</x:v>
      </x:c>
      <x:c r="X5" s="172" t="s">
        <x:v>83</x:v>
      </x:c>
      <x:c r="Y5" s="172" t="s">
        <x:v>84</x:v>
      </x:c>
      <x:c r="Z5" s="172" t="s">
        <x:v>85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103" t="s">
        <x:v>127</x:v>
      </x:c>
      <x:c r="B6" s="104" t="s">
        <x:v>87</x:v>
      </x:c>
      <x:c r="C6" s="103" t="s">
        <x:v>128</x:v>
      </x:c>
      <x:c r="D6" s="103" t="s">
        <x:v>129</x:v>
      </x:c>
      <x:c r="E6" s="103" t="s">
        <x:v>130</x:v>
      </x:c>
      <x:c r="F6" s="105">
        <x:v>2</x:v>
      </x:c>
      <x:c r="G6" s="106">
        <x:v>1</x:v>
      </x:c>
      <x:c r="H6" s="106">
        <x:v>1</x:v>
      </x:c>
      <x:c r="I6" s="107" t="n">
        <x:f t="shared" ref="I6:I37" si="0">$B$1+(G6-1)*7</x:f>
        <x:v>46202</x:v>
      </x:c>
      <x:c r="J6" s="107" t="n">
        <x:f t="shared" ref="J6:J37" si="1">$B$1+H6*7-1</x:f>
        <x:v>46208</x:v>
      </x:c>
      <x:c r="K6" s="107" t="n">
        <x:f t="shared" ref="K6:K37" si="2">$C$1+H6*7-1</x:f>
        <x:v>6</x:v>
      </x:c>
      <x:c r="L6" s="108">
        <x:v>1</x:v>
      </x:c>
      <x:c r="M6" s="109" t="n">
        <x:f>SUMIF('Work Block Log'!$E$5:$E$200,A6,'Work Block Log'!$F$5:$F$200)</x:f>
        <x:v>2.5</x:v>
      </x:c>
      <x:c r="N6" s="109" t="n">
        <x:f t="shared" ref="N6:N27" si="3">MAX(F6*(1-L6),0)</x:f>
        <x:v>0</x:v>
      </x:c>
      <x:c r="O6" s="109" t="n">
        <x:f t="shared" ref="O6:O37" si="4">M6-F6</x:f>
        <x:v>0.5</x:v>
      </x:c>
      <x:c r="P6" s="106" t="n">
        <x:f t="shared" ref="P6:P37" si="5">MAX(F6*(1-M6),0)</x:f>
        <x:v>0</x:v>
      </x:c>
      <x:c r="Q6" s="103" t="s">
        <x:v>131</x:v>
      </x:c>
      <x:c r="R6" s="110" t="s">
        <x:v>132</x:v>
      </x:c>
      <x:c r="S6" s="173" t="s">
        <x:v>90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3" t="s">
        <x:v>133</x:v>
      </x:c>
      <x:c r="B7" s="102" t="s">
        <x:v>87</x:v>
      </x:c>
      <x:c r="C7" s="3" t="s">
        <x:v>134</x:v>
      </x:c>
      <x:c r="D7" s="3" t="s">
        <x:v>135</x:v>
      </x:c>
      <x:c r="E7" s="3" t="s">
        <x:v>127</x:v>
      </x:c>
      <x:c r="F7" s="94">
        <x:v>2</x:v>
      </x:c>
      <x:c r="G7" s="97">
        <x:v>1</x:v>
      </x:c>
      <x:c r="H7" s="97">
        <x:v>2</x:v>
      </x:c>
      <x:c r="I7" s="93">
        <x:f t="shared" si="0"/>
        <x:v>46202</x:v>
      </x:c>
      <x:c r="J7" s="93">
        <x:f t="shared" si="1"/>
        <x:v>46215</x:v>
      </x:c>
      <x:c r="K7" s="93">
        <x:f t="shared" si="2"/>
        <x:v>13</x:v>
      </x:c>
      <x:c r="L7" s="66">
        <x:v>1</x:v>
      </x:c>
      <x:c r="M7" s="67" t="n">
        <x:f>SUMIF('Work Block Log'!$E$5:$E$200,A7,'Work Block Log'!$F$5:$F$200)</x:f>
        <x:v>2.9</x:v>
      </x:c>
      <x:c r="N7" s="67">
        <x:f t="shared" si="3"/>
        <x:v>0</x:v>
      </x:c>
      <x:c r="O7" s="67">
        <x:f t="shared" si="4"/>
        <x:v>0.89999999999999991</x:v>
      </x:c>
      <x:c r="P7" s="97">
        <x:f t="shared" si="5"/>
        <x:v>0</x:v>
      </x:c>
      <x:c r="Q7" s="3" t="s">
        <x:v>136</x:v>
      </x:c>
      <x:c r="R7" s="101" t="s">
        <x:v>137</x:v>
      </x:c>
      <x:c r="S7" s="173" t="s">
        <x:v>90</x:v>
      </x:c>
      <x:c r="T7" s="173" t="s">
        <x:v>90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103" t="s">
        <x:v>138</x:v>
      </x:c>
      <x:c r="B8" s="104" t="s">
        <x:v>87</x:v>
      </x:c>
      <x:c r="C8" s="103" t="s">
        <x:v>139</x:v>
      </x:c>
      <x:c r="D8" s="103" t="s">
        <x:v>140</x:v>
      </x:c>
      <x:c r="E8" s="103" t="s">
        <x:v>127</x:v>
      </x:c>
      <x:c r="F8" s="105">
        <x:v>4</x:v>
      </x:c>
      <x:c r="G8" s="106">
        <x:v>1</x:v>
      </x:c>
      <x:c r="H8" s="106">
        <x:v>1</x:v>
      </x:c>
      <x:c r="I8" s="107">
        <x:f t="shared" si="0"/>
        <x:v>46202</x:v>
      </x:c>
      <x:c r="J8" s="107">
        <x:f t="shared" si="1"/>
        <x:v>46208</x:v>
      </x:c>
      <x:c r="K8" s="107">
        <x:f t="shared" si="2"/>
        <x:v>6</x:v>
      </x:c>
      <x:c r="L8" s="108">
        <x:v>1</x:v>
      </x:c>
      <x:c r="M8" s="109" t="n">
        <x:f>SUMIF('Work Block Log'!$E$5:$E$200,A8,'Work Block Log'!$F$5:$F$200)</x:f>
        <x:v>2.15</x:v>
      </x:c>
      <x:c r="N8" s="109">
        <x:f t="shared" si="3"/>
        <x:v>0</x:v>
      </x:c>
      <x:c r="O8" s="109">
        <x:f t="shared" si="4"/>
        <x:v>-1.85</x:v>
      </x:c>
      <x:c r="P8" s="106">
        <x:f t="shared" si="5"/>
        <x:v>0</x:v>
      </x:c>
      <x:c r="Q8" s="103" t="s">
        <x:v>141</x:v>
      </x:c>
      <x:c r="R8" s="110" t="s">
        <x:v>142</x:v>
      </x:c>
      <x:c r="S8" s="174" t="s">
        <x:v>90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78" customHeight="1">
      <x:c r="A9" s="3" t="s">
        <x:v>143</x:v>
      </x:c>
      <x:c r="B9" s="111" t="s">
        <x:v>91</x:v>
      </x:c>
      <x:c r="C9" s="3" t="s">
        <x:v>144</x:v>
      </x:c>
      <x:c r="D9" s="3" t="s">
        <x:v>145</x:v>
      </x:c>
      <x:c r="E9" s="3" t="s">
        <x:v>138</x:v>
      </x:c>
      <x:c r="F9" s="94">
        <x:v>4</x:v>
      </x:c>
      <x:c r="G9" s="97">
        <x:v>2</x:v>
      </x:c>
      <x:c r="H9" s="97">
        <x:v>2</x:v>
      </x:c>
      <x:c r="I9" s="93">
        <x:f t="shared" si="0"/>
        <x:v>46209</x:v>
      </x:c>
      <x:c r="J9" s="93">
        <x:f t="shared" si="1"/>
        <x:v>46215</x:v>
      </x:c>
      <x:c r="K9" s="434" t="str">
        <x:f t="shared" si="2"/>
        <x:v>Complete</x:v>
      </x:c>
      <x:c r="L9" s="435" t="n">
        <x:v>1</x:v>
      </x:c>
      <x:c r="M9" s="436" t="n">
        <x:f>SUMIF('Work Block Log'!$E$5:$E$200,A9,'Work Block Log'!$F$5:$F$200)</x:f>
        <x:v>0.58</x:v>
      </x:c>
      <x:c r="N9" s="436" t="n">
        <x:f t="shared" si="3">MAX(F9*(1-L9),0)</x:f>
        <x:v>0</x:v>
      </x:c>
      <x:c r="O9" s="436" t="n">
        <x:f t="shared" si="4">M9-F9</x:f>
        <x:v>-3.42</x:v>
      </x:c>
      <x:c r="P9" s="437" t="str">
        <x:f t="shared" si="5"/>
        <x:v>feature/candidate-artifact-contract @ 2b0b6e7; candidate schema, example, loader, docs, and 31 passing tests.</x:v>
      </x:c>
      <x:c r="Q9" s="438" t="str">
        <x:v>Push/open/merge the capability PR, sync main, then begin WBS 1.2 mandatory gate engine.</x:v>
      </x:c>
      <x:c r="R9" s="437" t="str">
        <x:v>Completed 2026-07-05 in 0.58 h. The generic envelope remains independent of producer/runtime; MECH-002 engineering fields remain in payload. PR pending at block close.</x:v>
      </x:c>
      <x:c r="S9" s="174"/>
      <x:c r="T9" s="173" t="s">
        <x:v>90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42" customHeight="1">
      <x:c r="A10" s="103" t="s">
        <x:v>146</x:v>
      </x:c>
      <x:c r="B10" s="104" t="s">
        <x:v>91</x:v>
      </x:c>
      <x:c r="C10" s="103" t="s">
        <x:v>147</x:v>
      </x:c>
      <x:c r="D10" s="103" t="s">
        <x:v>148</x:v>
      </x:c>
      <x:c r="E10" s="103" t="s">
        <x:v>143</x:v>
      </x:c>
      <x:c r="F10" s="105">
        <x:v>5</x:v>
      </x:c>
      <x:c r="G10" s="106">
        <x:v>2</x:v>
      </x:c>
      <x:c r="H10" s="106">
        <x:v>3</x:v>
      </x:c>
      <x:c r="I10" s="107">
        <x:f t="shared" si="0"/>
        <x:v>46209</x:v>
      </x:c>
      <x:c r="J10" s="107">
        <x:f t="shared" si="1"/>
        <x:v>46222</x:v>
      </x:c>
      <x:c r="K10" s="439" t="str">
        <x:f t="shared" si="2"/>
        <x:v>Not Started</x:v>
      </x:c>
      <x:c r="L10" s="440">
        <x:v>0</x:v>
      </x:c>
      <x:c r="M10" s="441" t="n">
        <x:f>SUMIF('Work Block Log'!$E$5:$E$200,A10,'Work Block Log'!$F$5:$F$200)</x:f>
        <x:v>0</x:v>
      </x:c>
      <x:c r="N10" s="441">
        <x:f t="shared" si="3"/>
        <x:v>5</x:v>
      </x:c>
      <x:c r="O10" s="441">
        <x:f t="shared" si="4"/>
        <x:v>-5</x:v>
      </x:c>
      <x:c r="P10" s="442" t="str">
        <x:f t="shared" si="5"/>
        <x:v>No branch yet.</x:v>
      </x:c>
      <x:c r="Q10" s="443" t="str">
        <x:v>After WBS 1.1 merges, define gate result data and implement output_exists, valid_json, required_fields, and type gates for MECH-002.</x:v>
      </x:c>
      <x:c r="R10" s="444" t="str">
        <x:v>Gate failure must stop scoring and force score 0 with explicit evidence.</x:v>
      </x:c>
      <x:c r="S10" s="174"/>
      <x:c r="T10" s="174" t="s">
        <x:v>90</x:v>
      </x:c>
      <x:c r="U10" s="174" t="s">
        <x:v>90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42" customHeight="1">
      <x:c r="A11" s="3" t="s">
        <x:v>149</x:v>
      </x:c>
      <x:c r="B11" s="111" t="s">
        <x:v>91</x:v>
      </x:c>
      <x:c r="C11" s="3" t="s">
        <x:v>150</x:v>
      </x:c>
      <x:c r="D11" s="3" t="s">
        <x:v>151</x:v>
      </x:c>
      <x:c r="E11" s="3" t="s">
        <x:v>146</x:v>
      </x:c>
      <x:c r="F11" s="94">
        <x:v>5</x:v>
      </x:c>
      <x:c r="G11" s="97">
        <x:v>3</x:v>
      </x:c>
      <x:c r="H11" s="97">
        <x:v>3</x:v>
      </x:c>
      <x:c r="I11" s="93">
        <x:f t="shared" si="0"/>
        <x:v>46216</x:v>
      </x:c>
      <x:c r="J11" s="93">
        <x:f t="shared" si="1"/>
        <x:v>46222</x:v>
      </x:c>
      <x:c r="K11" s="93">
        <x:f t="shared" si="2"/>
        <x:v>20</x:v>
      </x:c>
      <x:c r="L11" s="66">
        <x:v>0</x:v>
      </x:c>
      <x:c r="M11" s="67" t="n">
        <x:f>SUMIF('Work Block Log'!$E$5:$E$200,A11,'Work Block Log'!$F$5:$F$200)</x:f>
        <x:v>0</x:v>
      </x:c>
      <x:c r="N11" s="67">
        <x:f t="shared" si="3"/>
        <x:v>5</x:v>
      </x:c>
      <x:c r="O11" s="67">
        <x:f t="shared" si="4"/>
        <x:v>-5</x:v>
      </x:c>
      <x:c r="P11" s="97">
        <x:f t="shared" si="5"/>
        <x:v>5</x:v>
      </x:c>
      <x:c r="Q11" s="3" t="s">
        <x:v>152</x:v>
      </x:c>
      <x:c r="R11" s="97" t="s">
        <x:v>153</x:v>
      </x:c>
      <x:c r="S11" s="173"/>
      <x:c r="T11" s="173"/>
      <x:c r="U11" s="174" t="s">
        <x:v>90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103" t="s">
        <x:v>154</x:v>
      </x:c>
      <x:c r="B12" s="104" t="s">
        <x:v>91</x:v>
      </x:c>
      <x:c r="C12" s="103" t="s">
        <x:v>155</x:v>
      </x:c>
      <x:c r="D12" s="103" t="s">
        <x:v>156</x:v>
      </x:c>
      <x:c r="E12" s="103" t="s">
        <x:v>146</x:v>
      </x:c>
      <x:c r="F12" s="105">
        <x:v>4</x:v>
      </x:c>
      <x:c r="G12" s="106">
        <x:v>3</x:v>
      </x:c>
      <x:c r="H12" s="106">
        <x:v>4</x:v>
      </x:c>
      <x:c r="I12" s="107">
        <x:f t="shared" si="0"/>
        <x:v>46216</x:v>
      </x:c>
      <x:c r="J12" s="107">
        <x:f t="shared" si="1"/>
        <x:v>46229</x:v>
      </x:c>
      <x:c r="K12" s="107">
        <x:f t="shared" si="2"/>
        <x:v>27</x:v>
      </x:c>
      <x:c r="L12" s="108">
        <x:v>0</x:v>
      </x:c>
      <x:c r="M12" s="109" t="n">
        <x:f>SUMIF('Work Block Log'!$E$5:$E$200,A12,'Work Block Log'!$F$5:$F$200)</x:f>
        <x:v>0</x:v>
      </x:c>
      <x:c r="N12" s="109">
        <x:f t="shared" si="3"/>
        <x:v>4</x:v>
      </x:c>
      <x:c r="O12" s="109">
        <x:f t="shared" si="4"/>
        <x:v>-4</x:v>
      </x:c>
      <x:c r="P12" s="106">
        <x:f t="shared" si="5"/>
        <x:v>4</x:v>
      </x:c>
      <x:c r="Q12" s="103" t="s">
        <x:v>157</x:v>
      </x:c>
      <x:c r="R12" s="106" t="s">
        <x:v>158</x:v>
      </x:c>
      <x:c r="S12" s="173"/>
      <x:c r="T12" s="173"/>
      <x:c r="U12" s="173" t="s">
        <x:v>90</x:v>
      </x:c>
      <x:c r="V12" s="173" t="s">
        <x:v>90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3" t="s">
        <x:v>159</x:v>
      </x:c>
      <x:c r="B13" s="111" t="s">
        <x:v>91</x:v>
      </x:c>
      <x:c r="C13" s="3" t="s">
        <x:v>160</x:v>
      </x:c>
      <x:c r="D13" s="3" t="s">
        <x:v>161</x:v>
      </x:c>
      <x:c r="E13" s="3" t="s">
        <x:v>162</x:v>
      </x:c>
      <x:c r="F13" s="94">
        <x:v>6</x:v>
      </x:c>
      <x:c r="G13" s="97">
        <x:v>4</x:v>
      </x:c>
      <x:c r="H13" s="97">
        <x:v>4</x:v>
      </x:c>
      <x:c r="I13" s="93">
        <x:f t="shared" si="0"/>
        <x:v>46223</x:v>
      </x:c>
      <x:c r="J13" s="93">
        <x:f t="shared" si="1"/>
        <x:v>46229</x:v>
      </x:c>
      <x:c r="K13" s="93">
        <x:f t="shared" si="2"/>
        <x:v>27</x:v>
      </x:c>
      <x:c r="L13" s="66">
        <x:v>0</x:v>
      </x:c>
      <x:c r="M13" s="67" t="n">
        <x:f>SUMIF('Work Block Log'!$E$5:$E$200,A13,'Work Block Log'!$F$5:$F$200)</x:f>
        <x:v>0</x:v>
      </x:c>
      <x:c r="N13" s="67">
        <x:f t="shared" si="3"/>
        <x:v>6</x:v>
      </x:c>
      <x:c r="O13" s="67">
        <x:f t="shared" si="4"/>
        <x:v>-6</x:v>
      </x:c>
      <x:c r="P13" s="97">
        <x:f t="shared" si="5"/>
        <x:v>6</x:v>
      </x:c>
      <x:c r="Q13" s="3" t="s">
        <x:v>163</x:v>
      </x:c>
      <x:c r="R13" s="97" t="s">
        <x:v>164</x:v>
      </x:c>
      <x:c r="S13" s="173"/>
      <x:c r="T13" s="174"/>
      <x:c r="U13" s="173"/>
      <x:c r="V13" s="173" t="s">
        <x:v>90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103" t="s">
        <x:v>165</x:v>
      </x:c>
      <x:c r="B14" s="104" t="s">
        <x:v>94</x:v>
      </x:c>
      <x:c r="C14" s="103" t="s">
        <x:v>166</x:v>
      </x:c>
      <x:c r="D14" s="103" t="s">
        <x:v>167</x:v>
      </x:c>
      <x:c r="E14" s="103" t="s">
        <x:v>159</x:v>
      </x:c>
      <x:c r="F14" s="105">
        <x:v>4</x:v>
      </x:c>
      <x:c r="G14" s="106">
        <x:v>5</x:v>
      </x:c>
      <x:c r="H14" s="106">
        <x:v>5</x:v>
      </x:c>
      <x:c r="I14" s="107">
        <x:f t="shared" si="0"/>
        <x:v>46230</x:v>
      </x:c>
      <x:c r="J14" s="107">
        <x:f t="shared" si="1"/>
        <x:v>46236</x:v>
      </x:c>
      <x:c r="K14" s="107">
        <x:f t="shared" si="2"/>
        <x:v>34</x:v>
      </x:c>
      <x:c r="L14" s="108">
        <x:v>0</x:v>
      </x:c>
      <x:c r="M14" s="109" t="n">
        <x:f>SUMIF('Work Block Log'!$E$5:$E$200,A14,'Work Block Log'!$F$5:$F$200)</x:f>
        <x:v>0</x:v>
      </x:c>
      <x:c r="N14" s="109">
        <x:f t="shared" si="3"/>
        <x:v>4</x:v>
      </x:c>
      <x:c r="O14" s="109">
        <x:f t="shared" si="4"/>
        <x:v>-4</x:v>
      </x:c>
      <x:c r="P14" s="106">
        <x:f t="shared" si="5"/>
        <x:v>4</x:v>
      </x:c>
      <x:c r="Q14" s="103" t="s">
        <x:v>168</x:v>
      </x:c>
      <x:c r="R14" s="106" t="s">
        <x:v>169</x:v>
      </x:c>
      <x:c r="S14" s="173"/>
      <x:c r="T14" s="174"/>
      <x:c r="U14" s="174"/>
      <x:c r="V14" s="173"/>
      <x:c r="W14" s="173" t="s">
        <x:v>90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3" t="s">
        <x:v>170</x:v>
      </x:c>
      <x:c r="B15" s="112" t="s">
        <x:v>94</x:v>
      </x:c>
      <x:c r="C15" s="3" t="s">
        <x:v>171</x:v>
      </x:c>
      <x:c r="D15" s="3" t="s">
        <x:v>172</x:v>
      </x:c>
      <x:c r="E15" s="3" t="s">
        <x:v>159</x:v>
      </x:c>
      <x:c r="F15" s="94">
        <x:v>4</x:v>
      </x:c>
      <x:c r="G15" s="97">
        <x:v>5</x:v>
      </x:c>
      <x:c r="H15" s="97">
        <x:v>5</x:v>
      </x:c>
      <x:c r="I15" s="93">
        <x:f t="shared" si="0"/>
        <x:v>46230</x:v>
      </x:c>
      <x:c r="J15" s="93">
        <x:f t="shared" si="1"/>
        <x:v>46236</x:v>
      </x:c>
      <x:c r="K15" s="93">
        <x:f t="shared" si="2"/>
        <x:v>34</x:v>
      </x:c>
      <x:c r="L15" s="66">
        <x:v>0</x:v>
      </x:c>
      <x:c r="M15" s="67" t="n">
        <x:f>SUMIF('Work Block Log'!$E$5:$E$200,A15,'Work Block Log'!$F$5:$F$200)</x:f>
        <x:v>0</x:v>
      </x:c>
      <x:c r="N15" s="67">
        <x:f t="shared" si="3"/>
        <x:v>4</x:v>
      </x:c>
      <x:c r="O15" s="67">
        <x:f t="shared" si="4"/>
        <x:v>-4</x:v>
      </x:c>
      <x:c r="P15" s="97">
        <x:f t="shared" si="5"/>
        <x:v>4</x:v>
      </x:c>
      <x:c r="Q15" s="3" t="s">
        <x:v>173</x:v>
      </x:c>
      <x:c r="R15" s="97" t="s">
        <x:v>174</x:v>
      </x:c>
      <x:c r="S15" s="173"/>
      <x:c r="T15" s="173"/>
      <x:c r="U15" s="174"/>
      <x:c r="V15" s="174"/>
      <x:c r="W15" s="173" t="s">
        <x:v>90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103" t="s">
        <x:v>175</x:v>
      </x:c>
      <x:c r="B16" s="104" t="s">
        <x:v>94</x:v>
      </x:c>
      <x:c r="C16" s="103" t="s">
        <x:v>176</x:v>
      </x:c>
      <x:c r="D16" s="103" t="s">
        <x:v>177</x:v>
      </x:c>
      <x:c r="E16" s="103" t="s">
        <x:v>170</x:v>
      </x:c>
      <x:c r="F16" s="105">
        <x:v>3</x:v>
      </x:c>
      <x:c r="G16" s="106">
        <x:v>5</x:v>
      </x:c>
      <x:c r="H16" s="106">
        <x:v>5</x:v>
      </x:c>
      <x:c r="I16" s="107">
        <x:f t="shared" si="0"/>
        <x:v>46230</x:v>
      </x:c>
      <x:c r="J16" s="107">
        <x:f t="shared" si="1"/>
        <x:v>46236</x:v>
      </x:c>
      <x:c r="K16" s="107">
        <x:f t="shared" si="2"/>
        <x:v>34</x:v>
      </x:c>
      <x:c r="L16" s="108">
        <x:v>0</x:v>
      </x:c>
      <x:c r="M16" s="109" t="n">
        <x:f>SUMIF('Work Block Log'!$E$5:$E$200,A16,'Work Block Log'!$F$5:$F$200)</x:f>
        <x:v>0</x:v>
      </x:c>
      <x:c r="N16" s="109">
        <x:f t="shared" si="3"/>
        <x:v>3</x:v>
      </x:c>
      <x:c r="O16" s="109">
        <x:f t="shared" si="4"/>
        <x:v>-3</x:v>
      </x:c>
      <x:c r="P16" s="106">
        <x:f t="shared" si="5"/>
        <x:v>3</x:v>
      </x:c>
      <x:c r="Q16" s="103" t="s">
        <x:v>178</x:v>
      </x:c>
      <x:c r="R16" s="106" t="s">
        <x:v>179</x:v>
      </x:c>
      <x:c r="S16" s="173"/>
      <x:c r="T16" s="173"/>
      <x:c r="U16" s="173"/>
      <x:c r="V16" s="174"/>
      <x:c r="W16" s="174" t="s">
        <x:v>90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3" t="s">
        <x:v>180</x:v>
      </x:c>
      <x:c r="B17" s="112" t="s">
        <x:v>94</x:v>
      </x:c>
      <x:c r="C17" s="3" t="s">
        <x:v>181</x:v>
      </x:c>
      <x:c r="D17" s="3" t="s">
        <x:v>182</x:v>
      </x:c>
      <x:c r="E17" s="3" t="s">
        <x:v>183</x:v>
      </x:c>
      <x:c r="F17" s="94">
        <x:v>3</x:v>
      </x:c>
      <x:c r="G17" s="97">
        <x:v>5</x:v>
      </x:c>
      <x:c r="H17" s="97">
        <x:v>5</x:v>
      </x:c>
      <x:c r="I17" s="93">
        <x:f t="shared" si="0"/>
        <x:v>46230</x:v>
      </x:c>
      <x:c r="J17" s="93">
        <x:f t="shared" si="1"/>
        <x:v>46236</x:v>
      </x:c>
      <x:c r="K17" s="93">
        <x:f t="shared" si="2"/>
        <x:v>34</x:v>
      </x:c>
      <x:c r="L17" s="66">
        <x:v>0</x:v>
      </x:c>
      <x:c r="M17" s="67" t="n">
        <x:f>SUMIF('Work Block Log'!$E$5:$E$200,A17,'Work Block Log'!$F$5:$F$200)</x:f>
        <x:v>0</x:v>
      </x:c>
      <x:c r="N17" s="67">
        <x:f t="shared" si="3"/>
        <x:v>3</x:v>
      </x:c>
      <x:c r="O17" s="67">
        <x:f t="shared" si="4"/>
        <x:v>-3</x:v>
      </x:c>
      <x:c r="P17" s="97">
        <x:f t="shared" si="5"/>
        <x:v>3</x:v>
      </x:c>
      <x:c r="Q17" s="3" t="s">
        <x:v>184</x:v>
      </x:c>
      <x:c r="R17" s="97" t="s">
        <x:v>185</x:v>
      </x:c>
      <x:c r="S17" s="173"/>
      <x:c r="T17" s="173"/>
      <x:c r="U17" s="173"/>
      <x:c r="V17" s="173"/>
      <x:c r="W17" s="173" t="s">
        <x:v>90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103" t="s">
        <x:v>186</x:v>
      </x:c>
      <x:c r="B18" s="104" t="s">
        <x:v>97</x:v>
      </x:c>
      <x:c r="C18" s="103" t="s">
        <x:v>187</x:v>
      </x:c>
      <x:c r="D18" s="103" t="s">
        <x:v>188</x:v>
      </x:c>
      <x:c r="E18" s="103" t="s">
        <x:v>138</x:v>
      </x:c>
      <x:c r="F18" s="105">
        <x:v>4</x:v>
      </x:c>
      <x:c r="G18" s="106">
        <x:v>2</x:v>
      </x:c>
      <x:c r="H18" s="106">
        <x:v>3</x:v>
      </x:c>
      <x:c r="I18" s="107">
        <x:f t="shared" si="0"/>
        <x:v>46209</x:v>
      </x:c>
      <x:c r="J18" s="107">
        <x:f t="shared" si="1"/>
        <x:v>46222</x:v>
      </x:c>
      <x:c r="K18" s="107">
        <x:f t="shared" si="2"/>
        <x:v>20</x:v>
      </x:c>
      <x:c r="L18" s="108">
        <x:v>0</x:v>
      </x:c>
      <x:c r="M18" s="109" t="n">
        <x:f>SUMIF('Work Block Log'!$E$5:$E$200,A18,'Work Block Log'!$F$5:$F$200)</x:f>
        <x:v>0</x:v>
      </x:c>
      <x:c r="N18" s="109">
        <x:f t="shared" si="3"/>
        <x:v>4</x:v>
      </x:c>
      <x:c r="O18" s="109">
        <x:f t="shared" si="4"/>
        <x:v>-4</x:v>
      </x:c>
      <x:c r="P18" s="106">
        <x:f t="shared" si="5"/>
        <x:v>4</x:v>
      </x:c>
      <x:c r="Q18" s="103" t="s">
        <x:v>189</x:v>
      </x:c>
      <x:c r="R18" s="106" t="s">
        <x:v>190</x:v>
      </x:c>
      <x:c r="S18" s="173"/>
      <x:c r="T18" s="173" t="s">
        <x:v>90</x:v>
      </x:c>
      <x:c r="U18" s="173" t="s">
        <x:v>90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3" t="s">
        <x:v>191</x:v>
      </x:c>
      <x:c r="B19" s="113" t="s">
        <x:v>97</x:v>
      </x:c>
      <x:c r="C19" s="3" t="s">
        <x:v>192</x:v>
      </x:c>
      <x:c r="D19" s="3" t="s">
        <x:v>193</x:v>
      </x:c>
      <x:c r="E19" s="3" t="s">
        <x:v>194</x:v>
      </x:c>
      <x:c r="F19" s="94">
        <x:v>5</x:v>
      </x:c>
      <x:c r="G19" s="97">
        <x:v>6</x:v>
      </x:c>
      <x:c r="H19" s="97">
        <x:v>6</x:v>
      </x:c>
      <x:c r="I19" s="93">
        <x:f t="shared" si="0"/>
        <x:v>46237</x:v>
      </x:c>
      <x:c r="J19" s="93">
        <x:f t="shared" si="1"/>
        <x:v>46243</x:v>
      </x:c>
      <x:c r="K19" s="93">
        <x:f t="shared" si="2"/>
        <x:v>41</x:v>
      </x:c>
      <x:c r="L19" s="66">
        <x:v>0</x:v>
      </x:c>
      <x:c r="M19" s="67" t="n">
        <x:f>SUMIF('Work Block Log'!$E$5:$E$200,A19,'Work Block Log'!$F$5:$F$200)</x:f>
        <x:v>0</x:v>
      </x:c>
      <x:c r="N19" s="67">
        <x:f t="shared" si="3"/>
        <x:v>5</x:v>
      </x:c>
      <x:c r="O19" s="67">
        <x:f t="shared" si="4"/>
        <x:v>-5</x:v>
      </x:c>
      <x:c r="P19" s="97">
        <x:f t="shared" si="5"/>
        <x:v>5</x:v>
      </x:c>
      <x:c r="Q19" s="3" t="s">
        <x:v>195</x:v>
      </x:c>
      <x:c r="R19" s="97" t="s">
        <x:v>196</x:v>
      </x:c>
      <x:c r="S19" s="173"/>
      <x:c r="T19" s="173"/>
      <x:c r="U19" s="173"/>
      <x:c r="V19" s="173"/>
      <x:c r="W19" s="173"/>
      <x:c r="X19" s="173" t="s">
        <x:v>90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103" t="s">
        <x:v>197</x:v>
      </x:c>
      <x:c r="B20" s="104" t="s">
        <x:v>97</x:v>
      </x:c>
      <x:c r="C20" s="103" t="s">
        <x:v>198</x:v>
      </x:c>
      <x:c r="D20" s="103" t="s">
        <x:v>199</x:v>
      </x:c>
      <x:c r="E20" s="103" t="s">
        <x:v>191</x:v>
      </x:c>
      <x:c r="F20" s="105">
        <x:v>2</x:v>
      </x:c>
      <x:c r="G20" s="106">
        <x:v>6</x:v>
      </x:c>
      <x:c r="H20" s="106">
        <x:v>6</x:v>
      </x:c>
      <x:c r="I20" s="107">
        <x:f t="shared" si="0"/>
        <x:v>46237</x:v>
      </x:c>
      <x:c r="J20" s="107">
        <x:f t="shared" si="1"/>
        <x:v>46243</x:v>
      </x:c>
      <x:c r="K20" s="107">
        <x:f t="shared" si="2"/>
        <x:v>41</x:v>
      </x:c>
      <x:c r="L20" s="108">
        <x:v>0</x:v>
      </x:c>
      <x:c r="M20" s="109" t="n">
        <x:f>SUMIF('Work Block Log'!$E$5:$E$200,A20,'Work Block Log'!$F$5:$F$200)</x:f>
        <x:v>0</x:v>
      </x:c>
      <x:c r="N20" s="109">
        <x:f t="shared" si="3"/>
        <x:v>2</x:v>
      </x:c>
      <x:c r="O20" s="109">
        <x:f t="shared" si="4"/>
        <x:v>-2</x:v>
      </x:c>
      <x:c r="P20" s="106">
        <x:f t="shared" si="5"/>
        <x:v>2</x:v>
      </x:c>
      <x:c r="Q20" s="103" t="s">
        <x:v>200</x:v>
      </x:c>
      <x:c r="R20" s="106" t="s">
        <x:v>201</x:v>
      </x:c>
      <x:c r="S20" s="173"/>
      <x:c r="T20" s="173"/>
      <x:c r="U20" s="173"/>
      <x:c r="V20" s="173"/>
      <x:c r="W20" s="173"/>
      <x:c r="X20" s="173" t="s">
        <x:v>90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3" t="s">
        <x:v>202</x:v>
      </x:c>
      <x:c r="B21" s="113" t="s">
        <x:v>97</x:v>
      </x:c>
      <x:c r="C21" s="3" t="s">
        <x:v>203</x:v>
      </x:c>
      <x:c r="D21" s="3" t="s">
        <x:v>204</x:v>
      </x:c>
      <x:c r="E21" s="3" t="s">
        <x:v>205</x:v>
      </x:c>
      <x:c r="F21" s="94">
        <x:v>3</x:v>
      </x:c>
      <x:c r="G21" s="97">
        <x:v>6</x:v>
      </x:c>
      <x:c r="H21" s="97">
        <x:v>6</x:v>
      </x:c>
      <x:c r="I21" s="93">
        <x:f t="shared" si="0"/>
        <x:v>46237</x:v>
      </x:c>
      <x:c r="J21" s="93">
        <x:f t="shared" si="1"/>
        <x:v>46243</x:v>
      </x:c>
      <x:c r="K21" s="93">
        <x:f t="shared" si="2"/>
        <x:v>41</x:v>
      </x:c>
      <x:c r="L21" s="66">
        <x:v>0</x:v>
      </x:c>
      <x:c r="M21" s="67" t="n">
        <x:f>SUMIF('Work Block Log'!$E$5:$E$200,A21,'Work Block Log'!$F$5:$F$200)</x:f>
        <x:v>0</x:v>
      </x:c>
      <x:c r="N21" s="67">
        <x:f t="shared" si="3"/>
        <x:v>3</x:v>
      </x:c>
      <x:c r="O21" s="67">
        <x:f t="shared" si="4"/>
        <x:v>-3</x:v>
      </x:c>
      <x:c r="P21" s="97">
        <x:f t="shared" si="5"/>
        <x:v>3</x:v>
      </x:c>
      <x:c r="Q21" s="3" t="s">
        <x:v>206</x:v>
      </x:c>
      <x:c r="R21" s="97" t="s">
        <x:v>207</x:v>
      </x:c>
      <x:c r="S21" s="173"/>
      <x:c r="T21" s="173"/>
      <x:c r="U21" s="173"/>
      <x:c r="V21" s="173"/>
      <x:c r="W21" s="173"/>
      <x:c r="X21" s="173" t="s">
        <x:v>90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103" t="s">
        <x:v>208</x:v>
      </x:c>
      <x:c r="B22" s="104" t="s">
        <x:v>100</x:v>
      </x:c>
      <x:c r="C22" s="103" t="s">
        <x:v>209</x:v>
      </x:c>
      <x:c r="D22" s="103" t="s">
        <x:v>210</x:v>
      </x:c>
      <x:c r="E22" s="103" t="s">
        <x:v>159</x:v>
      </x:c>
      <x:c r="F22" s="105">
        <x:v>3</x:v>
      </x:c>
      <x:c r="G22" s="106">
        <x:v>4</x:v>
      </x:c>
      <x:c r="H22" s="106">
        <x:v>6</x:v>
      </x:c>
      <x:c r="I22" s="107">
        <x:f t="shared" si="0"/>
        <x:v>46223</x:v>
      </x:c>
      <x:c r="J22" s="107">
        <x:f t="shared" si="1"/>
        <x:v>46243</x:v>
      </x:c>
      <x:c r="K22" s="107">
        <x:f t="shared" si="2"/>
        <x:v>41</x:v>
      </x:c>
      <x:c r="L22" s="108">
        <x:v>0.35</x:v>
      </x:c>
      <x:c r="M22" s="109" t="n">
        <x:f>SUMIF('Work Block Log'!$E$5:$E$200,A22,'Work Block Log'!$F$5:$F$200)</x:f>
        <x:v>0</x:v>
      </x:c>
      <x:c r="N22" s="109">
        <x:f t="shared" si="3"/>
        <x:v>1.9500000000000002</x:v>
      </x:c>
      <x:c r="O22" s="109">
        <x:f t="shared" si="4"/>
        <x:v>-3</x:v>
      </x:c>
      <x:c r="P22" s="106">
        <x:f t="shared" si="5"/>
        <x:v>3</x:v>
      </x:c>
      <x:c r="Q22" s="103" t="s">
        <x:v>211</x:v>
      </x:c>
      <x:c r="R22" s="106" t="s">
        <x:v>212</x:v>
      </x:c>
      <x:c r="S22" s="173"/>
      <x:c r="T22" s="173"/>
      <x:c r="U22" s="173"/>
      <x:c r="V22" s="173" t="s">
        <x:v>90</x:v>
      </x:c>
      <x:c r="W22" s="173" t="s">
        <x:v>90</x:v>
      </x:c>
      <x:c r="X22" s="173" t="s">
        <x:v>90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3" t="s">
        <x:v>213</x:v>
      </x:c>
      <x:c r="B23" s="114" t="s">
        <x:v>100</x:v>
      </x:c>
      <x:c r="C23" s="3" t="s">
        <x:v>214</x:v>
      </x:c>
      <x:c r="D23" s="3" t="s">
        <x:v>215</x:v>
      </x:c>
      <x:c r="E23" s="3" t="s">
        <x:v>208</x:v>
      </x:c>
      <x:c r="F23" s="94">
        <x:v>2</x:v>
      </x:c>
      <x:c r="G23" s="97">
        <x:v>7</x:v>
      </x:c>
      <x:c r="H23" s="97">
        <x:v>7</x:v>
      </x:c>
      <x:c r="I23" s="93">
        <x:f t="shared" si="0"/>
        <x:v>46244</x:v>
      </x:c>
      <x:c r="J23" s="93">
        <x:f t="shared" si="1"/>
        <x:v>46250</x:v>
      </x:c>
      <x:c r="K23" s="93">
        <x:f t="shared" si="2"/>
        <x:v>48</x:v>
      </x:c>
      <x:c r="L23" s="66">
        <x:v>0</x:v>
      </x:c>
      <x:c r="M23" s="67" t="n">
        <x:f>SUMIF('Work Block Log'!$E$5:$E$200,A23,'Work Block Log'!$F$5:$F$200)</x:f>
        <x:v>0</x:v>
      </x:c>
      <x:c r="N23" s="67">
        <x:f t="shared" si="3"/>
        <x:v>2</x:v>
      </x:c>
      <x:c r="O23" s="67">
        <x:f t="shared" si="4"/>
        <x:v>-2</x:v>
      </x:c>
      <x:c r="P23" s="97">
        <x:f t="shared" si="5"/>
        <x:v>2</x:v>
      </x:c>
      <x:c r="Q23" s="3" t="s">
        <x:v>216</x:v>
      </x:c>
      <x:c r="R23" s="97" t="s">
        <x:v>217</x:v>
      </x:c>
      <x:c r="S23" s="173"/>
      <x:c r="T23" s="173"/>
      <x:c r="U23" s="173"/>
      <x:c r="V23" s="173"/>
      <x:c r="W23" s="173"/>
      <x:c r="X23" s="173"/>
      <x:c r="Y23" s="173" t="s">
        <x:v>90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103" t="s">
        <x:v>218</x:v>
      </x:c>
      <x:c r="B24" s="104" t="s">
        <x:v>100</x:v>
      </x:c>
      <x:c r="C24" s="103" t="s">
        <x:v>219</x:v>
      </x:c>
      <x:c r="D24" s="103" t="s">
        <x:v>220</x:v>
      </x:c>
      <x:c r="E24" s="103" t="s">
        <x:v>221</x:v>
      </x:c>
      <x:c r="F24" s="105">
        <x:v>3</x:v>
      </x:c>
      <x:c r="G24" s="106">
        <x:v>7</x:v>
      </x:c>
      <x:c r="H24" s="106">
        <x:v>7</x:v>
      </x:c>
      <x:c r="I24" s="107">
        <x:f t="shared" si="0"/>
        <x:v>46244</x:v>
      </x:c>
      <x:c r="J24" s="107">
        <x:f t="shared" si="1"/>
        <x:v>46250</x:v>
      </x:c>
      <x:c r="K24" s="107">
        <x:f t="shared" si="2"/>
        <x:v>48</x:v>
      </x:c>
      <x:c r="L24" s="108">
        <x:v>0.35</x:v>
      </x:c>
      <x:c r="M24" s="109" t="n">
        <x:f>SUMIF('Work Block Log'!$E$5:$E$200,A24,'Work Block Log'!$F$5:$F$200)</x:f>
        <x:v>0</x:v>
      </x:c>
      <x:c r="N24" s="109">
        <x:f t="shared" si="3"/>
        <x:v>1.9500000000000002</x:v>
      </x:c>
      <x:c r="O24" s="109">
        <x:f t="shared" si="4"/>
        <x:v>-3</x:v>
      </x:c>
      <x:c r="P24" s="106">
        <x:f t="shared" si="5"/>
        <x:v>3</x:v>
      </x:c>
      <x:c r="Q24" s="103" t="s">
        <x:v>222</x:v>
      </x:c>
      <x:c r="R24" s="106" t="s">
        <x:v>223</x:v>
      </x:c>
      <x:c r="S24" s="173"/>
      <x:c r="T24" s="173"/>
      <x:c r="U24" s="173"/>
      <x:c r="V24" s="173"/>
      <x:c r="W24" s="173"/>
      <x:c r="X24" s="173"/>
      <x:c r="Y24" s="173" t="s">
        <x:v>90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3" t="s">
        <x:v>224</x:v>
      </x:c>
      <x:c r="B25" s="115" t="s">
        <x:v>103</x:v>
      </x:c>
      <x:c r="C25" s="3" t="s">
        <x:v>225</x:v>
      </x:c>
      <x:c r="D25" s="3" t="s">
        <x:v>226</x:v>
      </x:c>
      <x:c r="E25" s="3" t="s">
        <x:v>227</x:v>
      </x:c>
      <x:c r="F25" s="94">
        <x:v>3</x:v>
      </x:c>
      <x:c r="G25" s="97">
        <x:v>7</x:v>
      </x:c>
      <x:c r="H25" s="97">
        <x:v>7</x:v>
      </x:c>
      <x:c r="I25" s="93">
        <x:f t="shared" si="0"/>
        <x:v>46244</x:v>
      </x:c>
      <x:c r="J25" s="93">
        <x:f t="shared" si="1"/>
        <x:v>46250</x:v>
      </x:c>
      <x:c r="K25" s="93">
        <x:f t="shared" si="2"/>
        <x:v>48</x:v>
      </x:c>
      <x:c r="L25" s="66">
        <x:v>0</x:v>
      </x:c>
      <x:c r="M25" s="67" t="n">
        <x:f>SUMIF('Work Block Log'!$E$5:$E$200,A25,'Work Block Log'!$F$5:$F$200)</x:f>
        <x:v>0</x:v>
      </x:c>
      <x:c r="N25" s="67">
        <x:f t="shared" si="3"/>
        <x:v>3</x:v>
      </x:c>
      <x:c r="O25" s="67">
        <x:f t="shared" si="4"/>
        <x:v>-3</x:v>
      </x:c>
      <x:c r="P25" s="97">
        <x:f t="shared" si="5"/>
        <x:v>3</x:v>
      </x:c>
      <x:c r="Q25" s="3" t="s">
        <x:v>228</x:v>
      </x:c>
      <x:c r="R25" s="97" t="s">
        <x:v>229</x:v>
      </x:c>
      <x:c r="S25" s="173"/>
      <x:c r="T25" s="173"/>
      <x:c r="U25" s="173"/>
      <x:c r="V25" s="173"/>
      <x:c r="W25" s="173"/>
      <x:c r="X25" s="173"/>
      <x:c r="Y25" s="173" t="s">
        <x:v>90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103" t="s">
        <x:v>230</x:v>
      </x:c>
      <x:c r="B26" s="104" t="s">
        <x:v>103</x:v>
      </x:c>
      <x:c r="C26" s="103" t="s">
        <x:v>231</x:v>
      </x:c>
      <x:c r="D26" s="103" t="s">
        <x:v>232</x:v>
      </x:c>
      <x:c r="E26" s="103" t="s">
        <x:v>224</x:v>
      </x:c>
      <x:c r="F26" s="105">
        <x:v>2</x:v>
      </x:c>
      <x:c r="G26" s="106">
        <x:v>8</x:v>
      </x:c>
      <x:c r="H26" s="106">
        <x:v>8</x:v>
      </x:c>
      <x:c r="I26" s="107">
        <x:f t="shared" si="0"/>
        <x:v>46251</x:v>
      </x:c>
      <x:c r="J26" s="107">
        <x:f t="shared" si="1"/>
        <x:v>46257</x:v>
      </x:c>
      <x:c r="K26" s="107">
        <x:f t="shared" si="2"/>
        <x:v>55</x:v>
      </x:c>
      <x:c r="L26" s="108">
        <x:v>0</x:v>
      </x:c>
      <x:c r="M26" s="109" t="n">
        <x:f>SUMIF('Work Block Log'!$E$5:$E$200,A26,'Work Block Log'!$F$5:$F$200)</x:f>
        <x:v>0</x:v>
      </x:c>
      <x:c r="N26" s="109">
        <x:f t="shared" si="3"/>
        <x:v>2</x:v>
      </x:c>
      <x:c r="O26" s="109">
        <x:f t="shared" si="4"/>
        <x:v>-2</x:v>
      </x:c>
      <x:c r="P26" s="106">
        <x:f t="shared" si="5"/>
        <x:v>2</x:v>
      </x:c>
      <x:c r="Q26" s="103" t="s">
        <x:v>233</x:v>
      </x:c>
      <x:c r="R26" s="106" t="s">
        <x:v>234</x:v>
      </x:c>
      <x:c r="S26" s="173"/>
      <x:c r="T26" s="173"/>
      <x:c r="U26" s="173"/>
      <x:c r="V26" s="173"/>
      <x:c r="W26" s="173"/>
      <x:c r="X26" s="173"/>
      <x:c r="Y26" s="173"/>
      <x:c r="Z26" s="173" t="s">
        <x:v>90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3" t="s">
        <x:v>235</x:v>
      </x:c>
      <x:c r="B27" s="115" t="s">
        <x:v>103</x:v>
      </x:c>
      <x:c r="C27" s="3" t="s">
        <x:v>236</x:v>
      </x:c>
      <x:c r="D27" s="3" t="s">
        <x:v>237</x:v>
      </x:c>
      <x:c r="E27" s="3" t="s">
        <x:v>238</x:v>
      </x:c>
      <x:c r="F27" s="94">
        <x:v>3</x:v>
      </x:c>
      <x:c r="G27" s="97">
        <x:v>8</x:v>
      </x:c>
      <x:c r="H27" s="97">
        <x:v>8</x:v>
      </x:c>
      <x:c r="I27" s="93">
        <x:f t="shared" si="0"/>
        <x:v>46251</x:v>
      </x:c>
      <x:c r="J27" s="93">
        <x:f t="shared" si="1"/>
        <x:v>46257</x:v>
      </x:c>
      <x:c r="K27" s="93">
        <x:f t="shared" si="2"/>
        <x:v>55</x:v>
      </x:c>
      <x:c r="L27" s="66">
        <x:v>0</x:v>
      </x:c>
      <x:c r="M27" s="67" t="n">
        <x:f>SUMIF('Work Block Log'!$E$5:$E$200,A27,'Work Block Log'!$F$5:$F$200)</x:f>
        <x:v>0</x:v>
      </x:c>
      <x:c r="N27" s="67">
        <x:f t="shared" si="3"/>
        <x:v>3</x:v>
      </x:c>
      <x:c r="O27" s="67">
        <x:f t="shared" si="4"/>
        <x:v>-3</x:v>
      </x:c>
      <x:c r="P27" s="97">
        <x:f t="shared" si="5"/>
        <x:v>3</x:v>
      </x:c>
      <x:c r="Q27" s="3" t="s">
        <x:v>239</x:v>
      </x:c>
      <x:c r="R27" s="97" t="s">
        <x:v>240</x:v>
      </x:c>
      <x:c r="S27" s="173"/>
      <x:c r="T27" s="173"/>
      <x:c r="U27" s="173"/>
      <x:c r="V27" s="173"/>
      <x:c r="W27" s="173"/>
      <x:c r="X27" s="173"/>
      <x:c r="Y27" s="173"/>
      <x:c r="Z27" s="173" t="s">
        <x:v>90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106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0.1855263157894737</x:v>
      </x:c>
      <x:c r="M29" s="96" t="n">
        <x:f>SUM(M6:M27)</x:f>
        <x:v>8.13</x:v>
      </x:c>
      <x:c r="N29" s="96" t="n">
        <x:f>SUM(N6:N27)</x:f>
        <x:v>61.900000000000006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241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242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">
        <x:v>243</x:v>
      </x:c>
      <x:c r="B4" s="118" t="s">
        <x:v>244</x:v>
      </x:c>
      <x:c r="C4" s="118" t="s">
        <x:v>245</x:v>
      </x:c>
      <x:c r="D4" s="88" t="s">
        <x:v>71</x:v>
      </x:c>
      <x:c r="E4" s="137" t="s">
        <x:v>72</x:v>
      </x:c>
      <x:c r="F4" s="137" t="str">
        <x:f t="shared" ref="F4:F35" si="0">IF(E4="","",E4-D4)</x:f>
        <x:v>Weekly Variance</x:v>
      </x:c>
      <x:c r="G4" s="88" t="s">
        <x:v>246</x:v>
      </x:c>
      <x:c r="H4" s="88" t="s">
        <x:v>247</x:v>
      </x:c>
      <x:c r="I4" s="88" t="str">
        <x:f t="shared" ref="I4:I35" si="1">MAX(576-G4,0)</x:f>
        <x:v>Remaining Hours</x:v>
      </x:c>
      <x:c r="J4" s="88" t="s">
        <x:v>248</x:v>
      </x:c>
      <x:c r="K4" s="88" t="s">
        <x:v>121</x:v>
      </x:c>
      <x:c r="L4" s="88" t="s">
        <x:v>249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2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8.13</x:v>
      </x:c>
      <x:c r="F5" s="68" t="n">
        <x:f t="shared" si="0">IF(E5="","",E5-D5)</x:f>
        <x:v>0.13000000000000078</x:v>
      </x:c>
      <x:c r="G5" s="68" t="n">
        <x:f t="shared" ref="G5:G36" si="2">SUM($D$5:D5)</x:f>
        <x:v>8</x:v>
      </x:c>
      <x:c r="H5" s="68" t="n">
        <x:f t="shared" ref="H5:H36" si="3">SUM($E$5:E5)</x:f>
        <x:v>8.13</x:v>
      </x:c>
      <x:c r="I5" s="68" t="n">
        <x:f t="shared" si="1">MAX($G$13-H5,0)</x:f>
        <x:v>67.87</x:v>
      </x:c>
      <x:c r="J5" s="141" t="s">
        <x:v>250</x:v>
      </x:c>
      <x:c r="K5" s="141" t="s">
        <x:v>251</x:v>
      </x:c>
      <x:c r="L5" s="448" t="str">
        <x:v>Known logged time through WB-007: 8.13 h. PR #1–#5 merged; WBS 1.1 candidate contract/loader completed early on feature commit 2b0b6e7; 31 tests pass. Candidate-contract PR remained pending at the 11:35 AM block close.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>
        <x:f t="shared" si="2"/>
        <x:v>18</x:v>
      </x:c>
      <x:c r="H6" s="68">
        <x:f t="shared" si="3"/>
        <x:v>7.5500000000000007</x:v>
      </x:c>
      <x:c r="I6" s="68" t="n">
        <x:f t="shared" si="1">MAX($G$13-H6,0)</x:f>
        <x:v>68.45</x:v>
      </x:c>
      <x:c r="J6" s="141" t="s">
        <x:v>252</x:v>
      </x:c>
      <x:c r="K6" s="141" t="s">
        <x:v>253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>
        <x:f t="shared" si="2"/>
        <x:v>28</x:v>
      </x:c>
      <x:c r="H7" s="68">
        <x:f t="shared" si="3"/>
        <x:v>7.5500000000000007</x:v>
      </x:c>
      <x:c r="I7" s="68" t="n">
        <x:f t="shared" si="1">MAX($G$13-H7,0)</x:f>
        <x:v>68.45</x:v>
      </x:c>
      <x:c r="J7" s="141" t="s">
        <x:v>254</x:v>
      </x:c>
      <x:c r="K7" s="141" t="s">
        <x:v>253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>
        <x:f t="shared" si="2"/>
        <x:v>38</x:v>
      </x:c>
      <x:c r="H8" s="68">
        <x:f t="shared" si="3"/>
        <x:v>7.5500000000000007</x:v>
      </x:c>
      <x:c r="I8" s="68" t="n">
        <x:f t="shared" si="1">MAX($G$13-H8,0)</x:f>
        <x:v>68.45</x:v>
      </x:c>
      <x:c r="J8" s="141" t="s">
        <x:v>255</x:v>
      </x:c>
      <x:c r="K8" s="141" t="s">
        <x:v>253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>
        <x:f t="shared" si="2"/>
        <x:v>48</x:v>
      </x:c>
      <x:c r="H9" s="68">
        <x:f t="shared" si="3"/>
        <x:v>7.5500000000000007</x:v>
      </x:c>
      <x:c r="I9" s="68" t="n">
        <x:f t="shared" si="1">MAX($G$13-H9,0)</x:f>
        <x:v>68.45</x:v>
      </x:c>
      <x:c r="J9" s="141" t="s">
        <x:v>256</x:v>
      </x:c>
      <x:c r="K9" s="141" t="s">
        <x:v>253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>
        <x:f t="shared" si="2"/>
        <x:v>58</x:v>
      </x:c>
      <x:c r="H10" s="68">
        <x:f t="shared" si="3"/>
        <x:v>7.5500000000000007</x:v>
      </x:c>
      <x:c r="I10" s="68" t="n">
        <x:f t="shared" si="1">MAX($G$13-H10,0)</x:f>
        <x:v>68.45</x:v>
      </x:c>
      <x:c r="J10" s="141" t="s">
        <x:v>257</x:v>
      </x:c>
      <x:c r="K10" s="141" t="s">
        <x:v>253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>
        <x:f t="shared" si="2"/>
        <x:v>68</x:v>
      </x:c>
      <x:c r="H11" s="68">
        <x:f t="shared" si="3"/>
        <x:v>7.5500000000000007</x:v>
      </x:c>
      <x:c r="I11" s="68" t="n">
        <x:f t="shared" si="1">MAX($G$13-H11,0)</x:f>
        <x:v>68.45</x:v>
      </x:c>
      <x:c r="J11" s="141" t="s">
        <x:v>258</x:v>
      </x:c>
      <x:c r="K11" s="141" t="s">
        <x:v>253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>
        <x:f t="shared" si="2"/>
        <x:v>76</x:v>
      </x:c>
      <x:c r="H12" s="140">
        <x:f t="shared" si="3"/>
        <x:v>7.5500000000000007</x:v>
      </x:c>
      <x:c r="I12" s="140" t="n">
        <x:f t="shared" si="1">MAX($G$13-H12,0)</x:f>
        <x:v>68.45</x:v>
      </x:c>
      <x:c r="J12" s="142" t="s">
        <x:v>259</x:v>
      </x:c>
      <x:c r="K12" s="142" t="s">
        <x:v>253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bead1678526f464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260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69</x:v>
      </x:c>
      <x:c r="B3" s="88" t="s">
        <x:v>70</x:v>
      </x:c>
      <x:c r="C3" s="88" t="s">
        <x:v>71</x:v>
      </x:c>
      <x:c r="D3" s="88" t="s">
        <x:v>72</x:v>
      </x:c>
      <x:c r="E3" s="88" t="s">
        <x:v>73</x:v>
      </x:c>
      <x:c r="F3" s="88" t="s">
        <x:v>74</x:v>
      </x:c>
      <x:c r="G3" s="88" t="s">
        <x:v>75</x:v>
      </x:c>
      <x:c r="H3" s="88" t="s">
        <x:v>261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86</x:v>
      </x:c>
      <x:c r="B4" s="145" t="s">
        <x:v>87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88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91</x:v>
      </x:c>
      <x:c r="C5" s="68">
        <x:v>24</x:v>
      </x:c>
      <x:c r="D5" s="68" t="n">
        <x:f>SUMIF('Detailed Gantt'!$B$6:$B$27,B5,'Detailed Gantt'!$M$6:$M$27)</x:f>
        <x:v>0.58</x:v>
      </x:c>
      <x:c r="E5" s="143" t="n">
        <x:f>IF(C5=0,0,SUMPRODUCT(('Detailed Gantt'!$B$6:$B$27=B5)*'Detailed Gantt'!$F$6:$F$27*'Detailed Gantt'!$L$6:$L$27)/C5)</x:f>
        <x:v>0.16666666666666666</x:v>
      </x:c>
      <x:c r="F5" s="138">
        <x:v>46209</x:v>
      </x:c>
      <x:c r="G5" s="138">
        <x:v>46229</x:v>
      </x:c>
      <x:c r="H5" s="141" t="s">
        <x:v>92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94</x:v>
      </x:c>
      <x:c r="C6" s="68">
        <x:v>14</x:v>
      </x:c>
      <x:c r="D6" s="68" t="n">
        <x:f>SUMIF('Detailed Gantt'!$B$6:$B$27,B6,'Detailed Gantt'!$M$6:$M$27)</x:f>
        <x:v>0</x:v>
      </x:c>
      <x:c r="E6" s="143" t="n">
        <x:f>IF(C6=0,0,SUMPRODUCT(('Detailed Gantt'!$B$6:$B$27=B6)*'Detailed Gantt'!$F$6:$F$27*'Detailed Gantt'!$L$6:$L$27)/C6)</x:f>
        <x:v>0</x:v>
      </x:c>
      <x:c r="F6" s="138">
        <x:v>46230</x:v>
      </x:c>
      <x:c r="G6" s="138">
        <x:v>46236</x:v>
      </x:c>
      <x:c r="H6" s="141" t="s">
        <x:v>95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97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98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100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101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103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104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262</x:v>
      </x:c>
      <x:c r="B10" s="134"/>
      <x:c r="C10" s="136" t="n">
        <x:f>SUM(C4:C9)</x:f>
        <x:v>76</x:v>
      </x:c>
      <x:c r="D10" s="136" t="n">
        <x:f>SUM(D4:D9)</x:f>
        <x:v>8.13</x:v>
      </x:c>
      <x:c r="E10" s="144" t="n">
        <x:f>SUMPRODUCT(C4:C9,E4:E9)/C10</x:f>
        <x:v>0.18552631578947368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76c07f3cc8d94ae2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263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264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265</x:v>
      </x:c>
      <x:c r="B4" s="3" t="s">
        <x:v>266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267</x:v>
      </x:c>
      <x:c r="B5" s="3" t="s">
        <x:v>268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269</x:v>
      </x:c>
      <x:c r="B6" s="3" t="s">
        <x:v>270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271</x:v>
      </x:c>
      <x:c r="B7" s="3" t="s">
        <x:v>272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273</x:v>
      </x:c>
      <x:c r="B8" s="3" t="s">
        <x:v>274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275</x:v>
      </x:c>
      <x:c r="B9" s="3" t="s">
        <x:v>276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277</x:v>
      </x:c>
      <x:c r="B10" s="3" t="s">
        <x:v>278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279</x:v>
      </x:c>
      <x:c r="B11" s="3" t="s">
        <x:v>280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281</x:v>
      </x:c>
      <x:c r="B12" s="141" t="s">
        <x:v>282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283</x:v>
      </x:c>
      <x:c r="B13" s="141" t="s">
        <x:v>284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285</x:v>
      </x:c>
      <x:c r="B14" s="4" t="s">
        <x:v>286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287</x:v>
      </x:c>
      <x:c r="B15" s="194" t="s">
        <x:v>288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289</x:v>
      </x:c>
      <x:c r="B16" s="195" t="s">
        <x:v>290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291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261</x:v>
      </x:c>
      <x:c r="B18" s="88" t="s">
        <x:v>292</x:v>
      </x:c>
      <x:c r="C18" s="118" t="s">
        <x:v>293</x:v>
      </x:c>
      <x:c r="D18" s="88" t="s">
        <x:v>121</x:v>
      </x:c>
      <x:c r="E18" s="88" t="s">
        <x:v>294</x:v>
      </x:c>
      <x:c r="F18" s="88" t="s">
        <x:v>295</x:v>
      </x:c>
      <x:c r="G18" s="88" t="s">
        <x:v>296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297</x:v>
      </x:c>
      <x:c r="B19" s="3">
        <x:v>2</x:v>
      </x:c>
      <x:c r="C19" s="124">
        <x:v>46215</x:v>
      </x:c>
      <x:c r="D19" s="3" t="s">
        <x:v>298</x:v>
      </x:c>
      <x:c r="E19" s="3" t="s">
        <x:v>299</x:v>
      </x:c>
      <x:c r="F19" s="141" t="s">
        <x:v>300</x:v>
      </x:c>
      <x:c r="G19" s="141" t="s">
        <x:v>301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302</x:v>
      </x:c>
      <x:c r="B20" s="3">
        <x:v>2</x:v>
      </x:c>
      <x:c r="C20" s="124">
        <x:v>46215</x:v>
      </x:c>
      <x:c r="D20" s="3" t="s">
        <x:v>303</x:v>
      </x:c>
      <x:c r="E20" s="3" t="s">
        <x:v>304</x:v>
      </x:c>
      <x:c r="F20" s="141" t="s">
        <x:v>305</x:v>
      </x:c>
      <x:c r="G20" s="141" t="s">
        <x:v>306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307</x:v>
      </x:c>
      <x:c r="B21" s="3">
        <x:v>4</x:v>
      </x:c>
      <x:c r="C21" s="124">
        <x:v>46229</x:v>
      </x:c>
      <x:c r="D21" s="3" t="s">
        <x:v>303</x:v>
      </x:c>
      <x:c r="E21" s="3" t="s">
        <x:v>308</x:v>
      </x:c>
      <x:c r="F21" s="141" t="s">
        <x:v>309</x:v>
      </x:c>
      <x:c r="G21" s="141" t="s">
        <x:v>310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311</x:v>
      </x:c>
      <x:c r="B22" s="3">
        <x:v>5</x:v>
      </x:c>
      <x:c r="C22" s="124">
        <x:v>46236</x:v>
      </x:c>
      <x:c r="D22" s="3" t="s">
        <x:v>303</x:v>
      </x:c>
      <x:c r="E22" s="3" t="s">
        <x:v>312</x:v>
      </x:c>
      <x:c r="F22" s="141" t="s">
        <x:v>313</x:v>
      </x:c>
      <x:c r="G22" s="141" t="s">
        <x:v>314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315</x:v>
      </x:c>
      <x:c r="B23" s="141">
        <x:v>6</x:v>
      </x:c>
      <x:c r="C23" s="138">
        <x:v>46243</x:v>
      </x:c>
      <x:c r="D23" s="141" t="s">
        <x:v>303</x:v>
      </x:c>
      <x:c r="E23" s="141" t="s">
        <x:v>316</x:v>
      </x:c>
      <x:c r="F23" s="141" t="s">
        <x:v>317</x:v>
      </x:c>
      <x:c r="G23" s="141" t="s">
        <x:v>318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319</x:v>
      </x:c>
      <x:c r="B24" s="141">
        <x:v>7</x:v>
      </x:c>
      <x:c r="C24" s="138">
        <x:v>46250</x:v>
      </x:c>
      <x:c r="D24" s="141" t="s">
        <x:v>303</x:v>
      </x:c>
      <x:c r="E24" s="141" t="s">
        <x:v>320</x:v>
      </x:c>
      <x:c r="F24" s="141" t="s">
        <x:v>321</x:v>
      </x:c>
      <x:c r="G24" s="141" t="s">
        <x:v>322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323</x:v>
      </x:c>
      <x:c r="B25" s="141">
        <x:v>8</x:v>
      </x:c>
      <x:c r="C25" s="138">
        <x:v>46257</x:v>
      </x:c>
      <x:c r="D25" s="141" t="s">
        <x:v>303</x:v>
      </x:c>
      <x:c r="E25" s="141" t="s">
        <x:v>324</x:v>
      </x:c>
      <x:c r="F25" s="141" t="s">
        <x:v>325</x:v>
      </x:c>
      <x:c r="G25" s="141" t="s">
        <x:v>326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327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328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329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330</x:v>
      </x:c>
      <x:c r="B3" s="88" t="s">
        <x:v>331</x:v>
      </x:c>
      <x:c r="C3" s="88" t="s">
        <x:v>332</x:v>
      </x:c>
      <x:c r="D3" s="88" t="s">
        <x:v>333</x:v>
      </x:c>
      <x:c r="E3" s="88" t="s">
        <x:v>334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335</x:v>
      </x:c>
      <x:c r="B4" s="3" t="s">
        <x:v>336</x:v>
      </x:c>
      <x:c r="C4" s="3" t="s">
        <x:v>337</x:v>
      </x:c>
      <x:c r="D4" s="3" t="s">
        <x:v>338</x:v>
      </x:c>
      <x:c r="E4" s="141" t="s">
        <x:v>339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340</x:v>
      </x:c>
      <x:c r="B5" s="3" t="s">
        <x:v>341</x:v>
      </x:c>
      <x:c r="C5" s="3" t="s">
        <x:v>337</x:v>
      </x:c>
      <x:c r="D5" s="3" t="s">
        <x:v>342</x:v>
      </x:c>
      <x:c r="E5" s="141" t="s">
        <x:v>343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344</x:v>
      </x:c>
      <x:c r="B6" s="3" t="s">
        <x:v>345</x:v>
      </x:c>
      <x:c r="C6" s="3" t="s">
        <x:v>346</x:v>
      </x:c>
      <x:c r="D6" s="3" t="s">
        <x:v>347</x:v>
      </x:c>
      <x:c r="E6" s="141" t="s">
        <x:v>348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349</x:v>
      </x:c>
      <x:c r="B7" s="3" t="s">
        <x:v>350</x:v>
      </x:c>
      <x:c r="C7" s="3" t="s">
        <x:v>351</x:v>
      </x:c>
      <x:c r="D7" s="3" t="s">
        <x:v>352</x:v>
      </x:c>
      <x:c r="E7" s="141" t="s">
        <x:v>353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354</x:v>
      </x:c>
      <x:c r="B8" s="3" t="s">
        <x:v>355</x:v>
      </x:c>
      <x:c r="C8" s="3" t="s">
        <x:v>351</x:v>
      </x:c>
      <x:c r="D8" s="3" t="s">
        <x:v>352</x:v>
      </x:c>
      <x:c r="E8" s="141" t="s">
        <x:v>356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357</x:v>
      </x:c>
      <x:c r="B9" s="3" t="s">
        <x:v>358</x:v>
      </x:c>
      <x:c r="C9" s="3" t="s">
        <x:v>359</x:v>
      </x:c>
      <x:c r="D9" s="3" t="s">
        <x:v>360</x:v>
      </x:c>
      <x:c r="E9" s="141" t="s">
        <x:v>361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362</x:v>
      </x:c>
      <x:c r="B10" s="141" t="s">
        <x:v>363</x:v>
      </x:c>
      <x:c r="C10" s="141" t="s">
        <x:v>359</x:v>
      </x:c>
      <x:c r="D10" s="141" t="s">
        <x:v>364</x:v>
      </x:c>
      <x:c r="E10" s="141" t="s">
        <x:v>365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366</x:v>
      </x:c>
      <x:c r="B11" s="141" t="s">
        <x:v>367</x:v>
      </x:c>
      <x:c r="C11" s="141" t="s">
        <x:v>359</x:v>
      </x:c>
      <x:c r="D11" s="141" t="s">
        <x:v>368</x:v>
      </x:c>
      <x:c r="E11" s="141" t="s">
        <x:v>365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369</x:v>
      </x:c>
      <x:c r="B12" s="141" t="s">
        <x:v>370</x:v>
      </x:c>
      <x:c r="C12" s="141" t="s">
        <x:v>351</x:v>
      </x:c>
      <x:c r="D12" s="141" t="s">
        <x:v>352</x:v>
      </x:c>
      <x:c r="E12" s="141" t="s">
        <x:v>371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372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373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107</x:v>
      </x:c>
      <x:c r="C4">
        <x:v>46202</x:v>
      </x:c>
      <x:c r="D4" t="s">
        <x:v>108</x:v>
      </x:c>
      <x:c r="G4">
        <x:v>576</x:v>
      </x:c>
      <x:c r="H4" t="s">
        <x:v>374</x:v>
      </x:c>
      <x:c r="L4" t="s">
        <x:v>375</x:v>
      </x:c>
    </x:row>
    <x:row r="6">
      <x:c r="A6" t="s">
        <x:v>376</x:v>
      </x:c>
      <x:c r="C6" t="s">
        <x:v>377</x:v>
      </x:c>
    </x:row>
    <x:row r="8">
      <x:c r="A8" t="s">
        <x:v>113</x:v>
      </x:c>
      <x:c r="B8" t="s">
        <x:v>70</x:v>
      </x:c>
      <x:c r="C8" t="s">
        <x:v>114</x:v>
      </x:c>
      <x:c r="D8" t="s">
        <x:v>115</x:v>
      </x:c>
      <x:c r="E8" t="s">
        <x:v>116</x:v>
      </x:c>
      <x:c r="F8" t="s">
        <x:v>71</x:v>
      </x:c>
      <x:c r="G8" t="s">
        <x:v>117</x:v>
      </x:c>
      <x:c r="H8" t="s">
        <x:v>118</x:v>
      </x:c>
      <x:c r="I8" t="s">
        <x:v>378</x:v>
      </x:c>
      <x:c r="J8" t="s">
        <x:v>119</x:v>
      </x:c>
      <x:c r="K8" t="s">
        <x:v>120</x:v>
      </x:c>
      <x:c r="L8" t="s">
        <x:v>121</x:v>
      </x:c>
      <x:c r="M8" t="s">
        <x:v>73</x:v>
      </x:c>
      <x:c r="N8" t="s">
        <x:v>72</x:v>
      </x:c>
      <x:c r="O8" t="s">
        <x:v>123</x:v>
      </x:c>
      <x:c r="P8" t="s">
        <x:v>122</x:v>
      </x:c>
      <x:c r="Q8" t="s">
        <x:v>126</x:v>
      </x:c>
    </x:row>
    <x:row r="9">
      <x:c r="A9" t="s">
        <x:v>127</x:v>
      </x:c>
      <x:c r="B9" t="s">
        <x:v>379</x:v>
      </x:c>
      <x:c r="C9" t="s">
        <x:v>380</x:v>
      </x:c>
      <x:c r="D9" t="s">
        <x:v>381</x:v>
      </x:c>
      <x:c r="E9" t="s">
        <x:v>130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382</x:v>
      </x:c>
      <x:c r="M9">
        <x:v>1</x:v>
      </x:c>
      <x:c r="N9">
        <x:v>1.5</x:v>
      </x:c>
      <x:c r="O9">
        <x:v>-2.5</x:v>
      </x:c>
      <x:c r="P9">
        <x:v>0</x:v>
      </x:c>
      <x:c r="Q9" t="s">
        <x:v>383</x:v>
      </x:c>
    </x:row>
    <x:row r="10">
      <x:c r="A10" t="s">
        <x:v>133</x:v>
      </x:c>
      <x:c r="B10" t="s">
        <x:v>379</x:v>
      </x:c>
      <x:c r="C10" t="s">
        <x:v>384</x:v>
      </x:c>
      <x:c r="D10" t="s">
        <x:v>385</x:v>
      </x:c>
      <x:c r="E10" t="s">
        <x:v>127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382</x:v>
      </x:c>
      <x:c r="M10">
        <x:v>1</x:v>
      </x:c>
      <x:c r="P10">
        <x:v>0</x:v>
      </x:c>
      <x:c r="Q10" t="s">
        <x:v>386</x:v>
      </x:c>
    </x:row>
    <x:row r="11">
      <x:c r="A11" t="s">
        <x:v>138</x:v>
      </x:c>
      <x:c r="B11" t="s">
        <x:v>379</x:v>
      </x:c>
      <x:c r="C11" t="s">
        <x:v>387</x:v>
      </x:c>
      <x:c r="D11" t="s">
        <x:v>388</x:v>
      </x:c>
      <x:c r="E11" t="s">
        <x:v>127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251</x:v>
      </x:c>
      <x:c r="M11">
        <x:v>0.5</x:v>
      </x:c>
      <x:c r="P11">
        <x:v>2</x:v>
      </x:c>
      <x:c r="Q11" t="s">
        <x:v>389</x:v>
      </x:c>
    </x:row>
    <x:row r="12">
      <x:c r="A12" t="s">
        <x:v>390</x:v>
      </x:c>
      <x:c r="B12" t="s">
        <x:v>379</x:v>
      </x:c>
      <x:c r="C12" t="s">
        <x:v>391</x:v>
      </x:c>
      <x:c r="D12" t="s">
        <x:v>392</x:v>
      </x:c>
      <x:c r="E12" t="s">
        <x:v>133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253</x:v>
      </x:c>
      <x:c r="M12">
        <x:v>0</x:v>
      </x:c>
      <x:c r="P12">
        <x:v>4</x:v>
      </x:c>
    </x:row>
    <x:row r="13">
      <x:c r="A13" t="s">
        <x:v>393</x:v>
      </x:c>
      <x:c r="B13" t="s">
        <x:v>379</x:v>
      </x:c>
      <x:c r="C13" t="s">
        <x:v>394</x:v>
      </x:c>
      <x:c r="D13" t="s">
        <x:v>395</x:v>
      </x:c>
      <x:c r="E13" t="s">
        <x:v>390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251</x:v>
      </x:c>
      <x:c r="M13">
        <x:v>0.02</x:v>
      </x:c>
      <x:c r="P13">
        <x:v>11.76</x:v>
      </x:c>
      <x:c r="Q13" t="s">
        <x:v>396</x:v>
      </x:c>
    </x:row>
    <x:row r="14">
      <x:c r="A14" t="s">
        <x:v>397</x:v>
      </x:c>
      <x:c r="B14" t="s">
        <x:v>379</x:v>
      </x:c>
      <x:c r="C14" t="s">
        <x:v>398</x:v>
      </x:c>
      <x:c r="D14" t="s">
        <x:v>399</x:v>
      </x:c>
      <x:c r="E14" t="s">
        <x:v>390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253</x:v>
      </x:c>
      <x:c r="M14">
        <x:v>0</x:v>
      </x:c>
      <x:c r="P14">
        <x:v>6</x:v>
      </x:c>
    </x:row>
    <x:row r="15">
      <x:c r="A15" t="s">
        <x:v>400</x:v>
      </x:c>
      <x:c r="B15" t="s">
        <x:v>379</x:v>
      </x:c>
      <x:c r="C15" t="s">
        <x:v>401</x:v>
      </x:c>
      <x:c r="D15" t="s">
        <x:v>402</x:v>
      </x:c>
      <x:c r="E15" t="s">
        <x:v>390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253</x:v>
      </x:c>
      <x:c r="M15">
        <x:v>0</x:v>
      </x:c>
      <x:c r="P15">
        <x:v>6</x:v>
      </x:c>
    </x:row>
    <x:row r="16">
      <x:c r="A16" t="s">
        <x:v>143</x:v>
      </x:c>
      <x:c r="B16" t="s">
        <x:v>403</x:v>
      </x:c>
      <x:c r="C16" t="s">
        <x:v>404</x:v>
      </x:c>
      <x:c r="D16" t="s">
        <x:v>405</x:v>
      </x:c>
      <x:c r="E16" t="s">
        <x:v>138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253</x:v>
      </x:c>
      <x:c r="M16">
        <x:v>0</x:v>
      </x:c>
      <x:c r="P16">
        <x:v>8</x:v>
      </x:c>
    </x:row>
    <x:row r="17">
      <x:c r="A17" t="s">
        <x:v>146</x:v>
      </x:c>
      <x:c r="B17" t="s">
        <x:v>403</x:v>
      </x:c>
      <x:c r="C17" t="s">
        <x:v>406</x:v>
      </x:c>
      <x:c r="D17" t="s">
        <x:v>407</x:v>
      </x:c>
      <x:c r="E17" t="s">
        <x:v>143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253</x:v>
      </x:c>
      <x:c r="M17">
        <x:v>0</x:v>
      </x:c>
      <x:c r="P17">
        <x:v>6</x:v>
      </x:c>
    </x:row>
    <x:row r="18">
      <x:c r="A18" t="s">
        <x:v>149</x:v>
      </x:c>
      <x:c r="B18" t="s">
        <x:v>403</x:v>
      </x:c>
      <x:c r="C18" t="s">
        <x:v>408</x:v>
      </x:c>
      <x:c r="D18" t="s">
        <x:v>409</x:v>
      </x:c>
      <x:c r="E18" t="s">
        <x:v>146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253</x:v>
      </x:c>
      <x:c r="M18">
        <x:v>0</x:v>
      </x:c>
      <x:c r="P18">
        <x:v>14</x:v>
      </x:c>
    </x:row>
    <x:row r="19">
      <x:c r="A19" t="s">
        <x:v>154</x:v>
      </x:c>
      <x:c r="B19" t="s">
        <x:v>403</x:v>
      </x:c>
      <x:c r="C19" t="s">
        <x:v>410</x:v>
      </x:c>
      <x:c r="D19" t="s">
        <x:v>411</x:v>
      </x:c>
      <x:c r="E19" t="s">
        <x:v>149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253</x:v>
      </x:c>
      <x:c r="M19">
        <x:v>0</x:v>
      </x:c>
      <x:c r="P19">
        <x:v>18</x:v>
      </x:c>
    </x:row>
    <x:row r="20">
      <x:c r="A20" t="s">
        <x:v>159</x:v>
      </x:c>
      <x:c r="B20" t="s">
        <x:v>403</x:v>
      </x:c>
      <x:c r="C20" t="s">
        <x:v>412</x:v>
      </x:c>
      <x:c r="D20" t="s">
        <x:v>413</x:v>
      </x:c>
      <x:c r="E20" t="s">
        <x:v>154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253</x:v>
      </x:c>
      <x:c r="M20">
        <x:v>0</x:v>
      </x:c>
      <x:c r="P20">
        <x:v>6</x:v>
      </x:c>
    </x:row>
    <x:row r="21">
      <x:c r="A21" t="s">
        <x:v>414</x:v>
      </x:c>
      <x:c r="B21" t="s">
        <x:v>403</x:v>
      </x:c>
      <x:c r="C21" t="s">
        <x:v>415</x:v>
      </x:c>
      <x:c r="D21" t="s">
        <x:v>416</x:v>
      </x:c>
      <x:c r="E21" t="s">
        <x:v>159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253</x:v>
      </x:c>
      <x:c r="M21">
        <x:v>0</x:v>
      </x:c>
      <x:c r="P21">
        <x:v>6</x:v>
      </x:c>
    </x:row>
    <x:row r="22">
      <x:c r="A22" t="s">
        <x:v>417</x:v>
      </x:c>
      <x:c r="B22" t="s">
        <x:v>403</x:v>
      </x:c>
      <x:c r="C22" t="s">
        <x:v>418</x:v>
      </x:c>
      <x:c r="D22" t="s">
        <x:v>419</x:v>
      </x:c>
      <x:c r="E22" t="s">
        <x:v>414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253</x:v>
      </x:c>
      <x:c r="M22">
        <x:v>0</x:v>
      </x:c>
      <x:c r="P22">
        <x:v>6</x:v>
      </x:c>
    </x:row>
    <x:row r="23">
      <x:c r="A23" t="s">
        <x:v>165</x:v>
      </x:c>
      <x:c r="B23" t="s">
        <x:v>420</x:v>
      </x:c>
      <x:c r="C23" t="s">
        <x:v>421</x:v>
      </x:c>
      <x:c r="D23" t="s">
        <x:v>422</x:v>
      </x:c>
      <x:c r="E23" t="s">
        <x:v>417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251</x:v>
      </x:c>
      <x:c r="M23">
        <x:v>0.2</x:v>
      </x:c>
      <x:c r="P23">
        <x:v>8</x:v>
      </x:c>
      <x:c r="Q23" t="s">
        <x:v>423</x:v>
      </x:c>
    </x:row>
    <x:row r="24">
      <x:c r="A24" t="s">
        <x:v>170</x:v>
      </x:c>
      <x:c r="B24" t="s">
        <x:v>420</x:v>
      </x:c>
      <x:c r="C24" t="s">
        <x:v>424</x:v>
      </x:c>
      <x:c r="D24" t="s">
        <x:v>425</x:v>
      </x:c>
      <x:c r="E24" t="s">
        <x:v>165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251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426</x:v>
      </x:c>
    </x:row>
    <x:row r="25">
      <x:c r="A25" t="s">
        <x:v>175</x:v>
      </x:c>
      <x:c r="B25" t="s">
        <x:v>420</x:v>
      </x:c>
      <x:c r="C25" t="s">
        <x:v>427</x:v>
      </x:c>
      <x:c r="D25" t="s">
        <x:v>428</x:v>
      </x:c>
      <x:c r="E25" t="s">
        <x:v>170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382</x:v>
      </x:c>
      <x:c r="M25">
        <x:v>1</x:v>
      </x:c>
      <x:c r="P25">
        <x:v>0</x:v>
      </x:c>
      <x:c r="Q25" t="s">
        <x:v>429</x:v>
      </x:c>
    </x:row>
    <x:row r="26">
      <x:c r="A26" t="s">
        <x:v>180</x:v>
      </x:c>
      <x:c r="B26" t="s">
        <x:v>420</x:v>
      </x:c>
      <x:c r="C26" t="s">
        <x:v>430</x:v>
      </x:c>
      <x:c r="D26" t="s">
        <x:v>431</x:v>
      </x:c>
      <x:c r="E26" t="s">
        <x:v>175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253</x:v>
      </x:c>
      <x:c r="M26">
        <x:v>0</x:v>
      </x:c>
      <x:c r="P26">
        <x:v>10</x:v>
      </x:c>
    </x:row>
    <x:row r="27">
      <x:c r="A27" t="s">
        <x:v>432</x:v>
      </x:c>
      <x:c r="B27" t="s">
        <x:v>420</x:v>
      </x:c>
      <x:c r="C27" t="s">
        <x:v>433</x:v>
      </x:c>
      <x:c r="D27" t="s">
        <x:v>434</x:v>
      </x:c>
      <x:c r="E27" t="s">
        <x:v>175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253</x:v>
      </x:c>
      <x:c r="M27">
        <x:v>0</x:v>
      </x:c>
      <x:c r="P27">
        <x:v>10</x:v>
      </x:c>
    </x:row>
    <x:row r="28">
      <x:c r="A28" t="s">
        <x:v>435</x:v>
      </x:c>
      <x:c r="B28" t="s">
        <x:v>420</x:v>
      </x:c>
      <x:c r="C28" t="s">
        <x:v>436</x:v>
      </x:c>
      <x:c r="D28" t="s">
        <x:v>437</x:v>
      </x:c>
      <x:c r="E28" t="s">
        <x:v>180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253</x:v>
      </x:c>
      <x:c r="M28">
        <x:v>0</x:v>
      </x:c>
      <x:c r="P28">
        <x:v>8</x:v>
      </x:c>
    </x:row>
    <x:row r="29">
      <x:c r="A29" t="s">
        <x:v>438</x:v>
      </x:c>
      <x:c r="B29" t="s">
        <x:v>420</x:v>
      </x:c>
      <x:c r="C29" t="s">
        <x:v>439</x:v>
      </x:c>
      <x:c r="D29" t="s">
        <x:v>440</x:v>
      </x:c>
      <x:c r="E29" t="s">
        <x:v>432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253</x:v>
      </x:c>
      <x:c r="M29">
        <x:v>0</x:v>
      </x:c>
      <x:c r="P29">
        <x:v>4</x:v>
      </x:c>
    </x:row>
    <x:row r="30">
      <x:c r="A30" t="s">
        <x:v>441</x:v>
      </x:c>
      <x:c r="B30" t="s">
        <x:v>420</x:v>
      </x:c>
      <x:c r="C30" t="s">
        <x:v>442</x:v>
      </x:c>
      <x:c r="D30" t="s">
        <x:v>443</x:v>
      </x:c>
      <x:c r="E30" t="s">
        <x:v>435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253</x:v>
      </x:c>
      <x:c r="M30">
        <x:v>0</x:v>
      </x:c>
      <x:c r="P30">
        <x:v>4</x:v>
      </x:c>
    </x:row>
    <x:row r="31">
      <x:c r="A31" t="s">
        <x:v>186</x:v>
      </x:c>
      <x:c r="B31" t="s">
        <x:v>444</x:v>
      </x:c>
      <x:c r="C31" t="s">
        <x:v>445</x:v>
      </x:c>
      <x:c r="D31" t="s">
        <x:v>446</x:v>
      </x:c>
      <x:c r="E31" t="s">
        <x:v>441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253</x:v>
      </x:c>
      <x:c r="M31">
        <x:v>0</x:v>
      </x:c>
      <x:c r="P31">
        <x:v>18</x:v>
      </x:c>
    </x:row>
    <x:row r="32">
      <x:c r="A32" t="s">
        <x:v>191</x:v>
      </x:c>
      <x:c r="B32" t="s">
        <x:v>444</x:v>
      </x:c>
      <x:c r="C32" t="s">
        <x:v>447</x:v>
      </x:c>
      <x:c r="D32" t="s">
        <x:v>448</x:v>
      </x:c>
      <x:c r="E32" t="s">
        <x:v>186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253</x:v>
      </x:c>
      <x:c r="M32">
        <x:v>0</x:v>
      </x:c>
      <x:c r="P32">
        <x:v>12</x:v>
      </x:c>
    </x:row>
    <x:row r="33">
      <x:c r="A33" t="s">
        <x:v>197</x:v>
      </x:c>
      <x:c r="B33" t="s">
        <x:v>444</x:v>
      </x:c>
      <x:c r="C33" t="s">
        <x:v>449</x:v>
      </x:c>
      <x:c r="D33" t="s">
        <x:v>450</x:v>
      </x:c>
      <x:c r="E33" t="s">
        <x:v>191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253</x:v>
      </x:c>
      <x:c r="M33">
        <x:v>0</x:v>
      </x:c>
      <x:c r="P33">
        <x:v>12</x:v>
      </x:c>
    </x:row>
    <x:row r="34">
      <x:c r="A34" t="s">
        <x:v>202</x:v>
      </x:c>
      <x:c r="B34" t="s">
        <x:v>444</x:v>
      </x:c>
      <x:c r="C34" t="s">
        <x:v>451</x:v>
      </x:c>
      <x:c r="D34" t="s">
        <x:v>452</x:v>
      </x:c>
      <x:c r="E34" t="s">
        <x:v>197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253</x:v>
      </x:c>
      <x:c r="M34">
        <x:v>0</x:v>
      </x:c>
      <x:c r="P34">
        <x:v>8</x:v>
      </x:c>
    </x:row>
    <x:row r="35">
      <x:c r="A35" t="s">
        <x:v>453</x:v>
      </x:c>
      <x:c r="B35" t="s">
        <x:v>444</x:v>
      </x:c>
      <x:c r="C35" t="s">
        <x:v>454</x:v>
      </x:c>
      <x:c r="D35" t="s">
        <x:v>455</x:v>
      </x:c>
      <x:c r="E35" t="s">
        <x:v>202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253</x:v>
      </x:c>
      <x:c r="M35">
        <x:v>0</x:v>
      </x:c>
      <x:c r="P35">
        <x:v>10</x:v>
      </x:c>
    </x:row>
    <x:row r="36">
      <x:c r="A36" t="s">
        <x:v>456</x:v>
      </x:c>
      <x:c r="B36" t="s">
        <x:v>444</x:v>
      </x:c>
      <x:c r="C36" t="s">
        <x:v>457</x:v>
      </x:c>
      <x:c r="D36" t="s">
        <x:v>458</x:v>
      </x:c>
      <x:c r="E36" t="s">
        <x:v>453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253</x:v>
      </x:c>
      <x:c r="M36">
        <x:v>0</x:v>
      </x:c>
      <x:c r="P36">
        <x:v>10</x:v>
      </x:c>
    </x:row>
    <x:row r="37">
      <x:c r="A37" t="s">
        <x:v>459</x:v>
      </x:c>
      <x:c r="B37" t="s">
        <x:v>444</x:v>
      </x:c>
      <x:c r="C37" t="s">
        <x:v>460</x:v>
      </x:c>
      <x:c r="D37" t="s">
        <x:v>461</x:v>
      </x:c>
      <x:c r="E37" t="s">
        <x:v>456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253</x:v>
      </x:c>
      <x:c r="M37">
        <x:v>0</x:v>
      </x:c>
      <x:c r="P37">
        <x:v>10</x:v>
      </x:c>
    </x:row>
    <x:row r="38">
      <x:c r="A38" t="s">
        <x:v>462</x:v>
      </x:c>
      <x:c r="B38" t="s">
        <x:v>444</x:v>
      </x:c>
      <x:c r="C38" t="s">
        <x:v>463</x:v>
      </x:c>
      <x:c r="D38" t="s">
        <x:v>464</x:v>
      </x:c>
      <x:c r="E38" t="s">
        <x:v>459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253</x:v>
      </x:c>
      <x:c r="M38">
        <x:v>0</x:v>
      </x:c>
      <x:c r="P38">
        <x:v>8</x:v>
      </x:c>
    </x:row>
    <x:row r="39">
      <x:c r="A39" t="s">
        <x:v>208</x:v>
      </x:c>
      <x:c r="B39" t="s">
        <x:v>465</x:v>
      </x:c>
      <x:c r="C39" t="s">
        <x:v>466</x:v>
      </x:c>
      <x:c r="D39" t="s">
        <x:v>467</x:v>
      </x:c>
      <x:c r="E39" t="s">
        <x:v>462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253</x:v>
      </x:c>
      <x:c r="M39">
        <x:v>0</x:v>
      </x:c>
      <x:c r="P39">
        <x:v>8</x:v>
      </x:c>
    </x:row>
    <x:row r="40">
      <x:c r="A40" t="s">
        <x:v>213</x:v>
      </x:c>
      <x:c r="B40" t="s">
        <x:v>465</x:v>
      </x:c>
      <x:c r="C40" t="s">
        <x:v>468</x:v>
      </x:c>
      <x:c r="D40" t="s">
        <x:v>469</x:v>
      </x:c>
      <x:c r="E40" t="s">
        <x:v>208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253</x:v>
      </x:c>
      <x:c r="M40">
        <x:v>0</x:v>
      </x:c>
      <x:c r="P40">
        <x:v>10</x:v>
      </x:c>
    </x:row>
    <x:row r="41">
      <x:c r="A41" t="s">
        <x:v>218</x:v>
      </x:c>
      <x:c r="B41" t="s">
        <x:v>465</x:v>
      </x:c>
      <x:c r="C41" t="s">
        <x:v>470</x:v>
      </x:c>
      <x:c r="D41" t="s">
        <x:v>471</x:v>
      </x:c>
      <x:c r="E41" t="s">
        <x:v>213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253</x:v>
      </x:c>
      <x:c r="M41">
        <x:v>0</x:v>
      </x:c>
      <x:c r="P41">
        <x:v>18</x:v>
      </x:c>
    </x:row>
    <x:row r="42">
      <x:c r="A42" t="s">
        <x:v>472</x:v>
      </x:c>
      <x:c r="B42" t="s">
        <x:v>465</x:v>
      </x:c>
      <x:c r="C42" t="s">
        <x:v>473</x:v>
      </x:c>
      <x:c r="D42" t="s">
        <x:v>474</x:v>
      </x:c>
      <x:c r="E42" t="s">
        <x:v>218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253</x:v>
      </x:c>
      <x:c r="M42">
        <x:v>0</x:v>
      </x:c>
      <x:c r="P42">
        <x:v>14</x:v>
      </x:c>
    </x:row>
    <x:row r="43">
      <x:c r="A43" t="s">
        <x:v>475</x:v>
      </x:c>
      <x:c r="B43" t="s">
        <x:v>465</x:v>
      </x:c>
      <x:c r="C43" t="s">
        <x:v>476</x:v>
      </x:c>
      <x:c r="D43" t="s">
        <x:v>477</x:v>
      </x:c>
      <x:c r="E43" t="s">
        <x:v>218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253</x:v>
      </x:c>
      <x:c r="M43">
        <x:v>0</x:v>
      </x:c>
      <x:c r="P43">
        <x:v>14</x:v>
      </x:c>
    </x:row>
    <x:row r="44">
      <x:c r="A44" t="s">
        <x:v>478</x:v>
      </x:c>
      <x:c r="B44" t="s">
        <x:v>465</x:v>
      </x:c>
      <x:c r="C44" t="s">
        <x:v>479</x:v>
      </x:c>
      <x:c r="D44" t="s">
        <x:v>480</x:v>
      </x:c>
      <x:c r="E44" t="s">
        <x:v>472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253</x:v>
      </x:c>
      <x:c r="M44">
        <x:v>0</x:v>
      </x:c>
      <x:c r="P44">
        <x:v>20</x:v>
      </x:c>
    </x:row>
    <x:row r="45">
      <x:c r="A45" t="s">
        <x:v>481</x:v>
      </x:c>
      <x:c r="B45" t="s">
        <x:v>465</x:v>
      </x:c>
      <x:c r="C45" t="s">
        <x:v>482</x:v>
      </x:c>
      <x:c r="D45" t="s">
        <x:v>483</x:v>
      </x:c>
      <x:c r="E45" t="s">
        <x:v>478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253</x:v>
      </x:c>
      <x:c r="M45">
        <x:v>0</x:v>
      </x:c>
      <x:c r="P45">
        <x:v>12</x:v>
      </x:c>
    </x:row>
    <x:row r="46">
      <x:c r="A46" t="s">
        <x:v>224</x:v>
      </x:c>
      <x:c r="B46" t="s">
        <x:v>484</x:v>
      </x:c>
      <x:c r="C46" t="s">
        <x:v>485</x:v>
      </x:c>
      <x:c r="D46" t="s">
        <x:v>486</x:v>
      </x:c>
      <x:c r="E46" t="s">
        <x:v>481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253</x:v>
      </x:c>
      <x:c r="M46">
        <x:v>0</x:v>
      </x:c>
      <x:c r="P46">
        <x:v>10</x:v>
      </x:c>
    </x:row>
    <x:row r="47">
      <x:c r="A47" t="s">
        <x:v>230</x:v>
      </x:c>
      <x:c r="B47" t="s">
        <x:v>484</x:v>
      </x:c>
      <x:c r="C47" t="s">
        <x:v>487</x:v>
      </x:c>
      <x:c r="D47" t="s">
        <x:v>488</x:v>
      </x:c>
      <x:c r="E47" t="s">
        <x:v>224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253</x:v>
      </x:c>
      <x:c r="M47">
        <x:v>0</x:v>
      </x:c>
      <x:c r="P47">
        <x:v>16</x:v>
      </x:c>
    </x:row>
    <x:row r="48">
      <x:c r="A48" t="s">
        <x:v>235</x:v>
      </x:c>
      <x:c r="B48" t="s">
        <x:v>484</x:v>
      </x:c>
      <x:c r="C48" t="s">
        <x:v>489</x:v>
      </x:c>
      <x:c r="D48" t="s">
        <x:v>490</x:v>
      </x:c>
      <x:c r="E48" t="s">
        <x:v>230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253</x:v>
      </x:c>
      <x:c r="M48">
        <x:v>0</x:v>
      </x:c>
      <x:c r="P48">
        <x:v>12</x:v>
      </x:c>
    </x:row>
    <x:row r="49">
      <x:c r="A49" t="s">
        <x:v>491</x:v>
      </x:c>
      <x:c r="B49" t="s">
        <x:v>484</x:v>
      </x:c>
      <x:c r="C49" t="s">
        <x:v>492</x:v>
      </x:c>
      <x:c r="D49" t="s">
        <x:v>493</x:v>
      </x:c>
      <x:c r="E49" t="s">
        <x:v>235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253</x:v>
      </x:c>
      <x:c r="M49">
        <x:v>0</x:v>
      </x:c>
      <x:c r="P49">
        <x:v>10</x:v>
      </x:c>
    </x:row>
    <x:row r="50">
      <x:c r="A50" t="s">
        <x:v>494</x:v>
      </x:c>
      <x:c r="B50" t="s">
        <x:v>484</x:v>
      </x:c>
      <x:c r="C50" t="s">
        <x:v>495</x:v>
      </x:c>
      <x:c r="D50" t="s">
        <x:v>496</x:v>
      </x:c>
      <x:c r="E50" t="s">
        <x:v>491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253</x:v>
      </x:c>
      <x:c r="M50">
        <x:v>0</x:v>
      </x:c>
      <x:c r="P50">
        <x:v>16</x:v>
      </x:c>
    </x:row>
    <x:row r="51">
      <x:c r="A51" t="s">
        <x:v>497</x:v>
      </x:c>
      <x:c r="B51" t="s">
        <x:v>484</x:v>
      </x:c>
      <x:c r="C51" t="s">
        <x:v>498</x:v>
      </x:c>
      <x:c r="D51" t="s">
        <x:v>499</x:v>
      </x:c>
      <x:c r="E51" t="s">
        <x:v>494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253</x:v>
      </x:c>
      <x:c r="M51">
        <x:v>0</x:v>
      </x:c>
      <x:c r="P51">
        <x:v>14</x:v>
      </x:c>
    </x:row>
    <x:row r="52">
      <x:c r="A52" t="s">
        <x:v>500</x:v>
      </x:c>
      <x:c r="B52" t="s">
        <x:v>484</x:v>
      </x:c>
      <x:c r="C52" t="s">
        <x:v>501</x:v>
      </x:c>
      <x:c r="D52" t="s">
        <x:v>502</x:v>
      </x:c>
      <x:c r="E52" t="s">
        <x:v>497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253</x:v>
      </x:c>
      <x:c r="M52">
        <x:v>0</x:v>
      </x:c>
      <x:c r="P52">
        <x:v>16</x:v>
      </x:c>
    </x:row>
    <x:row r="53">
      <x:c r="A53" t="s">
        <x:v>503</x:v>
      </x:c>
      <x:c r="B53" t="s">
        <x:v>484</x:v>
      </x:c>
      <x:c r="C53" t="s">
        <x:v>504</x:v>
      </x:c>
      <x:c r="D53" t="s">
        <x:v>505</x:v>
      </x:c>
      <x:c r="E53" t="s">
        <x:v>500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253</x:v>
      </x:c>
      <x:c r="M53">
        <x:v>0</x:v>
      </x:c>
      <x:c r="P53">
        <x:v>10</x:v>
      </x:c>
    </x:row>
    <x:row r="54">
      <x:c r="A54" t="s">
        <x:v>506</x:v>
      </x:c>
      <x:c r="B54" t="s">
        <x:v>507</x:v>
      </x:c>
      <x:c r="C54" t="s">
        <x:v>508</x:v>
      </x:c>
      <x:c r="D54" t="s">
        <x:v>509</x:v>
      </x:c>
      <x:c r="E54" t="s">
        <x:v>503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253</x:v>
      </x:c>
      <x:c r="M54">
        <x:v>0</x:v>
      </x:c>
      <x:c r="P54">
        <x:v>6</x:v>
      </x:c>
    </x:row>
    <x:row r="55">
      <x:c r="A55" t="s">
        <x:v>510</x:v>
      </x:c>
      <x:c r="B55" t="s">
        <x:v>507</x:v>
      </x:c>
      <x:c r="C55" t="s">
        <x:v>511</x:v>
      </x:c>
      <x:c r="D55" t="s">
        <x:v>512</x:v>
      </x:c>
      <x:c r="E55" t="s">
        <x:v>506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253</x:v>
      </x:c>
      <x:c r="M55">
        <x:v>0</x:v>
      </x:c>
      <x:c r="P55">
        <x:v>10</x:v>
      </x:c>
    </x:row>
    <x:row r="56">
      <x:c r="A56" t="s">
        <x:v>513</x:v>
      </x:c>
      <x:c r="B56" t="s">
        <x:v>507</x:v>
      </x:c>
      <x:c r="C56" t="s">
        <x:v>514</x:v>
      </x:c>
      <x:c r="D56" t="s">
        <x:v>515</x:v>
      </x:c>
      <x:c r="E56" t="s">
        <x:v>510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253</x:v>
      </x:c>
      <x:c r="M56">
        <x:v>0</x:v>
      </x:c>
      <x:c r="P56">
        <x:v>14</x:v>
      </x:c>
    </x:row>
    <x:row r="57">
      <x:c r="A57" t="s">
        <x:v>516</x:v>
      </x:c>
      <x:c r="B57" t="s">
        <x:v>507</x:v>
      </x:c>
      <x:c r="C57" t="s">
        <x:v>517</x:v>
      </x:c>
      <x:c r="D57" t="s">
        <x:v>518</x:v>
      </x:c>
      <x:c r="E57" t="s">
        <x:v>513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253</x:v>
      </x:c>
      <x:c r="M57">
        <x:v>0</x:v>
      </x:c>
      <x:c r="P57">
        <x:v>8</x:v>
      </x:c>
    </x:row>
    <x:row r="58">
      <x:c r="A58" t="s">
        <x:v>519</x:v>
      </x:c>
      <x:c r="B58" t="s">
        <x:v>507</x:v>
      </x:c>
      <x:c r="C58" t="s">
        <x:v>520</x:v>
      </x:c>
      <x:c r="D58" t="s">
        <x:v>521</x:v>
      </x:c>
      <x:c r="E58" t="s">
        <x:v>516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253</x:v>
      </x:c>
      <x:c r="M58">
        <x:v>0</x:v>
      </x:c>
      <x:c r="P58">
        <x:v>10</x:v>
      </x:c>
    </x:row>
    <x:row r="59">
      <x:c r="A59" t="s">
        <x:v>522</x:v>
      </x:c>
      <x:c r="B59" t="s">
        <x:v>507</x:v>
      </x:c>
      <x:c r="C59" t="s">
        <x:v>523</x:v>
      </x:c>
      <x:c r="D59" t="s">
        <x:v>524</x:v>
      </x:c>
      <x:c r="E59" t="s">
        <x:v>519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253</x:v>
      </x:c>
      <x:c r="M59">
        <x:v>0</x:v>
      </x:c>
      <x:c r="P59">
        <x:v>4</x:v>
      </x:c>
    </x:row>
    <x:row r="60">
      <x:c r="A60" t="s">
        <x:v>525</x:v>
      </x:c>
      <x:c r="B60" t="s">
        <x:v>526</x:v>
      </x:c>
      <x:c r="C60" t="s">
        <x:v>527</x:v>
      </x:c>
      <x:c r="D60" t="s">
        <x:v>528</x:v>
      </x:c>
      <x:c r="E60" t="s">
        <x:v>522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253</x:v>
      </x:c>
      <x:c r="M60">
        <x:v>0</x:v>
      </x:c>
      <x:c r="P60">
        <x:v>12</x:v>
      </x:c>
    </x:row>
    <x:row r="61">
      <x:c r="A61" t="s">
        <x:v>529</x:v>
      </x:c>
      <x:c r="B61" t="s">
        <x:v>526</x:v>
      </x:c>
      <x:c r="C61" t="s">
        <x:v>530</x:v>
      </x:c>
      <x:c r="D61" t="s">
        <x:v>531</x:v>
      </x:c>
      <x:c r="E61" t="s">
        <x:v>525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253</x:v>
      </x:c>
      <x:c r="M61">
        <x:v>0</x:v>
      </x:c>
      <x:c r="P61">
        <x:v>10</x:v>
      </x:c>
    </x:row>
    <x:row r="62">
      <x:c r="A62" t="s">
        <x:v>532</x:v>
      </x:c>
      <x:c r="B62" t="s">
        <x:v>526</x:v>
      </x:c>
      <x:c r="C62" t="s">
        <x:v>533</x:v>
      </x:c>
      <x:c r="D62" t="s">
        <x:v>534</x:v>
      </x:c>
      <x:c r="E62" t="s">
        <x:v>525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253</x:v>
      </x:c>
      <x:c r="M62">
        <x:v>0</x:v>
      </x:c>
      <x:c r="P62">
        <x:v>10</x:v>
      </x:c>
    </x:row>
    <x:row r="63">
      <x:c r="A63" t="s">
        <x:v>535</x:v>
      </x:c>
      <x:c r="B63" t="s">
        <x:v>526</x:v>
      </x:c>
      <x:c r="C63" t="s">
        <x:v>536</x:v>
      </x:c>
      <x:c r="D63" t="s">
        <x:v>537</x:v>
      </x:c>
      <x:c r="E63" t="s">
        <x:v>529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253</x:v>
      </x:c>
      <x:c r="M63">
        <x:v>0</x:v>
      </x:c>
      <x:c r="P63">
        <x:v>10</x:v>
      </x:c>
    </x:row>
    <x:row r="64">
      <x:c r="A64" t="s">
        <x:v>538</x:v>
      </x:c>
      <x:c r="B64" t="s">
        <x:v>526</x:v>
      </x:c>
      <x:c r="C64" t="s">
        <x:v>539</x:v>
      </x:c>
      <x:c r="D64" t="s">
        <x:v>540</x:v>
      </x:c>
      <x:c r="E64" t="s">
        <x:v>532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253</x:v>
      </x:c>
      <x:c r="M64">
        <x:v>0</x:v>
      </x:c>
      <x:c r="P64">
        <x:v>8</x:v>
      </x:c>
    </x:row>
    <x:row r="65">
      <x:c r="A65" t="s">
        <x:v>541</x:v>
      </x:c>
      <x:c r="B65" t="s">
        <x:v>526</x:v>
      </x:c>
      <x:c r="C65" t="s">
        <x:v>542</x:v>
      </x:c>
      <x:c r="D65" t="s">
        <x:v>543</x:v>
      </x:c>
      <x:c r="E65" t="s">
        <x:v>535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253</x:v>
      </x:c>
      <x:c r="M65">
        <x:v>0</x:v>
      </x:c>
      <x:c r="P65">
        <x:v>6</x:v>
      </x:c>
    </x:row>
    <x:row r="66">
      <x:c r="A66" t="s">
        <x:v>544</x:v>
      </x:c>
      <x:c r="B66" t="s">
        <x:v>526</x:v>
      </x:c>
      <x:c r="C66" t="s">
        <x:v>545</x:v>
      </x:c>
      <x:c r="D66" t="s">
        <x:v>546</x:v>
      </x:c>
      <x:c r="E66" t="s">
        <x:v>538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253</x:v>
      </x:c>
      <x:c r="M66">
        <x:v>0</x:v>
      </x:c>
      <x:c r="P66">
        <x:v>4</x:v>
      </x:c>
    </x:row>
    <x:row r="69">
      <x:c r="A69" t="s">
        <x:v>547</x:v>
      </x:c>
    </x:row>
    <x:row r="70">
      <x:c r="A70" t="s">
        <x:v>113</x:v>
      </x:c>
      <x:c r="B70" t="s">
        <x:v>70</x:v>
      </x:c>
      <x:c r="C70" t="s">
        <x:v>548</x:v>
      </x:c>
      <x:c r="D70" t="s">
        <x:v>549</x:v>
      </x:c>
      <x:c r="E70" t="s">
        <x:v>74</x:v>
      </x:c>
      <x:c r="F70" t="s">
        <x:v>75</x:v>
      </x:c>
      <x:c r="G70" t="s">
        <x:v>76</x:v>
      </x:c>
      <x:c r="H70" t="s">
        <x:v>77</x:v>
      </x:c>
      <x:c r="I70" t="s">
        <x:v>550</x:v>
      </x:c>
      <x:c r="J70" t="s">
        <x:v>551</x:v>
      </x:c>
      <x:c r="K70" t="s">
        <x:v>552</x:v>
      </x:c>
      <x:c r="L70" t="s">
        <x:v>553</x:v>
      </x:c>
      <x:c r="M70" t="s">
        <x:v>554</x:v>
      </x:c>
      <x:c r="N70" t="s">
        <x:v>555</x:v>
      </x:c>
      <x:c r="O70" t="s">
        <x:v>556</x:v>
      </x:c>
      <x:c r="P70" t="s">
        <x:v>557</x:v>
      </x:c>
      <x:c r="Q70" t="s">
        <x:v>558</x:v>
      </x:c>
      <x:c r="R70" t="s">
        <x:v>559</x:v>
      </x:c>
      <x:c r="S70" t="s">
        <x:v>560</x:v>
      </x:c>
      <x:c r="T70" t="s">
        <x:v>561</x:v>
      </x:c>
    </x:row>
    <x:row r="71">
      <x:c r="A71" t="s">
        <x:v>86</x:v>
      </x:c>
      <x:c r="B71" t="s">
        <x:v>379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562</x:v>
      </x:c>
      <x:c r="H71" t="s">
        <x:v>563</x:v>
      </x:c>
      <x:c r="I71" t="s">
        <x:v>90</x:v>
      </x:c>
      <x:c r="J71" t="s">
        <x:v>90</x:v>
      </x:c>
      <x:c r="K71" t="s">
        <x:v>90</x:v>
      </x:c>
      <x:c r="L71" t="s">
        <x:v>90</x:v>
      </x:c>
      <x:c r="M71" t="s">
        <x:v>90</x:v>
      </x:c>
      <x:c r="N71" t="s">
        <x:v>90</x:v>
      </x:c>
      <x:c r="O71" t="s">
        <x:v>90</x:v>
      </x:c>
      <x:c r="P71" t="s">
        <x:v>90</x:v>
      </x:c>
      <x:c r="Q71" t="s">
        <x:v>90</x:v>
      </x:c>
      <x:c r="R71" t="s">
        <x:v>90</x:v>
      </x:c>
      <x:c r="S71" t="s">
        <x:v>90</x:v>
      </x:c>
      <x:c r="T71" t="s">
        <x:v>90</x:v>
      </x:c>
    </x:row>
    <x:row r="72">
      <x:c r="A72" t="s">
        <x:v>6</x:v>
      </x:c>
      <x:c r="B72" t="s">
        <x:v>403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564</x:v>
      </x:c>
      <x:c r="H72" t="s">
        <x:v>565</x:v>
      </x:c>
      <x:c r="I72" t="s">
        <x:v>90</x:v>
      </x:c>
      <x:c r="J72" t="s">
        <x:v>90</x:v>
      </x:c>
    </x:row>
    <x:row r="73">
      <x:c r="A73" t="s">
        <x:v>9</x:v>
      </x:c>
      <x:c r="B73" t="s">
        <x:v>420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566</x:v>
      </x:c>
      <x:c r="H73" t="s">
        <x:v>567</x:v>
      </x:c>
      <x:c r="J73" t="s">
        <x:v>90</x:v>
      </x:c>
      <x:c r="K73" t="s">
        <x:v>90</x:v>
      </x:c>
      <x:c r="L73" t="s">
        <x:v>90</x:v>
      </x:c>
    </x:row>
    <x:row r="74">
      <x:c r="A74" t="s">
        <x:v>12</x:v>
      </x:c>
      <x:c r="B74" t="s">
        <x:v>444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568</x:v>
      </x:c>
      <x:c r="H74" t="s">
        <x:v>569</x:v>
      </x:c>
      <x:c r="L74" t="s">
        <x:v>90</x:v>
      </x:c>
      <x:c r="M74" t="s">
        <x:v>90</x:v>
      </x:c>
      <x:c r="N74" t="s">
        <x:v>90</x:v>
      </x:c>
    </x:row>
    <x:row r="75">
      <x:c r="A75" t="s">
        <x:v>16</x:v>
      </x:c>
      <x:c r="B75" t="s">
        <x:v>465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570</x:v>
      </x:c>
      <x:c r="H75" t="s">
        <x:v>571</x:v>
      </x:c>
      <x:c r="N75" t="s">
        <x:v>90</x:v>
      </x:c>
      <x:c r="O75" t="s">
        <x:v>90</x:v>
      </x:c>
      <x:c r="P75" t="s">
        <x:v>90</x:v>
      </x:c>
    </x:row>
    <x:row r="76">
      <x:c r="A76" t="s">
        <x:v>19</x:v>
      </x:c>
      <x:c r="B76" t="s">
        <x:v>484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572</x:v>
      </x:c>
      <x:c r="H76" t="s">
        <x:v>573</x:v>
      </x:c>
      <x:c r="P76" t="s">
        <x:v>90</x:v>
      </x:c>
      <x:c r="Q76" t="s">
        <x:v>90</x:v>
      </x:c>
      <x:c r="R76" t="s">
        <x:v>90</x:v>
      </x:c>
    </x:row>
    <x:row r="77">
      <x:c r="A77" t="s">
        <x:v>22</x:v>
      </x:c>
      <x:c r="B77" t="s">
        <x:v>507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574</x:v>
      </x:c>
      <x:c r="H77" t="s">
        <x:v>575</x:v>
      </x:c>
      <x:c r="R77" t="s">
        <x:v>90</x:v>
      </x:c>
      <x:c r="S77" t="s">
        <x:v>90</x:v>
      </x:c>
    </x:row>
    <x:row r="78">
      <x:c r="A78" t="s">
        <x:v>25</x:v>
      </x:c>
      <x:c r="B78" t="s">
        <x:v>526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576</x:v>
      </x:c>
      <x:c r="H78" t="s">
        <x:v>577</x:v>
      </x:c>
      <x:c r="S78" t="s">
        <x:v>90</x:v>
      </x:c>
      <x:c r="T78" t="s">
        <x:v>90</x:v>
      </x:c>
    </x:row>
    <x:row r="79">
      <x:c r="A79" t="s">
        <x:v>578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579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580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581</x:v>
      </x:c>
      <x:c r="B4" s="80" t="s">
        <x:v>582</x:v>
      </x:c>
      <x:c r="C4" s="80" t="s">
        <x:v>74</x:v>
      </x:c>
      <x:c r="D4" s="80" t="s">
        <x:v>583</x:v>
      </x:c>
      <x:c r="E4" s="80" t="s">
        <x:v>584</x:v>
      </x:c>
      <x:c r="F4" s="80" t="s">
        <x:v>72</x:v>
      </x:c>
      <x:c r="G4" s="80" t="s">
        <x:v>585</x:v>
      </x:c>
      <x:c r="H4" s="80" t="s">
        <x:v>121</x:v>
      </x:c>
      <x:c r="I4" s="80" t="s">
        <x:v>586</x:v>
      </x:c>
      <x:c r="J4" s="80" t="s">
        <x:v>587</x:v>
      </x:c>
      <x:c r="K4" s="80" t="s">
        <x:v>588</x:v>
      </x:c>
      <x:c r="L4" s="80" t="s">
        <x:v>125</x:v>
      </x:c>
      <x:c r="M4" s="80" t="s">
        <x:v>589</x:v>
      </x:c>
    </x:row>
    <x:row r="5" ht="42.75">
      <x:c r="A5" s="83" t="s">
        <x:v>590</x:v>
      </x:c>
      <x:c r="B5" s="84">
        <x:v>46201</x:v>
      </x:c>
      <x:c r="C5" s="83"/>
      <x:c r="D5" s="83"/>
      <x:c r="E5" s="83" t="s">
        <x:v>127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382</x:v>
      </x:c>
      <x:c r="I5" s="83" t="s">
        <x:v>591</x:v>
      </x:c>
      <x:c r="J5" s="83" t="s">
        <x:v>592</x:v>
      </x:c>
      <x:c r="K5" s="83" t="s">
        <x:v>593</x:v>
      </x:c>
      <x:c r="L5" s="83" t="s">
        <x:v>594</x:v>
      </x:c>
      <x:c r="M5" s="83" t="s">
        <x:v>595</x:v>
      </x:c>
    </x:row>
    <x:row r="6" ht="42.75">
      <x:c r="A6" s="83" t="s">
        <x:v>596</x:v>
      </x:c>
      <x:c r="B6" s="84">
        <x:v>46203</x:v>
      </x:c>
      <x:c r="C6" s="83"/>
      <x:c r="D6" s="83"/>
      <x:c r="E6" s="83" t="s">
        <x:v>133</x:v>
      </x:c>
      <x:c r="F6" s="85">
        <x:v>1.5</x:v>
      </x:c>
      <x:c r="G6" s="178">
        <x:f t="shared" si="0"/>
        <x:v>1</x:v>
      </x:c>
      <x:c r="H6" s="83" t="s">
        <x:v>382</x:v>
      </x:c>
      <x:c r="I6" s="83" t="s">
        <x:v>597</x:v>
      </x:c>
      <x:c r="J6" s="83" t="s">
        <x:v>598</x:v>
      </x:c>
      <x:c r="K6" s="83" t="s">
        <x:v>599</x:v>
      </x:c>
      <x:c r="L6" s="83" t="s">
        <x:v>600</x:v>
      </x:c>
      <x:c r="M6" s="83" t="s">
        <x:v>601</x:v>
      </x:c>
    </x:row>
    <x:row r="7" ht="42.75">
      <x:c r="A7" s="83" t="s">
        <x:v>602</x:v>
      </x:c>
      <x:c r="B7" s="84">
        <x:v>46207</x:v>
      </x:c>
      <x:c r="C7" s="83" t="s">
        <x:v>603</x:v>
      </x:c>
      <x:c r="D7" s="83" t="s">
        <x:v>604</x:v>
      </x:c>
      <x:c r="E7" s="83" t="s">
        <x:v>138</x:v>
      </x:c>
      <x:c r="F7" s="85">
        <x:v>0.62</x:v>
      </x:c>
      <x:c r="G7" s="178">
        <x:f t="shared" si="0"/>
        <x:v>1</x:v>
      </x:c>
      <x:c r="H7" s="83" t="s">
        <x:v>382</x:v>
      </x:c>
      <x:c r="I7" s="83" t="s">
        <x:v>605</x:v>
      </x:c>
      <x:c r="J7" s="83" t="s">
        <x:v>606</x:v>
      </x:c>
      <x:c r="K7" s="83" t="s">
        <x:v>607</x:v>
      </x:c>
      <x:c r="L7" s="83" t="s">
        <x:v>608</x:v>
      </x:c>
      <x:c r="M7" s="83" t="s">
        <x:v>609</x:v>
      </x:c>
    </x:row>
    <x:row r="8" ht="57">
      <x:c r="A8" s="83" t="s">
        <x:v>610</x:v>
      </x:c>
      <x:c r="B8" s="84">
        <x:v>46207</x:v>
      </x:c>
      <x:c r="C8" s="83" t="s">
        <x:v>604</x:v>
      </x:c>
      <x:c r="D8" s="83" t="s">
        <x:v>611</x:v>
      </x:c>
      <x:c r="E8" s="83" t="s">
        <x:v>138</x:v>
      </x:c>
      <x:c r="F8" s="85">
        <x:v>1.53</x:v>
      </x:c>
      <x:c r="G8" s="178">
        <x:f t="shared" si="0"/>
        <x:v>1</x:v>
      </x:c>
      <x:c r="H8" s="83" t="s">
        <x:v>382</x:v>
      </x:c>
      <x:c r="I8" s="83" t="s">
        <x:v>612</x:v>
      </x:c>
      <x:c r="J8" s="83" t="s">
        <x:v>613</x:v>
      </x:c>
      <x:c r="K8" s="83" t="s">
        <x:v>614</x:v>
      </x:c>
      <x:c r="L8" s="83" t="s">
        <x:v>615</x:v>
      </x:c>
      <x:c r="M8" s="83" t="s">
        <x:v>616</x:v>
      </x:c>
    </x:row>
    <x:row r="9" ht="42.75">
      <x:c r="A9" s="83" t="s">
        <x:v>617</x:v>
      </x:c>
      <x:c r="B9" s="84">
        <x:v>46207</x:v>
      </x:c>
      <x:c r="C9" s="83" t="s">
        <x:v>611</x:v>
      </x:c>
      <x:c r="D9" s="83" t="s">
        <x:v>618</x:v>
      </x:c>
      <x:c r="E9" s="83" t="s">
        <x:v>133</x:v>
      </x:c>
      <x:c r="F9" s="85">
        <x:v>1.33</x:v>
      </x:c>
      <x:c r="G9" s="178">
        <x:f t="shared" si="0"/>
        <x:v>1</x:v>
      </x:c>
      <x:c r="H9" s="83" t="s">
        <x:v>382</x:v>
      </x:c>
      <x:c r="I9" s="83" t="s">
        <x:v>619</x:v>
      </x:c>
      <x:c r="J9" s="83" t="s">
        <x:v>620</x:v>
      </x:c>
      <x:c r="K9" s="83" t="s">
        <x:v>621</x:v>
      </x:c>
      <x:c r="L9" s="83" t="s">
        <x:v>622</x:v>
      </x:c>
      <x:c r="M9" s="83" t="s">
        <x:v>623</x:v>
      </x:c>
    </x:row>
    <x:row r="10" ht="42.75">
      <x:c r="A10" s="83" t="s">
        <x:v>624</x:v>
      </x:c>
      <x:c r="B10" s="84">
        <x:v>46207</x:v>
      </x:c>
      <x:c r="C10" s="83" t="s">
        <x:v>618</x:v>
      </x:c>
      <x:c r="D10" s="83" t="s">
        <x:v>625</x:v>
      </x:c>
      <x:c r="E10" s="83" t="s">
        <x:v>133</x:v>
      </x:c>
      <x:c r="F10" s="85">
        <x:v>7.0000000000000007E-2</x:v>
      </x:c>
      <x:c r="G10" s="178">
        <x:f t="shared" si="0"/>
        <x:v>1</x:v>
      </x:c>
      <x:c r="H10" s="83" t="s">
        <x:v>382</x:v>
      </x:c>
      <x:c r="I10" s="83" t="s">
        <x:v>626</x:v>
      </x:c>
      <x:c r="J10" s="83" t="s">
        <x:v>627</x:v>
      </x:c>
      <x:c r="K10" s="83" t="s">
        <x:v>628</x:v>
      </x:c>
      <x:c r="L10" s="83" t="s">
        <x:v>629</x:v>
      </x:c>
      <x:c r="M10" s="83" t="s">
        <x:v>630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>
      <x:c r="A12" s="83"/>
      <x:c r="B12" s="84"/>
      <x:c r="C12" s="83"/>
      <x:c r="D12" s="83"/>
      <x:c r="E12" s="83"/>
      <x:c r="F12" s="85"/>
      <x:c r="G12" s="178"/>
      <x:c r="H12" s="83"/>
      <x:c r="I12" s="83"/>
      <x:c r="J12" s="83"/>
      <x:c r="K12" s="83"/>
      <x:c r="L12" s="83"/>
      <x:c r="M12" s="83"/>
    </x:row>
    <x:row r="13">
      <x:c r="A13" s="83"/>
      <x:c r="B13" s="84"/>
      <x:c r="C13" s="83"/>
      <x:c r="D13" s="83"/>
      <x:c r="E13" s="83"/>
      <x:c r="F13" s="85"/>
      <x:c r="G13" s="178"/>
      <x:c r="H13" s="83"/>
      <x:c r="I13" s="83"/>
      <x:c r="J13" s="83"/>
      <x:c r="K13" s="83"/>
      <x:c r="L13" s="83"/>
      <x:c r="M13" s="83"/>
    </x:row>
    <x:row r="14">
      <x:c r="A14" s="83"/>
      <x:c r="B14" s="84"/>
      <x:c r="C14" s="83"/>
      <x:c r="D14" s="83"/>
      <x:c r="E14" s="83"/>
      <x:c r="F14" s="85"/>
      <x:c r="G14" s="178"/>
      <x:c r="H14" s="83"/>
      <x:c r="I14" s="83"/>
      <x:c r="J14" s="83"/>
      <x:c r="K14" s="83"/>
      <x:c r="L14" s="83"/>
      <x:c r="M14" s="83"/>
    </x:row>
    <x:row r="15">
      <x:c r="A15" s="83"/>
      <x:c r="B15" s="84"/>
      <x:c r="C15" s="83"/>
      <x:c r="D15" s="83"/>
      <x:c r="E15" s="83"/>
      <x:c r="F15" s="85"/>
      <x:c r="G15" s="178"/>
      <x:c r="H15" s="83"/>
      <x:c r="I15" s="83"/>
      <x:c r="J15" s="83"/>
      <x:c r="K15" s="83"/>
      <x:c r="L15" s="83"/>
      <x:c r="M15" s="83"/>
    </x:row>
    <x:row r="16">
      <x:c r="A16" s="83"/>
      <x:c r="B16" s="84"/>
      <x:c r="C16" s="83"/>
      <x:c r="D16" s="83"/>
      <x:c r="E16" s="83"/>
      <x:c r="F16" s="85"/>
      <x:c r="G16" s="178"/>
      <x:c r="H16" s="83"/>
      <x:c r="I16" s="83"/>
      <x:c r="J16" s="83"/>
      <x:c r="K16" s="83"/>
      <x:c r="L16" s="83"/>
      <x:c r="M16" s="83"/>
    </x:row>
    <x:row r="17">
      <x:c r="A17" s="83"/>
      <x:c r="B17" s="84"/>
      <x:c r="C17" s="83"/>
      <x:c r="D17" s="83"/>
      <x:c r="E17" s="83"/>
      <x:c r="F17" s="85"/>
      <x:c r="G17" s="178"/>
      <x:c r="H17" s="83"/>
      <x:c r="I17" s="83"/>
      <x:c r="J17" s="83"/>
      <x:c r="K17" s="83"/>
      <x:c r="L17" s="83"/>
      <x:c r="M17" s="83"/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48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631</x:v>
      </x:c>
      <x:c r="B3" s="80" t="s">
        <x:v>582</x:v>
      </x:c>
      <x:c r="C3" s="80" t="s">
        <x:v>632</x:v>
      </x:c>
      <x:c r="D3" s="80" t="s">
        <x:v>633</x:v>
      </x:c>
      <x:c r="E3" s="80" t="s">
        <x:v>121</x:v>
      </x:c>
      <x:c r="F3" s="80" t="s">
        <x:v>634</x:v>
      </x:c>
      <x:c r="G3" s="80" t="s">
        <x:v>635</x:v>
      </x:c>
      <x:c r="H3" s="80" t="s">
        <x:v>636</x:v>
      </x:c>
    </x:row>
    <x:row r="4" ht="28.5">
      <x:c r="A4" s="78" t="s">
        <x:v>637</x:v>
      </x:c>
      <x:c r="B4" s="81">
        <x:v>46200</x:v>
      </x:c>
      <x:c r="C4" s="78" t="s">
        <x:v>638</x:v>
      </x:c>
      <x:c r="D4" s="78" t="s">
        <x:v>639</x:v>
      </x:c>
      <x:c r="E4" s="78" t="s">
        <x:v>640</x:v>
      </x:c>
      <x:c r="F4" s="78" t="s">
        <x:v>641</x:v>
      </x:c>
      <x:c r="G4" s="78" t="s">
        <x:v>642</x:v>
      </x:c>
      <x:c r="H4" s="78" t="s">
        <x:v>643</x:v>
      </x:c>
    </x:row>
    <x:row r="5" ht="28.5">
      <x:c r="A5" s="78" t="s">
        <x:v>644</x:v>
      </x:c>
      <x:c r="B5" s="81">
        <x:v>46200</x:v>
      </x:c>
      <x:c r="C5" s="78" t="s">
        <x:v>645</x:v>
      </x:c>
      <x:c r="D5" s="78" t="s">
        <x:v>646</x:v>
      </x:c>
      <x:c r="E5" s="78" t="s">
        <x:v>640</x:v>
      </x:c>
      <x:c r="F5" s="78" t="s">
        <x:v>641</x:v>
      </x:c>
      <x:c r="G5" s="78" t="s">
        <x:v>344</x:v>
      </x:c>
      <x:c r="H5" s="78" t="s">
        <x:v>647</x:v>
      </x:c>
    </x:row>
    <x:row r="6" ht="28.5">
      <x:c r="A6" s="78" t="s">
        <x:v>648</x:v>
      </x:c>
      <x:c r="B6" s="81">
        <x:v>46207</x:v>
      </x:c>
      <x:c r="C6" s="78" t="s">
        <x:v>649</x:v>
      </x:c>
      <x:c r="D6" s="78" t="s">
        <x:v>650</x:v>
      </x:c>
      <x:c r="E6" s="78" t="s">
        <x:v>640</x:v>
      </x:c>
      <x:c r="F6" s="78" t="s">
        <x:v>133</x:v>
      </x:c>
      <x:c r="G6" s="78" t="s">
        <x:v>651</x:v>
      </x:c>
      <x:c r="H6" s="78" t="s">
        <x:v>652</x:v>
      </x:c>
    </x:row>
    <x:row r="7" ht="28.5">
      <x:c r="A7" s="78" t="s">
        <x:v>653</x:v>
      </x:c>
      <x:c r="B7" s="81">
        <x:v>46207</x:v>
      </x:c>
      <x:c r="C7" s="78" t="s">
        <x:v>654</x:v>
      </x:c>
      <x:c r="D7" s="78" t="s">
        <x:v>655</x:v>
      </x:c>
      <x:c r="E7" s="78" t="s">
        <x:v>640</x:v>
      </x:c>
      <x:c r="F7" s="78" t="s">
        <x:v>656</x:v>
      </x:c>
      <x:c r="G7" s="78" t="s">
        <x:v>657</x:v>
      </x:c>
      <x:c r="H7" s="78" t="s">
        <x:v>658</x:v>
      </x:c>
    </x:row>
    <x:row r="8" ht="28.5">
      <x:c r="A8" s="78" t="s">
        <x:v>659</x:v>
      </x:c>
      <x:c r="B8" s="81">
        <x:v>46207</x:v>
      </x:c>
      <x:c r="C8" s="78" t="s">
        <x:v>274</x:v>
      </x:c>
      <x:c r="D8" s="78" t="s">
        <x:v>660</x:v>
      </x:c>
      <x:c r="E8" s="78" t="s">
        <x:v>640</x:v>
      </x:c>
      <x:c r="F8" s="78" t="s">
        <x:v>661</x:v>
      </x:c>
      <x:c r="G8" s="78" t="s">
        <x:v>662</x:v>
      </x:c>
      <x:c r="H8" s="78" t="s">
        <x:v>663</x:v>
      </x:c>
    </x:row>
    <x:row r="9" ht="28.5">
      <x:c r="A9" s="78" t="s">
        <x:v>664</x:v>
      </x:c>
      <x:c r="B9" s="81">
        <x:v>46207</x:v>
      </x:c>
      <x:c r="C9" s="78" t="s">
        <x:v>665</x:v>
      </x:c>
      <x:c r="D9" s="78" t="s">
        <x:v>666</x:v>
      </x:c>
      <x:c r="E9" s="78" t="s">
        <x:v>640</x:v>
      </x:c>
      <x:c r="F9" s="78" t="s">
        <x:v>667</x:v>
      </x:c>
      <x:c r="G9" s="78" t="s">
        <x:v>668</x:v>
      </x:c>
      <x:c r="H9" s="78" t="s">
        <x:v>669</x:v>
      </x:c>
    </x:row>
    <x:row r="10" ht="28.5">
      <x:c r="A10" s="78" t="s">
        <x:v>670</x:v>
      </x:c>
      <x:c r="B10" s="81">
        <x:v>46207</x:v>
      </x:c>
      <x:c r="C10" s="78" t="s">
        <x:v>671</x:v>
      </x:c>
      <x:c r="D10" s="78" t="s">
        <x:v>672</x:v>
      </x:c>
      <x:c r="E10" s="78" t="s">
        <x:v>640</x:v>
      </x:c>
      <x:c r="F10" s="78" t="s">
        <x:v>673</x:v>
      </x:c>
      <x:c r="G10" s="78" t="s">
        <x:v>674</x:v>
      </x:c>
      <x:c r="H10" s="78" t="s">
        <x:v>675</x:v>
      </x:c>
    </x:row>
    <x:row r="11" ht="28.5">
      <x:c r="A11" s="78" t="s">
        <x:v>676</x:v>
      </x:c>
      <x:c r="B11" s="81">
        <x:v>46207</x:v>
      </x:c>
      <x:c r="C11" s="78" t="s">
        <x:v>677</x:v>
      </x:c>
      <x:c r="D11" s="78" t="s">
        <x:v>678</x:v>
      </x:c>
      <x:c r="E11" s="78" t="s">
        <x:v>640</x:v>
      </x:c>
      <x:c r="F11" s="78" t="s">
        <x:v>679</x:v>
      </x:c>
      <x:c r="G11" s="78" t="s">
        <x:v>338</x:v>
      </x:c>
      <x:c r="H11" s="78" t="s">
        <x:v>680</x:v>
      </x:c>
    </x:row>
    <x:row r="12" ht="62.099998474121094" customHeight="1">
      <x:c r="A12" s="182" t="s">
        <x:v>681</x:v>
      </x:c>
      <x:c r="B12" s="196">
        <x:v>46208</x:v>
      </x:c>
      <x:c r="C12" s="183" t="s">
        <x:v>682</x:v>
      </x:c>
      <x:c r="D12" s="183" t="s">
        <x:v>683</x:v>
      </x:c>
      <x:c r="E12" s="183" t="s">
        <x:v>640</x:v>
      </x:c>
      <x:c r="F12" s="183" t="s">
        <x:v>684</x:v>
      </x:c>
      <x:c r="G12" s="183" t="s">
        <x:v>685</x:v>
      </x:c>
      <x:c r="H12" s="184" t="s">
        <x:v>686</x:v>
      </x:c>
    </x:row>
    <x:row r="13" ht="62.099998474121094" customHeight="1">
      <x:c r="A13" s="187" t="s">
        <x:v>687</x:v>
      </x:c>
      <x:c r="B13" s="197">
        <x:v>46208</x:v>
      </x:c>
      <x:c r="C13" s="188" t="s">
        <x:v>688</x:v>
      </x:c>
      <x:c r="D13" s="188" t="s">
        <x:v>689</x:v>
      </x:c>
      <x:c r="E13" s="188" t="s">
        <x:v>640</x:v>
      </x:c>
      <x:c r="F13" s="188" t="s">
        <x:v>690</x:v>
      </x:c>
      <x:c r="G13" s="188" t="s">
        <x:v>691</x:v>
      </x:c>
      <x:c r="H13" s="189" t="s">
        <x:v>692</x:v>
      </x:c>
    </x:row>
    <x:row r="14">
      <x:c r="A14" s="78"/>
      <x:c r="B14" s="78"/>
      <x:c r="C14" s="78"/>
      <x:c r="D14" s="78"/>
      <x:c r="E14" s="78"/>
      <x:c r="F14" s="78"/>
      <x:c r="G14" s="78"/>
      <x:c r="H14" s="78"/>
    </x:row>
    <x:row r="15">
      <x:c r="A15" s="78"/>
      <x:c r="B15" s="78"/>
      <x:c r="C15" s="78"/>
      <x:c r="D15" s="78"/>
      <x:c r="E15" s="78"/>
      <x:c r="F15" s="78"/>
      <x:c r="G15" s="78"/>
      <x:c r="H15" s="78"/>
    </x:row>
    <x:row r="16">
      <x:c r="A16" s="78"/>
      <x:c r="B16" s="78"/>
      <x:c r="C16" s="78"/>
      <x:c r="D16" s="78"/>
      <x:c r="E16" s="78"/>
      <x:c r="F16" s="78"/>
      <x:c r="G16" s="78"/>
      <x:c r="H16" s="78"/>
    </x:row>
    <x:row r="17">
      <x:c r="A17" s="78"/>
      <x:c r="B17" s="78"/>
      <x:c r="C17" s="78"/>
      <x:c r="D17" s="78"/>
      <x:c r="E17" s="78"/>
      <x:c r="F17" s="78"/>
      <x:c r="G17" s="78"/>
      <x:c r="H17" s="78"/>
    </x:row>
    <x:row r="18">
      <x:c r="A18" s="78"/>
      <x:c r="B18" s="78"/>
      <x:c r="C18" s="78"/>
      <x:c r="D18" s="78"/>
      <x:c r="E18" s="78"/>
      <x:c r="F18" s="78"/>
      <x:c r="G18" s="78"/>
      <x:c r="H18" s="78"/>
    </x:row>
    <x:row r="19">
      <x:c r="A19" s="78"/>
      <x:c r="B19" s="78"/>
      <x:c r="C19" s="78"/>
      <x:c r="D19" s="78"/>
      <x:c r="E19" s="78"/>
      <x:c r="F19" s="78"/>
      <x:c r="G19" s="78"/>
      <x:c r="H19" s="78"/>
    </x:row>
    <x:row r="20">
      <x:c r="A20" s="78"/>
      <x:c r="B20" s="78"/>
      <x:c r="C20" s="78"/>
      <x:c r="D20" s="78"/>
      <x:c r="E20" s="78"/>
      <x:c r="F20" s="78"/>
      <x:c r="G20" s="78"/>
      <x:c r="H20" s="78"/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693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69</x:v>
      </x:c>
      <x:c r="B3" s="80" t="s">
        <x:v>332</x:v>
      </x:c>
      <x:c r="C3" s="80" t="s">
        <x:v>694</x:v>
      </x:c>
      <x:c r="D3" s="80" t="s">
        <x:v>695</x:v>
      </x:c>
      <x:c r="E3" s="80" t="s">
        <x:v>696</x:v>
      </x:c>
      <x:c r="F3" s="80" t="s">
        <x:v>697</x:v>
      </x:c>
      <x:c r="G3" s="80" t="s">
        <x:v>698</x:v>
      </x:c>
      <x:c r="H3" s="80" t="s">
        <x:v>121</x:v>
      </x:c>
      <x:c r="I3" s="80" t="s">
        <x:v>699</x:v>
      </x:c>
      <x:c r="J3" s="80" t="s">
        <x:v>126</x:v>
      </x:c>
    </x:row>
    <x:row r="4" ht="28.5">
      <x:c r="A4" s="78" t="s">
        <x:v>700</x:v>
      </x:c>
      <x:c r="B4" s="78" t="s">
        <x:v>701</x:v>
      </x:c>
      <x:c r="C4" s="78" t="s">
        <x:v>702</x:v>
      </x:c>
      <x:c r="D4" s="78" t="s">
        <x:v>703</x:v>
      </x:c>
      <x:c r="E4" s="78" t="s">
        <x:v>703</x:v>
      </x:c>
      <x:c r="F4" s="78" t="s">
        <x:v>704</x:v>
      </x:c>
      <x:c r="G4" s="78" t="s">
        <x:v>705</x:v>
      </x:c>
      <x:c r="H4" s="78" t="s">
        <x:v>706</x:v>
      </x:c>
      <x:c r="I4" s="81">
        <x:v>46215</x:v>
      </x:c>
      <x:c r="J4" s="78" t="s">
        <x:v>707</x:v>
      </x:c>
    </x:row>
    <x:row r="5" ht="28.5">
      <x:c r="A5" s="78" t="s">
        <x:v>708</x:v>
      </x:c>
      <x:c r="B5" s="78" t="s">
        <x:v>701</x:v>
      </x:c>
      <x:c r="C5" s="78" t="s">
        <x:v>709</x:v>
      </x:c>
      <x:c r="D5" s="78" t="s">
        <x:v>703</x:v>
      </x:c>
      <x:c r="E5" s="78" t="s">
        <x:v>703</x:v>
      </x:c>
      <x:c r="F5" s="78" t="s">
        <x:v>704</x:v>
      </x:c>
      <x:c r="G5" s="78" t="s">
        <x:v>710</x:v>
      </x:c>
      <x:c r="H5" s="78" t="s">
        <x:v>711</x:v>
      </x:c>
      <x:c r="I5" s="81">
        <x:v>46215</x:v>
      </x:c>
      <x:c r="J5" s="78" t="s">
        <x:v>712</x:v>
      </x:c>
    </x:row>
    <x:row r="6" ht="28.5">
      <x:c r="A6" s="78" t="s">
        <x:v>713</x:v>
      </x:c>
      <x:c r="B6" s="78" t="s">
        <x:v>701</x:v>
      </x:c>
      <x:c r="C6" s="78" t="s">
        <x:v>714</x:v>
      </x:c>
      <x:c r="D6" s="78" t="s">
        <x:v>715</x:v>
      </x:c>
      <x:c r="E6" s="78" t="s">
        <x:v>703</x:v>
      </x:c>
      <x:c r="F6" s="78" t="s">
        <x:v>704</x:v>
      </x:c>
      <x:c r="G6" s="78" t="s">
        <x:v>716</x:v>
      </x:c>
      <x:c r="H6" s="78" t="s">
        <x:v>706</x:v>
      </x:c>
      <x:c r="I6" s="81">
        <x:v>46229</x:v>
      </x:c>
      <x:c r="J6" s="78" t="s">
        <x:v>717</x:v>
      </x:c>
    </x:row>
    <x:row r="7" ht="54" customHeight="1">
      <x:c r="A7" s="78" t="s">
        <x:v>718</x:v>
      </x:c>
      <x:c r="B7" s="78" t="s">
        <x:v>701</x:v>
      </x:c>
      <x:c r="C7" s="78" t="s">
        <x:v>719</x:v>
      </x:c>
      <x:c r="D7" s="78" t="s">
        <x:v>715</x:v>
      </x:c>
      <x:c r="E7" s="78" t="s">
        <x:v>703</x:v>
      </x:c>
      <x:c r="F7" s="78" t="s">
        <x:v>704</x:v>
      </x:c>
      <x:c r="G7" s="78" t="s">
        <x:v>720</x:v>
      </x:c>
      <x:c r="H7" s="78" t="s">
        <x:v>711</x:v>
      </x:c>
      <x:c r="I7" s="81">
        <x:v>46257</x:v>
      </x:c>
      <x:c r="J7" s="78" t="s">
        <x:v>721</x:v>
      </x:c>
    </x:row>
    <x:row r="8" ht="28.5">
      <x:c r="A8" s="78" t="s">
        <x:v>722</x:v>
      </x:c>
      <x:c r="B8" s="78" t="s">
        <x:v>701</x:v>
      </x:c>
      <x:c r="C8" s="78" t="s">
        <x:v>723</x:v>
      </x:c>
      <x:c r="D8" s="78" t="s">
        <x:v>715</x:v>
      </x:c>
      <x:c r="E8" s="78" t="s">
        <x:v>715</x:v>
      </x:c>
      <x:c r="F8" s="78" t="s">
        <x:v>704</x:v>
      </x:c>
      <x:c r="G8" s="78" t="s">
        <x:v>724</x:v>
      </x:c>
      <x:c r="H8" s="78" t="s">
        <x:v>706</x:v>
      </x:c>
      <x:c r="I8" s="81">
        <x:v>46222</x:v>
      </x:c>
      <x:c r="J8" s="78" t="s">
        <x:v>725</x:v>
      </x:c>
    </x:row>
    <x:row r="9" ht="28.5">
      <x:c r="A9" s="78" t="s">
        <x:v>726</x:v>
      </x:c>
      <x:c r="B9" s="78" t="s">
        <x:v>701</x:v>
      </x:c>
      <x:c r="C9" s="78" t="s">
        <x:v>727</x:v>
      </x:c>
      <x:c r="D9" s="78" t="s">
        <x:v>728</x:v>
      </x:c>
      <x:c r="E9" s="78" t="s">
        <x:v>703</x:v>
      </x:c>
      <x:c r="F9" s="78" t="s">
        <x:v>704</x:v>
      </x:c>
      <x:c r="G9" s="78" t="s">
        <x:v>729</x:v>
      </x:c>
      <x:c r="H9" s="78" t="s">
        <x:v>706</x:v>
      </x:c>
      <x:c r="I9" s="81">
        <x:v>46257</x:v>
      </x:c>
      <x:c r="J9" s="78" t="s">
        <x:v>730</x:v>
      </x:c>
    </x:row>
    <x:row r="10" ht="28.5">
      <x:c r="A10" s="78" t="s">
        <x:v>731</x:v>
      </x:c>
      <x:c r="B10" s="78" t="s">
        <x:v>732</x:v>
      </x:c>
      <x:c r="C10" s="78" t="s">
        <x:v>733</x:v>
      </x:c>
      <x:c r="D10" s="78" t="s">
        <x:v>734</x:v>
      </x:c>
      <x:c r="E10" s="78" t="s">
        <x:v>728</x:v>
      </x:c>
      <x:c r="F10" s="78" t="s">
        <x:v>704</x:v>
      </x:c>
      <x:c r="G10" s="78" t="s">
        <x:v>735</x:v>
      </x:c>
      <x:c r="H10" s="78" t="s">
        <x:v>736</x:v>
      </x:c>
      <x:c r="I10" s="81">
        <x:v>46208</x:v>
      </x:c>
      <x:c r="J10" s="78" t="s">
        <x:v>737</x:v>
      </x:c>
    </x:row>
    <x:row r="11" ht="28.5">
      <x:c r="A11" s="78" t="s">
        <x:v>738</x:v>
      </x:c>
      <x:c r="B11" s="78" t="s">
        <x:v>732</x:v>
      </x:c>
      <x:c r="C11" s="78" t="s">
        <x:v>739</x:v>
      </x:c>
      <x:c r="D11" s="78" t="s">
        <x:v>734</x:v>
      </x:c>
      <x:c r="E11" s="78" t="s">
        <x:v>715</x:v>
      </x:c>
      <x:c r="F11" s="78" t="s">
        <x:v>704</x:v>
      </x:c>
      <x:c r="G11" s="78" t="s">
        <x:v>740</x:v>
      </x:c>
      <x:c r="H11" s="78" t="s">
        <x:v>736</x:v>
      </x:c>
      <x:c r="I11" s="81">
        <x:v>46209</x:v>
      </x:c>
      <x:c r="J11" s="78" t="s">
        <x:v>741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742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743</x:v>
      </x:c>
      <x:c r="B3" s="80" t="s">
        <x:v>582</x:v>
      </x:c>
      <x:c r="C3" s="80" t="s">
        <x:v>113</x:v>
      </x:c>
      <x:c r="D3" s="80" t="s">
        <x:v>295</x:v>
      </x:c>
      <x:c r="E3" s="80" t="s">
        <x:v>332</x:v>
      </x:c>
      <x:c r="F3" s="80" t="s">
        <x:v>744</x:v>
      </x:c>
      <x:c r="G3" s="80" t="s">
        <x:v>745</x:v>
      </x:c>
      <x:c r="H3" s="80" t="s">
        <x:v>121</x:v>
      </x:c>
      <x:c r="I3" s="80" t="s">
        <x:v>126</x:v>
      </x:c>
    </x:row>
    <x:row r="4" ht="28.5">
      <x:c r="A4" s="78" t="s">
        <x:v>746</x:v>
      </x:c>
      <x:c r="B4" s="81">
        <x:v>46201</x:v>
      </x:c>
      <x:c r="C4" s="78" t="s">
        <x:v>127</x:v>
      </x:c>
      <x:c r="D4" s="78" t="s">
        <x:v>747</x:v>
      </x:c>
      <x:c r="E4" s="78" t="s">
        <x:v>748</x:v>
      </x:c>
      <x:c r="F4" s="78" t="s">
        <x:v>749</x:v>
      </x:c>
      <x:c r="G4" s="78" t="s">
        <x:v>750</x:v>
      </x:c>
      <x:c r="H4" s="78" t="s">
        <x:v>751</x:v>
      </x:c>
      <x:c r="I4" s="78" t="s">
        <x:v>752</x:v>
      </x:c>
    </x:row>
    <x:row r="5" ht="28.5">
      <x:c r="A5" s="78" t="s">
        <x:v>753</x:v>
      </x:c>
      <x:c r="B5" s="81">
        <x:v>46203</x:v>
      </x:c>
      <x:c r="C5" s="78" t="s">
        <x:v>133</x:v>
      </x:c>
      <x:c r="D5" s="78" t="s">
        <x:v>754</x:v>
      </x:c>
      <x:c r="E5" s="78" t="s">
        <x:v>755</x:v>
      </x:c>
      <x:c r="F5" s="78" t="s">
        <x:v>756</x:v>
      </x:c>
      <x:c r="G5" s="78" t="s">
        <x:v>757</x:v>
      </x:c>
      <x:c r="H5" s="78" t="s">
        <x:v>751</x:v>
      </x:c>
      <x:c r="I5" s="78" t="s">
        <x:v>758</x:v>
      </x:c>
    </x:row>
    <x:row r="6" ht="28.5">
      <x:c r="A6" s="78" t="s">
        <x:v>759</x:v>
      </x:c>
      <x:c r="B6" s="81">
        <x:v>46207</x:v>
      </x:c>
      <x:c r="C6" s="78" t="s">
        <x:v>138</x:v>
      </x:c>
      <x:c r="D6" s="78" t="s">
        <x:v>760</x:v>
      </x:c>
      <x:c r="E6" s="78" t="s">
        <x:v>761</x:v>
      </x:c>
      <x:c r="F6" s="78" t="s">
        <x:v>762</x:v>
      </x:c>
      <x:c r="G6" s="78" t="s">
        <x:v>763</x:v>
      </x:c>
      <x:c r="H6" s="78" t="s">
        <x:v>751</x:v>
      </x:c>
      <x:c r="I6" s="78" t="s">
        <x:v>764</x:v>
      </x:c>
    </x:row>
    <x:row r="7" ht="28.5">
      <x:c r="A7" s="78" t="s">
        <x:v>765</x:v>
      </x:c>
      <x:c r="B7" s="81">
        <x:v>46207</x:v>
      </x:c>
      <x:c r="C7" s="78" t="s">
        <x:v>138</x:v>
      </x:c>
      <x:c r="D7" s="78" t="s">
        <x:v>766</x:v>
      </x:c>
      <x:c r="E7" s="78" t="s">
        <x:v>767</x:v>
      </x:c>
      <x:c r="F7" s="78" t="s">
        <x:v>768</x:v>
      </x:c>
      <x:c r="G7" s="78" t="s">
        <x:v>769</x:v>
      </x:c>
      <x:c r="H7" s="78" t="s">
        <x:v>751</x:v>
      </x:c>
      <x:c r="I7" s="78" t="s">
        <x:v>770</x:v>
      </x:c>
    </x:row>
    <x:row r="8">
      <x:c r="A8" s="78" t="s">
        <x:v>771</x:v>
      </x:c>
      <x:c r="B8" s="81">
        <x:v>46207</x:v>
      </x:c>
      <x:c r="C8" s="78" t="s">
        <x:v>138</x:v>
      </x:c>
      <x:c r="D8" s="78" t="s">
        <x:v>772</x:v>
      </x:c>
      <x:c r="E8" s="78" t="s">
        <x:v>767</x:v>
      </x:c>
      <x:c r="F8" s="78" t="s">
        <x:v>773</x:v>
      </x:c>
      <x:c r="G8" s="78" t="s">
        <x:v>774</x:v>
      </x:c>
      <x:c r="H8" s="78" t="s">
        <x:v>751</x:v>
      </x:c>
      <x:c r="I8" s="78" t="s">
        <x:v>775</x:v>
      </x:c>
    </x:row>
    <x:row r="9">
      <x:c r="A9" s="78" t="s">
        <x:v>776</x:v>
      </x:c>
      <x:c r="B9" s="81">
        <x:v>46207</x:v>
      </x:c>
      <x:c r="C9" s="78" t="s">
        <x:v>138</x:v>
      </x:c>
      <x:c r="D9" s="78" t="s">
        <x:v>777</x:v>
      </x:c>
      <x:c r="E9" s="78" t="s">
        <x:v>767</x:v>
      </x:c>
      <x:c r="F9" s="78" t="s">
        <x:v>778</x:v>
      </x:c>
      <x:c r="G9" s="78" t="s">
        <x:v>779</x:v>
      </x:c>
      <x:c r="H9" s="78" t="s">
        <x:v>751</x:v>
      </x:c>
      <x:c r="I9" s="78" t="s">
        <x:v>780</x:v>
      </x:c>
    </x:row>
    <x:row r="10" ht="28.5">
      <x:c r="A10" s="78" t="s">
        <x:v>781</x:v>
      </x:c>
      <x:c r="B10" s="81">
        <x:v>46207</x:v>
      </x:c>
      <x:c r="C10" s="78" t="s">
        <x:v>133</x:v>
      </x:c>
      <x:c r="D10" s="78" t="s">
        <x:v>782</x:v>
      </x:c>
      <x:c r="E10" s="78" t="s">
        <x:v>783</x:v>
      </x:c>
      <x:c r="F10" s="78" t="s">
        <x:v>344</x:v>
      </x:c>
      <x:c r="G10" s="78" t="s">
        <x:v>784</x:v>
      </x:c>
      <x:c r="H10" s="78" t="s">
        <x:v>751</x:v>
      </x:c>
      <x:c r="I10" s="78" t="s">
        <x:v>785</x:v>
      </x:c>
    </x:row>
    <x:row r="11" ht="28.5">
      <x:c r="A11" s="78" t="s">
        <x:v>786</x:v>
      </x:c>
      <x:c r="B11" s="81">
        <x:v>46207</x:v>
      </x:c>
      <x:c r="C11" s="78" t="s">
        <x:v>133</x:v>
      </x:c>
      <x:c r="D11" s="78" t="s">
        <x:v>787</x:v>
      </x:c>
      <x:c r="E11" s="78" t="s">
        <x:v>337</x:v>
      </x:c>
      <x:c r="F11" s="78" t="s">
        <x:v>342</x:v>
      </x:c>
      <x:c r="G11" s="78" t="s">
        <x:v>788</x:v>
      </x:c>
      <x:c r="H11" s="78" t="s">
        <x:v>751</x:v>
      </x:c>
      <x:c r="I11" s="78" t="s">
        <x:v>789</x:v>
      </x:c>
    </x:row>
    <x:row r="12" ht="28.5">
      <x:c r="A12" s="78" t="s">
        <x:v>790</x:v>
      </x:c>
      <x:c r="B12" s="81">
        <x:v>46207</x:v>
      </x:c>
      <x:c r="C12" s="78" t="s">
        <x:v>133</x:v>
      </x:c>
      <x:c r="D12" s="78" t="s">
        <x:v>791</x:v>
      </x:c>
      <x:c r="E12" s="78" t="s">
        <x:v>792</x:v>
      </x:c>
      <x:c r="F12" s="78" t="s">
        <x:v>793</x:v>
      </x:c>
      <x:c r="G12" s="78" t="s">
        <x:v>88</x:v>
      </x:c>
      <x:c r="H12" s="78" t="s">
        <x:v>751</x:v>
      </x:c>
      <x:c r="I12" s="78" t="s">
        <x:v>794</x:v>
      </x:c>
    </x:row>
    <x:row r="13" ht="60" customHeight="1">
      <x:c r="A13" s="198" t="s">
        <x:v>795</x:v>
      </x:c>
      <x:c r="B13" s="199">
        <x:v>46208</x:v>
      </x:c>
      <x:c r="C13" s="200" t="s">
        <x:v>796</x:v>
      </x:c>
      <x:c r="D13" s="200" t="s">
        <x:v>797</x:v>
      </x:c>
      <x:c r="E13" s="200" t="s">
        <x:v>798</x:v>
      </x:c>
      <x:c r="F13" s="200" t="s">
        <x:v>799</x:v>
      </x:c>
      <x:c r="G13" s="200" t="s">
        <x:v>800</x:v>
      </x:c>
      <x:c r="H13" s="200" t="s">
        <x:v>751</x:v>
      </x:c>
      <x:c r="I13" s="201" t="s">
        <x:v>801</x:v>
      </x:c>
    </x:row>
    <x:row r="14" ht="72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schemas/candidate.schema.json; examples/candidates/MECH-002/valid.json; docs/candidate-artifact-contract.md</x:v>
      </x:c>
      <x:c r="G14" s="447" t="str">
        <x:v>WBS 1.1 — candidate artifact contract and loader</x:v>
      </x:c>
      <x:c r="H14" s="447" t="str">
        <x:v>Accepted</x:v>
      </x:c>
      <x:c r="I14" s="447" t="str">
        <x:v>Feature commit complete; branch push and PR merge were pending at the 11:35 AM block close.</x:v>
      </x:c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802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803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69</x:v>
      </x:c>
      <x:c r="B4" s="80" t="s">
        <x:v>804</x:v>
      </x:c>
      <x:c r="C4" s="80" t="s">
        <x:v>805</x:v>
      </x:c>
      <x:c r="D4" s="80" t="s">
        <x:v>806</x:v>
      </x:c>
      <x:c r="E4" s="80" t="s">
        <x:v>807</x:v>
      </x:c>
      <x:c r="F4" s="80" t="s">
        <x:v>808</x:v>
      </x:c>
      <x:c r="G4" s="80" t="s">
        <x:v>809</x:v>
      </x:c>
      <x:c r="H4" s="80" t="s">
        <x:v>810</x:v>
      </x:c>
      <x:c r="I4" s="80" t="s">
        <x:v>121</x:v>
      </x:c>
    </x:row>
    <x:row r="5" ht="28.5">
      <x:c r="A5" s="78" t="s">
        <x:v>811</x:v>
      </x:c>
      <x:c r="B5" s="78" t="s">
        <x:v>812</x:v>
      </x:c>
      <x:c r="C5" s="78" t="s">
        <x:v>813</x:v>
      </x:c>
      <x:c r="D5" s="78" t="s">
        <x:v>814</x:v>
      </x:c>
      <x:c r="E5" s="78" t="s">
        <x:v>815</x:v>
      </x:c>
      <x:c r="F5" s="78" t="s">
        <x:v>816</x:v>
      </x:c>
      <x:c r="G5" s="78" t="s">
        <x:v>817</x:v>
      </x:c>
      <x:c r="H5" s="78" t="s">
        <x:v>818</x:v>
      </x:c>
      <x:c r="I5" s="78" t="s">
        <x:v>819</x:v>
      </x:c>
    </x:row>
    <x:row r="6" ht="57">
      <x:c r="A6" s="78" t="s">
        <x:v>820</x:v>
      </x:c>
      <x:c r="B6" s="78" t="s">
        <x:v>821</x:v>
      </x:c>
      <x:c r="C6" s="78" t="s">
        <x:v>822</x:v>
      </x:c>
      <x:c r="D6" s="78" t="s">
        <x:v>823</x:v>
      </x:c>
      <x:c r="E6" s="78" t="s">
        <x:v>824</x:v>
      </x:c>
      <x:c r="F6" s="78" t="s">
        <x:v>703</x:v>
      </x:c>
      <x:c r="G6" s="78" t="s">
        <x:v>825</x:v>
      </x:c>
      <x:c r="H6" s="78" t="s">
        <x:v>821</x:v>
      </x:c>
      <x:c r="I6" s="78" t="s">
        <x:v>819</x:v>
      </x:c>
    </x:row>
    <x:row r="7" ht="57">
      <x:c r="A7" s="78" t="s">
        <x:v>826</x:v>
      </x:c>
      <x:c r="B7" s="78" t="s">
        <x:v>827</x:v>
      </x:c>
      <x:c r="C7" s="78" t="s">
        <x:v>828</x:v>
      </x:c>
      <x:c r="D7" s="78" t="s">
        <x:v>829</x:v>
      </x:c>
      <x:c r="E7" s="78" t="s">
        <x:v>830</x:v>
      </x:c>
      <x:c r="F7" s="78" t="s">
        <x:v>703</x:v>
      </x:c>
      <x:c r="G7" s="78" t="s">
        <x:v>831</x:v>
      </x:c>
      <x:c r="H7" s="78" t="s">
        <x:v>832</x:v>
      </x:c>
      <x:c r="I7" s="78" t="s">
        <x:v>819</x:v>
      </x:c>
    </x:row>
    <x:row r="8" ht="57">
      <x:c r="A8" s="78" t="s">
        <x:v>833</x:v>
      </x:c>
      <x:c r="B8" s="78" t="s">
        <x:v>834</x:v>
      </x:c>
      <x:c r="C8" s="78" t="s">
        <x:v>835</x:v>
      </x:c>
      <x:c r="D8" s="78" t="s">
        <x:v>836</x:v>
      </x:c>
      <x:c r="E8" s="78" t="s">
        <x:v>837</x:v>
      </x:c>
      <x:c r="F8" s="78" t="s">
        <x:v>703</x:v>
      </x:c>
      <x:c r="G8" s="78" t="s">
        <x:v>817</x:v>
      </x:c>
      <x:c r="H8" s="78" t="s">
        <x:v>838</x:v>
      </x:c>
      <x:c r="I8" s="78" t="s">
        <x:v>819</x:v>
      </x:c>
    </x:row>
    <x:row r="9" ht="28.5">
      <x:c r="A9" s="78" t="s">
        <x:v>839</x:v>
      </x:c>
      <x:c r="B9" s="78" t="s">
        <x:v>840</x:v>
      </x:c>
      <x:c r="C9" s="78" t="s">
        <x:v>841</x:v>
      </x:c>
      <x:c r="D9" s="78" t="s">
        <x:v>842</x:v>
      </x:c>
      <x:c r="E9" s="78" t="s">
        <x:v>843</x:v>
      </x:c>
      <x:c r="F9" s="78" t="s">
        <x:v>715</x:v>
      </x:c>
      <x:c r="G9" s="78" t="s">
        <x:v>817</x:v>
      </x:c>
      <x:c r="H9" s="78" t="s">
        <x:v>844</x:v>
      </x:c>
      <x:c r="I9" s="78" t="s">
        <x:v>819</x:v>
      </x:c>
    </x:row>
    <x:row r="10" ht="28.5">
      <x:c r="A10" s="78" t="s">
        <x:v>845</x:v>
      </x:c>
      <x:c r="B10" s="78" t="s">
        <x:v>846</x:v>
      </x:c>
      <x:c r="C10" s="78" t="s">
        <x:v>847</x:v>
      </x:c>
      <x:c r="D10" s="78" t="s">
        <x:v>848</x:v>
      </x:c>
      <x:c r="E10" s="78" t="s">
        <x:v>849</x:v>
      </x:c>
      <x:c r="F10" s="78" t="s">
        <x:v>715</x:v>
      </x:c>
      <x:c r="G10" s="78" t="s">
        <x:v>850</x:v>
      </x:c>
      <x:c r="H10" s="78" t="s">
        <x:v>846</x:v>
      </x:c>
      <x:c r="I10" s="78" t="s">
        <x:v>819</x:v>
      </x:c>
    </x:row>
    <x:row r="11" ht="28.5">
      <x:c r="A11" s="78" t="s">
        <x:v>851</x:v>
      </x:c>
      <x:c r="B11" s="78" t="s">
        <x:v>852</x:v>
      </x:c>
      <x:c r="C11" s="78" t="s">
        <x:v>853</x:v>
      </x:c>
      <x:c r="D11" s="78" t="s">
        <x:v>854</x:v>
      </x:c>
      <x:c r="E11" s="78" t="s">
        <x:v>855</x:v>
      </x:c>
      <x:c r="F11" s="78" t="s">
        <x:v>715</x:v>
      </x:c>
      <x:c r="G11" s="78" t="s">
        <x:v>856</x:v>
      </x:c>
      <x:c r="H11" s="78" t="s">
        <x:v>857</x:v>
      </x:c>
      <x:c r="I11" s="78" t="s">
        <x:v>819</x:v>
      </x:c>
    </x:row>
    <x:row r="12" ht="28.5">
      <x:c r="A12" s="78" t="s">
        <x:v>858</x:v>
      </x:c>
      <x:c r="B12" s="78" t="s">
        <x:v>859</x:v>
      </x:c>
      <x:c r="C12" s="78" t="s">
        <x:v>860</x:v>
      </x:c>
      <x:c r="D12" s="78" t="s">
        <x:v>861</x:v>
      </x:c>
      <x:c r="E12" s="78" t="s">
        <x:v>862</x:v>
      </x:c>
      <x:c r="F12" s="78" t="s">
        <x:v>728</x:v>
      </x:c>
      <x:c r="G12" s="78" t="s">
        <x:v>831</x:v>
      </x:c>
      <x:c r="H12" s="78" t="s">
        <x:v>859</x:v>
      </x:c>
      <x:c r="I12" s="78" t="s">
        <x:v>819</x:v>
      </x:c>
    </x:row>
    <x:row r="13" ht="28.5">
      <x:c r="A13" s="78" t="s">
        <x:v>863</x:v>
      </x:c>
      <x:c r="B13" s="78" t="s">
        <x:v>857</x:v>
      </x:c>
      <x:c r="C13" s="78" t="s">
        <x:v>864</x:v>
      </x:c>
      <x:c r="D13" s="78" t="s">
        <x:v>865</x:v>
      </x:c>
      <x:c r="E13" s="78" t="s">
        <x:v>866</x:v>
      </x:c>
      <x:c r="F13" s="78" t="s">
        <x:v>715</x:v>
      </x:c>
      <x:c r="G13" s="78" t="s">
        <x:v>850</x:v>
      </x:c>
      <x:c r="H13" s="78" t="s">
        <x:v>857</x:v>
      </x:c>
      <x:c r="I13" s="78" t="s">
        <x:v>819</x:v>
      </x:c>
    </x:row>
    <x:row r="14" ht="28.5">
      <x:c r="A14" s="78" t="s">
        <x:v>867</x:v>
      </x:c>
      <x:c r="B14" s="78" t="s">
        <x:v>868</x:v>
      </x:c>
      <x:c r="C14" s="78" t="s">
        <x:v>869</x:v>
      </x:c>
      <x:c r="D14" s="78" t="s">
        <x:v>870</x:v>
      </x:c>
      <x:c r="E14" s="78" t="s">
        <x:v>871</x:v>
      </x:c>
      <x:c r="F14" s="78" t="s">
        <x:v>715</x:v>
      </x:c>
      <x:c r="G14" s="78" t="s">
        <x:v>872</x:v>
      </x:c>
      <x:c r="H14" s="78" t="s">
        <x:v>868</x:v>
      </x:c>
      <x:c r="I14" s="78" t="s">
        <x:v>819</x:v>
      </x:c>
    </x:row>
    <x:row r="15" ht="28.5">
      <x:c r="A15" s="78" t="s">
        <x:v>873</x:v>
      </x:c>
      <x:c r="B15" s="78" t="s">
        <x:v>874</x:v>
      </x:c>
      <x:c r="C15" s="78" t="s">
        <x:v>875</x:v>
      </x:c>
      <x:c r="D15" s="78" t="s">
        <x:v>876</x:v>
      </x:c>
      <x:c r="E15" s="78" t="s">
        <x:v>877</x:v>
      </x:c>
      <x:c r="F15" s="78" t="s">
        <x:v>728</x:v>
      </x:c>
      <x:c r="G15" s="78" t="s">
        <x:v>878</x:v>
      </x:c>
      <x:c r="H15" s="78" t="s">
        <x:v>879</x:v>
      </x:c>
      <x:c r="I15" s="78" t="s">
        <x:v>819</x:v>
      </x:c>
    </x:row>
    <x:row r="16" ht="28.5">
      <x:c r="A16" s="78" t="s">
        <x:v>880</x:v>
      </x:c>
      <x:c r="B16" s="78" t="s">
        <x:v>881</x:v>
      </x:c>
      <x:c r="C16" s="78" t="s">
        <x:v>882</x:v>
      </x:c>
      <x:c r="D16" s="78" t="s">
        <x:v>883</x:v>
      </x:c>
      <x:c r="E16" s="78" t="s">
        <x:v>884</x:v>
      </x:c>
      <x:c r="F16" s="78" t="s">
        <x:v>728</x:v>
      </x:c>
      <x:c r="G16" s="78" t="s">
        <x:v>885</x:v>
      </x:c>
      <x:c r="H16" s="78" t="s">
        <x:v>881</x:v>
      </x:c>
      <x:c r="I16" s="78" t="s">
        <x:v>819</x:v>
      </x:c>
    </x:row>
    <x:row r="17" ht="72" customHeight="1">
      <x:c r="A17" s="182" t="s">
        <x:v>886</x:v>
      </x:c>
      <x:c r="B17" s="183" t="s">
        <x:v>887</x:v>
      </x:c>
      <x:c r="C17" s="183" t="s">
        <x:v>888</x:v>
      </x:c>
      <x:c r="D17" s="183" t="s">
        <x:v>889</x:v>
      </x:c>
      <x:c r="E17" s="183" t="s">
        <x:v>890</x:v>
      </x:c>
      <x:c r="F17" s="183" t="s">
        <x:v>703</x:v>
      </x:c>
      <x:c r="G17" s="183" t="s">
        <x:v>831</x:v>
      </x:c>
      <x:c r="H17" s="183" t="s">
        <x:v>891</x:v>
      </x:c>
      <x:c r="I17" s="184" t="s">
        <x:v>819</x:v>
      </x:c>
    </x:row>
    <x:row r="18" ht="72" customHeight="1">
      <x:c r="A18" s="185" t="s">
        <x:v>892</x:v>
      </x:c>
      <x:c r="B18" s="83" t="s">
        <x:v>893</x:v>
      </x:c>
      <x:c r="C18" s="83" t="s">
        <x:v>894</x:v>
      </x:c>
      <x:c r="D18" s="83" t="s">
        <x:v>895</x:v>
      </x:c>
      <x:c r="E18" s="83" t="s">
        <x:v>896</x:v>
      </x:c>
      <x:c r="F18" s="83" t="s">
        <x:v>703</x:v>
      </x:c>
      <x:c r="G18" s="83" t="s">
        <x:v>897</x:v>
      </x:c>
      <x:c r="H18" s="83" t="s">
        <x:v>898</x:v>
      </x:c>
      <x:c r="I18" s="186" t="s">
        <x:v>819</x:v>
      </x:c>
    </x:row>
    <x:row r="19" ht="72" customHeight="1">
      <x:c r="A19" s="187" t="s">
        <x:v>899</x:v>
      </x:c>
      <x:c r="B19" s="188" t="s">
        <x:v>900</x:v>
      </x:c>
      <x:c r="C19" s="188" t="s">
        <x:v>901</x:v>
      </x:c>
      <x:c r="D19" s="188" t="s">
        <x:v>902</x:v>
      </x:c>
      <x:c r="E19" s="188" t="s">
        <x:v>903</x:v>
      </x:c>
      <x:c r="F19" s="188" t="s">
        <x:v>703</x:v>
      </x:c>
      <x:c r="G19" s="188" t="s">
        <x:v>885</x:v>
      </x:c>
      <x:c r="H19" s="188" t="s">
        <x:v>904</x:v>
      </x:c>
      <x:c r="I19" s="189" t="s">
        <x:v>819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905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906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907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">
        <x:v>908</x:v>
      </x:c>
      <x:c r="B5" s="447" t="str">
        <x:v>2026-07-05</x:v>
      </x:c>
      <x:c r="C5" s="449" t="s">
        <x:v>788</x:v>
      </x:c>
      <x:c r="D5" s="447" t="s">
        <x:v>111</x:v>
      </x:c>
      <x:c r="E5" s="449" t="s">
        <x:v>11</x:v>
      </x:c>
      <x:c r="F5" s="447" t="s">
        <x:v>909</x:v>
      </x:c>
      <x:c r="G5" s="449" t="s">
        <x:v>910</x:v>
      </x:c>
      <x:c r="H5" s="447" t="s">
        <x:v>911</x:v>
      </x:c>
    </x:row>
    <x:row r="6" ht="52" customHeight="1">
      <x:c r="A6" s="449" t="s">
        <x:v>912</x:v>
      </x:c>
      <x:c r="B6" s="447" t="str">
        <x:v>feature/candidate-artifact-contract @ 2b0b6e7 (PR pending)</x:v>
      </x:c>
      <x:c r="C6" s="449" t="s">
        <x:v>913</x:v>
      </x:c>
      <x:c r="D6" s="447" t="str">
        <x:v>31 passing</x:v>
      </x:c>
      <x:c r="E6" s="449" t="s">
        <x:v>914</x:v>
      </x:c>
      <x:c r="F6" s="447" t="s">
        <x:v>915</x:v>
      </x:c>
      <x:c r="G6" s="449" t="s">
        <x:v>916</x:v>
      </x:c>
      <x:c r="H6" s="447" t="str">
        <x:v>#1 to #5; candidate-contract PR pending</x:v>
      </x:c>
    </x:row>
    <x:row r="7" ht="52" customHeight="1">
      <x:c r="A7" s="449" t="s">
        <x:v>917</x:v>
      </x:c>
      <x:c r="B7" s="447" t="str">
        <x:v>Candidate artifact envelope, JSON schema, MECH-002 example, loader, controlled validation errors, and contract documentation implemented.</x:v>
      </x:c>
      <x:c r="C7" s="449" t="s">
        <x:v>918</x:v>
      </x:c>
      <x:c r="D7" s="447" t="str">
        <x:v>Mandatory gate execution, deterministic checks, scoring, result records, benchmark, CI, and demo.</x:v>
      </x:c>
      <x:c r="E7" s="449" t="s">
        <x:v>29</x:v>
      </x:c>
      <x:c r="F7" s="447" t="str">
        <x:v>1.1 closeout</x:v>
      </x:c>
      <x:c r="G7" s="449" t="s">
        <x:v>919</x:v>
      </x:c>
      <x:c r="H7" s="447" t="str">
        <x:v>1.2</x:v>
      </x:c>
    </x:row>
    <x:row r="8" ht="52" customHeight="1">
      <x:c r="A8" s="449" t="s">
        <x:v>920</x:v>
      </x:c>
      <x:c r="B8" s="447" t="str">
        <x:v>Push feature/candidate-artifact-contract, open and merge the PR, sync main, confirm 31 tests, then start WBS 1.2 mandatory gate engine.</x:v>
      </x:c>
      <x:c r="C8" s="449" t="s">
        <x:v>921</x:v>
      </x:c>
      <x:c r="D8" s="447" t="s">
        <x:v>922</x:v>
      </x:c>
      <x:c r="E8" s="449" t="s">
        <x:v>923</x:v>
      </x:c>
      <x:c r="F8" s="447" t="s">
        <x:v>924</x:v>
      </x:c>
      <x:c r="G8" s="449" t="s">
        <x:v>925</x:v>
      </x:c>
      <x:c r="H8" s="447" t="s">
        <x:v>926</x:v>
      </x:c>
    </x:row>
    <x:row r="9" ht="48" customHeight="1">
      <x:c r="A9" s="450" t="s">
        <x:v>927</x:v>
      </x:c>
      <x:c r="B9" s="451" t="s">
        <x:v>928</x:v>
      </x:c>
      <x:c r="C9" s="450" t="s">
        <x:v>929</x:v>
      </x:c>
      <x:c r="D9" s="451" t="s">
        <x:v>930</x:v>
      </x:c>
      <x:c r="E9" s="450" t="s">
        <x:v>931</x:v>
      </x:c>
      <x:c r="F9" s="451" t="s">
        <x:v>932</x:v>
      </x:c>
      <x:c r="G9" s="450" t="s">
        <x:v>933</x:v>
      </x:c>
      <x:c r="H9" s="451" t="s">
        <x:v>934</x:v>
      </x:c>
    </x:row>
    <x:row r="10" ht="15.75">
      <x:c r="A10" s="237" t="s">
        <x:v>935</x:v>
      </x:c>
      <x:c r="B10" s="235"/>
      <x:c r="D10" s="237" t="s">
        <x:v>936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937</x:v>
      </x:c>
      <x:c r="D11" s="157" t="s">
        <x:v>6</x:v>
      </x:c>
      <x:c r="E11" s="78" t="s">
        <x:v>938</x:v>
      </x:c>
    </x:row>
    <x:row r="12" ht="30" customHeight="1">
      <x:c r="A12" s="157" t="s">
        <x:v>9</x:v>
      </x:c>
      <x:c r="B12" s="78" t="s">
        <x:v>939</x:v>
      </x:c>
      <x:c r="D12" s="157" t="s">
        <x:v>9</x:v>
      </x:c>
      <x:c r="E12" s="78" t="s">
        <x:v>940</x:v>
      </x:c>
    </x:row>
    <x:row r="13" ht="30" customHeight="1">
      <x:c r="A13" s="157" t="s">
        <x:v>12</x:v>
      </x:c>
      <x:c r="B13" s="78" t="s">
        <x:v>941</x:v>
      </x:c>
      <x:c r="D13" s="157" t="s">
        <x:v>12</x:v>
      </x:c>
      <x:c r="E13" s="78" t="s">
        <x:v>942</x:v>
      </x:c>
    </x:row>
    <x:row r="14" ht="30" customHeight="1">
      <x:c r="A14" s="157" t="s">
        <x:v>16</x:v>
      </x:c>
      <x:c r="B14" s="78" t="s">
        <x:v>943</x:v>
      </x:c>
      <x:c r="D14" s="157" t="s">
        <x:v>16</x:v>
      </x:c>
      <x:c r="E14" s="78" t="s">
        <x:v>944</x:v>
      </x:c>
    </x:row>
    <x:row r="15" ht="30" customHeight="1">
      <x:c r="A15" s="157" t="s">
        <x:v>19</x:v>
      </x:c>
      <x:c r="B15" s="78" t="s">
        <x:v>945</x:v>
      </x:c>
      <x:c r="D15" s="157" t="s">
        <x:v>19</x:v>
      </x:c>
      <x:c r="E15" s="78" t="s">
        <x:v>946</x:v>
      </x:c>
    </x:row>
    <x:row r="17" ht="15.75">
      <x:c r="A17" s="237" t="s">
        <x:v>947</x:v>
      </x:c>
      <x:c r="B17" s="235"/>
      <x:c r="D17" s="237" t="s">
        <x:v>948</x:v>
      </x:c>
      <x:c r="E17" s="235"/>
      <x:c r="F17" s="235"/>
      <x:c r="G17" s="235"/>
      <x:c r="H17" s="235"/>
    </x:row>
    <x:row r="18" ht="27.950000762939453" customHeight="1">
      <x:c r="A18" s="157" t="s">
        <x:v>949</x:v>
      </x:c>
      <x:c r="B18" s="78" t="s">
        <x:v>950</x:v>
      </x:c>
      <x:c r="D18" s="157" t="s">
        <x:v>6</x:v>
      </x:c>
      <x:c r="E18" s="78" t="s">
        <x:v>951</x:v>
      </x:c>
    </x:row>
    <x:row r="19" ht="27.950000762939453" customHeight="1">
      <x:c r="A19" s="157" t="s">
        <x:v>952</x:v>
      </x:c>
      <x:c r="B19" s="78" t="s">
        <x:v>953</x:v>
      </x:c>
      <x:c r="D19" s="157" t="s">
        <x:v>9</x:v>
      </x:c>
      <x:c r="E19" s="78" t="s">
        <x:v>954</x:v>
      </x:c>
    </x:row>
    <x:row r="20" ht="27.950000762939453" customHeight="1">
      <x:c r="A20" s="157" t="s">
        <x:v>748</x:v>
      </x:c>
      <x:c r="B20" s="78" t="s">
        <x:v>955</x:v>
      </x:c>
      <x:c r="D20" s="157" t="s">
        <x:v>12</x:v>
      </x:c>
      <x:c r="E20" s="78" t="s">
        <x:v>956</x:v>
      </x:c>
    </x:row>
    <x:row r="21" ht="27.950000762939453" customHeight="1">
      <x:c r="A21" s="157" t="s">
        <x:v>957</x:v>
      </x:c>
      <x:c r="B21" s="78" t="s">
        <x:v>958</x:v>
      </x:c>
      <x:c r="D21" s="157" t="s">
        <x:v>16</x:v>
      </x:c>
      <x:c r="E21" s="78" t="s">
        <x:v>959</x:v>
      </x:c>
    </x:row>
    <x:row r="22" ht="27.950000762939453" customHeight="1">
      <x:c r="A22" s="157" t="s">
        <x:v>960</x:v>
      </x:c>
      <x:c r="B22" s="78" t="s">
        <x:v>961</x:v>
      </x:c>
      <x:c r="D22" s="157" t="s">
        <x:v>19</x:v>
      </x:c>
      <x:c r="E22" s="78" t="s">
        <x:v>962</x:v>
      </x:c>
    </x:row>
    <x:row r="23" ht="27.950000762939453" customHeight="1">
      <x:c r="A23" s="157" t="s">
        <x:v>963</x:v>
      </x:c>
      <x:c r="B23" s="78" t="s">
        <x:v>964</x:v>
      </x:c>
      <x:c r="D23" s="157" t="s">
        <x:v>22</x:v>
      </x:c>
      <x:c r="E23" s="78" t="s">
        <x:v>965</x:v>
      </x:c>
    </x:row>
    <x:row r="24" ht="27.950000762939453" customHeight="1">
      <x:c r="A24" s="157" t="s">
        <x:v>966</x:v>
      </x:c>
      <x:c r="B24" s="78" t="s">
        <x:v>967</x:v>
      </x:c>
      <x:c r="D24" s="157" t="s">
        <x:v>25</x:v>
      </x:c>
      <x:c r="E24" s="78" t="s">
        <x:v>968</x:v>
      </x:c>
    </x:row>
    <x:row r="25" ht="27.950000762939453" customHeight="1">
      <x:c r="A25" s="157" t="s">
        <x:v>969</x:v>
      </x:c>
      <x:c r="B25" s="78" t="s">
        <x:v>970</x:v>
      </x:c>
      <x:c r="D25" s="157" t="s">
        <x:v>56</x:v>
      </x:c>
      <x:c r="E25" s="78" t="s">
        <x:v>971</x:v>
      </x:c>
    </x:row>
    <x:row r="27" ht="15.75">
      <x:c r="A27" s="237" t="s">
        <x:v>972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">
        <x:v>295</x:v>
      </x:c>
      <x:c r="B28" s="78" t="s">
        <x:v>973</x:v>
      </x:c>
      <x:c r="C28" s="156" t="s">
        <x:v>974</x:v>
      </x:c>
      <x:c r="D28" s="78" t="s">
        <x:v>975</x:v>
      </x:c>
      <x:c r="E28" s="156" t="s">
        <x:v>976</x:v>
      </x:c>
      <x:c r="F28" s="78" t="s">
        <x:v>977</x:v>
      </x:c>
      <x:c r="G28" s="156" t="s">
        <x:v>697</x:v>
      </x:c>
      <x:c r="H28" s="78" t="s">
        <x:v>704</x:v>
      </x:c>
    </x:row>
    <x:row r="29" ht="38.099998474121094" customHeight="1">
      <x:c r="A29" s="156" t="s">
        <x:v>295</x:v>
      </x:c>
      <x:c r="B29" s="78" t="s">
        <x:v>978</x:v>
      </x:c>
      <x:c r="C29" s="156" t="s">
        <x:v>974</x:v>
      </x:c>
      <x:c r="D29" s="78" t="s">
        <x:v>979</x:v>
      </x:c>
      <x:c r="E29" s="156" t="s">
        <x:v>976</x:v>
      </x:c>
      <x:c r="F29" s="78" t="s">
        <x:v>980</x:v>
      </x:c>
      <x:c r="G29" s="156" t="s">
        <x:v>697</x:v>
      </x:c>
      <x:c r="H29" s="78" t="s">
        <x:v>704</x:v>
      </x:c>
    </x:row>
    <x:row r="30" ht="38.099998474121094" customHeight="1">
      <x:c r="A30" s="156" t="s">
        <x:v>295</x:v>
      </x:c>
      <x:c r="B30" s="78" t="s">
        <x:v>981</x:v>
      </x:c>
      <x:c r="C30" s="156" t="s">
        <x:v>974</x:v>
      </x:c>
      <x:c r="D30" s="78" t="s">
        <x:v>982</x:v>
      </x:c>
      <x:c r="E30" s="156" t="s">
        <x:v>976</x:v>
      </x:c>
      <x:c r="F30" s="78" t="s">
        <x:v>983</x:v>
      </x:c>
      <x:c r="G30" s="156" t="s">
        <x:v>697</x:v>
      </x:c>
      <x:c r="H30" s="78" t="s">
        <x:v>704</x:v>
      </x:c>
    </x:row>
    <x:row r="31" ht="38.099998474121094" customHeight="1">
      <x:c r="A31" s="156" t="s">
        <x:v>295</x:v>
      </x:c>
      <x:c r="B31" s="78" t="s">
        <x:v>984</x:v>
      </x:c>
      <x:c r="C31" s="156" t="s">
        <x:v>974</x:v>
      </x:c>
      <x:c r="D31" s="78" t="s">
        <x:v>985</x:v>
      </x:c>
      <x:c r="E31" s="156" t="s">
        <x:v>976</x:v>
      </x:c>
      <x:c r="F31" s="78" t="s">
        <x:v>986</x:v>
      </x:c>
      <x:c r="G31" s="156" t="s">
        <x:v>697</x:v>
      </x:c>
      <x:c r="H31" s="78" t="s">
        <x:v>704</x:v>
      </x:c>
    </x:row>
    <x:row r="32" ht="38.099998474121094" customHeight="1">
      <x:c r="A32" s="156" t="s">
        <x:v>987</x:v>
      </x:c>
      <x:c r="B32" s="78" t="s">
        <x:v>988</x:v>
      </x:c>
      <x:c r="C32" s="156" t="s">
        <x:v>701</x:v>
      </x:c>
      <x:c r="D32" s="78" t="s">
        <x:v>989</x:v>
      </x:c>
      <x:c r="E32" s="156" t="s">
        <x:v>976</x:v>
      </x:c>
      <x:c r="F32" s="78" t="s">
        <x:v>990</x:v>
      </x:c>
      <x:c r="G32" s="156" t="s">
        <x:v>697</x:v>
      </x:c>
      <x:c r="H32" s="78" t="s">
        <x:v>704</x:v>
      </x:c>
    </x:row>
    <x:row r="34" ht="15">
      <x:c r="A34" s="238" t="s">
        <x:v>991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992</x:v>
      </x:c>
      <x:c r="B35" s="240"/>
      <x:c r="C35" s="241" t="s">
        <x:v>993</x:v>
      </x:c>
      <x:c r="D35" s="242"/>
      <x:c r="E35" s="242"/>
      <x:c r="F35" s="242"/>
      <x:c r="G35" s="242"/>
      <x:c r="H35" s="243"/>
    </x:row>
    <x:row r="36" ht="42" customHeight="1">
      <x:c r="A36" s="239" t="s">
        <x:v>994</x:v>
      </x:c>
      <x:c r="B36" s="240"/>
      <x:c r="C36" s="241" t="s">
        <x:v>995</x:v>
      </x:c>
      <x:c r="D36" s="242"/>
      <x:c r="E36" s="242"/>
      <x:c r="F36" s="242"/>
      <x:c r="G36" s="242"/>
      <x:c r="H36" s="243"/>
    </x:row>
    <x:row r="37" ht="42" customHeight="1">
      <x:c r="A37" s="239" t="s">
        <x:v>996</x:v>
      </x:c>
      <x:c r="B37" s="240"/>
      <x:c r="C37" s="241" t="s">
        <x:v>997</x:v>
      </x:c>
      <x:c r="D37" s="242"/>
      <x:c r="E37" s="242"/>
      <x:c r="F37" s="242"/>
      <x:c r="G37" s="242"/>
      <x:c r="H37" s="243"/>
    </x:row>
    <x:row r="38" ht="42" customHeight="1">
      <x:c r="A38" s="239" t="s">
        <x:v>998</x:v>
      </x:c>
      <x:c r="B38" s="240"/>
      <x:c r="C38" s="241" t="s">
        <x:v>999</x:v>
      </x:c>
      <x:c r="D38" s="242"/>
      <x:c r="E38" s="242"/>
      <x:c r="F38" s="242"/>
      <x:c r="G38" s="242"/>
      <x:c r="H38" s="243"/>
    </x:row>
    <x:row r="39" ht="42" customHeight="1">
      <x:c r="A39" s="239" t="s">
        <x:v>1000</x:v>
      </x:c>
      <x:c r="B39" s="240"/>
      <x:c r="C39" s="241" t="s">
        <x:v>1001</x:v>
      </x:c>
      <x:c r="D39" s="242"/>
      <x:c r="E39" s="242"/>
      <x:c r="F39" s="242"/>
      <x:c r="G39" s="242"/>
      <x:c r="H39" s="243"/>
    </x:row>
    <x:row r="40" ht="42" customHeight="1">
      <x:c r="A40" s="239" t="s">
        <x:v>969</x:v>
      </x:c>
      <x:c r="B40" s="240"/>
      <x:c r="C40" s="241" t="s">
        <x:v>1002</x:v>
      </x:c>
      <x:c r="D40" s="242"/>
      <x:c r="E40" s="242"/>
      <x:c r="F40" s="242"/>
      <x:c r="G40" s="242"/>
      <x:c r="H40" s="243"/>
    </x:row>
    <x:row r="41" ht="42" customHeight="1">
      <x:c r="A41" s="239" t="s">
        <x:v>1003</x:v>
      </x:c>
      <x:c r="B41" s="240"/>
      <x:c r="C41" s="241" t="s">
        <x:v>1004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7.950000762939453" customHeight="1">
      <x:c r="A1" s="234" t="s">
        <x:v>1005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1006</x:v>
      </x:c>
      <x:c r="B3" s="235"/>
      <x:c r="C3" s="235"/>
      <x:c r="D3" s="235"/>
      <x:c r="F3" s="237" t="s">
        <x:v>1007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109</x:v>
      </x:c>
      <x:c r="B4" s="166">
        <x:v>46257</x:v>
      </x:c>
      <x:c r="F4" s="156" t="s">
        <x:v>29</x:v>
      </x:c>
      <x:c r="G4" s="245" t="s">
        <x:v>30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71</x:v>
      </x:c>
      <x:c r="B5" s="167">
        <x:v>76</x:v>
      </x:c>
      <x:c r="F5" s="156" t="s">
        <x:v>1008</x:v>
      </x:c>
      <x:c r="G5" s="245" t="s">
        <x:v>32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1009</x:v>
      </x:c>
      <x:c r="B6" s="168" t="n">
        <x:f>SUM('Work Block Log'!F5:F200)</x:f>
        <x:v>8.13</x:v>
      </x:c>
      <x:c r="F6" s="156" t="s">
        <x:v>1010</x:v>
      </x:c>
      <x:c r="G6" s="245" t="s">
        <x:v>1011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1012</x:v>
      </x:c>
      <x:c r="B7" s="169" t="n">
        <x:f>SUMPRODUCT('Detailed Gantt'!F6:F27,'Detailed Gantt'!L6:L27)/SUM('Detailed Gantt'!F6:F27)</x:f>
        <x:v>0.1855263157894737</x:v>
      </x:c>
      <x:c r="F7" s="156" t="s">
        <x:v>920</x:v>
      </x:c>
      <x:c r="G7" s="245" t="s">
        <x:v>1013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1014</x:v>
      </x:c>
      <x:c r="B8" s="167">
        <x:v>25</x:v>
      </x:c>
      <x:c r="F8" s="156" t="s">
        <x:v>1015</x:v>
      </x:c>
      <x:c r="G8" s="245" t="s">
        <x:v>1016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1017</x:v>
      </x:c>
      <x:c r="B9" s="167">
        <x:v>3</x:v>
      </x:c>
      <x:c r="F9" s="156" t="s">
        <x:v>819</x:v>
      </x:c>
      <x:c r="G9" s="245" t="s">
        <x:v>1018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1019</x:v>
      </x:c>
      <x:c r="B10" s="167">
        <x:v>5</x:v>
      </x:c>
      <x:c r="F10" s="156" t="s">
        <x:v>1020</x:v>
      </x:c>
      <x:c r="G10" s="245" t="s">
        <x:v>1021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1022</x:v>
      </x:c>
      <x:c r="B11" s="167" t="s">
        <x:v>793</x:v>
      </x:c>
    </x:row>
    <x:row r="13" ht="15.75">
      <x:c r="A13" s="237" t="s">
        <x:v>1023</x:v>
      </x:c>
      <x:c r="B13" s="235"/>
      <x:c r="C13" s="235"/>
      <x:c r="D13" s="235"/>
      <x:c r="E13" s="235"/>
    </x:row>
    <x:row r="14" ht="30">
      <x:c r="A14" s="80" t="s">
        <x:v>70</x:v>
      </x:c>
      <x:c r="B14" s="80" t="s">
        <x:v>71</x:v>
      </x:c>
      <x:c r="C14" s="80" t="s">
        <x:v>72</x:v>
      </x:c>
      <x:c r="D14" s="80" t="s">
        <x:v>73</x:v>
      </x:c>
      <x:c r="E14" s="80" t="s">
        <x:v>261</x:v>
      </x:c>
    </x:row>
    <x:row r="15" ht="28.5">
      <x:c r="A15" s="78" t="s">
        <x:v>87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88</x:v>
      </x:c>
    </x:row>
    <x:row r="16" ht="42.75">
      <x:c r="A16" s="78" t="s">
        <x:v>91</x:v>
      </x:c>
      <x:c r="B16" s="82">
        <x:v>24</x:v>
      </x:c>
      <x:c r="C16" s="82" t="n">
        <x:f>SUMIF('Detailed Gantt'!$B$6:$B$27,A16,'Detailed Gantt'!$M$6:$M$27)</x:f>
        <x:v>0.58</x:v>
      </x:c>
      <x:c r="D16" s="170" t="n">
        <x:f>IF(B16=0,0,SUMPRODUCT(('Detailed Gantt'!$B$6:$B$27=A16)*'Detailed Gantt'!$F$6:$F$27*'Detailed Gantt'!$L$6:$L$27)/B16)</x:f>
        <x:v>0.16666666666666666</x:v>
      </x:c>
      <x:c r="E16" s="78" t="s">
        <x:v>92</x:v>
      </x:c>
    </x:row>
    <x:row r="17" ht="28.5">
      <x:c r="A17" s="78" t="s">
        <x:v>94</x:v>
      </x:c>
      <x:c r="B17" s="82">
        <x:v>14</x:v>
      </x:c>
      <x:c r="C17" s="82" t="n">
        <x:f>SUMIF('Detailed Gantt'!$B$6:$B$27,A17,'Detailed Gantt'!$M$6:$M$27)</x:f>
        <x:v>0</x:v>
      </x:c>
      <x:c r="D17" s="170" t="n">
        <x:f>IF(B17=0,0,SUMPRODUCT(('Detailed Gantt'!$B$6:$B$27=A17)*'Detailed Gantt'!$F$6:$F$27*'Detailed Gantt'!$L$6:$L$27)/B17)</x:f>
        <x:v>0</x:v>
      </x:c>
      <x:c r="E17" s="78" t="s">
        <x:v>95</x:v>
      </x:c>
    </x:row>
    <x:row r="18" ht="28.5">
      <x:c r="A18" s="78" t="s">
        <x:v>97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98</x:v>
      </x:c>
    </x:row>
    <x:row r="19" ht="42.75">
      <x:c r="A19" s="78" t="s">
        <x:v>100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101</x:v>
      </x:c>
    </x:row>
    <x:row r="20" ht="28.5">
      <x:c r="A20" s="78" t="s">
        <x:v>103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104</x:v>
      </x:c>
    </x:row>
    <x:row r="23" ht="15.75">
      <x:c r="A23" s="237" t="s">
        <x:v>1024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808</x:v>
      </x:c>
      <x:c r="B24" s="175" t="s">
        <x:v>113</x:v>
      </x:c>
      <x:c r="C24" s="175" t="s">
        <x:v>1025</x:v>
      </x:c>
      <x:c r="D24" s="175" t="s">
        <x:v>1026</x:v>
      </x:c>
      <x:c r="E24" s="175" t="s">
        <x:v>292</x:v>
      </x:c>
      <x:c r="F24" s="175" t="s">
        <x:v>1027</x:v>
      </x:c>
      <x:c r="G24" s="175" t="s">
        <x:v>295</x:v>
      </x:c>
      <x:c r="H24" s="175" t="s">
        <x:v>697</x:v>
      </x:c>
    </x:row>
    <x:row r="25" ht="54" customHeight="1">
      <x:c r="A25" s="177">
        <x:v>1</x:v>
      </x:c>
      <x:c r="B25" s="177" t="s">
        <x:v>133</x:v>
      </x:c>
      <x:c r="C25" s="83" t="s">
        <x:v>134</x:v>
      </x:c>
      <x:c r="D25" s="83" t="s">
        <x:v>1028</x:v>
      </x:c>
      <x:c r="E25" s="177">
        <x:v>2</x:v>
      </x:c>
      <x:c r="F25" s="83" t="s">
        <x:v>1029</x:v>
      </x:c>
      <x:c r="G25" s="83" t="s">
        <x:v>1030</x:v>
      </x:c>
      <x:c r="H25" s="177" t="s">
        <x:v>704</x:v>
      </x:c>
    </x:row>
    <x:row r="26" ht="54" customHeight="1">
      <x:c r="A26" s="177">
        <x:v>2</x:v>
      </x:c>
      <x:c r="B26" s="177" t="s">
        <x:v>143</x:v>
      </x:c>
      <x:c r="C26" s="83" t="s">
        <x:v>1031</x:v>
      </x:c>
      <x:c r="D26" s="83" t="s">
        <x:v>1032</x:v>
      </x:c>
      <x:c r="E26" s="177">
        <x:v>2</x:v>
      </x:c>
      <x:c r="F26" s="83" t="s">
        <x:v>1033</x:v>
      </x:c>
      <x:c r="G26" s="83" t="s">
        <x:v>1034</x:v>
      </x:c>
      <x:c r="H26" s="177" t="s">
        <x:v>704</x:v>
      </x:c>
    </x:row>
    <x:row r="27" ht="54" customHeight="1">
      <x:c r="A27" s="177">
        <x:v>3</x:v>
      </x:c>
      <x:c r="B27" s="177" t="s">
        <x:v>146</x:v>
      </x:c>
      <x:c r="C27" s="83" t="s">
        <x:v>1035</x:v>
      </x:c>
      <x:c r="D27" s="83" t="s">
        <x:v>1036</x:v>
      </x:c>
      <x:c r="E27" s="177">
        <x:v>3</x:v>
      </x:c>
      <x:c r="F27" s="83" t="s">
        <x:v>1037</x:v>
      </x:c>
      <x:c r="G27" s="83" t="s">
        <x:v>1038</x:v>
      </x:c>
      <x:c r="H27" s="177" t="s">
        <x:v>704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96b75d0d969450f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1039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1040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1041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1042</x:v>
      </x:c>
      <x:c r="B5" s="240"/>
      <x:c r="C5" s="241" t="s">
        <x:v>1043</x:v>
      </x:c>
      <x:c r="D5" s="242"/>
      <x:c r="E5" s="242"/>
      <x:c r="F5" s="242"/>
      <x:c r="G5" s="242"/>
      <x:c r="H5" s="243"/>
    </x:row>
    <x:row r="6" ht="33.95000076293945" customHeight="1">
      <x:c r="A6" s="239" t="s">
        <x:v>1044</x:v>
      </x:c>
      <x:c r="B6" s="240"/>
      <x:c r="C6" s="241" t="s">
        <x:v>1045</x:v>
      </x:c>
      <x:c r="D6" s="242"/>
      <x:c r="E6" s="242"/>
      <x:c r="F6" s="242"/>
      <x:c r="G6" s="242"/>
      <x:c r="H6" s="243"/>
    </x:row>
    <x:row r="7" ht="33.95000076293945" customHeight="1">
      <x:c r="A7" s="239" t="s">
        <x:v>1046</x:v>
      </x:c>
      <x:c r="B7" s="240"/>
      <x:c r="C7" s="241" t="s">
        <x:v>1047</x:v>
      </x:c>
      <x:c r="D7" s="242"/>
      <x:c r="E7" s="242"/>
      <x:c r="F7" s="242"/>
      <x:c r="G7" s="242"/>
      <x:c r="H7" s="243"/>
    </x:row>
    <x:row r="8" ht="33.95000076293945" customHeight="1">
      <x:c r="A8" s="239" t="s">
        <x:v>1048</x:v>
      </x:c>
      <x:c r="B8" s="240"/>
      <x:c r="C8" s="241" t="s">
        <x:v>1049</x:v>
      </x:c>
      <x:c r="D8" s="242"/>
      <x:c r="E8" s="242"/>
      <x:c r="F8" s="242"/>
      <x:c r="G8" s="242"/>
      <x:c r="H8" s="243"/>
    </x:row>
    <x:row r="9" ht="33.95000076293945" customHeight="1">
      <x:c r="A9" s="239" t="s">
        <x:v>1050</x:v>
      </x:c>
      <x:c r="B9" s="240"/>
      <x:c r="C9" s="241" t="s">
        <x:v>1051</x:v>
      </x:c>
      <x:c r="D9" s="242"/>
      <x:c r="E9" s="242"/>
      <x:c r="F9" s="242"/>
      <x:c r="G9" s="242"/>
      <x:c r="H9" s="243"/>
    </x:row>
    <x:row r="11" ht="15">
      <x:c r="A11" s="238" t="s">
        <x:v>1052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1053</x:v>
      </x:c>
      <x:c r="B12" s="180" t="s">
        <x:v>1054</x:v>
      </x:c>
      <x:c r="C12" s="180" t="s">
        <x:v>1055</x:v>
      </x:c>
      <x:c r="D12" s="180" t="s">
        <x:v>1056</x:v>
      </x:c>
      <x:c r="E12" s="180" t="s">
        <x:v>1057</x:v>
      </x:c>
      <x:c r="F12" s="180" t="s">
        <x:v>807</x:v>
      </x:c>
      <x:c r="G12" s="180" t="s">
        <x:v>121</x:v>
      </x:c>
      <x:c r="H12" s="181" t="s">
        <x:v>1058</x:v>
      </x:c>
    </x:row>
    <x:row r="13" ht="78" customHeight="1">
      <x:c r="A13" s="182" t="s">
        <x:v>86</x:v>
      </x:c>
      <x:c r="B13" s="183" t="s">
        <x:v>1059</x:v>
      </x:c>
      <x:c r="C13" s="183" t="s">
        <x:v>1060</x:v>
      </x:c>
      <x:c r="D13" s="183" t="s">
        <x:v>1061</x:v>
      </x:c>
      <x:c r="E13" s="183" t="s">
        <x:v>1062</x:v>
      </x:c>
      <x:c r="F13" s="183" t="s">
        <x:v>1063</x:v>
      </x:c>
      <x:c r="G13" s="183" t="s">
        <x:v>640</x:v>
      </x:c>
      <x:c r="H13" s="184" t="s">
        <x:v>1064</x:v>
      </x:c>
    </x:row>
    <x:row r="14" ht="78" customHeight="1">
      <x:c r="A14" s="185" t="s">
        <x:v>6</x:v>
      </x:c>
      <x:c r="B14" s="83" t="s">
        <x:v>1065</x:v>
      </x:c>
      <x:c r="C14" s="83" t="s">
        <x:v>1066</x:v>
      </x:c>
      <x:c r="D14" s="83" t="s">
        <x:v>1067</x:v>
      </x:c>
      <x:c r="E14" s="83" t="s">
        <x:v>1068</x:v>
      </x:c>
      <x:c r="F14" s="83" t="s">
        <x:v>1069</x:v>
      </x:c>
      <x:c r="G14" s="83" t="s">
        <x:v>819</x:v>
      </x:c>
      <x:c r="H14" s="186" t="s">
        <x:v>1070</x:v>
      </x:c>
    </x:row>
    <x:row r="15" ht="78" customHeight="1">
      <x:c r="A15" s="185" t="s">
        <x:v>9</x:v>
      </x:c>
      <x:c r="B15" s="83" t="s">
        <x:v>1065</x:v>
      </x:c>
      <x:c r="C15" s="83" t="s">
        <x:v>1071</x:v>
      </x:c>
      <x:c r="D15" s="83" t="s">
        <x:v>1072</x:v>
      </x:c>
      <x:c r="E15" s="83" t="s">
        <x:v>1073</x:v>
      </x:c>
      <x:c r="F15" s="83" t="s">
        <x:v>1074</x:v>
      </x:c>
      <x:c r="G15" s="83" t="s">
        <x:v>819</x:v>
      </x:c>
      <x:c r="H15" s="186" t="s">
        <x:v>1075</x:v>
      </x:c>
    </x:row>
    <x:row r="16" ht="78" customHeight="1">
      <x:c r="A16" s="185" t="s">
        <x:v>12</x:v>
      </x:c>
      <x:c r="B16" s="83" t="s">
        <x:v>1065</x:v>
      </x:c>
      <x:c r="C16" s="83" t="s">
        <x:v>1076</x:v>
      </x:c>
      <x:c r="D16" s="83" t="s">
        <x:v>1077</x:v>
      </x:c>
      <x:c r="E16" s="83" t="s">
        <x:v>1078</x:v>
      </x:c>
      <x:c r="F16" s="83" t="s">
        <x:v>1079</x:v>
      </x:c>
      <x:c r="G16" s="83" t="s">
        <x:v>819</x:v>
      </x:c>
      <x:c r="H16" s="186" t="s">
        <x:v>1080</x:v>
      </x:c>
    </x:row>
    <x:row r="17" ht="78" customHeight="1">
      <x:c r="A17" s="185" t="s">
        <x:v>16</x:v>
      </x:c>
      <x:c r="B17" s="83" t="s">
        <x:v>1065</x:v>
      </x:c>
      <x:c r="C17" s="83" t="s">
        <x:v>1081</x:v>
      </x:c>
      <x:c r="D17" s="83" t="s">
        <x:v>1082</x:v>
      </x:c>
      <x:c r="E17" s="83" t="s">
        <x:v>1083</x:v>
      </x:c>
      <x:c r="F17" s="83" t="s">
        <x:v>1084</x:v>
      </x:c>
      <x:c r="G17" s="83" t="s">
        <x:v>819</x:v>
      </x:c>
      <x:c r="H17" s="186" t="s">
        <x:v>1085</x:v>
      </x:c>
    </x:row>
    <x:row r="18" ht="78" customHeight="1">
      <x:c r="A18" s="185" t="s">
        <x:v>19</x:v>
      </x:c>
      <x:c r="B18" s="83" t="s">
        <x:v>1065</x:v>
      </x:c>
      <x:c r="C18" s="83" t="s">
        <x:v>1086</x:v>
      </x:c>
      <x:c r="D18" s="83" t="s">
        <x:v>1087</x:v>
      </x:c>
      <x:c r="E18" s="83" t="s">
        <x:v>1088</x:v>
      </x:c>
      <x:c r="F18" s="83" t="s">
        <x:v>1089</x:v>
      </x:c>
      <x:c r="G18" s="83" t="s">
        <x:v>819</x:v>
      </x:c>
      <x:c r="H18" s="186" t="s">
        <x:v>1090</x:v>
      </x:c>
    </x:row>
    <x:row r="19" ht="78" customHeight="1">
      <x:c r="A19" s="187" t="s">
        <x:v>22</x:v>
      </x:c>
      <x:c r="B19" s="188" t="s">
        <x:v>1091</x:v>
      </x:c>
      <x:c r="C19" s="188" t="s">
        <x:v>1092</x:v>
      </x:c>
      <x:c r="D19" s="188" t="s">
        <x:v>1093</x:v>
      </x:c>
      <x:c r="E19" s="188" t="s">
        <x:v>1094</x:v>
      </x:c>
      <x:c r="F19" s="188" t="s">
        <x:v>1095</x:v>
      </x:c>
      <x:c r="G19" s="188" t="s">
        <x:v>1096</x:v>
      </x:c>
      <x:c r="H19" s="189" t="s">
        <x:v>1097</x:v>
      </x:c>
    </x:row>
    <x:row r="21" ht="15">
      <x:c r="A21" s="238" t="s">
        <x:v>1098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1099</x:v>
      </x:c>
      <x:c r="B22" s="240"/>
      <x:c r="C22" s="241" t="s">
        <x:v>1100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1101</x:v>
      </x:c>
      <x:c r="B23" s="240"/>
      <x:c r="C23" s="241" t="s">
        <x:v>1102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1103</x:v>
      </x:c>
      <x:c r="B24" s="240"/>
      <x:c r="C24" s="241" t="s">
        <x:v>1104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1105</x:v>
      </x:c>
      <x:c r="B25" s="240"/>
      <x:c r="C25" s="241" t="s">
        <x:v>1106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1107</x:v>
      </x:c>
      <x:c r="B26" s="240"/>
      <x:c r="C26" s="241" t="s">
        <x:v>1108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1109</x:v>
      </x:c>
      <x:c r="B27" s="240"/>
      <x:c r="C27" s="241" t="s">
        <x:v>1110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1075</x:v>
      </x:c>
      <x:c r="B28" s="240"/>
      <x:c r="C28" s="241" t="s">
        <x:v>1111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1112</x:v>
      </x:c>
      <x:c r="B29" s="240"/>
      <x:c r="C29" s="241" t="s">
        <x:v>1113</x:v>
      </x:c>
      <x:c r="D29" s="242"/>
      <x:c r="E29" s="242"/>
      <x:c r="F29" s="242"/>
      <x:c r="G29" s="242"/>
      <x:c r="H29" s="243"/>
    </x:row>
    <x:row r="31" ht="15">
      <x:c r="A31" s="238" t="s">
        <x:v>1114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1115</x:v>
      </x:c>
      <x:c r="B32" s="240"/>
      <x:c r="C32" s="241" t="s">
        <x:v>1116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1117</x:v>
      </x:c>
      <x:c r="B33" s="240"/>
      <x:c r="C33" s="241" t="s">
        <x:v>1118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1119</x:v>
      </x:c>
      <x:c r="B34" s="240"/>
      <x:c r="C34" s="241" t="s">
        <x:v>1120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1121</x:v>
      </x:c>
      <x:c r="B35" s="240"/>
      <x:c r="C35" s="241" t="s">
        <x:v>1122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1123</x:v>
      </x:c>
      <x:c r="B36" s="240"/>
      <x:c r="C36" s="241" t="s">
        <x:v>1124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1125</x:v>
      </x:c>
      <x:c r="B37" s="240"/>
      <x:c r="C37" s="241" t="s">
        <x:v>1126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1127</x:v>
      </x:c>
      <x:c r="B38" s="240"/>
      <x:c r="C38" s="241" t="s">
        <x:v>1128</x:v>
      </x:c>
      <x:c r="D38" s="242"/>
      <x:c r="E38" s="242"/>
      <x:c r="F38" s="242"/>
      <x:c r="G38" s="242"/>
      <x:c r="H38" s="243"/>
    </x:row>
    <x:row r="40" ht="15">
      <x:c r="A40" s="238" t="s">
        <x:v>1129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1130</x:v>
      </x:c>
      <x:c r="B41" s="240"/>
      <x:c r="C41" s="241" t="s">
        <x:v>1131</x:v>
      </x:c>
      <x:c r="D41" s="242"/>
      <x:c r="E41" s="242"/>
      <x:c r="F41" s="242"/>
      <x:c r="G41" s="242"/>
      <x:c r="H41" s="243"/>
    </x:row>
    <x:row r="42" ht="42" customHeight="1">
      <x:c r="A42" s="239" t="s">
        <x:v>1132</x:v>
      </x:c>
      <x:c r="B42" s="240"/>
      <x:c r="C42" s="241" t="s">
        <x:v>1133</x:v>
      </x:c>
      <x:c r="D42" s="242"/>
      <x:c r="E42" s="242"/>
      <x:c r="F42" s="242"/>
      <x:c r="G42" s="242"/>
      <x:c r="H42" s="243"/>
    </x:row>
    <x:row r="43" ht="42" customHeight="1">
      <x:c r="A43" s="239" t="s">
        <x:v>1134</x:v>
      </x:c>
      <x:c r="B43" s="240"/>
      <x:c r="C43" s="241" t="s">
        <x:v>1135</x:v>
      </x:c>
      <x:c r="D43" s="242"/>
      <x:c r="E43" s="242"/>
      <x:c r="F43" s="242"/>
      <x:c r="G43" s="242"/>
      <x:c r="H43" s="243"/>
    </x:row>
    <x:row r="44" ht="42" customHeight="1">
      <x:c r="A44" s="239" t="s">
        <x:v>1136</x:v>
      </x:c>
      <x:c r="B44" s="240"/>
      <x:c r="C44" s="241" t="s">
        <x:v>1137</x:v>
      </x:c>
      <x:c r="D44" s="242"/>
      <x:c r="E44" s="242"/>
      <x:c r="F44" s="242"/>
      <x:c r="G44" s="242"/>
      <x:c r="H44" s="243"/>
    </x:row>
    <x:row r="45" ht="42" customHeight="1">
      <x:c r="A45" s="239" t="s">
        <x:v>1138</x:v>
      </x:c>
      <x:c r="B45" s="240"/>
      <x:c r="C45" s="241" t="s">
        <x:v>1139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