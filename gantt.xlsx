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69665e8c8bd410c" /></Relationships>
</file>

<file path=xl/workbook.xml><?xml version="1.0" encoding="utf-8"?>
<x:workbook xmlns:x="http://schemas.openxmlformats.org/spreadsheetml/2006/main">
  <x:sheets>
    <x:sheet xmlns:r="http://schemas.openxmlformats.org/officeDocument/2006/relationships" name="Start Here" sheetId="1" r:id="Rec82890aee6f416f"/>
    <x:sheet xmlns:r="http://schemas.openxmlformats.org/officeDocument/2006/relationships" name="Executive Gantt" sheetId="2" r:id="R8a36bf5f3dfc49cd"/>
    <x:sheet xmlns:r="http://schemas.openxmlformats.org/officeDocument/2006/relationships" name="Detailed Gantt" sheetId="3" r:id="R962ed97984604ab8"/>
    <x:sheet xmlns:r="http://schemas.openxmlformats.org/officeDocument/2006/relationships" name="Weekly Control" sheetId="4" r:id="R5372c53a36524e8a"/>
    <x:sheet xmlns:r="http://schemas.openxmlformats.org/officeDocument/2006/relationships" name="Phase Summary" sheetId="5" r:id="R053b0e06b0964e61"/>
    <x:sheet xmlns:r="http://schemas.openxmlformats.org/officeDocument/2006/relationships" name="Assumptions &amp; Gates" sheetId="6" r:id="R5a62a0b8b17b463d"/>
    <x:sheet xmlns:r="http://schemas.openxmlformats.org/officeDocument/2006/relationships" name="Sources" sheetId="7" r:id="R5e522f305d5c4a4d"/>
    <x:sheet xmlns:r="http://schemas.openxmlformats.org/officeDocument/2006/relationships" name="Legacy Baseline" sheetId="8" r:id="R971a6f0b59af4909"/>
    <x:sheet xmlns:r="http://schemas.openxmlformats.org/officeDocument/2006/relationships" name="Work Block Log" sheetId="9" r:id="R3ba82d8007d44af4"/>
    <x:sheet xmlns:r="http://schemas.openxmlformats.org/officeDocument/2006/relationships" name="Decision Register" sheetId="10" r:id="Rdafa5de651f94903"/>
    <x:sheet xmlns:r="http://schemas.openxmlformats.org/officeDocument/2006/relationships" name="Risks &amp; Issues" sheetId="11" r:id="R82157d3623b24526"/>
    <x:sheet xmlns:r="http://schemas.openxmlformats.org/officeDocument/2006/relationships" name="Evidence Register" sheetId="12" r:id="Rcace08bff44047b1"/>
    <x:sheet xmlns:r="http://schemas.openxmlformats.org/officeDocument/2006/relationships" name="Expansion Backlog" sheetId="13" r:id="R0aa53711247c48cc"/>
    <x:sheet xmlns:r="http://schemas.openxmlformats.org/officeDocument/2006/relationships" name="AI Context" sheetId="14" r:id="R65153de872e3419c"/>
    <x:sheet xmlns:r="http://schemas.openxmlformats.org/officeDocument/2006/relationships" name="MVP Dashboard" sheetId="15" r:id="R2293d76f39bb42e4"/>
    <x:sheet xmlns:r="http://schemas.openxmlformats.org/officeDocument/2006/relationships" name="Product Vision" sheetId="16" r:id="Rf21407a83c654c0c"/>
    <x:sheet xmlns:r="http://schemas.openxmlformats.org/officeDocument/2006/relationships" name="Pilot Gantt" sheetId="17" r:id="R5d2e3e210e15432c"/>
    <x:sheet xmlns:r="http://schemas.openxmlformats.org/officeDocument/2006/relationships" name="Pilot Dashboard" sheetId="18" r:id="R1b7457e22bc64818"/>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<x:sst xmlns:x="http://schemas.openxmlformats.org/spreadsheetml/2006/main">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</x:sst>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28fdbded65044cc" /><Relationship Type="http://schemas.openxmlformats.org/officeDocument/2006/relationships/theme" Target="/xl/theme/theme1.xml" Id="Rc693f12b89d64450" /><Relationship Type="http://schemas.openxmlformats.org/officeDocument/2006/relationships/sharedStrings" Target="/xl/sharedStrings.xml" Id="R59a74358b6004c9f" /><Relationship Type="http://schemas.openxmlformats.org/officeDocument/2006/relationships/worksheet" Target="/xl/worksheets/sheet1.xml" Id="Rec82890aee6f416f" /><Relationship Type="http://schemas.openxmlformats.org/officeDocument/2006/relationships/worksheet" Target="/xl/worksheets/sheet2.xml" Id="R8a36bf5f3dfc49cd" /><Relationship Type="http://schemas.openxmlformats.org/officeDocument/2006/relationships/worksheet" Target="/xl/worksheets/sheet3.xml" Id="R962ed97984604ab8" /><Relationship Type="http://schemas.openxmlformats.org/officeDocument/2006/relationships/worksheet" Target="/xl/worksheets/sheet4.xml" Id="R5372c53a36524e8a" /><Relationship Type="http://schemas.openxmlformats.org/officeDocument/2006/relationships/worksheet" Target="/xl/worksheets/sheet5.xml" Id="R053b0e06b0964e61" /><Relationship Type="http://schemas.openxmlformats.org/officeDocument/2006/relationships/worksheet" Target="/xl/worksheets/sheet6.xml" Id="R5a62a0b8b17b463d" /><Relationship Type="http://schemas.openxmlformats.org/officeDocument/2006/relationships/worksheet" Target="/xl/worksheets/sheet7.xml" Id="R5e522f305d5c4a4d" /><Relationship Type="http://schemas.openxmlformats.org/officeDocument/2006/relationships/worksheet" Target="/xl/worksheets/sheet8.xml" Id="R971a6f0b59af4909" /><Relationship Type="http://schemas.openxmlformats.org/officeDocument/2006/relationships/worksheet" Target="/xl/worksheets/sheet9.xml" Id="R3ba82d8007d44af4" /><Relationship Type="http://schemas.openxmlformats.org/officeDocument/2006/relationships/worksheet" Target="/xl/worksheets/sheet10.xml" Id="Rdafa5de651f94903" /><Relationship Type="http://schemas.openxmlformats.org/officeDocument/2006/relationships/worksheet" Target="/xl/worksheets/sheet11.xml" Id="R82157d3623b24526" /><Relationship Type="http://schemas.openxmlformats.org/officeDocument/2006/relationships/worksheet" Target="/xl/worksheets/sheet12.xml" Id="Rcace08bff44047b1" /><Relationship Type="http://schemas.openxmlformats.org/officeDocument/2006/relationships/worksheet" Target="/xl/worksheets/sheet13.xml" Id="R0aa53711247c48cc" /><Relationship Type="http://schemas.openxmlformats.org/officeDocument/2006/relationships/worksheet" Target="/xl/worksheets/sheet14.xml" Id="R65153de872e3419c" /><Relationship Type="http://schemas.openxmlformats.org/officeDocument/2006/relationships/worksheet" Target="/xl/worksheets/sheet15.xml" Id="R2293d76f39bb42e4" /><Relationship Type="http://schemas.openxmlformats.org/officeDocument/2006/relationships/worksheet" Target="/xl/worksheets/sheet16.xml" Id="Rf21407a83c654c0c" /><Relationship Type="http://schemas.openxmlformats.org/officeDocument/2006/relationships/worksheet" Target="/xl/worksheets/sheet17.xml" Id="R5d2e3e210e15432c" /><Relationship Type="http://schemas.openxmlformats.org/officeDocument/2006/relationships/worksheet" Target="/xl/worksheets/sheet18.xml" Id="R1b7457e22bc64818" /></Relationships>
</file>

<file path=xl/drawings/_rels/drawing1.xml.rels>&#65279;<?xml version="1.0" encoding="utf-8"?><Relationships xmlns="http://schemas.openxmlformats.org/package/2006/relationships"><Relationship Type="http://schemas.openxmlformats.org/officeDocument/2006/relationships/chart" Target="/xl/drawings/charts/chart1.xml" Id="Rcd4a92ce20134b1a" /></Relationships>
</file>

<file path=xl/drawings/_rels/drawing2.xml.rels>&#65279;<?xml version="1.0" encoding="utf-8"?><Relationships xmlns="http://schemas.openxmlformats.org/package/2006/relationships"><Relationship Type="http://schemas.openxmlformats.org/officeDocument/2006/relationships/chart" Target="/xl/drawings/charts/chart2.xml" Id="Rb253f49cf3564c86" /></Relationships>
</file>

<file path=xl/drawings/_rels/drawing3.xml.rels>&#65279;<?xml version="1.0" encoding="utf-8"?><Relationships xmlns="http://schemas.openxmlformats.org/package/2006/relationships"><Relationship Type="http://schemas.openxmlformats.org/officeDocument/2006/relationships/chart" Target="/xl/drawings/charts/chart3.xml" Id="R4546500702e84a41"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d4a92ce20134b1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53f49cf3564c8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546500702e84a4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c96459f377c4c0f" /></Relationships>
</file>

<file path=xl/worksheets/_rels/sheet5.xml.rels>&#65279;<?xml version="1.0" encoding="utf-8"?><Relationships xmlns="http://schemas.openxmlformats.org/package/2006/relationships"><Relationship Type="http://schemas.openxmlformats.org/officeDocument/2006/relationships/drawing" Target="/xl/drawings/drawing2.xml" Id="R45b1ea24c75644cb" /></Relationships>
</file>

<file path=xl/worksheets/_rels/sheet15.xml.rels>&#65279;<?xml version="1.0" encoding="utf-8"?><Relationships xmlns="http://schemas.openxmlformats.org/package/2006/relationships"><Relationship Type="http://schemas.openxmlformats.org/officeDocument/2006/relationships/drawing" Target="/xl/drawings/drawing3.xml" Id="Reed4d829bd3a4af0"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v2.5 - P1.2 development fixture verified / acceptance pending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P1.2 complete and verified; acceptance pending</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P1.2 - Review and accept development synthetic package</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P1.3 - Author held-out package and fault variants (blocked pending P1.2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0" hidden="0" customHeight="1">
      <x:c r="A28" s="704" t="str">
        <x:v>P1.2 verified: 19 package files, 9 documents, 20 golden relationships, focused 44/1 skip, full 165/1 skip. Review before accepting P1.2.</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c96459f377c4c0f"/>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45b1ea24c75644cb"/>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v2.5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P1.2 - acceptance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Manifest boundary and clean development fixture exist. Still missing a held-out family, source adapters, package gates, relationship evaluation, result routing, issue register, release summary, and unseen benchmark evidence.</x:v>
      </x:c>
      <x:c r="E7" s="449" t="str">
        <x:v>Product interpretation</x:v>
      </x:c>
      <x:c r="F7" s="447" t="str">
        <x:v>Successful kernel; not yet a complete economically useful workflow.</x:v>
      </x:c>
      <x:c r="G7" s="449" t="str">
        <x:v>Response</x:v>
      </x:c>
      <x:c r="H7" s="447" t="str">
        <x:v>Build one vertical end-to-end without restarting the repository.</x:v>
      </x:c>
    </x:row>
    <x:row r="8" ht="54" hidden="0" customHeight="1">
      <x:c r="A8" s="449" t="str">
        <x:v>Immediate next action</x:v>
      </x:c>
      <x:c r="B8" s="447" t="str">
        <x:v>Review and accept the verified P1.2 development fixture. Keep P1.3 and evaluator behavior blocked until acceptance.</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P1.2 awaits acceptance. Continue only through predecessor gates; defer everything else.</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63" hidden="0" customHeight="1">
      <x:c r="A41" s="604" t="str">
        <x:v>Immediate implication</x:v>
      </x:c>
      <x:c r="B41" s="605"/>
      <x:c r="C41" s="606" t="str">
        <x:v>P1.1 was accepted and locally integrated at commit 42ad037. P1.2 now provides one author-reviewed clean synthetic development package with all mandatory sources, 9 controlled file references, 20 exact golden relationships, hidden expected results, and package-tree hash a4b278e5...faf31a. Focused checks pass 44 with 1 Windows symlink skip; the full suite passes 165 with the same skip. P1.3 remains blocked pending P1.2 acceptance.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eed4d829bd3a4af0"/>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benchmarks/package_assurance/development/pump_skid_clean_v1; fixture hash a4b278e5bd20f3b64a85d52c478747b1115e15bbaf63b19bf47f5dffddfaf31a; test_package_fixture.py; focused 44 passed/1 skipped; full 165 passed/1 skipped; D-040; D-041; EV-037; EV-038</x:v>
      </x:c>
      <x:c r="Q9" s="431" t="str">
        <x:v>Review and accept P1.2, then authorize P1.3 as a separate controlled work block.</x:v>
      </x:c>
      <x:c r="R9" s="431" t="str">
        <x:v>One fully synthetic clean pump-skid package contains all 7 mandatory sources, 9 documents/file references, 20 reviewed golden relationships with exact evidence locators, hidden clean-state oracles, transparent text stubs, provenance, and a package-tree hash. Source layouts are fixture examples, not accepted runtime schemas. No adapters, gates, rules, CLI, evaluator, held-out, or deferred capability was added.</x:v>
      </x:c>
      <x:c r="S9" s="669"/>
      <x:c r="T9" s="669" t="str">
        <x:v>■</x:v>
      </x:c>
      <x:c r="U9" s="669"/>
      <x:c r="V9" s="669"/>
      <x:c r="W9" s="669"/>
      <x:c r="X9" s="669"/>
    </x:row>
    <x:row r="10" ht="90"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Blocked</x:v>
      </x:c>
      <x:c r="L10" s="664" t="n">
        <x:v>0</x:v>
      </x:c>
      <x:c r="M10" s="662" t="n">
        <x:f>SUMIF('Work Block Log'!$E$5:$E$200,A10,'Work Block Log'!$F$5:$F$200)</x:f>
        <x:v>0</x:v>
      </x:c>
      <x:c r="N10" s="662" t="n">
        <x:f>MAX(F10*(1-L10),0)</x:f>
        <x:v>2</x:v>
      </x:c>
      <x:c r="O10" s="662" t="n">
        <x:f>M10-F10</x:f>
        <x:v>-2</x:v>
      </x:c>
      <x:c r="P10" s="431" t="str">
        <x:v>feature/package-fixtures</x:v>
      </x:c>
      <x:c r="Q10" s="431" t="str">
        <x:v>Await explicit P1.2 acceptance before authoring or freezing any held-out package or fault variant.</x:v>
      </x:c>
      <x:c r="R10" s="431" t="str">
        <x:v>No P1.3 assets have been created. The future held-out family must be materially distinct, frozen before rule tuning, and developed in a separately reviewed work block.</x:v>
      </x:c>
      <x:c r="S10" s="669"/>
      <x:c r="T10" s="669" t="str">
        <x:v>■</x:v>
      </x:c>
      <x:c r="U10" s="669"/>
      <x:c r="V10" s="669"/>
      <x:c r="W10" s="669"/>
      <x:c r="X10" s="669"/>
    </x:row>
    <x:row r="11" ht="6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P1.2</x:v>
      </x:c>
      <x:c r="F11" s="662" t="n">
        <x:v>3</x:v>
      </x:c>
      <x:c r="G11" s="431" t="n">
        <x:v>2</x:v>
      </x:c>
      <x:c r="H11" s="431" t="n">
        <x:v>3</x:v>
      </x:c>
      <x:c r="I11" s="429" t="n">
        <x:f>$B$1+(G11-1)*7</x:f>
        <x:v>46223</x:v>
      </x:c>
      <x:c r="J11" s="429" t="n">
        <x:f>$B$1+H11*7-1</x:f>
        <x:v>46236</x:v>
      </x:c>
      <x:c r="K11" s="431" t="str">
        <x:v>Not Started</x:v>
      </x:c>
      <x:c r="L11" s="664" t="n">
        <x:v>0</x:v>
      </x:c>
      <x:c r="M11" s="662" t="n">
        <x:f>SUMIF('Work Block Log'!$E$5:$E$200,A11,'Work Block Log'!$F$5:$F$200)</x:f>
        <x:v>0</x:v>
      </x:c>
      <x:c r="N11" s="662" t="n">
        <x:f>MAX(F11*(1-L11),0)</x:f>
        <x:v>3</x:v>
      </x:c>
      <x:c r="O11" s="662" t="n">
        <x:f>M11-F11</x:f>
        <x:v>-3</x:v>
      </x:c>
      <x:c r="P11" s="431" t="str">
        <x:v>feature/package-inventory-gates</x:v>
      </x:c>
      <x:c r="Q11" s="431" t="str">
        <x:v>Implement gates before any scored consistency rules.</x:v>
      </x:c>
      <x:c r="R11" s="431" t="str">
        <x:v>Gate failures must preserve expected/actual evidence and source location.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0.21739130434782608</x:v>
      </x:c>
      <x:c r="M24" s="683" t="n">
        <x:f>SUM(M6:M22)</x:f>
        <x:v>0</x:v>
      </x:c>
      <x:c r="N24" s="683" t="n">
        <x:f>SUM(N6:N22)</x:f>
        <x:v>36</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P1.1 Ready for Acceptance 2026-07-16</x:v>
      </x:c>
      <x:c r="B1" s="686"/>
      <x:c r="C1" s="686"/>
      <x:c r="D1" s="686"/>
      <x:c r="E1" s="686"/>
      <x:c r="F1" s="686"/>
      <x:c r="G1" s="686"/>
      <x:c r="H1" s="686"/>
    </x:row>
    <x:row r="3">
      <x:c r="A3" s="687" t="str">
        <x:v>Key Metrics</x:v>
      </x:c>
      <x:c r="B3" s="687"/>
      <x:c r="C3" s="687"/>
      <x:c r="D3" s="687"/>
      <x:c r="F3" s="687" t="str">
        <x:v>Current Focus</x:v>
      </x:c>
      <x:c r="G3" s="687"/>
      <x:c r="H3" s="687"/>
    </x:row>
    <x:row r="4" ht="48" customHeight="1">
      <x:c r="A4" s="688" t="str">
        <x:v>Control Basis</x:v>
      </x:c>
      <x:c r="B4" s="692" t="str">
        <x:v>Gate and evidence based</x:v>
      </x:c>
      <x:c r="C4" s="691"/>
      <x:c r="D4" s="691"/>
      <x:c r="F4" s="696" t="str">
        <x:v>Active WBS</x:v>
      </x:c>
      <x:c r="G4" s="697" t="str">
        <x:v>P1.1 - Package manifest schema and loader acceptance</x:v>
      </x:c>
      <x:c r="H4" s="697"/>
    </x:row>
    <x:row r="5" ht="48" customHeight="1">
      <x:c r="A5" s="688" t="str">
        <x:v>Schedule Baseline</x:v>
      </x:c>
      <x:c r="B5" s="693" t="str">
        <x:v>Legacy only; not controlling</x:v>
      </x:c>
      <x:c r="C5" s="691"/>
      <x:c r="D5" s="691"/>
      <x:c r="F5" s="696" t="str">
        <x:v>Objective</x:v>
      </x:c>
      <x:c r="G5" s="697" t="str">
        <x:v>Accept the verified versioned package boundary without expanding into fixture or evaluator behavior.</x:v>
      </x:c>
      <x:c r="H5" s="697"/>
    </x:row>
    <x:row r="6" ht="48" customHeight="1">
      <x:c r="A6" s="688" t="str">
        <x:v>Time Tracking</x:v>
      </x:c>
      <x:c r="B6" s="693" t="str">
        <x:v>Waived prospectively</x:v>
      </x:c>
      <x:c r="C6" s="691"/>
      <x:c r="D6" s="691"/>
      <x:c r="F6" s="696" t="str">
        <x:v>Gate Status</x:v>
      </x:c>
      <x:c r="G6" s="697" t="str">
        <x:v>P1.1 implementation complete and verified on feature/package-manifest; user acceptance pending.</x:v>
      </x:c>
      <x:c r="H6" s="697"/>
    </x:row>
    <x:row r="7" ht="48" customHeight="1">
      <x:c r="A7" s="688" t="str">
        <x:v>Current Gate</x:v>
      </x:c>
      <x:c r="B7" s="694" t="str">
        <x:v>P1.1 acceptance and integration</x:v>
      </x:c>
      <x:c r="C7" s="691"/>
      <x:c r="D7" s="691"/>
      <x:c r="F7" s="696" t="str">
        <x:v>Definition of Done</x:v>
      </x:c>
      <x:c r="G7" s="697" t="str">
        <x:v>Met locally: metadata, mandatory source declarations, identifiers, document revisions, relationships, authority-map reference, controlled paths, and stable manifest errors validate.</x:v>
      </x:c>
      <x:c r="H7" s="697"/>
    </x:row>
    <x:row r="8" ht="48" customHeight="1">
      <x:c r="A8" s="688" t="str">
        <x:v>Released Kernel</x:v>
      </x:c>
      <x:c r="B8" s="691" t="str">
        <x:v>v0.2.0 / commit 45336a2</x:v>
      </x:c>
      <x:c r="C8" s="691"/>
      <x:c r="D8" s="691"/>
      <x:c r="F8" s="696" t="str">
        <x:v>Immediate Next Action</x:v>
      </x:c>
      <x:c r="G8" s="697" t="str">
        <x:v>Review P1.1 diff and evidence, accept the gate, and integrate feature/package-manifest.</x:v>
      </x:c>
      <x:c r="H8" s="697"/>
    </x:row>
    <x:row r="9" ht="48" customHeight="1">
      <x:c r="A9" s="688" t="str">
        <x:v>Release Target</x:v>
      </x:c>
      <x:c r="B9" s="691" t="str">
        <x:v>v0.3.0</x:v>
      </x:c>
      <x:c r="C9" s="691"/>
      <x:c r="D9" s="691"/>
      <x:c r="F9" s="696" t="str">
        <x:v>Primary Risk</x:v>
      </x:c>
      <x:c r="G9" s="697" t="str">
        <x:v>P1.2 fixture evidence may expose a missing declaration; any contract change must remain explicit and must not absorb rule-engine behavior.</x:v>
      </x:c>
      <x:c r="H9" s="697"/>
    </x:row>
    <x:row r="10" ht="48" customHeight="1">
      <x:c r="A10" s="688" t="str">
        <x:v>Baseline Test Count</x:v>
      </x:c>
      <x:c r="B10" s="691" t="n">
        <x:v>121</x:v>
      </x:c>
      <x:c r="C10" s="691"/>
      <x:c r="D10" s="691"/>
      <x:c r="F10" s="696" t="str">
        <x:v>Deferred</x:v>
      </x:c>
      <x:c r="G10" s="697" t="str">
        <x:v>P1.2 fixtures, consistency rules, PDF/CAD extraction, agents, APIs/databases, product dashboards, RAG, hosting, and RL.</x:v>
      </x:c>
      <x:c r="H10" s="697"/>
    </x:row>
    <x:row r="11" ht="48" customHeight="1">
      <x:c r="A11" s="688" t="str">
        <x:v>Implemented Package Families</x:v>
      </x:c>
      <x:c r="B11" s="691" t="n">
        <x:v>0</x:v>
      </x:c>
      <x:c r="C11" s="691"/>
      <x:c r="D11" s="691"/>
      <x:c r="F11" s="696" t="str">
        <x:v>Data Boundary</x:v>
      </x:c>
      <x:c r="G11" s="697" t="str">
        <x:v>Public, synthetic, self-authored, or authorized data only.</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In Progress</x:v>
      </x:c>
      <x:c r="C16" s="699" t="str">
        <x:v>P1.1 ready for acceptance</x:v>
      </x:c>
      <x:c r="D16" s="700" t="n">
        <x:v>0.33</x:v>
      </x:c>
      <x:c r="E16" s="698" t="str">
        <x:v>Gate P1 - two validated packages and frozen held-out split</x:v>
      </x:c>
    </x:row>
    <x:row r="17" ht="36" customHeight="1">
      <x:c r="A17" s="698" t="str">
        <x:v>P2 Consistency Rules</x:v>
      </x:c>
      <x:c r="B17" s="699" t="str">
        <x:v>Not Started</x:v>
      </x:c>
      <x:c r="C17" s="699" t="str">
        <x:v>Blocked by P1</x:v>
      </x:c>
      <x:c r="D17" s="700" t="n">
        <x:v>0</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78.75" customHeight="1">
      <x:c r="A24" s="431" t="n">
        <x:v>1</x:v>
      </x:c>
      <x:c r="B24" s="431" t="str">
        <x:v>P0.1</x:v>
      </x:c>
      <x:c r="C24" s="431" t="str">
        <x:v>Workflow contract and authority map</x:v>
      </x:c>
      <x:c r="D24" s="431" t="str">
        <x:v>Source types, canonical identifiers, precedence rules, result states, exclusions, and human-review boundaries are frozen.</x:v>
      </x:c>
      <x:c r="E24" s="431" t="str">
        <x:v>Accepted</x:v>
      </x:c>
      <x:c r="F24" s="431" t="str">
        <x:v>feature/package-assurance-contract</x:v>
      </x:c>
      <x:c r="G24" s="431" t="str">
        <x:v>03f102e; D-033; EV-030</x:v>
      </x:c>
      <x:c r="H24" s="431" t="str">
        <x:v>Jason</x:v>
      </x:c>
    </x:row>
    <x:row r="25" ht="97.5" customHeight="1">
      <x:c r="A25" s="431" t="n">
        <x:v>2</x:v>
      </x:c>
      <x:c r="B25" s="431" t="str">
        <x:v>P0.2</x:v>
      </x:c>
      <x:c r="C25" s="431" t="str">
        <x:v>Acceptance plan and benchmark protocol</x:v>
      </x:c>
      <x:c r="D25" s="431" t="str">
        <x:v>Benchmark split, scenario matrix, exact oracle rules, state routing, reproducibility, contamination handling, claims, and stop conditions are frozen.</x:v>
      </x:c>
      <x:c r="E25" s="431" t="str">
        <x:v>Accepted</x:v>
      </x:c>
      <x:c r="F25" s="431" t="str">
        <x:v>feature/package-assurance-contract</x:v>
      </x:c>
      <x:c r="G25" s="431" t="str">
        <x:v>234b196; D-035; D-037; EV-032; EV-034</x:v>
      </x:c>
      <x:c r="H25" s="431" t="str">
        <x:v>Jason</x:v>
      </x:c>
    </x:row>
    <x:row r="26" ht="90" customHeight="1">
      <x:c r="A26" s="431" t="n">
        <x:v>3</x:v>
      </x:c>
      <x:c r="B26" s="431" t="str">
        <x:v>P1.1</x:v>
      </x:c>
      <x:c r="C26" s="431" t="str">
        <x:v>Package manifest schema and loader</x:v>
      </x:c>
      <x:c r="D26" s="431" t="str">
        <x:v>Versioned manifest validates source inventory, relationships, revisions, authority declarations, file references, and controlled errors.</x:v>
      </x:c>
      <x:c r="E26" s="431" t="str">
        <x:v>Ready for acceptance</x:v>
      </x:c>
      <x:c r="F26" s="431" t="str">
        <x:v>feature/package-manifest</x:v>
      </x:c>
      <x:c r="G26" s="431" t="str">
        <x:v>schema + loader + 31 focused passed; 152 full passed; D-038; EV-035</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