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f1fb757c466401e" /></Relationships>
</file>

<file path=xl/workbook.xml><?xml version="1.0" encoding="utf-8"?>
<x:workbook xmlns:x="http://schemas.openxmlformats.org/spreadsheetml/2006/main">
  <x:sheets>
    <x:sheet xmlns:r="http://schemas.openxmlformats.org/officeDocument/2006/relationships" name="Start Here" sheetId="1" r:id="R73c43abbda944e04"/>
    <x:sheet xmlns:r="http://schemas.openxmlformats.org/officeDocument/2006/relationships" name="Executive Gantt" sheetId="2" r:id="R471002c41f4e4142"/>
    <x:sheet xmlns:r="http://schemas.openxmlformats.org/officeDocument/2006/relationships" name="Detailed Gantt" sheetId="3" r:id="R0f7de3bed938406f"/>
    <x:sheet xmlns:r="http://schemas.openxmlformats.org/officeDocument/2006/relationships" name="Weekly Control" sheetId="4" r:id="R23b412a4f3c64739"/>
    <x:sheet xmlns:r="http://schemas.openxmlformats.org/officeDocument/2006/relationships" name="Phase Summary" sheetId="5" r:id="R348a529c98424363"/>
    <x:sheet xmlns:r="http://schemas.openxmlformats.org/officeDocument/2006/relationships" name="Assumptions &amp; Gates" sheetId="6" r:id="R16780b188f584131"/>
    <x:sheet xmlns:r="http://schemas.openxmlformats.org/officeDocument/2006/relationships" name="Sources" sheetId="7" r:id="R79c28281023b478e"/>
    <x:sheet xmlns:r="http://schemas.openxmlformats.org/officeDocument/2006/relationships" name="Legacy Baseline" sheetId="8" r:id="R5f0ccf72c3bd4441"/>
    <x:sheet xmlns:r="http://schemas.openxmlformats.org/officeDocument/2006/relationships" name="Work Block Log" sheetId="9" r:id="R7f900050fc22484a"/>
    <x:sheet xmlns:r="http://schemas.openxmlformats.org/officeDocument/2006/relationships" name="Decision Register" sheetId="10" r:id="Rc686260a47c14723"/>
    <x:sheet xmlns:r="http://schemas.openxmlformats.org/officeDocument/2006/relationships" name="Risks &amp; Issues" sheetId="11" r:id="Re010397c848c4fca"/>
    <x:sheet xmlns:r="http://schemas.openxmlformats.org/officeDocument/2006/relationships" name="Evidence Register" sheetId="12" r:id="R94bb9e287ca24d21"/>
    <x:sheet xmlns:r="http://schemas.openxmlformats.org/officeDocument/2006/relationships" name="Expansion Backlog" sheetId="13" r:id="Ree454f478af74f7b"/>
    <x:sheet xmlns:r="http://schemas.openxmlformats.org/officeDocument/2006/relationships" name="AI Context" sheetId="14" r:id="Rd3b4d520edfa444a"/>
    <x:sheet xmlns:r="http://schemas.openxmlformats.org/officeDocument/2006/relationships" name="MVP Dashboard" sheetId="15" r:id="Rc8cdccd361d54a08"/>
    <x:sheet xmlns:r="http://schemas.openxmlformats.org/officeDocument/2006/relationships" name="Product Vision" sheetId="16" r:id="Rbaeb1588af094858"/>
    <x:sheet xmlns:r="http://schemas.openxmlformats.org/officeDocument/2006/relationships" name="Pilot Gantt" sheetId="17" r:id="Rb3c230efdc554845"/>
    <x:sheet xmlns:r="http://schemas.openxmlformats.org/officeDocument/2006/relationships" name="Pilot Dashboard" sheetId="18" r:id="Rea8a76e82eb54c86"/>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<x:sst xmlns:x="http://schemas.openxmlformats.org/spreadsheetml/2006/main">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</x:sst>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53">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b1466c5fcc4796" /><Relationship Type="http://schemas.openxmlformats.org/officeDocument/2006/relationships/theme" Target="/xl/theme/theme1.xml" Id="R9c03943cc19a4ee6" /><Relationship Type="http://schemas.openxmlformats.org/officeDocument/2006/relationships/sharedStrings" Target="/xl/sharedStrings.xml" Id="Rb25baeda818a48d2" /><Relationship Type="http://schemas.openxmlformats.org/officeDocument/2006/relationships/worksheet" Target="/xl/worksheets/sheet1.xml" Id="R73c43abbda944e04" /><Relationship Type="http://schemas.openxmlformats.org/officeDocument/2006/relationships/worksheet" Target="/xl/worksheets/sheet2.xml" Id="R471002c41f4e4142" /><Relationship Type="http://schemas.openxmlformats.org/officeDocument/2006/relationships/worksheet" Target="/xl/worksheets/sheet3.xml" Id="R0f7de3bed938406f" /><Relationship Type="http://schemas.openxmlformats.org/officeDocument/2006/relationships/worksheet" Target="/xl/worksheets/sheet4.xml" Id="R23b412a4f3c64739" /><Relationship Type="http://schemas.openxmlformats.org/officeDocument/2006/relationships/worksheet" Target="/xl/worksheets/sheet5.xml" Id="R348a529c98424363" /><Relationship Type="http://schemas.openxmlformats.org/officeDocument/2006/relationships/worksheet" Target="/xl/worksheets/sheet6.xml" Id="R16780b188f584131" /><Relationship Type="http://schemas.openxmlformats.org/officeDocument/2006/relationships/worksheet" Target="/xl/worksheets/sheet7.xml" Id="R79c28281023b478e" /><Relationship Type="http://schemas.openxmlformats.org/officeDocument/2006/relationships/worksheet" Target="/xl/worksheets/sheet8.xml" Id="R5f0ccf72c3bd4441" /><Relationship Type="http://schemas.openxmlformats.org/officeDocument/2006/relationships/worksheet" Target="/xl/worksheets/sheet9.xml" Id="R7f900050fc22484a" /><Relationship Type="http://schemas.openxmlformats.org/officeDocument/2006/relationships/worksheet" Target="/xl/worksheets/sheet10.xml" Id="Rc686260a47c14723" /><Relationship Type="http://schemas.openxmlformats.org/officeDocument/2006/relationships/worksheet" Target="/xl/worksheets/sheet11.xml" Id="Re010397c848c4fca" /><Relationship Type="http://schemas.openxmlformats.org/officeDocument/2006/relationships/worksheet" Target="/xl/worksheets/sheet12.xml" Id="R94bb9e287ca24d21" /><Relationship Type="http://schemas.openxmlformats.org/officeDocument/2006/relationships/worksheet" Target="/xl/worksheets/sheet13.xml" Id="Ree454f478af74f7b" /><Relationship Type="http://schemas.openxmlformats.org/officeDocument/2006/relationships/worksheet" Target="/xl/worksheets/sheet14.xml" Id="Rd3b4d520edfa444a" /><Relationship Type="http://schemas.openxmlformats.org/officeDocument/2006/relationships/worksheet" Target="/xl/worksheets/sheet15.xml" Id="Rc8cdccd361d54a08" /><Relationship Type="http://schemas.openxmlformats.org/officeDocument/2006/relationships/worksheet" Target="/xl/worksheets/sheet16.xml" Id="Rbaeb1588af094858" /><Relationship Type="http://schemas.openxmlformats.org/officeDocument/2006/relationships/worksheet" Target="/xl/worksheets/sheet17.xml" Id="Rb3c230efdc554845" /><Relationship Type="http://schemas.openxmlformats.org/officeDocument/2006/relationships/worksheet" Target="/xl/worksheets/sheet18.xml" Id="Rea8a76e82eb54c86" /></Relationships>
</file>

<file path=xl/drawings/_rels/drawing1.xml.rels>&#65279;<?xml version="1.0" encoding="utf-8"?><Relationships xmlns="http://schemas.openxmlformats.org/package/2006/relationships"><Relationship Type="http://schemas.openxmlformats.org/officeDocument/2006/relationships/chart" Target="/xl/drawings/charts/chart1.xml" Id="R35dd8e58becd4f73" /></Relationships>
</file>

<file path=xl/drawings/_rels/drawing2.xml.rels>&#65279;<?xml version="1.0" encoding="utf-8"?><Relationships xmlns="http://schemas.openxmlformats.org/package/2006/relationships"><Relationship Type="http://schemas.openxmlformats.org/officeDocument/2006/relationships/chart" Target="/xl/drawings/charts/chart2.xml" Id="R7cde862181d1448a" /></Relationships>
</file>

<file path=xl/drawings/_rels/drawing3.xml.rels>&#65279;<?xml version="1.0" encoding="utf-8"?><Relationships xmlns="http://schemas.openxmlformats.org/package/2006/relationships"><Relationship Type="http://schemas.openxmlformats.org/officeDocument/2006/relationships/chart" Target="/xl/drawings/charts/chart3.xml" Id="R225e5fc0b75949ac"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5dd8e58becd4f73"/>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cde862181d1448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25e5fc0b75949ac"/>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d7178cd9e7ae47d9" /></Relationships>
</file>

<file path=xl/worksheets/_rels/sheet5.xml.rels>&#65279;<?xml version="1.0" encoding="utf-8"?><Relationships xmlns="http://schemas.openxmlformats.org/package/2006/relationships"><Relationship Type="http://schemas.openxmlformats.org/officeDocument/2006/relationships/drawing" Target="/xl/drawings/drawing2.xml" Id="R7ebb26388af64a82" /></Relationships>
</file>

<file path=xl/worksheets/_rels/sheet15.xml.rels>&#65279;<?xml version="1.0" encoding="utf-8"?><Relationships xmlns="http://schemas.openxmlformats.org/package/2006/relationships"><Relationship Type="http://schemas.openxmlformats.org/officeDocument/2006/relationships/drawing" Target="/xl/drawings/drawing3.xml" Id="R71c2afcf87314a92"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38" customHeight="1">
      <x:c r="A4" s="739" t="str">
        <x:v>Control revision</x:v>
      </x:c>
      <x:c r="B4" s="747" t="str">
        <x:v>Program v3.0 - third P2.2 direction on green draft PR #33; review pending 2026-07-17</x:v>
      </x:c>
      <x:c r="C4" s="1"/>
      <x:c r="D4" s="752" t="n">
        <x:v>1</x:v>
      </x:c>
      <x:c r="E4" s="727"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8" customHeight="1">
      <x:c r="A5" s="739" t="str">
        <x:v>Released baseline</x:v>
      </x:c>
      <x:c r="B5" s="747" t="str">
        <x:v>v0.2.0 released; accepted commit 45336a2; tag verified</x:v>
      </x:c>
      <x:c r="C5" s="1"/>
      <x:c r="D5" s="752" t="n">
        <x:v>2</x:v>
      </x:c>
      <x:c r="E5" s="72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38" customHeight="1">
      <x:c r="A6" s="739" t="str">
        <x:v>Pilot start (legacy)</x:v>
      </x:c>
      <x:c r="B6" s="748" t="str">
        <x:v>2026-07-13</x:v>
      </x:c>
      <x:c r="C6" s="1"/>
      <x:c r="D6" s="752" t="n">
        <x:v>3</x:v>
      </x:c>
      <x:c r="E6" s="72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38" customHeight="1">
      <x:c r="A7" s="739" t="str">
        <x:v>Target finish (legacy)</x:v>
      </x:c>
      <x:c r="B7" s="748" t="str">
        <x:v>2026-08-23</x:v>
      </x:c>
      <x:c r="C7" s="1"/>
      <x:c r="D7" s="752" t="n">
        <x:v>4</x:v>
      </x:c>
      <x:c r="E7" s="72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8" customHeight="1">
      <x:c r="A8" s="739" t="str">
        <x:v>Planned labour (legacy)</x:v>
      </x:c>
      <x:c r="B8" s="749" t="str">
        <x:v>46 hours; not controlling</x:v>
      </x:c>
      <x:c r="C8" s="1"/>
      <x:c r="D8" s="752" t="n">
        <x:v>5</x:v>
      </x:c>
      <x:c r="E8" s="72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38" customHeight="1">
      <x:c r="A9" s="739" t="str">
        <x:v>Time tracking</x:v>
      </x:c>
      <x:c r="B9" s="749" t="str">
        <x:v>Waived prospectively</x:v>
      </x:c>
      <x:c r="C9" s="1"/>
      <x:c r="D9" s="752" t="n">
        <x:v>6</x:v>
      </x:c>
      <x:c r="E9" s="72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38" customHeight="1">
      <x:c r="A10" s="739" t="str">
        <x:v>Current gate</x:v>
      </x:c>
      <x:c r="B10" s="750" t="str">
        <x:v>P2.2 drawing-metadata register-authority implementation review</x:v>
      </x:c>
      <x:c r="C10" s="1"/>
      <x:c r="D10" s="752" t="n">
        <x:v>7</x:v>
      </x:c>
      <x:c r="E10" s="727"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6" hidden="0" customHeight="1">
      <x:c r="A11" s="739" t="str">
        <x:v>Current product state</x:v>
      </x:c>
      <x:c r="B11" s="75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36" hidden="0" customHeight="1">
      <x:c r="A12" s="741" t="str">
        <x:v>Active WBS</x:v>
      </x:c>
      <x:c r="B12" s="751" t="str">
        <x:v>P2.2 - Review drawing metadata register authority implementation</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36" hidden="0" customHeight="1">
      <x:c r="A13" s="741" t="str">
        <x:v>Next build WBS</x:v>
      </x:c>
      <x:c r="B13" s="751" t="str">
        <x:v>Accept, revise, or reject draft PR #33 / implementation 8eb431d before integration or later work</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34" customHeight="1">
      <x:c r="A16" s="165" t="n">
        <x:v>1</x:v>
      </x:c>
      <x:c r="B16" s="72" t="str">
        <x:v>Approved workflow contract and authority map for the structured package audit.</x:v>
      </x:c>
      <x:c r="C16" s="72"/>
      <x:c r="D16" s="165" t="str">
        <x:v>Pilot Gantt</x:v>
      </x:c>
      <x:c r="E16" s="72"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34" customHeight="1">
      <x:c r="A17" s="165" t="n">
        <x:v>2</x:v>
      </x:c>
      <x:c r="B17" s="72" t="str">
        <x:v>Versioned package manifest schema plus one development and one newly authored held-out package.</x:v>
      </x:c>
      <x:c r="C17" s="72"/>
      <x:c r="D17" s="165" t="str">
        <x:v>MVP Dashboard</x:v>
      </x:c>
      <x:c r="E17" s="72"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34" customHeight="1">
      <x:c r="A18" s="165" t="n">
        <x:v>3</x:v>
      </x:c>
      <x:c r="B18" s="72" t="str">
        <x:v>Mandatory inventory, parse, revision, file-reference, and authority gates before scoring.</x:v>
      </x:c>
      <x:c r="C18" s="74"/>
      <x:c r="D18" s="165" t="str">
        <x:v>Detailed Gantt</x:v>
      </x:c>
      <x:c r="E18" s="72"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34" customHeight="1">
      <x:c r="A19" s="153" t="n">
        <x:v>4</x:v>
      </x:c>
      <x:c r="B19" s="141" t="str">
        <x:v>Deterministic document, tag, BOM/equipment, datasheet/specification, quantity, and revision consistency checks.</x:v>
      </x:c>
      <x:c r="C19" s="1"/>
      <x:c r="D19" s="153" t="str">
        <x:v>Work Block Log</x:v>
      </x:c>
      <x:c r="E19" s="141"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34" customHeight="1">
      <x:c r="A20" s="153" t="n">
        <x:v>5</x:v>
      </x:c>
      <x:c r="B20" s="141" t="str">
        <x:v>Explicit result states: automatic pass, automatic fail, engineering review required, missing authoritative information, extraction/tool failure, and evaluator uncertainty.</x:v>
      </x:c>
      <x:c r="C20" s="1"/>
      <x:c r="D20" s="153" t="str">
        <x:v>Decision Register</x:v>
      </x:c>
      <x:c r="E20" s="141"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34" customHeight="1">
      <x:c r="A21" s="153" t="n">
        <x:v>6</x:v>
      </x:c>
      <x:c r="B21" s="141" t="str">
        <x:v>Immutable package result, evidence-linked issue register, release-readiness summary, and stable audit-package CLI exit codes.</x:v>
      </x:c>
      <x:c r="C21" s="1"/>
      <x:c r="D21" s="153" t="str">
        <x:v>Risks &amp; Issues</x:v>
      </x:c>
      <x:c r="E21" s="141"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34" customHeight="1">
      <x:c r="A22" s="153" t="n">
        <x:v>7</x:v>
      </x:c>
      <x:c r="B22" s="141" t="str">
        <x:v>Development and held-out benchmark with fault injection, failed-run preservation, false-positive/false-negative review, and bounded claims.</x:v>
      </x:c>
      <x:c r="C22" s="1"/>
      <x:c r="D22" s="153" t="str">
        <x:v>Evidence Register</x:v>
      </x:c>
      <x:c r="E22" s="141"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34" customHeight="1">
      <x:c r="A23" s="153" t="n">
        <x:v>8</x:v>
      </x:c>
      <x:c r="B23" s="141" t="str">
        <x:v>Regression tests, CI, clean-clone acceptance, documentation, terminal-first demo, bounded service specification, and annotated v0.3.0 tag.</x:v>
      </x:c>
      <x:c r="C23" s="1"/>
      <x:c r="D23" s="153" t="str">
        <x:v>AI Context</x:v>
      </x:c>
      <x:c r="E23" s="141"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62" hidden="0" customHeight="1">
      <x:c r="A28" s="704" t="str">
        <x:v>PR #32 integrated the accepted drawing_metadata_register_authority v0.3.0 definition to main at 6d1f2f2 after two green CI checks. Exact merged-tree verification passed 35 focused tests, 206 full-suite tests with one expected skip, validation 5/5, Ruff, and 84.93% coverage. Implementation commit 8eb431d appends the third check, routes missing register authority to missing_authoritative_information, and emits exact metadata plus row-1 header-anchored register membership evidence. Current verification passes 40 focused tests, 211 full-suite tests with one expected skip, validation 5/5, Ruff, 85.18% coverage, and two green GitHub CI runs on draft PR #33. Review acceptance is required before integration or another work block.</x:v>
      </x:c>
      <x:c r="B28" s="704"/>
      <x:c r="C28" s="704"/>
      <x:c r="D28" s="704"/>
      <x:c r="E28" s="704"/>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d7178cd9e7ae47d9"/>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7ebb26388af64a82"/>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Active</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x:c r="A67" s="78"/>
      <x:c r="B67" s="78"/>
      <x:c r="C67" s="78"/>
      <x:c r="D67" s="78"/>
      <x:c r="E67" s="78"/>
      <x:c r="F67" s="78"/>
      <x:c r="G67" s="78"/>
      <x:c r="H67" s="78"/>
    </x:row>
    <x:row r="68">
      <x:c r="A68" s="78"/>
      <x:c r="B68" s="78"/>
      <x:c r="C68" s="78"/>
      <x:c r="D68" s="78"/>
      <x:c r="E68" s="78"/>
      <x:c r="F68" s="78"/>
      <x:c r="G68" s="78"/>
      <x:c r="H68" s="78"/>
    </x:row>
    <x:row r="69">
      <x:c r="A69" s="78"/>
      <x:c r="B69" s="78"/>
      <x:c r="C69" s="78"/>
      <x:c r="D69" s="78"/>
      <x:c r="E69" s="78"/>
      <x:c r="F69" s="78"/>
      <x:c r="G69" s="78"/>
      <x:c r="H69" s="78"/>
    </x:row>
    <x:row r="70">
      <x:c r="A70" s="78"/>
      <x:c r="B70" s="78"/>
      <x:c r="C70" s="78"/>
      <x:c r="D70" s="78"/>
      <x:c r="E70" s="78"/>
      <x:c r="F70" s="78"/>
      <x:c r="G70" s="78"/>
      <x:c r="H70" s="78"/>
    </x:row>
    <x:row r="71">
      <x:c r="A71" s="78"/>
      <x:c r="B71" s="78"/>
      <x:c r="C71" s="78"/>
      <x:c r="D71" s="78"/>
      <x:c r="E71" s="78"/>
      <x:c r="F71" s="78"/>
      <x:c r="G71" s="78"/>
      <x:c r="H71" s="78"/>
    </x:row>
    <x:row r="72">
      <x:c r="A72" s="78"/>
      <x:c r="B72" s="78"/>
      <x:c r="C72" s="78"/>
      <x:c r="D72" s="78"/>
      <x:c r="E72" s="78"/>
      <x:c r="F72" s="78"/>
      <x:c r="G72" s="78"/>
      <x:c r="H72" s="78"/>
    </x:row>
    <x:row r="73">
      <x:c r="A73" s="78"/>
      <x:c r="B73" s="78"/>
      <x:c r="C73" s="78"/>
      <x:c r="D73" s="78"/>
      <x:c r="E73" s="78"/>
      <x:c r="F73" s="78"/>
      <x:c r="G73" s="78"/>
      <x:c r="H73" s="78"/>
    </x:row>
    <x:row r="74">
      <x:c r="A74" s="78"/>
      <x:c r="B74" s="78"/>
      <x:c r="C74" s="78"/>
      <x:c r="D74" s="78"/>
      <x:c r="E74" s="78"/>
      <x:c r="F74" s="78"/>
      <x:c r="G74" s="78"/>
      <x:c r="H74" s="78"/>
    </x:row>
    <x:row r="75">
      <x:c r="A75" s="78"/>
      <x:c r="B75" s="78"/>
      <x:c r="C75" s="78"/>
      <x:c r="D75" s="78"/>
      <x:c r="E75" s="78"/>
      <x:c r="F75" s="78"/>
      <x:c r="G75" s="78"/>
      <x:c r="H75" s="78"/>
    </x:row>
    <x:row r="76">
      <x:c r="A76" s="78"/>
      <x:c r="B76" s="78"/>
      <x:c r="C76" s="78"/>
      <x:c r="D76" s="78"/>
      <x:c r="E76" s="78"/>
      <x:c r="F76" s="78"/>
      <x:c r="G76" s="78"/>
      <x:c r="H76" s="78"/>
    </x:row>
    <x:row r="77">
      <x:c r="A77" s="78"/>
      <x:c r="B77" s="78"/>
      <x:c r="C77" s="78"/>
      <x:c r="D77" s="78"/>
      <x:c r="E77" s="78"/>
      <x:c r="F77" s="78"/>
      <x:c r="G77" s="78"/>
      <x:c r="H77" s="78"/>
    </x:row>
    <x:row r="78">
      <x:c r="A78" s="78"/>
      <x:c r="B78" s="78"/>
      <x:c r="C78" s="78"/>
      <x:c r="D78" s="78"/>
      <x:c r="E78" s="78"/>
      <x:c r="F78" s="78"/>
      <x:c r="G78" s="78"/>
      <x:c r="H78" s="78"/>
    </x:row>
    <x:row r="79">
      <x:c r="A79" s="78"/>
      <x:c r="B79" s="78"/>
      <x:c r="C79" s="78"/>
      <x:c r="D79" s="78"/>
      <x:c r="E79" s="78"/>
      <x:c r="F79" s="78"/>
      <x:c r="G79" s="78"/>
      <x:c r="H79" s="78"/>
    </x:row>
    <x:row r="80">
      <x:c r="A80" s="78"/>
      <x:c r="B80" s="78"/>
      <x:c r="C80" s="78"/>
      <x:c r="D80" s="78"/>
      <x:c r="E80" s="78"/>
      <x:c r="F80" s="78"/>
      <x:c r="G80" s="78"/>
      <x:c r="H80" s="78"/>
    </x:row>
    <x:row r="81">
      <x:c r="A81" s="78"/>
      <x:c r="B81" s="78"/>
      <x:c r="C81" s="78"/>
      <x:c r="D81" s="78"/>
      <x:c r="E81" s="78"/>
      <x:c r="F81" s="78"/>
      <x:c r="G81" s="78"/>
      <x:c r="H81" s="78"/>
    </x:row>
    <x:row r="82">
      <x:c r="A82" s="78"/>
      <x:c r="B82" s="78"/>
      <x:c r="C82" s="78"/>
      <x:c r="D82" s="78"/>
      <x:c r="E82" s="78"/>
      <x:c r="F82" s="78"/>
      <x:c r="G82" s="78"/>
      <x:c r="H82" s="78"/>
    </x:row>
    <x:row r="83">
      <x:c r="A83" s="78"/>
      <x:c r="B83" s="78"/>
      <x:c r="C83" s="78"/>
      <x:c r="D83" s="78"/>
      <x:c r="E83" s="78"/>
      <x:c r="F83" s="78"/>
      <x:c r="G83" s="78"/>
      <x:c r="H83" s="78"/>
    </x:row>
    <x:row r="84">
      <x:c r="A84" s="78"/>
      <x:c r="B84" s="78"/>
      <x:c r="C84" s="78"/>
      <x:c r="D84" s="78"/>
      <x:c r="E84" s="78"/>
      <x:c r="F84" s="78"/>
      <x:c r="G84" s="78"/>
      <x:c r="H84" s="78"/>
    </x:row>
    <x:row r="85">
      <x:c r="A85" s="78"/>
      <x:c r="B85" s="78"/>
      <x:c r="C85" s="78"/>
      <x:c r="D85" s="78"/>
      <x:c r="E85" s="78"/>
      <x:c r="F85" s="78"/>
      <x:c r="G85" s="78"/>
      <x:c r="H85" s="78"/>
    </x:row>
    <x:row r="86">
      <x:c r="A86" s="78"/>
      <x:c r="B86" s="78"/>
      <x:c r="C86" s="78"/>
      <x:c r="D86" s="78"/>
      <x:c r="E86" s="78"/>
      <x:c r="F86" s="78"/>
      <x:c r="G86" s="78"/>
      <x:c r="H86" s="78"/>
    </x:row>
    <x:row r="87">
      <x:c r="A87" s="78"/>
      <x:c r="B87" s="78"/>
      <x:c r="C87" s="78"/>
      <x:c r="D87" s="78"/>
      <x:c r="E87" s="78"/>
      <x:c r="F87" s="78"/>
      <x:c r="G87" s="78"/>
      <x:c r="H87" s="78"/>
    </x:row>
    <x:row r="88">
      <x:c r="A88" s="78"/>
      <x:c r="B88" s="78"/>
      <x:c r="C88" s="78"/>
      <x:c r="D88" s="78"/>
      <x:c r="E88" s="78"/>
      <x:c r="F88" s="78"/>
      <x:c r="G88" s="78"/>
      <x:c r="H88" s="78"/>
    </x:row>
    <x:row r="89">
      <x:c r="A89" s="78"/>
      <x:c r="B89" s="78"/>
      <x:c r="C89" s="78"/>
      <x:c r="D89" s="78"/>
      <x:c r="E89" s="78"/>
      <x:c r="F89" s="78"/>
      <x:c r="G89" s="78"/>
      <x:c r="H89" s="78"/>
    </x:row>
    <x:row r="90">
      <x:c r="A90" s="78"/>
      <x:c r="B90" s="78"/>
      <x:c r="C90" s="78"/>
      <x:c r="D90" s="78"/>
      <x:c r="E90" s="78"/>
      <x:c r="F90" s="78"/>
      <x:c r="G90" s="78"/>
      <x:c r="H90" s="78"/>
    </x:row>
    <x:row r="91">
      <x:c r="A91" s="78"/>
      <x:c r="B91" s="78"/>
      <x:c r="C91" s="78"/>
      <x:c r="D91" s="78"/>
      <x:c r="E91" s="78"/>
      <x:c r="F91" s="78"/>
      <x:c r="G91" s="78"/>
      <x:c r="H91" s="78"/>
    </x:row>
    <x:row r="92">
      <x:c r="A92" s="78"/>
      <x:c r="B92" s="78"/>
      <x:c r="C92" s="78"/>
      <x:c r="D92" s="78"/>
      <x:c r="E92" s="78"/>
      <x:c r="F92" s="78"/>
      <x:c r="G92" s="78"/>
      <x:c r="H92" s="78"/>
    </x:row>
    <x:row r="93">
      <x:c r="A93" s="78"/>
      <x:c r="B93" s="78"/>
      <x:c r="C93" s="78"/>
      <x:c r="D93" s="78"/>
      <x:c r="E93" s="78"/>
      <x:c r="F93" s="78"/>
      <x:c r="G93" s="78"/>
      <x:c r="H93" s="78"/>
    </x:row>
    <x:row r="94">
      <x:c r="A94" s="78"/>
      <x:c r="B94" s="78"/>
      <x:c r="C94" s="78"/>
      <x:c r="D94" s="78"/>
      <x:c r="E94" s="78"/>
      <x:c r="F94" s="78"/>
      <x:c r="G94" s="78"/>
      <x:c r="H94" s="78"/>
    </x:row>
    <x:row r="95">
      <x:c r="A95" s="78"/>
      <x:c r="B95" s="78"/>
      <x:c r="C95" s="78"/>
      <x:c r="D95" s="78"/>
      <x:c r="E95" s="78"/>
      <x:c r="F95" s="78"/>
      <x:c r="G95" s="78"/>
      <x:c r="H95" s="78"/>
    </x:row>
    <x:row r="96">
      <x:c r="A96" s="78"/>
      <x:c r="B96" s="78"/>
      <x:c r="C96" s="78"/>
      <x:c r="D96" s="78"/>
      <x:c r="E96" s="78"/>
      <x:c r="F96" s="78"/>
      <x:c r="G96" s="78"/>
      <x:c r="H96" s="78"/>
    </x:row>
    <x:row r="97">
      <x:c r="A97" s="78"/>
      <x:c r="B97" s="78"/>
      <x:c r="C97" s="78"/>
      <x:c r="D97" s="78"/>
      <x:c r="E97" s="78"/>
      <x:c r="F97" s="78"/>
      <x:c r="G97" s="78"/>
      <x:c r="H97" s="78"/>
    </x:row>
    <x:row r="98">
      <x:c r="A98" s="78"/>
      <x:c r="B98" s="78"/>
      <x:c r="C98" s="78"/>
      <x:c r="D98" s="78"/>
      <x:c r="E98" s="78"/>
      <x:c r="F98" s="78"/>
      <x:c r="G98" s="78"/>
      <x:c r="H98" s="78"/>
    </x:row>
    <x:row r="99">
      <x:c r="A99" s="78"/>
      <x:c r="B99" s="78"/>
      <x:c r="C99" s="78"/>
      <x:c r="D99" s="78"/>
      <x:c r="E99" s="78"/>
      <x:c r="F99" s="78"/>
      <x:c r="G99" s="78"/>
      <x:c r="H99" s="78"/>
    </x:row>
    <x:row r="100">
      <x:c r="A100" s="78"/>
      <x:c r="B100" s="78"/>
      <x:c r="C100" s="78"/>
      <x:c r="D100" s="78"/>
      <x:c r="E100" s="78"/>
      <x:c r="F100" s="78"/>
      <x:c r="G100" s="78"/>
      <x:c r="H100" s="78"/>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x:c r="A22" s="78"/>
      <x:c r="B22" s="78"/>
      <x:c r="C22" s="78"/>
      <x:c r="D22" s="78"/>
      <x:c r="E22" s="78"/>
      <x:c r="F22" s="78"/>
      <x:c r="G22" s="78"/>
      <x:c r="H22" s="78"/>
      <x:c r="I22" s="78"/>
      <x:c r="J22" s="78"/>
    </x:row>
    <x:row r="23">
      <x:c r="A23" s="78"/>
      <x:c r="B23" s="78"/>
      <x:c r="C23" s="78"/>
      <x:c r="D23" s="78"/>
      <x:c r="E23" s="78"/>
      <x:c r="F23" s="78"/>
      <x:c r="G23" s="78"/>
      <x:c r="H23" s="78"/>
      <x:c r="I23" s="78"/>
      <x:c r="J23" s="78"/>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row r="101">
      <x:c r="A101" s="78"/>
      <x:c r="B101" s="78"/>
      <x:c r="C101" s="78"/>
      <x:c r="D101" s="78"/>
      <x:c r="E101" s="78"/>
      <x:c r="F101" s="78"/>
      <x:c r="G101" s="78"/>
      <x:c r="H101" s="78"/>
      <x:c r="I101" s="78"/>
    </x:row>
    <x:row r="102">
      <x:c r="A102" s="78"/>
      <x:c r="B102" s="78"/>
      <x:c r="C102" s="78"/>
      <x:c r="D102" s="78"/>
      <x:c r="E102" s="78"/>
      <x:c r="F102" s="78"/>
      <x:c r="G102" s="78"/>
      <x:c r="H102" s="78"/>
      <x:c r="I102" s="78"/>
    </x:row>
    <x:row r="103">
      <x:c r="A103" s="78"/>
      <x:c r="B103" s="78"/>
      <x:c r="C103" s="78"/>
      <x:c r="D103" s="78"/>
      <x:c r="E103" s="78"/>
      <x:c r="F103" s="78"/>
      <x:c r="G103" s="78"/>
      <x:c r="H103" s="78"/>
      <x:c r="I103" s="78"/>
    </x:row>
    <x:row r="104">
      <x:c r="A104" s="78"/>
      <x:c r="B104" s="78"/>
      <x:c r="C104" s="78"/>
      <x:c r="D104" s="78"/>
      <x:c r="E104" s="78"/>
      <x:c r="F104" s="78"/>
      <x:c r="G104" s="78"/>
      <x:c r="H104" s="78"/>
      <x:c r="I104" s="78"/>
    </x:row>
    <x:row r="105">
      <x:c r="A105" s="78"/>
      <x:c r="B105" s="78"/>
      <x:c r="C105" s="78"/>
      <x:c r="D105" s="78"/>
      <x:c r="E105" s="78"/>
      <x:c r="F105" s="78"/>
      <x:c r="G105" s="78"/>
      <x:c r="H105" s="78"/>
      <x:c r="I105" s="78"/>
    </x:row>
    <x:row r="106">
      <x:c r="A106" s="78"/>
      <x:c r="B106" s="78"/>
      <x:c r="C106" s="78"/>
      <x:c r="D106" s="78"/>
      <x:c r="E106" s="78"/>
      <x:c r="F106" s="78"/>
      <x:c r="G106" s="78"/>
      <x:c r="H106" s="78"/>
      <x:c r="I106" s="78"/>
    </x:row>
    <x:row r="107">
      <x:c r="A107" s="78"/>
      <x:c r="B107" s="78"/>
      <x:c r="C107" s="78"/>
      <x:c r="D107" s="78"/>
      <x:c r="E107" s="78"/>
      <x:c r="F107" s="78"/>
      <x:c r="G107" s="78"/>
      <x:c r="H107" s="78"/>
      <x:c r="I107" s="78"/>
    </x:row>
    <x:row r="108">
      <x:c r="A108" s="78"/>
      <x:c r="B108" s="78"/>
      <x:c r="C108" s="78"/>
      <x:c r="D108" s="78"/>
      <x:c r="E108" s="78"/>
      <x:c r="F108" s="78"/>
      <x:c r="G108" s="78"/>
      <x:c r="H108" s="78"/>
      <x:c r="I108" s="78"/>
    </x:row>
    <x:row r="109">
      <x:c r="A109" s="78"/>
      <x:c r="B109" s="78"/>
      <x:c r="C109" s="78"/>
      <x:c r="D109" s="78"/>
      <x:c r="E109" s="78"/>
      <x:c r="F109" s="78"/>
      <x:c r="G109" s="78"/>
      <x:c r="H109" s="78"/>
      <x:c r="I109" s="78"/>
    </x:row>
    <x:row r="110">
      <x:c r="A110" s="78"/>
      <x:c r="B110" s="78"/>
      <x:c r="C110" s="78"/>
      <x:c r="D110" s="78"/>
      <x:c r="E110" s="78"/>
      <x:c r="F110" s="78"/>
      <x:c r="G110" s="78"/>
      <x:c r="H110" s="78"/>
      <x:c r="I110" s="78"/>
    </x:row>
    <x:row r="111">
      <x:c r="A111" s="78"/>
      <x:c r="B111" s="78"/>
      <x:c r="C111" s="78"/>
      <x:c r="D111" s="78"/>
      <x:c r="E111" s="78"/>
      <x:c r="F111" s="78"/>
      <x:c r="G111" s="78"/>
      <x:c r="H111" s="78"/>
      <x:c r="I111" s="78"/>
    </x:row>
    <x:row r="112">
      <x:c r="A112" s="78"/>
      <x:c r="B112" s="78"/>
      <x:c r="C112" s="78"/>
      <x:c r="D112" s="78"/>
      <x:c r="E112" s="78"/>
      <x:c r="F112" s="78"/>
      <x:c r="G112" s="78"/>
      <x:c r="H112" s="78"/>
      <x:c r="I112" s="78"/>
    </x:row>
    <x:row r="113">
      <x:c r="A113" s="78"/>
      <x:c r="B113" s="78"/>
      <x:c r="C113" s="78"/>
      <x:c r="D113" s="78"/>
      <x:c r="E113" s="78"/>
      <x:c r="F113" s="78"/>
      <x:c r="G113" s="78"/>
      <x:c r="H113" s="78"/>
      <x:c r="I113" s="78"/>
    </x:row>
    <x:row r="114">
      <x:c r="A114" s="78"/>
      <x:c r="B114" s="78"/>
      <x:c r="C114" s="78"/>
      <x:c r="D114" s="78"/>
      <x:c r="E114" s="78"/>
      <x:c r="F114" s="78"/>
      <x:c r="G114" s="78"/>
      <x:c r="H114" s="78"/>
      <x:c r="I114" s="78"/>
    </x:row>
    <x:row r="115">
      <x:c r="A115" s="78"/>
      <x:c r="B115" s="78"/>
      <x:c r="C115" s="78"/>
      <x:c r="D115" s="78"/>
      <x:c r="E115" s="78"/>
      <x:c r="F115" s="78"/>
      <x:c r="G115" s="78"/>
      <x:c r="H115" s="78"/>
      <x:c r="I115" s="78"/>
    </x:row>
    <x:row r="116">
      <x:c r="A116" s="78"/>
      <x:c r="B116" s="78"/>
      <x:c r="C116" s="78"/>
      <x:c r="D116" s="78"/>
      <x:c r="E116" s="78"/>
      <x:c r="F116" s="78"/>
      <x:c r="G116" s="78"/>
      <x:c r="H116" s="78"/>
      <x:c r="I116" s="78"/>
    </x:row>
    <x:row r="117">
      <x:c r="A117" s="78"/>
      <x:c r="B117" s="78"/>
      <x:c r="C117" s="78"/>
      <x:c r="D117" s="78"/>
      <x:c r="E117" s="78"/>
      <x:c r="F117" s="78"/>
      <x:c r="G117" s="78"/>
      <x:c r="H117" s="78"/>
      <x:c r="I117" s="78"/>
    </x:row>
    <x:row r="118">
      <x:c r="A118" s="78"/>
      <x:c r="B118" s="78"/>
      <x:c r="C118" s="78"/>
      <x:c r="D118" s="78"/>
      <x:c r="E118" s="78"/>
      <x:c r="F118" s="78"/>
      <x:c r="G118" s="78"/>
      <x:c r="H118" s="78"/>
      <x:c r="I118" s="78"/>
    </x:row>
    <x:row r="119">
      <x:c r="A119" s="78"/>
      <x:c r="B119" s="78"/>
      <x:c r="C119" s="78"/>
      <x:c r="D119" s="78"/>
      <x:c r="E119" s="78"/>
      <x:c r="F119" s="78"/>
      <x:c r="G119" s="78"/>
      <x:c r="H119" s="78"/>
      <x:c r="I119" s="78"/>
    </x:row>
    <x:row r="120">
      <x:c r="A120" s="78"/>
      <x:c r="B120" s="78"/>
      <x:c r="C120" s="78"/>
      <x:c r="D120" s="78"/>
      <x:c r="E120" s="78"/>
      <x:c r="F120" s="78"/>
      <x:c r="G120" s="78"/>
      <x:c r="H120" s="78"/>
      <x:c r="I120" s="78"/>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46220</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48" hidden="0" customHeight="1">
      <x:c r="A6" s="449" t="str">
        <x:v>Repository state</x:v>
      </x:c>
      <x:c r="B6" s="447" t="str">
        <x:v>v0.2.0 released and frozen at accepted commit 45336a2</x:v>
      </x:c>
      <x:c r="C6" s="449" t="str">
        <x:v>Verification</x:v>
      </x:c>
      <x:c r="D6" s="447" t="str">
        <x:v>121 tests; clean-clone acceptance; baseline 9/9; demo 2/2</x:v>
      </x:c>
      <x:c r="E6" s="449" t="str">
        <x:v>Active release</x:v>
      </x:c>
      <x:c r="F6" s="447" t="str">
        <x:v>v0.3.0 Package Assurance Pilot</x:v>
      </x:c>
      <x:c r="G6" s="449" t="str">
        <x:v>Active WBS</x:v>
      </x:c>
      <x:c r="H6" s="447" t="str">
        <x:v>P2.2 drawing-metadata register-authority implementation review</x:v>
      </x:c>
    </x:row>
    <x:row r="7" ht="108.75" hidden="0" customHeight="1">
      <x:c r="A7" s="449" t="str">
        <x:v>Released capability</x:v>
      </x:c>
      <x:c r="B7" s="447" t="str">
        <x:v>Model/runtime-agnostic deterministic evaluation kernel with candidate loading, mandatory gates, deterministic checks, weighted scoring, structured evidence, evaluate CLI, immutable results, five reviewed cases, frozen split, CI, docs, demo, and release proof.</x:v>
      </x:c>
      <x:c r="C7" s="449" t="str">
        <x:v>Current gap</x:v>
      </x:c>
      <x:c r="D7" s="447" t="str">
        <x:v>The first two P2.2 drawing relationship behaviors are integrated through main 36338c0. PR #32 integrated the accepted third-direction definition at 6d1f2f2. Implementation commit 8eb431d is complete and verified on green draft PR #33 but awaits explicit acceptance. Remaining P2.2 relationships, P2.3 rules, P2.4 routing, reports, and semantic held-out evaluation remain blocked.</x:v>
      </x:c>
      <x:c r="E7" s="449" t="str">
        <x:v>Product interpretation</x:v>
      </x:c>
      <x:c r="F7" s="447" t="str">
        <x:v>Successful kernel; not yet a complete economically useful workflow.</x:v>
      </x:c>
      <x:c r="G7" s="449" t="str">
        <x:v>Response</x:v>
      </x:c>
      <x:c r="H7" s="447" t="str">
        <x:v>Build one vertical end-to-end without restarting the repository.</x:v>
      </x:c>
    </x:row>
    <x:row r="8" ht="72" hidden="0" customHeight="1">
      <x:c r="A8" s="449" t="str">
        <x:v>Immediate next action</x:v>
      </x:c>
      <x:c r="B8" s="447" t="str">
        <x:v>Review and accept, revise, or reject draft PR #33 / drawing_metadata_register_authority implementation 8eb431d.</x:v>
      </x:c>
      <x:c r="C8" s="449" t="str">
        <x:v>Selected vertical</x:v>
      </x:c>
      <x:c r="D8" s="447" t="str">
        <x:v>Drawing register ↔ drawing metadata ↔ BOM/equipment list ↔ datasheet/specification metadata ↔ revision history.</x:v>
      </x:c>
      <x:c r="E8" s="449" t="str">
        <x:v>Primary deliverable</x:v>
      </x:c>
      <x:c r="F8" s="447" t="str">
        <x:v>Evidence-linked issue register plus release-readiness summary.</x:v>
      </x:c>
      <x:c r="G8" s="449" t="str">
        <x:v>Scope rule</x:v>
      </x:c>
      <x:c r="H8" s="447"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2" customHeight="1">
      <x:c r="A18" s="449" t="str">
        <x:v>Task</x:v>
      </x:c>
      <x:c r="B18" s="447" t="str">
        <x:v>Instructions, controlled inputs, deliverable, constraints, authority model, and evaluation intent.</x:v>
      </x:c>
      <x:c r="C18" s="447"/>
      <x:c r="D18" s="449" t="n">
        <x:v>1</x:v>
      </x:c>
      <x:c r="E18" s="447" t="str">
        <x:v>Approved workflow contract and authority map.</x:v>
      </x:c>
      <x:c r="F18" s="447"/>
      <x:c r="G18" s="447"/>
      <x:c r="H18" s="447"/>
    </x:row>
    <x:row r="19" ht="42" customHeight="1">
      <x:c r="A19" s="449" t="str">
        <x:v>Agent</x:v>
      </x:c>
      <x:c r="B19" s="447" t="str">
        <x:v>Direct model, Codex/OpenClaw/another harness, deterministic software, or human producer remains replaceable.</x:v>
      </x:c>
      <x:c r="C19" s="447"/>
      <x:c r="D19" s="449" t="n">
        <x:v>2</x:v>
      </x:c>
      <x:c r="E19" s="447" t="str">
        <x:v>Versioned package manifest plus development and held-out packages.</x:v>
      </x:c>
      <x:c r="F19" s="447"/>
      <x:c r="G19" s="447"/>
      <x:c r="H19" s="447"/>
    </x:row>
    <x:row r="20" ht="42" customHeight="1">
      <x:c r="A20" s="449" t="str">
        <x:v>Environment</x:v>
      </x:c>
      <x:c r="B20" s="447" t="str">
        <x:v>Files, tools, permissions, shell/GUI state, network access, and destructive/external actions are explicitly bounded.</x:v>
      </x:c>
      <x:c r="C20" s="447"/>
      <x:c r="D20" s="449" t="n">
        <x:v>3</x:v>
      </x:c>
      <x:c r="E20" s="447" t="str">
        <x:v>Mandatory package gates before consistency scoring.</x:v>
      </x:c>
      <x:c r="F20" s="447"/>
      <x:c r="G20" s="447"/>
      <x:c r="H20" s="447"/>
    </x:row>
    <x:row r="21" ht="42" customHeight="1">
      <x:c r="A21" s="449" t="str">
        <x:v>Trace / Artifacts</x:v>
      </x:c>
      <x:c r="B21" s="447" t="str">
        <x:v>Actions, tool calls, file states, errors, corrections, candidate artifacts, and generated reports are preserved.</x:v>
      </x:c>
      <x:c r="C21" s="447"/>
      <x:c r="D21" s="449" t="n">
        <x:v>4</x:v>
      </x:c>
      <x:c r="E21" s="447" t="str">
        <x:v>Deterministic cross-document checks with evidence.</x:v>
      </x:c>
      <x:c r="F21" s="447"/>
      <x:c r="G21" s="447"/>
      <x:c r="H21" s="447"/>
    </x:row>
    <x:row r="22" ht="42" customHeight="1">
      <x:c r="A22" s="449" t="str">
        <x:v>Evaluator</x:v>
      </x:c>
      <x:c r="B22" s="447" t="str">
        <x:v>Independent gates, rules, tolerances, authority resolution, result-state routing, and failure evidence.</x:v>
      </x:c>
      <x:c r="C22" s="447"/>
      <x:c r="D22" s="449" t="n">
        <x:v>5</x:v>
      </x:c>
      <x:c r="E22" s="447" t="str">
        <x:v>Explicit pass/fail/review/missing-authority/tool-failure/uncertainty states.</x:v>
      </x:c>
      <x:c r="F22" s="447"/>
      <x:c r="G22" s="447"/>
      <x:c r="H22" s="447"/>
    </x:row>
    <x:row r="23" ht="42" customHeight="1">
      <x:c r="A23" s="449" t="str">
        <x:v>Results</x:v>
      </x:c>
      <x:c r="B23" s="447" t="str">
        <x:v>Immutable package result, issue register, release summary, artifact references, versions, and benchmark status.</x:v>
      </x:c>
      <x:c r="C23" s="447"/>
      <x:c r="D23" s="449" t="n">
        <x:v>6</x:v>
      </x:c>
      <x:c r="E23" s="447" t="str">
        <x:v>audit-package CLI plus immutable result and report views.</x:v>
      </x:c>
      <x:c r="F23" s="447"/>
      <x:c r="G23" s="447"/>
      <x:c r="H23" s="447"/>
    </x:row>
    <x:row r="24" ht="42" customHeight="1">
      <x:c r="A24" s="449" t="str">
        <x:v>Separation rule</x:v>
      </x:c>
      <x:c r="B24" s="447" t="str">
        <x:v>Benchmark case definitions and golden relationships are versioned inputs; runs and reports are generated evidence.</x:v>
      </x:c>
      <x:c r="C24" s="447"/>
      <x:c r="D24" s="449" t="n">
        <x:v>7</x:v>
      </x:c>
      <x:c r="E24" s="447" t="str">
        <x:v>Frozen development/held-out benchmark and false-negative review.</x:v>
      </x:c>
      <x:c r="F24" s="447"/>
      <x:c r="G24" s="447"/>
      <x:c r="H24" s="447"/>
    </x:row>
    <x:row r="25" ht="42" customHeight="1">
      <x:c r="A25" s="449" t="str">
        <x:v>Engineering boundary</x:v>
      </x:c>
      <x:c r="B25" s="447" t="str">
        <x:v>No engineering sign-off, stamped deliverables, autonomous release, code-compliance opinion, or final safety-critical decision.</x:v>
      </x:c>
      <x:c r="C25" s="447"/>
      <x:c r="D25" s="449" t="n">
        <x:v>8</x:v>
      </x:c>
      <x:c r="E25" s="447" t="str">
        <x:v>Tests, CI, clean-clone acceptance, docs, demo, service specification, and v0.3.0 tag.</x:v>
      </x:c>
      <x:c r="F25" s="447"/>
      <x:c r="G25" s="447"/>
      <x:c r="H25" s="447"/>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56" hidden="0" customHeight="1">
      <x:c r="A28" s="449" t="str">
        <x:v>Evidence</x:v>
      </x:c>
      <x:c r="B28" s="447" t="str">
        <x:v>v0.2.0 is released at accepted commit 45336a2 with five reviewed cases, 121 tests, clean-clone acceptance, baseline 9/9, demo 2/2, immutable results, CI, documentation, and an annotated tag.</x:v>
      </x:c>
      <x:c r="C28" s="449" t="str">
        <x:v>Gap</x:v>
      </x:c>
      <x:c r="D28" s="447" t="str">
        <x:v>The evidence proves the kernel, not a realistic package-assurance outcome.</x:v>
      </x:c>
      <x:c r="E28" s="449" t="str">
        <x:v>Response</x:v>
      </x:c>
      <x:c r="F28" s="447" t="str">
        <x:v>Preserve v0.2.0; build v0.3.0 as a separate vertical release.</x:v>
      </x:c>
      <x:c r="G28" s="449" t="str">
        <x:v>Owner</x:v>
      </x:c>
      <x:c r="H28" s="447" t="str">
        <x:v>Jason</x:v>
      </x:c>
    </x:row>
    <x:row r="29" ht="56" hidden="0" customHeight="1">
      <x:c r="A29" s="449" t="str">
        <x:v>Evidence</x:v>
      </x:c>
      <x:c r="B29" s="447" t="str">
        <x:v>Existing cases already exercise revision auditing, BOM reconciliation, unit errors, and structured failure evidence.</x:v>
      </x:c>
      <x:c r="C29" s="449" t="str">
        <x:v>Gap</x:v>
      </x:c>
      <x:c r="D29" s="447" t="str">
        <x:v>They are isolated case files rather than one coherent multi-document release package.</x:v>
      </x:c>
      <x:c r="E29" s="449" t="str">
        <x:v>Response</x:v>
      </x:c>
      <x:c r="F29" s="447" t="str">
        <x:v>Create a package manifest and relationship model that composes those concepts.</x:v>
      </x:c>
      <x:c r="G29" s="449" t="str">
        <x:v>Owner</x:v>
      </x:c>
      <x:c r="H29" s="447" t="str">
        <x:v>Jason</x:v>
      </x:c>
    </x:row>
    <x:row r="30" ht="56" hidden="0" customHeight="1">
      <x:c r="A30" s="449" t="str">
        <x:v>Evidence</x:v>
      </x:c>
      <x:c r="B30" s="447" t="str">
        <x:v>MECH-003 is frozen as held-out but was historically seen before the split.</x:v>
      </x:c>
      <x:c r="C30" s="449" t="str">
        <x:v>Gap</x:v>
      </x:c>
      <x:c r="D30" s="447" t="str">
        <x:v>It is not a pristine blind benchmark.</x:v>
      </x:c>
      <x:c r="E30" s="449" t="str">
        <x:v>Response</x:v>
      </x:c>
      <x:c r="F30" s="447" t="str">
        <x:v>Author and freeze a materially distinct held-out package before rule tuning.</x:v>
      </x:c>
      <x:c r="G30" s="449" t="str">
        <x:v>Owner</x:v>
      </x:c>
      <x:c r="H30" s="447" t="str">
        <x:v>Jason</x:v>
      </x:c>
    </x:row>
    <x:row r="31" ht="56" customHeight="1">
      <x:c r="A31" s="449" t="str">
        <x:v>Evidence</x:v>
      </x:c>
      <x:c r="B31" s="447" t="str">
        <x:v>Capable long-horizon coding agents improve repository work, tool use, and artifact production.</x:v>
      </x:c>
      <x:c r="C31" s="449" t="str">
        <x:v>Gap</x:v>
      </x:c>
      <x:c r="D31" s="447" t="str">
        <x:v>Stronger agents can also overreach, take unauthorized actions, or overclaim completion.</x:v>
      </x:c>
      <x:c r="E31" s="449" t="str">
        <x:v>Response</x:v>
      </x:c>
      <x:c r="F31" s="447" t="str">
        <x:v>Use supervised worktrees, explicit permissions, independent verification, and deterministic acceptance gates.</x:v>
      </x:c>
      <x:c r="G31" s="449" t="str">
        <x:v>Owner</x:v>
      </x:c>
      <x:c r="H31" s="447" t="str">
        <x:v>Jason</x:v>
      </x:c>
    </x:row>
    <x:row r="32" ht="81" customHeight="1">
      <x:c r="A32" s="449" t="str">
        <x:v>Control rule</x:v>
      </x:c>
      <x:c r="B32" s="447" t="str">
        <x:v>One branch per coherent capability; tests support the product; failed runs and uncertainty are evidence.</x:v>
      </x:c>
      <x:c r="C32" s="449" t="str">
        <x:v>Risk</x:v>
      </x:c>
      <x:c r="D32" s="447" t="str">
        <x:v>Planning, framework work, or extraction complexity can displace the actual package workflow.</x:v>
      </x:c>
      <x:c r="E32" s="449" t="str">
        <x:v>Response</x:v>
      </x:c>
      <x:c r="F32" s="447" t="str">
        <x:v>P1.3 remains frozen pre-tuning. Tracked path metadata was inadvertently enumerated and opaque integrity tests ran; protected source/oracle content was not opened or used for tuning. First semantic held-out evaluation remains gated.</x:v>
      </x:c>
      <x:c r="G32" s="449" t="str">
        <x:v>Owner</x:v>
      </x:c>
      <x:c r="H32" s="447"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171" hidden="0" customHeight="1">
      <x:c r="A41" s="604" t="str">
        <x:v>Immediate implication</x:v>
      </x:c>
      <x:c r="B41" s="605"/>
      <x:c r="C41" s="606" t="str">
        <x:v>drawing_metadata_register_authority v0.3.0 is implemented at 8eb431d as the third ordered relationship check after PR #32 integration at 6d1f2f2. Metadata with no exact register row routes to missing_authoritative_information, high severity, release_hold true, AUTH-DWG-001, and document_control. AUTH-DWG-001 remains limited to the metadata current-revision authority path. Evidence is the exact metadata drawing_number locator plus a drawing-register CSV membership locator anchored to row 1 / the drawing_number header, so no nonexistent data row is fabricated. Temporary one-row and empty-register faults leave P2.1 green, isolate the third check, and produce sorted repeatable findings. Draft PR #33 has two green CI runs; explicit acceptance is required before integration or later work.</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71c2afcf87314a92"/>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80"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In Progress</x:v>
      </x:c>
      <x:c r="L12" s="664" t="n">
        <x:v>0.45</x:v>
      </x:c>
      <x:c r="M12" s="662" t="n">
        <x:f>SUMIF('Work Block Log'!$E$5:$E$200,A12,'Work Block Log'!$F$5:$F$200)</x:f>
        <x:v>0</x:v>
      </x:c>
      <x:c r="N12" s="662" t="n">
        <x:f>MAX(F12*(1-L12),0)</x:f>
        <x:v>2.2</x:v>
      </x:c>
      <x:c r="O12" s="662" t="n">
        <x:f>M12-F12</x:f>
        <x:v>-4</x:v>
      </x:c>
      <x:c r="P12" s="431" t="str">
        <x:v>first slice integrated at main 5866212; second slice integrated at main 36338c0; third definition integrated through PR #32 at main 6d1f2f2; implementation commit 8eb431d on green draft PR #33 / codex/p2.2-drawing-metadata-register-authority-implementation; D-049-D-063; EV-046-EV-060; focused 40; full 211/1; validation 5/5; Ruff; coverage 85.18%</x:v>
      </x:c>
      <x:c r="Q12" s="431" t="str">
        <x:v>Review and accept, revise, or reject draft PR #33 / implementation 8eb431d. Do not integrate it or begin another relationship before explicit acceptance.</x:v>
      </x:c>
      <x:c r="R12" s="431" t="str">
        <x:v>Three drawing checks are implemented. The first two are integrated; the third is verified and ready for acceptance. P2.2 stays open for additional relationship outcomes.</x:v>
      </x:c>
      <x:c r="S12" s="669"/>
      <x:c r="T12" s="669"/>
      <x:c r="U12" s="669" t="str">
        <x:v>■</x:v>
      </x:c>
      <x:c r="V12" s="669"/>
      <x:c r="W12" s="669"/>
      <x:c r="X12" s="669"/>
    </x:row>
    <x:row r="13" ht="64"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P2.1</x:v>
      </x:c>
      <x:c r="F13" s="662" t="n">
        <x:v>4</x:v>
      </x:c>
      <x:c r="G13" s="431" t="n">
        <x:v>3</x:v>
      </x:c>
      <x:c r="H13" s="431" t="n">
        <x:v>4</x:v>
      </x:c>
      <x:c r="I13" s="429" t="n">
        <x:f>$B$1+(G13-1)*7</x:f>
        <x:v>46230</x:v>
      </x:c>
      <x:c r="J13" s="429" t="n">
        <x:f>$B$1+H13*7-1</x:f>
        <x:v>46243</x:v>
      </x:c>
      <x:c r="K13" s="431" t="str">
        <x:v>Not Started</x:v>
      </x:c>
      <x:c r="L13" s="664" t="n">
        <x:v>0</x:v>
      </x:c>
      <x:c r="M13" s="662" t="n">
        <x:f>SUMIF('Work Block Log'!$E$5:$E$200,A13,'Work Block Log'!$F$5:$F$200)</x:f>
        <x:v>0</x:v>
      </x:c>
      <x:c r="N13" s="662" t="n">
        <x:f>MAX(F13*(1-L13),0)</x:f>
        <x:v>4</x:v>
      </x:c>
      <x:c r="O13" s="662" t="n">
        <x:f>M13-F13</x:f>
        <x:v>-4</x:v>
      </x:c>
      <x:c r="P13" s="431" t="str">
        <x:v>feature/package-consistency-checks</x:v>
      </x:c>
      <x:c r="Q13" s="431" t="str">
        <x:v>Add one rule family at a time with representative passing and failing fixtures.</x:v>
      </x:c>
      <x:c r="R13" s="431" t="str">
        <x:v>Keep checks deterministic and field-level for v0.3.0.</x:v>
      </x:c>
      <x:c r="S13" s="669"/>
      <x:c r="T13" s="669"/>
      <x:c r="U13" s="669" t="str">
        <x:v>■</x:v>
      </x:c>
      <x:c r="V13" s="669" t="str">
        <x:v>■</x:v>
      </x:c>
      <x:c r="W13" s="669"/>
      <x:c r="X13" s="669"/>
    </x:row>
    <x:row r="14" ht="64"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P2.2,P2.3</x:v>
      </x:c>
      <x:c r="F14" s="662" t="n">
        <x:v>3</x:v>
      </x:c>
      <x:c r="G14" s="431" t="n">
        <x:v>4</x:v>
      </x:c>
      <x:c r="H14" s="431" t="n">
        <x:v>4</x:v>
      </x:c>
      <x:c r="I14" s="429" t="n">
        <x:f>$B$1+(G14-1)*7</x:f>
        <x:v>46237</x:v>
      </x:c>
      <x:c r="J14" s="429" t="n">
        <x:f>$B$1+H14*7-1</x:f>
        <x:v>46243</x:v>
      </x:c>
      <x:c r="K14" s="431" t="str">
        <x:v>Not Started</x:v>
      </x:c>
      <x:c r="L14" s="664" t="n">
        <x:v>0</x:v>
      </x:c>
      <x:c r="M14" s="662" t="n">
        <x:f>SUMIF('Work Block Log'!$E$5:$E$200,A14,'Work Block Log'!$F$5:$F$200)</x:f>
        <x:v>0</x:v>
      </x:c>
      <x:c r="N14" s="662" t="n">
        <x:f>MAX(F14*(1-L14),0)</x:f>
        <x:v>3</x:v>
      </x:c>
      <x:c r="O14" s="662" t="n">
        <x:f>M14-F14</x:f>
        <x:v>-3</x:v>
      </x:c>
      <x:c r="P14" s="431" t="str">
        <x:v>feature/result-state-routing</x:v>
      </x:c>
      <x:c r="Q14" s="431" t="str">
        <x:v>Implement explicit state transitions and hold logic.</x:v>
      </x:c>
      <x:c r="R14" s="431" t="str">
        <x:v>A single score must never conceal a release-critical finding.</x:v>
      </x:c>
      <x:c r="S14" s="669"/>
      <x:c r="T14" s="669"/>
      <x:c r="U14" s="669"/>
      <x:c r="V14" s="669" t="str">
        <x:v>■</x:v>
      </x:c>
      <x:c r="W14" s="669"/>
      <x:c r="X14" s="669"/>
    </x:row>
    <x:row r="15" ht="64"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Not Started</x:v>
      </x:c>
      <x:c r="L15" s="664" t="n">
        <x:v>0</x:v>
      </x:c>
      <x:c r="M15" s="662" t="n">
        <x:f>SUMIF('Work Block Log'!$E$5:$E$200,A15,'Work Block Log'!$F$5:$F$200)</x:f>
        <x:v>0</x:v>
      </x:c>
      <x:c r="N15" s="662" t="n">
        <x:f>MAX(F15*(1-L15),0)</x:f>
        <x:v>4</x:v>
      </x:c>
      <x:c r="O15" s="662" t="n">
        <x:f>M15-F15</x:f>
        <x:v>-4</x:v>
      </x:c>
      <x:c r="P15" s="431" t="str">
        <x:v>feature/issue-register</x:v>
      </x:c>
      <x:c r="Q15" s="431" t="str">
        <x:v>Define schema, renderer, and regression tests.</x:v>
      </x:c>
      <x:c r="R15" s="431" t="str">
        <x:v>Preserve machine-readable JSON; add CSV/Markdown only as views.</x:v>
      </x:c>
      <x:c r="S15" s="669"/>
      <x:c r="T15" s="669"/>
      <x:c r="U15" s="669"/>
      <x:c r="V15" s="669" t="str">
        <x:v>■</x:v>
      </x:c>
      <x:c r="W15" s="669"/>
      <x:c r="X15" s="669"/>
    </x:row>
    <x:row r="16" ht="64"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Not Started</x:v>
      </x:c>
      <x:c r="L16" s="664" t="n">
        <x:v>0</x:v>
      </x:c>
      <x:c r="M16" s="662" t="n">
        <x:f>SUMIF('Work Block Log'!$E$5:$E$200,A16,'Work Block Log'!$F$5:$F$200)</x:f>
        <x:v>0</x:v>
      </x:c>
      <x:c r="N16" s="662" t="n">
        <x:f>MAX(F16*(1-L16),0)</x:f>
        <x:v>2</x:v>
      </x:c>
      <x:c r="O16" s="662" t="n">
        <x:f>M16-F16</x:f>
        <x:v>-2</x:v>
      </x:c>
      <x:c r="P16" s="431" t="str">
        <x:v>feature/issue-register</x:v>
      </x:c>
      <x:c r="Q16" s="431" t="str">
        <x:v>Create a concise management-facing report from the same result record.</x:v>
      </x:c>
      <x:c r="R16" s="431" t="str">
        <x:v>No engineering release or sign-off claim.</x:v>
      </x:c>
      <x:c r="S16" s="669"/>
      <x:c r="T16" s="669"/>
      <x:c r="U16" s="669"/>
      <x:c r="V16" s="669" t="str">
        <x:v>■</x:v>
      </x:c>
      <x:c r="W16" s="669"/>
      <x:c r="X16" s="669"/>
    </x:row>
    <x:row r="17" ht="64"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Not Started</x:v>
      </x:c>
      <x:c r="L17" s="664" t="n">
        <x:v>0</x:v>
      </x:c>
      <x:c r="M17" s="662" t="n">
        <x:f>SUMIF('Work Block Log'!$E$5:$E$200,A17,'Work Block Log'!$F$5:$F$200)</x:f>
        <x:v>0</x:v>
      </x:c>
      <x:c r="N17" s="662" t="n">
        <x:f>MAX(F17*(1-L17),0)</x:f>
        <x:v>2</x:v>
      </x:c>
      <x:c r="O17" s="662" t="n">
        <x:f>M17-F17</x:f>
        <x:v>-2</x:v>
      </x:c>
      <x:c r="P17" s="431" t="str">
        <x:v>feature/audit-package-cli</x:v>
      </x:c>
      <x:c r="Q17" s="431" t="str">
        <x:v>Reuse existing CLI and persistence infrastructure.</x:v>
      </x:c>
      <x:c r="R17" s="431" t="str">
        <x:v>Do not add API/database/frontend work.</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P3.3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0.3652173913043478</x:v>
      </x:c>
      <x:c r="M24" s="683" t="n">
        <x:f>SUM(M6:M22)</x:f>
        <x:v>0</x:v>
      </x:c>
      <x:c r="N24" s="683" t="n">
        <x:f>SUM(N6:N22)</x:f>
        <x:v>29.2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Third P2.2 Direction Ready for Review</x:v>
      </x:c>
      <x:c r="B1" s="686"/>
      <x:c r="C1" s="686"/>
      <x:c r="D1" s="686"/>
      <x:c r="E1" s="686"/>
      <x:c r="F1" s="686"/>
      <x:c r="G1" s="686"/>
      <x:c r="H1" s="686"/>
    </x:row>
    <x:row r="3">
      <x:c r="A3" s="687" t="str">
        <x:v>Key Metrics</x:v>
      </x:c>
      <x:c r="B3" s="687"/>
      <x:c r="C3" s="687"/>
      <x:c r="D3" s="687"/>
      <x:c r="F3" s="687" t="str">
        <x:v>Current Focus</x:v>
      </x:c>
      <x:c r="G3" s="687"/>
      <x:c r="H3" s="687"/>
    </x:row>
    <x:row r="4" ht="45" customHeight="1">
      <x:c r="A4" s="688" t="str">
        <x:v>Control Basis</x:v>
      </x:c>
      <x:c r="B4" s="692" t="str">
        <x:v>Gate and evidence based</x:v>
      </x:c>
      <x:c r="C4" s="691"/>
      <x:c r="D4" s="691"/>
      <x:c r="F4" s="696" t="str">
        <x:v>Active WBS</x:v>
      </x:c>
      <x:c r="G4" s="697" t="str">
        <x:v>P2.2 - Drawing metadata register authority implementation review</x:v>
      </x:c>
      <x:c r="H4" s="697"/>
    </x:row>
    <x:row r="5" ht="54" customHeight="1">
      <x:c r="A5" s="688" t="str">
        <x:v>Schedule Baseline</x:v>
      </x:c>
      <x:c r="B5" s="693" t="str">
        <x:v>Legacy only; not controlling</x:v>
      </x:c>
      <x:c r="C5" s="691"/>
      <x:c r="D5" s="691"/>
      <x:c r="F5" s="696" t="str">
        <x:v>Objective</x:v>
      </x:c>
      <x:c r="G5" s="697" t="str">
        <x:v>Review whether the third drawing check exactly implements the accepted missing-authority contract.</x:v>
      </x:c>
      <x:c r="H5" s="697"/>
    </x:row>
    <x:row r="6" ht="54" customHeight="1">
      <x:c r="A6" s="688" t="str">
        <x:v>Time Tracking</x:v>
      </x:c>
      <x:c r="B6" s="693" t="str">
        <x:v>Waived prospectively</x:v>
      </x:c>
      <x:c r="C6" s="691"/>
      <x:c r="D6" s="691"/>
      <x:c r="F6" s="696" t="str">
        <x:v>Gate Status</x:v>
      </x:c>
      <x:c r="G6" s="697" t="str">
        <x:v>PR #32 is integrated at 6d1f2f2; implementation 8eb431d passes local verification and both CI runs on draft PR #33.</x:v>
      </x:c>
      <x:c r="H6" s="697"/>
    </x:row>
    <x:row r="7" ht="54" customHeight="1">
      <x:c r="A7" s="688" t="str">
        <x:v>Current Gate</x:v>
      </x:c>
      <x:c r="B7" s="694" t="str">
        <x:v>P2.2 drawing-metadata register-authority implementation review</x:v>
      </x:c>
      <x:c r="C7" s="691"/>
      <x:c r="D7" s="691"/>
      <x:c r="F7" s="696" t="str">
        <x:v>Definition of Done</x:v>
      </x:c>
      <x:c r="G7" s="697" t="str">
        <x:v>The frozen result, evidence, ordering, and prerequisite behavior match the accepted definition with no protected-asset change.</x:v>
      </x:c>
      <x:c r="H7" s="697"/>
    </x:row>
    <x:row r="8" ht="63" customHeight="1">
      <x:c r="A8" s="688" t="str">
        <x:v>Released Kernel</x:v>
      </x:c>
      <x:c r="B8" s="691" t="str">
        <x:v>v0.2.0 / commit 45336a2</x:v>
      </x:c>
      <x:c r="C8" s="691"/>
      <x:c r="D8" s="691"/>
      <x:c r="F8" s="696" t="str">
        <x:v>Immediate Next Action</x:v>
      </x:c>
      <x:c r="G8" s="697" t="str">
        <x:v>Accept, revise, or reject draft PR #33 / implementation 8eb431d before integration or another relationship block.</x:v>
      </x:c>
      <x:c r="H8" s="697"/>
    </x:row>
    <x:row r="9" ht="63" customHeight="1">
      <x:c r="A9" s="688" t="str">
        <x:v>Release Target</x:v>
      </x:c>
      <x:c r="B9" s="691" t="str">
        <x:v>v0.3.0</x:v>
      </x:c>
      <x:c r="C9" s="691"/>
      <x:c r="D9" s="691"/>
      <x:c r="F9" s="696" t="str">
        <x:v>Primary Risk</x:v>
      </x:c>
      <x:c r="G9" s="697" t="str">
        <x:v>Primary risk is confusing a missing authoritative register record with an ordinary automatic failure.</x:v>
      </x:c>
      <x:c r="H9" s="697"/>
    </x:row>
    <x:row r="10" ht="63" customHeight="1">
      <x:c r="A10" s="688" t="str">
        <x:v>Baseline Test Count</x:v>
      </x:c>
      <x:c r="B10" s="691" t="n">
        <x:v>121</x:v>
      </x:c>
      <x:c r="C10" s="691"/>
      <x:c r="D10" s="691"/>
      <x:c r="F10" s="696" t="str">
        <x:v>Deferred</x:v>
      </x:c>
      <x:c r="G10" s="697" t="str">
        <x:v>Other P2.2 rules, package-state routing, reports, CLI changes, held-out semantics, and deferred capabilities.</x:v>
      </x:c>
      <x:c r="H10" s="697"/>
    </x:row>
    <x:row r="11" ht="63" customHeight="1">
      <x:c r="A11" s="688" t="str">
        <x:v>Fixture Package Families</x:v>
      </x:c>
      <x:c r="B11" s="691" t="n">
        <x:v>2</x:v>
      </x:c>
      <x:c r="C11" s="691"/>
      <x:c r="D11" s="691"/>
      <x:c r="F11" s="696" t="str">
        <x:v>Data Boundary</x:v>
      </x:c>
      <x:c r="G11" s="697" t="str">
        <x:v>Outputs remain decision support for qualified human review; no engineering sign-off or autonomous release.</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Three P2.2 drawing checks are implemented; first two integrated, third ready for acceptance; broader P2.2 remains open</x:v>
      </x:c>
      <x:c r="D17" s="700" t="n">
        <x:f>AVERAGE('Pilot Gantt'!L11:L14)</x:f>
        <x:v>0.3625</x:v>
      </x:c>
      <x:c r="E17" s="698" t="str">
        <x:v>Gate P2 - deterministic audit core and result-state routing</x:v>
      </x:c>
    </x:row>
    <x:row r="18" ht="36" customHeight="1">
      <x:c r="A18" s="698" t="str">
        <x:v>P3 Issue Register &amp; CLI</x:v>
      </x:c>
      <x:c r="B18" s="699" t="str">
        <x:v>Not Started</x:v>
      </x:c>
      <x:c r="C18" s="699" t="str">
        <x:v>Blocked by P2</x:v>
      </x:c>
      <x:c r="D18" s="700" t="n">
        <x:v>0</x:v>
      </x:c>
      <x:c r="E18" s="698" t="str">
        <x:v>Gate P3 - reproducible issue register and audit-package command</x:v>
      </x:c>
    </x:row>
    <x:row r="19" ht="36" customHeight="1">
      <x:c r="A19" s="698" t="str">
        <x:v>P4 Benchmark &amp; Reliability</x:v>
      </x:c>
      <x:c r="B19" s="699" t="str">
        <x:v>Not Started</x:v>
      </x:c>
      <x:c r="C19" s="699" t="str">
        <x:v>Blocked by P3</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53" customHeight="1">
      <x:c r="A27" s="431" t="n">
        <x:v>4</x:v>
      </x:c>
      <x:c r="B27" s="431" t="str">
        <x:v>P2.2</x:v>
      </x:c>
      <x:c r="C27" s="431" t="str">
        <x:v>Drawing metadata register authority implementation review</x:v>
      </x:c>
      <x:c r="D27" s="431" t="str">
        <x:v>Review the implemented missing-authority result, exact negative evidence, stable ordering, and full regression proof.</x:v>
      </x:c>
      <x:c r="E27" s="431" t="str">
        <x:v>Ready for Acceptance</x:v>
      </x:c>
      <x:c r="F27" s="431" t="str">
        <x:v>codex/p2.2-drawing-metadata-register-authority-implementation</x:v>
      </x:c>
      <x:c r="G27" s="431" t="str">
        <x:v>PR #32 main 6d1f2f2; implementation 8eb431d; draft PR #33 green; D-059-D-063; EV-056-EV-060; focused 40; full 211/1; validation 5/5; Ruff; coverage 85.18%</x:v>
      </x:c>
      <x:c r="H27"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