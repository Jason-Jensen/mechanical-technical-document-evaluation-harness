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f933ec9c4294f0a" /></Relationships>
</file>

<file path=xl/workbook.xml><?xml version="1.0" encoding="utf-8"?>
<x:workbook xmlns:x="http://schemas.openxmlformats.org/spreadsheetml/2006/main">
  <x:sheets>
    <x:sheet xmlns:r="http://schemas.openxmlformats.org/officeDocument/2006/relationships" name="Start Here" sheetId="1" r:id="Rca67f4a6f92b4541"/>
    <x:sheet xmlns:r="http://schemas.openxmlformats.org/officeDocument/2006/relationships" name="Executive Gantt" sheetId="2" r:id="R9fb2ca5f181b437a"/>
    <x:sheet xmlns:r="http://schemas.openxmlformats.org/officeDocument/2006/relationships" name="Detailed Gantt" sheetId="3" r:id="R66975a6977954bea"/>
    <x:sheet xmlns:r="http://schemas.openxmlformats.org/officeDocument/2006/relationships" name="Weekly Control" sheetId="4" r:id="R260657f73c8b4a34"/>
    <x:sheet xmlns:r="http://schemas.openxmlformats.org/officeDocument/2006/relationships" name="Phase Summary" sheetId="5" r:id="Ra5875d066b0747c7"/>
    <x:sheet xmlns:r="http://schemas.openxmlformats.org/officeDocument/2006/relationships" name="Assumptions &amp; Gates" sheetId="6" r:id="R95eb65b94d5d4466"/>
    <x:sheet xmlns:r="http://schemas.openxmlformats.org/officeDocument/2006/relationships" name="Sources" sheetId="7" r:id="R9c201ce696c0448b"/>
    <x:sheet xmlns:r="http://schemas.openxmlformats.org/officeDocument/2006/relationships" name="Legacy Baseline" sheetId="8" r:id="R49705dbba4d546e9"/>
    <x:sheet xmlns:r="http://schemas.openxmlformats.org/officeDocument/2006/relationships" name="Work Block Log" sheetId="9" r:id="Rb9e92e300a7a4c21"/>
    <x:sheet xmlns:r="http://schemas.openxmlformats.org/officeDocument/2006/relationships" name="Decision Register" sheetId="10" r:id="Re9e191055d6544f0"/>
    <x:sheet xmlns:r="http://schemas.openxmlformats.org/officeDocument/2006/relationships" name="Risks &amp; Issues" sheetId="11" r:id="R811dd3b53b51453c"/>
    <x:sheet xmlns:r="http://schemas.openxmlformats.org/officeDocument/2006/relationships" name="Evidence Register" sheetId="12" r:id="Rd0286c85be9c49f5"/>
    <x:sheet xmlns:r="http://schemas.openxmlformats.org/officeDocument/2006/relationships" name="Expansion Backlog" sheetId="13" r:id="R5abff55e34c5444e"/>
    <x:sheet xmlns:r="http://schemas.openxmlformats.org/officeDocument/2006/relationships" name="AI Context" sheetId="14" r:id="R4d3c0fbb0e904584"/>
    <x:sheet xmlns:r="http://schemas.openxmlformats.org/officeDocument/2006/relationships" name="MVP Dashboard" sheetId="15" r:id="Ra74dbffb2de84afe"/>
    <x:sheet xmlns:r="http://schemas.openxmlformats.org/officeDocument/2006/relationships" name="Product Vision" sheetId="16" r:id="Rcab40357ca8a4678"/>
    <x:sheet xmlns:r="http://schemas.openxmlformats.org/officeDocument/2006/relationships" name="Pilot Gantt" sheetId="17" r:id="R8f6bc1feae8f4959"/>
    <x:sheet xmlns:r="http://schemas.openxmlformats.org/officeDocument/2006/relationships" name="Pilot Dashboard" sheetId="18" r:id="R5a0749b8ee434704"/>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<x:sst xmlns:x="http://schemas.openxmlformats.org/spreadsheetml/2006/main">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</x:sst>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864fb08ebc84905" /><Relationship Type="http://schemas.openxmlformats.org/officeDocument/2006/relationships/theme" Target="/xl/theme/theme1.xml" Id="Rf7da5072b58b45a6" /><Relationship Type="http://schemas.openxmlformats.org/officeDocument/2006/relationships/sharedStrings" Target="/xl/sharedStrings.xml" Id="R0221c03581d745d3" /><Relationship Type="http://schemas.openxmlformats.org/officeDocument/2006/relationships/worksheet" Target="/xl/worksheets/sheet1.xml" Id="Rca67f4a6f92b4541" /><Relationship Type="http://schemas.openxmlformats.org/officeDocument/2006/relationships/worksheet" Target="/xl/worksheets/sheet2.xml" Id="R9fb2ca5f181b437a" /><Relationship Type="http://schemas.openxmlformats.org/officeDocument/2006/relationships/worksheet" Target="/xl/worksheets/sheet3.xml" Id="R66975a6977954bea" /><Relationship Type="http://schemas.openxmlformats.org/officeDocument/2006/relationships/worksheet" Target="/xl/worksheets/sheet4.xml" Id="R260657f73c8b4a34" /><Relationship Type="http://schemas.openxmlformats.org/officeDocument/2006/relationships/worksheet" Target="/xl/worksheets/sheet5.xml" Id="Ra5875d066b0747c7" /><Relationship Type="http://schemas.openxmlformats.org/officeDocument/2006/relationships/worksheet" Target="/xl/worksheets/sheet6.xml" Id="R95eb65b94d5d4466" /><Relationship Type="http://schemas.openxmlformats.org/officeDocument/2006/relationships/worksheet" Target="/xl/worksheets/sheet7.xml" Id="R9c201ce696c0448b" /><Relationship Type="http://schemas.openxmlformats.org/officeDocument/2006/relationships/worksheet" Target="/xl/worksheets/sheet8.xml" Id="R49705dbba4d546e9" /><Relationship Type="http://schemas.openxmlformats.org/officeDocument/2006/relationships/worksheet" Target="/xl/worksheets/sheet9.xml" Id="Rb9e92e300a7a4c21" /><Relationship Type="http://schemas.openxmlformats.org/officeDocument/2006/relationships/worksheet" Target="/xl/worksheets/sheet10.xml" Id="Re9e191055d6544f0" /><Relationship Type="http://schemas.openxmlformats.org/officeDocument/2006/relationships/worksheet" Target="/xl/worksheets/sheet11.xml" Id="R811dd3b53b51453c" /><Relationship Type="http://schemas.openxmlformats.org/officeDocument/2006/relationships/worksheet" Target="/xl/worksheets/sheet12.xml" Id="Rd0286c85be9c49f5" /><Relationship Type="http://schemas.openxmlformats.org/officeDocument/2006/relationships/worksheet" Target="/xl/worksheets/sheet13.xml" Id="R5abff55e34c5444e" /><Relationship Type="http://schemas.openxmlformats.org/officeDocument/2006/relationships/worksheet" Target="/xl/worksheets/sheet14.xml" Id="R4d3c0fbb0e904584" /><Relationship Type="http://schemas.openxmlformats.org/officeDocument/2006/relationships/worksheet" Target="/xl/worksheets/sheet15.xml" Id="Ra74dbffb2de84afe" /><Relationship Type="http://schemas.openxmlformats.org/officeDocument/2006/relationships/worksheet" Target="/xl/worksheets/sheet16.xml" Id="Rcab40357ca8a4678" /><Relationship Type="http://schemas.openxmlformats.org/officeDocument/2006/relationships/worksheet" Target="/xl/worksheets/sheet17.xml" Id="R8f6bc1feae8f4959" /><Relationship Type="http://schemas.openxmlformats.org/officeDocument/2006/relationships/worksheet" Target="/xl/worksheets/sheet18.xml" Id="R5a0749b8ee434704" /></Relationships>
</file>

<file path=xl/drawings/_rels/drawing1.xml.rels>&#65279;<?xml version="1.0" encoding="utf-8"?><Relationships xmlns="http://schemas.openxmlformats.org/package/2006/relationships"><Relationship Type="http://schemas.openxmlformats.org/officeDocument/2006/relationships/chart" Target="/xl/drawings/charts/chart1.xml" Id="R397f7831eca5487a" /></Relationships>
</file>

<file path=xl/drawings/_rels/drawing2.xml.rels>&#65279;<?xml version="1.0" encoding="utf-8"?><Relationships xmlns="http://schemas.openxmlformats.org/package/2006/relationships"><Relationship Type="http://schemas.openxmlformats.org/officeDocument/2006/relationships/chart" Target="/xl/drawings/charts/chart2.xml" Id="Rb9d8d87b04f24f6a" /></Relationships>
</file>

<file path=xl/drawings/_rels/drawing3.xml.rels>&#65279;<?xml version="1.0" encoding="utf-8"?><Relationships xmlns="http://schemas.openxmlformats.org/package/2006/relationships"><Relationship Type="http://schemas.openxmlformats.org/officeDocument/2006/relationships/chart" Target="/xl/drawings/charts/chart3.xml" Id="Rfa3fa2fd755149dd"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97f7831eca5487a"/>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9d8d87b04f24f6a"/>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a3fa2fd755149dd"/>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aacd65850e334a63" /></Relationships>
</file>

<file path=xl/worksheets/_rels/sheet5.xml.rels>&#65279;<?xml version="1.0" encoding="utf-8"?><Relationships xmlns="http://schemas.openxmlformats.org/package/2006/relationships"><Relationship Type="http://schemas.openxmlformats.org/officeDocument/2006/relationships/drawing" Target="/xl/drawings/drawing2.xml" Id="R962a35e2b46346ef" /></Relationships>
</file>

<file path=xl/worksheets/_rels/sheet15.xml.rels>&#65279;<?xml version="1.0" encoding="utf-8"?><Relationships xmlns="http://schemas.openxmlformats.org/package/2006/relationships"><Relationship Type="http://schemas.openxmlformats.org/officeDocument/2006/relationships/drawing" Target="/xl/drawings/drawing3.xml" Id="R5dde909cfb054a67"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P2.3 identifier/result stabilization review 2026-07-20</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P2.3 D-099 stabilization and NASA/JPL rerun gate</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P2.3 - Identifier/result-contract stabilization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D-100; no public rerun before acceptance and integration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261" hidden="0" customHeight="1">
      <x:c r="A28" s="597" t="str">
        <x:v>D-099 is accepted and PR #51 merged the public-audit failure review at exact main 624acce. The narrow stabilization is implementation-complete: only exact blanks in the three approved optional BOM reference fields skip identifier syntax; malformed present and required identifiers remain automatic holds; invalid raw values remain in evidence and never enter canonical affected_identifiers. Six new tests prove both gate behavior and full CLI publication. Focused 47, full 289/1, coverage 87.57%, validation 5/5, Ruff, baseline 9/9, and demo 2/2 pass. Both public package trees and all 1,764 accepted log rows remain exact; neither public package was rerun. EV-104-EV-106 preserve the proof. D-100 proposes integration followed by exactly one controlled NASA/JPL rerun and review before OpenFlexure.</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aacd65850e334a63"/>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962a35e2b46346ef"/>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Proposed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CEO accepts or revises the implementation, synthetic proof, and exact one-run NASA/JPL observation contract. If accepted, merge the fix and run NASA/JPL once. Stop on any unexpected state, exit, output count, schema result, or package/hash change. Review before OpenFlexure. Do not implement check 8 or deferred capabilities.</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Merge only after D-100 review; reverify the accepted NASA/JPL tree and log; run exactly once; inspect all four outputs; stop before OpenFlexure on any unexpected behavior.</x:v>
      </x:c>
      <x:c r="H22" s="431" t="str">
        <x:v>Mitigating</x:v>
      </x:c>
      <x:c r="I22" s="431" t="n">
        <x:v>46223</x:v>
      </x:c>
      <x:c r="J22" s="431" t="str">
        <x:v>D-099 code and synthetic proof are complete: optional exact blanks pass, malformed present values still hold, and schema-valid outputs publish. Public confirmation remains open until one controlled NASA/JPL rerun succeeds and is reviewed.</x:v>
      </x:c>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Ready for CEO review</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Ready for CEO review</x:v>
      </x:c>
      <x:c r="I109" s="431" t="str">
        <x:v>Real-world confirmation remains open. D-100 proposes exactly one NASA/JPL rerun after integration and requires review before OpenFlexure.</x:v>
      </x:c>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D-099 stabilization complete; D-100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checks run on synthetic packages. The real-package identifier/result defect is corrected and proven through the full synthetic CLI, but real-world confirmation remains pending.</x:v>
      </x:c>
      <x:c r="E7" s="765" t="str">
        <x:v>Product interpretation</x:v>
      </x:c>
      <x:c r="F7" s="431" t="str">
        <x:v>Successful kernel; not yet a complete economically useful workflow.</x:v>
      </x:c>
      <x:c r="G7" s="765" t="str">
        <x:v>Response</x:v>
      </x:c>
      <x:c r="H7" s="431" t="str">
        <x:v>Review D-100 before merge or any public-package rerun.</x:v>
      </x:c>
    </x:row>
    <x:row r="8" ht="153" hidden="0" customHeight="1">
      <x:c r="A8" s="765" t="str">
        <x:v>Immediate next action</x:v>
      </x:c>
      <x:c r="B8" s="431" t="str">
        <x:v>Accept or revise D-100: integrate the fix, then run NASA/JPL exactly once under the unchanged expected-result contract.</x:v>
      </x:c>
      <x:c r="C8" s="765" t="str">
        <x:v>Selected vertical</x:v>
      </x:c>
      <x:c r="D8" s="431" t="str">
        <x:v>Stabilization review -&gt; merge -&gt; NASA/JPL rerun -&gt; output inspection -&gt; OpenFlexure decision.</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15" hidden="0" customHeight="1">
      <x:c r="A41" s="604" t="str">
        <x:v>Immediate implication</x:v>
      </x:c>
      <x:c r="B41" s="605"/>
      <x:c r="C41" s="606" t="str">
        <x:v>D-099 was accepted and PR #51 merged the failure review at exact main 624acce. The implementation permits exact blanks only for equipment_item drawing_number, datasheet_id, and specification_id. Whitespace, malformed present values, and required identifiers remain fail-closed. Invalid raw values stay in exact evidence; a valid parent row identifier or an empty list is used in the canonical result. Synthetic full-CLI tests prove missing_authoritative_information/exit 3/four outputs and automatic_fail/exit 1/four outputs. Focused 47, full 289/1, coverage 87.57%, validation 5/5, Ruff, baseline 9/9, and demo 2/2 pass. NASA/JPL remains 133 files at tree 52aedc3e... with 1,144 accepted log rows; OpenFlexure remains 58 files at tree 71656da7... with 620 accepted log rows. Neither was rerun. D-100 proposes one controlled NASA/JPL rerun after integration, with review before OpenFlexure. Checks 8-11, held-out semantics, PDF/CAD extraction,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5dde909cfb054a67"/>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427.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0.74</x:v>
      </x:c>
      <x:c r="M13" s="662" t="n">
        <x:f>SUMIF('Work Block Log'!$E$5:$E$200,A13,'Work Block Log'!$F$5:$F$200)</x:f>
        <x:v>0</x:v>
      </x:c>
      <x:c r="N13" s="662" t="n">
        <x:f>MAX(F13*(1-L13),0)</x:f>
        <x:v>1.04</x:v>
      </x:c>
      <x:c r="O13" s="662" t="n">
        <x:f>M13-F13</x:f>
        <x:v>-4</x:v>
      </x:c>
      <x:c r="P13" s="431" t="str">
        <x:v>checks 6-7 integrated; PR #51 exact main 624acce; D-085-D-100; EV-082-EV-106; IMP-016-IMP-017; D-099 accepted; optional-blank identifier stabilization complete; synthetic exit 3/four-output and exit 1/four-output proofs; focused 47; full 289/1; coverage 87.57%; validation 5/5; Ruff; baseline 9/9; demo 2/2; public trees/logs unchanged; no public rerun</x:v>
      </x:c>
      <x:c r="Q13" s="431" t="str">
        <x:v>CEO reviews identifier_result_contract_stabilization_review_2026-07-20.md and accepts or revises D-100.</x:v>
      </x:c>
      <x:c r="R13" s="431" t="str">
        <x:v>Do not rerun either public package before integration. D-100 permits only one unchanged NASA/JPL rerun with expected missing_authoritative_information, exit 3, release hold true, and four outputs. Stop and review before OpenFlexure. Checks 8-11, held-out semantics, PDF/CAD extraction, and deferred capabilities remain blocked.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0.7165217391304348</x:v>
      </x:c>
      <x:c r="M24" s="683" t="n">
        <x:f>SUM(M6:M22)</x:f>
        <x:v>0</x:v>
      </x:c>
      <x:c r="N24" s="683" t="n">
        <x:f>SUM(N6:N22)</x:f>
        <x:v>13.04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Identifier Stabilization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Identifier/result-contract stabilization review</x:v>
      </x:c>
      <x:c r="H4" s="697"/>
    </x:row>
    <x:row r="5" ht="72" customHeight="1">
      <x:c r="A5" s="688" t="str">
        <x:v>Schedule Baseline</x:v>
      </x:c>
      <x:c r="B5" s="693" t="str">
        <x:v>Legacy only; not controlling</x:v>
      </x:c>
      <x:c r="C5" s="691"/>
      <x:c r="D5" s="691"/>
      <x:c r="F5" s="696" t="str">
        <x:v>Objective</x:v>
      </x:c>
      <x:c r="G5" s="697" t="str">
        <x:v>Verify the narrow fix and decide whether one controlled NASA/JPL rerun may proceed.</x:v>
      </x:c>
      <x:c r="H5" s="697"/>
    </x:row>
    <x:row r="6" ht="63" customHeight="1">
      <x:c r="A6" s="688" t="str">
        <x:v>Time Tracking</x:v>
      </x:c>
      <x:c r="B6" s="693" t="str">
        <x:v>Waived prospectively</x:v>
      </x:c>
      <x:c r="C6" s="691"/>
      <x:c r="D6" s="691"/>
      <x:c r="F6" s="696" t="str">
        <x:v>Gate Status</x:v>
      </x:c>
      <x:c r="G6" s="697" t="str">
        <x:v>Synthetic full-CLI proofs pass; neither public package has been rerun.</x:v>
      </x:c>
      <x:c r="H6" s="697"/>
    </x:row>
    <x:row r="7" ht="81" customHeight="1">
      <x:c r="A7" s="688" t="str">
        <x:v>Current Gate</x:v>
      </x:c>
      <x:c r="B7" s="694" t="str">
        <x:v>P2.3 D-099 stabilization and NASA/JPL rerun gate</x:v>
      </x:c>
      <x:c r="C7" s="691"/>
      <x:c r="D7" s="691"/>
      <x:c r="F7" s="696" t="str">
        <x:v>Definition of Done</x:v>
      </x:c>
      <x:c r="G7" s="697" t="str">
        <x:v>CEO accepts or revises D-100.</x:v>
      </x:c>
      <x:c r="H7" s="697"/>
    </x:row>
    <x:row r="8" ht="63" customHeight="1">
      <x:c r="A8" s="688" t="str">
        <x:v>Released Kernel</x:v>
      </x:c>
      <x:c r="B8" s="691" t="str">
        <x:v>v0.2.0 / commit 45336a2</x:v>
      </x:c>
      <x:c r="C8" s="691"/>
      <x:c r="D8" s="691"/>
      <x:c r="F8" s="696" t="str">
        <x:v>Immediate Next Action</x:v>
      </x:c>
      <x:c r="G8" s="697" t="str">
        <x:v>Review identifier_result_contract_stabilization_review_2026-07-20.md.</x:v>
      </x:c>
      <x:c r="H8" s="697"/>
    </x:row>
    <x:row r="9" ht="72" customHeight="1">
      <x:c r="A9" s="688" t="str">
        <x:v>Release Target</x:v>
      </x:c>
      <x:c r="B9" s="691" t="str">
        <x:v>v0.3.0</x:v>
      </x:c>
      <x:c r="C9" s="691"/>
      <x:c r="D9" s="691"/>
      <x:c r="F9" s="696" t="str">
        <x:v>Primary Risk</x:v>
      </x:c>
      <x:c r="G9" s="697" t="str">
        <x:v>Primary risk is treating synthetic proof as real-world confirmation.</x:v>
      </x:c>
      <x:c r="H9" s="697"/>
    </x:row>
    <x:row r="10" ht="81" customHeight="1">
      <x:c r="A10" s="688" t="str">
        <x:v>Baseline Test Count</x:v>
      </x:c>
      <x:c r="B10" s="691" t="n">
        <x:v>121</x:v>
      </x:c>
      <x:c r="C10" s="691"/>
      <x:c r="D10" s="691"/>
      <x:c r="F10" s="696" t="str">
        <x:v>Deferred</x:v>
      </x:c>
      <x:c r="G10" s="697" t="str">
        <x:v>OpenFlexure, checks 8-11, held-out semantics, and deferred capabilities remain blocked.</x:v>
      </x:c>
      <x:c r="H10" s="697"/>
    </x:row>
    <x:row r="11" ht="63" customHeight="1">
      <x:c r="A11" s="688" t="str">
        <x:v>Fixture Package Families</x:v>
      </x:c>
      <x:c r="B11" s="691" t="n">
        <x:v>2</x:v>
      </x:c>
      <x:c r="C11" s="691"/>
      <x:c r="D11" s="691"/>
      <x:c r="F11" s="696" t="str">
        <x:v>Data Boundary</x:v>
      </x:c>
      <x:c r="G11" s="697" t="str">
        <x:v>Both accepted package trees and all 1,764 accepted log rows remain exact.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D-100 review required</x:v>
      </x:c>
      <x:c r="D17" s="700" t="n">
        <x:v>0.74</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Ready for Review</x:v>
      </x:c>
      <x:c r="F42" s="431" t="str">
        <x:v>codex/p2.3-identifier-result-stabilization</x:v>
      </x:c>
      <x:c r="G42" s="431" t="str">
        <x:v>D-099-D-100; EV-104-EV-106; IMP-017; focused 47; full 289/1; coverage 87.57%; validation 5/5; Ruff; baseline 9/9; demo 2/2; exit 3/four outputs; exit 1/four outputs; public trees/logs unchanged; no public rerun</x:v>
      </x:c>
      <x:c r="H4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