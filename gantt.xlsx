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4cacc8fb0e64d08" /></Relationships>
</file>

<file path=xl/workbook.xml><?xml version="1.0" encoding="utf-8"?>
<x:workbook xmlns:x="http://schemas.openxmlformats.org/spreadsheetml/2006/main">
  <x:sheets>
    <x:sheet xmlns:r="http://schemas.openxmlformats.org/officeDocument/2006/relationships" name="Start Here" sheetId="1" r:id="Rd2bb61c576124735"/>
    <x:sheet xmlns:r="http://schemas.openxmlformats.org/officeDocument/2006/relationships" name="Executive Gantt" sheetId="2" r:id="Rde00e1a20dd94530"/>
    <x:sheet xmlns:r="http://schemas.openxmlformats.org/officeDocument/2006/relationships" name="Detailed Gantt" sheetId="3" r:id="R0b6beb41533446c4"/>
    <x:sheet xmlns:r="http://schemas.openxmlformats.org/officeDocument/2006/relationships" name="Weekly Control" sheetId="4" r:id="Rb92f5c7f0b254907"/>
    <x:sheet xmlns:r="http://schemas.openxmlformats.org/officeDocument/2006/relationships" name="Phase Summary" sheetId="5" r:id="R1e2c4c9534b446b4"/>
    <x:sheet xmlns:r="http://schemas.openxmlformats.org/officeDocument/2006/relationships" name="Assumptions &amp; Gates" sheetId="6" r:id="R7fdefa704acd4957"/>
    <x:sheet xmlns:r="http://schemas.openxmlformats.org/officeDocument/2006/relationships" name="Sources" sheetId="7" r:id="R21617109bee1406c"/>
    <x:sheet xmlns:r="http://schemas.openxmlformats.org/officeDocument/2006/relationships" name="Legacy Baseline" sheetId="8" r:id="Reddfa1c0799f47a2"/>
    <x:sheet xmlns:r="http://schemas.openxmlformats.org/officeDocument/2006/relationships" name="Work Block Log" sheetId="9" r:id="Rc3215a8b59934496"/>
    <x:sheet xmlns:r="http://schemas.openxmlformats.org/officeDocument/2006/relationships" name="Decision Register" sheetId="10" r:id="Ra325ee24c578498a"/>
    <x:sheet xmlns:r="http://schemas.openxmlformats.org/officeDocument/2006/relationships" name="Risks &amp; Issues" sheetId="11" r:id="R72545e39df0f48f6"/>
    <x:sheet xmlns:r="http://schemas.openxmlformats.org/officeDocument/2006/relationships" name="Evidence Register" sheetId="12" r:id="Rd7020b34a0454049"/>
    <x:sheet xmlns:r="http://schemas.openxmlformats.org/officeDocument/2006/relationships" name="Expansion Backlog" sheetId="13" r:id="R92f375e3bdf44fe3"/>
    <x:sheet xmlns:r="http://schemas.openxmlformats.org/officeDocument/2006/relationships" name="AI Context" sheetId="14" r:id="R93f995e4594d4c12"/>
    <x:sheet xmlns:r="http://schemas.openxmlformats.org/officeDocument/2006/relationships" name="MVP Dashboard" sheetId="15" r:id="R222363d6a7bd4a42"/>
    <x:sheet xmlns:r="http://schemas.openxmlformats.org/officeDocument/2006/relationships" name="Product Vision" sheetId="16" r:id="R8cba7805f2374f73"/>
    <x:sheet xmlns:r="http://schemas.openxmlformats.org/officeDocument/2006/relationships" name="Pilot Gantt" sheetId="17" r:id="R6a583af06b37471d"/>
    <x:sheet xmlns:r="http://schemas.openxmlformats.org/officeDocument/2006/relationships" name="Pilot Dashboard" sheetId="18" r:id="R7d83be6043f84a29"/>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<x:sst xmlns:x="http://schemas.openxmlformats.org/spreadsheetml/2006/main">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</x:sst>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70c15bc1bf34680" /><Relationship Type="http://schemas.openxmlformats.org/officeDocument/2006/relationships/theme" Target="/xl/theme/theme1.xml" Id="R0fd81e70ff8b427c" /><Relationship Type="http://schemas.openxmlformats.org/officeDocument/2006/relationships/sharedStrings" Target="/xl/sharedStrings.xml" Id="Rc82dafb7fa9b42d2" /><Relationship Type="http://schemas.openxmlformats.org/officeDocument/2006/relationships/worksheet" Target="/xl/worksheets/sheet1.xml" Id="Rd2bb61c576124735" /><Relationship Type="http://schemas.openxmlformats.org/officeDocument/2006/relationships/worksheet" Target="/xl/worksheets/sheet2.xml" Id="Rde00e1a20dd94530" /><Relationship Type="http://schemas.openxmlformats.org/officeDocument/2006/relationships/worksheet" Target="/xl/worksheets/sheet3.xml" Id="R0b6beb41533446c4" /><Relationship Type="http://schemas.openxmlformats.org/officeDocument/2006/relationships/worksheet" Target="/xl/worksheets/sheet4.xml" Id="Rb92f5c7f0b254907" /><Relationship Type="http://schemas.openxmlformats.org/officeDocument/2006/relationships/worksheet" Target="/xl/worksheets/sheet5.xml" Id="R1e2c4c9534b446b4" /><Relationship Type="http://schemas.openxmlformats.org/officeDocument/2006/relationships/worksheet" Target="/xl/worksheets/sheet6.xml" Id="R7fdefa704acd4957" /><Relationship Type="http://schemas.openxmlformats.org/officeDocument/2006/relationships/worksheet" Target="/xl/worksheets/sheet7.xml" Id="R21617109bee1406c" /><Relationship Type="http://schemas.openxmlformats.org/officeDocument/2006/relationships/worksheet" Target="/xl/worksheets/sheet8.xml" Id="Reddfa1c0799f47a2" /><Relationship Type="http://schemas.openxmlformats.org/officeDocument/2006/relationships/worksheet" Target="/xl/worksheets/sheet9.xml" Id="Rc3215a8b59934496" /><Relationship Type="http://schemas.openxmlformats.org/officeDocument/2006/relationships/worksheet" Target="/xl/worksheets/sheet10.xml" Id="Ra325ee24c578498a" /><Relationship Type="http://schemas.openxmlformats.org/officeDocument/2006/relationships/worksheet" Target="/xl/worksheets/sheet11.xml" Id="R72545e39df0f48f6" /><Relationship Type="http://schemas.openxmlformats.org/officeDocument/2006/relationships/worksheet" Target="/xl/worksheets/sheet12.xml" Id="Rd7020b34a0454049" /><Relationship Type="http://schemas.openxmlformats.org/officeDocument/2006/relationships/worksheet" Target="/xl/worksheets/sheet13.xml" Id="R92f375e3bdf44fe3" /><Relationship Type="http://schemas.openxmlformats.org/officeDocument/2006/relationships/worksheet" Target="/xl/worksheets/sheet14.xml" Id="R93f995e4594d4c12" /><Relationship Type="http://schemas.openxmlformats.org/officeDocument/2006/relationships/worksheet" Target="/xl/worksheets/sheet15.xml" Id="R222363d6a7bd4a42" /><Relationship Type="http://schemas.openxmlformats.org/officeDocument/2006/relationships/worksheet" Target="/xl/worksheets/sheet16.xml" Id="R8cba7805f2374f73" /><Relationship Type="http://schemas.openxmlformats.org/officeDocument/2006/relationships/worksheet" Target="/xl/worksheets/sheet17.xml" Id="R6a583af06b37471d" /><Relationship Type="http://schemas.openxmlformats.org/officeDocument/2006/relationships/worksheet" Target="/xl/worksheets/sheet18.xml" Id="R7d83be6043f84a29" /></Relationships>
</file>

<file path=xl/drawings/_rels/drawing1.xml.rels>&#65279;<?xml version="1.0" encoding="utf-8"?><Relationships xmlns="http://schemas.openxmlformats.org/package/2006/relationships"><Relationship Type="http://schemas.openxmlformats.org/officeDocument/2006/relationships/chart" Target="/xl/drawings/charts/chart1.xml" Id="R08defa6e49154ae6" /></Relationships>
</file>

<file path=xl/drawings/_rels/drawing2.xml.rels>&#65279;<?xml version="1.0" encoding="utf-8"?><Relationships xmlns="http://schemas.openxmlformats.org/package/2006/relationships"><Relationship Type="http://schemas.openxmlformats.org/officeDocument/2006/relationships/chart" Target="/xl/drawings/charts/chart2.xml" Id="R91080615c6b646ef" /></Relationships>
</file>

<file path=xl/drawings/_rels/drawing3.xml.rels>&#65279;<?xml version="1.0" encoding="utf-8"?><Relationships xmlns="http://schemas.openxmlformats.org/package/2006/relationships"><Relationship Type="http://schemas.openxmlformats.org/officeDocument/2006/relationships/chart" Target="/xl/drawings/charts/chart3.xml" Id="R4c785f3a8f31471b"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8defa6e49154ae6"/>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1080615c6b646ef"/>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c785f3a8f31471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96dfd4f9bed2454c" /></Relationships>
</file>

<file path=xl/worksheets/_rels/sheet5.xml.rels>&#65279;<?xml version="1.0" encoding="utf-8"?><Relationships xmlns="http://schemas.openxmlformats.org/package/2006/relationships"><Relationship Type="http://schemas.openxmlformats.org/officeDocument/2006/relationships/drawing" Target="/xl/drawings/drawing2.xml" Id="R268cf0df581a4789" /></Relationships>
</file>

<file path=xl/worksheets/_rels/sheet15.xml.rels>&#65279;<?xml version="1.0" encoding="utf-8"?><Relationships xmlns="http://schemas.openxmlformats.org/package/2006/relationships"><Relationship Type="http://schemas.openxmlformats.org/officeDocument/2006/relationships/drawing" Target="/xl/drawings/drawing3.xml" Id="Rd6cde6b6a1894a51"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fourth P2.2 drawing check integrated and exactly verified 2026-07-19</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integration closeout / next-gate review</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Four drawing relationship checks integrated; next gate pending</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Review project state and accept or revise the recommended next gate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225" hidden="0" customHeight="1">
      <x:c r="A28" s="704" t="str">
        <x:v>PR #35 integrated the accepted drawing_register_metadata_file_reference v0.3.0 implementation at exact main commit e5db29e on 2026-07-19. Exact merged-tree verification passed 19 relationship tests, 45 focused tests, 216 full-suite tests with one expected skip, validation 5/5, Ruff, and 85.47% coverage. Four ordered drawing checks are now integrated, but P2.2 remains 50%: undeclared source references, full manifest reciprocity, other relationships, routing, reports, CLI, and held-out semantics remain blocked. No next implementation is authorized until its bounded gate is accepted.</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96dfd4f9bed2454c"/>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68cf0df581a4789"/>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integration closeout / next-gate review</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PR #35 integrated the accepted fourth AUTH-DWG-002 file-reference agreement check at exact main e5db29e on 2026-07-19. Exact merged-tree verification passed. Four ordered drawing checks are integrated. P2.2 remains 50% because undeclared source references, manifest reciprocity, remaining relationships,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Review the project state and accept or revise the next bounded gate before implementation.</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98" hidden="0" customHeight="1">
      <x:c r="A41" s="604" t="str">
        <x:v>Immediate implication</x:v>
      </x:c>
      <x:c r="B41" s="605"/>
      <x:c r="C41" s="606" t="str">
        <x:v>Accepted implementation 74970c3 enforces drawing_register_metadata_file_reference v0.3.0 for exact drawing pairs under the exact AUTH-DWG-002 rule. Register file_ref_id is expected and metadata file_ref_id is actual. A mismatch routes to automatic_fail, high severity, release_hold true, document_control, with both field locators and both manifest file-resolution locators. The first three checks retain their accepted behavior. Shared undeclared references and full manifest reciprocity remain deferred.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d6cde6b6a1894a51"/>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207"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0.5</x:v>
      </x:c>
      <x:c r="M12" s="662" t="n">
        <x:f>SUMIF('Work Block Log'!$E$5:$E$200,A12,'Work Block Log'!$F$5:$F$200)</x:f>
        <x:v>0</x:v>
      </x:c>
      <x:c r="N12" s="662" t="n">
        <x:f>MAX(F12*(1-L12),0)</x:f>
        <x:v>2</x:v>
      </x:c>
      <x:c r="O12" s="662" t="n">
        <x:f>M12-F12</x:f>
        <x:v>-4</x:v>
      </x:c>
      <x:c r="P12" s="431" t="str">
        <x:v>four drawing checks integrated through PR #35 at exact main e5db29e; implementation 74970c3; evidence cce416e and 5d02872; merge e5db29e; D-049-D-071; EV-046-EV-068; exact relationship 19; focused 45; full 216/1; validation 5/5; Ruff; coverage 85.47%; accepted fixtures, schemas, authority maps, goldens, and held-out assets unchanged</x:v>
      </x:c>
      <x:c r="Q12" s="431" t="str">
        <x:v>Review project state and accept or revise the recommended next bounded gate before implementation.</x:v>
      </x:c>
      <x:c r="R12" s="431" t="str">
        <x:v>Four drawing checks are integrated and exactly verified. P2.2 remains 50%; undeclared references, manifest reciprocity, other relationships, routing, reporting, CLI, and held-out semantics remain open.</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0.3695652173913043</x:v>
      </x:c>
      <x:c r="M24" s="683" t="n">
        <x:f>SUM(M6:M22)</x:f>
        <x:v>0</x:v>
      </x:c>
      <x:c r="N24" s="683" t="n">
        <x:f>SUM(N6:N22)</x:f>
        <x:v>29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Fourth Drawing Check Integrated</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Four drawing checks integrated; next gate pending</x:v>
      </x:c>
      <x:c r="H4" s="697"/>
    </x:row>
    <x:row r="5" ht="54" customHeight="1">
      <x:c r="A5" s="688" t="str">
        <x:v>Schedule Baseline</x:v>
      </x:c>
      <x:c r="B5" s="693" t="str">
        <x:v>Legacy only; not controlling</x:v>
      </x:c>
      <x:c r="C5" s="691"/>
      <x:c r="D5" s="691"/>
      <x:c r="F5" s="696" t="str">
        <x:v>Objective</x:v>
      </x:c>
      <x:c r="G5" s="697" t="str">
        <x:v>Close the fourth drawing file-reference slice and establish a truthful baseline for the next decision.</x:v>
      </x:c>
      <x:c r="H5" s="697"/>
    </x:row>
    <x:row r="6" ht="54" customHeight="1">
      <x:c r="A6" s="688" t="str">
        <x:v>Time Tracking</x:v>
      </x:c>
      <x:c r="B6" s="693" t="str">
        <x:v>Waived prospectively</x:v>
      </x:c>
      <x:c r="C6" s="691"/>
      <x:c r="D6" s="691"/>
      <x:c r="F6" s="696" t="str">
        <x:v>Gate Status</x:v>
      </x:c>
      <x:c r="G6" s="697" t="str">
        <x:v>PR #35 is merged at exact main e5db29e; local merged-tree verification passed on 2026-07-19.</x:v>
      </x:c>
      <x:c r="H6" s="697"/>
    </x:row>
    <x:row r="7" ht="54" customHeight="1">
      <x:c r="A7" s="688" t="str">
        <x:v>Current Gate</x:v>
      </x:c>
      <x:c r="B7" s="694" t="str">
        <x:v>P2.2 integration closeout / next-gate review</x:v>
      </x:c>
      <x:c r="C7" s="691"/>
      <x:c r="D7" s="691"/>
      <x:c r="F7" s="696" t="str">
        <x:v>Definition of Done</x:v>
      </x:c>
      <x:c r="G7" s="697" t="str">
        <x:v>Four ordered checks, acceptance, merge evidence, exact tests, protected boundaries, and remaining gaps are recorded.</x:v>
      </x:c>
      <x:c r="H7" s="697"/>
    </x:row>
    <x:row r="8" ht="63" customHeight="1">
      <x:c r="A8" s="688" t="str">
        <x:v>Released Kernel</x:v>
      </x:c>
      <x:c r="B8" s="691" t="str">
        <x:v>v0.2.0 / commit 45336a2</x:v>
      </x:c>
      <x:c r="C8" s="691"/>
      <x:c r="D8" s="691"/>
      <x:c r="F8" s="696" t="str">
        <x:v>Immediate Next Action</x:v>
      </x:c>
      <x:c r="G8" s="697" t="str">
        <x:v>Review the project state and accept or revise the recommended next bounded gate.</x:v>
      </x:c>
      <x:c r="H8" s="697"/>
    </x:row>
    <x:row r="9" ht="63" customHeight="1">
      <x:c r="A9" s="688" t="str">
        <x:v>Release Target</x:v>
      </x:c>
      <x:c r="B9" s="691" t="str">
        <x:v>v0.3.0</x:v>
      </x:c>
      <x:c r="C9" s="691"/>
      <x:c r="D9" s="691"/>
      <x:c r="F9" s="696" t="str">
        <x:v>Primary Risk</x:v>
      </x:c>
      <x:c r="G9" s="697" t="str">
        <x:v>Primary risk remains treating source agreement as complete file assurance while declaration and reciprocity gaps remain.</x:v>
      </x:c>
      <x:c r="H9" s="697"/>
    </x:row>
    <x:row r="10" ht="63" customHeight="1">
      <x:c r="A10" s="688" t="str">
        <x:v>Baseline Test Count</x:v>
      </x:c>
      <x:c r="B10" s="691" t="n">
        <x:v>121</x:v>
      </x:c>
      <x:c r="C10" s="691"/>
      <x:c r="D10" s="691"/>
      <x:c r="F10" s="696" t="str">
        <x:v>Deferred</x:v>
      </x:c>
      <x:c r="G10" s="697" t="str">
        <x:v>Undeclared source references, manifest reciprocity, other relationships,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Four checks integrated; next gate pending</x:v>
      </x:c>
      <x:c r="D17" s="700" t="n">
        <x:f>AVERAGE('Pilot Gantt'!L11:L14)</x:f>
        <x:v>0.375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