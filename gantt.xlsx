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cee2e2a86cb4725" /></Relationships>
</file>

<file path=xl/workbook.xml><?xml version="1.0" encoding="utf-8"?>
<x:workbook xmlns:x="http://schemas.openxmlformats.org/spreadsheetml/2006/main">
  <x:sheets>
    <x:sheet xmlns:r="http://schemas.openxmlformats.org/officeDocument/2006/relationships" name="Start Here" sheetId="1" r:id="Rc2aa0dbe9b88421f"/>
    <x:sheet xmlns:r="http://schemas.openxmlformats.org/officeDocument/2006/relationships" name="Executive Gantt" sheetId="2" r:id="R1e8010d33142466a"/>
    <x:sheet xmlns:r="http://schemas.openxmlformats.org/officeDocument/2006/relationships" name="Detailed Gantt" sheetId="3" r:id="Rab0320bbf1e54c28"/>
    <x:sheet xmlns:r="http://schemas.openxmlformats.org/officeDocument/2006/relationships" name="Weekly Control" sheetId="4" r:id="Re63f3fa2ae664ec9"/>
    <x:sheet xmlns:r="http://schemas.openxmlformats.org/officeDocument/2006/relationships" name="Phase Summary" sheetId="5" r:id="R4118d4513a034973"/>
    <x:sheet xmlns:r="http://schemas.openxmlformats.org/officeDocument/2006/relationships" name="Assumptions &amp; Gates" sheetId="6" r:id="R435756624b384d02"/>
    <x:sheet xmlns:r="http://schemas.openxmlformats.org/officeDocument/2006/relationships" name="Sources" sheetId="7" r:id="R83a05dd5692a4349"/>
    <x:sheet xmlns:r="http://schemas.openxmlformats.org/officeDocument/2006/relationships" name="Legacy Baseline" sheetId="8" r:id="R1859ea47612749c7"/>
    <x:sheet xmlns:r="http://schemas.openxmlformats.org/officeDocument/2006/relationships" name="Work Block Log" sheetId="9" r:id="Rccc280faed0c41a4"/>
    <x:sheet xmlns:r="http://schemas.openxmlformats.org/officeDocument/2006/relationships" name="Decision Register" sheetId="10" r:id="R703d56aaa2d24ba8"/>
    <x:sheet xmlns:r="http://schemas.openxmlformats.org/officeDocument/2006/relationships" name="Risks &amp; Issues" sheetId="11" r:id="Rfc41fd609e064296"/>
    <x:sheet xmlns:r="http://schemas.openxmlformats.org/officeDocument/2006/relationships" name="Evidence Register" sheetId="12" r:id="Rd7c6fc4b318545cb"/>
    <x:sheet xmlns:r="http://schemas.openxmlformats.org/officeDocument/2006/relationships" name="Expansion Backlog" sheetId="13" r:id="R3860a8ef46824aa0"/>
    <x:sheet xmlns:r="http://schemas.openxmlformats.org/officeDocument/2006/relationships" name="AI Context" sheetId="14" r:id="R4ed791f3727a4d6c"/>
    <x:sheet xmlns:r="http://schemas.openxmlformats.org/officeDocument/2006/relationships" name="MVP Dashboard" sheetId="15" r:id="R12d91ca7cad84d24"/>
    <x:sheet xmlns:r="http://schemas.openxmlformats.org/officeDocument/2006/relationships" name="Product Vision" sheetId="16" r:id="R9f7c3cbb5e1a45e5"/>
    <x:sheet xmlns:r="http://schemas.openxmlformats.org/officeDocument/2006/relationships" name="Pilot Gantt" sheetId="17" r:id="R9095ff8833ef47b5"/>
    <x:sheet xmlns:r="http://schemas.openxmlformats.org/officeDocument/2006/relationships" name="Pilot Dashboard" sheetId="18" r:id="R5cdda55a19524d3e"/>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<x:sst xmlns:x="http://schemas.openxmlformats.org/spreadsheetml/2006/main">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</x:sst>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cc228e8a20e414e" /><Relationship Type="http://schemas.openxmlformats.org/officeDocument/2006/relationships/theme" Target="/xl/theme/theme1.xml" Id="R4f67dede82424c88" /><Relationship Type="http://schemas.openxmlformats.org/officeDocument/2006/relationships/sharedStrings" Target="/xl/sharedStrings.xml" Id="Re451e18a71ac4159" /><Relationship Type="http://schemas.openxmlformats.org/officeDocument/2006/relationships/worksheet" Target="/xl/worksheets/sheet1.xml" Id="Rc2aa0dbe9b88421f" /><Relationship Type="http://schemas.openxmlformats.org/officeDocument/2006/relationships/worksheet" Target="/xl/worksheets/sheet2.xml" Id="R1e8010d33142466a" /><Relationship Type="http://schemas.openxmlformats.org/officeDocument/2006/relationships/worksheet" Target="/xl/worksheets/sheet3.xml" Id="Rab0320bbf1e54c28" /><Relationship Type="http://schemas.openxmlformats.org/officeDocument/2006/relationships/worksheet" Target="/xl/worksheets/sheet4.xml" Id="Re63f3fa2ae664ec9" /><Relationship Type="http://schemas.openxmlformats.org/officeDocument/2006/relationships/worksheet" Target="/xl/worksheets/sheet5.xml" Id="R4118d4513a034973" /><Relationship Type="http://schemas.openxmlformats.org/officeDocument/2006/relationships/worksheet" Target="/xl/worksheets/sheet6.xml" Id="R435756624b384d02" /><Relationship Type="http://schemas.openxmlformats.org/officeDocument/2006/relationships/worksheet" Target="/xl/worksheets/sheet7.xml" Id="R83a05dd5692a4349" /><Relationship Type="http://schemas.openxmlformats.org/officeDocument/2006/relationships/worksheet" Target="/xl/worksheets/sheet8.xml" Id="R1859ea47612749c7" /><Relationship Type="http://schemas.openxmlformats.org/officeDocument/2006/relationships/worksheet" Target="/xl/worksheets/sheet9.xml" Id="Rccc280faed0c41a4" /><Relationship Type="http://schemas.openxmlformats.org/officeDocument/2006/relationships/worksheet" Target="/xl/worksheets/sheet10.xml" Id="R703d56aaa2d24ba8" /><Relationship Type="http://schemas.openxmlformats.org/officeDocument/2006/relationships/worksheet" Target="/xl/worksheets/sheet11.xml" Id="Rfc41fd609e064296" /><Relationship Type="http://schemas.openxmlformats.org/officeDocument/2006/relationships/worksheet" Target="/xl/worksheets/sheet12.xml" Id="Rd7c6fc4b318545cb" /><Relationship Type="http://schemas.openxmlformats.org/officeDocument/2006/relationships/worksheet" Target="/xl/worksheets/sheet13.xml" Id="R3860a8ef46824aa0" /><Relationship Type="http://schemas.openxmlformats.org/officeDocument/2006/relationships/worksheet" Target="/xl/worksheets/sheet14.xml" Id="R4ed791f3727a4d6c" /><Relationship Type="http://schemas.openxmlformats.org/officeDocument/2006/relationships/worksheet" Target="/xl/worksheets/sheet15.xml" Id="R12d91ca7cad84d24" /><Relationship Type="http://schemas.openxmlformats.org/officeDocument/2006/relationships/worksheet" Target="/xl/worksheets/sheet16.xml" Id="R9f7c3cbb5e1a45e5" /><Relationship Type="http://schemas.openxmlformats.org/officeDocument/2006/relationships/worksheet" Target="/xl/worksheets/sheet17.xml" Id="R9095ff8833ef47b5" /><Relationship Type="http://schemas.openxmlformats.org/officeDocument/2006/relationships/worksheet" Target="/xl/worksheets/sheet18.xml" Id="R5cdda55a19524d3e" /></Relationships>
</file>

<file path=xl/drawings/_rels/drawing1.xml.rels>&#65279;<?xml version="1.0" encoding="utf-8"?><Relationships xmlns="http://schemas.openxmlformats.org/package/2006/relationships"><Relationship Type="http://schemas.openxmlformats.org/officeDocument/2006/relationships/chart" Target="/xl/drawings/charts/chart1.xml" Id="R95b97b84df684481" /></Relationships>
</file>

<file path=xl/drawings/_rels/drawing2.xml.rels>&#65279;<?xml version="1.0" encoding="utf-8"?><Relationships xmlns="http://schemas.openxmlformats.org/package/2006/relationships"><Relationship Type="http://schemas.openxmlformats.org/officeDocument/2006/relationships/chart" Target="/xl/drawings/charts/chart2.xml" Id="R4104304b79bb471c" /></Relationships>
</file>

<file path=xl/drawings/_rels/drawing3.xml.rels>&#65279;<?xml version="1.0" encoding="utf-8"?><Relationships xmlns="http://schemas.openxmlformats.org/package/2006/relationships"><Relationship Type="http://schemas.openxmlformats.org/officeDocument/2006/relationships/chart" Target="/xl/drawings/charts/chart3.xml" Id="Rd5c3ceb4b34e4bea"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5b97b84df684481"/>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04304b79bb471c"/>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5c3ceb4b34e4bea"/>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464570f6616442c2" /></Relationships>
</file>

<file path=xl/worksheets/_rels/sheet5.xml.rels>&#65279;<?xml version="1.0" encoding="utf-8"?><Relationships xmlns="http://schemas.openxmlformats.org/package/2006/relationships"><Relationship Type="http://schemas.openxmlformats.org/officeDocument/2006/relationships/drawing" Target="/xl/drawings/drawing2.xml" Id="Reb86137093a44357" /></Relationships>
</file>

<file path=xl/worksheets/_rels/sheet15.xml.rels>&#65279;<?xml version="1.0" encoding="utf-8"?><Relationships xmlns="http://schemas.openxmlformats.org/package/2006/relationships"><Relationship Type="http://schemas.openxmlformats.org/officeDocument/2006/relationships/drawing" Target="/xl/drawings/drawing3.xml" Id="R2bee531e723a45fe"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5" customHeight="1">
      <x:c r="A4" s="545" t="str">
        <x:v>Control revision</x:v>
      </x:c>
      <x:c r="B4" s="755" t="str">
        <x:v>Program v3.0 - P2.3 dual public-package preparation ready for review 2026-07-20</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P2.3 NASA/JPL and OpenFlexure prepared-package review</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5" hidden="0" customHeight="1">
      <x:c r="A12" s="545" t="str">
        <x:v>Active WBS</x:v>
      </x:c>
      <x:c r="B12" s="761" t="str">
        <x:v>P2.3 - Dual public-package preparation review</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3" hidden="0" customHeight="1">
      <x:c r="A13" s="545" t="str">
        <x:v>Next build WBS</x:v>
      </x:c>
      <x:c r="B13" s="761" t="str">
        <x:v>Review preparation evidence; accept or revise D-098 controlled audit gate</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216" hidden="0" customHeight="1">
      <x:c r="A28" s="597" t="str">
        <x:v>D-097 is accepted and PR #49 merged both public-package mappings at exact main 53e19ad. Separate Git-ignored working packages and populated traceability logs are now prepared for NASA/JPL and OpenFlexure. Independent verification passed all three pinned source hashes, 177 byte-preserved source copies, 91 BOM rows, 91 required item relationships, full log coverage, valid empty controlled sources, exact package tree hashes, and audit-output absence. No audit ran. EV-099-EV-100 record the integration and preparation evidence. D-098 proposes accepting the exact prepared trees and authorizing one controlled audit per package with no package or evaluator changes in the same block.</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464570f6616442c2"/>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eb86137093a44357"/>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Proposed</x:v>
      </x:c>
      <x:c r="F101" s="431" t="str">
        <x:v>Dual controlled audit-execution gate</x:v>
      </x:c>
      <x:c r="G101" s="431" t="str">
        <x:v>docs/package_assurance/dual_public_package_preparation_review_2026-07-20.md; D-097; EV-099-EV-100; package trees 52aedc3e... and 71656da7...</x:v>
      </x:c>
      <x:c r="H101" s="431" t="str">
        <x:v>CEO accepts or revises both prepared trees together. If accepted, reverify both tree hashes, run audit-package once per package into separate external run roots, preserve all four outputs, compare expected and actual states/findings, and stop on unexpected behavior. Do not change sources, mappings, schemas, authority rules, checks, protected assets, or deferred capabilities in the run block.</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Ready for CEO review</x:v>
      </x:c>
      <x:c r="I103" s="431" t="str">
        <x:v>Independent verification passed three pinned source hashes, 177 byte-preserved source artifacts, 91 BOM rows and relationships, 1,764 mapping-log records with complete per-field coverage, manifest/source loading, expected missing authority, package-tree hashes, and audit-output absence. NASA/JPL tree: 52aedc3eaf6753305dbf29d01366f324dd959fe57e14ace6295e62f3801fd8ce. OpenFlexure tree: 71656da77b469ec3f688b0d936201fbd7be5218edda5a99fc59edcce4a87b29b. No audit ran.</x:v>
      </x:c>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3"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public packages prepared and independently verified; CEO review required</x:v>
      </x:c>
    </x:row>
    <x:row r="7" ht="121.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Seven checks run end to end. Both real-world preparations preserve their known source and authority gaps without changing evaluator behavior.</x:v>
      </x:c>
      <x:c r="E7" s="765" t="str">
        <x:v>Product interpretation</x:v>
      </x:c>
      <x:c r="F7" s="431" t="str">
        <x:v>Successful kernel; not yet a complete economically useful workflow.</x:v>
      </x:c>
      <x:c r="G7" s="765" t="str">
        <x:v>Response</x:v>
      </x:c>
      <x:c r="H7" s="431" t="str">
        <x:v>Review the preparation report and proposed D-098 before either audit runs.</x:v>
      </x:c>
    </x:row>
    <x:row r="8" ht="126" hidden="0" customHeight="1">
      <x:c r="A8" s="765" t="str">
        <x:v>Immediate next action</x:v>
      </x:c>
      <x:c r="B8" s="431" t="str">
        <x:v>Accept or revise the exact prepared package trees and controlled dual-audit gate D-098.</x:v>
      </x:c>
      <x:c r="C8" s="765" t="str">
        <x:v>Selected vertical</x:v>
      </x:c>
      <x:c r="D8" s="431" t="str">
        <x:v>Preparation review -&gt; controlled audit of both packages -&gt; actual-versus-expected review -&gt; next gate.</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252" hidden="0" customHeight="1">
      <x:c r="A41" s="604" t="str">
        <x:v>Immediate implication</x:v>
      </x:c>
      <x:c r="B41" s="605"/>
      <x:c r="C41" s="606" t="str">
        <x:v>D-097 was accepted and PR #49 integrated both bounded source-to-audit mappings at exact main 53e19ad. The current branch prepared separate Git-ignored NASA/JPL and OpenFlexure working packages with populated append-only transformation logs. NASA/JPL contains 58 BOM rows, 126 preserved source artifacts, 58 required item relationships, and 1,144 log records. OpenFlexure contains 33 BOM rows, 51 source artifacts, 33 relationships, and 620 log records; its official file named .csv is tab-delimited and has repeated supplier headings. A separate verifier confirmed pinned source hashes, every source-copy hash, manifest boundaries, source loading, all BOM fields, relationships, log coverage, explicit missing authority, package-tree hashes, and audit-output absence. Both packages are expected to retain missing-authoritative-information holds. Proposed D-098 authorizes two controlled audit runs only after review; check 8, held-out semantics, PDF/CAD extraction,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2bee531e723a45fe"/>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351"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0.74</x:v>
      </x:c>
      <x:c r="M13" s="662" t="n">
        <x:f>SUMIF('Work Block Log'!$E$5:$E$200,A13,'Work Block Log'!$F$5:$F$200)</x:f>
        <x:v>0</x:v>
      </x:c>
      <x:c r="N13" s="662" t="n">
        <x:f>MAX(F13*(1-L13),0)</x:f>
        <x:v>1.04</x:v>
      </x:c>
      <x:c r="O13" s="662" t="n">
        <x:f>M13-F13</x:f>
        <x:v>-4</x:v>
      </x:c>
      <x:c r="P13" s="431" t="str">
        <x:v>checks 6-7 integrated; PR #49 exact main 53e19ad; D-085-D-098; EV-082-EV-100; IMP-016; two prepared Git-ignored public packages; 91 BOM rows; 177 source copies; 91 relationships; 1,764 log records; independent no-audit verification passed</x:v>
      </x:c>
      <x:c r="Q13" s="431" t="str">
        <x:v>CEO reviews dual_public_package_preparation_review_2026-07-20.md and accepts or revises proposed D-098.</x:v>
      </x:c>
      <x:c r="R13" s="431" t="str">
        <x:v>Both preparations predict missing-authority holds. No audit has run. D-098 would authorize execution only against the exact package tree hashes, with outputs preserved outside each package and no source, mapping, schema, authority, evaluator, or expected-state change in the run block.</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0.7165217391304348</x:v>
      </x:c>
      <x:c r="M24" s="683" t="n">
        <x:f>SUM(M6:M22)</x:f>
        <x:v>0</x:v>
      </x:c>
      <x:c r="N24" s="683" t="n">
        <x:f>SUM(N6:N22)</x:f>
        <x:v>13.04</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Public Package Preparation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Dual public-package preparation review</x:v>
      </x:c>
      <x:c r="H4" s="697"/>
    </x:row>
    <x:row r="5" ht="72" customHeight="1">
      <x:c r="A5" s="688" t="str">
        <x:v>Schedule Baseline</x:v>
      </x:c>
      <x:c r="B5" s="693" t="str">
        <x:v>Legacy only; not controlling</x:v>
      </x:c>
      <x:c r="C5" s="691"/>
      <x:c r="D5" s="691"/>
      <x:c r="F5" s="696" t="str">
        <x:v>Objective</x:v>
      </x:c>
      <x:c r="G5" s="697" t="str">
        <x:v>Review the exact prepared trees and populated traceability logs.</x:v>
      </x:c>
      <x:c r="H5" s="697"/>
    </x:row>
    <x:row r="6" ht="63" customHeight="1">
      <x:c r="A6" s="688" t="str">
        <x:v>Time Tracking</x:v>
      </x:c>
      <x:c r="B6" s="693" t="str">
        <x:v>Waived prospectively</x:v>
      </x:c>
      <x:c r="C6" s="691"/>
      <x:c r="D6" s="691"/>
      <x:c r="F6" s="696" t="str">
        <x:v>Gate Status</x:v>
      </x:c>
      <x:c r="G6" s="697" t="str">
        <x:v>Both packages prepared and independently verified; audit execution remains blocked.</x:v>
      </x:c>
      <x:c r="H6" s="697"/>
    </x:row>
    <x:row r="7" ht="81" customHeight="1">
      <x:c r="A7" s="688" t="str">
        <x:v>Current Gate</x:v>
      </x:c>
      <x:c r="B7" s="694" t="str">
        <x:v>P2.3 NASA/JPL and OpenFlexure prepared-package review</x:v>
      </x:c>
      <x:c r="C7" s="691"/>
      <x:c r="D7" s="691"/>
      <x:c r="F7" s="696" t="str">
        <x:v>Definition of Done</x:v>
      </x:c>
      <x:c r="G7" s="697" t="str">
        <x:v>CEO accepts or revises the exact preparations and controlled-audit gate D-098.</x:v>
      </x:c>
      <x:c r="H7" s="697"/>
    </x:row>
    <x:row r="8" ht="63" customHeight="1">
      <x:c r="A8" s="688" t="str">
        <x:v>Released Kernel</x:v>
      </x:c>
      <x:c r="B8" s="691" t="str">
        <x:v>v0.2.0 / commit 45336a2</x:v>
      </x:c>
      <x:c r="C8" s="691"/>
      <x:c r="D8" s="691"/>
      <x:c r="F8" s="696" t="str">
        <x:v>Immediate Next Action</x:v>
      </x:c>
      <x:c r="G8" s="697" t="str">
        <x:v>Review dual_public_package_preparation_review_2026-07-20.md.</x:v>
      </x:c>
      <x:c r="H8" s="697"/>
    </x:row>
    <x:row r="9" ht="72" customHeight="1">
      <x:c r="A9" s="688" t="str">
        <x:v>Release Target</x:v>
      </x:c>
      <x:c r="B9" s="691" t="str">
        <x:v>v0.3.0</x:v>
      </x:c>
      <x:c r="C9" s="691"/>
      <x:c r="D9" s="691"/>
      <x:c r="F9" s="696" t="str">
        <x:v>Primary Risk</x:v>
      </x:c>
      <x:c r="G9" s="697" t="str">
        <x:v>Primary risk is changing package or evaluator behavior while trying to confirm an expected result.</x:v>
      </x:c>
      <x:c r="H9" s="697"/>
    </x:row>
    <x:row r="10" ht="81" customHeight="1">
      <x:c r="A10" s="688" t="str">
        <x:v>Baseline Test Count</x:v>
      </x:c>
      <x:c r="B10" s="691" t="n">
        <x:v>121</x:v>
      </x:c>
      <x:c r="C10" s="691"/>
      <x:c r="D10" s="691"/>
      <x:c r="F10" s="696" t="str">
        <x:v>Deferred</x:v>
      </x:c>
      <x:c r="G10" s="697" t="str">
        <x:v>Checks 8-11, held-out semantics, and deferred capabilities remain blocked.</x:v>
      </x:c>
      <x:c r="H10" s="697"/>
    </x:row>
    <x:row r="11" ht="63" customHeight="1">
      <x:c r="A11" s="688" t="str">
        <x:v>Fixture Package Families</x:v>
      </x:c>
      <x:c r="B11" s="691" t="n">
        <x:v>2</x:v>
      </x:c>
      <x:c r="C11" s="691"/>
      <x:c r="D11" s="691"/>
      <x:c r="F11" s="696" t="str">
        <x:v>Data Boundary</x:v>
      </x:c>
      <x:c r="G11" s="697" t="str">
        <x:v>Raw sources and prepared packages stay Git-ignored; tracked controls retain hashes and findings.</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Preparation review required</x:v>
      </x:c>
      <x:c r="D17" s="700" t="n">
        <x:v>0.74</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Ready for CEO Review</x:v>
      </x:c>
      <x:c r="F40" s="431" t="str">
        <x:v>codex/p2.3-dual-public-package-preparation</x:v>
      </x:c>
      <x:c r="G40" s="431" t="str">
        <x:v>D-097-D-098; EV-099-EV-100; NASA/JPL 58 rows/126 sources/58 relationships/tree 52aedc3e...; OpenFlexure 33 rows/51 sources/33 relationships/tree 71656da7...; 1,764 log records; independent verification passed; no audit</x:v>
      </x:c>
      <x:c r="H40"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