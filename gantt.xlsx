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2c63893ec884762" /></Relationships>
</file>

<file path=xl/workbook.xml><?xml version="1.0" encoding="utf-8"?>
<x:workbook xmlns:x="http://schemas.openxmlformats.org/spreadsheetml/2006/main">
  <x:sheets>
    <x:sheet xmlns:r="http://schemas.openxmlformats.org/officeDocument/2006/relationships" name="Start Here" sheetId="1" r:id="Re666e9ea7e2b4111"/>
    <x:sheet xmlns:r="http://schemas.openxmlformats.org/officeDocument/2006/relationships" name="Executive Gantt" sheetId="2" r:id="R3f89e2d42611452b"/>
    <x:sheet xmlns:r="http://schemas.openxmlformats.org/officeDocument/2006/relationships" name="Detailed Gantt" sheetId="3" r:id="Refb8b127ed1c48df"/>
    <x:sheet xmlns:r="http://schemas.openxmlformats.org/officeDocument/2006/relationships" name="Weekly Control" sheetId="4" r:id="R3695206f562a4275"/>
    <x:sheet xmlns:r="http://schemas.openxmlformats.org/officeDocument/2006/relationships" name="Phase Summary" sheetId="5" r:id="R8efa6b32e7704b20"/>
    <x:sheet xmlns:r="http://schemas.openxmlformats.org/officeDocument/2006/relationships" name="Assumptions &amp; Gates" sheetId="6" r:id="R980181354dc940d3"/>
    <x:sheet xmlns:r="http://schemas.openxmlformats.org/officeDocument/2006/relationships" name="Sources" sheetId="7" r:id="R08e1271f2d1a4ff7"/>
    <x:sheet xmlns:r="http://schemas.openxmlformats.org/officeDocument/2006/relationships" name="Legacy Baseline" sheetId="8" r:id="Rb67ab7e2574a4bbf"/>
    <x:sheet xmlns:r="http://schemas.openxmlformats.org/officeDocument/2006/relationships" name="Work Block Log" sheetId="9" r:id="Ree517789023b42ad"/>
    <x:sheet xmlns:r="http://schemas.openxmlformats.org/officeDocument/2006/relationships" name="Decision Register" sheetId="10" r:id="Rb4d03370a412470e"/>
    <x:sheet xmlns:r="http://schemas.openxmlformats.org/officeDocument/2006/relationships" name="Risks &amp; Issues" sheetId="11" r:id="R2944aaf814944419"/>
    <x:sheet xmlns:r="http://schemas.openxmlformats.org/officeDocument/2006/relationships" name="Evidence Register" sheetId="12" r:id="R4d23acbe20a94b56"/>
    <x:sheet xmlns:r="http://schemas.openxmlformats.org/officeDocument/2006/relationships" name="Expansion Backlog" sheetId="13" r:id="R84b62d8dee3c4c0e"/>
    <x:sheet xmlns:r="http://schemas.openxmlformats.org/officeDocument/2006/relationships" name="AI Context" sheetId="14" r:id="R15373211367248dc"/>
    <x:sheet xmlns:r="http://schemas.openxmlformats.org/officeDocument/2006/relationships" name="MVP Dashboard" sheetId="15" r:id="R77aa4fd8c7984d2b"/>
    <x:sheet xmlns:r="http://schemas.openxmlformats.org/officeDocument/2006/relationships" name="Product Vision" sheetId="16" r:id="Rc5f5e10904dd4fb4"/>
    <x:sheet xmlns:r="http://schemas.openxmlformats.org/officeDocument/2006/relationships" name="Pilot Gantt" sheetId="17" r:id="Rdb481884a4e84f86"/>
    <x:sheet xmlns:r="http://schemas.openxmlformats.org/officeDocument/2006/relationships" name="Pilot Dashboard" sheetId="18" r:id="R4274fc974566451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<x:sst xmlns:x="http://schemas.openxmlformats.org/spreadsheetml/2006/main">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</x:sst>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6f20f91d47e54e90" /><Relationship Type="http://schemas.openxmlformats.org/officeDocument/2006/relationships/theme" Target="/xl/theme/theme1.xml" Id="R167d4383dee84fd1" /><Relationship Type="http://schemas.openxmlformats.org/officeDocument/2006/relationships/sharedStrings" Target="/xl/sharedStrings.xml" Id="R1b1e8334c6be4dc2" /><Relationship Type="http://schemas.openxmlformats.org/officeDocument/2006/relationships/worksheet" Target="/xl/worksheets/sheet1.xml" Id="Re666e9ea7e2b4111" /><Relationship Type="http://schemas.openxmlformats.org/officeDocument/2006/relationships/worksheet" Target="/xl/worksheets/sheet2.xml" Id="R3f89e2d42611452b" /><Relationship Type="http://schemas.openxmlformats.org/officeDocument/2006/relationships/worksheet" Target="/xl/worksheets/sheet3.xml" Id="Refb8b127ed1c48df" /><Relationship Type="http://schemas.openxmlformats.org/officeDocument/2006/relationships/worksheet" Target="/xl/worksheets/sheet4.xml" Id="R3695206f562a4275" /><Relationship Type="http://schemas.openxmlformats.org/officeDocument/2006/relationships/worksheet" Target="/xl/worksheets/sheet5.xml" Id="R8efa6b32e7704b20" /><Relationship Type="http://schemas.openxmlformats.org/officeDocument/2006/relationships/worksheet" Target="/xl/worksheets/sheet6.xml" Id="R980181354dc940d3" /><Relationship Type="http://schemas.openxmlformats.org/officeDocument/2006/relationships/worksheet" Target="/xl/worksheets/sheet7.xml" Id="R08e1271f2d1a4ff7" /><Relationship Type="http://schemas.openxmlformats.org/officeDocument/2006/relationships/worksheet" Target="/xl/worksheets/sheet8.xml" Id="Rb67ab7e2574a4bbf" /><Relationship Type="http://schemas.openxmlformats.org/officeDocument/2006/relationships/worksheet" Target="/xl/worksheets/sheet9.xml" Id="Ree517789023b42ad" /><Relationship Type="http://schemas.openxmlformats.org/officeDocument/2006/relationships/worksheet" Target="/xl/worksheets/sheet10.xml" Id="Rb4d03370a412470e" /><Relationship Type="http://schemas.openxmlformats.org/officeDocument/2006/relationships/worksheet" Target="/xl/worksheets/sheet11.xml" Id="R2944aaf814944419" /><Relationship Type="http://schemas.openxmlformats.org/officeDocument/2006/relationships/worksheet" Target="/xl/worksheets/sheet12.xml" Id="R4d23acbe20a94b56" /><Relationship Type="http://schemas.openxmlformats.org/officeDocument/2006/relationships/worksheet" Target="/xl/worksheets/sheet13.xml" Id="R84b62d8dee3c4c0e" /><Relationship Type="http://schemas.openxmlformats.org/officeDocument/2006/relationships/worksheet" Target="/xl/worksheets/sheet14.xml" Id="R15373211367248dc" /><Relationship Type="http://schemas.openxmlformats.org/officeDocument/2006/relationships/worksheet" Target="/xl/worksheets/sheet15.xml" Id="R77aa4fd8c7984d2b" /><Relationship Type="http://schemas.openxmlformats.org/officeDocument/2006/relationships/worksheet" Target="/xl/worksheets/sheet16.xml" Id="Rc5f5e10904dd4fb4" /><Relationship Type="http://schemas.openxmlformats.org/officeDocument/2006/relationships/worksheet" Target="/xl/worksheets/sheet17.xml" Id="Rdb481884a4e84f86" /><Relationship Type="http://schemas.openxmlformats.org/officeDocument/2006/relationships/worksheet" Target="/xl/worksheets/sheet18.xml" Id="R4274fc9745664512" /></Relationships>
</file>

<file path=xl/drawings/_rels/drawing1.xml.rels>&#65279;<?xml version="1.0" encoding="utf-8"?><Relationships xmlns="http://schemas.openxmlformats.org/package/2006/relationships"><Relationship Type="http://schemas.openxmlformats.org/officeDocument/2006/relationships/chart" Target="/xl/drawings/charts/chart1.xml" Id="Rbf4576629baf45ac" /></Relationships>
</file>

<file path=xl/drawings/_rels/drawing2.xml.rels>&#65279;<?xml version="1.0" encoding="utf-8"?><Relationships xmlns="http://schemas.openxmlformats.org/package/2006/relationships"><Relationship Type="http://schemas.openxmlformats.org/officeDocument/2006/relationships/chart" Target="/xl/drawings/charts/chart2.xml" Id="Ra8436388329e4f12" /></Relationships>
</file>

<file path=xl/drawings/_rels/drawing3.xml.rels>&#65279;<?xml version="1.0" encoding="utf-8"?><Relationships xmlns="http://schemas.openxmlformats.org/package/2006/relationships"><Relationship Type="http://schemas.openxmlformats.org/officeDocument/2006/relationships/chart" Target="/xl/drawings/charts/chart3.xml" Id="R113df1957bb54427"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bf4576629baf45ac"/>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a8436388329e4f12"/>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113df1957bb54427"/>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ef86b3e44a5149ea" /></Relationships>
</file>

<file path=xl/worksheets/_rels/sheet5.xml.rels>&#65279;<?xml version="1.0" encoding="utf-8"?><Relationships xmlns="http://schemas.openxmlformats.org/package/2006/relationships"><Relationship Type="http://schemas.openxmlformats.org/officeDocument/2006/relationships/drawing" Target="/xl/drawings/drawing2.xml" Id="R1f315cd38d084565" /></Relationships>
</file>

<file path=xl/worksheets/_rels/sheet15.xml.rels>&#65279;<?xml version="1.0" encoding="utf-8"?><Relationships xmlns="http://schemas.openxmlformats.org/package/2006/relationships"><Relationship Type="http://schemas.openxmlformats.org/officeDocument/2006/relationships/drawing" Target="/xl/drawings/drawing3.xml" Id="Ra0892046219e4b63"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P4.2 D-113 external freeze owner review 2026-07-22</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D-112 integrated; external family and runner independently frozen; D-113 pending</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P4.2 - external held-out freeze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D-113; semantic execution remains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file-reference, and supported revision relationship checks with evidence; explicitly deferred claims remain excluded.</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170" hidden="0" customHeight="1">
      <x:c r="A28" s="597" t="str">
        <x:v>PR #64 integrated D-112 at exact main 0264db7. External family revision FR-D112-HOIST-002 preserves the original producer bytes and passed 68/68 independent structural, oracle-contract, hash, freeze, leakage, and matrix controls; complete-family hash is 141f3d1b84691d9d87852e46754d139e5bd5d77b487b1b75c49964e969089190. A physically separate producer capsule prevents the stager from enumerating protected family paths. Failed family and runner freezes remain preserved and unexecuted. Final oracle-blind runner revision 6 contains 186/186 read-only files, zero runtime artifacts, a bounded child environment, one-shot no-retry controls, and passed 53/53 independent static controls; complete hash is 54d01f7b9ef98893e9d1b05565829a7ac3d07eb58c8caf274465d944059598fb. Safe repository verification passes focused 40, full 313/1 at 88.57% coverage, validation 5/5, Ruff, baseline 9/9, and demo 2/2. Semantic execution count remains zero. D-113 proposes exactly one invocation per eight opaque packages, raw evidence freeze, and separate protected comparison. No run, retry, comparison, import, tuning, evaluator change, P4.3 work, or release claim is authorized before owner acceptance. EV-153-EV-159, I-008, and IMP-026-IMP-027 preserve the evidence and lessons.</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ef86b3e44a5149ea"/>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1f315cd38d084565"/>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Accepted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Accepted by the CEO on 2026-07-21. PR #58 passed GitHub CI and merged check 10 at exact main 761ac76. The accepted authority authorized check 11 only under exact AUTH-SPEC-003.</x:v>
      </x:c>
    </x:row>
    <x:row r="110" ht="702" customHeight="1">
      <x:c r="A110" s="431" t="str">
        <x:v>D-107</x:v>
      </x:c>
      <x:c r="B110" s="431" t="n">
        <x:v>46224</x:v>
      </x:c>
      <x:c r="C110" s="431" t="str">
        <x:v>Accept check 11, specification_revision_history, as matching D-106 and authorize only a P2.3 authority-gap disposition and completion-definition block next.</x:v>
      </x:c>
      <x:c r="D110" s="431" t="str">
        <x:v>Check 11 requires every release-required specification revision to match exactly one current revision-history record under exact AUTH-SPEC-003. It emits stable automatic-fail holds for missing, multiple, or mismatched history and reaches all four outputs without changing accepted contracts or protected assets. All six checks supportable by current P2.3 authority are now implemented.</x:v>
      </x:c>
      <x:c r="E110" s="431" t="str">
        <x:v>Accepted</x:v>
      </x:c>
      <x:c r="F110" s="431" t="str">
        <x:v>Check-11 acceptance and P2.3 completion-definition gate</x:v>
      </x:c>
      <x:c r="G110" s="431" t="str">
        <x:v>docs/package_assurance/specification_revision_history_implementation_review_2026-07-21.md; EV-133-EV-136; clean RUN-20260721T164400783739Z-e5fdce3c; fault RUN-20260721T164405746563Z-8ccbbbf1; focused 99; full 314/1; coverage 88.48%; validation 5/5; Ruff; baseline 9/9; demo 2/2</x:v>
      </x:c>
      <x:c r="H110" s="431" t="str">
        <x:v>Accepted by the CEO on 2026-07-21. PR #59 passed both GitHub CI runs and merged check 11 at exact main 69c0d1b. The owner directed the six unsupported claims to be deferred, the v0.3.0 claim to be narrowed to the eleven proven checks, and P4 startup to begin.</x:v>
      </x:c>
    </x:row>
    <x:row r="111" ht="666" customHeight="1">
      <x:c r="A111" s="431" t="str">
        <x:v>D-108</x:v>
      </x:c>
      <x:c r="B111" s="431" t="n">
        <x:v>46224</x:v>
      </x:c>
      <x:c r="C111" s="431" t="str">
        <x:v>Complete P2.3 for the exact eight-gate and eleven-check scope. Explicitly defer the six unsupported authority/source claims, exclude them from v0.3.0 benchmark and release claims, and authorize P4.1 development benchmark regression only.</x:v>
      </x:c>
      <x:c r="D111" s="431" t="str">
        <x:v>All P2.3 checks supported by accepted sources and authority rules are integrated and independently fault-proved. Inventing authority would reduce trust. A narrow claim preserves evidence quality and permits benchmark work without implying unsupported engineering assurance.</x:v>
      </x:c>
      <x:c r="E111" s="431" t="str">
        <x:v>Accepted</x:v>
      </x:c>
      <x:c r="F111" s="431" t="str">
        <x:v>P2.3 completion, claim boundary, and P4.1 entry</x:v>
      </x:c>
      <x:c r="G111" s="431" t="str">
        <x:v>User instruction 2026-07-21; PR #59; exact main 69c0d1b; docs/package_assurance/p2_3_completion_and_claim_boundary_v0.3.0.md; D-107; EV-137-EV-138</x:v>
      </x:c>
      <x:c r="H111" s="431" t="str">
        <x:v>Accepted by the CEO on 2026-07-21. P4.1 may use the accepted development family and temporary/generated fault copies to freeze benchmark behavior. Protected held-out semantic execution remains a separate P4.2 gate after P4.1 acceptance.</x:v>
      </x:c>
    </x:row>
    <x:row r="112" ht="738" customHeight="1">
      <x:c r="A112" s="431" t="str">
        <x:v>D-109</x:v>
      </x:c>
      <x:c r="B112" s="431" t="n">
        <x:v>46224</x:v>
      </x:c>
      <x:c r="C112" s="431" t="str">
        <x:v>Accept P4.1-DEV-1 with genuine full-package development scenarios for the four reachable states, exhaustive router and CLI-exit regression for all six states, and explicit deferral of end-to-end engineering_review_required and evaluator_uncertainty semantic triggers.</x:v>
      </x:c>
      <x:c r="D112" s="431" t="str">
        <x:v>The accepted eight gates and eleven checks do not emit those two states. Manufacturing them through mocked evaluation or edited output would be false evidence; reopening P2 now would expand the accepted pilot after D-108. The bounded variance keeps v0.3.0 useful and honest while preserving future state capability.</x:v>
      </x:c>
      <x:c r="E112" s="431" t="str">
        <x:v>Accepted</x:v>
      </x:c>
      <x:c r="F112" s="431" t="str">
        <x:v>P4.1 acceptance-plan variance and freeze gate</x:v>
      </x:c>
      <x:c r="G112" s="431" t="str">
        <x:v>docs/package_assurance/p4_1_development_benchmark_definition_and_review_v0.3.0.md; P4.1-DEV-1; EV-139-EV-142; IMP-020; 22/22 scenarios; 44/44 publications; 8/8 gates; 11/11 checks; full 319/1; coverage 88.57%; hosted Linux CI 2/2</x:v>
      </x:c>
      <x:c r="H112" s="431" t="str">
        <x:v>Accepted by the project owner on 2026-07-21. Reopen P0/P2 only if six end-to-end semantic paths become mandatory. Keep the two contract-only states excluded from detection claims and separately authorize P4.2 after PR #61 integration.</x:v>
      </x:c>
    </x:row>
    <x:row r="113" ht="720" customHeight="1">
      <x:c r="A113" s="431" t="str">
        <x:v>D-110</x:v>
      </x:c>
      <x:c r="B113" s="431" t="n">
        <x:v>46224</x:v>
      </x:c>
      <x:c r="C113" s="431" t="str">
        <x:v>Classify FAM-HO-INSTRUMENT-AIR-001 as contaminated for release held-out claims after pre-run oracle metadata exposure; preserve it unchanged and unexecuted; require a materially distinct replacement authored and frozen in an isolated custodian context before P4.2 execution.</x:v>
      </x:c>
      <x:c r="D113" s="431" t="str">
        <x:v>Accepted Section 15 makes exposure of expected conditions or answer keys to a rule implementer after freeze disqualifying even when no run or tuning occurs. Preserving the event and replacing the family protects the release claim and prevents a policy waiver from becoming hidden benchmark leakage.</x:v>
      </x:c>
      <x:c r="E113" s="431" t="str">
        <x:v>Accepted</x:v>
      </x:c>
      <x:c r="F113" s="431" t="str">
        <x:v>P4.2 held-out recovery and replacement freeze gate</x:v>
      </x:c>
      <x:c r="G113" s="431" t="str">
        <x:v>User instruction 2026-07-21; docs/package_assurance/p4_2_held_out_contamination_and_replacement_gate_v0.3.0.md; PR #62; PR #61 exact main 5a4d57e; I-006; EV-143-EV-145; IMP-023</x:v>
      </x:c>
      <x:c r="H113" s="431" t="str">
        <x:v>A separate owner decision is required after the replacement freeze package is reviewed and before any semantic execution. Any protected-value exposure, evaluator change, or pre-freeze run invalidates the replacement claim.</x:v>
      </x:c>
    </x:row>
    <x:row r="114" ht="720" customHeight="1">
      <x:c r="A114" s="431" t="str">
        <x:v>D-111</x:v>
      </x:c>
      <x:c r="B114" s="431" t="n">
        <x:v>46224</x:v>
      </x:c>
      <x:c r="C114" s="431" t="str">
        <x:v>Accept frozen replacement FAM-HO-CONVEYOR-DRIVE-042 and authorize exactly one controlled first semantic run of each opaque scenario against frozen evaluator behavior 4cf9fe8, with immutable raw evidence preserved before protected comparison.</x:v>
      </x:c>
      <x:c r="D114" s="431" t="str">
        <x:v>The replacement was authored from approved public inputs, passed 326 custodian checks and 14/14 independent controls, imported byte-exact at 210/210 files, and has zero semantic executions. One-way execution now provides the first valid unseen relationship evidence without creating tuning or rerun authority.</x:v>
      </x:c>
      <x:c r="E114" s="431" t="str">
        <x:v>Accepted</x:v>
      </x:c>
      <x:c r="F114" s="431" t="str">
        <x:v>P4.2 replacement freeze and first-run gate</x:v>
      </x:c>
      <x:c r="G114" s="431" t="str">
        <x:v>docs/package_assurance/p4_2_replacement_freeze_review_v0.3.0.md; p4_2_replacement_independent_verification_v0.3.0.json; p4_2_replacement_import_verification_v0.3.0.json; D-110; EV-146-EV-148; I-006; IMP-023-IMP-024</x:v>
      </x:c>
      <x:c r="H114" s="431" t="str">
        <x:v>Accepted by the project owner on 2026-07-21 and integrated through PR #63 at exact main 4d2c0f5. Git metadata exposure occurred during integration before any scenario invocation. D-111 execution authority stopped unused; proposed D-112 controls recovery.</x:v>
      </x:c>
    </x:row>
    <x:row r="115" ht="765" customHeight="1">
      <x:c r="A115" s="431" t="str">
        <x:v>D-112</x:v>
      </x:c>
      <x:c r="B115" s="431" t="n">
        <x:v>46224</x:v>
      </x:c>
      <x:c r="C115" s="431" t="str">
        <x:v>Classify FAM-HO-CONVEYOR-DRIVE-042 as contaminated for release held-out claims after pre-run Git metadata exposure; preserve it unchanged and unexecuted; and authorize one materially distinct replacement that remains outside the ordinary repository until raw first-run evidence is frozen.</x:v>
      </x:c>
      <x:c r="D115" s="431" t="str">
        <x:v>Repository import created path, diff, checkout, tooling, and CI metadata channels before execution. External custody through authoring, oracle-blind execution, evidence freeze, and separate comparison removes the repository itself from the pre-run boundary and protects a credible unseen benchmark claim.</x:v>
      </x:c>
      <x:c r="E115" s="431" t="str">
        <x:v>Accepted</x:v>
      </x:c>
      <x:c r="F115" s="431" t="str">
        <x:v>P4.2 second contamination and external-custody gate</x:v>
      </x:c>
      <x:c r="G115" s="431" t="str">
        <x:v>User D-112 acceptance 2026-07-22; PR #64; PR #63 exact main 4d2c0f5; docs/package_assurance/p4_2_second_contamination_and_external_custody_gate_v0.3.0.md; D-110-D-111; EV-149-EV-152; I-006-I-007; IMP-023-IMP-025</x:v>
      </x:c>
      <x:c r="H115" s="431" t="str">
        <x:v>Accepted by the project owner on 2026-07-22. PR #64 integration and exact-main verification are prerequisites. Acceptance authorizes external authoring, independent structural/hash verification, oracle-blind staging, and a new freeze review only; it does not authorize semantic execution or repository family import.</x:v>
      </x:c>
    </x:row>
    <x:row r="116" ht="945" customHeight="1">
      <x:c r="A116" s="431" t="str">
        <x:v>D-113</x:v>
      </x:c>
      <x:c r="B116" s="431" t="n">
        <x:v>46225</x:v>
      </x:c>
      <x:c r="C116" s="431" t="str">
        <x:v>Accept external family revision FR-D112-HOIST-002 and runner revision D-112-runner-revision-6; authorize exactly one semantic invocation for each of the eight opaque packages against frozen evaluator behavior 4cf9fe8; then freeze all raw evidence and perform one separate protected comparison.</x:v>
      </x:c>
      <x:c r="D116" s="431" t="str">
        <x:v>Family revision 2 passed 68/68 independent controls and runner revision 6 passed 53/53 independent static controls with zero semantic runs. The decision converts a verified pre-execution freeze into one controlled first run without weakening the no-retry, no-tuning, external-custody, or separate-comparison boundaries.</x:v>
      </x:c>
      <x:c r="E116" s="431" t="str">
        <x:v>Proposed / Owner Review</x:v>
      </x:c>
      <x:c r="F116" s="431" t="str">
        <x:v>P4.2 external-custody first-run freeze</x:v>
      </x:c>
      <x:c r="G116" s="431" t="str">
        <x:v>docs/package_assurance/p4_2_external_custody_freeze_review_v0.3.0.md; docs/package_assurance/p4_2_external_custody_freeze_evidence_v0.3.0.json; PR #64 exact main 0264db7; D-112; EV-153-EV-159; I-007-I-008; IMP-023-IMP-027</x:v>
      </x:c>
      <x:c r="H116" s="431" t="str">
        <x:v>Acceptance authorizes one one-way execution and separate comparison only after integration and exact-hash verification. Any invocation or infrastructure failure consumes the scenario. No retry, reset, tuning, import, evaluator or fixture change, P4.3 work, or release claim is authorized.</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87" customHeight="1">
      <x:c r="A24" s="431" t="str">
        <x:v>R-017</x:v>
      </x:c>
      <x:c r="B24" s="431" t="str">
        <x:v>Risk</x:v>
      </x:c>
      <x:c r="C24" s="431" t="str">
        <x:v>P0.2 requires six end-to-end package states, while the accepted v0.3.0 evaluator has genuine semantic paths to four. Treating router-only coverage as package evidence would overstate benchmark completeness.</x:v>
      </x:c>
      <x:c r="D24" s="431" t="str">
        <x:v>High</x:v>
      </x:c>
      <x:c r="E24" s="431" t="str">
        <x:v>Medium</x:v>
      </x:c>
      <x:c r="F24" s="431" t="str">
        <x:v>Jason</x:v>
      </x:c>
      <x:c r="G24" s="431" t="str">
        <x:v>Use D-109 as a hard stop. Separate full-audit state coverage from contract-only router coverage in every report and claim. Reopen P0/P2 if six semantic paths remain mandatory.</x:v>
      </x:c>
      <x:c r="H24" s="431" t="str">
        <x:v>Mitigating</x:v>
      </x:c>
      <x:c r="I24" s="431" t="n">
        <x:v>46224</x:v>
      </x:c>
      <x:c r="J24" s="431" t="str">
        <x:v>D-109 accepted the bounded claim on 2026-07-21. P4.1-DEV-1 passes all implemented gate/check scenarios without manufacturing the two missing states; IMP-020 preserves the limitation for P4.2 and release language.</x:v>
      </x:c>
    </x:row>
    <x:row r="25" ht="450" customHeight="1">
      <x:c r="A25" s="431" t="str">
        <x:v>I-006</x:v>
      </x:c>
      <x:c r="B25" s="431" t="str">
        <x:v>Issue</x:v>
      </x:c>
      <x:c r="C25" s="431" t="str">
        <x:v>Pre-run held-out path enumeration and top-level freeze/family-review inspection exposed expected conditions and states to the implementation context, making the existing family ineligible for release held-out claims under accepted policy.</x:v>
      </x:c>
      <x:c r="D25" s="431" t="str">
        <x:v>N/A</x:v>
      </x:c>
      <x:c r="E25" s="431" t="str">
        <x:v>High</x:v>
      </x:c>
      <x:c r="F25" s="431" t="str">
        <x:v>Jason</x:v>
      </x:c>
      <x:c r="G25" s="431" t="str">
        <x:v>D-110 preserves the exposed family unchanged and unexecuted. Replacement FAM-HO-CONVEYOR-DRIVE-042 was authored and frozen in isolated custody, independently verified, and imported byte-exact. Keep implementer and CI access blocked until first-run evidence is preserved.</x:v>
      </x:c>
      <x:c r="H25" s="431" t="str">
        <x:v>Controlled / D-111 Accepted</x:v>
      </x:c>
      <x:c r="I25" s="431" t="n">
        <x:v>46224</x:v>
      </x:c>
      <x:c r="J25" s="431" t="str">
        <x:v>Replacement proof passes 326 custodian checks, 14/14 independent controls, and 210/210 byte-identical import. D-111 authorizes the first run only after PR #63 integration and exact-main staging; semantic execution count remains zero at acceptance.</x:v>
      </x:c>
    </x:row>
    <x:row r="26" ht="504" customHeight="1">
      <x:c r="A26" s="431" t="str">
        <x:v>I-007</x:v>
      </x:c>
      <x:c r="B26" s="431" t="str">
        <x:v>Issue</x:v>
      </x:c>
      <x:c r="C26" s="431" t="str">
        <x:v>PR #63 integration exposed recursive release-family paths and comparative per-file statistics before first semantic execution, creating a scenario-level metadata side channel.</x:v>
      </x:c>
      <x:c r="D26" s="431" t="str">
        <x:v>N/A</x:v>
      </x:c>
      <x:c r="E26" s="431" t="str">
        <x:v>High</x:v>
      </x:c>
      <x:c r="F26" s="431" t="str">
        <x:v>Jason</x:v>
      </x:c>
      <x:c r="G26" s="431" t="str">
        <x:v>Preserve the family unchanged and unexecuted; classify it as release-ineligible; require D-112; keep the next family outside the repository through first-run evidence freeze and protected comparison.</x:v>
      </x:c>
      <x:c r="H26" s="431" t="str">
        <x:v>Controlled / D-112 Accepted</x:v>
      </x:c>
      <x:c r="I26" s="431" t="n">
        <x:v>46225</x:v>
      </x:c>
      <x:c r="J26" s="431" t="str">
        <x:v>D-112 accepted the external-custody prevention on 2026-07-22. Both exposed families remain unchanged and unexecuted. PR #64 integration and a fresh independently verified external freeze remain open.</x:v>
      </x:c>
    </x:row>
    <x:row r="27" ht="675" customHeight="1">
      <x:c r="A27" s="431" t="str">
        <x:v>I-008</x:v>
      </x:c>
      <x:c r="B27" s="431" t="str">
        <x:v>Issue</x:v>
      </x:c>
      <x:c r="C27" s="431" t="str">
        <x:v>Instruction-only staging and runner self-checks allowed custody-control defects to survive until independent review: excluded-parent enumeration, noncanonical inventory order, external path text, writable controls, and full inherited-environment forwarding.</x:v>
      </x:c>
      <x:c r="D27" s="431" t="str">
        <x:v>N/A</x:v>
      </x:c>
      <x:c r="E27" s="431" t="str">
        <x:v>High</x:v>
      </x:c>
      <x:c r="F27" s="431" t="str">
        <x:v>Jason</x:v>
      </x:c>
      <x:c r="G27" s="431" t="str">
        <x:v>Use a physically separate producer capsule; preserve every failed runner revision; require independent static checks for hashes, path order, external-text absence, read-only coverage, one-shot behavior, bounded environment, zero artifacts, and pre/post integrity.</x:v>
      </x:c>
      <x:c r="H27" s="431" t="str">
        <x:v>Controlled / D-113 Ready</x:v>
      </x:c>
      <x:c r="I27" s="431" t="n">
        <x:v>46225</x:v>
      </x:c>
      <x:c r="J27" s="431" t="str">
        <x:v>No protected contents or semantic results were accessed. All failed revisions remain unchanged and unexecuted. Capsule passed 16/16; final runner revision 6 passed 53/53 with 186/186 read-only files and zero artifacts.</x:v>
      </x:c>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Accepted</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Accepted</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Accepted</x:v>
      </x:c>
      <x:c r="I135" s="431" t="str">
        <x:v>No accepted fixture, authority map, schema, golden, held-out asset, public package, historical result, v0.2 behavior, or acceptance criterion changed.</x:v>
      </x:c>
    </x:row>
    <x:row r="136" ht="522" customHeight="1">
      <x:c r="A136" s="431" t="str">
        <x:v>EV-133</x:v>
      </x:c>
      <x:c r="B136" s="431" t="n">
        <x:v>46224</x:v>
      </x:c>
      <x:c r="C136" s="431" t="str">
        <x:v>D-106 acceptance and check-10 integration</x:v>
      </x:c>
      <x:c r="D136" s="431" t="str">
        <x:v>The CEO accepted D-106. PR #58 passed GitHub CI and merged check 10 at exact main 761ac76, authorizing only check 11 under exact AUTH-SPEC-003.</x:v>
      </x:c>
      <x:c r="E136" s="431" t="str">
        <x:v>User instruction / GitHub checks and merge / Project control</x:v>
      </x:c>
      <x:c r="F136" s="431" t="str">
        <x:v>User instruction 2026-07-21; PR #58; exact main 761ac76; docs/package_assurance/equipment_datasheet_manifest_reciprocity_implementation_review_2026-07-21.md; D-106</x:v>
      </x:c>
      <x:c r="G136" s="431" t="str">
        <x:v>Check-11 implementation authority</x:v>
      </x:c>
      <x:c r="H136" s="431" t="str">
        <x:v>Accepted</x:v>
      </x:c>
      <x:c r="I136" s="431" t="str">
        <x:v>No authority-gap claim, public rerun, held-out execution, protected-asset change, P4 execution, or deferred capability was authorized.</x:v>
      </x:c>
    </x:row>
    <x:row r="137" ht="612" customHeight="1">
      <x:c r="A137" s="431" t="str">
        <x:v>EV-134</x:v>
      </x:c>
      <x:c r="B137" s="431" t="n">
        <x:v>46224</x:v>
      </x:c>
      <x:c r="C137" s="431" t="str">
        <x:v>Check-11 deterministic implementation proof</x:v>
      </x:c>
      <x:c r="D137" s="431" t="str">
        <x:v>Check 11 is eleventh in RELATIONSHIP_CHECK_ORDER. Exact AUTH-SPEC-003, normalized specification_id joins, exactly-one-current cardinality, missing/multiple/mismatch behavior, semantic sorting, stable finding identity, and package-relative evidence are covered. The accepted wrong-valid metadata revision produces one automatic-fail high-severity hold for SPEC-PUMP-001.</x:v>
      </x:c>
      <x:c r="E137" s="431" t="str">
        <x:v>Code review / Deterministic tests / Fault injection</x:v>
      </x:c>
      <x:c r="F137" s="431" t="str">
        <x:v>src/mech_eval_harness/package_assurance/specification_relationships.py; src/mech_eval_harness/package_assurance/relationships.py; tests/test_package_specification_relationships.py; docs/package_assurance/specification_revision_history_implementation_review_2026-07-21.md</x:v>
      </x:c>
      <x:c r="G137" s="431" t="str">
        <x:v>Check-11 contract evidence</x:v>
      </x:c>
      <x:c r="H137" s="431" t="str">
        <x:v>Accepted</x:v>
      </x:c>
      <x:c r="I137" s="431" t="str">
        <x:v>No loader, adapter, schema, fixture, authority map, generic rule engine, result state, output path, or earlier check changed.</x:v>
      </x:c>
    </x:row>
    <x:row r="138" ht="612" customHeight="1">
      <x:c r="A138" s="431" t="str">
        <x:v>EV-135</x:v>
      </x:c>
      <x:c r="B138" s="431" t="n">
        <x:v>46224</x:v>
      </x:c>
      <x:c r="C138" s="431" t="str">
        <x:v>Check-11 clean and wrong-revision four-output inspection</x:v>
      </x:c>
      <x:c r="D138" s="431" t="str">
        <x:v>Clean run RUN-20260721T164400783739Z-e5fdce3c returned automatic_pass, hold false, exit 0, 8/8 gates, 11/11 checks, zero findings, and four exact outputs. Fault run RUN-20260721T164405746563Z-8ccbbbf1 returned automatic_fail, hold true, exit 1, 10 passed and one failed check, one FND-C74035C8B9E5C4E7 finding with expected B and actual A, and the same four outputs. Canonical result, issue views, readiness summary, and terminal behavior agree.</x:v>
      </x:c>
      <x:c r="E138" s="431" t="str">
        <x:v>Controlled CLI execution / Output inspection / Report reconciliation</x:v>
      </x:c>
      <x:c r="F138" s="431" t="str">
        <x:v>scratch/verification/check11-implementation-20260721/clean-runs; scratch/verification/check11-implementation-20260721/fault-runs; docs/package_assurance/specification_revision_history_implementation_review_2026-07-21.md</x:v>
      </x:c>
      <x:c r="G138" s="431" t="str">
        <x:v>Check-11 output evidence</x:v>
      </x:c>
      <x:c r="H138" s="431" t="str">
        <x:v>Accepted</x:v>
      </x:c>
      <x:c r="I138" s="431" t="str">
        <x:v>The fault changes only one temporary specification-metadata revision from A to valid B; accepted development content remains untouched.</x:v>
      </x:c>
    </x:row>
    <x:row r="139" ht="576" customHeight="1">
      <x:c r="A139" s="431" t="str">
        <x:v>EV-136</x:v>
      </x:c>
      <x:c r="B139" s="431" t="n">
        <x:v>46224</x:v>
      </x:c>
      <x:c r="C139" s="431" t="str">
        <x:v>Check-11 regression and frozen-baseline verification</x:v>
      </x:c>
      <x:c r="D139" s="431" t="str">
        <x:v>Relationship/result/report/CLI focused tests passed 99. The full suite passed 314 with one expected Windows skip at 88.48% coverage. Repository validation passed 5/5; Ruff, frozen baseline 9/9, and portfolio demo 2/2 passed. The tracked diff changes only check-11 code, tests, documentation, and project controls.</x:v>
      </x:c>
      <x:c r="E139" s="431" t="str">
        <x:v>Local deterministic verification / Frozen baseline replay / Diff review</x:v>
      </x:c>
      <x:c r="F139" s="431" t="str">
        <x:v>scratch/verification/check11-implementation-20260721; docs/package_assurance/specification_revision_history_implementation_review_2026-07-21.md; D-107</x:v>
      </x:c>
      <x:c r="G139" s="431" t="str">
        <x:v>Check-11 implementation closeout</x:v>
      </x:c>
      <x:c r="H139" s="431" t="str">
        <x:v>Accepted</x:v>
      </x:c>
      <x:c r="I139" s="431" t="str">
        <x:v>No accepted fixture, authority map, schema, golden, held-out asset, public package, historical result, v0.2 behavior, or acceptance criterion changed.</x:v>
      </x:c>
    </x:row>
    <x:row r="140" ht="522" customHeight="1">
      <x:c r="A140" s="431" t="str">
        <x:v>EV-137</x:v>
      </x:c>
      <x:c r="B140" s="431" t="n">
        <x:v>46224</x:v>
      </x:c>
      <x:c r="C140" s="431" t="str">
        <x:v>D-107 acceptance and check-11 integration</x:v>
      </x:c>
      <x:c r="D140" s="431" t="str">
        <x:v>The CEO accepted D-107. PR #59 passed both GitHub CI runs and merged check 11 at exact main 69c0d1b. The owner then authorized the P2.3 authority-gap disposition and P4 startup.</x:v>
      </x:c>
      <x:c r="E140" s="431" t="str">
        <x:v>User instruction / GitHub checks and merge / Project control</x:v>
      </x:c>
      <x:c r="F140" s="431" t="str">
        <x:v>User instruction 2026-07-21; PR #59; exact main 69c0d1b; docs/package_assurance/specification_revision_history_implementation_review_2026-07-21.md; D-107</x:v>
      </x:c>
      <x:c r="G140" s="431" t="str">
        <x:v>P2.3 completion authority</x:v>
      </x:c>
      <x:c r="H140" s="431" t="str">
        <x:v>Accepted</x:v>
      </x:c>
      <x:c r="I140" s="431" t="str">
        <x:v>No protected held-out semantic execution, public rerun, schema, authority map, fixture, golden, or deferred capability changed during integration.</x:v>
      </x:c>
    </x:row>
    <x:row r="141" ht="567" customHeight="1">
      <x:c r="A141" s="431" t="str">
        <x:v>EV-138</x:v>
      </x:c>
      <x:c r="B141" s="431" t="n">
        <x:v>46224</x:v>
      </x:c>
      <x:c r="C141" s="431" t="str">
        <x:v>P2.3 completion and v0.3.0 claim-boundary decision</x:v>
      </x:c>
      <x:c r="D141" s="431" t="str">
        <x:v>D-108 completes P2.3 for eight gates and eleven relationship checks, explicitly defers six unsupported authority/source claims, excludes those claims from v0.3.0 benchmark/release language, and opens P4.1 development benchmark regression only.</x:v>
      </x:c>
      <x:c r="E141" s="431" t="str">
        <x:v>Reviewed scope disposition / Claim control / P4 entry gate</x:v>
      </x:c>
      <x:c r="F141" s="431" t="str">
        <x:v>docs/package_assurance/p2_3_completion_and_claim_boundary_v0.3.0.md; D-107-D-108; accepted P2.3 definition; acceptance_plan_v0.3.0.md</x:v>
      </x:c>
      <x:c r="G141" s="431" t="str">
        <x:v>P2.3 claim boundary and P4.1 authorization</x:v>
      </x:c>
      <x:c r="H141" s="431" t="str">
        <x:v>Accepted</x:v>
      </x:c>
      <x:c r="I141" s="431" t="str">
        <x:v>The six gaps remain visible limitations, not passes. P4.2 held-out execution remains blocked until the P4.1 evaluator/runner baseline is frozen.</x:v>
      </x:c>
    </x:row>
    <x:row r="142" ht="648" customHeight="1">
      <x:c r="A142" s="431" t="str">
        <x:v>EV-139</x:v>
      </x:c>
      <x:c r="B142" s="431" t="n">
        <x:v>46224</x:v>
      </x:c>
      <x:c r="C142" s="431" t="str">
        <x:v>P4.1 development benchmark definition and safety controls</x:v>
      </x:c>
      <x:c r="D142" s="431" t="str">
        <x:v>P4.1-DEV-1 at implementation commit 4cf9fe8 freezes 22 development scenarios, unique package/scenario IDs, 21 named mutations, exact state/exit/hold/control/finding expectations, two executions, and exact normalized four-output SHA-256 oracles. The runner verifies the accepted baseline hash, excludes expected assets, rejects benchmark-tree output and overwrites, and prevents subset acceptance claims.</x:v>
      </x:c>
      <x:c r="E142" s="431" t="str">
        <x:v>Reviewed definition / Runner implementation / Focused tests</x:v>
      </x:c>
      <x:c r="F142" s="431" t="str">
        <x:v>benchmarks/package_assurance/development/pump_skid_clean_v1/development_benchmark_v1.json; src/mech_eval_harness/package_assurance/development_benchmark.py; scripts/run_package_assurance_development_benchmark.py; tests/test_package_development_benchmark.py; docs/package_assurance/p4_1_development_benchmark_definition_and_review_v0.3.0.md</x:v>
      </x:c>
      <x:c r="G142" s="431" t="str">
        <x:v>P4.1 benchmark contract</x:v>
      </x:c>
      <x:c r="H142" s="431" t="str">
        <x:v>Accepted / Integration Pending</x:v>
      </x:c>
      <x:c r="I142" s="431" t="str">
        <x:v>No accepted clean fixture, hidden expected asset, held-out content, authority map, schema, public package, historical result, or v0.2 behavior changed.</x:v>
      </x:c>
    </x:row>
    <x:row r="143" ht="612" customHeight="1">
      <x:c r="A143" s="431" t="str">
        <x:v>EV-140</x:v>
      </x:c>
      <x:c r="B143" s="431" t="n">
        <x:v>46224</x:v>
      </x:c>
      <x:c r="C143" s="431" t="str">
        <x:v>P4.1 exact development benchmark acceptance execution</x:v>
      </x:c>
      <x:c r="D143" s="431" t="str">
        <x:v>The acceptance execution passed 22/22 scenarios and 44/44 complete four-output audits. All eight gate-failure families and all eleven relationship-failure families were covered; all 22 run pairs were identical after removing only run ID and run metadata; all 22 exact normalized publication hashes matched; no staged package contained expected/.</x:v>
      </x:c>
      <x:c r="E143" s="431" t="str">
        <x:v>Controlled benchmark execution / Exact oracle comparison / Output inspection</x:v>
      </x:c>
      <x:c r="F143" s="431" t="str">
        <x:v>runs/p4.1-development-acceptance-4cf9fe8-final/benchmark_report.json; runs/p4.1-development-acceptance-4cf9fe8-final/benchmark_report.md; implementation 4cf9fe8; P4.1-DEV-1; EV-139</x:v>
      </x:c>
      <x:c r="G143" s="431" t="str">
        <x:v>P4.1 execution evidence</x:v>
      </x:c>
      <x:c r="H143" s="431" t="str">
        <x:v>Accepted / Integration Pending</x:v>
      </x:c>
      <x:c r="I143" s="431" t="str">
        <x:v>Generated evidence is ignored runtime data outside versioned benchmark definitions. Protected held-out semantics were not executed or opened for tuning.</x:v>
      </x:c>
    </x:row>
    <x:row r="144" ht="648" customHeight="1">
      <x:c r="A144" s="431" t="str">
        <x:v>EV-141</x:v>
      </x:c>
      <x:c r="B144" s="431" t="n">
        <x:v>46224</x:v>
      </x:c>
      <x:c r="C144" s="431" t="str">
        <x:v>P4.1 regression, frozen-baseline, and improvement-loop proof</x:v>
      </x:c>
      <x:c r="D144" s="431" t="str">
        <x:v>Focused benchmark tests passed 5. The full suite passed 319 with one expected Windows skip at 88.57% coverage. Repository validation passed 5/5; Ruff, frozen v0.2 baseline 9/9, portfolio demo 2/2, and both hosted Linux CI jobs passed. An unsafe default baseline evidence path was detected, its timestamp-only tracked changes were restored, and IMP-021 plus AGENTS.md now require generated evidence paths.</x:v>
      </x:c>
      <x:c r="E144" s="431" t="str">
        <x:v>Local deterministic verification / Protected-diff check / Improvement loop</x:v>
      </x:c>
      <x:c r="F144" s="431" t="str">
        <x:v>docs/package_assurance/p4_1_development_benchmark_definition_and_review_v0.3.0.md; docs/quality/improvement_register.md; AGENTS.md; runs/p4.1-mvp-baseline-safe; runs/p4.1-portfolio-demo; D-109</x:v>
      </x:c>
      <x:c r="G144" s="431" t="str">
        <x:v>P4.1 verification closeout</x:v>
      </x:c>
      <x:c r="H144" s="431" t="str">
        <x:v>Accepted / Integration Pending</x:v>
      </x:c>
      <x:c r="I144" s="431" t="str">
        <x:v>D-109 was accepted on 2026-07-21. PR #61 integration remains before the exact main freeze and separate P4.2 authorization; all D-108 deferred capabilities remain blocked.</x:v>
      </x:c>
    </x:row>
    <x:row r="145" ht="612" customHeight="1">
      <x:c r="A145" s="431" t="str">
        <x:v>EV-142</x:v>
      </x:c>
      <x:c r="B145" s="431" t="n">
        <x:v>46224</x:v>
      </x:c>
      <x:c r="C145" s="431" t="str">
        <x:v>P4.1 cross-platform exact-oracle stabilization</x:v>
      </x:c>
      <x:c r="D145" s="431" t="str">
        <x:v>The first hosted Linux run failed only the malformed-manifest publication because a sanitized path used a Windows backslash locally and a POSIX slash in CI. Commit 4cf9fe8 canonicalizes stable error paths, adds direct missing/malformed-manifest assertions, changes only the affected oracle, and passes the complete exact matrix locally plus both hosted jobs.</x:v>
      </x:c>
      <x:c r="E145" s="431" t="str">
        <x:v>Hosted red/green CI / Cross-platform differential / Exact-oracle review</x:v>
      </x:c>
      <x:c r="F145" s="431" t="str">
        <x:v>src/mech_eval_harness/package_assurance/gates.py; tests/test_package_gates.py; benchmarks/package_assurance/development/pump_skid_clean_v1/development_benchmark_v1.json; PR #61 checks; IMP-022</x:v>
      </x:c>
      <x:c r="G145" s="431" t="str">
        <x:v>P4.1 portability evidence</x:v>
      </x:c>
      <x:c r="H145" s="431" t="str">
        <x:v>Accepted / Integration Pending</x:v>
      </x:c>
      <x:c r="I145" s="431" t="str">
        <x:v>No engineering outcome, state, hold, finding code, control status, evidence locator, fixture, held-out asset, or deferred claim changed. Stable path rendering and the derived finding ID are now operating-system independent.</x:v>
      </x:c>
    </x:row>
    <x:row r="146" ht="522" customHeight="1">
      <x:c r="A146" s="431" t="str">
        <x:v>EV-143</x:v>
      </x:c>
      <x:c r="B146" s="431" t="n">
        <x:v>46224</x:v>
      </x:c>
      <x:c r="C146" s="431" t="str">
        <x:v>P4.1 accepted integration and exact-main freeze</x:v>
      </x:c>
      <x:c r="D146" s="431" t="str">
        <x:v>D-109 and P4.1 were accepted; PR #61 merged the reviewed development benchmark at exact main 5a4d57e. The accepted implementation remains 4cf9fe8, P4.1-DEV-1 passes 22/22 scenarios twice, and final hosted push/PR checks are green.</x:v>
      </x:c>
      <x:c r="E146" s="431" t="str">
        <x:v>GitHub merge verification / Exact-main freeze / Accepted decision record</x:v>
      </x:c>
      <x:c r="F146" s="431" t="str">
        <x:v>PR #61; main 5a4d57e534bd5e900abac3c455cd484ef083e972; implementation 4cf9fe8; D-109; p4_1_development_benchmark_definition_and_review_v0.3.0.md</x:v>
      </x:c>
      <x:c r="G146" s="431" t="str">
        <x:v>P4.1 integration closeout</x:v>
      </x:c>
      <x:c r="H146" s="431" t="str">
        <x:v>Accepted</x:v>
      </x:c>
      <x:c r="I146" s="431" t="str">
        <x:v>P4.1 behavior and bounded four-state claim are frozen. P4.2 remained separately gated.</x:v>
      </x:c>
    </x:row>
    <x:row r="147" ht="558" customHeight="1">
      <x:c r="A147" s="431" t="str">
        <x:v>EV-144</x:v>
      </x:c>
      <x:c r="B147" s="431" t="n">
        <x:v>46224</x:v>
      </x:c>
      <x:c r="C147" s="431" t="str">
        <x:v>P4.2 held-out exposure and replacement-gate definition</x:v>
      </x:c>
      <x:c r="D147" s="431" t="str">
        <x:v>The implementation context exposed top-level held-out metadata before first execution. No protected/expected value was surfaced to or inspected by the implementation context, no audit ran, no result exists, and no behavior changed. Hosted CI later ran legacy integrity tests that load protected JSON without printing values. D-110 applies accepted contamination policy, preserves the family unchanged and unexecuted, and defines an isolated materially distinct replacement protocol with pre-first-run CI exclusion.</x:v>
      </x:c>
      <x:c r="E147" s="431" t="str">
        <x:v>Control-boundary review / Contamination classification / Replacement protocol</x:v>
      </x:c>
      <x:c r="F147" s="431" t="str">
        <x:v>docs/package_assurance/p4_2_held_out_contamination_and_replacement_gate_v0.3.0.md; AGENTS.md; docs/quality/improvement_register.md; D-110; I-006; IMP-023</x:v>
      </x:c>
      <x:c r="G147" s="431" t="str">
        <x:v>P4.2 recovery gate</x:v>
      </x:c>
      <x:c r="H147" s="431" t="str">
        <x:v>Accepted</x:v>
      </x:c>
      <x:c r="I147" s="431" t="str">
        <x:v>D-110 was accepted on 2026-07-21. P4.2 semantic execution, replacement authoring in this context, P4.3 release work, and held-out release claims remain blocked.</x:v>
      </x:c>
    </x:row>
    <x:row r="148" ht="522" customHeight="1">
      <x:c r="A148" s="431" t="str">
        <x:v>EV-145</x:v>
      </x:c>
      <x:c r="B148" s="431" t="n">
        <x:v>46224</x:v>
      </x:c>
      <x:c r="C148" s="431" t="str">
        <x:v>D-110 owner acceptance and isolated replacement authorization</x:v>
      </x:c>
      <x:c r="D148" s="431" t="str">
        <x:v>The project owner accepted D-110 and all recommended recovery controls. The exposed family remains unchanged, unexecuted, and release-ineligible. Authorization advances only to isolated replacement authoring, structural verification, and hash freeze; a separate owner decision remains mandatory before semantic execution.</x:v>
      </x:c>
      <x:c r="E148" s="431" t="str">
        <x:v>User decision / Gate acceptance / Scope authorization</x:v>
      </x:c>
      <x:c r="F148" s="431" t="str">
        <x:v>User instruction 2026-07-21; PR #62; docs/package_assurance/p4_2_held_out_contamination_and_replacement_gate_v0.3.0.md; D-110; I-006; IMP-023</x:v>
      </x:c>
      <x:c r="G148" s="431" t="str">
        <x:v>P4.2 replacement freeze authority</x:v>
      </x:c>
      <x:c r="H148" s="431" t="str">
        <x:v>Accepted</x:v>
      </x:c>
      <x:c r="I148" s="431" t="str">
        <x:v>No evaluator change, semantic run, public rerun, protected-value inspection by the implementation context, P4.3 work, or held-out release claim was authorized.</x:v>
      </x:c>
    </x:row>
    <x:row r="149" ht="675" customHeight="1">
      <x:c r="A149" s="431" t="str">
        <x:v>EV-146</x:v>
      </x:c>
      <x:c r="B149" s="431" t="n">
        <x:v>46224</x:v>
      </x:c>
      <x:c r="C149" s="431" t="str">
        <x:v>Isolated replacement authoring and hash freeze</x:v>
      </x:c>
      <x:c r="D149" s="431" t="str">
        <x:v>Public bundle P4.2-CUSTODIAN-EA45DCF-V1 supplied only approved contracts and schemas. Isolated authoring and disclosed recovery custodians produced FAM-HO-CONVEYOR-DRIVE-042, passed 326 structural/hash checks with zero failures, wrote the freeze record last, and recorded semantic execution count zero.</x:v>
      </x:c>
      <x:c r="E149" s="431" t="str">
        <x:v>Input-hash reproduction / Isolated custody / Structural validation / Pre-execution freeze</x:v>
      </x:c>
      <x:c r="F149" s="431" t="str">
        <x:v>p4_2_replacement_custodian_public_contract_v0.3.0.md; p4_2_replacement_custodian_input_manifest_v0.3.0.json; replacement freeze_record.public.json; complete-family SHA-256 e619c81854d9676b5d821a752e3b00e68d0072572cef64509d5cc9132a3e6ff6; IMP-024</x:v>
      </x:c>
      <x:c r="G149" s="431" t="str">
        <x:v>P4.2 replacement freeze</x:v>
      </x:c>
      <x:c r="H149" s="431" t="str">
        <x:v>Verified / Owner Review Pending</x:v>
      </x:c>
      <x:c r="I149" s="431" t="str">
        <x:v>Eight opaque scenarios and 210 family files are frozen. The implementation context did not inspect protected or scenario package values. No evaluator or semantic run occurred.</x:v>
      </x:c>
    </x:row>
    <x:row r="150" ht="657" customHeight="1">
      <x:c r="A150" s="431" t="str">
        <x:v>EV-147</x:v>
      </x:c>
      <x:c r="B150" s="431" t="n">
        <x:v>46224</x:v>
      </x:c>
      <x:c r="C150" s="431" t="str">
        <x:v>Independent freeze and opaque-import verification</x:v>
      </x:c>
      <x:c r="D150" s="431" t="str">
        <x:v>A separate fresh verifier passed 14/14 controls with zero leakage, hash mismatch, freeze-order violation, or family modification. A separate import verifier matched 210/210 files byte-for-byte and reproduced the complete-family hash at both roots.</x:v>
      </x:c>
      <x:c r="E150" s="431" t="str">
        <x:v>Independent structural review / Protected aggregate review / SHA-256 reproduction / Opaque import comparison</x:v>
      </x:c>
      <x:c r="F150" s="431" t="str">
        <x:v>p4_2_replacement_independent_verification_v0.3.0.json; p4_2_replacement_independent_verification_v0.3.0.md; p4_2_replacement_import_verification_v0.3.0.json; producer hash da154aed...8867; protected hash 2b383800...c6e; family hash e619c818...e6ff6</x:v>
      </x:c>
      <x:c r="G150" s="431" t="str">
        <x:v>P4.2 independent verification</x:v>
      </x:c>
      <x:c r="H150" s="431" t="str">
        <x:v>Pass</x:v>
      </x:c>
      <x:c r="I150" s="431" t="str">
        <x:v>All eight manifests and all eleven clean relationship contracts passed. The protected matrix met accepted aggregate requirements. Semantic execution count remains zero.</x:v>
      </x:c>
    </x:row>
    <x:row r="151" ht="675" customHeight="1">
      <x:c r="A151" s="431" t="str">
        <x:v>EV-148</x:v>
      </x:c>
      <x:c r="B151" s="431" t="n">
        <x:v>46224</x:v>
      </x:c>
      <x:c r="C151" s="431" t="str">
        <x:v>Pre-run regression and D-111 owner review package</x:v>
      </x:c>
      <x:c r="D151" s="431" t="str">
        <x:v>Safe checks that do not enumerate or load the new replacement pass: 32 focused tests; 319 full regression tests with one expected Windows skip; 88.57% coverage; repository validation 5/5; Ruff; frozen baseline 9/9; and portfolio demo 2/2. The owner freeze review proposes D-111 and preserves semantic execution count zero.</x:v>
      </x:c>
      <x:c r="E151" s="431" t="str">
        <x:v>Focused regression / Full frozen regression / Coverage / Repository validation / Lint / Baseline / Demo / Decision review</x:v>
      </x:c>
      <x:c r="F151" s="431" t="str">
        <x:v>docs/package_assurance/p4_2_replacement_freeze_review_v0.3.0.md; pytest; coverage; mech-eval validate; Ruff; generated baseline and demo evidence under runs/; D-111</x:v>
      </x:c>
      <x:c r="G151" s="431" t="str">
        <x:v>P4.2 pre-run acceptance package</x:v>
      </x:c>
      <x:c r="H151" s="431" t="str">
        <x:v>Ready for Owner Review</x:v>
      </x:c>
      <x:c r="I151" s="431" t="str">
        <x:v>The initial standalone pytest.exe collection error was an invocation-path issue; the accepted python -m pytest command passed. No replacement scenario or protected oracle was loaded or executed.</x:v>
      </x:c>
    </x:row>
    <x:row r="152" ht="585" customHeight="1">
      <x:c r="A152" s="431" t="str">
        <x:v>EV-149</x:v>
      </x:c>
      <x:c r="B152" s="431" t="n">
        <x:v>46224</x:v>
      </x:c>
      <x:c r="C152" s="431" t="str">
        <x:v>D-111 owner acceptance and first-run authorization</x:v>
      </x:c>
      <x:c r="D152" s="431" t="str">
        <x:v>The project owner accepted D-111 on 2026-07-21. Authority advances only after PR #63 merge and exact-main verification to independently verified oracle-blind staging and exactly one invocation per opaque scenario. Semantic execution count remains zero at acceptance.</x:v>
      </x:c>
      <x:c r="E152" s="431" t="str">
        <x:v>User decision / Gate acceptance / One-way execution authorization</x:v>
      </x:c>
      <x:c r="F152" s="431" t="str">
        <x:v>User instruction 2026-07-21; docs/package_assurance/p4_2_replacement_freeze_review_v0.3.0.md; PR #63; D-111; EV-146-EV-148; IMP-023-IMP-024</x:v>
      </x:c>
      <x:c r="G152" s="431" t="str">
        <x:v>P4.2 first-run authority</x:v>
      </x:c>
      <x:c r="H152" s="431" t="str">
        <x:v>Accepted / Integration Pending</x:v>
      </x:c>
      <x:c r="I152" s="431" t="str">
        <x:v>No semantic run, retry, tuning, input or evaluator change, protected comparison, P4.3 work, or release claim occurred at acceptance. Raw evidence must be frozen before a separate protected comparison.</x:v>
      </x:c>
    </x:row>
    <x:row r="153" ht="585" customHeight="1">
      <x:c r="A153" s="431" t="str">
        <x:v>EV-150</x:v>
      </x:c>
      <x:c r="B153" s="431" t="n">
        <x:v>46224</x:v>
      </x:c>
      <x:c r="C153" s="431" t="str">
        <x:v>PR #63 integration, exact-main freeze, and zero-run confirmation</x:v>
      </x:c>
      <x:c r="D153" s="431" t="str">
        <x:v>PR #63 merged D-111 and the reviewed replacement freeze at exact main 4d2c0f5. The evaluator source tree d0c3f128ee13898cdcd6fc12c6d6ad5877649551 matches behavior commit 4cf9fe8. No semantic invocation or protected comparison occurred; run count remains zero.</x:v>
      </x:c>
      <x:c r="E153" s="431" t="str">
        <x:v>GitHub merge verification / Exact-main freeze / Source-tree identity / Run-count confirmation</x:v>
      </x:c>
      <x:c r="F153" s="431" t="str">
        <x:v>PR #63; main 4d2c0f5f09950929ef057ef4f0efa3d75efdf0ed; implementation 4cf9fe8; source tree d0c3f128ee13898cdcd6fc12c6d6ad5877649551; D-111</x:v>
      </x:c>
      <x:c r="G153" s="431" t="str">
        <x:v>P4.2 integration evidence</x:v>
      </x:c>
      <x:c r="H153" s="431" t="str">
        <x:v>Accepted</x:v>
      </x:c>
      <x:c r="I153" s="431" t="str">
        <x:v>Both hosted PR checks passed with protected-fixture integrity tests excluded. Integration completed before any authorized first-run staging.</x:v>
      </x:c>
    </x:row>
    <x:row r="154" ht="675" customHeight="1">
      <x:c r="A154" s="431" t="str">
        <x:v>EV-151</x:v>
      </x:c>
      <x:c r="B154" s="431" t="n">
        <x:v>46224</x:v>
      </x:c>
      <x:c r="C154" s="431" t="str">
        <x:v>Pre-run Git metadata exposure and independent governance disposition</x:v>
      </x:c>
      <x:c r="D154" s="431" t="str">
        <x:v>The local PR #63 fast-forward printed release-family paths and comparative per-file insertion counts. No file content was deliberately opened, but the output exposed scenario-level structural differences. A fresh independent governance review classified the side channel as contamination under D-110 and IMP-023 and recommended external custody through first-run evidence freeze.</x:v>
      </x:c>
      <x:c r="E154" s="431" t="str">
        <x:v>Control-boundary incident review / Fresh independent governance review / Recovery architecture</x:v>
      </x:c>
      <x:c r="F154" s="431" t="str">
        <x:v>docs/package_assurance/p4_2_second_contamination_and_external_custody_gate_v0.3.0.md; D-110-D-112; I-007; IMP-023; IMP-025; PR #63 exact main 4d2c0f5</x:v>
      </x:c>
      <x:c r="G154" s="431" t="str">
        <x:v>P4.2 second recovery gate</x:v>
      </x:c>
      <x:c r="H154" s="431" t="str">
        <x:v>Ready for Owner Review</x:v>
      </x:c>
      <x:c r="I154" s="431" t="str">
        <x:v>FAM-HO-CONVEYOR-DRIVE-042 remains unchanged, unexecuted, and release-ineligible. D-111 authority stopped unused. No replacement authoring or semantic execution is authorized before D-112 acceptance.</x:v>
      </x:c>
    </x:row>
    <x:row r="155" ht="630" customHeight="1">
      <x:c r="A155" s="431" t="str">
        <x:v>EV-152</x:v>
      </x:c>
      <x:c r="B155" s="431" t="n">
        <x:v>46225</x:v>
      </x:c>
      <x:c r="C155" s="431" t="str">
        <x:v>D-112 owner acceptance and external-custody authorization</x:v>
      </x:c>
      <x:c r="D155" s="431" t="str">
        <x:v>The project owner accepted D-112 on 2026-07-22. Authority advances only after PR #64 integration and exact-main verification to fresh external replacement authoring, independent structural/hash verification, oracle-blind staging, and preparation of a new freeze review. Semantic execution count remains zero.</x:v>
      </x:c>
      <x:c r="E155" s="431" t="str">
        <x:v>User decision / Gate acceptance / External-custody scope authorization</x:v>
      </x:c>
      <x:c r="F155" s="431" t="str">
        <x:v>User instruction 2026-07-22; PR #64; docs/package_assurance/p4_2_second_contamination_and_external_custody_gate_v0.3.0.md; D-112; EV-150-EV-151; I-007; IMP-025</x:v>
      </x:c>
      <x:c r="G155" s="431" t="str">
        <x:v>P4.2 external-custody authority</x:v>
      </x:c>
      <x:c r="H155" s="431" t="str">
        <x:v>Accepted / Integration Pending</x:v>
      </x:c>
      <x:c r="I155" s="431" t="str">
        <x:v>No replacement authoring, semantic execution, oracle comparison, repository family import, evaluator change, protected-fixture CI restoration, P4.3 work, or release claim occurred at acceptance.</x:v>
      </x:c>
    </x:row>
    <x:row r="156" ht="675" customHeight="1">
      <x:c r="A156" s="431" t="str">
        <x:v>EV-153</x:v>
      </x:c>
      <x:c r="B156" s="431" t="n">
        <x:v>46225</x:v>
      </x:c>
      <x:c r="C156" s="431" t="str">
        <x:v>PR #64 integration and exact-main external-custody baseline</x:v>
      </x:c>
      <x:c r="D156" s="431" t="str">
        <x:v>PR #64 integrated accepted D-112 at exact main 0264db7d0c904452ffdec83c51f74103185a8e8d. Frozen evaluator behavior remains 4cf9fe8 and source tree d0c3f128ee13898cdcd6fc12c6d6ad5877649551. Semantic execution count remained zero.</x:v>
      </x:c>
      <x:c r="E156" s="431" t="str">
        <x:v>Git integration / Exact-main freeze / Source identity / Zero-run confirmation</x:v>
      </x:c>
      <x:c r="F156" s="431" t="str">
        <x:v>PR #64; main 0264db7d0c904452ffdec83c51f74103185a8e8d; implementation 4cf9fe8; source tree d0c3f128ee13898cdcd6fc12c6d6ad5877649551; D-112</x:v>
      </x:c>
      <x:c r="G156" s="431" t="str">
        <x:v>P4.2 external custody baseline</x:v>
      </x:c>
      <x:c r="H156" s="431" t="str">
        <x:v>Accepted</x:v>
      </x:c>
      <x:c r="I156" s="431" t="str">
        <x:v>No family or runner asset was imported into the review branch.</x:v>
      </x:c>
    </x:row>
    <x:row r="157" ht="675" customHeight="1">
      <x:c r="A157" s="431" t="str">
        <x:v>EV-154</x:v>
      </x:c>
      <x:c r="B157" s="431" t="n">
        <x:v>46225</x:v>
      </x:c>
      <x:c r="C157" s="431" t="str">
        <x:v>External family revision-1 failure and revision-2 remediation</x:v>
      </x:c>
      <x:c r="D157" s="431" t="str">
        <x:v>The first external family freeze passed author self-checks but failed three independent protected-oracle contract categories. It remains unchanged and unexecuted at complete hash 04d13a3f...c7be. Revision 2 corrected only those protected records and preserved producer hash b77f35e...e10ab.</x:v>
      </x:c>
      <x:c r="E157" s="431" t="str">
        <x:v>Failed freeze preservation / Sibling remediation / Producer-byte identity</x:v>
      </x:c>
      <x:c r="F157" s="431" t="str">
        <x:v>External aggregate authoring, verification, and remediation summaries; FR-D112-HOIST-001-FR-D112-HOIST-002; IMP-026</x:v>
      </x:c>
      <x:c r="G157" s="431" t="str">
        <x:v>P4.2 family remediation evidence</x:v>
      </x:c>
      <x:c r="H157" s="431" t="str">
        <x:v>Accepted</x:v>
      </x:c>
      <x:c r="I157" s="431" t="str">
        <x:v>A self-check is not acceptance. Failed family evidence was not erased or repaired in place.</x:v>
      </x:c>
    </x:row>
    <x:row r="158" ht="675" customHeight="1">
      <x:c r="A158" s="431" t="str">
        <x:v>EV-155</x:v>
      </x:c>
      <x:c r="B158" s="431" t="n">
        <x:v>46225</x:v>
      </x:c>
      <x:c r="C158" s="431" t="str">
        <x:v>Independent external family revision-2 freeze verification</x:v>
      </x:c>
      <x:c r="D158" s="431" t="str">
        <x:v>Fresh independent verification passed 68/68 controls across assurance, relationships, structure, hash/freeze, input integrity, package contract, protected oracle, and leakage. Complete-family pre/post hash is 141f3d1b...9190; semantic executions are zero.</x:v>
      </x:c>
      <x:c r="E158" s="431" t="str">
        <x:v>Independent structural and oracle-contract verification / Hash freeze / Matrix coverage</x:v>
      </x:c>
      <x:c r="F158" s="431" t="str">
        <x:v>docs/package_assurance/p4_2_external_custody_freeze_evidence_v0.3.0.json; family FR-D112-HOIST-002; producer b77f35e...e10ab; protected 1876455a...80d; complete 141f3d1b...9190</x:v>
      </x:c>
      <x:c r="G158" s="431" t="str">
        <x:v>P4.2 family freeze evidence</x:v>
      </x:c>
      <x:c r="H158" s="431" t="str">
        <x:v>Ready for Owner Review</x:v>
      </x:c>
      <x:c r="I158" s="431" t="str">
        <x:v>Aggregate matrix: one automatic pass, five automatic fails, one missing-authority state, one tool-failure state, and eight held findings; scenario mappings remain protected.</x:v>
      </x:c>
    </x:row>
    <x:row r="159" ht="675" customHeight="1">
      <x:c r="A159" s="431" t="str">
        <x:v>EV-156</x:v>
      </x:c>
      <x:c r="B159" s="431" t="n">
        <x:v>46225</x:v>
      </x:c>
      <x:c r="C159" s="431" t="str">
        <x:v>Producer-only physical capsule and staging-boundary recovery</x:v>
      </x:c>
      <x:c r="D159" s="431" t="str">
        <x:v>Instruction-only staging failed closed before copying after excluded-parent enumeration. A custody context then created physical capsule PC-D112-HOIST-002 with exactly eight package roots and 152 package files. It passed 16/16 controls, reproduced producer hash b77f35e...e10ab, and contained no restricted material.</x:v>
      </x:c>
      <x:c r="E159" s="431" t="str">
        <x:v>Physical access separation / Producer hash / Failed-attempt preservation</x:v>
      </x:c>
      <x:c r="F159" s="431" t="str">
        <x:v>Producer capsule aggregate summary; capsule content 92c4c20a...15b6; I-008; IMP-027</x:v>
      </x:c>
      <x:c r="G159" s="431" t="str">
        <x:v>P4.2 oracle-blind handoff evidence</x:v>
      </x:c>
      <x:c r="H159" s="431" t="str">
        <x:v>Accepted</x:v>
      </x:c>
      <x:c r="I159" s="431" t="str">
        <x:v>No package was executed and no protected contents were opened during the failed staging attempt.</x:v>
      </x:c>
    </x:row>
    <x:row r="160" ht="675" customHeight="1">
      <x:c r="A160" s="431" t="str">
        <x:v>EV-157</x:v>
      </x:c>
      <x:c r="B160" s="431" t="n">
        <x:v>46225</x:v>
      </x:c>
      <x:c r="C160" s="431" t="str">
        <x:v>Runner freeze rejection chain and revision-6 correction</x:v>
      </x:c>
      <x:c r="D160" s="431" t="str">
        <x:v>Independent static controls rejected predecessor runners for noncanonical inventory order, external path text, writable controls, an unavailable copy operation, and full inherited-environment forwarding. Every failed revision remains preserved and unexecuted. Revision 6 changed only custody controls while preserving 181/181 input identities.</x:v>
      </x:c>
      <x:c r="E160" s="431" t="str">
        <x:v>Fail-closed runner revisions / Static-control remediation / Input identity</x:v>
      </x:c>
      <x:c r="F160" s="431" t="str">
        <x:v>Runner aggregate failure and staging summaries; revisions 2-6; I-008; IMP-027</x:v>
      </x:c>
      <x:c r="G160" s="431" t="str">
        <x:v>P4.2 runner recovery evidence</x:v>
      </x:c>
      <x:c r="H160" s="431" t="str">
        <x:v>Accepted</x:v>
      </x:c>
      <x:c r="I160" s="431" t="str">
        <x:v>The evaluator and producer bytes did not change. Semantic execution count remained zero throughout.</x:v>
      </x:c>
    </x:row>
    <x:row r="161" ht="675" customHeight="1">
      <x:c r="A161" s="431" t="str">
        <x:v>EV-158</x:v>
      </x:c>
      <x:c r="B161" s="431" t="n">
        <x:v>46225</x:v>
      </x:c>
      <x:c r="C161" s="431" t="str">
        <x:v>Independent oracle-blind runner revision-6 verification</x:v>
      </x:c>
      <x:c r="D161" s="431" t="str">
        <x:v>Fresh independent verification passed 53/53 controls across seven categories. The bundle has 186/186 read-only files, zero runtime/evidence/marker/result/report/output artifacts, one-shot no-retry controls, a bounded child environment, and identical pre/post hash 54d01f7b...98fb.</x:v>
      </x:c>
      <x:c r="E161" s="431" t="str">
        <x:v>Independent static AST and filesystem verification / Hash freeze / Zero-artifact proof</x:v>
      </x:c>
      <x:c r="F161" s="431" t="str">
        <x:v>docs/package_assurance/p4_2_external_custody_freeze_evidence_v0.3.0.json; runner D-112-runner-revision-6; runner script c2ab9b56...beae; complete 54d01f7b...98fb</x:v>
      </x:c>
      <x:c r="G161" s="431" t="str">
        <x:v>P4.2 runner freeze evidence</x:v>
      </x:c>
      <x:c r="H161" s="431" t="str">
        <x:v>Ready for Owner Review</x:v>
      </x:c>
      <x:c r="I161" s="431" t="str">
        <x:v>No runner or evaluator import or execution occurred. Full environment forwarding, PATH, credentials, proxies, user-profile values, and unrelated variables are absent.</x:v>
      </x:c>
    </x:row>
    <x:row r="162" ht="630" customHeight="1">
      <x:c r="A162" s="431" t="str">
        <x:v>EV-159</x:v>
      </x:c>
      <x:c r="B162" s="431" t="n">
        <x:v>46225</x:v>
      </x:c>
      <x:c r="C162" s="431" t="str">
        <x:v>D-113 review-branch safe regression and frozen verification</x:v>
      </x:c>
      <x:c r="D162" s="431" t="str">
        <x:v>Focused package tests passed 40/40. Protected-safe full regression passed 313 with one expected Windows skip at 88.57% coverage. Repository validation passed 5/5, Ruff passed, frozen v0.2.0 baseline replay passed 9/9, and portfolio demo passed 2/2.</x:v>
      </x:c>
      <x:c r="E162" s="431" t="str">
        <x:v>Focused regression / Coverage gate / Repository validation / Frozen baseline / Demo</x:v>
      </x:c>
      <x:c r="F162" s="431" t="str">
        <x:v>Review branch codex/p4.2-external-held-out-freeze; generated runs/d113-freeze-review-20260722 evidence; protected fixture module excluded</x:v>
      </x:c>
      <x:c r="G162" s="431" t="str">
        <x:v>P4.2 review verification</x:v>
      </x:c>
      <x:c r="H162" s="431" t="str">
        <x:v>Accepted</x:v>
      </x:c>
      <x:c r="I162" s="431" t="str">
        <x:v>No release-eligible held-out family directory or protected fixture module was enumerated or loaded by these checks.</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P4.2 external freeze complete; D-113 owner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Family revision 2 passed 68/68 independent controls. Runner revision 6 passed 53/53 independent static controls. Both remain external, frozen, and unexecuted; semantic run count is zero.</x:v>
      </x:c>
      <x:c r="E7" s="765" t="str">
        <x:v>Product interpretation</x:v>
      </x:c>
      <x:c r="F7" s="431" t="str">
        <x:v>Successful kernel; not yet a complete economically useful workflow.</x:v>
      </x:c>
      <x:c r="G7" s="765" t="str">
        <x:v>Response</x:v>
      </x:c>
      <x:c r="H7" s="431" t="str">
        <x:v>Review D-113 before any invocation. If accepted and integrated, verify all hashes, run each opaque package once, freeze raw evidence, and use a separate comparison custodian.</x:v>
      </x:c>
    </x:row>
    <x:row r="8" ht="153" hidden="0" customHeight="1">
      <x:c r="A8" s="765" t="str">
        <x:v>Immediate next action</x:v>
      </x:c>
      <x:c r="B8" s="431" t="str">
        <x:v>Accept or revise D-113. Do not execute the external runner while the decision is pending.</x:v>
      </x:c>
      <x:c r="C8" s="765" t="str">
        <x:v>Selected vertical</x:v>
      </x:c>
      <x:c r="D8" s="431" t="str">
        <x:v>D-113 owner review -&gt; integration and exact-main freeze -&gt; one-shot external run -&gt; raw evidence freeze -&gt; separate protected comparison -&gt; owner result review.</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855" hidden="0" customHeight="1">
      <x:c r="A41" s="604" t="str">
        <x:v>Immediate implication</x:v>
      </x:c>
      <x:c r="B41" s="605"/>
      <x:c r="C41" s="606" t="str">
        <x:v>D-112 is integrated through PR #64 at exact main 0264db7d0c904452ffdec83c51f74103185a8e8d. External family revision FR-D112-HOIST-002 passed 68/68 independent controls with producer hash b77f35e...e10ab and complete hash 141f3d1b...9190. Producer capsule PC-D112-HOIST-002 passed 16/16 controls and physically separates the stager from protected family paths. Runner revisions that failed custody checks remain preserved and unexecuted. Final runner revision 6 passed 53/53 independent controls, has 186/186 read-only files, zero artifacts, bounded environment, and complete hash 54d01f7b...98fb. Focused 40, protected-safe full 313/1, coverage 88.57%, validation 5/5, Ruff, baseline 9/9, and demo 2/2 pass. Semantic execution and protected comparison counts remain zero. D-113 is proposed; it would authorize exactly one invocation per eight opaque packages, raw evidence freeze, and one separate comparison. No retry, import, tuning, evaluator change, protected-fixture CI restoration, P4.3 work, or release claim is authorized.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a0892046219e4b63"/>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The accepted structured audit implements six P2.3 checks for BOM/equipment, drawing presence, datasheet authority/association/manifest reciprocity, and specification revision history. Six unsupported claims are explicitly deferred.</x:v>
      </x:c>
      <x:c r="E13" s="431" t="str">
        <x:v>P3.3</x:v>
      </x:c>
      <x:c r="F13" s="662" t="n">
        <x:v>4</x:v>
      </x:c>
      <x:c r="G13" s="431" t="n">
        <x:v>3</x:v>
      </x:c>
      <x:c r="H13" s="431" t="n">
        <x:v>4</x:v>
      </x:c>
      <x:c r="I13" s="429" t="n">
        <x:f>$B$1+(G13-1)*7</x:f>
        <x:v>46230</x:v>
      </x:c>
      <x:c r="J13" s="429" t="n">
        <x:f>$B$1+H13*7-1</x:f>
        <x:v>46243</x:v>
      </x:c>
      <x:c r="K13" s="431" t="str">
        <x:v>Complete</x:v>
      </x:c>
      <x:c r="L13" s="664" t="n">
        <x:v>1</x:v>
      </x:c>
      <x:c r="M13" s="662" t="n">
        <x:f>SUMIF('Work Block Log'!$E$5:$E$200,A13,'Work Block Log'!$F$5:$F$200)</x:f>
        <x:v>0</x:v>
      </x:c>
      <x:c r="N13" s="662" t="n">
        <x:f>MAX(F13*(1-L13),0)</x:f>
        <x:v>0</x:v>
      </x:c>
      <x:c r="O13" s="662" t="n">
        <x:f>M13-F13</x:f>
        <x:v>-4</x:v>
      </x:c>
      <x:c r="P13" s="431" t="str">
        <x:v>checks 6-11 integrated; PR #59 exact main 69c0d1b; D-085-D-108; EV-082-EV-138; eight gates; eleven checks; clean 11/11; isolated fault proofs; six unsupported claims explicitly deferred; v0.3 claim boundary frozen</x:v>
      </x:c>
      <x:c r="Q13" s="431" t="str">
        <x:v>P2.3 is complete. Begin P4.1 development benchmark regression and fault-injection coverage on a separate branch.</x:v>
      </x:c>
      <x:c r="R13" s="431" t="str">
        <x:v>v0.3.0 claims are limited to the eight gates, eleven checks, state router, and four outputs. Quantity, part/material, BOM-item/drawing, equipment/specification, datasheet-revision, and controlled technical-value reconciliation are deferred.</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03"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Complete</x:v>
      </x:c>
      <x:c r="L18" s="664" t="n">
        <x:v>1</x:v>
      </x:c>
      <x:c r="M18" s="662" t="n">
        <x:f>SUMIF('Work Block Log'!$E$5:$E$200,A18,'Work Block Log'!$F$5:$F$200)</x:f>
        <x:v>0</x:v>
      </x:c>
      <x:c r="N18" s="662" t="n">
        <x:f>MAX(F18*(1-L18),0)</x:f>
        <x:v>0</x:v>
      </x:c>
      <x:c r="O18" s="662" t="n">
        <x:f>M18-F18</x:f>
        <x:v>-3</x:v>
      </x:c>
      <x:c r="P18" s="431" t="str">
        <x:v>PR #61 exact main 5a4d57e; implementation 4cf9fe8; P4.1-DEV-1; D-109 accepted; EV-139-EV-143; IMP-020-IMP-022; 22/22 scenarios; 44/44 publications; 8/8 gates; 11/11 checks; full 319/1; hosted Linux CI green</x:v>
      </x:c>
      <x:c r="Q18" s="431" t="str">
        <x:v>P4.1 is accepted and closed; preserve its exact evaluator and runner behavior while P4.2 replacement controls are reviewed.</x:v>
      </x:c>
      <x:c r="R18" s="431" t="str">
        <x:v>Four result states have genuine full-package evidence; engineering_review_required and evaluator_uncertainty remain router/exit contract only under D-109.</x:v>
      </x:c>
      <x:c r="S18" s="669"/>
      <x:c r="T18" s="669"/>
      <x:c r="U18" s="669"/>
      <x:c r="V18" s="669"/>
      <x:c r="W18" s="669" t="str">
        <x:v>■</x:v>
      </x:c>
      <x:c r="X18" s="669"/>
    </x:row>
    <x:row r="19" ht="900"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D-113 Owner Review / Zero Runs</x:v>
      </x:c>
      <x:c r="L19" s="664" t="n">
        <x:v>0.86</x:v>
      </x:c>
      <x:c r="M19" s="662" t="n">
        <x:f>SUMIF('Work Block Log'!$E$5:$E$200,A19,'Work Block Log'!$F$5:$F$200)</x:f>
        <x:v>0</x:v>
      </x:c>
      <x:c r="N19" s="662" t="n">
        <x:f>MAX(F19*(1-L19),0)</x:f>
        <x:v>0.42000000000000004</x:v>
      </x:c>
      <x:c r="O19" s="662" t="n">
        <x:f>M19-F19</x:f>
        <x:v>-3</x:v>
      </x:c>
      <x:c r="P19" s="431" t="str">
        <x:v>PR #64 exact main 0264db7; family revision 2 68/68; producer capsule 16/16; runner revision 6 53/53; family hash 141f3d1b...9190; runner hash 54d01f7b...98fb; 186/186 read-only; semantic runs 0; focused 40; full 313/1; coverage 88.57%; validation 5/5; Ruff; baseline 9/9; demo 2/2; EV-153-EV-159; I-008; IMP-026-IMP-027; D-113 proposed</x:v>
      </x:c>
      <x:c r="Q19" s="431" t="str">
        <x:v>Owner accepts or revises D-113 before the external one-shot runner is invoked.</x:v>
      </x:c>
      <x:c r="R19" s="431" t="str">
        <x:v>No semantic invocation, retry, protected comparison, repository import, evaluator or fixture change, protected-fixture CI restoration, P4.3 work, or release claim is authorized. Preserve every failed freeze and accepted external hash.</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0.8604347826086957</x:v>
      </x:c>
      <x:c r="M24" s="683" t="n">
        <x:f>SUM(M6:M22)</x:f>
        <x:v>0</x:v>
      </x:c>
      <x:c r="N24" s="683" t="n">
        <x:f>SUM(N6:N22)</x:f>
        <x:v>6.42</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D-113 External Freeze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P4.2 - external held-out freeze review</x:v>
      </x:c>
      <x:c r="H4" s="697"/>
    </x:row>
    <x:row r="5" ht="72" customHeight="1">
      <x:c r="A5" s="688" t="str">
        <x:v>Schedule Baseline</x:v>
      </x:c>
      <x:c r="B5" s="693" t="str">
        <x:v>Legacy only; not controlling</x:v>
      </x:c>
      <x:c r="C5" s="691"/>
      <x:c r="D5" s="691"/>
      <x:c r="F5" s="696" t="str">
        <x:v>Objective</x:v>
      </x:c>
      <x:c r="G5" s="697" t="str">
        <x:v>Obtain the owner decision for one controlled first run without exposing protected answers or importing the family.</x:v>
      </x:c>
      <x:c r="H5" s="697"/>
    </x:row>
    <x:row r="6" ht="63" customHeight="1">
      <x:c r="A6" s="688" t="str">
        <x:v>Time Tracking</x:v>
      </x:c>
      <x:c r="B6" s="693" t="str">
        <x:v>Waived prospectively</x:v>
      </x:c>
      <x:c r="C6" s="691"/>
      <x:c r="D6" s="691"/>
      <x:c r="F6" s="696" t="str">
        <x:v>Gate Status</x:v>
      </x:c>
      <x:c r="G6" s="697" t="str">
        <x:v>PR #64 exact main 0264db7; family revision 2 68/68; runner revision 6 53/53; semantic runs 0.</x:v>
      </x:c>
      <x:c r="H6" s="697"/>
    </x:row>
    <x:row r="7" ht="81" customHeight="1">
      <x:c r="A7" s="688" t="str">
        <x:v>Current Gate</x:v>
      </x:c>
      <x:c r="B7" s="694" t="str">
        <x:v>Family and one-shot runner independently frozen; D-113 owner review pending; semantic runs 0</x:v>
      </x:c>
      <x:c r="C7" s="691"/>
      <x:c r="D7" s="691"/>
      <x:c r="F7" s="696" t="str">
        <x:v>Definition of Done</x:v>
      </x:c>
      <x:c r="G7" s="697" t="str">
        <x:v>D-113 accepted or revised with one-shot, failure-consumption, raw-freeze, and separate-comparison boundaries explicit.</x:v>
      </x:c>
      <x:c r="H7" s="697"/>
    </x:row>
    <x:row r="8" ht="63" customHeight="1">
      <x:c r="A8" s="688" t="str">
        <x:v>Released Kernel</x:v>
      </x:c>
      <x:c r="B8" s="691" t="str">
        <x:v>v0.2.0 / commit 45336a2</x:v>
      </x:c>
      <x:c r="C8" s="691"/>
      <x:c r="D8" s="691"/>
      <x:c r="F8" s="696" t="str">
        <x:v>Immediate Next Action</x:v>
      </x:c>
      <x:c r="G8" s="697" t="str">
        <x:v>Owner reviews D-113 before any external runner invocation.</x:v>
      </x:c>
      <x:c r="H8" s="697"/>
    </x:row>
    <x:row r="9" ht="72" customHeight="1">
      <x:c r="A9" s="688" t="str">
        <x:v>Release Target</x:v>
      </x:c>
      <x:c r="B9" s="691" t="str">
        <x:v>v0.3.0</x:v>
      </x:c>
      <x:c r="C9" s="691"/>
      <x:c r="D9" s="691"/>
      <x:c r="F9" s="696" t="str">
        <x:v>Primary Risk</x:v>
      </x:c>
      <x:c r="G9" s="697" t="str">
        <x:v>Primary risk: the first invocation is irreversible; infrastructure failure consumes the scenario and no retry is authorized.</x:v>
      </x:c>
      <x:c r="H9" s="697"/>
    </x:row>
    <x:row r="10" ht="81" customHeight="1">
      <x:c r="A10" s="688" t="str">
        <x:v>Baseline Test Count</x:v>
      </x:c>
      <x:c r="B10" s="691" t="n">
        <x:v>121</x:v>
      </x:c>
      <x:c r="C10" s="691"/>
      <x:c r="D10" s="691"/>
      <x:c r="F10" s="696" t="str">
        <x:v>Deferred</x:v>
      </x:c>
      <x:c r="G10" s="697" t="str">
        <x:v>Semantic execution, protected comparison, import, retry, tuning, evaluator changes, P4.3, and release claims.</x:v>
      </x:c>
      <x:c r="H10" s="697"/>
    </x:row>
    <x:row r="11" ht="63" customHeight="1">
      <x:c r="A11" s="688" t="str">
        <x:v>Fixture Package Families</x:v>
      </x:c>
      <x:c r="B11" s="691" t="n">
        <x:v>2</x:v>
      </x:c>
      <x:c r="C11" s="691"/>
      <x:c r="D11" s="691"/>
      <x:c r="F11" s="696" t="str">
        <x:v>Data Boundary</x:v>
      </x:c>
      <x:c r="G11" s="697" t="str">
        <x:v>External family and runner remain outside Git, hash-frozen, read-only, independently verified, and unexecuted.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Accepted</x:v>
      </x:c>
      <x:c r="C17" s="699" t="str">
        <x:v>P2.3 complete at D-108</x:v>
      </x:c>
      <x:c r="D17" s="700" t="n">
        <x:v>1</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D-113 Owner Review / Zero Runs</x:v>
      </x:c>
      <x:c r="C19" s="699" t="str">
        <x:v>External family and runner ready; no performance result yet</x:v>
      </x:c>
      <x:c r="D19" s="700" t="n">
        <x:v>0.86</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Accepted</x:v>
      </x:c>
      <x:c r="F48" s="431" t="str">
        <x:v>codex/p2.3-equipment-datasheet-manifest-reciprocity</x:v>
      </x:c>
      <x:c r="G48" s="431" t="str">
        <x:v>D-105-D-106; EV-129-EV-133; PR #58 exact main 761ac76; clean 10/10; wrong-manifest automatic_fail/hold/exit-1/four outputs; focused 93; full 308/1; coverage 88.27%</x:v>
      </x:c>
      <x:c r="H48" s="431" t="str">
        <x:v>Jason</x:v>
      </x:c>
    </x:row>
    <x:row r="49" ht="522" customHeight="1">
      <x:c r="A49" s="431" t="n">
        <x:v>26</x:v>
      </x:c>
      <x:c r="B49" s="431" t="str">
        <x:v>P2.3</x:v>
      </x:c>
      <x:c r="C49" s="431" t="str">
        <x:v>Specification revision history - check 11</x:v>
      </x:c>
      <x:c r="D49" s="431" t="str">
        <x:v>Append check 11 under exact AUTH-SPEC-003; require every release-required specification metadata revision to match exactly one current revision-history record by normalized specification_id; prove clean, wrong-valid, missing, multiple, authority, ordering, result, reports, CLI exit, and four-output behavior.</x:v>
      </x:c>
      <x:c r="E49" s="431" t="str">
        <x:v>Accepted</x:v>
      </x:c>
      <x:c r="F49" s="431" t="str">
        <x:v>codex/p2.3-specification-revision-history</x:v>
      </x:c>
      <x:c r="G49" s="431" t="str">
        <x:v>D-106-D-107; EV-133-EV-137; PR #59 exact main 69c0d1b; clean 11/11; wrong-spec automatic_fail/hold/exit-1/four outputs; focused 99; full 314/1; coverage 88.48%</x:v>
      </x:c>
      <x:c r="H49" s="431" t="str">
        <x:v>Jason</x:v>
      </x:c>
    </x:row>
    <x:row r="50" ht="450" customHeight="1">
      <x:c r="A50" s="431" t="n">
        <x:v>27</x:v>
      </x:c>
      <x:c r="B50" s="431" t="str">
        <x:v>P2.3 / P4.1</x:v>
      </x:c>
      <x:c r="C50" s="431" t="str">
        <x:v>P2.3 completion and benchmark entry</x:v>
      </x:c>
      <x:c r="D50" s="431" t="str">
        <x:v>Close P2.3 for the exact eight-gate and eleven-check scope; defer six unsupported claims; freeze bounded v0.3.0 language; authorize development benchmark regression without protected held-out semantic execution.</x:v>
      </x:c>
      <x:c r="E50" s="431" t="str">
        <x:v>Accepted / P4.1 Active</x:v>
      </x:c>
      <x:c r="F50" s="431" t="str">
        <x:v>codex/p2.3-completion-claim-boundary</x:v>
      </x:c>
      <x:c r="G50" s="431" t="str">
        <x:v>D-107-D-108; EV-137-EV-138; PR #59 exact main 69c0d1b; p2_3_completion_and_claim_boundary_v0.3.0.md; six gaps deferred; P4.1 authorized; P4.2 blocked</x:v>
      </x:c>
      <x:c r="H50" s="431" t="str">
        <x:v>Jason</x:v>
      </x:c>
    </x:row>
    <x:row r="51" ht="450" customHeight="1">
      <x:c r="A51" s="431" t="n">
        <x:v>28</x:v>
      </x:c>
      <x:c r="B51" s="431" t="str">
        <x:v>P4.1</x:v>
      </x:c>
      <x:c r="C51" s="431" t="str">
        <x:v>Development benchmark and fault injection</x:v>
      </x:c>
      <x:c r="D51" s="431" t="str">
        <x:v>Verify the accepted clean baseline; generate 21 controlled faults; execute all 22 development scenarios twice; compare exact normalized four-output oracles; preserve evidence; separate genuine full-audit state coverage from router-only capability.</x:v>
      </x:c>
      <x:c r="E51" s="431" t="str">
        <x:v>Complete</x:v>
      </x:c>
      <x:c r="F51" s="431" t="str">
        <x:v>codex/p4.1-development-benchmark</x:v>
      </x:c>
      <x:c r="G51" s="431" t="str">
        <x:v>PR #61 exact main 5a4d57e; implementation 4cf9fe8; P4.1-DEV-1; D-109 accepted; EV-139-EV-143; 22/22 scenarios; 44/44 publications; 8/8 gates; 11/11 checks; hosted Linux CI green</x:v>
      </x:c>
      <x:c r="H51" s="431" t="str">
        <x:v>Jason</x:v>
      </x:c>
    </x:row>
    <x:row r="52" ht="522" customHeight="1">
      <x:c r="A52" s="431" t="n">
        <x:v>29</x:v>
      </x:c>
      <x:c r="B52" s="431" t="str">
        <x:v>P4.2</x:v>
      </x:c>
      <x:c r="C52" s="431" t="str">
        <x:v>Accepted external-custody recovery integration</x:v>
      </x:c>
      <x:c r="D52" s="431" t="str">
        <x:v>Integrate D-112, then use fresh isolated custodians to author, verify, hash-freeze, and oracle-blind-stage a materially distinct replacement outside the repository without semantic execution.</x:v>
      </x:c>
      <x:c r="E52" s="431" t="str">
        <x:v>D-112 Accepted / Integration Pending</x:v>
      </x:c>
      <x:c r="F52" s="431" t="str">
        <x:v>codex/p4.2-held-out-second-recovery</x:v>
      </x:c>
      <x:c r="G52" s="431" t="str">
        <x:v>PR #63 exact main 4d2c0f5; D-112 accepted 2026-07-22; PR #64 pending; semantic runs 0; EV-150-EV-152; I-007; IMP-025</x:v>
      </x:c>
      <x:c r="H52" s="431" t="str">
        <x:v>Jason</x:v>
      </x:c>
    </x:row>
    <x:row r="53" ht="630" customHeight="1">
      <x:c r="A53" s="431" t="n">
        <x:v>30</x:v>
      </x:c>
      <x:c r="B53" s="431" t="str">
        <x:v>P4.2</x:v>
      </x:c>
      <x:c r="C53" s="431" t="str">
        <x:v>External family and one-shot runner freeze review</x:v>
      </x:c>
      <x:c r="D53" s="431" t="str">
        <x:v>Record the independently verified external family and runner identities, preserve all failed freezes, and obtain D-113 before one irreversible semantic run per opaque package.</x:v>
      </x:c>
      <x:c r="E53" s="431" t="str">
        <x:v>D-113 Owner Review / Zero Runs</x:v>
      </x:c>
      <x:c r="F53" s="431" t="str">
        <x:v>codex/p4.2-external-held-out-freeze</x:v>
      </x:c>
      <x:c r="G53" s="431" t="str">
        <x:v>PR #64 exact main 0264db7; family revision 2 68/68; capsule 16/16; runner revision 6 53/53; 186/186 read-only; semantic runs 0; focused 40; full 313/1; coverage 88.57%; EV-153-EV-159; I-008; IMP-026-IMP-027</x:v>
      </x:c>
      <x:c r="H53"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