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9b671d73c044d0a" /></Relationships>
</file>

<file path=xl/workbook.xml><?xml version="1.0" encoding="utf-8"?>
<x:workbook xmlns:x="http://schemas.openxmlformats.org/spreadsheetml/2006/main">
  <x:sheets>
    <x:sheet xmlns:r="http://schemas.openxmlformats.org/officeDocument/2006/relationships" name="Start Here" sheetId="1" r:id="R78e5cd83710b4d21"/>
    <x:sheet xmlns:r="http://schemas.openxmlformats.org/officeDocument/2006/relationships" name="Executive Gantt" sheetId="2" r:id="Re5fd203a419c4013"/>
    <x:sheet xmlns:r="http://schemas.openxmlformats.org/officeDocument/2006/relationships" name="Detailed Gantt" sheetId="3" r:id="Rbc31d31d82db45f0"/>
    <x:sheet xmlns:r="http://schemas.openxmlformats.org/officeDocument/2006/relationships" name="Weekly Control" sheetId="4" r:id="Rbbe81963fb454ae9"/>
    <x:sheet xmlns:r="http://schemas.openxmlformats.org/officeDocument/2006/relationships" name="Phase Summary" sheetId="5" r:id="R945fc4425ad54475"/>
    <x:sheet xmlns:r="http://schemas.openxmlformats.org/officeDocument/2006/relationships" name="Assumptions &amp; Gates" sheetId="6" r:id="Re7c4e34989ca4338"/>
    <x:sheet xmlns:r="http://schemas.openxmlformats.org/officeDocument/2006/relationships" name="Sources" sheetId="7" r:id="R5287e46898ed42f6"/>
    <x:sheet xmlns:r="http://schemas.openxmlformats.org/officeDocument/2006/relationships" name="Legacy Baseline" sheetId="8" r:id="Rb932d3abb4324fe4"/>
    <x:sheet xmlns:r="http://schemas.openxmlformats.org/officeDocument/2006/relationships" name="Work Block Log" sheetId="9" r:id="Raf891d54d8d64538"/>
    <x:sheet xmlns:r="http://schemas.openxmlformats.org/officeDocument/2006/relationships" name="Decision Register" sheetId="10" r:id="R0daf0c634a3845ba"/>
    <x:sheet xmlns:r="http://schemas.openxmlformats.org/officeDocument/2006/relationships" name="Risks &amp; Issues" sheetId="11" r:id="R864a9b4d312d4ed1"/>
    <x:sheet xmlns:r="http://schemas.openxmlformats.org/officeDocument/2006/relationships" name="Evidence Register" sheetId="12" r:id="R19ef2662907d4314"/>
    <x:sheet xmlns:r="http://schemas.openxmlformats.org/officeDocument/2006/relationships" name="Expansion Backlog" sheetId="13" r:id="R0a7cc30b643e421e"/>
    <x:sheet xmlns:r="http://schemas.openxmlformats.org/officeDocument/2006/relationships" name="AI Context" sheetId="14" r:id="R4e72780ce21c4f34"/>
    <x:sheet xmlns:r="http://schemas.openxmlformats.org/officeDocument/2006/relationships" name="MVP Dashboard" sheetId="15" r:id="Rafa2fd3c22ed46b7"/>
    <x:sheet xmlns:r="http://schemas.openxmlformats.org/officeDocument/2006/relationships" name="Product Vision" sheetId="16" r:id="R9840d0cf605949b9"/>
    <x:sheet xmlns:r="http://schemas.openxmlformats.org/officeDocument/2006/relationships" name="Pilot Gantt" sheetId="17" r:id="Ra2d09c3b547b43ed"/>
    <x:sheet xmlns:r="http://schemas.openxmlformats.org/officeDocument/2006/relationships" name="Pilot Dashboard" sheetId="18" r:id="Raabed6bbba494917"/>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<x:sst xmlns:x="http://schemas.openxmlformats.org/spreadsheetml/2006/main">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</x:sst>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4ce837ab0de41d5" /><Relationship Type="http://schemas.openxmlformats.org/officeDocument/2006/relationships/theme" Target="/xl/theme/theme1.xml" Id="R1cf1ee4242c84c08" /><Relationship Type="http://schemas.openxmlformats.org/officeDocument/2006/relationships/sharedStrings" Target="/xl/sharedStrings.xml" Id="Rcf54904606f64acb" /><Relationship Type="http://schemas.openxmlformats.org/officeDocument/2006/relationships/worksheet" Target="/xl/worksheets/sheet1.xml" Id="R78e5cd83710b4d21" /><Relationship Type="http://schemas.openxmlformats.org/officeDocument/2006/relationships/worksheet" Target="/xl/worksheets/sheet2.xml" Id="Re5fd203a419c4013" /><Relationship Type="http://schemas.openxmlformats.org/officeDocument/2006/relationships/worksheet" Target="/xl/worksheets/sheet3.xml" Id="Rbc31d31d82db45f0" /><Relationship Type="http://schemas.openxmlformats.org/officeDocument/2006/relationships/worksheet" Target="/xl/worksheets/sheet4.xml" Id="Rbbe81963fb454ae9" /><Relationship Type="http://schemas.openxmlformats.org/officeDocument/2006/relationships/worksheet" Target="/xl/worksheets/sheet5.xml" Id="R945fc4425ad54475" /><Relationship Type="http://schemas.openxmlformats.org/officeDocument/2006/relationships/worksheet" Target="/xl/worksheets/sheet6.xml" Id="Re7c4e34989ca4338" /><Relationship Type="http://schemas.openxmlformats.org/officeDocument/2006/relationships/worksheet" Target="/xl/worksheets/sheet7.xml" Id="R5287e46898ed42f6" /><Relationship Type="http://schemas.openxmlformats.org/officeDocument/2006/relationships/worksheet" Target="/xl/worksheets/sheet8.xml" Id="Rb932d3abb4324fe4" /><Relationship Type="http://schemas.openxmlformats.org/officeDocument/2006/relationships/worksheet" Target="/xl/worksheets/sheet9.xml" Id="Raf891d54d8d64538" /><Relationship Type="http://schemas.openxmlformats.org/officeDocument/2006/relationships/worksheet" Target="/xl/worksheets/sheet10.xml" Id="R0daf0c634a3845ba" /><Relationship Type="http://schemas.openxmlformats.org/officeDocument/2006/relationships/worksheet" Target="/xl/worksheets/sheet11.xml" Id="R864a9b4d312d4ed1" /><Relationship Type="http://schemas.openxmlformats.org/officeDocument/2006/relationships/worksheet" Target="/xl/worksheets/sheet12.xml" Id="R19ef2662907d4314" /><Relationship Type="http://schemas.openxmlformats.org/officeDocument/2006/relationships/worksheet" Target="/xl/worksheets/sheet13.xml" Id="R0a7cc30b643e421e" /><Relationship Type="http://schemas.openxmlformats.org/officeDocument/2006/relationships/worksheet" Target="/xl/worksheets/sheet14.xml" Id="R4e72780ce21c4f34" /><Relationship Type="http://schemas.openxmlformats.org/officeDocument/2006/relationships/worksheet" Target="/xl/worksheets/sheet15.xml" Id="Rafa2fd3c22ed46b7" /><Relationship Type="http://schemas.openxmlformats.org/officeDocument/2006/relationships/worksheet" Target="/xl/worksheets/sheet16.xml" Id="R9840d0cf605949b9" /><Relationship Type="http://schemas.openxmlformats.org/officeDocument/2006/relationships/worksheet" Target="/xl/worksheets/sheet17.xml" Id="Ra2d09c3b547b43ed" /><Relationship Type="http://schemas.openxmlformats.org/officeDocument/2006/relationships/worksheet" Target="/xl/worksheets/sheet18.xml" Id="Raabed6bbba494917" /></Relationships>
</file>

<file path=xl/drawings/_rels/drawing1.xml.rels>&#65279;<?xml version="1.0" encoding="utf-8"?><Relationships xmlns="http://schemas.openxmlformats.org/package/2006/relationships"><Relationship Type="http://schemas.openxmlformats.org/officeDocument/2006/relationships/chart" Target="/xl/drawings/charts/chart1.xml" Id="R99291bd4f6dc4693" /></Relationships>
</file>

<file path=xl/drawings/_rels/drawing2.xml.rels>&#65279;<?xml version="1.0" encoding="utf-8"?><Relationships xmlns="http://schemas.openxmlformats.org/package/2006/relationships"><Relationship Type="http://schemas.openxmlformats.org/officeDocument/2006/relationships/chart" Target="/xl/drawings/charts/chart2.xml" Id="R37366466eaa745f6" /></Relationships>
</file>

<file path=xl/drawings/_rels/drawing3.xml.rels>&#65279;<?xml version="1.0" encoding="utf-8"?><Relationships xmlns="http://schemas.openxmlformats.org/package/2006/relationships"><Relationship Type="http://schemas.openxmlformats.org/officeDocument/2006/relationships/chart" Target="/xl/drawings/charts/chart3.xml" Id="R01c8421f5f4947ea"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9291bd4f6dc4693"/>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7366466eaa745f6"/>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1c8421f5f4947e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7f075753430c4b7d" /></Relationships>
</file>

<file path=xl/worksheets/_rels/sheet5.xml.rels>&#65279;<?xml version="1.0" encoding="utf-8"?><Relationships xmlns="http://schemas.openxmlformats.org/package/2006/relationships"><Relationship Type="http://schemas.openxmlformats.org/officeDocument/2006/relationships/drawing" Target="/xl/drawings/drawing2.xml" Id="R5008a418c49e4f88" /></Relationships>
</file>

<file path=xl/worksheets/_rels/sheet15.xml.rels>&#65279;<?xml version="1.0" encoding="utf-8"?><Relationships xmlns="http://schemas.openxmlformats.org/package/2006/relationships"><Relationship Type="http://schemas.openxmlformats.org/officeDocument/2006/relationships/drawing" Target="/xl/drawings/drawing3.xml" Id="R2f5c028963654daa"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second P2.2 implementation accepted; integration pending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second relationship-slice integration</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Integrate accepted drawing metadata presence implementation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Merge PR #31, verify exact main, then open only the next definition block</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35" hidden="0" customHeight="1">
      <x:c r="A28" s="704" t="str">
        <x:v>The user accepted drawing_register_metadata_presence v0.3.0 on 2026-07-17. Implementation commit b24ca65 adds only the accepted check after the existing revision check. A clean package passes; one or both missing metadata records emit exact sorted DRAWING_METADATA_MISSING automatic-fail release holds with authoritative row and searched collection evidence. Repeated and reordered runs preserve semantic identity; failed P2.1 prerequisites skip both checks. Focused 35, full 206/1, validation 5/5, Ruff, 84.93% coverage, and PR #31 CI pass. Merge and verify PR #31 before defining the reverse metadata-without-register authority slice. No further implementation is authorized.</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7f075753430c4b7d"/>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5008a418c49e4f88"/>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Active</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second relationship-slice integration</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The first P2.2 revision slice is integrated and verified. The user accepted the second implementation on 2026-07-17. Commit b24ca65 on PR #31 detects authoritative register drawings missing metadata counterparts with deterministic release-hold findings and negative collection evidence. PR #31 integration is pending. Reverse orphan implementation, remaining P2.2 relationships, P2.3 rules, P2.4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Merge PR #31, verify the exact main commit, then create only a definition branch for metadata records with no drawing-register authority.</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The user accepted drawing_register_metadata_presence v0.3.0 on 2026-07-17. Commit b24ca65 appends it after drawing_register_metadata_revision without changing P2.1 gates or revision semantics. It emits DRAWING_METADATA_MISSING, exact drawing_number membership, automatic_fail and release-hold behavior under AUTH-DWG-001, authoritative row plus searched /records collection evidence, stable identity and ordering, and two-check prerequisite skips. Focused 35, full 206/1, validation 5/5, Ruff, 84.93% coverage, and PR #31 CI pass. After verified integration, define but do not implement the reverse metadata-without-register missing-authority outcome.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2f5c028963654daa"/>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80"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0.2</x:v>
      </x:c>
      <x:c r="M12" s="662" t="n">
        <x:f>SUMIF('Work Block Log'!$E$5:$E$200,A12,'Work Block Log'!$F$5:$F$200)</x:f>
        <x:v>0</x:v>
      </x:c>
      <x:c r="N12" s="662" t="n">
        <x:f>MAX(F12*(1-L12),0)</x:f>
        <x:v>3.2</x:v>
      </x:c>
      <x:c r="O12" s="662" t="n">
        <x:f>M12-F12</x:f>
        <x:v>-4</x:v>
      </x:c>
      <x:c r="P12" s="431" t="str">
        <x:v>first slice integrated through PR #28 at main 5866212; second definition through PR #30 at main 551200b; accepted implementation b24ca65; PR #31 green; focused 35; full 206/1; validation 5/5; Ruff; coverage 84.93%; user acceptance 2026-07-17; codex/p2.2-drawing-metadata-presence-implementation; D-049-D-058; EV-046-EV-055</x:v>
      </x:c>
      <x:c r="Q12" s="431" t="str">
        <x:v>Merge PR #31, verify exact main and protected-asset integrity, then create a definition-only branch for reverse metadata-without-register authority.</x:v>
      </x:c>
      <x:c r="R12" s="431" t="str">
        <x:v>The second slice is accepted and awaits integration. Reverse orphan metadata has different authority routing and remains definition-only after integration. P2.2 stays open until additional relationship outcomes are accepted.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0.34347826086956523</x:v>
      </x:c>
      <x:c r="M24" s="683" t="n">
        <x:f>SUM(M6:M22)</x:f>
        <x:v>0</x:v>
      </x:c>
      <x:c r="N24" s="683" t="n">
        <x:f>SUM(N6:N22)</x:f>
        <x:v>30.2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Second P2.2 Implementation Accepted</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metadata presence integration</x:v>
      </x:c>
      <x:c r="H4" s="697"/>
    </x:row>
    <x:row r="5" ht="54" customHeight="1">
      <x:c r="A5" s="688" t="str">
        <x:v>Schedule Baseline</x:v>
      </x:c>
      <x:c r="B5" s="693" t="str">
        <x:v>Legacy only; not controlling</x:v>
      </x:c>
      <x:c r="C5" s="691"/>
      <x:c r="D5" s="691"/>
      <x:c r="F5" s="696" t="str">
        <x:v>Objective</x:v>
      </x:c>
      <x:c r="G5" s="697" t="str">
        <x:v>Integrate the accepted directional missing-counterpart implementation and verify main.</x:v>
      </x:c>
      <x:c r="H5" s="697"/>
    </x:row>
    <x:row r="6" ht="54" customHeight="1">
      <x:c r="A6" s="688" t="str">
        <x:v>Time Tracking</x:v>
      </x:c>
      <x:c r="B6" s="693" t="str">
        <x:v>Waived prospectively</x:v>
      </x:c>
      <x:c r="C6" s="691"/>
      <x:c r="D6" s="691"/>
      <x:c r="F6" s="696" t="str">
        <x:v>Gate Status</x:v>
      </x:c>
      <x:c r="G6" s="697" t="str">
        <x:v>User accepted b24ca65 on 2026-07-17; PR #31 and all checks are green.</x:v>
      </x:c>
      <x:c r="H6" s="697"/>
    </x:row>
    <x:row r="7" ht="54" customHeight="1">
      <x:c r="A7" s="688" t="str">
        <x:v>Current Gate</x:v>
      </x:c>
      <x:c r="B7" s="694" t="str">
        <x:v>P2.2 second relationship-slice integration</x:v>
      </x:c>
      <x:c r="C7" s="691"/>
      <x:c r="D7" s="691"/>
      <x:c r="F7" s="696" t="str">
        <x:v>Definition of Done</x:v>
      </x:c>
      <x:c r="G7" s="697" t="str">
        <x:v>PR #31 merges, exact main verification passes, and protected assets remain unchanged.</x:v>
      </x:c>
      <x:c r="H7" s="697"/>
    </x:row>
    <x:row r="8" ht="63" customHeight="1">
      <x:c r="A8" s="688" t="str">
        <x:v>Released Kernel</x:v>
      </x:c>
      <x:c r="B8" s="691" t="str">
        <x:v>v0.2.0 / commit 45336a2</x:v>
      </x:c>
      <x:c r="C8" s="691"/>
      <x:c r="D8" s="691"/>
      <x:c r="F8" s="696" t="str">
        <x:v>Immediate Next Action</x:v>
      </x:c>
      <x:c r="G8" s="697" t="str">
        <x:v>Merge PR #31, verify main, then create only the reverse-authority definition branch.</x:v>
      </x:c>
      <x:c r="H8" s="697"/>
    </x:row>
    <x:row r="9" ht="63" customHeight="1">
      <x:c r="A9" s="688" t="str">
        <x:v>Release Target</x:v>
      </x:c>
      <x:c r="B9" s="691" t="str">
        <x:v>v0.3.0</x:v>
      </x:c>
      <x:c r="C9" s="691"/>
      <x:c r="D9" s="691"/>
      <x:c r="F9" s="696" t="str">
        <x:v>Primary Risk</x:v>
      </x:c>
      <x:c r="G9" s="697" t="str">
        <x:v>Primary risk is beginning reverse-direction code before its missing-authority contract is accepted.</x:v>
      </x:c>
      <x:c r="H9" s="697"/>
    </x:row>
    <x:row r="10" ht="63" customHeight="1">
      <x:c r="A10" s="688" t="str">
        <x:v>Baseline Test Count</x:v>
      </x:c>
      <x:c r="B10" s="691" t="n">
        <x:v>121</x:v>
      </x:c>
      <x:c r="C10" s="691"/>
      <x:c r="D10" s="691"/>
      <x:c r="F10" s="696" t="str">
        <x:v>Deferred</x:v>
      </x:c>
      <x:c r="G10" s="697" t="str">
        <x:v>Reverse orphan metadata, other P2.2 rules, routing, reports, CLI,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First P2.2 slice integrated; second directional implementation accepted and awaiting integration; broader P2.2 remains open</x:v>
      </x:c>
      <x:c r="D17" s="700" t="n">
        <x:f>AVERAGE('Pilot Gantt'!L11:L14)</x:f>
        <x:v>0.3</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35" customHeight="1">
      <x:c r="A27" s="431" t="n">
        <x:v>4</x:v>
      </x:c>
      <x:c r="B27" s="431" t="str">
        <x:v>P2.2</x:v>
      </x:c>
      <x:c r="C27" s="431" t="str">
        <x:v>Drawing metadata presence integration</x:v>
      </x:c>
      <x:c r="D27" s="431" t="str">
        <x:v>Integrate the accepted authoritative register-to-metadata absence implementation, verify the exact main tree, then open only the reverse-authority definition block.</x:v>
      </x:c>
      <x:c r="E27" s="431" t="str">
        <x:v>Accepted / Integration</x:v>
      </x:c>
      <x:c r="F27" s="431" t="str">
        <x:v>codex/p2.2-drawing-metadata-presence-implementation</x:v>
      </x:c>
      <x:c r="G27" s="431" t="str">
        <x:v>b24ca65; 56368e9; PR #31 green; user accepted 2026-07-17; D-053-D-058; EV-050-EV-055; focused 35; full 206/1; coverage 84.93%</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