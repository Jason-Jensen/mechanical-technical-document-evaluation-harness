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8bc955ce3e24ffe" /></Relationships>
</file>

<file path=xl/workbook.xml><?xml version="1.0" encoding="utf-8"?>
<x:workbook xmlns:x="http://schemas.openxmlformats.org/spreadsheetml/2006/main">
  <x:sheets>
    <x:sheet xmlns:r="http://schemas.openxmlformats.org/officeDocument/2006/relationships" name="Start Here" sheetId="1" r:id="Ra31a8975558c4a44"/>
    <x:sheet xmlns:r="http://schemas.openxmlformats.org/officeDocument/2006/relationships" name="Executive Gantt" sheetId="2" r:id="R014e04cdad9543b3"/>
    <x:sheet xmlns:r="http://schemas.openxmlformats.org/officeDocument/2006/relationships" name="Detailed Gantt" sheetId="3" r:id="R0a7109b283c7478b"/>
    <x:sheet xmlns:r="http://schemas.openxmlformats.org/officeDocument/2006/relationships" name="Weekly Control" sheetId="4" r:id="Rf8b328d23e684b4d"/>
    <x:sheet xmlns:r="http://schemas.openxmlformats.org/officeDocument/2006/relationships" name="Phase Summary" sheetId="5" r:id="R5c673c1cbf74456b"/>
    <x:sheet xmlns:r="http://schemas.openxmlformats.org/officeDocument/2006/relationships" name="Assumptions &amp; Gates" sheetId="6" r:id="R598f73356f7d424c"/>
    <x:sheet xmlns:r="http://schemas.openxmlformats.org/officeDocument/2006/relationships" name="Sources" sheetId="7" r:id="R1bd573556d0b4d5c"/>
    <x:sheet xmlns:r="http://schemas.openxmlformats.org/officeDocument/2006/relationships" name="Legacy Baseline" sheetId="8" r:id="Rbd865f1b91b347d6"/>
    <x:sheet xmlns:r="http://schemas.openxmlformats.org/officeDocument/2006/relationships" name="Work Block Log" sheetId="9" r:id="R9fde06c2963a4b81"/>
    <x:sheet xmlns:r="http://schemas.openxmlformats.org/officeDocument/2006/relationships" name="Decision Register" sheetId="10" r:id="R95aad9dbb9174b8a"/>
    <x:sheet xmlns:r="http://schemas.openxmlformats.org/officeDocument/2006/relationships" name="Risks &amp; Issues" sheetId="11" r:id="Rd1238e1a221e4558"/>
    <x:sheet xmlns:r="http://schemas.openxmlformats.org/officeDocument/2006/relationships" name="Evidence Register" sheetId="12" r:id="R938584cf407d48ee"/>
    <x:sheet xmlns:r="http://schemas.openxmlformats.org/officeDocument/2006/relationships" name="Expansion Backlog" sheetId="13" r:id="R568cd1d6ee8144bb"/>
    <x:sheet xmlns:r="http://schemas.openxmlformats.org/officeDocument/2006/relationships" name="AI Context" sheetId="14" r:id="Rbc3a23a618a3452f"/>
    <x:sheet xmlns:r="http://schemas.openxmlformats.org/officeDocument/2006/relationships" name="MVP Dashboard" sheetId="15" r:id="R578f0fbec8ae417a"/>
    <x:sheet xmlns:r="http://schemas.openxmlformats.org/officeDocument/2006/relationships" name="Product Vision" sheetId="16" r:id="Ra46c5e8f43324721"/>
    <x:sheet xmlns:r="http://schemas.openxmlformats.org/officeDocument/2006/relationships" name="Pilot Gantt" sheetId="17" r:id="Rec7a16d5afec492e"/>
    <x:sheet xmlns:r="http://schemas.openxmlformats.org/officeDocument/2006/relationships" name="Pilot Dashboard" sheetId="18" r:id="R10b97e841fbe426f"/>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<x:sst xmlns:x="http://schemas.openxmlformats.org/spreadsheetml/2006/main">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</x:sst>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fdb29ca5e5f497a" /><Relationship Type="http://schemas.openxmlformats.org/officeDocument/2006/relationships/theme" Target="/xl/theme/theme1.xml" Id="R5ee40b3f69324a94" /><Relationship Type="http://schemas.openxmlformats.org/officeDocument/2006/relationships/sharedStrings" Target="/xl/sharedStrings.xml" Id="R8a110e3f3ee0492c" /><Relationship Type="http://schemas.openxmlformats.org/officeDocument/2006/relationships/worksheet" Target="/xl/worksheets/sheet1.xml" Id="Ra31a8975558c4a44" /><Relationship Type="http://schemas.openxmlformats.org/officeDocument/2006/relationships/worksheet" Target="/xl/worksheets/sheet2.xml" Id="R014e04cdad9543b3" /><Relationship Type="http://schemas.openxmlformats.org/officeDocument/2006/relationships/worksheet" Target="/xl/worksheets/sheet3.xml" Id="R0a7109b283c7478b" /><Relationship Type="http://schemas.openxmlformats.org/officeDocument/2006/relationships/worksheet" Target="/xl/worksheets/sheet4.xml" Id="Rf8b328d23e684b4d" /><Relationship Type="http://schemas.openxmlformats.org/officeDocument/2006/relationships/worksheet" Target="/xl/worksheets/sheet5.xml" Id="R5c673c1cbf74456b" /><Relationship Type="http://schemas.openxmlformats.org/officeDocument/2006/relationships/worksheet" Target="/xl/worksheets/sheet6.xml" Id="R598f73356f7d424c" /><Relationship Type="http://schemas.openxmlformats.org/officeDocument/2006/relationships/worksheet" Target="/xl/worksheets/sheet7.xml" Id="R1bd573556d0b4d5c" /><Relationship Type="http://schemas.openxmlformats.org/officeDocument/2006/relationships/worksheet" Target="/xl/worksheets/sheet8.xml" Id="Rbd865f1b91b347d6" /><Relationship Type="http://schemas.openxmlformats.org/officeDocument/2006/relationships/worksheet" Target="/xl/worksheets/sheet9.xml" Id="R9fde06c2963a4b81" /><Relationship Type="http://schemas.openxmlformats.org/officeDocument/2006/relationships/worksheet" Target="/xl/worksheets/sheet10.xml" Id="R95aad9dbb9174b8a" /><Relationship Type="http://schemas.openxmlformats.org/officeDocument/2006/relationships/worksheet" Target="/xl/worksheets/sheet11.xml" Id="Rd1238e1a221e4558" /><Relationship Type="http://schemas.openxmlformats.org/officeDocument/2006/relationships/worksheet" Target="/xl/worksheets/sheet12.xml" Id="R938584cf407d48ee" /><Relationship Type="http://schemas.openxmlformats.org/officeDocument/2006/relationships/worksheet" Target="/xl/worksheets/sheet13.xml" Id="R568cd1d6ee8144bb" /><Relationship Type="http://schemas.openxmlformats.org/officeDocument/2006/relationships/worksheet" Target="/xl/worksheets/sheet14.xml" Id="Rbc3a23a618a3452f" /><Relationship Type="http://schemas.openxmlformats.org/officeDocument/2006/relationships/worksheet" Target="/xl/worksheets/sheet15.xml" Id="R578f0fbec8ae417a" /><Relationship Type="http://schemas.openxmlformats.org/officeDocument/2006/relationships/worksheet" Target="/xl/worksheets/sheet16.xml" Id="Ra46c5e8f43324721" /><Relationship Type="http://schemas.openxmlformats.org/officeDocument/2006/relationships/worksheet" Target="/xl/worksheets/sheet17.xml" Id="Rec7a16d5afec492e" /><Relationship Type="http://schemas.openxmlformats.org/officeDocument/2006/relationships/worksheet" Target="/xl/worksheets/sheet18.xml" Id="R10b97e841fbe426f" /></Relationships>
</file>

<file path=xl/drawings/_rels/drawing1.xml.rels>&#65279;<?xml version="1.0" encoding="utf-8"?><Relationships xmlns="http://schemas.openxmlformats.org/package/2006/relationships"><Relationship Type="http://schemas.openxmlformats.org/officeDocument/2006/relationships/chart" Target="/xl/drawings/charts/chart1.xml" Id="R00dc496ad5cc43be" /></Relationships>
</file>

<file path=xl/drawings/_rels/drawing2.xml.rels>&#65279;<?xml version="1.0" encoding="utf-8"?><Relationships xmlns="http://schemas.openxmlformats.org/package/2006/relationships"><Relationship Type="http://schemas.openxmlformats.org/officeDocument/2006/relationships/chart" Target="/xl/drawings/charts/chart2.xml" Id="Re77e55add3974edd" /></Relationships>
</file>

<file path=xl/drawings/_rels/drawing3.xml.rels>&#65279;<?xml version="1.0" encoding="utf-8"?><Relationships xmlns="http://schemas.openxmlformats.org/package/2006/relationships"><Relationship Type="http://schemas.openxmlformats.org/officeDocument/2006/relationships/chart" Target="/xl/drawings/charts/chart3.xml" Id="Rb70571b56adf401f"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dc496ad5cc43be"/>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77e55add3974ed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70571b56adf401f"/>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77c3667bebb24380" /></Relationships>
</file>

<file path=xl/worksheets/_rels/sheet5.xml.rels>&#65279;<?xml version="1.0" encoding="utf-8"?><Relationships xmlns="http://schemas.openxmlformats.org/package/2006/relationships"><Relationship Type="http://schemas.openxmlformats.org/officeDocument/2006/relationships/drawing" Target="/xl/drawings/drawing2.xml" Id="R3e8c1b392db944d9" /></Relationships>
</file>

<file path=xl/worksheets/_rels/sheet15.xml.rels>&#65279;<?xml version="1.0" encoding="utf-8"?><Relationships xmlns="http://schemas.openxmlformats.org/package/2006/relationships"><Relationship Type="http://schemas.openxmlformats.org/officeDocument/2006/relationships/drawing" Target="/xl/drawings/drawing3.xml" Id="Rcf44071fb9794fcb"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P3.2 accepted/integrated; P3.3 active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P3.3 atomic report publication and audit-package CLI</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P3.3 - Implement bounded runnable audit workflow</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Implement and verify P3.3 only; keep P2.3 and deferred capabilities blocked</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3" hidden="0" customHeight="1">
      <x:c r="A28" s="597" t="str">
        <x:v>P3.2 implementation 7536bea was explicitly accepted and integrated at exact main 4b848b9. Exact-main verification: 36 focused package-result/report tests passed; full 258 passed / 1 expected Windows symlink skip; repository validation 5/5; Ruff passed; coverage 86.75%. D-082 and EV-079 close P3.2 and authorize only P3.3: atomically publish package_result.json, issue_register.csv, issue_register.md, and release_readiness.md from the accepted pipeline through one audit-package command with stable exits. Broad P2.3 expansion, semantic held-out execution, protected changes, PDF/CAD, agents, API/database/RAG/frontend, and other deferred capabilities remain blocked.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77c3667bebb24380"/>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3e8c1b392db944d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P3.3 atomic publication and audit-package CLI active</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P3.2 is accepted and integrated. The remaining gap to the first runnable audit is P3.3 report publication and CLI integration; broad P2.3 relationships and semantic held-out execution remain later work.</x:v>
      </x:c>
      <x:c r="E7" s="765" t="str">
        <x:v>Product interpretation</x:v>
      </x:c>
      <x:c r="F7" s="431" t="str">
        <x:v>Successful kernel; not yet a complete economically useful workflow.</x:v>
      </x:c>
      <x:c r="G7" s="765" t="str">
        <x:v>Response</x:v>
      </x:c>
      <x:c r="H7" s="431" t="str">
        <x:v>Implement one bounded command, immutable multi-file publication, stable exits, controlled-failure preservation, and no evaluator-meaning changes.</x:v>
      </x:c>
    </x:row>
    <x:row r="8" ht="99" hidden="0" customHeight="1">
      <x:c r="A8" s="765" t="str">
        <x:v>Immediate next action</x:v>
      </x:c>
      <x:c r="B8" s="431" t="str">
        <x:v>Start codex/p3.3-audit-package-cli from exact accepted main 4b848b9 and implement only the frozen P3.3 contract.</x:v>
      </x:c>
      <x:c r="C8" s="765" t="str">
        <x:v>Selected vertical</x:v>
      </x:c>
      <x:c r="D8" s="431" t="str">
        <x:v>Eight gates -&gt; five checks -&gt; canonical result -&gt; issue views -&gt; readiness view -&gt; atomic publication through audit-package.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44" hidden="0" customHeight="1">
      <x:c r="A41" s="604" t="str">
        <x:v>Immediate implication</x:v>
      </x:c>
      <x:c r="B41" s="605"/>
      <x:c r="C41" s="606" t="str">
        <x:v>P3.2 implementation 7536bea was explicitly accepted and integrated at exact main 4b848b9. Exact-main proof: focused package-result/report 36; full 258/1; validation 5/5; Ruff; coverage 86.75%; inspected revision-conflict result and summary agreed exactly and contained no absolute path or approval claim. D-082 and EV-079 authorize only P3.3 atomic publication and audit-package CLI work. Package-state exits 0-5, usage exit 64, and pre-result internal exit 70 remain the accepted contract. P2.3 expansion, held-out semantics, protected changes,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cf44071fb9794fcb"/>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In Progress</x:v>
      </x:c>
      <x:c r="L17" s="664" t="n">
        <x:v>0</x:v>
      </x:c>
      <x:c r="M17" s="662" t="n">
        <x:f>SUMIF('Work Block Log'!$E$5:$E$200,A17,'Work Block Log'!$F$5:$F$200)</x:f>
        <x:v>0</x:v>
      </x:c>
      <x:c r="N17" s="662" t="n">
        <x:f>MAX(F17*(1-L17),0)</x:f>
        <x:v>2</x:v>
      </x:c>
      <x:c r="O17" s="662" t="n">
        <x:f>M17-F17</x:f>
        <x:v>-2</x:v>
      </x:c>
      <x:c r="P17" s="431" t="str">
        <x:v>branch codex/p3.3-audit-package-cli; accepted predecessor main 4b848b9; D-082; EV-079; IMP-012</x:v>
      </x:c>
      <x:c r="Q17" s="431" t="str">
        <x:v>Implement atomic publication and the bounded audit-package CLI, then verify clean and controlled-fault runs before review.</x:v>
      </x:c>
      <x:c r="R17" s="431" t="str">
        <x:v>Authorized only for P3.3. Do not expand P2.3, run held-out semantics, change protected assets, or add deferred capabilities.</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0.6086956521739131</x:v>
      </x:c>
      <x:c r="M24" s="683" t="n">
        <x:f>SUM(M6:M22)</x:f>
        <x:v>0</x:v>
      </x:c>
      <x:c r="N24" s="683" t="n">
        <x:f>SUM(N6:N22)</x:f>
        <x:v>18</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P3.3 Active</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P3.3 - Implement one bounded audit-package command and atomic publication</x:v>
      </x:c>
      <x:c r="H4" s="697"/>
    </x:row>
    <x:row r="5" ht="72" customHeight="1">
      <x:c r="A5" s="688" t="str">
        <x:v>Schedule Baseline</x:v>
      </x:c>
      <x:c r="B5" s="693" t="str">
        <x:v>Legacy only; not controlling</x:v>
      </x:c>
      <x:c r="C5" s="691"/>
      <x:c r="D5" s="691"/>
      <x:c r="F5" s="696" t="str">
        <x:v>Objective</x:v>
      </x:c>
      <x:c r="G5" s="697" t="str">
        <x:v>Make the accepted audit pipeline runnable end to end without changing evaluator meaning.</x:v>
      </x:c>
      <x:c r="H5" s="697"/>
    </x:row>
    <x:row r="6" ht="63" customHeight="1">
      <x:c r="A6" s="688" t="str">
        <x:v>Time Tracking</x:v>
      </x:c>
      <x:c r="B6" s="693" t="str">
        <x:v>Waived prospectively</x:v>
      </x:c>
      <x:c r="C6" s="691"/>
      <x:c r="D6" s="691"/>
      <x:c r="F6" s="696" t="str">
        <x:v>Gate Status</x:v>
      </x:c>
      <x:c r="G6" s="697" t="str">
        <x:v>P3.2 is accepted and integrated at exact main 4b848b9; P3.3 alone is active.</x:v>
      </x:c>
      <x:c r="H6" s="697"/>
    </x:row>
    <x:row r="7" ht="81" customHeight="1">
      <x:c r="A7" s="688" t="str">
        <x:v>Current Gate</x:v>
      </x:c>
      <x:c r="B7" s="694" t="str">
        <x:v>P3.3 audit-package CLI and atomic report publication</x:v>
      </x:c>
      <x:c r="C7" s="691"/>
      <x:c r="D7" s="691"/>
      <x:c r="F7" s="696" t="str">
        <x:v>Definition of Done</x:v>
      </x:c>
      <x:c r="G7" s="697" t="str">
        <x:v>One command validates input, runs accepted gates/checks/result routing, and immutably publishes the result plus three accepted report views.</x:v>
      </x:c>
      <x:c r="H7" s="697"/>
    </x:row>
    <x:row r="8" ht="63" customHeight="1">
      <x:c r="A8" s="688" t="str">
        <x:v>Released Kernel</x:v>
      </x:c>
      <x:c r="B8" s="691" t="str">
        <x:v>v0.2.0 / commit 45336a2</x:v>
      </x:c>
      <x:c r="C8" s="691"/>
      <x:c r="D8" s="691"/>
      <x:c r="F8" s="696" t="str">
        <x:v>Immediate Next Action</x:v>
      </x:c>
      <x:c r="G8" s="697" t="str">
        <x:v>Implement on codex/p3.3-audit-package-cli, then inspect clean and controlled-fault run directories.</x:v>
      </x:c>
      <x:c r="H8" s="697"/>
    </x:row>
    <x:row r="9" ht="72" customHeight="1">
      <x:c r="A9" s="688" t="str">
        <x:v>Release Target</x:v>
      </x:c>
      <x:c r="B9" s="691" t="str">
        <x:v>v0.3.0</x:v>
      </x:c>
      <x:c r="C9" s="691"/>
      <x:c r="D9" s="691"/>
      <x:c r="F9" s="696" t="str">
        <x:v>Primary Risk</x:v>
      </x:c>
      <x:c r="G9" s="697" t="str">
        <x:v>Primary risks are partial publication, accidental overwrite, unstable exits, or a new CLI path that diverges from the accepted pipeline.</x:v>
      </x:c>
      <x:c r="H9" s="697"/>
    </x:row>
    <x:row r="10" ht="81" customHeight="1">
      <x:c r="A10" s="688" t="str">
        <x:v>Baseline Test Count</x:v>
      </x:c>
      <x:c r="B10" s="691" t="n">
        <x:v>121</x:v>
      </x:c>
      <x:c r="C10" s="691"/>
      <x:c r="D10" s="691"/>
      <x:c r="F10" s="696" t="str">
        <x:v>Deferred</x:v>
      </x:c>
      <x:c r="G10" s="697" t="str">
        <x:v>P2.3 expansion, held-out semantics, protected changes, and deferred capabilities remain blocked.</x:v>
      </x:c>
      <x:c r="H10" s="697"/>
    </x:row>
    <x:row r="11" ht="63" customHeight="1">
      <x:c r="A11" s="688" t="str">
        <x:v>Fixture Package Families</x:v>
      </x:c>
      <x:c r="B11" s="691" t="n">
        <x:v>2</x:v>
      </x:c>
      <x:c r="C11" s="691"/>
      <x:c r="D11" s="691"/>
      <x:c r="F11" s="696" t="str">
        <x:v>Data Boundary</x:v>
      </x:c>
      <x:c r="G11" s="697" t="str">
        <x:v>P2.3 remains required after the first runnable audit and before P4/release.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P2.4 accepted; P2.3 intentionally sequenced later</x:v>
      </x:c>
      <x:c r="D17" s="700" t="n">
        <x:v>0.75</x:v>
      </x:c>
      <x:c r="E17" s="698" t="str">
        <x:v>Gate P2 - deterministic audit core and result-state routing</x:v>
      </x:c>
    </x:row>
    <x:row r="18" ht="36" customHeight="1">
      <x:c r="A18" s="698" t="str">
        <x:v>P3 Issue Register &amp; CLI</x:v>
      </x:c>
      <x:c r="B18" s="699" t="str">
        <x:v>In Progress</x:v>
      </x:c>
      <x:c r="C18" s="699" t="str">
        <x:v>P3.3 implementation active</x:v>
      </x:c>
      <x:c r="D18" s="700" t="n">
        <x:v>0.6666666667</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In Progress</x:v>
      </x:c>
      <x:c r="F31" s="431" t="str">
        <x:v>codex/p3.3-audit-package-cli</x:v>
      </x:c>
      <x:c r="G31" s="431" t="str">
        <x:v>accepted predecessor main 4b848b9; D-082; EV-079; IMP-012</x:v>
      </x:c>
      <x:c r="H31"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