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3760098bd345cf" /></Relationships>
</file>

<file path=xl/workbook.xml><?xml version="1.0" encoding="utf-8"?>
<x:workbook xmlns:x="http://schemas.openxmlformats.org/spreadsheetml/2006/main">
  <x:sheets>
    <x:sheet xmlns:r="http://schemas.openxmlformats.org/officeDocument/2006/relationships" name="Start Here" sheetId="1" r:id="R33dbff285a14400a"/>
    <x:sheet xmlns:r="http://schemas.openxmlformats.org/officeDocument/2006/relationships" name="Executive Gantt" sheetId="2" r:id="R2fd0e82f7c5c4793"/>
    <x:sheet xmlns:r="http://schemas.openxmlformats.org/officeDocument/2006/relationships" name="Detailed Gantt" sheetId="3" r:id="Ra78939f63e92438a"/>
    <x:sheet xmlns:r="http://schemas.openxmlformats.org/officeDocument/2006/relationships" name="Weekly Control" sheetId="4" r:id="R7787f349d2f94046"/>
    <x:sheet xmlns:r="http://schemas.openxmlformats.org/officeDocument/2006/relationships" name="Phase Summary" sheetId="5" r:id="Rd635d9dba2f24831"/>
    <x:sheet xmlns:r="http://schemas.openxmlformats.org/officeDocument/2006/relationships" name="Assumptions &amp; Gates" sheetId="6" r:id="Rc74eceb36c1841f3"/>
    <x:sheet xmlns:r="http://schemas.openxmlformats.org/officeDocument/2006/relationships" name="Sources" sheetId="7" r:id="R404c111d5eb1452d"/>
    <x:sheet xmlns:r="http://schemas.openxmlformats.org/officeDocument/2006/relationships" name="Legacy Baseline" sheetId="8" r:id="R28ec6184c9344dbe"/>
    <x:sheet xmlns:r="http://schemas.openxmlformats.org/officeDocument/2006/relationships" name="Work Block Log" sheetId="9" r:id="R7d8a46c3b6b34719"/>
    <x:sheet xmlns:r="http://schemas.openxmlformats.org/officeDocument/2006/relationships" name="Decision Register" sheetId="10" r:id="R17e77502c7b3431f"/>
    <x:sheet xmlns:r="http://schemas.openxmlformats.org/officeDocument/2006/relationships" name="Risks &amp; Issues" sheetId="11" r:id="Rb3213ca42e2c4b8a"/>
    <x:sheet xmlns:r="http://schemas.openxmlformats.org/officeDocument/2006/relationships" name="Evidence Register" sheetId="12" r:id="R87b14f06eb854f14"/>
    <x:sheet xmlns:r="http://schemas.openxmlformats.org/officeDocument/2006/relationships" name="Expansion Backlog" sheetId="13" r:id="Rced72d36184d442f"/>
    <x:sheet xmlns:r="http://schemas.openxmlformats.org/officeDocument/2006/relationships" name="AI Context" sheetId="14" r:id="R0ff377232ab84848"/>
    <x:sheet xmlns:r="http://schemas.openxmlformats.org/officeDocument/2006/relationships" name="MVP Dashboard" sheetId="15" r:id="R77f1abe972a44395"/>
    <x:sheet xmlns:r="http://schemas.openxmlformats.org/officeDocument/2006/relationships" name="Product Vision" sheetId="16" r:id="R29e32a25489a4526"/>
    <x:sheet xmlns:r="http://schemas.openxmlformats.org/officeDocument/2006/relationships" name="Pilot Gantt" sheetId="17" r:id="R0d420a3d1acd49be"/>
    <x:sheet xmlns:r="http://schemas.openxmlformats.org/officeDocument/2006/relationships" name="Pilot Dashboard" sheetId="18" r:id="R020451c9c5304c30"/>
  </x:sheets>
</x:workbook>
</file>

<file path=xl/sharedStrings.xml><?xml version="1.0" encoding="utf-8"?>
<x:sst xmlns:x="http://schemas.openxmlformats.org/spreadsheetml/2006/main">
  <x:si>
    <x:t xml:space="preserve">ID</x:t>
  </x:si>
  <x:si>
    <x:t xml:space="preserve">Phase</x:t>
  </x:si>
  <x:si>
    <x:t xml:space="preserve">Planned Hours</x:t>
  </x:si>
  <x:si>
    <x:t xml:space="preserve">Actual Hours</x:t>
  </x:si>
  <x:si>
    <x:t xml:space="preserve">% Complete</x:t>
  </x:si>
  <x:si>
    <x:t xml:space="preserve">Start</x:t>
  </x:si>
  <x:si>
    <x:t xml:space="preserve">Finish</x:t>
  </x:si>
  <x:si>
    <x:t xml:space="preserve">Gate / Hold Point</x:t>
  </x:si>
  <x:si>
    <x:t xml:space="preserve">Primary Deliverable</x:t>
  </x:si>
  <x:si>
    <x:t xml:space="preserve">W1</x:t>
  </x:si>
  <x:si>
    <x:t xml:space="preserve">W2</x:t>
  </x:si>
  <x:si>
    <x:t xml:space="preserve">W3</x:t>
  </x:si>
  <x:si>
    <x:t xml:space="preserve">W4</x:t>
  </x:si>
  <x:si>
    <x:t xml:space="preserve">W5</x:t>
  </x:si>
  <x:si>
    <x:t xml:space="preserve">W6</x:t>
  </x:si>
  <x:si>
    <x:t xml:space="preserve">W7</x:t>
  </x:si>
  <x:si>
    <x:t xml:space="preserve">W8</x:t>
  </x:si>
  <x:si>
    <x:t xml:space="preserve">0</x:t>
  </x:si>
  <x:si>
    <x:t xml:space="preserve">0 Control &amp; Foundation</x:t>
  </x:si>
  <x:si>
    <x:t xml:space="preserve">Gate 0 — control baseline accepted</x:t>
  </x:si>
  <x:si>
    <x:t xml:space="preserve">Repository, architecture, Gantt, validator/loader baseline</x:t>
  </x:si>
  <x:si>
    <x:t xml:space="preserve">■</x:t>
  </x:si>
  <x:si>
    <x:t xml:space="preserve">1</x:t>
  </x:si>
  <x:si>
    <x:t xml:space="preserve">1 Evaluation Core</x:t>
  </x:si>
  <x:si>
    <x:t xml:space="preserve">Gate 2 — deterministic evaluation core</x:t>
  </x:si>
  <x:si>
    <x:t xml:space="preserve">Candidate loading, gates, checks, scoring, failure evidence</x:t>
  </x:si>
  <x:si>
    <x:t xml:space="preserve">2</x:t>
  </x:si>
  <x:si>
    <x:t xml:space="preserve">2 CLI &amp; Results</x:t>
  </x:si>
  <x:si>
    <x:t xml:space="preserve">Gate 3 — end-to-end local evaluation</x:t>
  </x:si>
  <x:si>
    <x:t xml:space="preserve">evaluate CLI and immutable result records</x:t>
  </x:si>
  <x:si>
    <x:t xml:space="preserve">3</x:t>
  </x:si>
  <x:si>
    <x:t xml:space="preserve">3 Cases &amp; Benchmark</x:t>
  </x:si>
  <x:si>
    <x:t xml:space="preserve">Gate 4 — benchmark ready</x:t>
  </x:si>
  <x:si>
    <x:t xml:space="preserve">Five reviewed cases, held-out split, baseline report</x:t>
  </x:si>
  <x:si>
    <x:t xml:space="preserve">4</x:t>
  </x:si>
  <x:si>
    <x:t xml:space="preserve">4 Quality &amp; Reproducibility</x:t>
  </x:si>
  <x:si>
    <x:t xml:space="preserve">Gate 5 — reproducible quality baseline</x:t>
  </x:si>
  <x:si>
    <x:t xml:space="preserve">Targeted tests, CI, README, architecture</x:t>
  </x:si>
  <x:si>
    <x:t xml:space="preserve">5</x:t>
  </x:si>
  <x:si>
    <x:t xml:space="preserve">5 Demo &amp; Release</x:t>
  </x:si>
  <x:si>
    <x:t xml:space="preserve">Portfolio demo, limitations, final acceptance, tag</x:t>
  </x:si>
  <x:si>
    <x:t xml:space="preserve">TOTAL MVP</x:t>
  </x:si>
  <x:si>
    <x:t xml:space="preserve">Baseline Start</x:t>
  </x:si>
  <x:si>
    <x:t xml:space="preserve">Total Planned Hours</x:t>
  </x:si>
  <x:si>
    <x:t xml:space="preserve">Target Finish</x:t>
  </x:si>
  <x:si>
    <x:t xml:space="preserve">Control Baseline</x:t>
  </x:si>
  <x:si>
    <x:t xml:space="preserve">MVP v1.0 — 8 weeks</x:t>
  </x:si>
  <x:si>
    <x:t xml:space="preserve">Editable control fields: Status, % Complete, Branch/Evidence, Next Action, and Notes. Actual Hours are calculated from Work Block Log. Do not silently change baseline hours or dates.</x:t>
  </x:si>
  <x:si>
    <x:t xml:space="preserve">WBS</x:t>
  </x:si>
  <x:si>
    <x:t xml:space="preserve">Work Package</x:t>
  </x:si>
  <x:si>
    <x:t xml:space="preserve">Deliverable / Acceptance Evidence</x:t>
  </x:si>
  <x:si>
    <x:t xml:space="preserve">Predecessor</x:t>
  </x:si>
  <x:si>
    <x:t xml:space="preserve">Start Week</x:t>
  </x:si>
  <x:si>
    <x:t xml:space="preserve">Finish Week</x:t>
  </x:si>
  <x:si>
    <x:t xml:space="preserve">Start Date</x:t>
  </x:si>
  <x:si>
    <x:t xml:space="preserve">Finish Date</x:t>
  </x:si>
  <x:si>
    <x:t xml:space="preserve">Status</x:t>
  </x:si>
  <x:si>
    <x:t xml:space="preserve">Remaining Planned</x:t>
  </x:si>
  <x:si>
    <x:t xml:space="preserve">Hour Variance</x:t>
  </x:si>
  <x:si>
    <x:t xml:space="preserve">Branch / Evidence</x:t>
  </x:si>
  <x:si>
    <x:t xml:space="preserve">Next Action</x:t>
  </x:si>
  <x:si>
    <x:t xml:space="preserve">Notes</x:t>
  </x:si>
  <x:si>
    <x:t xml:space="preserve">0.1</x:t>
  </x:si>
  <x:si>
    <x:t xml:space="preserve">Environment and repository baseline</x:t>
  </x:si>
  <x:si>
    <x:t xml:space="preserve">Working venv, repository, GitHub main, and seed cases validate.</x:t>
  </x:si>
  <x:si>
    <x:t xml:space="preserve">-</x:t>
  </x:si>
  <x:si>
    <x:t xml:space="preserve">None; preserve as baseline evidence.</x:t>
  </x:si>
  <x:si>
    <x:t xml:space="preserve">Completed across June 28–30.</x:t>
  </x:si>
  <x:si>
    <x:t xml:space="preserve">0.2</x:t>
  </x:si>
  <x:si>
    <x:t xml:space="preserve">Architecture and control baseline</x:t>
  </x:si>
  <x:si>
    <x:t xml:space="preserve">Architecture document and Gantt explain current system, scope, MVP, and next action.</x:t>
  </x:si>
  <x:si>
    <x:t xml:space="preserve">Next work block: begin WBS 1.1 and create feature/candidate-artifact-contract.</x:t>
  </x:si>
  <x:si>
    <x:t xml:space="preserve">Completed 2026-07-04. Architecture and the aggressive eight-week MVP control baseline were committed and pushed to main.</x:t>
  </x:si>
  <x:si>
    <x:t xml:space="preserve">0.3</x:t>
  </x:si>
  <x:si>
    <x:t xml:space="preserve">Validator and loader baseline</x:t>
  </x:si>
  <x:si>
    <x:t xml:space="preserve">Targeted loader, stable errors, key seeded defects, and 25 passing tests.</x:t>
  </x:si>
  <x:si>
    <x:t xml:space="preserve">Do not add validator-only branches unless evaluator work exposes a real gap.</x:t>
  </x:si>
  <x:si>
    <x:t xml:space="preserve">Completed 2026-07-04. July 4 duration reconstructed and logged: WB-003 = 0.62 h and WB-004 = 1.53 h.</x:t>
  </x:si>
  <x:si>
    <x:t xml:space="preserve">1.1</x:t>
  </x:si>
  <x:si>
    <x:t xml:space="preserve">Define candidate artifact contract and loader</x:t>
  </x:si>
  <x:si>
    <x:t xml:space="preserve">Extensible candidate envelope documented with schema_version, case_id, candidate_id, artifact_type, artifacts, payload, and optional provenance; valid MECH-002 artifact loads; missing, malformed, and structurally invalid artifacts fail clearly.</x:t>
  </x:si>
  <x:si>
    <x:t xml:space="preserve">1.2</x:t>
  </x:si>
  <x:si>
    <x:t xml:space="preserve">Implement mandatory gate engine</x:t>
  </x:si>
  <x:si>
    <x:t xml:space="preserve">Required file, parse, field, and type gates execute before scoring and return evidence.</x:t>
  </x:si>
  <x:si>
    <x:t xml:space="preserve">1.3</x:t>
  </x:si>
  <x:si>
    <x:t xml:space="preserve">Implement exact, Boolean, set, and contains checks</x:t>
  </x:si>
  <x:si>
    <x:t xml:space="preserve">Supported deterministic checks return pass/fail, evidence, and failure mode.</x:t>
  </x:si>
  <x:si>
    <x:t xml:space="preserve">1.4</x:t>
  </x:si>
  <x:si>
    <x:t xml:space="preserve">Implement numeric tolerance checks</x:t>
  </x:si>
  <x:si>
    <x:t xml:space="preserve">Numeric comparisons support absolute tolerance and clear evidence.</x:t>
  </x:si>
  <x:si>
    <x:t xml:space="preserve">1.5</x:t>
  </x:si>
  <x:si>
    <x:t xml:space="preserve">Implement weighted scoring and failure evidence</x:t>
  </x:si>
  <x:si>
    <x:t xml:space="preserve">Gates plus weighted checks produce score, pass/fail, failure modes, and evidence.</x:t>
  </x:si>
  <x:si>
    <x:t xml:space="preserve">1.3,1.4</x:t>
  </x:si>
  <x:si>
    <x:t xml:space="preserve">2.1</x:t>
  </x:si>
  <x:si>
    <x:t xml:space="preserve">Add evaluate CLI command</x:t>
  </x:si>
  <x:si>
    <x:t xml:space="preserve">One command evaluates a candidate artifact against a case and returns stable exit codes.</x:t>
  </x:si>
  <x:si>
    <x:t xml:space="preserve">2.2</x:t>
  </x:si>
  <x:si>
    <x:t xml:space="preserve">Define structured result schema and model</x:t>
  </x:si>
  <x:si>
    <x:t xml:space="preserve">Result contains versions, artifact references, gate/check evidence, expected/actual values, severity/failure mode, score, pass/fail, and extension points for artifact location and source references.</x:t>
  </x:si>
  <x:si>
    <x:t xml:space="preserve">2.3</x:t>
  </x:si>
  <x:si>
    <x:t xml:space="preserve">Write immutable local result records</x:t>
  </x:si>
  <x:si>
    <x:t xml:space="preserve">Each evaluation writes a timestamped result without overwriting prior evidence.</x:t>
  </x:si>
  <x:si>
    <x:t xml:space="preserve">2.4</x:t>
  </x:si>
  <x:si>
    <x:t xml:space="preserve">Create example pass/fail candidate artifacts</x:t>
  </x:si>
  <x:si>
    <x:t xml:space="preserve">At least one passing and two representative failing artifacts run end-to-end.</x:t>
  </x:si>
  <x:si>
    <x:t xml:space="preserve">2.1,2.3</x:t>
  </x:si>
  <x:si>
    <x:t xml:space="preserve">3.1</x:t>
  </x:si>
  <x:si>
    <x:t xml:space="preserve">Independently verify three seed cases</x:t>
  </x:si>
  <x:si>
    <x:t xml:space="preserve">Calculations, references, tolerances, and failure intent are checked and recorded.</x:t>
  </x:si>
  <x:si>
    <x:t xml:space="preserve">3.2</x:t>
  </x:si>
  <x:si>
    <x:t xml:space="preserve">Add two useful synthetic cases</x:t>
  </x:si>
  <x:si>
    <x:t xml:space="preserve">Five total reviewed cases cover distinct mechanical workflow/failure families.</x:t>
  </x:si>
  <x:si>
    <x:t xml:space="preserve">1.5,3.1</x:t>
  </x:si>
  <x:si>
    <x:t xml:space="preserve">3.3</x:t>
  </x:si>
  <x:si>
    <x:t xml:space="preserve">Assign held-out split and review checklist</x:t>
  </x:si>
  <x:si>
    <x:t xml:space="preserve">At least one held-out case; provenance, correctness, and evaluability review recorded.</x:t>
  </x:si>
  <x:si>
    <x:t xml:space="preserve">3.4</x:t>
  </x:si>
  <x:si>
    <x:t xml:space="preserve">Run baseline benchmark and failure summary</x:t>
  </x:si>
  <x:si>
    <x:t xml:space="preserve">All MVP cases evaluated; results summarized with representative failures and limitations.</x:t>
  </x:si>
  <x:si>
    <x:t xml:space="preserve">2.4,3.3</x:t>
  </x:si>
  <x:si>
    <x:t xml:space="preserve">4.1</x:t>
  </x:si>
  <x:si>
    <x:t xml:space="preserve">Targeted regression tests and fixture refactor</x:t>
  </x:si>
  <x:si>
    <x:t xml:space="preserve">Important engine behaviours and failure handling are protected without repetitive setup.</x:t>
  </x:si>
  <x:si>
    <x:t xml:space="preserve">4.2</x:t>
  </x:si>
  <x:si>
    <x:t xml:space="preserve">Add GitHub Actions CI</x:t>
  </x:si>
  <x:si>
    <x:t xml:space="preserve">Tests run on push and pull request; seeded failure demonstrates red/green behaviour.</x:t>
  </x:si>
  <x:si>
    <x:t xml:space="preserve">4.3</x:t>
  </x:si>
  <x:si>
    <x:t xml:space="preserve">Complete README and architecture documentation</x:t>
  </x:si>
  <x:si>
    <x:t xml:space="preserve">New reviewer can install, understand, run, and audit the MVP.</x:t>
  </x:si>
  <x:si>
    <x:t xml:space="preserve">2.4,3.4</x:t>
  </x:si>
  <x:si>
    <x:t xml:space="preserve">5.1</x:t>
  </x:si>
  <x:si>
    <x:t xml:space="preserve">Create portfolio demo</x:t>
  </x:si>
  <x:si>
    <x:t xml:space="preserve">One scripted end-to-end case shows pass, failure evidence, and result record.</x:t>
  </x:si>
  <x:si>
    <x:t xml:space="preserve">3.4,4.3</x:t>
  </x:si>
  <x:si>
    <x:t xml:space="preserve">5.2</x:t>
  </x:si>
  <x:si>
    <x:t xml:space="preserve">Write release notes and limitations</x:t>
  </x:si>
  <x:si>
    <x:t xml:space="preserve">Scope, supported checks, safety boundary, known limitations, and deferred work are explicit.</x:t>
  </x:si>
  <x:si>
    <x:t xml:space="preserve">5.3</x:t>
  </x:si>
  <x:si>
    <x:t xml:space="preserve">5.2,4.2</x:t>
  </x:si>
  <x:si>
    <x:t xml:space="preserve">Control baseline; loader/validator</x:t>
  </x:si>
  <x:si>
    <x:t xml:space="preserve">Candidate contract; seed-case verification</x:t>
  </x:si>
  <x:si>
    <x:t xml:space="preserve">Not Started</x:t>
  </x:si>
  <x:si>
    <x:t xml:space="preserve">Gates and deterministic checks</x:t>
  </x:si>
  <x:si>
    <x:t xml:space="preserve">Numeric checks; scoring; engine tests</x:t>
  </x:si>
  <x:si>
    <x:t xml:space="preserve">Evaluate CLI; result records; examples</x:t>
  </x:si>
  <x:si>
    <x:t xml:space="preserve">Add cases; held-out split; benchmark</x:t>
  </x:si>
  <x:si>
    <x:t xml:space="preserve">CI; documentation; portfolio demo</x:t>
  </x:si>
  <x:si>
    <x:t xml:space="preserve">Gate</x:t>
  </x:si>
  <x:si>
    <x:t xml:space="preserve">TOTAL</x:t>
  </x:si>
  <x:si>
    <x:t xml:space="preserve">Planning Basis, MVP Gates, and Change-Control Rules</x:t>
  </x:si>
  <x:si>
    <x:t xml:space="preserve">Planning Assumptions</x:t>
  </x:si>
  <x:si>
    <x:t xml:space="preserve">A1</x:t>
  </x:si>
  <x:si>
    <x:t xml:space="preserve">The Gantt workbook is the controlling source of truth for scope, schedule, progress, decisions, evidence, and next action.</x:t>
  </x:si>
  <x:si>
    <x:t xml:space="preserve">A2</x:t>
  </x:si>
  <x:si>
    <x:t xml:space="preserve">The controlling baseline is an 8-week, 76-hour MVP from 2026-06-29 through 2026-08-23.</x:t>
  </x:si>
  <x:si>
    <x:t xml:space="preserve">A3</x:t>
  </x:si>
  <x:si>
    <x:t xml:space="preserve">Normal capacity is 8–12 hours per week. Paid Outlier work and major life obligations retain priority.</x:t>
  </x:si>
  <x:si>
    <x:t xml:space="preserve">A4</x:t>
  </x:si>
  <x:si>
    <x:t xml:space="preserve">Learning is just-in-time. Shipped functionality and validated engineering workflows take priority over repetitive exercises.</x:t>
  </x:si>
  <x:si>
    <x:t xml:space="preserve">A5</x:t>
  </x:si>
  <x:si>
    <x:t xml:space="preserve">Use one branch per coherent capability, not per individual test.</x:t>
  </x:si>
  <x:si>
    <x:t xml:space="preserve">A6</x:t>
  </x:si>
  <x:si>
    <x:t xml:space="preserve">Tests support the product. Add them for important behaviour, scoring correctness, failure handling, and regression safety.</x:t>
  </x:si>
  <x:si>
    <x:t xml:space="preserve">A7</x:t>
  </x:si>
  <x:si>
    <x:t xml:space="preserve">A8</x:t>
  </x:si>
  <x:si>
    <x:t xml:space="preserve">MVP scope is JSON artifacts, deterministic gates/checks, weighted scoring, CLI execution, result records, five cases, a small benchmark, CI, docs, and one demo.</x:t>
  </x:si>
  <x:si>
    <x:t xml:space="preserve">A9</x:t>
  </x:si>
  <x:si>
    <x:t xml:space="preserve">APIs, databases, multimodal, OpenClaw, observability, deployment, governance packs, reward models, LoRA, and RL are deferred unless the MVP requires them.</x:t>
  </x:si>
  <x:si>
    <x:t xml:space="preserve">A10</x:t>
  </x:si>
  <x:si>
    <x:t xml:space="preserve">Use only public, synthetic, self-authored, or authorized data. Never place confidential Outlier or employer material in the repository or workbook.</x:t>
  </x:si>
  <x:si>
    <x:t xml:space="preserve">A11</x:t>
  </x:si>
  <x:si>
    <x:t xml:space="preserve">The harness supports evaluation and workflow assurance, not engineering sign-off, autonomous release, or final safety-critical decisions.</x:t>
  </x:si>
  <x:si>
    <x:t xml:space="preserve">A12</x:t>
  </x:si>
  <x:si>
    <x:t xml:space="preserve">The strategic product direction is the Mechanical Engineering Workflow Assurance Platform; the current harness is its evaluation kernel. Preserve this direction without expanding the controlling MVP.</x:t>
  </x:si>
  <x:si>
    <x:t xml:space="preserve">A13</x:t>
  </x:si>
  <x:si>
    <x:t xml:space="preserve">Candidate and result interfaces remain agent- and artifact-runtime agnostic, with explicit extension points for artifact references, provenance, source references, evidence locations, severity, cost/latency, and regression status.</x:t>
  </x:si>
  <x:si>
    <x:t xml:space="preserve">MVP Gates / Hold Points</x:t>
  </x:si>
  <x:si>
    <x:t xml:space="preserve">Target Week</x:t>
  </x:si>
  <x:si>
    <x:t xml:space="preserve">Target Date</x:t>
  </x:si>
  <x:si>
    <x:t xml:space="preserve">Acceptance Criteria</x:t>
  </x:si>
  <x:si>
    <x:t xml:space="preserve">Evidence</x:t>
  </x:si>
  <x:si>
    <x:t xml:space="preserve">Decision / Next Action</x:t>
  </x:si>
  <x:si>
    <x:t xml:space="preserve">Gate 0</x:t>
  </x:si>
  <x:si>
    <x:t xml:space="preserve">Passed</x:t>
  </x:si>
  <x:si>
    <x:t xml:space="preserve">Architecture and control baseline explain current system; workbook rebaseline accepted.</x:t>
  </x:si>
  <x:si>
    <x:t xml:space="preserve">docs/architecture.md; gantt.xlsx; commit c71676d</x:t>
  </x:si>
  <x:si>
    <x:t xml:space="preserve">Gate accepted. Begin WBS 1.1 in the next work block.</x:t>
  </x:si>
  <x:si>
    <x:t xml:space="preserve">Gate 1</x:t>
  </x:si>
  <x:si>
    <x:t xml:space="preserve">Gate 2</x:t>
  </x:si>
  <x:si>
    <x:t xml:space="preserve">Gate 3</x:t>
  </x:si>
  <x:si>
    <x:t xml:space="preserve">Gate 4</x:t>
  </x:si>
  <x:si>
    <x:t xml:space="preserve">Gate 5</x:t>
  </x:si>
  <x:si>
    <x:t xml:space="preserve">Gate 6</x:t>
  </x:si>
  <x:si>
    <x:t xml:space="preserve">Change-Control Rule</x:t>
  </x:si>
  <x:si>
    <x:t xml:space="preserve">Source</x:t>
  </x:si>
  <x:si>
    <x:t xml:space="preserve">Use in Current Baseline</x:t>
  </x:si>
  <x:si>
    <x:t xml:space="preserve">Type</x:t>
  </x:si>
  <x:si>
    <x:t xml:space="preserve">URL / Reference</x:t>
  </x:si>
  <x:si>
    <x:t xml:space="preserve">Control Note</x:t>
  </x:si>
  <x:si>
    <x:t xml:space="preserve">Project instructions — AI Career &amp; Agent Evaluation Systems</x:t>
  </x:si>
  <x:si>
    <x:t xml:space="preserve">Establishes 4–8 week MVP, Gantt control, architecture separation, testing discipline, and deferrals.</x:t>
  </x:si>
  <x:si>
    <x:t xml:space="preserve">Project control</x:t>
  </x:si>
  <x:si>
    <x:t xml:space="preserve">Project instructions</x:t>
  </x:si>
  <x:si>
    <x:t xml:space="preserve">Highest-priority operating source.</x:t>
  </x:si>
  <x:si>
    <x:t xml:space="preserve">Current Gantt workbook</x:t>
  </x:si>
  <x:si>
    <x:t xml:space="preserve">Controls WBS, schedule, actuals, decisions, evidence, risks, and next action.</x:t>
  </x:si>
  <x:si>
    <x:t xml:space="preserve">Replace project source after each completed workflow.</x:t>
  </x:si>
  <x:si>
    <x:t xml:space="preserve">docs/architecture.md</x:t>
  </x:si>
  <x:si>
    <x:t xml:space="preserve">Defines task/agent/environment/trace/evaluator/results boundaries and current implementation state.</x:t>
  </x:si>
  <x:si>
    <x:t xml:space="preserve">Architecture</x:t>
  </x:si>
  <x:si>
    <x:t xml:space="preserve">Repository document</x:t>
  </x:si>
  <x:si>
    <x:t xml:space="preserve">Must match actual code.</x:t>
  </x:si>
  <x:si>
    <x:t xml:space="preserve">Twelve-Month Roadmap from Engineering-Domain AI QA Auditor to AI Evaluation and Deployment Specialist</x:t>
  </x:si>
  <x:si>
    <x:t xml:space="preserve">Preserved as expansion strategy; supports backend-first tooling and portfolio artifacts.</x:t>
  </x:si>
  <x:si>
    <x:t xml:space="preserve">Uploaded project PDF</x:t>
  </x:si>
  <x:si>
    <x:t xml:space="preserve">Project source file</x:t>
  </x:si>
  <x:si>
    <x:t xml:space="preserve">No longer the controlling delivery timeline.</x:t>
  </x:si>
  <x:si>
    <x:t xml:space="preserve">Current-Market Analysis of AI Evaluation, AI Quality, LLM Evaluation, Model Behaviour Testing, Technical AI Auditing, AI Deployment, and Responsible-AI Roles</x:t>
  </x:si>
  <x:si>
    <x:t xml:space="preserve">Supports positioning around evaluation systems, regression design, audit evidence, and tooling ownership.</x:t>
  </x:si>
  <x:si>
    <x:t xml:space="preserve">Career strategy input.</x:t>
  </x:si>
  <x:si>
    <x:t xml:space="preserve">Agents' Last Exam</x:t>
  </x:si>
  <x:si>
    <x:t xml:space="preserve">Supports authentic professional workflows, task/agent/environment separation, artifact verification, and gate-before-score evaluation.</x:t>
  </x:si>
  <x:si>
    <x:t xml:space="preserve">Research paper</x:t>
  </x:si>
  <x:si>
    <x:t xml:space="preserve">https://arxiv.org/abs/2606.05405</x:t>
  </x:si>
  <x:si>
    <x:t xml:space="preserve">Direct architecture influence.</x:t>
  </x:si>
  <x:si>
    <x:t xml:space="preserve">OpenClaw-RL: Train Any Agent Simply by Talking</x:t>
  </x:si>
  <x:si>
    <x:t xml:space="preserve">Supports later trace, next-state, process-signal, and agent-evaluation work.</x:t>
  </x:si>
  <x:si>
    <x:t xml:space="preserve">https://arxiv.org/abs/2603.10165</x:t>
  </x:si>
  <x:si>
    <x:t xml:space="preserve">Deferred until after MVP.</x:t>
  </x:si>
  <x:si>
    <x:t xml:space="preserve">RLAnything</x:t>
  </x:si>
  <x:si>
    <x:t xml:space="preserve">Supports later separation/integration of outcome and step-wise signals and adaptive environment research.</x:t>
  </x:si>
  <x:si>
    <x:t xml:space="preserve">https://arxiv.org/abs/2602.02488</x:t>
  </x:si>
  <x:si>
    <x:t xml:space="preserve">Practical Market for a Solo AI Implementation and Evaluation Consultant in Edmonton and Alberta</x:t>
  </x:si>
  <x:si>
    <x:t xml:space="preserve">Informs useful mechanical document, QA/QC, revision, maintenance, and technical-record workflows.</x:t>
  </x:si>
  <x:si>
    <x:t xml:space="preserve">Case-selection input.</x:t>
  </x:si>
  <x:si>
    <x:t xml:space="preserve">Superseded 52-Week Baseline Snapshot — Preserved 2026-07-04</x:t>
  </x:si>
  <x:si>
    <x:t xml:space="preserve">Historical planning baseline retained for traceability. It is no longer the controlling schedule. Use Start Here, Executive Gantt, Detailed Gantt, Weekly Control, and the control registers for current project management.</x:t>
  </x:si>
  <x:si>
    <x:t xml:space="preserve">Normal Control Rule</x:t>
  </x:si>
  <x:si>
    <x:t xml:space="preserve">Update weekly; rebaseline only through a gate decision</x:t>
  </x:si>
  <x:si>
    <x:t xml:space="preserve">Editable fields</x:t>
  </x:si>
  <x:si>
    <x:t xml:space="preserve">Status, % Complete, Actual Hours, and Notes. Baseline dates and planned hours should not be changed casually.</x:t>
  </x:si>
  <x:si>
    <x:t xml:space="preserve">Duration (wk)</x:t>
  </x:si>
  <x:si>
    <x:t xml:space="preserve">0 Project Controls &amp; Mobilization</x:t>
  </x:si>
  <x:si>
    <x:t xml:space="preserve">Create local Python environment</x:t>
  </x:si>
  <x:si>
    <x:t xml:space="preserve">Working virtual environment; dependencies installed</x:t>
  </x:si>
  <x:si>
    <x:t xml:space="preserve">Complete</x:t>
  </x:si>
  <x:si>
    <x:t xml:space="preserve">Completed before baseline start on 2026-06-28. Python 3.14.2 virtual environment active; baseline tests passed.</x:t>
  </x:si>
  <x:si>
    <x:t xml:space="preserve">Initialize Git and GitHub baseline</x:t>
  </x:si>
  <x:si>
    <x:t xml:space="preserve">Repository pushed; main branch protected by working practice</x:t>
  </x:si>
  <x:si>
    <x:t xml:space="preserve">Completed 2026-06-30. Local Git initialized, baseline commit created, GitHub origin configured, and main pushed successfully. Actual time was not separately logged.</x:t>
  </x:si>
  <x:si>
    <x:t xml:space="preserve">Review architecture and four schemas</x:t>
  </x:si>
  <x:si>
    <x:t xml:space="preserve">One-page architecture walkthrough in own words</x:t>
  </x:si>
  <x:si>
    <x:t xml:space="preserve">In Progress</x:t>
  </x:si>
  <x:si>
    <x:t xml:space="preserve">Repository layout, README, CLI commands, and MECH-001 summary reviewed. Full four-schema walkthrough and concise architecture explanation remain.</x:t>
  </x:si>
  <x:si>
    <x:t xml:space="preserve">0.4</x:t>
  </x:si>
  <x:si>
    <x:t xml:space="preserve">Set definition of done and control routine</x:t>
  </x:si>
  <x:si>
    <x:t xml:space="preserve">Weekly review checklist and change-control rule</x:t>
  </x:si>
  <x:si>
    <x:t xml:space="preserve">0.5</x:t>
  </x:si>
  <x:si>
    <x:t xml:space="preserve">Weekly time, issue, and decision logging</x:t>
  </x:si>
  <x:si>
    <x:t xml:space="preserve">Updated weekly control sheet and issue notes</x:t>
  </x:si>
  <x:si>
    <x:t xml:space="preserve">Week 1 control update completed. Actual time is recorded only where explicitly tracked.</x:t>
  </x:si>
  <x:si>
    <x:t xml:space="preserve">0.6</x:t>
  </x:si>
  <x:si>
    <x:t xml:space="preserve">Monthly schedule and forecast update</x:t>
  </x:si>
  <x:si>
    <x:t xml:space="preserve">Monthly reforecast without silent scope changes</x:t>
  </x:si>
  <x:si>
    <x:t xml:space="preserve">0.7</x:t>
  </x:si>
  <x:si>
    <x:t xml:space="preserve">Formal gate reviews and baseline changes</x:t>
  </x:si>
  <x:si>
    <x:t xml:space="preserve">Recorded gate decision and accepted corrective actions</x:t>
  </x:si>
  <x:si>
    <x:t xml:space="preserve">1 Case Foundation</x:t>
  </x:si>
  <x:si>
    <x:t xml:space="preserve">Learn only the required JSON, schema, and CLI concepts</x:t>
  </x:si>
  <x:si>
    <x:t xml:space="preserve">Can explain and edit one case safely</x:t>
  </x:si>
  <x:si>
    <x:t xml:space="preserve">Independently verify the three seed cases</x:t>
  </x:si>
  <x:si>
    <x:t xml:space="preserve">Calculations and references checked without relying on generated code</x:t>
  </x:si>
  <x:si>
    <x:t xml:space="preserve">Author synthetic cases 4 and 5</x:t>
  </x:si>
  <x:si>
    <x:t xml:space="preserve">Two complete, valid, reviewed case instances</x:t>
  </x:si>
  <x:si>
    <x:t xml:space="preserve">Author synthetic cases 6 through 8</x:t>
  </x:si>
  <x:si>
    <x:t xml:space="preserve">Three additional cases covering distinct failure modes</x:t>
  </x:si>
  <x:si>
    <x:t xml:space="preserve">Expand taxonomy and assign dataset splits</x:t>
  </x:si>
  <x:si>
    <x:t xml:space="preserve">Failure codes stable; at least two held-out cases</x:t>
  </x:si>
  <x:si>
    <x:t xml:space="preserve">1.6</x:t>
  </x:si>
  <x:si>
    <x:t xml:space="preserve">Complete human review checklists</x:t>
  </x:si>
  <x:si>
    <x:t xml:space="preserve">Every case passes provenance, authenticity, correctness, and evaluability review</x:t>
  </x:si>
  <x:si>
    <x:t xml:space="preserve">1.7</x:t>
  </x:si>
  <x:si>
    <x:t xml:space="preserve">Release specification baseline v0.1.0</x:t>
  </x:si>
  <x:si>
    <x:t xml:space="preserve">Validation passes; tagged release and concise release notes</x:t>
  </x:si>
  <x:si>
    <x:t xml:space="preserve">2 Software Hygiene &amp; Test Infrastructure</x:t>
  </x:si>
  <x:si>
    <x:t xml:space="preserve">Practise branch, merge, and recovery workflows</x:t>
  </x:si>
  <x:si>
    <x:t xml:space="preserve">Three clean feature branches and one intentional recovery exercise</x:t>
  </x:si>
  <x:si>
    <x:t xml:space="preserve">Started early. Created feature/test-unknown-case and added the first controlled test change. Push/PR/merge evidence and two more branches plus recovery exercise remain.</x:t>
  </x:si>
  <x:si>
    <x:t xml:space="preserve">Refactor repository validator and loader</x:t>
  </x:si>
  <x:si>
    <x:t xml:space="preserve">Readable modules with stable error messages</x:t>
  </x:si>
  <x:si>
    <x:t xml:space="preserve">Started early on 2026-07-04. Added targeted load_case_by_id, updated CLI inspect to load one case directly, added positive and negative regression tests, fixed inspect output formatting, merged PR #2, and confirmed 22 tests pass.</x:t>
  </x:si>
  <x:si>
    <x:t xml:space="preserve">Expand pytest suite to at least 20 tests</x:t>
  </x:si>
  <x:si>
    <x:t xml:space="preserve">Positive and negative cases run locally</x:t>
  </x:si>
  <x:si>
    <x:t xml:space="preserve">Completed early on 2026-06-30. Added a negative CLI integration test; 20 tests pass locally. Actual time was not separately logged.</x:t>
  </x:si>
  <x:si>
    <x:t xml:space="preserve">Add schema, path, asset, and weight failure tests</x:t>
  </x:si>
  <x:si>
    <x:t xml:space="preserve">Seeded defects are caught deterministically</x:t>
  </x:si>
  <x:si>
    <x:t xml:space="preserve">2.5</x:t>
  </x:si>
  <x:si>
    <x:t xml:space="preserve">Add GitHub Actions test workflow</x:t>
  </x:si>
  <x:si>
    <x:t xml:space="preserve">CI passes on push and fails on seeded defect branch</x:t>
  </x:si>
  <x:si>
    <x:t xml:space="preserve">2.6</x:t>
  </x:si>
  <x:si>
    <x:t xml:space="preserve">Define result and trace schema stubs</x:t>
  </x:si>
  <x:si>
    <x:t xml:space="preserve">Future run data separated from task definitions</x:t>
  </x:si>
  <x:si>
    <x:t xml:space="preserve">2.7</x:t>
  </x:si>
  <x:si>
    <x:t xml:space="preserve">Clean README, changelog, and issue templates</x:t>
  </x:si>
  <x:si>
    <x:t xml:space="preserve">New contributor can understand current scope</x:t>
  </x:si>
  <x:si>
    <x:t xml:space="preserve">2.8</x:t>
  </x:si>
  <x:si>
    <x:t xml:space="preserve">Release repository baseline v0.2</x:t>
  </x:si>
  <x:si>
    <x:t xml:space="preserve">CI green; clean history; gate record complete</x:t>
  </x:si>
  <x:si>
    <x:t xml:space="preserve">3 Evaluation Engine &amp; Measurement</x:t>
  </x:si>
  <x:si>
    <x:t xml:space="preserve">Implement deterministic evaluator engine</x:t>
  </x:si>
  <x:si>
    <x:t xml:space="preserve">One command evaluates a candidate artifact against a case</x:t>
  </x:si>
  <x:si>
    <x:t xml:space="preserve">Implement mandatory gates and artifact validation</x:t>
  </x:si>
  <x:si>
    <x:t xml:space="preserve">Missing, malformed, and incomplete outputs fail before scoring</x:t>
  </x:si>
  <x:si>
    <x:t xml:space="preserve">Implement numeric, exact, set, and contains checks</x:t>
  </x:si>
  <x:si>
    <x:t xml:space="preserve">Supported checks produce evidence and failure codes</x:t>
  </x:si>
  <x:si>
    <x:t xml:space="preserve">Write immutable local run-result records</x:t>
  </x:si>
  <x:si>
    <x:t xml:space="preserve">Run result stores versions, score, pass/fail, and evidence</x:t>
  </x:si>
  <x:si>
    <x:t xml:space="preserve">3.5</x:t>
  </x:si>
  <x:si>
    <x:t xml:space="preserve">Add manual or direct-model baseline adapter</x:t>
  </x:si>
  <x:si>
    <x:t xml:space="preserve">Response/artifact can enter harness without an agent framework</x:t>
  </x:si>
  <x:si>
    <x:t xml:space="preserve">3.6</x:t>
  </x:si>
  <x:si>
    <x:t xml:space="preserve">Define calibration and human-review protocol</x:t>
  </x:si>
  <x:si>
    <x:t xml:space="preserve">Clear rule for deterministic checks, narrow rubrics, and escalation</x:t>
  </x:si>
  <x:si>
    <x:t xml:space="preserve">3.7</x:t>
  </x:si>
  <x:si>
    <x:t xml:space="preserve">Expand benchmark to 20 cases</x:t>
  </x:si>
  <x:si>
    <x:t xml:space="preserve">Balanced development and held-out set with versioned cases</x:t>
  </x:si>
  <x:si>
    <x:t xml:space="preserve">3.8</x:t>
  </x:si>
  <x:si>
    <x:t xml:space="preserve">Run baseline benchmark and write report</x:t>
  </x:si>
  <x:si>
    <x:t xml:space="preserve">Reproducible report with representative failures and limitations</x:t>
  </x:si>
  <x:si>
    <x:t xml:space="preserve">4 Multimodal Technical Document Evaluation</x:t>
  </x:si>
  <x:si>
    <x:t xml:space="preserve">Define supported document and artifact formats</x:t>
  </x:si>
  <x:si>
    <x:t xml:space="preserve">Format matrix, evaluator strategy, and explicit exclusions</x:t>
  </x:si>
  <x:si>
    <x:t xml:space="preserve">Build public and synthetic technical-document corpus</x:t>
  </x:si>
  <x:si>
    <x:t xml:space="preserve">Authorized PDFs, images, tables, and self-authored drawings</x:t>
  </x:si>
  <x:si>
    <x:t xml:space="preserve">Implement PDF, image, and table input adapters</x:t>
  </x:si>
  <x:si>
    <x:t xml:space="preserve">Local ingestion produces stable case inputs and metadata</x:t>
  </x:si>
  <x:si>
    <x:t xml:space="preserve">4.4</x:t>
  </x:si>
  <x:si>
    <x:t xml:space="preserve">Implement deterministic table and spreadsheet checks</x:t>
  </x:si>
  <x:si>
    <x:t xml:space="preserve">Cell, field, formula, and tolerance checks are reproducible</x:t>
  </x:si>
  <x:si>
    <x:t xml:space="preserve">4.5</x:t>
  </x:si>
  <x:si>
    <x:t xml:space="preserve">Implement file and artifact validation</x:t>
  </x:si>
  <x:si>
    <x:t xml:space="preserve">Expected files parse, contain required structure, and meet gates</x:t>
  </x:si>
  <x:si>
    <x:t xml:space="preserve">4.6</x:t>
  </x:si>
  <x:si>
    <x:t xml:space="preserve">Author 12 multimodal cases</x:t>
  </x:si>
  <x:si>
    <x:t xml:space="preserve">Cases cover hallucinated dimensions, units, revisions, tables, and missing constraints</x:t>
  </x:si>
  <x:si>
    <x:t xml:space="preserve">4.7</x:t>
  </x:si>
  <x:si>
    <x:t xml:space="preserve">Run multimodal regression suite and report</x:t>
  </x:si>
  <x:si>
    <x:t xml:space="preserve">Benchmark results are reproducible and failure evidence is preserved</x:t>
  </x:si>
  <x:si>
    <x:t xml:space="preserve">5 OpenClaw Bounded Agent Evaluation</x:t>
  </x:si>
  <x:si>
    <x:t xml:space="preserve">Study OpenClaw agent loop and runtime concepts</x:t>
  </x:si>
  <x:si>
    <x:t xml:space="preserve">Can explain tools, context, state, permissions, and traces</x:t>
  </x:si>
  <x:si>
    <x:t xml:space="preserve">Install and configure OpenClaw in an isolated sandbox</x:t>
  </x:si>
  <x:si>
    <x:t xml:space="preserve">No personal accounts, production credentials, or broad file access</x:t>
  </x:si>
  <x:si>
    <x:t xml:space="preserve">Define bounded synthetic agent workflows</x:t>
  </x:si>
  <x:si>
    <x:t xml:space="preserve">Five tasks with tools, deliverables, acceptance criteria, and approval boundaries</x:t>
  </x:si>
  <x:si>
    <x:t xml:space="preserve">5.4</x:t>
  </x:si>
  <x:si>
    <x:t xml:space="preserve">Implement least-privilege tools and environment controls</x:t>
  </x:si>
  <x:si>
    <x:t xml:space="preserve">Read/write boundaries and destructive-action restrictions tested</x:t>
  </x:si>
  <x:si>
    <x:t xml:space="preserve">5.5</x:t>
  </x:si>
  <x:si>
    <x:t xml:space="preserve">Implement trace collector</x:t>
  </x:si>
  <x:si>
    <x:t xml:space="preserve">Actions, tool calls, outputs, errors, corrections, and artifacts are captured</x:t>
  </x:si>
  <x:si>
    <x:t xml:space="preserve">5.6</x:t>
  </x:si>
  <x:si>
    <x:t xml:space="preserve">Separate outcome and process evaluators</x:t>
  </x:si>
  <x:si>
    <x:t xml:space="preserve">Final deliverable and trajectory quality receive distinct scores</x:t>
  </x:si>
  <x:si>
    <x:t xml:space="preserve">5.7</x:t>
  </x:si>
  <x:si>
    <x:t xml:space="preserve">Execute repeated bounded runs</x:t>
  </x:si>
  <x:si>
    <x:t xml:space="preserve">At least five workflows run repeatedly with failed runs retained</x:t>
  </x:si>
  <x:si>
    <x:t xml:space="preserve">5.8</x:t>
  </x:si>
  <x:si>
    <x:t xml:space="preserve">Analyze failures and corrections</x:t>
  </x:si>
  <x:si>
    <x:t xml:space="preserve">Trace-linked taxonomy and small correction dataset</x:t>
  </x:si>
  <x:si>
    <x:t xml:space="preserve">6.1</x:t>
  </x:si>
  <x:si>
    <x:t xml:space="preserve">6 Comparative Harness &amp; Observability</x:t>
  </x:si>
  <x:si>
    <x:t xml:space="preserve">Select comparator harness or direct baseline</x:t>
  </x:si>
  <x:si>
    <x:t xml:space="preserve">Selection memo based on portability, cost, and measurement value</x:t>
  </x:si>
  <x:si>
    <x:t xml:space="preserve">6.2</x:t>
  </x:si>
  <x:si>
    <x:t xml:space="preserve">Implement common task adapter</x:t>
  </x:si>
  <x:si>
    <x:t xml:space="preserve">Identical cases execute without changing task or evaluator definitions</x:t>
  </x:si>
  <x:si>
    <x:t xml:space="preserve">6.3</x:t>
  </x:si>
  <x:si>
    <x:t xml:space="preserve">Run controlled comparative experiments</x:t>
  </x:si>
  <x:si>
    <x:t xml:space="preserve">Repeated results from OpenClaw and comparator on identical tasks</x:t>
  </x:si>
  <x:si>
    <x:t xml:space="preserve">6.4</x:t>
  </x:si>
  <x:si>
    <x:t xml:space="preserve">Add cost, latency, and tool-use metrics</x:t>
  </x:si>
  <x:si>
    <x:t xml:space="preserve">Metrics linked to each run and trace</x:t>
  </x:si>
  <x:si>
    <x:t xml:space="preserve">6.5</x:t>
  </x:si>
  <x:si>
    <x:t xml:space="preserve">Write comparative benchmark report</x:t>
  </x:si>
  <x:si>
    <x:t xml:space="preserve">Outcome/process tradeoffs and limitations stated conservatively</x:t>
  </x:si>
  <x:si>
    <x:t xml:space="preserve">6.6</x:t>
  </x:si>
  <x:si>
    <x:t xml:space="preserve">Complete comparative-study gate review</x:t>
  </x:si>
  <x:si>
    <x:t xml:space="preserve">Evidence supports or rejects claimed differences</x:t>
  </x:si>
  <x:si>
    <x:t xml:space="preserve">7.1</x:t>
  </x:si>
  <x:si>
    <x:t xml:space="preserve">7 Hardening, Governance &amp; Portfolio Release</x:t>
  </x:si>
  <x:si>
    <x:t xml:space="preserve">Run held-out regression and seeded-bug tests</x:t>
  </x:si>
  <x:si>
    <x:t xml:space="preserve">No tuning on held-out cases; known defects are caught</x:t>
  </x:si>
  <x:si>
    <x:t xml:space="preserve">7.2</x:t>
  </x:si>
  <x:si>
    <x:t xml:space="preserve">Write security, data-handling, and governance pack</x:t>
  </x:si>
  <x:si>
    <x:t xml:space="preserve">Risk register, data policy, human-review points, and incident procedure</x:t>
  </x:si>
  <x:si>
    <x:t xml:space="preserve">7.3</x:t>
  </x:si>
  <x:si>
    <x:t xml:space="preserve">Create reproducible packaged setup</x:t>
  </x:si>
  <x:si>
    <x:t xml:space="preserve">Clean-machine setup succeeds from README; Docker optional but documented</x:t>
  </x:si>
  <x:si>
    <x:t xml:space="preserve">7.4</x:t>
  </x:si>
  <x:si>
    <x:t xml:space="preserve">Create architecture diagram and three case studies</x:t>
  </x:si>
  <x:si>
    <x:t xml:space="preserve">Portfolio explains task, agent, environment, trace, evaluator, and results</x:t>
  </x:si>
  <x:si>
    <x:t xml:space="preserve">7.5</x:t>
  </x:si>
  <x:si>
    <x:t xml:space="preserve">Run final cold-start demonstration</x:t>
  </x:si>
  <x:si>
    <x:t xml:space="preserve">New clone, tests, benchmark, and demo complete without hidden steps</x:t>
  </x:si>
  <x:si>
    <x:t xml:space="preserve">7.6</x:t>
  </x:si>
  <x:si>
    <x:t xml:space="preserve">Prepare job-facing README and walkthrough</x:t>
  </x:si>
  <x:si>
    <x:t xml:space="preserve">Ten-minute portfolio walkthrough tied to eval-engineering roles</x:t>
  </x:si>
  <x:si>
    <x:t xml:space="preserve">7.7</x:t>
  </x:si>
  <x:si>
    <x:t xml:space="preserve">Release v1.0 and record lessons learned</x:t>
  </x:si>
  <x:si>
    <x:t xml:space="preserve">Tagged release, final report, backlog, and post-project review</x:t>
  </x:si>
  <x:si>
    <x:t xml:space="preserve">Executive Gantt — 576 Planned Labour Hours</x:t>
  </x:si>
  <x:si>
    <x:t xml:space="preserve">Hours</x:t>
  </x:si>
  <x:si>
    <x:t xml:space="preserve">% Total</x:t>
  </x:si>
  <x:si>
    <x:t xml:space="preserve">Jul-26</x:t>
  </x:si>
  <x:si>
    <x:t xml:space="preserve">Aug-26</x:t>
  </x:si>
  <x:si>
    <x:t xml:space="preserve">Sep-26</x:t>
  </x:si>
  <x:si>
    <x:t xml:space="preserve">Oct-26</x:t>
  </x:si>
  <x:si>
    <x:t xml:space="preserve">Nov-26</x:t>
  </x:si>
  <x:si>
    <x:t xml:space="preserve">Dec-26</x:t>
  </x:si>
  <x:si>
    <x:t xml:space="preserve">Jan-27</x:t>
  </x:si>
  <x:si>
    <x:t xml:space="preserve">Feb-27</x:t>
  </x:si>
  <x:si>
    <x:t xml:space="preserve">Mar-27</x:t>
  </x:si>
  <x:si>
    <x:t xml:space="preserve">Apr-27</x:t>
  </x:si>
  <x:si>
    <x:t xml:space="preserve">May-27</x:t>
  </x:si>
  <x:si>
    <x:t xml:space="preserve">Jun-27</x:t>
  </x:si>
  <x:si>
    <x:t xml:space="preserve">Ongoing controls; baseline accepted at Gate 0</x:t>
  </x:si>
  <x:si>
    <x:t xml:space="preserve">Controlled scope, updated schedule, issue log, gate records</x:t>
  </x:si>
  <x:si>
    <x:t xml:space="preserve">Gate 1 — v0.1.0 case specification baseline</x:t>
  </x:si>
  <x:si>
    <x:t xml:space="preserve">8 reviewed synthetic cases, 3 workflow families, held-out split</x:t>
  </x:si>
  <x:si>
    <x:t xml:space="preserve">Gate 2 — v0.2 test and repository baseline</x:t>
  </x:si>
  <x:si>
    <x:t xml:space="preserve">20+ tests, CI, clean Git workflow, result/trace schema stubs</x:t>
  </x:si>
  <x:si>
    <x:t xml:space="preserve">Gate 3 — deterministic evaluation baseline</x:t>
  </x:si>
  <x:si>
    <x:t xml:space="preserve">Evaluator engine, local result records, 20-case benchmark report</x:t>
  </x:si>
  <x:si>
    <x:t xml:space="preserve">Gate 4 — multimodal benchmark ready</x:t>
  </x:si>
  <x:si>
    <x:t xml:space="preserve">PDF/image/table handling, artifact checks, 12 multimodal cases</x:t>
  </x:si>
  <x:si>
    <x:t xml:space="preserve">Gate 5 — bounded agent evaluation demonstrated</x:t>
  </x:si>
  <x:si>
    <x:t xml:space="preserve">Sandboxed OpenClaw runs, traces, process/outcome evaluators</x:t>
  </x:si>
  <x:si>
    <x:t xml:space="preserve">6</x:t>
  </x:si>
  <x:si>
    <x:t xml:space="preserve">Gate 6 — comparative study complete</x:t>
  </x:si>
  <x:si>
    <x:t xml:space="preserve">Identical-task comparison, cost/latency/tool-use metrics, report</x:t>
  </x:si>
  <x:si>
    <x:t xml:space="preserve">7</x:t>
  </x:si>
  <x:si>
    <x:t xml:space="preserve">Gate 7 — v1.0 portfolio release</x:t>
  </x:si>
  <x:si>
    <x:t xml:space="preserve">Held-out regression, reproducible setup, governance pack, case studies</x:t>
  </x:si>
  <x:si>
    <x:t xml:space="preserve">TOTAL BASELINE</x:t>
  </x:si>
  <x:si>
    <x:t xml:space="preserve">Work Block Log — Actual Work, Evidence, Decisions, and Next Action</x:t>
  </x:si>
  <x:si>
    <x:t xml:space="preserve">Enter one row per coherent work block. Actual hours are recorded only when explicitly known. Detailed Gantt and Weekly Control calculate actuals from this sheet.</x:t>
  </x:si>
  <x:si>
    <x:t xml:space="preserve">Block ID</x:t>
  </x:si>
  <x:si>
    <x:t xml:space="preserve">Date</x:t>
  </x:si>
  <x:si>
    <x:t xml:space="preserve">End</x:t>
  </x:si>
  <x:si>
    <x:t xml:space="preserve">Primary WBS</x:t>
  </x:si>
  <x:si>
    <x:t xml:space="preserve">MVP Week</x:t>
  </x:si>
  <x:si>
    <x:t xml:space="preserve">Objective</x:t>
  </x:si>
  <x:si>
    <x:t xml:space="preserve">Deliverable / Evidence</x:t>
  </x:si>
  <x:si>
    <x:t xml:space="preserve">Decisions / Blockers</x:t>
  </x:si>
  <x:si>
    <x:t xml:space="preserve">Git / Artifact</x:t>
  </x:si>
  <x:si>
    <x:t xml:space="preserve">WB-001</x:t>
  </x:si>
  <x:si>
    <x:t xml:space="preserve">Repository setup, toolchain verification, and initial commissioning.</x:t>
  </x:si>
  <x:si>
    <x:t xml:space="preserve">Python 3.14.2 virtual environment active; repository structure commissioned; baseline tests passed.</x:t>
  </x:si>
  <x:si>
    <x:t xml:space="preserve">Use a backend-first local CLI and synthetic/public data only.</x:t>
  </x:si>
  <x:si>
    <x:t xml:space="preserve">Establish Git/GitHub baseline and controlled workflow.</x:t>
  </x:si>
  <x:si>
    <x:t xml:space="preserve">Local repository baseline</x:t>
  </x:si>
  <x:si>
    <x:t xml:space="preserve">WB-002</x:t>
  </x:si>
  <x:si>
    <x:t xml:space="preserve">Git/GitHub baseline, first controlled regression change, and repository commissioning.</x:t>
  </x:si>
  <x:si>
    <x:t xml:space="preserve">PR #1 merged; unknown-case CLI regression added; 20 tests passed.</x:t>
  </x:si>
  <x:si>
    <x:t xml:space="preserve">Use branch/PR workflow, but avoid one branch per trivial test after practice objective is met.</x:t>
  </x:si>
  <x:si>
    <x:t xml:space="preserve">Implement targeted case loading.</x:t>
  </x:si>
  <x:si>
    <x:t xml:space="preserve">PR #1 / merge 29f4879</x:t>
  </x:si>
  <x:si>
    <x:t xml:space="preserve">WB-003</x:t>
  </x:si>
  <x:si>
    <x:t xml:space="preserve">1:51 PM</x:t>
  </x:si>
  <x:si>
    <x:t xml:space="preserve">2:28 PM</x:t>
  </x:si>
  <x:si>
    <x:t xml:space="preserve">Add targeted case loading by ID and decouple inspect from full-repository validation.</x:t>
  </x:si>
  <x:si>
    <x:t xml:space="preserve">PR #2 merged; load_case_by_id added; CLI inspect updated; 22 tests passed.</x:t>
  </x:si>
  <x:si>
    <x:t xml:space="preserve">Targeted inspect should ignore invalid unrelated cases.</x:t>
  </x:si>
  <x:si>
    <x:t xml:space="preserve">Prove case isolation with a regression test.</x:t>
  </x:si>
  <x:si>
    <x:t xml:space="preserve">PR #2 / merge 84ae42e</x:t>
  </x:si>
  <x:si>
    <x:t xml:space="preserve">WB-004</x:t>
  </x:si>
  <x:si>
    <x:t xml:space="preserve">4:00 PM</x:t>
  </x:si>
  <x:si>
    <x:t xml:space="preserve">Case-isolation and seeded-defect validator coverage.</x:t>
  </x:si>
  <x:si>
    <x:t xml:space="preserve">PR #3 case isolation, PR #4 evaluator weight sum, PR #5 missing input asset; 25 tests passed.</x:t>
  </x:si>
  <x:si>
    <x:t xml:space="preserve">Stop the one-test-per-branch pattern. Tests support the product; the next major capability is the evaluation engine. Duration reconstructed from the confirmed timeline.</x:t>
  </x:si>
  <x:si>
    <x:t xml:space="preserve">Complete architecture/control checkpoint, then start candidate artifact contract.</x:t>
  </x:si>
  <x:si>
    <x:t xml:space="preserve">PR #3 90ead34; PR #4 8399f1f; PR #5 0205c60</x:t>
  </x:si>
  <x:si>
    <x:t xml:space="preserve">WB-005</x:t>
  </x:si>
  <x:si>
    <x:t xml:space="preserve">5:20 PM</x:t>
  </x:si>
  <x:si>
    <x:t xml:space="preserve">Architecture checkpoint and aggressive MVP rebaseline.</x:t>
  </x:si>
  <x:si>
    <x:t xml:space="preserve">Updated architecture draft and 8-week MVP control workbook with logs, decisions, risks, evidence, and AI context.</x:t>
  </x:si>
  <x:si>
    <x:t xml:space="preserve">Gantt workbook becomes the controlling source of truth. Preserve long-term work as expansion backlog.</x:t>
  </x:si>
  <x:si>
    <x:t xml:space="preserve">Commit docs/architecture.md and this workbook; begin WBS 1.1.</x:t>
  </x:si>
  <x:si>
    <x:t xml:space="preserve">docs/architecture.md; gantt.xlsx</x:t>
  </x:si>
  <x:si>
    <x:t xml:space="preserve">WB-006</x:t>
  </x:si>
  <x:si>
    <x:t xml:space="preserve">5:24 PM</x:t>
  </x:si>
  <x:si>
    <x:t xml:space="preserve">Commit the architecture document and rebaselined Gantt workbook to main.</x:t>
  </x:si>
  <x:si>
    <x:t xml:space="preserve">Commit c71676d pushed to origin/main; working tree confirmed clean.</x:t>
  </x:si>
  <x:si>
    <x:t xml:space="preserve">Gate 0 is complete. Stop work for the day; begin WBS 1.1 in the next work block.</x:t>
  </x:si>
  <x:si>
    <x:t xml:space="preserve">Next work block: create feature/candidate-artifact-contract and define the MECH-002 candidate contract.</x:t>
  </x:si>
  <x:si>
    <x:t xml:space="preserve">c71676d — Rebaseline project for eight-week MVP</x:t>
  </x:si>
  <x:si>
    <x:t xml:space="preserve">Decision Register</x:t>
  </x:si>
  <x:si>
    <x:t xml:space="preserve">Decision ID</x:t>
  </x:si>
  <x:si>
    <x:t xml:space="preserve">Decision</x:t>
  </x:si>
  <x:si>
    <x:t xml:space="preserve">Rationale</x:t>
  </x:si>
  <x:si>
    <x:t xml:space="preserve">Affected WBS</x:t>
  </x:si>
  <x:si>
    <x:t xml:space="preserve">Evidence / Source</x:t>
  </x:si>
  <x:si>
    <x:t xml:space="preserve">Revisit Trigger</x:t>
  </x:si>
  <x:si>
    <x:t xml:space="preserve">D-001</x:t>
  </x:si>
  <x:si>
    <x:t xml:space="preserve">Build a backend-first, schema-first local CLI harness.</x:t>
  </x:si>
  <x:si>
    <x:t xml:space="preserve">Demonstrates evaluation-system ownership without frontend distraction.</x:t>
  </x:si>
  <x:si>
    <x:t xml:space="preserve">Active</x:t>
  </x:si>
  <x:si>
    <x:t xml:space="preserve">All</x:t>
  </x:si>
  <x:si>
    <x:t xml:space="preserve">Project scope and architecture</x:t>
  </x:si>
  <x:si>
    <x:t xml:space="preserve">Revisit only after MVP release.</x:t>
  </x:si>
  <x:si>
    <x:t xml:space="preserve">D-002</x:t>
  </x:si>
  <x:si>
    <x:t xml:space="preserve">Keep task, agent, environment, trace/artifacts, evaluator, and results separate.</x:t>
  </x:si>
  <x:si>
    <x:t xml:space="preserve">Enables reproducible comparisons and prevents benchmark/run-data entanglement.</x:t>
  </x:si>
  <x:si>
    <x:t xml:space="preserve">Revisit only for a concrete interface conflict.</x:t>
  </x:si>
  <x:si>
    <x:t xml:space="preserve">D-003</x:t>
  </x:si>
  <x:si>
    <x:t xml:space="preserve">Use the Gantt workbook as the controlling project-management artifact.</x:t>
  </x:si>
  <x:si>
    <x:t xml:space="preserve">Provides shared context across sessions and auditable progress control.</x:t>
  </x:si>
  <x:si>
    <x:t xml:space="preserve">Project instructions; gantt.xlsx</x:t>
  </x:si>
  <x:si>
    <x:t xml:space="preserve">Revisit if workbook maintenance exceeds its planning value.</x:t>
  </x:si>
  <x:si>
    <x:t xml:space="preserve">D-004</x:t>
  </x:si>
  <x:si>
    <x:t xml:space="preserve">Replace the 52-week controlling schedule with an 8-week, 76-hour MVP baseline.</x:t>
  </x:si>
  <x:si>
    <x:t xml:space="preserve">The prior learning-first sequence delayed useful product functionality.</x:t>
  </x:si>
  <x:si>
    <x:t xml:space="preserve">All MVP</x:t>
  </x:si>
  <x:si>
    <x:t xml:space="preserve">This workbook revision</x:t>
  </x:si>
  <x:si>
    <x:t xml:space="preserve">Rebaseline only through a recorded gate decision.</x:t>
  </x:si>
  <x:si>
    <x:t xml:space="preserve">D-005</x:t>
  </x:si>
  <x:si>
    <x:t xml:space="preserve">The one-test pattern created transcription work and weak product momentum.</x:t>
  </x:si>
  <x:si>
    <x:t xml:space="preserve">All development</x:t>
  </x:si>
  <x:si>
    <x:t xml:space="preserve">PR #3–#5 retrospective</x:t>
  </x:si>
  <x:si>
    <x:t xml:space="preserve">Revisit if a capability becomes too large to review safely.</x:t>
  </x:si>
  <x:si>
    <x:t xml:space="preserve">D-006</x:t>
  </x:si>
  <x:si>
    <x:t xml:space="preserve">Stop validator-only expansion after material coverage; build the evaluation engine next.</x:t>
  </x:si>
  <x:si>
    <x:t xml:space="preserve">Tests are evidence, not the product. The harness still cannot score candidates.</x:t>
  </x:si>
  <x:si>
    <x:t xml:space="preserve">0.3 → 1.1</x:t>
  </x:si>
  <x:si>
    <x:t xml:space="preserve">25 tests; architecture checkpoint</x:t>
  </x:si>
  <x:si>
    <x:t xml:space="preserve">Reopen validator work only when engine work exposes a real defect.</x:t>
  </x:si>
  <x:si>
    <x:t xml:space="preserve">D-007</x:t>
  </x:si>
  <x:si>
    <x:t xml:space="preserve">MVP uses JSON candidate artifacts and deterministic checks only.</x:t>
  </x:si>
  <x:si>
    <x:t xml:space="preserve">Constrains scope while proving the complete evaluation loop.</x:t>
  </x:si>
  <x:si>
    <x:t xml:space="preserve">1–5</x:t>
  </x:si>
  <x:si>
    <x:t xml:space="preserve">MVP definition</x:t>
  </x:si>
  <x:si>
    <x:t xml:space="preserve">Revisit after v0.1.0.</x:t>
  </x:si>
  <x:si>
    <x:t xml:space="preserve">D-008</x:t>
  </x:si>
  <x:si>
    <x:t xml:space="preserve">Defer OpenClaw, multimodal, APIs, databases, observability, and RL.</x:t>
  </x:si>
  <x:si>
    <x:t xml:space="preserve">These are expansion capabilities and should not block the first useful harness.</x:t>
  </x:si>
  <x:si>
    <x:t xml:space="preserve">Expansion</x:t>
  </x:si>
  <x:si>
    <x:t xml:space="preserve">Select next expansion only after Gate 6.</x:t>
  </x:si>
  <x:si>
    <x:t xml:space="preserve">D-009</x:t>
  </x:si>
  <x:si>
    <x:t xml:space="preserve">Adopt the Mechanical Engineering Workflow Assurance Platform as the strategic product direction; the current harness is its evaluation kernel.</x:t>
  </x:si>
  <x:si>
    <x:t xml:space="preserve">Drawing, document-package, calculation, QA/QC, cross-document, standards, redline, and agent workflows all depend on the same independent evaluation and evidence layer.</x:t>
  </x:si>
  <x:si>
    <x:t xml:space="preserve">All / Expansion</x:t>
  </x:si>
  <x:si>
    <x:t xml:space="preserve">Product Vision sheet; AI Context; project discussion</x:t>
  </x:si>
  <x:si>
    <x:t xml:space="preserve">Revisit after Gate 6 or if a concrete MVP interface conflict appears.</x:t>
  </x:si>
  <x:si>
    <x:t xml:space="preserve">D-010</x:t>
  </x:si>
  <x:si>
    <x:t xml:space="preserve">Keep candidate and result contracts runtime-agnostic and extensible without implementing deferred capabilities.</x:t>
  </x:si>
  <x:si>
    <x:t xml:space="preserve">A stable envelope lets human, direct-model, scripted, multimodal, and agent outputs use the same evaluator while preventing current scope creep.</x:t>
  </x:si>
  <x:si>
    <x:t xml:space="preserve">1.1; 2.2; Expansion</x:t>
  </x:si>
  <x:si>
    <x:t xml:space="preserve">Product Vision; updated WBS acceptance criteria</x:t>
  </x:si>
  <x:si>
    <x:t xml:space="preserve">Revisit only when implementation evidence shows the envelope is too broad or too narrow.</x:t>
  </x:si>
  <x:si>
    <x:t xml:space="preserve">Risk and Issue Register</x:t>
  </x:si>
  <x:si>
    <x:t xml:space="preserve">Description</x:t>
  </x:si>
  <x:si>
    <x:t xml:space="preserve">Probability</x:t>
  </x:si>
  <x:si>
    <x:t xml:space="preserve">Impact</x:t>
  </x:si>
  <x:si>
    <x:t xml:space="preserve">Owner</x:t>
  </x:si>
  <x:si>
    <x:t xml:space="preserve">Mitigation / Action</x:t>
  </x:si>
  <x:si>
    <x:t xml:space="preserve">Review Date</x:t>
  </x:si>
  <x:si>
    <x:t xml:space="preserve">R-001</x:t>
  </x:si>
  <x:si>
    <x:t xml:space="preserve">Risk</x:t>
  </x:si>
  <x:si>
    <x:t xml:space="preserve">Planning and documentation replace implementation.</x:t>
  </x:si>
  <x:si>
    <x:t xml:space="preserve">High</x:t>
  </x:si>
  <x:si>
    <x:t xml:space="preserve">Jason</x:t>
  </x:si>
  <x:si>
    <x:t xml:space="preserve">Require every work block to advance a WBS deliverable; no new planning artifact without a direct control need.</x:t>
  </x:si>
  <x:si>
    <x:t xml:space="preserve">Open</x:t>
  </x:si>
  <x:si>
    <x:t xml:space="preserve">Primary process risk identified during July 4 checkpoint.</x:t>
  </x:si>
  <x:si>
    <x:t xml:space="preserve">R-002</x:t>
  </x:si>
  <x:si>
    <x:t xml:space="preserve">Overbuilding tests and software-learning exercises delays MVP.</x:t>
  </x:si>
  <x:si>
    <x:t xml:space="preserve">Stop one-test branches; add only capability-level tests and reuse fixtures when it reduces real duplication.</x:t>
  </x:si>
  <x:si>
    <x:t xml:space="preserve">Mitigating</x:t>
  </x:si>
  <x:si>
    <x:t xml:space="preserve">25 tests already provide a useful validator baseline.</x:t>
  </x:si>
  <x:si>
    <x:t xml:space="preserve">R-003</x:t>
  </x:si>
  <x:si>
    <x:t xml:space="preserve">Engineering references or tolerances are wrong despite valid schemas.</x:t>
  </x:si>
  <x:si>
    <x:t xml:space="preserve">Medium</x:t>
  </x:si>
  <x:si>
    <x:t xml:space="preserve">Independently verify seed cases and use a human-review checklist before benchmark admission.</x:t>
  </x:si>
  <x:si>
    <x:t xml:space="preserve">R-004</x:t>
  </x:si>
  <x:si>
    <x:t xml:space="preserve">Scope expands into drawings, standards/GD&amp;T, agent runtimes, multimodal parsing, APIs, observability, or RL before the core evaluator exists.</x:t>
  </x:si>
  <x:si>
    <x:t xml:space="preserve">Record the platform vision in Product Vision and Expansion Backlog, preserve only necessary interface extension points, and pull implementation forward only through a recorded gate decision.</x:t>
  </x:si>
  <x:si>
    <x:t xml:space="preserve">The strategic direction is retained, but all non-MVP capabilities remain deferred.</x:t>
  </x:si>
  <x:si>
    <x:t xml:space="preserve">R-005</x:t>
  </x:si>
  <x:si>
    <x:t xml:space="preserve">AI-generated code is accepted without understanding interfaces or failure modes.</x:t>
  </x:si>
  <x:si>
    <x:t xml:space="preserve">Use short architecture briefings, review inputs/outputs, inspect evidence, and require acceptance tests.</x:t>
  </x:si>
  <x:si>
    <x:t xml:space="preserve">Delegate syntax, retain architectural ownership.</x:t>
  </x:si>
  <x:si>
    <x:t xml:space="preserve">R-006</x:t>
  </x:si>
  <x:si>
    <x:t xml:space="preserve">Confidential Outlier or employer information enters the public portfolio.</x:t>
  </x:si>
  <x:si>
    <x:t xml:space="preserve">Low</x:t>
  </x:si>
  <x:si>
    <x:t xml:space="preserve">Use only synthetic, public, self-authored, or authorized content; review artifacts before commit.</x:t>
  </x:si>
  <x:si>
    <x:t xml:space="preserve">Non-negotiable data boundary.</x:t>
  </x:si>
  <x:si>
    <x:t xml:space="preserve">I-001</x:t>
  </x:si>
  <x:si>
    <x:t xml:space="preserve">Issue</x:t>
  </x:si>
  <x:si>
    <x:t xml:space="preserve">Actual duration for July 4 PR #3–#5 work was not recorded.</x:t>
  </x:si>
  <x:si>
    <x:t xml:space="preserve">N/A</x:t>
  </x:si>
  <x:si>
    <x:t xml:space="preserve">Actuals entered in Work Block Log; formula-driven summaries recalculated.</x:t>
  </x:si>
  <x:si>
    <x:t xml:space="preserve">Closed</x:t>
  </x:si>
  <x:si>
    <x:t xml:space="preserve">Resolved from the confirmed July 4 timeline: WB-004 = 1.53 h and WB-005 = 1.33 h.</x:t>
  </x:si>
  <x:si>
    <x:t xml:space="preserve">I-002</x:t>
  </x:si>
  <x:si>
    <x:t xml:space="preserve">Architecture document update is prepared but not yet confirmed committed.</x:t>
  </x:si>
  <x:si>
    <x:t xml:space="preserve">Commit docs/architecture.md with the rebaselined workbook.</x:t>
  </x:si>
  <x:si>
    <x:t xml:space="preserve">Resolved by commit c71676d on 2026-07-04.</x:t>
  </x:si>
  <x:si>
    <x:t xml:space="preserve">Artifact and Evidence Register</x:t>
  </x:si>
  <x:si>
    <x:t xml:space="preserve">Evidence ID</x:t>
  </x:si>
  <x:si>
    <x:t xml:space="preserve">Location / Commit</x:t>
  </x:si>
  <x:si>
    <x:t xml:space="preserve">Acceptance Supported</x:t>
  </x:si>
  <x:si>
    <x:t xml:space="preserve">EV-001</x:t>
  </x:si>
  <x:si>
    <x:t xml:space="preserve">Python 3.14.2 virtual environment and repository commissioning verified.</x:t>
  </x:si>
  <x:si>
    <x:t xml:space="preserve">Environment</x:t>
  </x:si>
  <x:si>
    <x:t xml:space="preserve">Local repository</x:t>
  </x:si>
  <x:si>
    <x:t xml:space="preserve">Environment baseline</x:t>
  </x:si>
  <x:si>
    <x:t xml:space="preserve">Accepted</x:t>
  </x:si>
  <x:si>
    <x:t xml:space="preserve">Starter repository operational.</x:t>
  </x:si>
  <x:si>
    <x:t xml:space="preserve">EV-002</x:t>
  </x:si>
  <x:si>
    <x:t xml:space="preserve">First controlled feature/PR cycle and unknown-case regression.</x:t>
  </x:si>
  <x:si>
    <x:t xml:space="preserve">Git / Test</x:t>
  </x:si>
  <x:si>
    <x:t xml:space="preserve">PR #1; merge 29f4879</x:t>
  </x:si>
  <x:si>
    <x:t xml:space="preserve">Git baseline; controlled errors</x:t>
  </x:si>
  <x:si>
    <x:t xml:space="preserve">20 tests passed.</x:t>
  </x:si>
  <x:si>
    <x:t xml:space="preserve">EV-003</x:t>
  </x:si>
  <x:si>
    <x:t xml:space="preserve">Targeted load_case_by_id and CLI inspect decoupling.</x:t>
  </x:si>
  <x:si>
    <x:t xml:space="preserve">Code / Test</x:t>
  </x:si>
  <x:si>
    <x:t xml:space="preserve">PR #2; merge 84ae42e</x:t>
  </x:si>
  <x:si>
    <x:t xml:space="preserve">Targeted case loading</x:t>
  </x:si>
  <x:si>
    <x:t xml:space="preserve">22 tests passed.</x:t>
  </x:si>
  <x:si>
    <x:t xml:space="preserve">EV-004</x:t>
  </x:si>
  <x:si>
    <x:t xml:space="preserve">Inspect case isolation regression.</x:t>
  </x:si>
  <x:si>
    <x:t xml:space="preserve">Test</x:t>
  </x:si>
  <x:si>
    <x:t xml:space="preserve">PR #3; merge 90ead34</x:t>
  </x:si>
  <x:si>
    <x:t xml:space="preserve">Unrelated invalid case does not block inspect</x:t>
  </x:si>
  <x:si>
    <x:t xml:space="preserve">23 tests passed.</x:t>
  </x:si>
  <x:si>
    <x:t xml:space="preserve">EV-005</x:t>
  </x:si>
  <x:si>
    <x:t xml:space="preserve">Evaluator weight-sum seeded-defect test.</x:t>
  </x:si>
  <x:si>
    <x:t xml:space="preserve">PR #4; merge 8399f1f</x:t>
  </x:si>
  <x:si>
    <x:t xml:space="preserve">Invalid scoring configuration rejected</x:t>
  </x:si>
  <x:si>
    <x:t xml:space="preserve">24 tests passed.</x:t>
  </x:si>
  <x:si>
    <x:t xml:space="preserve">EV-006</x:t>
  </x:si>
  <x:si>
    <x:t xml:space="preserve">Missing input-asset seeded-defect test.</x:t>
  </x:si>
  <x:si>
    <x:t xml:space="preserve">PR #5; merge 0205c60</x:t>
  </x:si>
  <x:si>
    <x:t xml:space="preserve">Missing declared assets rejected</x:t>
  </x:si>
  <x:si>
    <x:t xml:space="preserve">25 tests passed.</x:t>
  </x:si>
  <x:si>
    <x:t xml:space="preserve">EV-007</x:t>
  </x:si>
  <x:si>
    <x:t xml:space="preserve">Architecture checkpoint draft defines current layers, implemented state, and next milestone.</x:t>
  </x:si>
  <x:si>
    <x:t xml:space="preserve">Documentation</x:t>
  </x:si>
  <x:si>
    <x:t xml:space="preserve">Architecture understanding</x:t>
  </x:si>
  <x:si>
    <x:t xml:space="preserve">Committed in c71676d.</x:t>
  </x:si>
  <x:si>
    <x:t xml:space="preserve">EV-008</x:t>
  </x:si>
  <x:si>
    <x:t xml:space="preserve">Aggressive 8-week MVP rebaseline and control registers.</x:t>
  </x:si>
  <x:si>
    <x:t xml:space="preserve">gantt.xlsx</x:t>
  </x:si>
  <x:si>
    <x:t xml:space="preserve">Control baseline</x:t>
  </x:si>
  <x:si>
    <x:t xml:space="preserve">Committed in c71676d and adopted as the controlling project workbook.</x:t>
  </x:si>
  <x:si>
    <x:t xml:space="preserve">EV-009</x:t>
  </x:si>
  <x:si>
    <x:t xml:space="preserve">Architecture and MVP control baseline committed and pushed with a clean main branch.</x:t>
  </x:si>
  <x:si>
    <x:t xml:space="preserve">Git / Project control</x:t>
  </x:si>
  <x:si>
    <x:t xml:space="preserve">c71676d</x:t>
  </x:si>
  <x:si>
    <x:t xml:space="preserve">Repository main and origin/main synchronized.</x:t>
  </x:si>
  <x:si>
    <x:t xml:space="preserve">EV-010</x:t>
  </x:si>
  <x:si>
    <x:t xml:space="preserve">0.2 / All</x:t>
  </x:si>
  <x:si>
    <x:t xml:space="preserve">Strategic product vision, architecture invariants, future capability ladder, commercial workflow hypothesis, and MVP guardrails recorded in the controlling workbook.</x:t>
  </x:si>
  <x:si>
    <x:t xml:space="preserve">Project control / Architecture</x:t>
  </x:si>
  <x:si>
    <x:t xml:space="preserve">gantt_updated_2026-07-05.xlsx — Product Vision, AI Context, Decision Register</x:t>
  </x:si>
  <x:si>
    <x:t xml:space="preserve">Long-term direction retained without changing MVP baseline</x:t>
  </x:si>
  <x:si>
    <x:t xml:space="preserve">No actual work hours added because duration was not explicitly provided.</x:t>
  </x:si>
  <x:si>
    <x:t xml:space="preserve">Theme</x:t>
  </x:si>
  <x:si>
    <x:t xml:space="preserve">Deferred Capability</x:t>
  </x:si>
  <x:si>
    <x:t xml:space="preserve">Why Deferred</x:t>
  </x:si>
  <x:si>
    <x:t xml:space="preserve">Entry Criteria</x:t>
  </x:si>
  <x:si>
    <x:t xml:space="preserve">Priority</x:t>
  </x:si>
  <x:si>
    <x:t xml:space="preserve">Rough Hours</x:t>
  </x:si>
  <x:si>
    <x:t xml:space="preserve">Source Phase</x:t>
  </x:si>
  <x:si>
    <x:t xml:space="preserve">X-01</x:t>
  </x:si>
  <x:si>
    <x:t xml:space="preserve">Benchmark scale</x:t>
  </x:si>
  <x:si>
    <x:t xml:space="preserve">Expand from 5 to 20+ cases</x:t>
  </x:si>
  <x:si>
    <x:t xml:space="preserve">MVP needs proof of flow before breadth.</x:t>
  </x:si>
  <x:si>
    <x:t xml:space="preserve">MVP benchmark stable and case authoring template proven.</x:t>
  </x:si>
  <x:si>
    <x:t xml:space="preserve">Next</x:t>
  </x:si>
  <x:si>
    <x:t xml:space="preserve">30</x:t>
  </x:si>
  <x:si>
    <x:t xml:space="preserve">Case Foundation / Evaluation Engine</x:t>
  </x:si>
  <x:si>
    <x:t xml:space="preserve">X-02</x:t>
  </x:si>
  <x:si>
    <x:t xml:space="preserve">Multimodal</x:t>
  </x:si>
  <x:si>
    <x:t xml:space="preserve">Drawing/document assurance: PDFs, vector drawings, tables, images, and later native CAD metadata; structured findings and redline verification</x:t>
  </x:si>
  <x:si>
    <x:t xml:space="preserve">Adds parsing, vision, symbol/entity extraction, heterogeneous artifacts, and location-aware evidence.</x:t>
  </x:si>
  <x:si>
    <x:t xml:space="preserve">JSON evaluator stable; one high-value drawing/document workflow selected; deterministic ground truth available.</x:t>
  </x:si>
  <x:si>
    <x:t xml:space="preserve">50</x:t>
  </x:si>
  <x:si>
    <x:t xml:space="preserve">X-03</x:t>
  </x:si>
  <x:si>
    <x:t xml:space="preserve">Agent runtime</x:t>
  </x:si>
  <x:si>
    <x:t xml:space="preserve">Bounded engineering-review agent runtime, trace capture, proposed redlines/corrections, re-evaluation, and human approval routing</x:t>
  </x:si>
  <x:si>
    <x:t xml:space="preserve">Agent execution is not required to prove evaluator correctness and adds permissions, tools, state, and safety controls.</x:t>
  </x:si>
  <x:si>
    <x:t xml:space="preserve">MVP released; sandbox, least-privilege plan, trace schema, and artifact evaluator approved.</x:t>
  </x:si>
  <x:si>
    <x:t xml:space="preserve">45</x:t>
  </x:si>
  <x:si>
    <x:t xml:space="preserve">OpenClaw</x:t>
  </x:si>
  <x:si>
    <x:t xml:space="preserve">X-04</x:t>
  </x:si>
  <x:si>
    <x:t xml:space="preserve">Process evaluation</x:t>
  </x:si>
  <x:si>
    <x:t xml:space="preserve">Trajectory schema and process-quality scoring for retrieval, file/tool use, revision selection, verification, correction, and efficiency</x:t>
  </x:si>
  <x:si>
    <x:t xml:space="preserve">Requires real agent traces and calibrated process criteria separate from final artifact quality.</x:t>
  </x:si>
  <x:si>
    <x:t xml:space="preserve">At least 10 preserved agent runs exist across representative success and failure modes.</x:t>
  </x:si>
  <x:si>
    <x:t xml:space="preserve">OpenClaw / RL</x:t>
  </x:si>
  <x:si>
    <x:t xml:space="preserve">Deferred</x:t>
  </x:si>
  <x:si>
    <x:t xml:space="preserve">X-05</x:t>
  </x:si>
  <x:si>
    <x:t xml:space="preserve">Comparative study</x:t>
  </x:si>
  <x:si>
    <x:t xml:space="preserve">Compare OpenClaw, direct model, and another harness</x:t>
  </x:si>
  <x:si>
    <x:t xml:space="preserve">Meaningful only after identical-task evaluator is stable.</x:t>
  </x:si>
  <x:si>
    <x:t xml:space="preserve">Two runtimes integrated on same cases.</x:t>
  </x:si>
  <x:si>
    <x:t xml:space="preserve">Comparative Harness</x:t>
  </x:si>
  <x:si>
    <x:t xml:space="preserve">X-06</x:t>
  </x:si>
  <x:si>
    <x:t xml:space="preserve">Observability</x:t>
  </x:si>
  <x:si>
    <x:t xml:space="preserve">Latency, cost, token, trace, and session dashboards</x:t>
  </x:si>
  <x:si>
    <x:t xml:space="preserve">Useful after repeatable runs exist.</x:t>
  </x:si>
  <x:si>
    <x:t xml:space="preserve">Result and trace schemas stable; multiple runs available.</x:t>
  </x:si>
  <x:si>
    <x:t xml:space="preserve">25</x:t>
  </x:si>
  <x:si>
    <x:t xml:space="preserve">X-07</x:t>
  </x:si>
  <x:si>
    <x:t xml:space="preserve">API and storage</x:t>
  </x:si>
  <x:si>
    <x:t xml:space="preserve">FastAPI plus SQLite/PostgreSQL result service</x:t>
  </x:si>
  <x:si>
    <x:t xml:space="preserve">CLI and files are sufficient for MVP.</x:t>
  </x:si>
  <x:si>
    <x:t xml:space="preserve">Local result contract stable and external consumer identified.</x:t>
  </x:si>
  <x:si>
    <x:t xml:space="preserve">35</x:t>
  </x:si>
  <x:si>
    <x:t xml:space="preserve">Deployment</x:t>
  </x:si>
  <x:si>
    <x:t xml:space="preserve">X-08</x:t>
  </x:si>
  <x:si>
    <x:t xml:space="preserve">RAG</x:t>
  </x:si>
  <x:si>
    <x:t xml:space="preserve">Public engineering corpus and grounding evaluation</x:t>
  </x:si>
  <x:si>
    <x:t xml:space="preserve">Separate workflow and data problem.</x:t>
  </x:si>
  <x:si>
    <x:t xml:space="preserve">Core evaluator stable; corpus and retrieval success criteria defined.</x:t>
  </x:si>
  <x:si>
    <x:t xml:space="preserve">X-09</x:t>
  </x:si>
  <x:si>
    <x:t xml:space="preserve">Docker and hosted demo</x:t>
  </x:si>
  <x:si>
    <x:t xml:space="preserve">Local reproducibility is enough for first portfolio release.</x:t>
  </x:si>
  <x:si>
    <x:t xml:space="preserve">MVP stable; hosted access has clear job-market value.</x:t>
  </x:si>
  <x:si>
    <x:t xml:space="preserve">X-10</x:t>
  </x:si>
  <x:si>
    <x:t xml:space="preserve">Governance</x:t>
  </x:si>
  <x:si>
    <x:t xml:space="preserve">System card, risk register, data policy, incident playbook</x:t>
  </x:si>
  <x:si>
    <x:t xml:space="preserve">Full governance pack is excessive before a working system.</x:t>
  </x:si>
  <x:si>
    <x:t xml:space="preserve">MVP behaviour and risks are evidenced.</x:t>
  </x:si>
  <x:si>
    <x:t xml:space="preserve">20</x:t>
  </x:si>
  <x:si>
    <x:t xml:space="preserve">X-11</x:t>
  </x:si>
  <x:si>
    <x:t xml:space="preserve">Adaptation</x:t>
  </x:si>
  <x:si>
    <x:t xml:space="preserve">Offline process-reward dataset and calibration</x:t>
  </x:si>
  <x:si>
    <x:t xml:space="preserve">Requires traces, labels, and evaluator stability.</x:t>
  </x:si>
  <x:si>
    <x:t xml:space="preserve">Process evaluation dataset exists.</x:t>
  </x:si>
  <x:si>
    <x:t xml:space="preserve">40</x:t>
  </x:si>
  <x:si>
    <x:t xml:space="preserve">OpenClaw-RL / RLAnything</x:t>
  </x:si>
  <x:si>
    <x:t xml:space="preserve">X-12</x:t>
  </x:si>
  <x:si>
    <x:t xml:space="preserve">RL research</x:t>
  </x:si>
  <x:si>
    <x:t xml:space="preserve">LoRA or selected agentic-RL experiments</x:t>
  </x:si>
  <x:si>
    <x:t xml:space="preserve">High compute and dependency burden; weak early portfolio ROI.</x:t>
  </x:si>
  <x:si>
    <x:t xml:space="preserve">Python/PyTorch/statistics competence and calibrated reward system exist.</x:t>
  </x:si>
  <x:si>
    <x:t xml:space="preserve">80+</x:t>
  </x:si>
  <x:si>
    <x:t xml:space="preserve">X-13</x:t>
  </x:si>
  <x:si>
    <x:t xml:space="preserve">Cross-document assurance</x:t>
  </x:si>
  <x:si>
    <x:t xml:space="preserve">Drawing↔BOM↔data sheet↔specification↔revision-register consistency checks</x:t>
  </x:si>
  <x:si>
    <x:t xml:space="preserve">Requires controlled identifiers, source mappings, and multiple artifact adapters.</x:t>
  </x:si>
  <x:si>
    <x:t xml:space="preserve">Workflow Assurance</x:t>
  </x:si>
  <x:si>
    <x:t xml:space="preserve">X-14</x:t>
  </x:si>
  <x:si>
    <x:t xml:space="preserve">Standards / GD&amp;T</x:t>
  </x:si>
  <x:si>
    <x:t xml:space="preserve">ISO/company drafting-rule checks and bounded GD&amp;T proposal, syntax, consistency, manufacturability, and inspection assurance</x:t>
  </x:si>
  <x:si>
    <x:t xml:space="preserve">Functional design intent, licensed standards access, and human engineering review are required.</x:t>
  </x:si>
  <x:si>
    <x:t xml:space="preserve">Multimodal drawing extraction is reliable; controlled standards corpus and calibrated cases exist.</x:t>
  </x:si>
  <x:si>
    <x:t xml:space="preserve">60</x:t>
  </x:si>
  <x:si>
    <x:t xml:space="preserve">Drawing Assurance</x:t>
  </x:si>
  <x:si>
    <x:t xml:space="preserve">X-15</x:t>
  </x:si>
  <x:si>
    <x:t xml:space="preserve">Commercial workflow</x:t>
  </x:si>
  <x:si>
    <x:t xml:space="preserve">Pre-release engineered-to-order package assurance across drawings, BOMs, calculations, specifications, vendor data, and revision history</x:t>
  </x:si>
  <x:si>
    <x:t xml:space="preserve">High integration and liability burden; should follow narrower validated pilots.</x:t>
  </x:si>
  <x:si>
    <x:t xml:space="preserve">At least two narrower workflows show repeatable customer value, controlled false-negative risk, and human release gates.</x:t>
  </x:si>
  <x:si>
    <x:t xml:space="preserve">Platform Integration</x:t>
  </x:si>
  <x:si>
    <x:t xml:space="preserve">Key Metrics</x:t>
  </x:si>
  <x:si>
    <x:t xml:space="preserve">Current Focus</x:t>
  </x:si>
  <x:si>
    <x:t xml:space="preserve">Active WBS</x:t>
  </x:si>
  <x:si>
    <x:t xml:space="preserve">Next Build WBS</x:t>
  </x:si>
  <x:si>
    <x:t xml:space="preserve">Known Logged Hours</x:t>
  </x:si>
  <x:si>
    <x:t xml:space="preserve">Current product state</x:t>
  </x:si>
  <x:si>
    <x:t xml:space="preserve">Weighted Progress</x:t>
  </x:si>
  <x:si>
    <x:t xml:space="preserve">Immediate next action</x:t>
  </x:si>
  <x:si>
    <x:t xml:space="preserve">Tests Passing</x:t>
  </x:si>
  <x:si>
    <x:t xml:space="preserve">Primary risk</x:t>
  </x:si>
  <x:si>
    <x:t xml:space="preserve">Merged PRs</x:t>
  </x:si>
  <x:si>
    <x:t xml:space="preserve">Data boundary</x:t>
  </x:si>
  <x:si>
    <x:t xml:space="preserve">Phase Progress</x:t>
  </x:si>
  <x:si>
    <x:t xml:space="preserve">Next Three Deliverables</x:t>
  </x:si>
  <x:si>
    <x:t xml:space="preserve">Deliverable</x:t>
  </x:si>
  <x:si>
    <x:t xml:space="preserve">Definition of Done</x:t>
  </x:si>
  <x:si>
    <x:t xml:space="preserve">Branch</x:t>
  </x:si>
  <x:si>
    <x:t xml:space="preserve">North Star</x:t>
  </x:si>
  <x:si>
    <x:t xml:space="preserve">Strategic product</x:t>
  </x:si>
  <x:si>
    <x:t xml:space="preserve">Mechanical Engineering Workflow Assurance Platform</x:t>
  </x:si>
  <x:si>
    <x:t xml:space="preserve">Current product</x:t>
  </x:si>
  <x:si>
    <x:t xml:space="preserve">Purpose</x:t>
  </x:si>
  <x:si>
    <x:t xml:space="preserve">Evaluate and assist mechanical engineering document, drawing, calculation, QA/QC, turnover, and agent workflows with traceable evidence.</x:t>
  </x:si>
  <x:si>
    <x:t xml:space="preserve">Primary value</x:t>
  </x:si>
  <x:si>
    <x:t xml:space="preserve">Human boundary</x:t>
  </x:si>
  <x:si>
    <x:t xml:space="preserve">Outputs are flags, evidence, drafts, proposals, and review packages. Qualified humans retain approval, authentication, engineering sign-off, and final safety-critical decisions.</x:t>
  </x:si>
  <x:si>
    <x:t xml:space="preserve">Capability Ladder</x:t>
  </x:si>
  <x:si>
    <x:t xml:space="preserve">Level</x:t>
  </x:si>
  <x:si>
    <x:t xml:space="preserve">Stage</x:t>
  </x:si>
  <x:si>
    <x:t xml:space="preserve">Capability</x:t>
  </x:si>
  <x:si>
    <x:t xml:space="preserve">Example Deliverable</x:t>
  </x:si>
  <x:si>
    <x:t xml:space="preserve">Economic Value</x:t>
  </x:si>
  <x:si>
    <x:t xml:space="preserve">Scope Rule</x:t>
  </x:si>
  <x:si>
    <x:t xml:space="preserve">MVP</x:t>
  </x:si>
  <x:si>
    <x:t xml:space="preserve">Structured deterministic evaluation kernel</x:t>
  </x:si>
  <x:si>
    <x:t xml:space="preserve">CLI score, pass/fail, gates, checks, evidence, immutable result JSON</x:t>
  </x:si>
  <x:si>
    <x:t xml:space="preserve">Proves repeatable assurance logic and creates the foundation for every later workflow</x:t>
  </x:si>
  <x:si>
    <x:t xml:space="preserve">Current WBS 1.1–5.3</x:t>
  </x:si>
  <x:si>
    <x:t xml:space="preserve">Post-MVP</x:t>
  </x:si>
  <x:si>
    <x:t xml:space="preserve">Structured multi-document and package assurance</x:t>
  </x:si>
  <x:si>
    <x:t xml:space="preserve">Turnover/package completeness report; revision and field consistency checks</x:t>
  </x:si>
  <x:si>
    <x:t xml:space="preserve">Cuts coordinator review time and rejection loops</x:t>
  </x:si>
  <x:si>
    <x:t xml:space="preserve">MVP released; one high-value workflow selected</x:t>
  </x:si>
  <x:si>
    <x:t xml:space="preserve">Multimodal drawing/document assurance</x:t>
  </x:si>
  <x:si>
    <x:t xml:space="preserve">PDF/drawing/table/image findings with page, region, entity, expected, and actual evidence</x:t>
  </x:si>
  <x:si>
    <x:t xml:space="preserve">Finds missing dimensions, revision conflicts, annotation defects, and unsupported claims</x:t>
  </x:si>
  <x:si>
    <x:t xml:space="preserve">Stable evaluator; controlled parser/vision benchmark</x:t>
  </x:si>
  <x:si>
    <x:t xml:space="preserve">Cross-document consistency</x:t>
  </x:si>
  <x:si>
    <x:t xml:space="preserve">Drawing↔BOM↔data sheet↔specification↔revision-register discrepancy report</x:t>
  </x:si>
  <x:si>
    <x:t xml:space="preserve">Prevents procurement, fabrication, and field rework caused by inconsistent release packages</x:t>
  </x:si>
  <x:si>
    <x:t xml:space="preserve">Common identifiers and source mappings defined</x:t>
  </x:si>
  <x:si>
    <x:t xml:space="preserve">Bounded agent-assisted review and redlining</x:t>
  </x:si>
  <x:si>
    <x:t xml:space="preserve">Agent trace, issue register, proposed redline, corrected candidate, and re-evaluation record</x:t>
  </x:si>
  <x:si>
    <x:t xml:space="preserve">Automates repetitive review actions while preserving independent assurance</x:t>
  </x:si>
  <x:si>
    <x:t xml:space="preserve">Sandbox, least privilege, trace schema, stable artifact evaluator</x:t>
  </x:si>
  <x:si>
    <x:t xml:space="preserve">Standards and GD&amp;T assistance</x:t>
  </x:si>
  <x:si>
    <x:t xml:space="preserve">ISO/company-rule findings; candidate datum scheme and feature-control proposals for review</x:t>
  </x:si>
  <x:si>
    <x:t xml:space="preserve">Reduces drafting/checking effort and detects ambiguous, conflicting, or costly tolerancing</x:t>
  </x:si>
  <x:si>
    <x:t xml:space="preserve">Controlled standards corpus, functional inputs, calibrated review cases</x:t>
  </x:si>
  <x:si>
    <x:t xml:space="preserve">Commercial target</x:t>
  </x:si>
  <x:si>
    <x:t xml:space="preserve">Pre-release engineered-to-order package assurance</x:t>
  </x:si>
  <x:si>
    <x:t xml:space="preserve">Integrated hold/release review package across drawings, BOMs, calculations, vendor data, and specifications</x:t>
  </x:si>
  <x:si>
    <x:t xml:space="preserve">Avoiding one major wrong-material, revision, dimensional, or interface release can exceed months of development cost</x:t>
  </x:si>
  <x:si>
    <x:t xml:space="preserve">Repeated customer evidence and validated false-negative controls</x:t>
  </x:si>
  <x:si>
    <x:t xml:space="preserve">Architecture Invariants</x:t>
  </x:si>
  <x:si>
    <x:t xml:space="preserve">Task separation</x:t>
  </x:si>
  <x:si>
    <x:t xml:space="preserve">Instructions, inputs, deliverable, constraints, and evaluation intent remain independent of the producing system.</x:t>
  </x:si>
  <x:si>
    <x:t xml:space="preserve">Replaceable agent</x:t>
  </x:si>
  <x:si>
    <x:t xml:space="preserve">OpenClaw, another harness, a direct model, a scripted workflow, or a human may produce the same candidate contract.</x:t>
  </x:si>
  <x:si>
    <x:t xml:space="preserve">Controlled environment</x:t>
  </x:si>
  <x:si>
    <x:t xml:space="preserve">Files, tools, permissions, shell/GUI state, and destructive/external actions are explicitly bounded and logged.</x:t>
  </x:si>
  <x:si>
    <x:t xml:space="preserve">Versioned artifacts</x:t>
  </x:si>
  <x:si>
    <x:t xml:space="preserve">Case definitions are benchmark inputs; candidate files, traces, redlines, and result records are generated evidence.</x:t>
  </x:si>
  <x:si>
    <x:t xml:space="preserve">Independent evaluator</x:t>
  </x:si>
  <x:si>
    <x:t xml:space="preserve">The evaluator does not trust the producing agent and remains executable without that runtime.</x:t>
  </x:si>
  <x:si>
    <x:t xml:space="preserve">Evidence-first results</x:t>
  </x:si>
  <x:si>
    <x:t xml:space="preserve">Failures support expected/actual values, severity, source references, artifact locations, and reproducible check logic.</x:t>
  </x:si>
  <x:si>
    <x:t xml:space="preserve">Deterministic-first</x:t>
  </x:si>
  <x:si>
    <x:t xml:space="preserve">Use artifact-based checks wherever practical; use narrow evidence-anchored model judges only when no practical deterministic alternative exists.</x:t>
  </x:si>
  <x:si>
    <x:t xml:space="preserve">Human approval</x:t>
  </x:si>
  <x:si>
    <x:t xml:space="preserve">No engineering sign-off, autonomous release, stamped deliverables, code-compliance opinion, or unreviewed safety-critical control.</x:t>
  </x:si>
  <x:si>
    <x:t xml:space="preserve">Workflow</x:t>
  </x:si>
  <x:si>
    <x:t xml:space="preserve">Inputs</x:t>
  </x:si>
  <x:si>
    <x:t xml:space="preserve">Agent work</x:t>
  </x:si>
  <x:si>
    <x:t xml:space="preserve">Evaluator work</x:t>
  </x:si>
  <x:si>
    <x:t xml:space="preserve">Output</x:t>
  </x:si>
  <x:si>
    <x:t xml:space="preserve">Money mechanism</x:t>
  </x:si>
  <x:si>
    <x:t xml:space="preserve">Commercial path</x:t>
  </x:si>
  <x:si>
    <x:t xml:space="preserve">Start with a fixed-scope pilot and independent acceptance benchmark; productize only after the same workflow succeeds across multiple customers.</x:t>
  </x:si>
</x:sst>
</file>

<file path=xl/styles.xml><?xml version="1.0" encoding="utf-8"?>
<x:styleSheet xmlns:x="http://schemas.openxmlformats.org/spreadsheetml/2006/main">
  <x:numFmts count="7">
    <x:numFmt numFmtId="164" formatCode="yyyy\-mm\-dd"/>
    <x:numFmt numFmtId="165" formatCode="0.0%"/>
    <x:numFmt numFmtId="166" formatCode="mmm\ d"/>
    <x:numFmt numFmtId="167" formatCode="0.0"/>
    <x:numFmt numFmtId="200" formatCode="yyyy-mm-dd"/>
    <x:numFmt numFmtId="201" formatCode="0.00"/>
    <x:numFmt numFmtId="202" formatCode="0%"/>
  </x:numFmts>
  <x:fonts count="30">
    <x:font>
      <x:sz val="11"/>
      <x:name val="Carlito"/>
    </x:font>
    <x:font>
      <x:b/>
      <x:sz val="16"/>
      <x:color rgb="FFFFFFFF"/>
      <x:name val="Aptos"/>
    </x:font>
    <x:font>
      <x:b/>
      <x:sz val="10"/>
      <x:color rgb="FFFFFFFF"/>
      <x:name val="Aptos"/>
    </x:font>
    <x:font>
      <x:sz val="10"/>
      <x:name val="Aptos"/>
    </x:font>
    <x:font>
      <x:b/>
      <x:sz val="10"/>
      <x:name val="Aptos"/>
    </x:font>
    <x:font>
      <x:b/>
      <x:sz val="10"/>
      <x:color rgb="FF0F172A"/>
      <x:name val="Aptos"/>
    </x:font>
    <x:font>
      <x:b/>
      <x:sz val="16"/>
      <x:name val="Aptos"/>
    </x:font>
    <x:font>
      <x:b/>
      <x:sz val="16"/>
      <x:color rgb="FFFFFFFF"/>
      <x:name val="Carlito"/>
    </x:font>
    <x:font>
      <x:i/>
      <x:sz val="11"/>
      <x:name val="Carlito"/>
    </x:font>
    <x:font>
      <x:b/>
      <x:sz val="11"/>
      <x:color rgb="FFFFFFFF"/>
      <x:name val="Carlito"/>
    </x:font>
    <x:font>
      <x:b/>
      <x:i/>
      <x:sz val="10"/>
      <x:color rgb="FF0F172A"/>
      <x:name val="Aptos"/>
    </x:font>
    <x:font>
      <x:i/>
      <x:sz val="10"/>
      <x:name val="Aptos"/>
    </x:font>
    <x:font>
      <x:b/>
      <x:sz val="12"/>
      <x:color rgb="FFFFFFFF"/>
      <x:name val="Aptos"/>
    </x:font>
    <x:font>
      <x:b/>
      <x:sz val="12"/>
      <x:color rgb="FFFFFFFF"/>
      <x:name val="Carlito"/>
    </x:font>
    <x:font>
      <x:b/>
      <x:sz val="11"/>
      <x:name val="Carlito"/>
    </x:font>
    <x:font>
      <x:sz val="10"/>
      <x:color rgb="FF000000"/>
      <x:name val="Aptos"/>
    </x:font>
    <x:font>
      <x:i/>
      <x:sz val="10"/>
      <x:color rgb="FF000000"/>
      <x:name val="Aptos"/>
    </x:font>
    <x:font>
      <x:i/>
      <x:sz val="10"/>
      <x:color rgb="FF595959"/>
      <x:name val="Carlito"/>
    </x:font>
    <x:font>
      <x:b/>
      <x:sz val="11"/>
      <x:color rgb="FF1F1F1F"/>
      <x:name val="Carlito"/>
    </x:font>
    <x:font>
      <x:sz val="11"/>
      <x:color rgb="FF1F1F1F"/>
      <x:name val="Carlito"/>
    </x:font>
    <x:font>
      <x:i/>
      <x:sz val="10"/>
      <x:color rgb="FF595959"/>
      <x:name val="Aptos"/>
    </x:font>
    <x:font>
      <x:b/>
      <x:sz val="10"/>
      <x:color rgb="FF1F1F1F"/>
      <x:name val="Aptos"/>
    </x:font>
    <x:font>
      <x:sz val="10"/>
      <x:color rgb="FF1F1F1F"/>
      <x:name val="Aptos"/>
    </x:font>
    <x:font>
      <x:sz val="10"/>
      <x:color rgb="FF1F2937"/>
      <x:name val="Aptos"/>
    </x:font>
    <x:font>
      <x:b/>
      <x:sz val="10"/>
      <x:color rgb="FF1F2937"/>
      <x:name val="Aptos"/>
    </x:font>
    <x:font>
      <x:b/>
      <x:sz val="11"/>
      <x:color rgb="FF203864"/>
      <x:name val="Carlito"/>
    </x:font>
    <x:font>
      <x:sz val="10"/>
      <x:color rgb="FF0563C1"/>
      <x:name val="Aptos"/>
    </x:font>
    <x:font>
      <x:b/>
      <x:sz val="12"/>
      <x:color rgb="FF000000"/>
      <x:name val="Aptos"/>
    </x:font>
    <x:font>
      <x:b/>
      <x:sz val="10"/>
      <x:color rgb="FF000000"/>
      <x:name val="Aptos"/>
    </x:font>
    <x:font>
      <x:sz val="10"/>
      <x:color rgb="FFFFFFFF"/>
      <x:name val="Aptos"/>
    </x:font>
  </x:fonts>
  <x:fills count="53">
    <x:fill>
      <x:patternFill patternType="none"/>
    </x:fill>
    <x:fill>
      <x:patternFill patternType="gray125"/>
    </x:fill>
    <x:fill>
      <x:patternFill patternType="solid">
        <x:fgColor rgb="FF0F172A"/>
      </x:patternFill>
    </x:fill>
    <x:fill>
      <x:patternFill patternType="solid">
        <x:fgColor rgb="FF334155"/>
      </x:patternFill>
    </x:fill>
    <x:fill>
      <x:patternFill patternType="solid">
        <x:fgColor rgb="FFF8FAFC"/>
      </x:patternFill>
    </x:fill>
    <x:fill>
      <x:patternFill patternType="solid">
        <x:fgColor rgb="FFE2E8F0"/>
      </x:patternFill>
    </x:fill>
    <x:fill>
      <x:patternFill patternType="solid">
        <x:fgColor rgb="FF1E3A5F"/>
      </x:patternFill>
    </x:fill>
    <x:fill>
      <x:patternFill patternType="solid">
        <x:fgColor rgb="FF64748B"/>
      </x:patternFill>
    </x:fill>
    <x:fill>
      <x:patternFill patternType="solid">
        <x:fgColor rgb="FF2563EB"/>
      </x:patternFill>
    </x:fill>
    <x:fill>
      <x:patternFill patternType="solid">
        <x:fgColor rgb="FF0F766E"/>
      </x:patternFill>
    </x:fill>
    <x:fill>
      <x:patternFill patternType="solid">
        <x:fgColor rgb="FF7C3AED"/>
      </x:patternFill>
    </x:fill>
    <x:fill>
      <x:patternFill patternType="solid">
        <x:fgColor rgb="FFD97706"/>
      </x:patternFill>
    </x:fill>
    <x:fill>
      <x:patternFill patternType="solid">
        <x:fgColor rgb="FFB91C1C"/>
      </x:patternFill>
    </x:fill>
    <x:fill>
      <x:patternFill patternType="solid">
        <x:fgColor rgb="FF0891B2"/>
      </x:patternFill>
    </x:fill>
    <x:fill>
      <x:patternFill patternType="solid">
        <x:fgColor rgb="FF15803D"/>
      </x:patternFill>
    </x:fill>
    <x:fill>
      <x:patternFill patternType="solid">
        <x:fgColor rgb="FFF59E0B"/>
      </x:patternFill>
    </x:fill>
    <x:fill>
      <x:patternFill patternType="solid">
        <x:fgColor rgb="FFFFF7ED"/>
      </x:patternFill>
    </x:fill>
    <x:fill>
      <x:patternFill patternType="solid">
        <x:fgColor rgb="FF203864"/>
      </x:patternFill>
    </x:fill>
    <x:fill>
      <x:patternFill patternType="solid">
        <x:fgColor rgb="FFFFF2CC"/>
      </x:patternFill>
    </x:fill>
    <x:fill>
      <x:patternFill patternType="solid">
        <x:fgColor rgb="FFD9EAF7"/>
      </x:patternFill>
    </x:fill>
    <x:fill>
      <x:patternFill patternType="solid">
        <x:fgColor rgb="FFD9E1F2"/>
      </x:patternFill>
    </x:fill>
    <x:fill>
      <x:patternFill patternType="solid">
        <x:fgColor rgb="FF7F8C8D"/>
      </x:patternFill>
    </x:fill>
    <x:fill>
      <x:patternFill patternType="solid">
        <x:fgColor rgb="FFEAF3F8"/>
      </x:patternFill>
    </x:fill>
    <x:fill>
      <x:patternFill patternType="solid">
        <x:fgColor rgb="FF2F75B5"/>
      </x:patternFill>
    </x:fill>
    <x:fill>
      <x:patternFill patternType="solid">
        <x:fgColor rgb="FF0F766E"/>
      </x:patternFill>
    </x:fill>
    <x:fill>
      <x:patternFill patternType="solid">
        <x:fgColor rgb="FF8064A2"/>
      </x:patternFill>
    </x:fill>
    <x:fill>
      <x:patternFill patternType="solid">
        <x:fgColor rgb="FFC55A11"/>
      </x:patternFill>
    </x:fill>
    <x:fill>
      <x:patternFill patternType="solid">
        <x:fgColor rgb="FF548235"/>
      </x:patternFill>
    </x:fill>
    <x:fill>
      <x:patternFill patternType="solid">
        <x:fgColor rgb="FFF3F6F9"/>
      </x:patternFill>
    </x:fill>
    <x:fill>
      <x:patternFill patternType="solid">
        <x:fgColor rgb="FFFFFFFF"/>
      </x:patternFill>
    </x:fill>
    <x:fill>
      <x:patternFill patternType="solid">
        <x:fgColor rgb="FF1F4E78"/>
      </x:patternFill>
    </x:fill>
    <x:fill>
      <x:patternFill patternType="solid">
        <x:fgColor rgb="FFEAF2F8"/>
      </x:patternFill>
    </x:fill>
    <x:fill>
      <x:patternFill patternType="solid">
        <x:fgColor rgb="FF2E75B6"/>
      </x:patternFill>
    </x:fill>
    <x:fill>
      <x:patternFill patternType="solid">
        <x:fgColor rgb="FFD9E2F3"/>
      </x:patternFill>
    </x:fill>
    <x:fill>
      <x:patternFill patternType="solid">
        <x:fgColor rgb="FFEAF2F8"/>
      </x:patternFill>
    </x:fill>
    <x:fill>
      <x:patternFill patternType="solid">
        <x:fgColor rgb="FFE5E7EB"/>
      </x:patternFill>
    </x:fill>
    <x:fill>
      <x:patternFill patternType="solid">
        <x:fgColor rgb="FFDBEAFE"/>
      </x:patternFill>
    </x:fill>
    <x:fill>
      <x:patternFill patternType="solid">
        <x:fgColor rgb="FFCCFBF1"/>
      </x:patternFill>
    </x:fill>
    <x:fill>
      <x:patternFill patternType="solid">
        <x:fgColor rgb="FFFEF3C7"/>
      </x:patternFill>
    </x:fill>
    <x:fill>
      <x:patternFill patternType="solid">
        <x:fgColor rgb="FFFEE2E2"/>
      </x:patternFill>
    </x:fill>
    <x:fill>
      <x:patternFill patternType="solid">
        <x:fgColor rgb="FFE0E7FF"/>
      </x:patternFill>
    </x:fill>
    <x:fill>
      <x:patternFill patternType="solid">
        <x:fgColor rgb="FFF8FAFC"/>
      </x:patternFill>
    </x:fill>
    <x:fill>
      <x:patternFill patternType="solid">
        <x:fgColor rgb="FFEEF4FA"/>
      </x:patternFill>
    </x:fill>
    <x:fill>
      <x:patternFill patternType="solid">
        <x:fgColor rgb="FFDDEBF7"/>
      </x:patternFill>
    </x:fill>
    <x:fill>
      <x:patternFill patternType="solid">
        <x:fgColor rgb="FF203864"/>
      </x:patternFill>
    </x:fill>
    <x:fill>
      <x:patternFill patternType="solid">
        <x:fgColor rgb="FFD9E2F3"/>
      </x:patternFill>
    </x:fill>
    <x:fill>
      <x:patternFill patternType="solid">
        <x:fgColor rgb="FFEAF2F8"/>
      </x:patternFill>
    </x:fill>
    <x:fill>
      <x:patternFill patternType="solid">
        <x:fgColor rgb="FF2F75B5"/>
      </x:patternFill>
    </x:fill>
    <x:fill>
      <x:patternFill patternType="solid">
        <x:fgColor rgb="FFF3F6F9"/>
      </x:patternFill>
    </x:fill>
    <x:fill>
      <x:patternFill patternType="solid">
        <x:fgColor rgb="FFFFF2CC"/>
      </x:patternFill>
    </x:fill>
    <x:fill>
      <x:patternFill patternType="solid">
        <x:fgColor rgb="FFFFFFFF"/>
      </x:patternFill>
    </x:fill>
    <x:fill>
      <x:patternFill patternType="solid">
        <x:fgColor rgb="FFDCE6F1"/>
      </x:patternFill>
    </x:fill>
    <x:fill>
      <x:patternFill patternType="solid">
        <x:fgColor rgb="FFF3F6FA"/>
      </x:patternFill>
    </x:fill>
  </x:fills>
  <x:borders count="43">
    <x:border/>
    <x:border/>
    <x:border/>
    <x:border/>
    <x:border/>
    <x:border/>
    <x:border/>
    <x:border/>
    <x:border/>
    <x:border/>
    <x:border/>
    <x:border/>
    <x:border/>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top style="thin">
        <x:color rgb="FFA6A6A6"/>
      </x:top>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ttom style="thin">
        <x:color rgb="FFA6A6A6"/>
      </x:bottom>
    </x:border>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ttom style="thin">
        <x:color rgb="FFA6A6A6"/>
      </x:bottom>
    </x:border>
  </x:borders>
  <x:cellStyleXfs count="1">
    <x:xf numFmtId="0" fontId="0" fillId="0" borderId="0"/>
  </x:cellStyleXfs>
  <x:cellXfs count="753">
    <x:xf numFmtId="0" fontId="0" fillId="0" borderId="0" xfId="0"/>
    <x:xf numFmtId="0" fontId="3" fillId="0" borderId="0" xfId="0" applyFont="1"/>
    <x:xf numFmtId="0" fontId="2" fillId="3" borderId="0" xfId="0" applyFont="1" applyFill="1" applyAlignment="1">
      <x:alignment vertical="center"/>
    </x:xf>
    <x:xf numFmtId="0" fontId="3" fillId="0" borderId="0" xfId="0" applyFont="1" applyAlignment="1">
      <x:alignment vertical="top" wrapText="1"/>
    </x:xf>
    <x:xf numFmtId="0" fontId="2" fillId="6" borderId="0" xfId="0" applyFont="1" applyFill="1" applyAlignment="1">
      <x:alignment horizontal="center" vertical="center" wrapText="1"/>
    </x:xf>
    <x:xf numFmtId="0" fontId="3" fillId="0" borderId="10" xfId="0" applyFont="1" applyBorder="1" applyAlignment="1">
      <x:alignment vertical="top" wrapText="1"/>
    </x:xf>
    <x:xf numFmtId="0" fontId="3" fillId="0" borderId="11" xfId="0" applyFont="1" applyBorder="1" applyAlignment="1">
      <x:alignment vertical="top" wrapText="1"/>
    </x:xf>
    <x:xf numFmtId="164" fontId="3" fillId="0" borderId="11" xfId="0" applyNumberFormat="1" applyFont="1" applyBorder="1" applyAlignment="1">
      <x:alignment vertical="top" wrapText="1"/>
    </x:xf>
    <x:xf numFmtId="0" fontId="3" fillId="0" borderId="12" xfId="0" applyFont="1" applyBorder="1" applyAlignment="1">
      <x:alignment vertical="top" wrapText="1"/>
    </x:xf>
    <x:xf numFmtId="0" fontId="2" fillId="7" borderId="13" xfId="0" applyFont="1" applyFill="1" applyBorder="1" applyAlignment="1">
      <x:alignment horizontal="center"/>
    </x:xf>
    <x:xf numFmtId="0" fontId="3" fillId="4" borderId="13" xfId="0" applyFont="1" applyFill="1" applyBorder="1"/>
    <x:xf numFmtId="0" fontId="2" fillId="10" borderId="11" xfId="0" applyFont="1" applyFill="1" applyBorder="1" applyAlignment="1">
      <x:alignment vertical="top" wrapText="1"/>
    </x:xf>
    <x:xf numFmtId="0" fontId="2" fillId="11" borderId="11" xfId="0" applyFont="1" applyFill="1" applyBorder="1" applyAlignment="1">
      <x:alignment vertical="top" wrapText="1"/>
    </x:xf>
    <x:xf numFmtId="0" fontId="2" fillId="12" borderId="11" xfId="0" applyFont="1" applyFill="1" applyBorder="1" applyAlignment="1">
      <x:alignment vertical="top" wrapText="1"/>
    </x:xf>
    <x:xf numFmtId="0" fontId="2" fillId="12" borderId="13" xfId="0" applyFont="1" applyFill="1" applyBorder="1" applyAlignment="1">
      <x:alignment horizontal="center"/>
    </x:xf>
    <x:xf numFmtId="0" fontId="2" fillId="13" borderId="11" xfId="0" applyFont="1" applyFill="1" applyBorder="1" applyAlignment="1">
      <x:alignment vertical="top" wrapText="1"/>
    </x:xf>
    <x:xf numFmtId="0" fontId="2" fillId="13" borderId="13" xfId="0" applyFont="1" applyFill="1" applyBorder="1" applyAlignment="1">
      <x:alignment horizontal="center"/>
    </x:xf>
    <x:xf numFmtId="0" fontId="2" fillId="14" borderId="11" xfId="0" applyFont="1" applyFill="1" applyBorder="1" applyAlignment="1">
      <x:alignment vertical="top" wrapText="1"/>
    </x:xf>
    <x:xf numFmtId="0" fontId="2" fillId="14" borderId="13" xfId="0" applyFont="1" applyFill="1" applyBorder="1" applyAlignment="1">
      <x:alignment horizontal="center"/>
    </x:xf>
    <x:xf numFmtId="0" fontId="2" fillId="2" borderId="11" xfId="0" applyFont="1" applyFill="1" applyBorder="1"/>
    <x:xf numFmtId="9" fontId="2" fillId="2" borderId="11" xfId="0" applyNumberFormat="1" applyFont="1" applyFill="1" applyBorder="1"/>
    <x:xf numFmtId="0" fontId="2" fillId="2" borderId="12" xfId="0" applyFont="1" applyFill="1" applyBorder="1"/>
    <x:xf numFmtId="166" fontId="5" fillId="5" borderId="0" xfId="0" applyNumberFormat="1" applyFont="1" applyFill="1" applyAlignment="1">
      <x:alignment horizontal="center" vertical="center" wrapText="1"/>
    </x:xf>
    <x:xf numFmtId="0" fontId="3" fillId="0" borderId="11" xfId="0" applyFont="1" applyBorder="1" applyAlignment="1">
      <x:alignment horizontal="center" vertical="top" wrapText="1"/>
    </x:xf>
    <x:xf numFmtId="164" fontId="3" fillId="0" borderId="11" xfId="0" applyNumberFormat="1" applyFont="1" applyBorder="1" applyAlignment="1">
      <x:alignment horizontal="center" vertical="top" wrapText="1"/>
    </x:xf>
    <x:xf numFmtId="9" fontId="3" fillId="0" borderId="11" xfId="0" applyNumberFormat="1" applyFont="1" applyBorder="1" applyAlignment="1">
      <x:alignment horizontal="center" vertical="top" wrapText="1"/>
    </x:xf>
    <x:xf numFmtId="0" fontId="3" fillId="0" borderId="3" xfId="0" applyFont="1" applyBorder="1" applyAlignment="1">
      <x:alignment horizontal="center"/>
    </x:xf>
    <x:xf numFmtId="0" fontId="3" fillId="0" borderId="4" xfId="0" applyFont="1" applyBorder="1" applyAlignment="1">
      <x:alignment horizontal="center"/>
    </x:xf>
    <x:xf numFmtId="0" fontId="3" fillId="0" borderId="0" xfId="0" applyFont="1" applyAlignment="1">
      <x:alignment horizontal="center"/>
    </x:xf>
    <x:xf numFmtId="0" fontId="3" fillId="0" borderId="6" xfId="0" applyFont="1" applyBorder="1" applyAlignment="1">
      <x:alignment horizontal="center"/>
    </x:xf>
    <x:xf numFmtId="0" fontId="2" fillId="7" borderId="12" xfId="0" applyFont="1" applyFill="1" applyBorder="1" applyAlignment="1">
      <x:alignment horizontal="center" vertical="center"/>
    </x:xf>
    <x:xf numFmtId="0" fontId="3" fillId="0" borderId="5" xfId="0" applyFont="1" applyBorder="1" applyAlignment="1">
      <x:alignment horizontal="center"/>
    </x:xf>
    <x:xf numFmtId="0" fontId="2" fillId="7" borderId="11" xfId="0" applyFont="1" applyFill="1" applyBorder="1" applyAlignment="1">
      <x:alignment horizontal="center" vertical="center"/>
    </x:xf>
    <x:xf numFmtId="0" fontId="2" fillId="9" borderId="13" xfId="0" applyFont="1" applyFill="1" applyBorder="1" applyAlignment="1">
      <x:alignment horizontal="center" vertical="center"/>
    </x:xf>
    <x:xf numFmtId="0" fontId="2" fillId="9" borderId="10" xfId="0" applyFont="1" applyFill="1" applyBorder="1" applyAlignment="1">
      <x:alignment horizontal="center" vertical="center"/>
    </x:xf>
    <x:xf numFmtId="0" fontId="2" fillId="9" borderId="12" xfId="0" applyFont="1" applyFill="1" applyBorder="1" applyAlignment="1">
      <x:alignment horizontal="center" vertical="center"/>
    </x:xf>
    <x:xf numFmtId="0" fontId="2" fillId="10" borderId="10" xfId="0" applyFont="1" applyFill="1" applyBorder="1" applyAlignment="1">
      <x:alignment horizontal="center" vertical="center"/>
    </x:xf>
    <x:xf numFmtId="0" fontId="2" fillId="10" borderId="12" xfId="0" applyFont="1" applyFill="1" applyBorder="1" applyAlignment="1">
      <x:alignment horizontal="center" vertical="center"/>
    </x:xf>
    <x:xf numFmtId="0" fontId="2" fillId="10" borderId="13" xfId="0" applyFont="1" applyFill="1" applyBorder="1" applyAlignment="1">
      <x:alignment horizontal="center" vertical="center"/>
    </x:xf>
    <x:xf numFmtId="0" fontId="2" fillId="11" borderId="13" xfId="0" applyFont="1" applyFill="1" applyBorder="1" applyAlignment="1">
      <x:alignment horizontal="center" vertical="center"/>
    </x:xf>
    <x:xf numFmtId="0" fontId="2" fillId="11" borderId="10" xfId="0" applyFont="1" applyFill="1" applyBorder="1" applyAlignment="1">
      <x:alignment horizontal="center" vertical="center"/>
    </x:xf>
    <x:xf numFmtId="0" fontId="2" fillId="11" borderId="12" xfId="0" applyFont="1" applyFill="1" applyBorder="1" applyAlignment="1">
      <x:alignment horizontal="center" vertical="center"/>
    </x:xf>
    <x:xf numFmtId="0" fontId="2" fillId="11" borderId="11" xfId="0" applyFont="1" applyFill="1" applyBorder="1" applyAlignment="1">
      <x:alignment horizontal="center" vertical="center"/>
    </x:xf>
    <x:xf numFmtId="0" fontId="2" fillId="12" borderId="13" xfId="0" applyFont="1" applyFill="1" applyBorder="1" applyAlignment="1">
      <x:alignment horizontal="center" vertical="center"/>
    </x:xf>
    <x:xf numFmtId="0" fontId="2" fillId="12" borderId="10" xfId="0" applyFont="1" applyFill="1" applyBorder="1" applyAlignment="1">
      <x:alignment horizontal="center" vertical="center"/>
    </x:xf>
    <x:xf numFmtId="0" fontId="2" fillId="12" borderId="12" xfId="0" applyFont="1" applyFill="1" applyBorder="1" applyAlignment="1">
      <x:alignment horizontal="center" vertical="center"/>
    </x:xf>
    <x:xf numFmtId="0" fontId="2" fillId="13" borderId="13" xfId="0" applyFont="1" applyFill="1" applyBorder="1" applyAlignment="1">
      <x:alignment horizontal="center" vertical="center"/>
    </x:xf>
    <x:xf numFmtId="0" fontId="2" fillId="13" borderId="10" xfId="0" applyFont="1" applyFill="1" applyBorder="1" applyAlignment="1">
      <x:alignment horizontal="center" vertical="center"/>
    </x:xf>
    <x:xf numFmtId="0" fontId="2" fillId="13" borderId="12" xfId="0" applyFont="1" applyFill="1" applyBorder="1" applyAlignment="1">
      <x:alignment horizontal="center" vertical="center"/>
    </x:xf>
    <x:xf numFmtId="0" fontId="2" fillId="14" borderId="13" xfId="0" applyFont="1" applyFill="1" applyBorder="1" applyAlignment="1">
      <x:alignment horizontal="center" vertical="center"/>
    </x:xf>
    <x:xf numFmtId="0" fontId="2" fillId="14" borderId="10" xfId="0" applyFont="1" applyFill="1" applyBorder="1" applyAlignment="1">
      <x:alignment horizontal="center" vertical="center"/>
    </x:xf>
    <x:xf numFmtId="0" fontId="2" fillId="14" borderId="12" xfId="0" applyFont="1" applyFill="1" applyBorder="1" applyAlignment="1">
      <x:alignment horizontal="center" vertical="center"/>
    </x:xf>
    <x:xf numFmtId="0" fontId="3" fillId="0" borderId="7" xfId="0" applyFont="1" applyBorder="1" applyAlignment="1">
      <x:alignment horizontal="center"/>
    </x:xf>
    <x:xf numFmtId="0" fontId="3" fillId="0" borderId="8" xfId="0" applyFont="1" applyBorder="1" applyAlignment="1">
      <x:alignment horizontal="center"/>
    </x:xf>
    <x:xf numFmtId="0" fontId="3" fillId="0" borderId="10" xfId="0" applyFont="1" applyBorder="1" applyAlignment="1">
      <x:alignment wrapText="1"/>
    </x:xf>
    <x:xf numFmtId="164" fontId="3" fillId="0" borderId="11" xfId="0" applyNumberFormat="1" applyFont="1" applyBorder="1" applyAlignment="1">
      <x:alignment wrapText="1"/>
    </x:xf>
    <x:xf numFmtId="0" fontId="3" fillId="0" borderId="11" xfId="0" applyFont="1" applyBorder="1" applyAlignment="1">
      <x:alignment wrapText="1"/>
    </x:xf>
    <x:xf numFmtId="0" fontId="3" fillId="0" borderId="12" xfId="0" applyFont="1" applyBorder="1" applyAlignment="1">
      <x:alignment wrapText="1"/>
    </x:xf>
    <x:xf numFmtId="0" fontId="3" fillId="16" borderId="10" xfId="0" applyFont="1" applyFill="1" applyBorder="1" applyAlignment="1">
      <x:alignment wrapText="1"/>
    </x:xf>
    <x:xf numFmtId="164" fontId="3" fillId="16" borderId="11" xfId="0" applyNumberFormat="1" applyFont="1" applyFill="1" applyBorder="1" applyAlignment="1">
      <x:alignment wrapText="1"/>
    </x:xf>
    <x:xf numFmtId="0" fontId="3" fillId="16" borderId="11" xfId="0" applyFont="1" applyFill="1" applyBorder="1" applyAlignment="1">
      <x:alignment wrapText="1"/>
    </x:xf>
    <x:xf numFmtId="0" fontId="3" fillId="16" borderId="12" xfId="0" applyFont="1" applyFill="1" applyBorder="1" applyAlignment="1">
      <x:alignment wrapText="1"/>
    </x:xf>
    <x:xf numFmtId="165" fontId="3" fillId="0" borderId="11" xfId="0" applyNumberFormat="1" applyFont="1" applyBorder="1" applyAlignment="1">
      <x:alignment wrapText="1"/>
    </x:xf>
    <x:xf numFmtId="164" fontId="3" fillId="0" borderId="12" xfId="0" applyNumberFormat="1" applyFont="1" applyBorder="1" applyAlignment="1">
      <x:alignment wrapText="1"/>
    </x:xf>
    <x:xf numFmtId="0" fontId="2" fillId="14" borderId="11" xfId="0" applyFont="1" applyFill="1" applyBorder="1" applyAlignment="1">
      <x:alignment wrapText="1"/>
    </x:xf>
    <x:xf numFmtId="0" fontId="6" fillId="0" borderId="0" xfId="0" applyFont="1"/>
    <x:xf numFmtId="9" fontId="3" fillId="0" borderId="0" xfId="0" applyNumberFormat="1" applyFont="1" applyAlignment="1">
      <x:alignment horizontal="center" vertical="top" wrapText="1"/>
    </x:xf>
    <x:xf numFmtId="2" fontId="3" fillId="0" borderId="0" xfId="0" applyNumberFormat="1" applyFont="1" applyAlignment="1">
      <x:alignment horizontal="center" vertical="top" wrapText="1"/>
    </x:xf>
    <x:xf numFmtId="2" fontId="3" fillId="0" borderId="0" xfId="0" applyNumberFormat="1" applyFont="1" applyAlignment="1">
      <x:alignment wrapText="1"/>
    </x:xf>
    <x:xf numFmtId="0" fontId="3" fillId="4" borderId="2" xfId="0" applyFont="1" applyFill="1" applyBorder="1" applyAlignment="1">
      <x:alignment vertical="top" wrapText="1"/>
    </x:xf>
    <x:xf numFmtId="0" fontId="3" fillId="4" borderId="3" xfId="0" applyFont="1" applyFill="1" applyBorder="1" applyAlignment="1">
      <x:alignment vertical="top" wrapText="1"/>
    </x:xf>
    <x:xf numFmtId="0" fontId="3" fillId="4" borderId="4" xfId="0" applyFont="1" applyFill="1" applyBorder="1" applyAlignment="1">
      <x:alignment vertical="top" wrapText="1"/>
    </x:xf>
    <x:xf numFmtId="0" fontId="3" fillId="4" borderId="0" xfId="0" applyFont="1" applyFill="1" applyAlignment="1">
      <x:alignment vertical="top" wrapText="1"/>
    </x:xf>
    <x:xf numFmtId="0" fontId="3" fillId="4" borderId="6" xfId="0" applyFont="1" applyFill="1" applyBorder="1" applyAlignment="1">
      <x:alignment vertical="top" wrapText="1"/>
    </x:xf>
    <x:xf numFmtId="0" fontId="3" fillId="4" borderId="8" xfId="0" applyFont="1" applyFill="1" applyBorder="1" applyAlignment="1">
      <x:alignment vertical="top" wrapText="1"/>
    </x:xf>
    <x:xf numFmtId="0" fontId="3" fillId="4" borderId="9" xfId="0" applyFont="1" applyFill="1" applyBorder="1" applyAlignment="1">
      <x:alignment vertical="top" wrapText="1"/>
    </x:xf>
    <x:xf numFmtId="0" fontId="1" fillId="2" borderId="0" xfId="0" applyFont="1" applyFill="1" applyAlignment="1">
      <x:alignment vertical="center"/>
    </x:xf>
    <x:xf numFmtId="0" fontId="2" fillId="2" borderId="10" xfId="0" applyFont="1" applyFill="1" applyBorder="1"/>
    <x:xf numFmtId="0" fontId="0" fillId="0" borderId="0" xfId="0" applyAlignment="1">
      <x:alignment wrapText="1"/>
    </x:xf>
    <x:xf numFmtId="0" fontId="9" fillId="17" borderId="0" xfId="0" applyFont="1" applyFill="1"/>
    <x:xf numFmtId="0" fontId="9" fillId="17" borderId="0" xfId="0" applyFont="1" applyFill="1" applyAlignment="1">
      <x:alignment horizontal="center" vertical="center" wrapText="1"/>
    </x:xf>
    <x:xf numFmtId="164" fontId="0" fillId="0" borderId="0" xfId="0" applyNumberFormat="1" applyAlignment="1">
      <x:alignment wrapText="1"/>
    </x:xf>
    <x:xf numFmtId="2" fontId="0" fillId="0" borderId="0" xfId="0" applyNumberFormat="1" applyAlignment="1">
      <x:alignment wrapText="1"/>
    </x:xf>
    <x:xf numFmtId="0" fontId="0" fillId="0" borderId="0" xfId="0" applyAlignment="1">
      <x:alignment vertical="top" wrapText="1"/>
    </x:xf>
    <x:xf numFmtId="164" fontId="0" fillId="0" borderId="0" xfId="0" applyNumberFormat="1" applyAlignment="1">
      <x:alignment vertical="top" wrapText="1"/>
    </x:xf>
    <x:xf numFmtId="2" fontId="0" fillId="0" borderId="0" xfId="0" applyNumberFormat="1" applyAlignment="1">
      <x:alignment vertical="top" wrapText="1"/>
    </x:xf>
    <x:xf numFmtId="0" fontId="2" fillId="17" borderId="0" xfId="0" applyFont="1" applyFill="1" applyAlignment="1">
      <x:alignment vertical="center"/>
    </x:xf>
    <x:xf numFmtId="164" fontId="2" fillId="17" borderId="0" xfId="0" applyNumberFormat="1" applyFont="1" applyFill="1" applyAlignment="1">
      <x:alignment vertical="center"/>
    </x:xf>
    <x:xf numFmtId="0" fontId="2" fillId="17" borderId="0" xfId="0" applyFont="1" applyFill="1" applyAlignment="1">
      <x:alignment horizontal="center" vertical="center" wrapText="1"/>
    </x:xf>
    <x:xf numFmtId="0" fontId="2" fillId="17" borderId="0" xfId="0" applyFont="1" applyFill="1" applyAlignment="1">
      <x:alignment vertical="top" wrapText="1"/>
    </x:xf>
    <x:xf numFmtId="0" fontId="2" fillId="17" borderId="0" xfId="0" applyFont="1" applyFill="1" applyAlignment="1">
      <x:alignment horizontal="center" vertical="top" wrapText="1"/>
    </x:xf>
    <x:xf numFmtId="164" fontId="2" fillId="17" borderId="0" xfId="0" applyNumberFormat="1" applyFont="1" applyFill="1" applyAlignment="1">
      <x:alignment horizontal="center" vertical="top" wrapText="1"/>
    </x:xf>
    <x:xf numFmtId="9" fontId="2" fillId="17" borderId="0" xfId="0" applyNumberFormat="1" applyFont="1" applyFill="1" applyAlignment="1">
      <x:alignment horizontal="center" vertical="top" wrapText="1"/>
    </x:xf>
    <x:xf numFmtId="164" fontId="3" fillId="0" borderId="0" xfId="0" applyNumberFormat="1" applyFont="1" applyAlignment="1">
      <x:alignment horizontal="center" vertical="top" wrapText="1"/>
    </x:xf>
    <x:xf numFmtId="167" fontId="3" fillId="0" borderId="0" xfId="0" applyNumberFormat="1" applyFont="1" applyAlignment="1">
      <x:alignment horizontal="center" vertical="top" wrapText="1"/>
    </x:xf>
    <x:xf numFmtId="167" fontId="2" fillId="17" borderId="0" xfId="0" applyNumberFormat="1" applyFont="1" applyFill="1" applyAlignment="1">
      <x:alignment horizontal="center" vertical="top" wrapText="1"/>
    </x:xf>
    <x:xf numFmtId="2" fontId="2" fillId="17" borderId="0" xfId="0" applyNumberFormat="1" applyFont="1" applyFill="1" applyAlignment="1">
      <x:alignment horizontal="center" vertical="top" wrapText="1"/>
    </x:xf>
    <x:xf numFmtId="0" fontId="3" fillId="0" borderId="0" xfId="0" applyFont="1" applyAlignment="1">
      <x:alignment horizontal="center" vertical="top" wrapText="1"/>
    </x:xf>
    <x:xf numFmtId="0" fontId="2" fillId="8" borderId="0" xfId="0" applyFont="1" applyFill="1" applyAlignment="1">
      <x:alignment vertical="top" wrapText="1"/>
    </x:xf>
    <x:xf numFmtId="0" fontId="2" fillId="9" borderId="0" xfId="0" applyFont="1" applyFill="1" applyAlignment="1">
      <x:alignment vertical="top" wrapText="1"/>
    </x:xf>
    <x:xf numFmtId="0" fontId="2" fillId="10" borderId="0" xfId="0" applyFont="1" applyFill="1" applyAlignment="1">
      <x:alignment vertical="top" wrapText="1"/>
    </x:xf>
    <x:xf numFmtId="0" fontId="2" fillId="7" borderId="0" xfId="0" applyFont="1" applyFill="1" applyAlignment="1">
      <x:alignment horizontal="center" vertical="top" wrapText="1"/>
    </x:xf>
    <x:xf numFmtId="0" fontId="2" fillId="21" borderId="0" xfId="0" applyFont="1" applyFill="1" applyAlignment="1">
      <x:alignment vertical="top" wrapText="1"/>
    </x:xf>
    <x:xf numFmtId="0" fontId="3" fillId="22" borderId="0" xfId="0" applyFont="1" applyFill="1" applyAlignment="1">
      <x:alignment vertical="top" wrapText="1"/>
    </x:xf>
    <x:xf numFmtId="0" fontId="2" fillId="22" borderId="0" xfId="0" applyFont="1" applyFill="1" applyAlignment="1">
      <x:alignment vertical="top" wrapText="1"/>
    </x:xf>
    <x:xf numFmtId="167" fontId="3" fillId="22" borderId="0" xfId="0" applyNumberFormat="1" applyFont="1" applyFill="1" applyAlignment="1">
      <x:alignment horizontal="center" vertical="top" wrapText="1"/>
    </x:xf>
    <x:xf numFmtId="0" fontId="3" fillId="22" borderId="0" xfId="0" applyFont="1" applyFill="1" applyAlignment="1">
      <x:alignment horizontal="center" vertical="top" wrapText="1"/>
    </x:xf>
    <x:xf numFmtId="164" fontId="3" fillId="22" borderId="0" xfId="0" applyNumberFormat="1" applyFont="1" applyFill="1" applyAlignment="1">
      <x:alignment horizontal="center" vertical="top" wrapText="1"/>
    </x:xf>
    <x:xf numFmtId="9" fontId="3" fillId="22" borderId="0" xfId="0" applyNumberFormat="1" applyFont="1" applyFill="1" applyAlignment="1">
      <x:alignment horizontal="center" vertical="top" wrapText="1"/>
    </x:xf>
    <x:xf numFmtId="2" fontId="3" fillId="22" borderId="0" xfId="0" applyNumberFormat="1" applyFont="1" applyFill="1" applyAlignment="1">
      <x:alignment horizontal="center" vertical="top" wrapText="1"/>
    </x:xf>
    <x:xf numFmtId="0" fontId="2" fillId="22" borderId="0" xfId="0" applyFont="1" applyFill="1" applyAlignment="1">
      <x:alignment horizontal="center" vertical="top" wrapText="1"/>
    </x:xf>
    <x:xf numFmtId="0" fontId="2" fillId="23" borderId="0" xfId="0" applyFont="1" applyFill="1" applyAlignment="1">
      <x:alignment vertical="top" wrapText="1"/>
    </x:xf>
    <x:xf numFmtId="0" fontId="2" fillId="24" borderId="0" xfId="0" applyFont="1" applyFill="1" applyAlignment="1">
      <x:alignment vertical="top" wrapText="1"/>
    </x:xf>
    <x:xf numFmtId="0" fontId="2" fillId="25" borderId="0" xfId="0" applyFont="1" applyFill="1" applyAlignment="1">
      <x:alignment vertical="top" wrapText="1"/>
    </x:xf>
    <x:xf numFmtId="0" fontId="2" fillId="26" borderId="0" xfId="0" applyFont="1" applyFill="1" applyAlignment="1">
      <x:alignment vertical="top" wrapText="1"/>
    </x:xf>
    <x:xf numFmtId="0" fontId="2" fillId="27" borderId="0" xfId="0" applyFont="1" applyFill="1" applyAlignment="1">
      <x:alignment vertical="top" wrapText="1"/>
    </x:xf>
    <x:xf numFmtId="164" fontId="2" fillId="17" borderId="0" xfId="0" applyNumberFormat="1" applyFont="1" applyFill="1" applyAlignment="1">
      <x:alignment vertical="top" wrapText="1"/>
    </x:xf>
    <x:xf numFmtId="165" fontId="2" fillId="17" borderId="0" xfId="0" applyNumberFormat="1" applyFont="1" applyFill="1" applyAlignment="1">
      <x:alignment horizontal="center" vertical="center" wrapText="1"/>
    </x:xf>
    <x:xf numFmtId="164" fontId="2" fillId="17" borderId="0" xfId="0" applyNumberFormat="1" applyFont="1" applyFill="1" applyAlignment="1">
      <x:alignment horizontal="center" vertical="center" wrapText="1"/>
    </x:xf>
    <x:xf numFmtId="0" fontId="2" fillId="17" borderId="0" xfId="0" applyFont="1" applyFill="1"/>
    <x:xf numFmtId="2" fontId="3" fillId="0" borderId="0" xfId="0" applyNumberFormat="1" applyFont="1" applyAlignment="1">
      <x:alignment vertical="top" wrapText="1"/>
    </x:xf>
    <x:xf numFmtId="2" fontId="2" fillId="17" borderId="0" xfId="0" applyNumberFormat="1" applyFont="1" applyFill="1" applyAlignment="1">
      <x:alignment vertical="top" wrapText="1"/>
    </x:xf>
    <x:xf numFmtId="9" fontId="3" fillId="0" borderId="0" xfId="0" applyNumberFormat="1" applyFont="1" applyAlignment="1">
      <x:alignment vertical="top" wrapText="1"/>
    </x:xf>
    <x:xf numFmtId="9" fontId="2" fillId="17" borderId="0" xfId="0" applyNumberFormat="1" applyFont="1" applyFill="1" applyAlignment="1">
      <x:alignment vertical="top" wrapText="1"/>
    </x:xf>
    <x:xf numFmtId="164" fontId="3" fillId="0" borderId="0" xfId="0" applyNumberFormat="1" applyFont="1" applyAlignment="1">
      <x:alignment vertical="top" wrapText="1"/>
    </x:xf>
    <x:xf numFmtId="0" fontId="2" fillId="8" borderId="0" xfId="0" applyFont="1" applyFill="1" applyAlignment="1">
      <x:alignment horizontal="center" wrapText="1"/>
    </x:xf>
    <x:xf numFmtId="0" fontId="3" fillId="4" borderId="0" xfId="0" applyFont="1" applyFill="1" applyAlignment="1">
      <x:alignment wrapText="1"/>
    </x:xf>
    <x:xf numFmtId="0" fontId="2" fillId="9" borderId="0" xfId="0" applyFont="1" applyFill="1" applyAlignment="1">
      <x:alignment horizontal="center" wrapText="1"/>
    </x:xf>
    <x:xf numFmtId="0" fontId="2" fillId="10" borderId="0" xfId="0" applyFont="1" applyFill="1" applyAlignment="1">
      <x:alignment horizontal="center" wrapText="1"/>
    </x:xf>
    <x:xf numFmtId="0" fontId="2" fillId="11" borderId="0" xfId="0" applyFont="1" applyFill="1" applyAlignment="1">
      <x:alignment vertical="top" wrapText="1"/>
    </x:xf>
    <x:xf numFmtId="0" fontId="2" fillId="11" borderId="0" xfId="0" applyFont="1" applyFill="1" applyAlignment="1">
      <x:alignment horizontal="center" wrapText="1"/>
    </x:xf>
    <x:xf numFmtId="0" fontId="2" fillId="12" borderId="0" xfId="0" applyFont="1" applyFill="1" applyAlignment="1">
      <x:alignment vertical="top" wrapText="1"/>
    </x:xf>
    <x:xf numFmtId="0" fontId="2" fillId="12" borderId="0" xfId="0" applyFont="1" applyFill="1" applyAlignment="1">
      <x:alignment horizontal="center" wrapText="1"/>
    </x:xf>
    <x:xf numFmtId="0" fontId="2" fillId="13" borderId="0" xfId="0" applyFont="1" applyFill="1" applyAlignment="1">
      <x:alignment vertical="top" wrapText="1"/>
    </x:xf>
    <x:xf numFmtId="0" fontId="2" fillId="17" borderId="0" xfId="0" applyFont="1" applyFill="1" applyAlignment="1">
      <x:alignment wrapText="1"/>
    </x:xf>
    <x:xf numFmtId="164" fontId="2" fillId="17" borderId="0" xfId="0" applyNumberFormat="1" applyFont="1" applyFill="1" applyAlignment="1">
      <x:alignment wrapText="1"/>
    </x:xf>
    <x:xf numFmtId="2" fontId="2" fillId="17" borderId="0" xfId="0" applyNumberFormat="1" applyFont="1" applyFill="1" applyAlignment="1">
      <x:alignment wrapText="1"/>
    </x:xf>
    <x:xf numFmtId="2" fontId="2" fillId="17" borderId="0" xfId="0" applyNumberFormat="1" applyFont="1" applyFill="1" applyAlignment="1">
      <x:alignment horizontal="center" vertical="center" wrapText="1"/>
    </x:xf>
    <x:xf numFmtId="164" fontId="3" fillId="0" borderId="0" xfId="0" applyNumberFormat="1" applyFont="1" applyAlignment="1">
      <x:alignment wrapText="1"/>
    </x:xf>
    <x:xf numFmtId="164" fontId="3" fillId="16" borderId="0" xfId="0" applyNumberFormat="1" applyFont="1" applyFill="1" applyAlignment="1">
      <x:alignment wrapText="1"/>
    </x:xf>
    <x:xf numFmtId="2" fontId="3" fillId="16" borderId="0" xfId="0" applyNumberFormat="1" applyFont="1" applyFill="1" applyAlignment="1">
      <x:alignment wrapText="1"/>
    </x:xf>
    <x:xf numFmtId="0" fontId="3" fillId="0" borderId="0" xfId="0" applyFont="1" applyAlignment="1">
      <x:alignment wrapText="1"/>
    </x:xf>
    <x:xf numFmtId="0" fontId="3" fillId="16" borderId="0" xfId="0" applyFont="1" applyFill="1" applyAlignment="1">
      <x:alignment wrapText="1"/>
    </x:xf>
    <x:xf numFmtId="9" fontId="3" fillId="0" borderId="0" xfId="0" applyNumberFormat="1" applyFont="1" applyAlignment="1">
      <x:alignment wrapText="1"/>
    </x:xf>
    <x:xf numFmtId="9" fontId="2" fillId="17" borderId="0" xfId="0" applyNumberFormat="1" applyFont="1" applyFill="1" applyAlignment="1">
      <x:alignment wrapText="1"/>
    </x:xf>
    <x:xf numFmtId="0" fontId="2" fillId="7" borderId="0" xfId="0" applyFont="1" applyFill="1" applyAlignment="1">
      <x:alignment wrapText="1"/>
    </x:xf>
    <x:xf numFmtId="0" fontId="2" fillId="8" borderId="0" xfId="0" applyFont="1" applyFill="1" applyAlignment="1">
      <x:alignment wrapText="1"/>
    </x:xf>
    <x:xf numFmtId="0" fontId="2" fillId="9" borderId="0" xfId="0" applyFont="1" applyFill="1" applyAlignment="1">
      <x:alignment wrapText="1"/>
    </x:xf>
    <x:xf numFmtId="0" fontId="2" fillId="10" borderId="0" xfId="0" applyFont="1" applyFill="1" applyAlignment="1">
      <x:alignment wrapText="1"/>
    </x:xf>
    <x:xf numFmtId="0" fontId="2" fillId="11" borderId="0" xfId="0" applyFont="1" applyFill="1" applyAlignment="1">
      <x:alignment wrapText="1"/>
    </x:xf>
    <x:xf numFmtId="0" fontId="2" fillId="12" borderId="0" xfId="0" applyFont="1" applyFill="1" applyAlignment="1">
      <x:alignment wrapText="1"/>
    </x:xf>
    <x:xf numFmtId="0" fontId="5" fillId="20" borderId="0" xfId="0" applyFont="1" applyFill="1" applyAlignment="1">
      <x:alignment horizontal="center" vertical="center" wrapText="1"/>
    </x:xf>
    <x:xf numFmtId="0" fontId="2" fillId="20" borderId="0" xfId="0" applyFont="1" applyFill="1" applyAlignment="1">
      <x:alignment horizontal="center" vertical="center" wrapText="1"/>
    </x:xf>
    <x:xf numFmtId="0" fontId="4" fillId="20" borderId="0" xfId="0" applyFont="1" applyFill="1"/>
    <x:xf numFmtId="0" fontId="12" fillId="23" borderId="0" xfId="0" applyFont="1" applyFill="1" applyAlignment="1">
      <x:alignment vertical="center" wrapText="1"/>
    </x:xf>
    <x:xf numFmtId="0" fontId="5" fillId="15" borderId="0" xfId="0" applyFont="1" applyFill="1" applyAlignment="1">
      <x:alignment vertical="top" wrapText="1"/>
    </x:xf>
    <x:xf numFmtId="0" fontId="14" fillId="20" borderId="0" xfId="0" applyFont="1" applyFill="1" applyAlignment="1">
      <x:alignment wrapText="1"/>
    </x:xf>
    <x:xf numFmtId="0" fontId="14" fillId="20" borderId="0" xfId="0" applyFont="1" applyFill="1"/>
    <x:xf numFmtId="0" fontId="2" fillId="17" borderId="0" xfId="0" applyFont="1" applyFill="1" applyAlignment="1">
      <x:alignment vertical="center" wrapText="1"/>
    </x:xf>
    <x:xf numFmtId="164" fontId="3" fillId="28" borderId="0" xfId="0" applyNumberFormat="1" applyFont="1" applyFill="1" applyAlignment="1">
      <x:alignment wrapText="1"/>
    </x:xf>
    <x:xf numFmtId="1" fontId="3" fillId="28" borderId="0" xfId="0" applyNumberFormat="1" applyFont="1" applyFill="1" applyAlignment="1">
      <x:alignment wrapText="1"/>
    </x:xf>
    <x:xf numFmtId="2" fontId="3" fillId="28" borderId="0" xfId="0" applyNumberFormat="1" applyFont="1" applyFill="1" applyAlignment="1">
      <x:alignment wrapText="1"/>
    </x:xf>
    <x:xf numFmtId="9" fontId="3" fillId="28" borderId="0" xfId="0" applyNumberFormat="1" applyFont="1" applyFill="1" applyAlignment="1">
      <x:alignment wrapText="1"/>
    </x:xf>
    <x:xf numFmtId="0" fontId="3" fillId="28" borderId="0" xfId="0" applyFont="1" applyFill="1" applyAlignment="1">
      <x:alignment wrapText="1"/>
    </x:xf>
    <x:xf numFmtId="0" fontId="4" fillId="20" borderId="0" xfId="0" applyFont="1" applyFill="1" applyAlignment="1">
      <x:alignment horizontal="center"/>
    </x:xf>
    <x:xf numFmtId="0" fontId="4" fillId="20" borderId="0" xfId="0" applyFont="1" applyFill="1" applyAlignment="1">
      <x:alignment vertical="top" wrapText="1"/>
    </x:xf>
    <x:xf numFmtId="164" fontId="0" fillId="28" borderId="0" xfId="0" applyNumberFormat="1" applyFill="1"/>
    <x:xf numFmtId="0" fontId="0" fillId="28" borderId="0" xfId="0" applyFill="1"/>
    <x:xf numFmtId="2" fontId="0" fillId="28" borderId="0" xfId="0" applyNumberFormat="1" applyFill="1"/>
    <x:xf numFmtId="9" fontId="0" fillId="28" borderId="0" xfId="0" applyNumberFormat="1" applyFill="1"/>
    <x:xf numFmtId="9" fontId="0" fillId="0" borderId="0" xfId="0" applyNumberFormat="1" applyAlignment="1">
      <x:alignment wrapText="1"/>
    </x:xf>
    <x:xf numFmtId="166" fontId="5" fillId="29" borderId="0" xfId="0" applyNumberFormat="1" applyFont="1" applyFill="1" applyAlignment="1">
      <x:alignment horizontal="center" vertical="center" wrapText="1"/>
    </x:xf>
    <x:xf numFmtId="0" fontId="2" fillId="29" borderId="0" xfId="0" applyFont="1" applyFill="1" applyAlignment="1">
      <x:alignment horizontal="center" vertical="center" wrapText="1"/>
    </x:xf>
    <x:xf numFmtId="0" fontId="3" fillId="29" borderId="0" xfId="0" applyFont="1" applyFill="1" applyAlignment="1">
      <x:alignment horizontal="center" vertical="top" wrapText="1"/>
    </x:xf>
    <x:xf numFmtId="0" fontId="2" fillId="29" borderId="0" xfId="0" applyFont="1" applyFill="1" applyAlignment="1">
      <x:alignment horizontal="center" vertical="top" wrapText="1"/>
    </x:xf>
    <x:xf numFmtId="0" fontId="9" fillId="17" borderId="0" xfId="0" applyFont="1" applyFill="1" applyAlignment="1">
      <x:alignment horizontal="center" vertical="top" wrapText="1"/>
    </x:xf>
    <x:xf numFmtId="0" fontId="15" fillId="29" borderId="0" xfId="0" applyFont="1" applyFill="1"/>
    <x:xf numFmtId="0" fontId="0" fillId="0" borderId="0" xfId="0" applyAlignment="1">
      <x:alignment horizontal="center" vertical="top" wrapText="1"/>
    </x:xf>
    <x:xf numFmtId="1" fontId="0" fillId="0" borderId="0" xfId="0" applyNumberFormat="1" applyAlignment="1">
      <x:alignment vertical="top" wrapText="1"/>
    </x:xf>
    <x:xf numFmtId="0" fontId="9" fillId="30" borderId="14" xfId="0" applyFont="1" applyFill="1" applyBorder="1" applyAlignment="1">
      <x:alignment horizontal="center" vertical="center" wrapText="1"/>
    </x:xf>
    <x:xf numFmtId="0" fontId="9" fillId="30" borderId="16" xfId="0" applyFont="1" applyFill="1" applyBorder="1" applyAlignment="1">
      <x:alignment horizontal="center" vertical="center" wrapText="1"/>
    </x:xf>
    <x:xf numFmtId="0" fontId="9" fillId="30" borderId="15" xfId="0" applyFont="1" applyFill="1" applyBorder="1" applyAlignment="1">
      <x:alignment horizontal="center" vertical="center" wrapText="1"/>
    </x:xf>
    <x:xf numFmtId="0" fontId="0" fillId="0" borderId="17" xfId="0" applyBorder="1" applyAlignment="1">
      <x:alignment vertical="top" wrapText="1"/>
    </x:xf>
    <x:xf numFmtId="0" fontId="0" fillId="0" borderId="18" xfId="0" applyBorder="1" applyAlignment="1">
      <x:alignment vertical="top" wrapText="1"/>
    </x:xf>
    <x:xf numFmtId="0" fontId="0" fillId="0" borderId="19" xfId="0" applyBorder="1" applyAlignment="1">
      <x:alignment vertical="top" wrapText="1"/>
    </x:xf>
    <x:xf numFmtId="0" fontId="0" fillId="0" borderId="20" xfId="0" applyBorder="1" applyAlignment="1">
      <x:alignment vertical="top" wrapText="1"/>
    </x:xf>
    <x:xf numFmtId="0" fontId="0" fillId="0" borderId="21" xfId="0" applyBorder="1" applyAlignment="1">
      <x:alignment vertical="top" wrapText="1"/>
    </x:xf>
    <x:xf numFmtId="0" fontId="0" fillId="0" borderId="22" xfId="0" applyBorder="1" applyAlignment="1">
      <x:alignment vertical="top" wrapText="1"/>
    </x:xf>
    <x:xf numFmtId="0" fontId="0" fillId="0" borderId="23" xfId="0" applyBorder="1" applyAlignment="1">
      <x:alignment vertical="top" wrapText="1"/>
    </x:xf>
    <x:xf numFmtId="0" fontId="0" fillId="0" borderId="24" xfId="0" applyBorder="1" applyAlignment="1">
      <x:alignment vertical="top" wrapText="1"/>
    </x:xf>
    <x:xf numFmtId="0" fontId="21" fillId="33" borderId="25" xfId="0" applyFont="1" applyFill="1" applyBorder="1" applyAlignment="1">
      <x:alignment vertical="top" wrapText="1"/>
    </x:xf>
    <x:xf numFmtId="0" fontId="22" fillId="0" borderId="25" xfId="0" applyFont="1" applyBorder="1" applyAlignment="1">
      <x:alignment vertical="top" wrapText="1"/>
    </x:xf>
    <x:xf numFmtId="0" fontId="21" fillId="33" borderId="26" xfId="0" applyFont="1" applyFill="1" applyBorder="1" applyAlignment="1">
      <x:alignment vertical="top" wrapText="1"/>
    </x:xf>
    <x:xf numFmtId="0" fontId="21" fillId="33" borderId="27" xfId="0" applyFont="1" applyFill="1" applyBorder="1" applyAlignment="1">
      <x:alignment vertical="top" wrapText="1"/>
    </x:xf>
    <x:xf numFmtId="0" fontId="22" fillId="0" borderId="26" xfId="0" applyFont="1" applyBorder="1" applyAlignment="1">
      <x:alignment vertical="top" wrapText="1"/>
    </x:xf>
    <x:xf numFmtId="0" fontId="22" fillId="0" borderId="27" xfId="0" applyFont="1" applyBorder="1" applyAlignment="1">
      <x:alignment vertical="top" wrapText="1"/>
    </x:xf>
    <x:xf numFmtId="164" fontId="0" fillId="0" borderId="18" xfId="0" applyNumberFormat="1" applyBorder="1" applyAlignment="1">
      <x:alignment vertical="top" wrapText="1"/>
    </x:xf>
    <x:xf numFmtId="164" fontId="0" fillId="0" borderId="23" xfId="0" applyNumberFormat="1" applyBorder="1" applyAlignment="1">
      <x:alignment vertical="top" wrapText="1"/>
    </x:xf>
    <x:xf numFmtId="0" fontId="0" fillId="0" borderId="14" xfId="0" applyBorder="1" applyAlignment="1">
      <x:alignment vertical="top" wrapText="1"/>
    </x:xf>
    <x:xf numFmtId="164" fontId="0" fillId="0" borderId="16" xfId="0" applyNumberFormat="1" applyBorder="1" applyAlignment="1">
      <x:alignment vertical="top" wrapText="1"/>
    </x:xf>
    <x:xf numFmtId="0" fontId="0" fillId="0" borderId="16" xfId="0" applyBorder="1" applyAlignment="1">
      <x:alignment vertical="top" wrapText="1"/>
    </x:xf>
    <x:xf numFmtId="0" fontId="0" fillId="0" borderId="15" xfId="0" applyBorder="1" applyAlignment="1">
      <x:alignment vertical="top" wrapText="1"/>
    </x:xf>
    <x:xf numFmtId="0" fontId="18" fillId="33" borderId="25" xfId="0" applyFont="1" applyFill="1" applyBorder="1" applyAlignment="1">
      <x:alignment vertical="top" wrapText="1"/>
    </x:xf>
    <x:xf numFmtId="0" fontId="19" fillId="0" borderId="25" xfId="0" applyFont="1" applyBorder="1" applyAlignment="1">
      <x:alignment vertical="top" wrapText="1"/>
    </x:xf>
    <x:xf numFmtId="0" fontId="1" fillId="17" borderId="0" xfId="0" applyFont="1" applyFill="1" applyAlignment="1">
      <x:alignment horizontal="left" vertical="center"/>
    </x:xf>
    <x:xf numFmtId="0" fontId="1" fillId="2" borderId="0" xfId="0" applyFont="1" applyFill="1" applyAlignment="1">
      <x:alignment vertical="center"/>
    </x:xf>
    <x:xf numFmtId="0" fontId="12" fillId="23" borderId="0" xfId="0" applyFont="1" applyFill="1" applyAlignment="1">
      <x:alignment vertical="center"/>
    </x:xf>
    <x:xf numFmtId="0" fontId="2" fillId="3" borderId="0" xfId="0" applyFont="1" applyFill="1" applyAlignment="1">
      <x:alignment vertical="center"/>
    </x:xf>
    <x:xf numFmtId="0" fontId="3" fillId="0" borderId="0" xfId="0" applyFont="1" applyAlignment="1">
      <x:alignment vertical="top" wrapText="1"/>
    </x:xf>
    <x:xf numFmtId="0" fontId="3" fillId="0" borderId="3" xfId="0" applyFont="1" applyBorder="1" applyAlignment="1">
      <x:alignment vertical="top" wrapText="1"/>
    </x:xf>
    <x:xf numFmtId="0" fontId="3" fillId="0" borderId="4" xfId="0" applyFont="1" applyBorder="1" applyAlignment="1">
      <x:alignment vertical="top" wrapText="1"/>
    </x:xf>
    <x:xf numFmtId="0" fontId="3" fillId="0" borderId="6" xfId="0" applyFont="1" applyBorder="1" applyAlignment="1">
      <x:alignment vertical="top" wrapText="1"/>
    </x:xf>
    <x:xf numFmtId="0" fontId="3" fillId="0" borderId="8" xfId="0" applyFont="1" applyBorder="1" applyAlignment="1">
      <x:alignment vertical="top" wrapText="1"/>
    </x:xf>
    <x:xf numFmtId="0" fontId="3" fillId="0" borderId="9" xfId="0" applyFont="1" applyBorder="1" applyAlignment="1">
      <x:alignment vertical="top" wrapText="1"/>
    </x:xf>
    <x:xf numFmtId="0" fontId="12" fillId="23" borderId="0" xfId="0" applyFont="1" applyFill="1" applyAlignment="1">
      <x:alignment vertical="center" wrapText="1"/>
    </x:xf>
    <x:xf numFmtId="164" fontId="3" fillId="4" borderId="1" xfId="0" applyNumberFormat="1" applyFont="1" applyFill="1" applyBorder="1" applyAlignment="1">
      <x:alignment wrapText="1"/>
    </x:xf>
    <x:xf numFmtId="0" fontId="3" fillId="0" borderId="0" xfId="0" applyFont="1"/>
    <x:xf numFmtId="0" fontId="4" fillId="18" borderId="0" xfId="0" applyFont="1" applyFill="1" applyAlignment="1">
      <x:alignment vertical="center" wrapText="1"/>
    </x:xf>
    <x:xf numFmtId="0" fontId="20" fillId="31" borderId="0" xfId="0" applyFont="1" applyFill="1" applyAlignment="1">
      <x:alignment horizontal="left" vertical="center" wrapText="1"/>
    </x:xf>
    <x:xf numFmtId="0" fontId="10" fillId="18" borderId="0" xfId="0" applyFont="1" applyFill="1" applyAlignment="1">
      <x:alignment wrapText="1"/>
    </x:xf>
    <x:xf numFmtId="0" fontId="11" fillId="18" borderId="0" xfId="0" applyFont="1" applyFill="1" applyAlignment="1">
      <x:alignment wrapText="1"/>
    </x:xf>
    <x:xf numFmtId="0" fontId="16" fillId="29" borderId="0" xfId="0" applyFont="1" applyFill="1" applyAlignment="1">
      <x:alignment wrapText="1"/>
    </x:xf>
    <x:xf numFmtId="0" fontId="11" fillId="19" borderId="0" xfId="0" applyFont="1" applyFill="1" applyAlignment="1">
      <x:alignment wrapText="1"/>
    </x:xf>
    <x:xf numFmtId="0" fontId="2" fillId="2" borderId="10" xfId="0" applyFont="1" applyFill="1" applyBorder="1"/>
    <x:xf numFmtId="0" fontId="2" fillId="2" borderId="11" xfId="0" applyFont="1" applyFill="1" applyBorder="1"/>
    <x:xf numFmtId="0" fontId="3" fillId="0" borderId="11" xfId="0" applyFont="1" applyBorder="1" applyAlignment="1">
      <x:alignment vertical="top" wrapText="1"/>
    </x:xf>
    <x:xf numFmtId="164" fontId="3" fillId="0" borderId="11" xfId="0" applyNumberFormat="1" applyFont="1" applyBorder="1" applyAlignment="1">
      <x:alignment vertical="top" wrapText="1"/>
    </x:xf>
    <x:xf numFmtId="0" fontId="3" fillId="0" borderId="12" xfId="0" applyFont="1" applyBorder="1" applyAlignment="1">
      <x:alignment vertical="top" wrapText="1"/>
    </x:xf>
    <x:xf numFmtId="0" fontId="3" fillId="4" borderId="0" xfId="0" applyFont="1" applyFill="1" applyAlignment="1">
      <x:alignment vertical="top" wrapText="1"/>
    </x:xf>
    <x:xf numFmtId="0" fontId="4" fillId="18" borderId="0" xfId="0" applyFont="1" applyFill="1" applyAlignment="1">
      <x:alignment vertical="top" wrapText="1"/>
    </x:xf>
    <x:xf numFmtId="0" fontId="6" fillId="0" borderId="0" xfId="0" applyFont="1"/>
    <x:xf numFmtId="0" fontId="7" fillId="17" borderId="0" xfId="0" applyFont="1" applyFill="1" applyAlignment="1">
      <x:alignment horizontal="left" vertical="center" wrapText="1"/>
    </x:xf>
    <x:xf numFmtId="0" fontId="0" fillId="0" borderId="0" xfId="0" applyAlignment="1">
      <x:alignment wrapText="1"/>
    </x:xf>
    <x:xf numFmtId="0" fontId="8" fillId="18" borderId="0" xfId="0" applyFont="1" applyFill="1" applyAlignment="1">
      <x:alignment wrapText="1"/>
    </x:xf>
    <x:xf numFmtId="0" fontId="7" fillId="17" borderId="0" xfId="0" applyFont="1" applyFill="1" applyAlignment="1">
      <x:alignment horizontal="left" vertical="center"/>
    </x:xf>
    <x:xf numFmtId="0" fontId="0" fillId="0" borderId="0" xfId="0"/>
    <x:xf numFmtId="0" fontId="8" fillId="19" borderId="0" xfId="0" applyFont="1" applyFill="1" applyAlignment="1">
      <x:alignment wrapText="1"/>
    </x:xf>
    <x:xf numFmtId="0" fontId="13" fillId="23" borderId="0" xfId="0" applyFont="1" applyFill="1" applyAlignment="1">
      <x:alignment vertical="center"/>
    </x:xf>
    <x:xf numFmtId="0" fontId="9" fillId="32" borderId="0" xfId="0" applyFont="1" applyFill="1" applyAlignment="1">
      <x:alignment horizontal="left" vertical="center"/>
    </x:xf>
    <x:xf numFmtId="0" fontId="18" fillId="33" borderId="14" xfId="0" applyFont="1" applyFill="1" applyBorder="1" applyAlignment="1">
      <x:alignment vertical="top" wrapText="1"/>
    </x:xf>
    <x:xf numFmtId="0" fontId="18" fillId="33" borderId="15" xfId="0" applyFont="1" applyFill="1" applyBorder="1" applyAlignment="1">
      <x:alignment vertical="top" wrapText="1"/>
    </x:xf>
    <x:xf numFmtId="0" fontId="19" fillId="0" borderId="14" xfId="0" applyFont="1" applyBorder="1" applyAlignment="1">
      <x:alignment vertical="top" wrapText="1"/>
    </x:xf>
    <x:xf numFmtId="0" fontId="19" fillId="0" borderId="16" xfId="0" applyFont="1" applyBorder="1" applyAlignment="1">
      <x:alignment vertical="top" wrapText="1"/>
    </x:xf>
    <x:xf numFmtId="0" fontId="19" fillId="0" borderId="15" xfId="0" applyFont="1" applyBorder="1" applyAlignment="1">
      <x:alignment vertical="top" wrapText="1"/>
    </x:xf>
    <x:xf numFmtId="0" fontId="17" fillId="34" borderId="0" xfId="0" applyFont="1" applyFill="1" applyAlignment="1">
      <x:alignment horizontal="left" vertical="center" wrapText="1"/>
    </x:xf>
    <x:xf numFmtId="0" fontId="0" fillId="28" borderId="0" xfId="0" applyFill="1" applyAlignment="1">
      <x:alignment vertical="center" wrapText="1"/>
    </x:xf>
    <x:xf numFmtId="0" fontId="14" fillId="28" borderId="0" xfId="0" applyFont="1" applyFill="1" applyAlignment="1">
      <x:alignment vertical="center" wrapText="1"/>
    </x:xf>
    <x:xf numFmtId="0" fontId="7" fillId="30" borderId="0" xfId="0" applyFont="1" applyFill="1" applyAlignment="1">
      <x:alignment horizontal="left" vertical="center" wrapText="1"/>
    </x:xf>
    <x:xf numFmtId="0" fontId="17" fillId="31" borderId="0" xfId="0" applyFont="1" applyFill="1" applyAlignment="1">
      <x:alignment horizontal="left" vertical="center" wrapText="1"/>
    </x:xf>
    <x:xf numFmtId="0" fontId="0" fillId="0" borderId="28" xfId="0" applyNumberFormat="1" applyFont="1" applyFill="1" applyBorder="1"/>
    <x:xf numFmtId="0" fontId="3" fillId="0" borderId="28" xfId="0" applyNumberFormat="1" applyFont="1" applyFill="1" applyBorder="1"/>
    <x:xf numFmtId="0" fontId="2" fillId="3" borderId="28" xfId="0" applyNumberFormat="1" applyFont="1" applyFill="1" applyBorder="1" applyAlignment="1">
      <x:alignment vertical="center"/>
    </x:xf>
    <x:xf numFmtId="0" fontId="3" fillId="0" borderId="28" xfId="0" applyNumberFormat="1" applyFont="1" applyFill="1" applyBorder="1" applyAlignment="1">
      <x:alignment vertical="top" wrapText="1"/>
    </x:xf>
    <x:xf numFmtId="0" fontId="2" fillId="6" borderId="28" xfId="0" applyNumberFormat="1" applyFont="1" applyFill="1" applyBorder="1" applyAlignment="1">
      <x:alignment horizontal="center" vertical="center" wrapText="1"/>
    </x:xf>
    <x:xf numFmtId="164" fontId="3" fillId="0" borderId="28" xfId="0" applyNumberFormat="1" applyFont="1" applyFill="1" applyBorder="1" applyAlignment="1">
      <x:alignment vertical="top" wrapText="1"/>
    </x:xf>
    <x:xf numFmtId="0" fontId="2" fillId="7" borderId="28" xfId="0" applyNumberFormat="1" applyFont="1" applyFill="1" applyBorder="1" applyAlignment="1">
      <x:alignment horizontal="center"/>
    </x:xf>
    <x:xf numFmtId="0" fontId="3" fillId="4" borderId="28" xfId="0" applyNumberFormat="1" applyFont="1" applyFill="1" applyBorder="1"/>
    <x:xf numFmtId="0" fontId="2" fillId="10" borderId="28" xfId="0" applyNumberFormat="1" applyFont="1" applyFill="1" applyBorder="1" applyAlignment="1">
      <x:alignment vertical="top" wrapText="1"/>
    </x:xf>
    <x:xf numFmtId="0" fontId="2" fillId="11" borderId="28" xfId="0" applyNumberFormat="1" applyFont="1" applyFill="1" applyBorder="1" applyAlignment="1">
      <x:alignment vertical="top" wrapText="1"/>
    </x:xf>
    <x:xf numFmtId="0" fontId="2" fillId="12" borderId="28" xfId="0" applyNumberFormat="1" applyFont="1" applyFill="1" applyBorder="1" applyAlignment="1">
      <x:alignment vertical="top" wrapText="1"/>
    </x:xf>
    <x:xf numFmtId="0" fontId="2" fillId="12" borderId="28" xfId="0" applyNumberFormat="1" applyFont="1" applyFill="1" applyBorder="1" applyAlignment="1">
      <x:alignment horizontal="center"/>
    </x:xf>
    <x:xf numFmtId="0" fontId="2" fillId="13" borderId="28" xfId="0" applyNumberFormat="1" applyFont="1" applyFill="1" applyBorder="1" applyAlignment="1">
      <x:alignment vertical="top" wrapText="1"/>
    </x:xf>
    <x:xf numFmtId="0" fontId="2" fillId="13" borderId="28" xfId="0" applyNumberFormat="1" applyFont="1" applyFill="1" applyBorder="1" applyAlignment="1">
      <x:alignment horizontal="center"/>
    </x:xf>
    <x:xf numFmtId="0" fontId="2" fillId="14" borderId="28" xfId="0" applyNumberFormat="1" applyFont="1" applyFill="1" applyBorder="1" applyAlignment="1">
      <x:alignment vertical="top" wrapText="1"/>
    </x:xf>
    <x:xf numFmtId="0" fontId="2" fillId="14" borderId="28" xfId="0" applyNumberFormat="1" applyFont="1" applyFill="1" applyBorder="1" applyAlignment="1">
      <x:alignment horizontal="center"/>
    </x:xf>
    <x:xf numFmtId="0" fontId="2" fillId="2" borderId="28" xfId="0" applyNumberFormat="1" applyFont="1" applyFill="1" applyBorder="1"/>
    <x:xf numFmtId="9" fontId="2" fillId="2" borderId="28" xfId="0" applyNumberFormat="1" applyFont="1" applyFill="1" applyBorder="1"/>
    <x:xf numFmtId="166" fontId="5" fillId="5" borderId="28" xfId="0" applyNumberFormat="1" applyFont="1" applyFill="1" applyBorder="1" applyAlignment="1">
      <x:alignment horizontal="center" vertical="center" wrapText="1"/>
    </x:xf>
    <x:xf numFmtId="0" fontId="3" fillId="0" borderId="28" xfId="0" applyNumberFormat="1" applyFont="1" applyFill="1" applyBorder="1" applyAlignment="1">
      <x:alignment horizontal="center" vertical="top" wrapText="1"/>
    </x:xf>
    <x:xf numFmtId="164" fontId="3" fillId="0" borderId="28" xfId="0" applyNumberFormat="1" applyFont="1" applyFill="1" applyBorder="1" applyAlignment="1">
      <x:alignment horizontal="center" vertical="top" wrapText="1"/>
    </x:xf>
    <x:xf numFmtId="9" fontId="3" fillId="0" borderId="28" xfId="0" applyNumberFormat="1" applyFont="1" applyFill="1" applyBorder="1" applyAlignment="1">
      <x:alignment horizontal="center" vertical="top" wrapText="1"/>
    </x:xf>
    <x:xf numFmtId="0" fontId="3" fillId="0" borderId="28" xfId="0" applyNumberFormat="1" applyFont="1" applyFill="1" applyBorder="1" applyAlignment="1">
      <x:alignment horizontal="center"/>
    </x:xf>
    <x:xf numFmtId="0" fontId="2" fillId="7" borderId="28" xfId="0" applyNumberFormat="1" applyFont="1" applyFill="1" applyBorder="1" applyAlignment="1">
      <x:alignment horizontal="center" vertical="center"/>
    </x:xf>
    <x:xf numFmtId="0" fontId="2" fillId="9" borderId="28" xfId="0" applyNumberFormat="1" applyFont="1" applyFill="1" applyBorder="1" applyAlignment="1">
      <x:alignment horizontal="center" vertical="center"/>
    </x:xf>
    <x:xf numFmtId="0" fontId="2" fillId="10" borderId="28" xfId="0" applyNumberFormat="1" applyFont="1" applyFill="1" applyBorder="1" applyAlignment="1">
      <x:alignment horizontal="center" vertical="center"/>
    </x:xf>
    <x:xf numFmtId="0" fontId="2" fillId="11" borderId="28" xfId="0" applyNumberFormat="1" applyFont="1" applyFill="1" applyBorder="1" applyAlignment="1">
      <x:alignment horizontal="center" vertical="center"/>
    </x:xf>
    <x:xf numFmtId="0" fontId="2" fillId="12" borderId="28" xfId="0" applyNumberFormat="1" applyFont="1" applyFill="1" applyBorder="1" applyAlignment="1">
      <x:alignment horizontal="center" vertical="center"/>
    </x:xf>
    <x:xf numFmtId="0" fontId="2" fillId="13" borderId="28" xfId="0" applyNumberFormat="1" applyFont="1" applyFill="1" applyBorder="1" applyAlignment="1">
      <x:alignment horizontal="center" vertical="center"/>
    </x:xf>
    <x:xf numFmtId="0" fontId="2" fillId="14" borderId="28" xfId="0" applyNumberFormat="1" applyFont="1" applyFill="1" applyBorder="1" applyAlignment="1">
      <x:alignment horizontal="center" vertical="center"/>
    </x:xf>
    <x:xf numFmtId="0" fontId="3" fillId="0" borderId="28" xfId="0" applyNumberFormat="1" applyFont="1" applyFill="1" applyBorder="1" applyAlignment="1">
      <x:alignment wrapText="1"/>
    </x:xf>
    <x:xf numFmtId="164" fontId="3" fillId="0" borderId="28" xfId="0" applyNumberFormat="1" applyFont="1" applyFill="1" applyBorder="1" applyAlignment="1">
      <x:alignment wrapText="1"/>
    </x:xf>
    <x:xf numFmtId="0" fontId="3" fillId="16" borderId="28" xfId="0" applyNumberFormat="1" applyFont="1" applyFill="1" applyBorder="1" applyAlignment="1">
      <x:alignment wrapText="1"/>
    </x:xf>
    <x:xf numFmtId="164" fontId="3" fillId="16" borderId="28" xfId="0" applyNumberFormat="1" applyFont="1" applyFill="1" applyBorder="1" applyAlignment="1">
      <x:alignment wrapText="1"/>
    </x:xf>
    <x:xf numFmtId="165" fontId="3" fillId="0" borderId="28" xfId="0" applyNumberFormat="1" applyFont="1" applyFill="1" applyBorder="1" applyAlignment="1">
      <x:alignment wrapText="1"/>
    </x:xf>
    <x:xf numFmtId="0" fontId="2" fillId="14" borderId="28" xfId="0" applyNumberFormat="1" applyFont="1" applyFill="1" applyBorder="1" applyAlignment="1">
      <x:alignment wrapText="1"/>
    </x:xf>
    <x:xf numFmtId="0" fontId="6" fillId="0" borderId="28" xfId="0" applyNumberFormat="1" applyFont="1" applyFill="1" applyBorder="1"/>
    <x:xf numFmtId="2" fontId="3" fillId="0" borderId="28" xfId="0" applyNumberFormat="1" applyFont="1" applyFill="1" applyBorder="1" applyAlignment="1">
      <x:alignment horizontal="center" vertical="top" wrapText="1"/>
    </x:xf>
    <x:xf numFmtId="2" fontId="3" fillId="0" borderId="28" xfId="0" applyNumberFormat="1" applyFont="1" applyFill="1" applyBorder="1" applyAlignment="1">
      <x:alignment wrapText="1"/>
    </x:xf>
    <x:xf numFmtId="0" fontId="3" fillId="4" borderId="28" xfId="0" applyNumberFormat="1" applyFont="1" applyFill="1" applyBorder="1" applyAlignment="1">
      <x:alignment vertical="top" wrapText="1"/>
    </x:xf>
    <x:xf numFmtId="0" fontId="1" fillId="2" borderId="28" xfId="0" applyNumberFormat="1" applyFont="1" applyFill="1" applyBorder="1" applyAlignment="1">
      <x:alignment vertical="center"/>
    </x:xf>
    <x:xf numFmtId="0" fontId="0" fillId="0" borderId="28" xfId="0" applyNumberFormat="1" applyFont="1" applyFill="1" applyBorder="1" applyAlignment="1">
      <x:alignment wrapText="1"/>
    </x:xf>
    <x:xf numFmtId="0" fontId="9" fillId="17" borderId="28" xfId="0" applyNumberFormat="1" applyFont="1" applyFill="1" applyBorder="1"/>
    <x:xf numFmtId="0" fontId="9" fillId="17" borderId="28" xfId="0" applyNumberFormat="1" applyFont="1" applyFill="1" applyBorder="1" applyAlignment="1">
      <x:alignment horizontal="center" vertical="center" wrapText="1"/>
    </x:xf>
    <x:xf numFmtId="164" fontId="0" fillId="0" borderId="28" xfId="0" applyNumberFormat="1" applyFont="1" applyFill="1" applyBorder="1" applyAlignment="1">
      <x:alignment wrapText="1"/>
    </x:xf>
    <x:xf numFmtId="2" fontId="0" fillId="0" borderId="28" xfId="0" applyNumberFormat="1" applyFont="1" applyFill="1" applyBorder="1" applyAlignment="1">
      <x:alignment wrapText="1"/>
    </x:xf>
    <x:xf numFmtId="0" fontId="0" fillId="0" borderId="28" xfId="0" applyNumberFormat="1" applyFont="1" applyFill="1" applyBorder="1" applyAlignment="1">
      <x:alignment vertical="top" wrapText="1"/>
    </x:xf>
    <x:xf numFmtId="164" fontId="0" fillId="0" borderId="28" xfId="0" applyNumberFormat="1" applyFont="1" applyFill="1" applyBorder="1" applyAlignment="1">
      <x:alignment vertical="top" wrapText="1"/>
    </x:xf>
    <x:xf numFmtId="2" fontId="0" fillId="0" borderId="28" xfId="0" applyNumberFormat="1" applyFont="1" applyFill="1" applyBorder="1" applyAlignment="1">
      <x:alignment vertical="top" wrapText="1"/>
    </x:xf>
    <x:xf numFmtId="0" fontId="2" fillId="17" borderId="28" xfId="0" applyNumberFormat="1" applyFont="1" applyFill="1" applyBorder="1" applyAlignment="1">
      <x:alignment vertical="center"/>
    </x:xf>
    <x:xf numFmtId="164" fontId="2" fillId="17" borderId="28" xfId="0" applyNumberFormat="1" applyFont="1" applyFill="1" applyBorder="1" applyAlignment="1">
      <x:alignment vertical="center"/>
    </x:xf>
    <x:xf numFmtId="0" fontId="2" fillId="17" borderId="28" xfId="0" applyNumberFormat="1" applyFont="1" applyFill="1" applyBorder="1" applyAlignment="1">
      <x:alignment horizontal="center" vertical="center" wrapText="1"/>
    </x:xf>
    <x:xf numFmtId="0" fontId="2" fillId="17" borderId="28" xfId="0" applyNumberFormat="1" applyFont="1" applyFill="1" applyBorder="1" applyAlignment="1">
      <x:alignment vertical="top" wrapText="1"/>
    </x:xf>
    <x:xf numFmtId="0" fontId="2" fillId="17" borderId="28" xfId="0" applyNumberFormat="1" applyFont="1" applyFill="1" applyBorder="1" applyAlignment="1">
      <x:alignment horizontal="center" vertical="top" wrapText="1"/>
    </x:xf>
    <x:xf numFmtId="164" fontId="2" fillId="17" borderId="28" xfId="0" applyNumberFormat="1" applyFont="1" applyFill="1" applyBorder="1" applyAlignment="1">
      <x:alignment horizontal="center" vertical="top" wrapText="1"/>
    </x:xf>
    <x:xf numFmtId="9" fontId="2" fillId="17" borderId="28" xfId="0" applyNumberFormat="1" applyFont="1" applyFill="1" applyBorder="1" applyAlignment="1">
      <x:alignment horizontal="center" vertical="top" wrapText="1"/>
    </x:xf>
    <x:xf numFmtId="167" fontId="3" fillId="0" borderId="28" xfId="0" applyNumberFormat="1" applyFont="1" applyFill="1" applyBorder="1" applyAlignment="1">
      <x:alignment horizontal="center" vertical="top" wrapText="1"/>
    </x:xf>
    <x:xf numFmtId="167" fontId="2" fillId="17" borderId="28" xfId="0" applyNumberFormat="1" applyFont="1" applyFill="1" applyBorder="1" applyAlignment="1">
      <x:alignment horizontal="center" vertical="top" wrapText="1"/>
    </x:xf>
    <x:xf numFmtId="2" fontId="2" fillId="17" borderId="28" xfId="0" applyNumberFormat="1" applyFont="1" applyFill="1" applyBorder="1" applyAlignment="1">
      <x:alignment horizontal="center" vertical="top" wrapText="1"/>
    </x:xf>
    <x:xf numFmtId="0" fontId="2" fillId="8" borderId="28" xfId="0" applyNumberFormat="1" applyFont="1" applyFill="1" applyBorder="1" applyAlignment="1">
      <x:alignment vertical="top" wrapText="1"/>
    </x:xf>
    <x:xf numFmtId="0" fontId="2" fillId="9" borderId="28" xfId="0" applyNumberFormat="1" applyFont="1" applyFill="1" applyBorder="1" applyAlignment="1">
      <x:alignment vertical="top" wrapText="1"/>
    </x:xf>
    <x:xf numFmtId="0" fontId="2" fillId="7" borderId="28" xfId="0" applyNumberFormat="1" applyFont="1" applyFill="1" applyBorder="1" applyAlignment="1">
      <x:alignment horizontal="center" vertical="top" wrapText="1"/>
    </x:xf>
    <x:xf numFmtId="0" fontId="2" fillId="21" borderId="28" xfId="0" applyNumberFormat="1" applyFont="1" applyFill="1" applyBorder="1" applyAlignment="1">
      <x:alignment vertical="top" wrapText="1"/>
    </x:xf>
    <x:xf numFmtId="0" fontId="3" fillId="22" borderId="28" xfId="0" applyNumberFormat="1" applyFont="1" applyFill="1" applyBorder="1" applyAlignment="1">
      <x:alignment vertical="top" wrapText="1"/>
    </x:xf>
    <x:xf numFmtId="0" fontId="2" fillId="22" borderId="28" xfId="0" applyNumberFormat="1" applyFont="1" applyFill="1" applyBorder="1" applyAlignment="1">
      <x:alignment vertical="top" wrapText="1"/>
    </x:xf>
    <x:xf numFmtId="167" fontId="3" fillId="22" borderId="28" xfId="0" applyNumberFormat="1" applyFont="1" applyFill="1" applyBorder="1" applyAlignment="1">
      <x:alignment horizontal="center" vertical="top" wrapText="1"/>
    </x:xf>
    <x:xf numFmtId="0" fontId="3" fillId="22" borderId="28" xfId="0" applyNumberFormat="1" applyFont="1" applyFill="1" applyBorder="1" applyAlignment="1">
      <x:alignment horizontal="center" vertical="top" wrapText="1"/>
    </x:xf>
    <x:xf numFmtId="164" fontId="3" fillId="22" borderId="28" xfId="0" applyNumberFormat="1" applyFont="1" applyFill="1" applyBorder="1" applyAlignment="1">
      <x:alignment horizontal="center" vertical="top" wrapText="1"/>
    </x:xf>
    <x:xf numFmtId="9" fontId="3" fillId="22" borderId="28" xfId="0" applyNumberFormat="1" applyFont="1" applyFill="1" applyBorder="1" applyAlignment="1">
      <x:alignment horizontal="center" vertical="top" wrapText="1"/>
    </x:xf>
    <x:xf numFmtId="2" fontId="3" fillId="22" borderId="28" xfId="0" applyNumberFormat="1" applyFont="1" applyFill="1" applyBorder="1" applyAlignment="1">
      <x:alignment horizontal="center" vertical="top" wrapText="1"/>
    </x:xf>
    <x:xf numFmtId="0" fontId="2" fillId="22" borderId="28" xfId="0" applyNumberFormat="1" applyFont="1" applyFill="1" applyBorder="1" applyAlignment="1">
      <x:alignment horizontal="center" vertical="top" wrapText="1"/>
    </x:xf>
    <x:xf numFmtId="0" fontId="2" fillId="23" borderId="28" xfId="0" applyNumberFormat="1" applyFont="1" applyFill="1" applyBorder="1" applyAlignment="1">
      <x:alignment vertical="top" wrapText="1"/>
    </x:xf>
    <x:xf numFmtId="0" fontId="2" fillId="25" borderId="28" xfId="0" applyNumberFormat="1" applyFont="1" applyFill="1" applyBorder="1" applyAlignment="1">
      <x:alignment vertical="top" wrapText="1"/>
    </x:xf>
    <x:xf numFmtId="0" fontId="2" fillId="26" borderId="28" xfId="0" applyNumberFormat="1" applyFont="1" applyFill="1" applyBorder="1" applyAlignment="1">
      <x:alignment vertical="top" wrapText="1"/>
    </x:xf>
    <x:xf numFmtId="0" fontId="2" fillId="27" borderId="28" xfId="0" applyNumberFormat="1" applyFont="1" applyFill="1" applyBorder="1" applyAlignment="1">
      <x:alignment vertical="top" wrapText="1"/>
    </x:xf>
    <x:xf numFmtId="164" fontId="2" fillId="17" borderId="28" xfId="0" applyNumberFormat="1" applyFont="1" applyFill="1" applyBorder="1" applyAlignment="1">
      <x:alignment vertical="top" wrapText="1"/>
    </x:xf>
    <x:xf numFmtId="165" fontId="2" fillId="17" borderId="28" xfId="0" applyNumberFormat="1" applyFont="1" applyFill="1" applyBorder="1" applyAlignment="1">
      <x:alignment horizontal="center" vertical="center" wrapText="1"/>
    </x:xf>
    <x:xf numFmtId="164" fontId="2" fillId="17" borderId="28" xfId="0" applyNumberFormat="1" applyFont="1" applyFill="1" applyBorder="1" applyAlignment="1">
      <x:alignment horizontal="center" vertical="center" wrapText="1"/>
    </x:xf>
    <x:xf numFmtId="0" fontId="2" fillId="17" borderId="28" xfId="0" applyNumberFormat="1" applyFont="1" applyFill="1" applyBorder="1"/>
    <x:xf numFmtId="2" fontId="3" fillId="0" borderId="28" xfId="0" applyNumberFormat="1" applyFont="1" applyFill="1" applyBorder="1" applyAlignment="1">
      <x:alignment vertical="top" wrapText="1"/>
    </x:xf>
    <x:xf numFmtId="2" fontId="2" fillId="17" borderId="28" xfId="0" applyNumberFormat="1" applyFont="1" applyFill="1" applyBorder="1" applyAlignment="1">
      <x:alignment vertical="top" wrapText="1"/>
    </x:xf>
    <x:xf numFmtId="9" fontId="3" fillId="0" borderId="28" xfId="0" applyNumberFormat="1" applyFont="1" applyFill="1" applyBorder="1" applyAlignment="1">
      <x:alignment vertical="top" wrapText="1"/>
    </x:xf>
    <x:xf numFmtId="9" fontId="2" fillId="17" borderId="28" xfId="0" applyNumberFormat="1" applyFont="1" applyFill="1" applyBorder="1" applyAlignment="1">
      <x:alignment vertical="top" wrapText="1"/>
    </x:xf>
    <x:xf numFmtId="0" fontId="2" fillId="8" borderId="28" xfId="0" applyNumberFormat="1" applyFont="1" applyFill="1" applyBorder="1" applyAlignment="1">
      <x:alignment horizontal="center" wrapText="1"/>
    </x:xf>
    <x:xf numFmtId="0" fontId="3" fillId="4" borderId="28" xfId="0" applyNumberFormat="1" applyFont="1" applyFill="1" applyBorder="1" applyAlignment="1">
      <x:alignment wrapText="1"/>
    </x:xf>
    <x:xf numFmtId="0" fontId="2" fillId="9" borderId="28" xfId="0" applyNumberFormat="1" applyFont="1" applyFill="1" applyBorder="1" applyAlignment="1">
      <x:alignment horizontal="center" wrapText="1"/>
    </x:xf>
    <x:xf numFmtId="0" fontId="2" fillId="10" borderId="28" xfId="0" applyNumberFormat="1" applyFont="1" applyFill="1" applyBorder="1" applyAlignment="1">
      <x:alignment horizontal="center" wrapText="1"/>
    </x:xf>
    <x:xf numFmtId="0" fontId="2" fillId="11" borderId="28" xfId="0" applyNumberFormat="1" applyFont="1" applyFill="1" applyBorder="1" applyAlignment="1">
      <x:alignment horizontal="center" wrapText="1"/>
    </x:xf>
    <x:xf numFmtId="0" fontId="2" fillId="12" borderId="28" xfId="0" applyNumberFormat="1" applyFont="1" applyFill="1" applyBorder="1" applyAlignment="1">
      <x:alignment horizontal="center" wrapText="1"/>
    </x:xf>
    <x:xf numFmtId="0" fontId="2" fillId="17" borderId="28" xfId="0" applyNumberFormat="1" applyFont="1" applyFill="1" applyBorder="1" applyAlignment="1">
      <x:alignment wrapText="1"/>
    </x:xf>
    <x:xf numFmtId="164" fontId="2" fillId="17" borderId="28" xfId="0" applyNumberFormat="1" applyFont="1" applyFill="1" applyBorder="1" applyAlignment="1">
      <x:alignment wrapText="1"/>
    </x:xf>
    <x:xf numFmtId="2" fontId="2" fillId="17" borderId="28" xfId="0" applyNumberFormat="1" applyFont="1" applyFill="1" applyBorder="1" applyAlignment="1">
      <x:alignment wrapText="1"/>
    </x:xf>
    <x:xf numFmtId="2" fontId="2" fillId="17" borderId="28" xfId="0" applyNumberFormat="1" applyFont="1" applyFill="1" applyBorder="1" applyAlignment="1">
      <x:alignment horizontal="center" vertical="center" wrapText="1"/>
    </x:xf>
    <x:xf numFmtId="2" fontId="3" fillId="16" borderId="28" xfId="0" applyNumberFormat="1" applyFont="1" applyFill="1" applyBorder="1" applyAlignment="1">
      <x:alignment wrapText="1"/>
    </x:xf>
    <x:xf numFmtId="9" fontId="3" fillId="0" borderId="28" xfId="0" applyNumberFormat="1" applyFont="1" applyFill="1" applyBorder="1" applyAlignment="1">
      <x:alignment wrapText="1"/>
    </x:xf>
    <x:xf numFmtId="9" fontId="2" fillId="17" borderId="28" xfId="0" applyNumberFormat="1" applyFont="1" applyFill="1" applyBorder="1" applyAlignment="1">
      <x:alignment wrapText="1"/>
    </x:xf>
    <x:xf numFmtId="0" fontId="2" fillId="7" borderId="28" xfId="0" applyNumberFormat="1" applyFont="1" applyFill="1" applyBorder="1" applyAlignment="1">
      <x:alignment wrapText="1"/>
    </x:xf>
    <x:xf numFmtId="0" fontId="2" fillId="8" borderId="28" xfId="0" applyNumberFormat="1" applyFont="1" applyFill="1" applyBorder="1" applyAlignment="1">
      <x:alignment wrapText="1"/>
    </x:xf>
    <x:xf numFmtId="0" fontId="2" fillId="9" borderId="28" xfId="0" applyNumberFormat="1" applyFont="1" applyFill="1" applyBorder="1" applyAlignment="1">
      <x:alignment wrapText="1"/>
    </x:xf>
    <x:xf numFmtId="0" fontId="2" fillId="10" borderId="28" xfId="0" applyNumberFormat="1" applyFont="1" applyFill="1" applyBorder="1" applyAlignment="1">
      <x:alignment wrapText="1"/>
    </x:xf>
    <x:xf numFmtId="0" fontId="2" fillId="11" borderId="28" xfId="0" applyNumberFormat="1" applyFont="1" applyFill="1" applyBorder="1" applyAlignment="1">
      <x:alignment wrapText="1"/>
    </x:xf>
    <x:xf numFmtId="0" fontId="2" fillId="12" borderId="28" xfId="0" applyNumberFormat="1" applyFont="1" applyFill="1" applyBorder="1" applyAlignment="1">
      <x:alignment wrapText="1"/>
    </x:xf>
    <x:xf numFmtId="0" fontId="5" fillId="20" borderId="28" xfId="0" applyNumberFormat="1" applyFont="1" applyFill="1" applyBorder="1" applyAlignment="1">
      <x:alignment horizontal="center" vertical="center" wrapText="1"/>
    </x:xf>
    <x:xf numFmtId="0" fontId="2" fillId="20" borderId="28" xfId="0" applyNumberFormat="1" applyFont="1" applyFill="1" applyBorder="1" applyAlignment="1">
      <x:alignment horizontal="center" vertical="center" wrapText="1"/>
    </x:xf>
    <x:xf numFmtId="0" fontId="4" fillId="20" borderId="28" xfId="0" applyNumberFormat="1" applyFont="1" applyFill="1" applyBorder="1"/>
    <x:xf numFmtId="0" fontId="12" fillId="23" borderId="28" xfId="0" applyNumberFormat="1" applyFont="1" applyFill="1" applyBorder="1" applyAlignment="1">
      <x:alignment vertical="center" wrapText="1"/>
    </x:xf>
    <x:xf numFmtId="0" fontId="5" fillId="15" borderId="28" xfId="0" applyNumberFormat="1" applyFont="1" applyFill="1" applyBorder="1" applyAlignment="1">
      <x:alignment vertical="top" wrapText="1"/>
    </x:xf>
    <x:xf numFmtId="0" fontId="14" fillId="20" borderId="28" xfId="0" applyNumberFormat="1" applyFont="1" applyFill="1" applyBorder="1" applyAlignment="1">
      <x:alignment wrapText="1"/>
    </x:xf>
    <x:xf numFmtId="0" fontId="14" fillId="20" borderId="28" xfId="0" applyNumberFormat="1" applyFont="1" applyFill="1" applyBorder="1"/>
    <x:xf numFmtId="0" fontId="2" fillId="17" borderId="28" xfId="0" applyNumberFormat="1" applyFont="1" applyFill="1" applyBorder="1" applyAlignment="1">
      <x:alignment vertical="center" wrapText="1"/>
    </x:xf>
    <x:xf numFmtId="164" fontId="3" fillId="28" borderId="28" xfId="0" applyNumberFormat="1" applyFont="1" applyFill="1" applyBorder="1" applyAlignment="1">
      <x:alignment wrapText="1"/>
    </x:xf>
    <x:xf numFmtId="1" fontId="3" fillId="28" borderId="28" xfId="0" applyNumberFormat="1" applyFont="1" applyFill="1" applyBorder="1" applyAlignment="1">
      <x:alignment wrapText="1"/>
    </x:xf>
    <x:xf numFmtId="2" fontId="3" fillId="28" borderId="28" xfId="0" applyNumberFormat="1" applyFont="1" applyFill="1" applyBorder="1" applyAlignment="1">
      <x:alignment wrapText="1"/>
    </x:xf>
    <x:xf numFmtId="9" fontId="3" fillId="28" borderId="28" xfId="0" applyNumberFormat="1" applyFont="1" applyFill="1" applyBorder="1" applyAlignment="1">
      <x:alignment wrapText="1"/>
    </x:xf>
    <x:xf numFmtId="0" fontId="3" fillId="28" borderId="28" xfId="0" applyNumberFormat="1" applyFont="1" applyFill="1" applyBorder="1" applyAlignment="1">
      <x:alignment wrapText="1"/>
    </x:xf>
    <x:xf numFmtId="0" fontId="4" fillId="20" borderId="28" xfId="0" applyNumberFormat="1" applyFont="1" applyFill="1" applyBorder="1" applyAlignment="1">
      <x:alignment horizontal="center"/>
    </x:xf>
    <x:xf numFmtId="0" fontId="4" fillId="20" borderId="28" xfId="0" applyNumberFormat="1" applyFont="1" applyFill="1" applyBorder="1" applyAlignment="1">
      <x:alignment vertical="top" wrapText="1"/>
    </x:xf>
    <x:xf numFmtId="164" fontId="0" fillId="28" borderId="28" xfId="0" applyNumberFormat="1" applyFont="1" applyFill="1" applyBorder="1"/>
    <x:xf numFmtId="0" fontId="0" fillId="28" borderId="28" xfId="0" applyNumberFormat="1" applyFont="1" applyFill="1" applyBorder="1"/>
    <x:xf numFmtId="2" fontId="0" fillId="28" borderId="28" xfId="0" applyNumberFormat="1" applyFont="1" applyFill="1" applyBorder="1"/>
    <x:xf numFmtId="9" fontId="0" fillId="28" borderId="28" xfId="0" applyNumberFormat="1" applyFont="1" applyFill="1" applyBorder="1"/>
    <x:xf numFmtId="9" fontId="0" fillId="0" borderId="28" xfId="0" applyNumberFormat="1" applyFont="1" applyFill="1" applyBorder="1" applyAlignment="1">
      <x:alignment wrapText="1"/>
    </x:xf>
    <x:xf numFmtId="166" fontId="5" fillId="29" borderId="28" xfId="0" applyNumberFormat="1" applyFont="1" applyFill="1" applyBorder="1" applyAlignment="1">
      <x:alignment horizontal="center" vertical="center" wrapText="1"/>
    </x:xf>
    <x:xf numFmtId="0" fontId="2" fillId="29" borderId="28" xfId="0" applyNumberFormat="1" applyFont="1" applyFill="1" applyBorder="1" applyAlignment="1">
      <x:alignment horizontal="center" vertical="center" wrapText="1"/>
    </x:xf>
    <x:xf numFmtId="0" fontId="3" fillId="29" borderId="28" xfId="0" applyNumberFormat="1" applyFont="1" applyFill="1" applyBorder="1" applyAlignment="1">
      <x:alignment horizontal="center" vertical="top" wrapText="1"/>
    </x:xf>
    <x:xf numFmtId="0" fontId="2" fillId="29" borderId="28" xfId="0" applyNumberFormat="1" applyFont="1" applyFill="1" applyBorder="1" applyAlignment="1">
      <x:alignment horizontal="center" vertical="top" wrapText="1"/>
    </x:xf>
    <x:xf numFmtId="0" fontId="9" fillId="17" borderId="28" xfId="0" applyNumberFormat="1" applyFont="1" applyFill="1" applyBorder="1" applyAlignment="1">
      <x:alignment horizontal="center" vertical="top" wrapText="1"/>
    </x:xf>
    <x:xf numFmtId="0" fontId="15" fillId="29" borderId="28" xfId="0" applyNumberFormat="1" applyFont="1" applyFill="1" applyBorder="1"/>
    <x:xf numFmtId="0" fontId="0" fillId="0" borderId="28" xfId="0" applyNumberFormat="1" applyFont="1" applyFill="1" applyBorder="1" applyAlignment="1">
      <x:alignment horizontal="center" vertical="top" wrapText="1"/>
    </x:xf>
    <x:xf numFmtId="1" fontId="0" fillId="0" borderId="28" xfId="0" applyNumberFormat="1" applyFont="1" applyFill="1" applyBorder="1" applyAlignment="1">
      <x:alignment vertical="top" wrapText="1"/>
    </x:xf>
    <x:xf numFmtId="0" fontId="9" fillId="30" borderId="29" xfId="0" applyNumberFormat="1" applyFont="1" applyFill="1" applyBorder="1" applyAlignment="1">
      <x:alignment horizontal="center" vertical="center" wrapText="1"/>
    </x:xf>
    <x:xf numFmtId="0" fontId="9" fillId="30" borderId="30" xfId="0" applyNumberFormat="1" applyFont="1" applyFill="1" applyBorder="1" applyAlignment="1">
      <x:alignment horizontal="center" vertical="center" wrapText="1"/>
    </x:xf>
    <x:xf numFmtId="0" fontId="9" fillId="30" borderId="31" xfId="0" applyNumberFormat="1" applyFont="1" applyFill="1" applyBorder="1" applyAlignment="1">
      <x:alignment horizontal="center" vertical="center"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0" borderId="36"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21" fillId="33" borderId="40" xfId="0" applyNumberFormat="1" applyFont="1" applyFill="1" applyBorder="1" applyAlignment="1">
      <x:alignment vertical="top" wrapText="1"/>
    </x:xf>
    <x:xf numFmtId="0" fontId="22" fillId="0" borderId="40" xfId="0" applyNumberFormat="1" applyFont="1" applyFill="1" applyBorder="1" applyAlignment="1">
      <x:alignment vertical="top" wrapText="1"/>
    </x:xf>
    <x:xf numFmtId="0" fontId="21" fillId="33" borderId="41" xfId="0" applyNumberFormat="1" applyFont="1" applyFill="1" applyBorder="1" applyAlignment="1">
      <x:alignment vertical="top" wrapText="1"/>
    </x:xf>
    <x:xf numFmtId="0" fontId="21" fillId="33" borderId="42" xfId="0" applyNumberFormat="1" applyFont="1" applyFill="1" applyBorder="1" applyAlignment="1">
      <x:alignment vertical="top" wrapText="1"/>
    </x:xf>
    <x:xf numFmtId="0" fontId="22" fillId="0" borderId="41" xfId="0" applyNumberFormat="1" applyFont="1" applyFill="1" applyBorder="1" applyAlignment="1">
      <x:alignment vertical="top" wrapText="1"/>
    </x:xf>
    <x:xf numFmtId="0" fontId="22" fillId="0" borderId="42" xfId="0" applyNumberFormat="1" applyFont="1" applyFill="1" applyBorder="1" applyAlignment="1">
      <x:alignment vertical="top" wrapText="1"/>
    </x:xf>
    <x:xf numFmtId="164" fontId="0" fillId="0" borderId="33" xfId="0" applyNumberFormat="1" applyFont="1" applyFill="1" applyBorder="1" applyAlignment="1">
      <x:alignment vertical="top" wrapText="1"/>
    </x:xf>
    <x:xf numFmtId="164" fontId="0" fillId="0" borderId="3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164" fontId="0" fillId="0" borderId="30"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18" fillId="33" borderId="40" xfId="0" applyNumberFormat="1" applyFont="1" applyFill="1" applyBorder="1" applyAlignment="1">
      <x:alignment vertical="top" wrapText="1"/>
    </x:xf>
    <x:xf numFmtId="0" fontId="19" fillId="0" borderId="40" xfId="0" applyNumberFormat="1" applyFont="1" applyFill="1" applyBorder="1" applyAlignment="1">
      <x:alignment vertical="top" wrapText="1"/>
    </x:xf>
    <x:xf numFmtId="0" fontId="1" fillId="17" borderId="28" xfId="0" applyNumberFormat="1" applyFont="1" applyFill="1" applyBorder="1" applyAlignment="1">
      <x:alignment horizontal="left" vertical="center"/>
    </x:xf>
    <x:xf numFmtId="0" fontId="12" fillId="23" borderId="28" xfId="0" applyNumberFormat="1" applyFont="1" applyFill="1" applyBorder="1" applyAlignment="1">
      <x:alignment vertical="center"/>
    </x:xf>
    <x:xf numFmtId="164" fontId="3" fillId="4" borderId="28" xfId="0" applyNumberFormat="1" applyFont="1" applyFill="1" applyBorder="1" applyAlignment="1">
      <x:alignment wrapText="1"/>
    </x:xf>
    <x:xf numFmtId="0" fontId="4" fillId="18" borderId="28" xfId="0" applyNumberFormat="1" applyFont="1" applyFill="1" applyBorder="1" applyAlignment="1">
      <x:alignment vertical="center" wrapText="1"/>
    </x:xf>
    <x:xf numFmtId="0" fontId="20" fillId="31" borderId="28" xfId="0" applyNumberFormat="1" applyFont="1" applyFill="1" applyBorder="1" applyAlignment="1">
      <x:alignment horizontal="left" vertical="center" wrapText="1"/>
    </x:xf>
    <x:xf numFmtId="0" fontId="10" fillId="18" borderId="28" xfId="0" applyNumberFormat="1" applyFont="1" applyFill="1" applyBorder="1" applyAlignment="1">
      <x:alignment wrapText="1"/>
    </x:xf>
    <x:xf numFmtId="0" fontId="11" fillId="18" borderId="28" xfId="0" applyNumberFormat="1" applyFont="1" applyFill="1" applyBorder="1" applyAlignment="1">
      <x:alignment wrapText="1"/>
    </x:xf>
    <x:xf numFmtId="0" fontId="16" fillId="29" borderId="28" xfId="0" applyNumberFormat="1" applyFont="1" applyFill="1" applyBorder="1" applyAlignment="1">
      <x:alignment wrapText="1"/>
    </x:xf>
    <x:xf numFmtId="0" fontId="11" fillId="19" borderId="28" xfId="0" applyNumberFormat="1" applyFont="1" applyFill="1" applyBorder="1" applyAlignment="1">
      <x:alignment wrapText="1"/>
    </x:xf>
    <x:xf numFmtId="0" fontId="4" fillId="18" borderId="28" xfId="0" applyNumberFormat="1" applyFont="1" applyFill="1" applyBorder="1" applyAlignment="1">
      <x:alignment vertical="top" wrapText="1"/>
    </x:xf>
    <x:xf numFmtId="0" fontId="7" fillId="17" borderId="28" xfId="0" applyNumberFormat="1" applyFont="1" applyFill="1" applyBorder="1" applyAlignment="1">
      <x:alignment horizontal="left" vertical="center" wrapText="1"/>
    </x:xf>
    <x:xf numFmtId="0" fontId="8" fillId="18" borderId="28" xfId="0" applyNumberFormat="1" applyFont="1" applyFill="1" applyBorder="1" applyAlignment="1">
      <x:alignment wrapText="1"/>
    </x:xf>
    <x:xf numFmtId="0" fontId="7" fillId="17" borderId="28" xfId="0" applyNumberFormat="1" applyFont="1" applyFill="1" applyBorder="1" applyAlignment="1">
      <x:alignment horizontal="left" vertical="center"/>
    </x:xf>
    <x:xf numFmtId="0" fontId="8" fillId="19" borderId="28" xfId="0" applyNumberFormat="1" applyFont="1" applyFill="1" applyBorder="1" applyAlignment="1">
      <x:alignment wrapText="1"/>
    </x:xf>
    <x:xf numFmtId="0" fontId="13" fillId="23" borderId="28" xfId="0" applyNumberFormat="1" applyFont="1" applyFill="1" applyBorder="1" applyAlignment="1">
      <x:alignment vertical="center"/>
    </x:xf>
    <x:xf numFmtId="0" fontId="9" fillId="32" borderId="28" xfId="0" applyNumberFormat="1" applyFont="1" applyFill="1" applyBorder="1" applyAlignment="1">
      <x:alignment horizontal="left" vertical="center"/>
    </x:xf>
    <x:xf numFmtId="0" fontId="18" fillId="33" borderId="29" xfId="0" applyNumberFormat="1" applyFont="1" applyFill="1" applyBorder="1" applyAlignment="1">
      <x:alignment vertical="top" wrapText="1"/>
    </x:xf>
    <x:xf numFmtId="0" fontId="18" fillId="33" borderId="31" xfId="0" applyNumberFormat="1" applyFont="1" applyFill="1" applyBorder="1" applyAlignment="1">
      <x:alignment vertical="top" wrapText="1"/>
    </x:xf>
    <x:xf numFmtId="0" fontId="19" fillId="0" borderId="29" xfId="0" applyNumberFormat="1" applyFont="1" applyFill="1" applyBorder="1" applyAlignment="1">
      <x:alignment vertical="top" wrapText="1"/>
    </x:xf>
    <x:xf numFmtId="0" fontId="19" fillId="0" borderId="30" xfId="0" applyNumberFormat="1" applyFont="1" applyFill="1" applyBorder="1" applyAlignment="1">
      <x:alignment vertical="top" wrapText="1"/>
    </x:xf>
    <x:xf numFmtId="0" fontId="19" fillId="0" borderId="31" xfId="0" applyNumberFormat="1" applyFont="1" applyFill="1" applyBorder="1" applyAlignment="1">
      <x:alignment vertical="top" wrapText="1"/>
    </x:xf>
    <x:xf numFmtId="0" fontId="17" fillId="31" borderId="28" xfId="0" applyNumberFormat="1" applyFont="1" applyFill="1" applyBorder="1" applyAlignment="1">
      <x:alignment horizontal="left" vertical="center" wrapText="1"/>
    </x:xf>
    <x:xf numFmtId="0" fontId="0" fillId="28" borderId="28" xfId="0" applyNumberFormat="1" applyFont="1" applyFill="1" applyBorder="1" applyAlignment="1">
      <x:alignment vertical="center" wrapText="1"/>
    </x:xf>
    <x:xf numFmtId="0" fontId="14" fillId="28" borderId="28" xfId="0" applyNumberFormat="1" applyFont="1" applyFill="1" applyBorder="1" applyAlignment="1">
      <x:alignment vertical="center" wrapText="1"/>
    </x:xf>
    <x:xf numFmtId="0" fontId="7" fillId="30" borderId="28" xfId="0" applyNumberFormat="1" applyFont="1" applyFill="1" applyBorder="1" applyAlignment="1">
      <x:alignment horizontal="left" vertical="center" wrapText="1"/>
    </x:xf>
    <x:xf numFmtId="200" fontId="0" fillId="0" borderId="0" xfId="0" applyNumberFormat="1" applyFont="1" applyFill="1" applyBorder="1" applyAlignment="1">
      <x:alignment vertical="top" wrapText="1"/>
    </x:xf>
    <x:xf numFmtId="200" fontId="0" fillId="0" borderId="28"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 fontId="0" fillId="0"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164" fontId="3" fillId="0" borderId="0" xfId="0" applyNumberFormat="1" applyFont="1" applyFill="1" applyBorder="1" applyAlignment="1">
      <x:alignment horizontal="center" vertical="top" wrapText="1"/>
    </x:xf>
    <x:xf numFmtId="9" fontId="3" fillId="0" borderId="0" xfId="0" applyNumberFormat="1" applyFont="1" applyFill="1" applyBorder="1" applyAlignment="1">
      <x:alignment horizontal="center" vertical="top" wrapText="1"/>
    </x:xf>
    <x:xf numFmtId="2" fontId="3" fillId="0" borderId="0" xfId="0" applyNumberFormat="1" applyFont="1" applyFill="1" applyBorder="1" applyAlignment="1">
      <x:alignment horizontal="center" vertical="top" wrapText="1"/>
    </x:xf>
    <x:xf numFmtId="0" fontId="3"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164" fontId="3" fillId="22" borderId="0" xfId="0" applyNumberFormat="1" applyFont="1" applyFill="1" applyBorder="1" applyAlignment="1">
      <x:alignment horizontal="center" vertical="top" wrapText="1"/>
    </x:xf>
    <x:xf numFmtId="9" fontId="3" fillId="22" borderId="0" xfId="0" applyNumberFormat="1" applyFont="1" applyFill="1" applyBorder="1" applyAlignment="1">
      <x:alignment horizontal="center" vertical="top" wrapText="1"/>
    </x:xf>
    <x:xf numFmtId="2" fontId="3" fillId="22" borderId="0" xfId="0" applyNumberFormat="1" applyFont="1" applyFill="1" applyBorder="1" applyAlignment="1">
      <x:alignment horizontal="center" vertical="top" wrapText="1"/>
    </x:xf>
    <x:xf numFmtId="0" fontId="3" fillId="22" borderId="0" xfId="0" applyNumberFormat="1" applyFont="1" applyFill="1" applyBorder="1" applyAlignment="1">
      <x:alignment horizontal="center" vertical="top" wrapText="1"/>
    </x:xf>
    <x:xf numFmtId="0" fontId="3" fillId="22" borderId="0" xfId="0" applyNumberFormat="1" applyFont="1" applyFill="1" applyBorder="1" applyAlignment="1">
      <x:alignment vertical="top" wrapText="1"/>
    </x:xf>
    <x:xf numFmtId="0" fontId="2" fillId="22" borderId="0" xfId="0" applyNumberFormat="1" applyFont="1" applyFill="1" applyBorder="1" applyAlignment="1">
      <x:alignment horizontal="center" vertical="top" wrapText="1"/>
    </x:xf>
    <x:xf numFmtId="200" fontId="0" fillId="0" borderId="0" xfId="0" applyNumberFormat="1" applyFont="1" applyFill="1" applyBorder="1" applyAlignment="1">
      <x:alignment wrapText="1"/>
    </x:xf>
    <x:xf numFmtId="200" fontId="0" fillId="0" borderId="28" xfId="0" applyNumberFormat="1" applyFont="1" applyFill="1" applyBorder="1" applyAlignment="1">
      <x:alignment wrapText="1"/>
    </x:xf>
    <x:xf numFmtId="0" fontId="0"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14" fillId="20" borderId="0" xfId="0" applyNumberFormat="1" applyFont="1" applyFill="1" applyBorder="1" applyAlignment="1">
      <x:alignment wrapText="1"/>
    </x:xf>
    <x:xf numFmtId="0" fontId="18" fillId="33" borderId="25" xfId="0" applyNumberFormat="1" applyFont="1" applyFill="1" applyBorder="1" applyAlignment="1">
      <x:alignment vertical="top" wrapText="1"/>
    </x:xf>
    <x:xf numFmtId="0" fontId="19" fillId="0" borderId="25" xfId="0" applyNumberFormat="1" applyFont="1" applyFill="1" applyBorder="1" applyAlignment="1">
      <x:alignment vertical="top" wrapText="1"/>
    </x:xf>
    <x:xf numFmtId="0" fontId="0" fillId="0" borderId="0" xfId="0" applyNumberFormat="1" applyFont="1" applyFill="1" applyBorder="1"/>
    <x:xf numFmtId="0" fontId="3" fillId="0" borderId="0" xfId="0" applyNumberFormat="1" applyFont="1" applyFill="1" applyBorder="1"/>
    <x:xf numFmtId="0" fontId="2" fillId="3" borderId="0" xfId="0" applyNumberFormat="1" applyFont="1" applyFill="1" applyBorder="1" applyAlignment="1">
      <x:alignment vertical="center"/>
    </x:xf>
    <x:xf numFmtId="0" fontId="2" fillId="6" borderId="0" xfId="0" applyNumberFormat="1" applyFont="1" applyFill="1" applyBorder="1" applyAlignment="1">
      <x:alignment horizontal="center" vertical="center" wrapText="1"/>
    </x:xf>
    <x:xf numFmtId="164" fontId="3" fillId="0" borderId="0" xfId="0" applyNumberFormat="1" applyFont="1" applyFill="1" applyBorder="1" applyAlignment="1">
      <x:alignment vertical="top" wrapText="1"/>
    </x:xf>
    <x:xf numFmtId="0" fontId="2" fillId="7" borderId="0" xfId="0" applyNumberFormat="1" applyFont="1" applyFill="1" applyBorder="1" applyAlignment="1">
      <x:alignment horizontal="center"/>
    </x:xf>
    <x:xf numFmtId="0" fontId="3" fillId="4" borderId="0" xfId="0" applyNumberFormat="1" applyFont="1" applyFill="1" applyBorder="1"/>
    <x:xf numFmtId="0" fontId="2" fillId="10" borderId="0" xfId="0" applyNumberFormat="1" applyFont="1" applyFill="1" applyBorder="1" applyAlignment="1">
      <x:alignment vertical="top" wrapText="1"/>
    </x:xf>
    <x:xf numFmtId="0" fontId="2"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2" fillId="12" borderId="0" xfId="0" applyNumberFormat="1" applyFont="1" applyFill="1" applyBorder="1" applyAlignment="1">
      <x:alignment horizontal="center"/>
    </x:xf>
    <x:xf numFmtId="0" fontId="2" fillId="13" borderId="0" xfId="0" applyNumberFormat="1" applyFont="1" applyFill="1" applyBorder="1" applyAlignment="1">
      <x:alignment vertical="top" wrapText="1"/>
    </x:xf>
    <x:xf numFmtId="0" fontId="2" fillId="13" borderId="0" xfId="0" applyNumberFormat="1" applyFont="1" applyFill="1" applyBorder="1" applyAlignment="1">
      <x:alignment horizontal="center"/>
    </x:xf>
    <x:xf numFmtId="0" fontId="2" fillId="14" borderId="0" xfId="0" applyNumberFormat="1" applyFont="1" applyFill="1" applyBorder="1" applyAlignment="1">
      <x:alignment vertical="top" wrapText="1"/>
    </x:xf>
    <x:xf numFmtId="0" fontId="2" fillId="14" borderId="0" xfId="0" applyNumberFormat="1" applyFont="1" applyFill="1" applyBorder="1" applyAlignment="1">
      <x:alignment horizontal="center"/>
    </x:xf>
    <x:xf numFmtId="0" fontId="2" fillId="2" borderId="0" xfId="0" applyNumberFormat="1" applyFont="1" applyFill="1" applyBorder="1"/>
    <x:xf numFmtId="9" fontId="2" fillId="2" borderId="0" xfId="0" applyNumberFormat="1" applyFont="1" applyFill="1" applyBorder="1"/>
    <x:xf numFmtId="166" fontId="5" fillId="5" borderId="0" xfId="0" applyNumberFormat="1" applyFont="1" applyFill="1" applyBorder="1" applyAlignment="1">
      <x:alignment horizontal="center" vertical="center" wrapText="1"/>
    </x:xf>
    <x:xf numFmtId="0" fontId="3" fillId="0" borderId="0" xfId="0" applyNumberFormat="1" applyFont="1" applyFill="1" applyBorder="1" applyAlignment="1">
      <x:alignment horizontal="center"/>
    </x:xf>
    <x:xf numFmtId="0" fontId="2" fillId="7" borderId="0" xfId="0" applyNumberFormat="1" applyFont="1" applyFill="1" applyBorder="1" applyAlignment="1">
      <x:alignment horizontal="center" vertical="center"/>
    </x:xf>
    <x:xf numFmtId="0" fontId="2" fillId="9" borderId="0" xfId="0" applyNumberFormat="1" applyFont="1" applyFill="1" applyBorder="1" applyAlignment="1">
      <x:alignment horizontal="center" vertical="center"/>
    </x:xf>
    <x:xf numFmtId="0" fontId="2" fillId="10" borderId="0" xfId="0" applyNumberFormat="1" applyFont="1" applyFill="1" applyBorder="1" applyAlignment="1">
      <x:alignment horizontal="center" vertical="center"/>
    </x:xf>
    <x:xf numFmtId="0" fontId="2" fillId="11" borderId="0" xfId="0" applyNumberFormat="1" applyFont="1" applyFill="1" applyBorder="1" applyAlignment="1">
      <x:alignment horizontal="center" vertical="center"/>
    </x:xf>
    <x:xf numFmtId="0" fontId="2" fillId="12" borderId="0" xfId="0" applyNumberFormat="1" applyFont="1" applyFill="1" applyBorder="1" applyAlignment="1">
      <x:alignment horizontal="center" vertical="center"/>
    </x:xf>
    <x:xf numFmtId="0" fontId="2" fillId="13" borderId="0" xfId="0" applyNumberFormat="1" applyFont="1" applyFill="1" applyBorder="1" applyAlignment="1">
      <x:alignment horizontal="center" vertical="center"/>
    </x:xf>
    <x:xf numFmtId="0" fontId="2" fillId="14" borderId="0" xfId="0" applyNumberFormat="1" applyFont="1" applyFill="1" applyBorder="1" applyAlignment="1">
      <x:alignment horizontal="center" vertical="center"/>
    </x:xf>
    <x:xf numFmtId="164" fontId="3" fillId="0" borderId="0" xfId="0" applyNumberFormat="1" applyFont="1" applyFill="1" applyBorder="1" applyAlignment="1">
      <x:alignment wrapText="1"/>
    </x:xf>
    <x:xf numFmtId="0" fontId="3" fillId="16" borderId="0" xfId="0" applyNumberFormat="1" applyFont="1" applyFill="1" applyBorder="1" applyAlignment="1">
      <x:alignment wrapText="1"/>
    </x:xf>
    <x:xf numFmtId="164" fontId="3" fillId="16" borderId="0" xfId="0" applyNumberFormat="1" applyFont="1" applyFill="1" applyBorder="1" applyAlignment="1">
      <x:alignment wrapText="1"/>
    </x:xf>
    <x:xf numFmtId="165" fontId="3" fillId="0" borderId="0" xfId="0" applyNumberFormat="1" applyFont="1" applyFill="1" applyBorder="1" applyAlignment="1">
      <x:alignment wrapText="1"/>
    </x:xf>
    <x:xf numFmtId="0" fontId="2" fillId="14" borderId="0" xfId="0" applyNumberFormat="1" applyFont="1" applyFill="1" applyBorder="1" applyAlignment="1">
      <x:alignment wrapText="1"/>
    </x:xf>
    <x:xf numFmtId="0" fontId="6" fillId="0" borderId="0" xfId="0" applyNumberFormat="1" applyFont="1" applyFill="1" applyBorder="1"/>
    <x:xf numFmtId="2" fontId="3" fillId="0"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9" fillId="17" borderId="0" xfId="0" applyNumberFormat="1" applyFont="1" applyFill="1" applyBorder="1"/>
    <x:xf numFmtId="0" fontId="9" fillId="17" borderId="0" xfId="0" applyNumberFormat="1" applyFont="1" applyFill="1" applyBorder="1" applyAlignment="1">
      <x:alignment horizontal="center" vertical="center" wrapText="1"/>
    </x:xf>
    <x:xf numFmtId="164" fontId="0" fillId="0" borderId="0" xfId="0" applyNumberFormat="1" applyFont="1" applyFill="1" applyBorder="1" applyAlignment="1">
      <x:alignment wrapText="1"/>
    </x:xf>
    <x:xf numFmtId="2" fontId="0" fillId="0" borderId="0" xfId="0" applyNumberFormat="1" applyFont="1" applyFill="1" applyBorder="1" applyAlignment="1">
      <x:alignment wrapText="1"/>
    </x:xf>
    <x:xf numFmtId="164" fontId="0" fillId="0" borderId="0" xfId="0" applyNumberFormat="1" applyFont="1" applyFill="1" applyBorder="1" applyAlignment="1">
      <x:alignment vertical="top" wrapText="1"/>
    </x:xf>
    <x:xf numFmtId="0" fontId="2" fillId="17" borderId="0" xfId="0" applyNumberFormat="1" applyFont="1" applyFill="1" applyBorder="1" applyAlignment="1">
      <x:alignment vertical="center"/>
    </x:xf>
    <x:xf numFmtId="164" fontId="2" fillId="17" borderId="0" xfId="0" applyNumberFormat="1" applyFont="1" applyFill="1" applyBorder="1" applyAlignment="1">
      <x:alignment vertical="center"/>
    </x:xf>
    <x:xf numFmtId="0" fontId="2" fillId="17" borderId="0" xfId="0" applyNumberFormat="1" applyFont="1" applyFill="1" applyBorder="1" applyAlignment="1">
      <x:alignment horizontal="center" vertical="center" wrapText="1"/>
    </x:xf>
    <x:xf numFmtId="0" fontId="2" fillId="17" borderId="0" xfId="0" applyNumberFormat="1" applyFont="1" applyFill="1" applyBorder="1" applyAlignment="1">
      <x:alignment vertical="top" wrapText="1"/>
    </x:xf>
    <x:xf numFmtId="0" fontId="2" fillId="17" borderId="0" xfId="0" applyNumberFormat="1" applyFont="1" applyFill="1" applyBorder="1" applyAlignment="1">
      <x:alignment horizontal="center" vertical="top" wrapText="1"/>
    </x:xf>
    <x:xf numFmtId="164" fontId="2" fillId="17" borderId="0" xfId="0" applyNumberFormat="1" applyFont="1" applyFill="1" applyBorder="1" applyAlignment="1">
      <x:alignment horizontal="center" vertical="top" wrapText="1"/>
    </x:xf>
    <x:xf numFmtId="9" fontId="2" fillId="17" borderId="0" xfId="0" applyNumberFormat="1" applyFont="1" applyFill="1" applyBorder="1" applyAlignment="1">
      <x:alignment horizontal="center" vertical="top" wrapText="1"/>
    </x:xf>
    <x:xf numFmtId="167" fontId="3" fillId="0" borderId="0" xfId="0" applyNumberFormat="1" applyFont="1" applyFill="1" applyBorder="1" applyAlignment="1">
      <x:alignment horizontal="center" vertical="top" wrapText="1"/>
    </x:xf>
    <x:xf numFmtId="167" fontId="2" fillId="17" borderId="0" xfId="0" applyNumberFormat="1" applyFont="1" applyFill="1" applyBorder="1" applyAlignment="1">
      <x:alignment horizontal="center" vertical="top" wrapText="1"/>
    </x:xf>
    <x:xf numFmtId="2" fontId="2" fillId="17" borderId="0" xfId="0" applyNumberFormat="1" applyFont="1" applyFill="1" applyBorder="1" applyAlignment="1">
      <x:alignment horizontal="center" vertical="top" wrapText="1"/>
    </x:xf>
    <x:xf numFmtId="0" fontId="2" fillId="8" borderId="0"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2" fillId="21" borderId="0" xfId="0" applyNumberFormat="1" applyFont="1" applyFill="1" applyBorder="1" applyAlignment="1">
      <x:alignment vertical="top" wrapText="1"/>
    </x:xf>
    <x:xf numFmtId="0" fontId="2" fillId="22" borderId="0" xfId="0" applyNumberFormat="1" applyFont="1" applyFill="1" applyBorder="1" applyAlignment="1">
      <x:alignment vertical="top" wrapText="1"/>
    </x:xf>
    <x:xf numFmtId="167" fontId="3" fillId="22" borderId="0" xfId="0" applyNumberFormat="1" applyFont="1" applyFill="1" applyBorder="1" applyAlignment="1">
      <x:alignment horizontal="center" vertical="top" wrapText="1"/>
    </x:xf>
    <x:xf numFmtId="0" fontId="2" fillId="23" borderId="0" xfId="0" applyNumberFormat="1" applyFont="1" applyFill="1" applyBorder="1" applyAlignment="1">
      <x:alignment vertical="top" wrapText="1"/>
    </x:xf>
    <x:xf numFmtId="0" fontId="2" fillId="25" borderId="0" xfId="0" applyNumberFormat="1" applyFont="1" applyFill="1" applyBorder="1" applyAlignment="1">
      <x:alignment vertical="top" wrapText="1"/>
    </x:xf>
    <x:xf numFmtId="0" fontId="2" fillId="26" borderId="0" xfId="0" applyNumberFormat="1" applyFont="1" applyFill="1" applyBorder="1" applyAlignment="1">
      <x:alignment vertical="top" wrapText="1"/>
    </x:xf>
    <x:xf numFmtId="0" fontId="2" fillId="27" borderId="0" xfId="0" applyNumberFormat="1" applyFont="1" applyFill="1" applyBorder="1" applyAlignment="1">
      <x:alignment vertical="top" wrapText="1"/>
    </x:xf>
    <x:xf numFmtId="164" fontId="2" fillId="17" borderId="0" xfId="0" applyNumberFormat="1" applyFont="1" applyFill="1" applyBorder="1" applyAlignment="1">
      <x:alignment vertical="top" wrapText="1"/>
    </x:xf>
    <x:xf numFmtId="165" fontId="2" fillId="17" borderId="0" xfId="0" applyNumberFormat="1" applyFont="1" applyFill="1" applyBorder="1" applyAlignment="1">
      <x:alignment horizontal="center" vertical="center" wrapText="1"/>
    </x:xf>
    <x:xf numFmtId="164" fontId="2" fillId="17" borderId="0" xfId="0" applyNumberFormat="1" applyFont="1" applyFill="1" applyBorder="1" applyAlignment="1">
      <x:alignment horizontal="center" vertical="center" wrapText="1"/>
    </x:xf>
    <x:xf numFmtId="0" fontId="2" fillId="17" borderId="0" xfId="0" applyNumberFormat="1" applyFont="1" applyFill="1" applyBorder="1"/>
    <x:xf numFmtId="2" fontId="3" fillId="0" borderId="0" xfId="0" applyNumberFormat="1" applyFont="1" applyFill="1" applyBorder="1" applyAlignment="1">
      <x:alignment vertical="top" wrapText="1"/>
    </x:xf>
    <x:xf numFmtId="2" fontId="2" fillId="17" borderId="0" xfId="0" applyNumberFormat="1" applyFont="1" applyFill="1" applyBorder="1" applyAlignment="1">
      <x:alignment vertical="top" wrapText="1"/>
    </x:xf>
    <x:xf numFmtId="9" fontId="3" fillId="0" borderId="0" xfId="0" applyNumberFormat="1" applyFont="1" applyFill="1" applyBorder="1" applyAlignment="1">
      <x:alignment vertical="top" wrapText="1"/>
    </x:xf>
    <x:xf numFmtId="9" fontId="2" fillId="17" borderId="0" xfId="0" applyNumberFormat="1" applyFont="1" applyFill="1" applyBorder="1" applyAlignment="1">
      <x:alignment vertical="top" wrapText="1"/>
    </x:xf>
    <x:xf numFmtId="0" fontId="2" fillId="8" borderId="0" xfId="0" applyNumberFormat="1" applyFont="1" applyFill="1" applyBorder="1" applyAlignment="1">
      <x:alignment horizontal="center" wrapText="1"/>
    </x:xf>
    <x:xf numFmtId="0" fontId="3" fillId="4"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10" borderId="0" xfId="0" applyNumberFormat="1" applyFont="1" applyFill="1" applyBorder="1" applyAlignment="1">
      <x:alignment horizontal="center" wrapText="1"/>
    </x:xf>
    <x:xf numFmtId="0" fontId="2" fillId="11" borderId="0" xfId="0" applyNumberFormat="1" applyFont="1" applyFill="1" applyBorder="1" applyAlignment="1">
      <x:alignment horizontal="center" wrapText="1"/>
    </x:xf>
    <x:xf numFmtId="0" fontId="2" fillId="12" borderId="0" xfId="0" applyNumberFormat="1" applyFont="1" applyFill="1" applyBorder="1" applyAlignment="1">
      <x:alignment horizontal="center" wrapText="1"/>
    </x:xf>
    <x:xf numFmtId="0" fontId="2" fillId="17" borderId="0" xfId="0" applyNumberFormat="1" applyFont="1" applyFill="1" applyBorder="1" applyAlignment="1">
      <x:alignment wrapText="1"/>
    </x:xf>
    <x:xf numFmtId="164" fontId="2" fillId="17" borderId="0" xfId="0" applyNumberFormat="1" applyFont="1" applyFill="1" applyBorder="1" applyAlignment="1">
      <x:alignment wrapText="1"/>
    </x:xf>
    <x:xf numFmtId="2" fontId="2" fillId="17" borderId="0" xfId="0" applyNumberFormat="1" applyFont="1" applyFill="1" applyBorder="1" applyAlignment="1">
      <x:alignment wrapText="1"/>
    </x:xf>
    <x:xf numFmtId="2" fontId="2" fillId="17" borderId="0" xfId="0" applyNumberFormat="1" applyFont="1" applyFill="1" applyBorder="1" applyAlignment="1">
      <x:alignment horizontal="center" vertical="center" wrapText="1"/>
    </x:xf>
    <x:xf numFmtId="2" fontId="3" fillId="16" borderId="0" xfId="0" applyNumberFormat="1" applyFont="1" applyFill="1" applyBorder="1" applyAlignment="1">
      <x:alignment wrapText="1"/>
    </x:xf>
    <x:xf numFmtId="9" fontId="3" fillId="0" borderId="0" xfId="0" applyNumberFormat="1" applyFont="1" applyFill="1" applyBorder="1" applyAlignment="1">
      <x:alignment wrapText="1"/>
    </x:xf>
    <x:xf numFmtId="9" fontId="2" fillId="17" borderId="0" xfId="0" applyNumberFormat="1" applyFont="1" applyFill="1" applyBorder="1" applyAlignment="1">
      <x:alignment wrapText="1"/>
    </x:xf>
    <x:xf numFmtId="0" fontId="2" fillId="7"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10" borderId="0" xfId="0" applyNumberFormat="1" applyFont="1" applyFill="1" applyBorder="1" applyAlignment="1">
      <x:alignment wrapText="1"/>
    </x:xf>
    <x:xf numFmtId="0" fontId="2" fillId="11" borderId="0" xfId="0" applyNumberFormat="1" applyFont="1" applyFill="1" applyBorder="1" applyAlignment="1">
      <x:alignment wrapText="1"/>
    </x:xf>
    <x:xf numFmtId="0" fontId="2" fillId="12" borderId="0" xfId="0" applyNumberFormat="1" applyFont="1" applyFill="1" applyBorder="1" applyAlignment="1">
      <x:alignment wrapText="1"/>
    </x:xf>
    <x:xf numFmtId="0" fontId="5" fillId="20" borderId="0" xfId="0" applyNumberFormat="1" applyFont="1" applyFill="1" applyBorder="1" applyAlignment="1">
      <x:alignment horizontal="center" vertical="center" wrapText="1"/>
    </x:xf>
    <x:xf numFmtId="0" fontId="2" fillId="20" borderId="0" xfId="0" applyNumberFormat="1" applyFont="1" applyFill="1" applyBorder="1" applyAlignment="1">
      <x:alignment horizontal="center" vertical="center" wrapText="1"/>
    </x:xf>
    <x:xf numFmtId="0" fontId="4" fillId="20" borderId="0" xfId="0" applyNumberFormat="1" applyFont="1" applyFill="1" applyBorder="1"/>
    <x:xf numFmtId="0" fontId="12" fillId="23" borderId="0" xfId="0" applyNumberFormat="1" applyFont="1" applyFill="1" applyBorder="1" applyAlignment="1">
      <x:alignment vertical="center" wrapText="1"/>
    </x:xf>
    <x:xf numFmtId="0" fontId="5" fillId="15" borderId="0" xfId="0" applyNumberFormat="1" applyFont="1" applyFill="1" applyBorder="1" applyAlignment="1">
      <x:alignment vertical="top" wrapText="1"/>
    </x:xf>
    <x:xf numFmtId="0" fontId="14" fillId="20" borderId="0" xfId="0" applyNumberFormat="1" applyFont="1" applyFill="1" applyBorder="1"/>
    <x:xf numFmtId="0" fontId="2" fillId="17" borderId="0" xfId="0" applyNumberFormat="1" applyFont="1" applyFill="1" applyBorder="1" applyAlignment="1">
      <x:alignment vertical="center" wrapText="1"/>
    </x:xf>
    <x:xf numFmtId="164" fontId="3" fillId="28" borderId="0" xfId="0" applyNumberFormat="1" applyFont="1" applyFill="1" applyBorder="1" applyAlignment="1">
      <x:alignment wrapText="1"/>
    </x:xf>
    <x:xf numFmtId="1" fontId="3" fillId="28" borderId="0" xfId="0" applyNumberFormat="1" applyFont="1" applyFill="1" applyBorder="1" applyAlignment="1">
      <x:alignment wrapText="1"/>
    </x:xf>
    <x:xf numFmtId="2" fontId="3" fillId="28" borderId="0" xfId="0" applyNumberFormat="1" applyFont="1" applyFill="1" applyBorder="1" applyAlignment="1">
      <x:alignment wrapText="1"/>
    </x:xf>
    <x:xf numFmtId="9" fontId="3" fillId="28" borderId="0" xfId="0" applyNumberFormat="1" applyFont="1" applyFill="1" applyBorder="1" applyAlignment="1">
      <x:alignment wrapText="1"/>
    </x:xf>
    <x:xf numFmtId="0" fontId="3" fillId="28" borderId="0" xfId="0" applyNumberFormat="1" applyFont="1" applyFill="1" applyBorder="1" applyAlignment="1">
      <x:alignment wrapText="1"/>
    </x:xf>
    <x:xf numFmtId="0" fontId="4" fillId="20" borderId="0" xfId="0" applyNumberFormat="1" applyFont="1" applyFill="1" applyBorder="1" applyAlignment="1">
      <x:alignment horizontal="center"/>
    </x:xf>
    <x:xf numFmtId="0" fontId="4" fillId="20" borderId="0" xfId="0" applyNumberFormat="1" applyFont="1" applyFill="1" applyBorder="1" applyAlignment="1">
      <x:alignment vertical="top" wrapText="1"/>
    </x:xf>
    <x:xf numFmtId="164" fontId="0" fillId="28" borderId="0" xfId="0" applyNumberFormat="1" applyFont="1" applyFill="1" applyBorder="1"/>
    <x:xf numFmtId="0" fontId="0" fillId="28" borderId="0" xfId="0" applyNumberFormat="1" applyFont="1" applyFill="1" applyBorder="1"/>
    <x:xf numFmtId="2" fontId="0" fillId="28" borderId="0" xfId="0" applyNumberFormat="1" applyFont="1" applyFill="1" applyBorder="1"/>
    <x:xf numFmtId="9" fontId="0" fillId="28" borderId="0" xfId="0" applyNumberFormat="1" applyFont="1" applyFill="1" applyBorder="1"/>
    <x:xf numFmtId="9" fontId="0" fillId="0" borderId="0" xfId="0" applyNumberFormat="1" applyFont="1" applyFill="1" applyBorder="1" applyAlignment="1">
      <x:alignment wrapText="1"/>
    </x:xf>
    <x:xf numFmtId="166" fontId="5" fillId="29" borderId="0" xfId="0" applyNumberFormat="1" applyFont="1" applyFill="1" applyBorder="1" applyAlignment="1">
      <x:alignment horizontal="center" vertical="center" wrapText="1"/>
    </x:xf>
    <x:xf numFmtId="0" fontId="2" fillId="29" borderId="0" xfId="0" applyNumberFormat="1" applyFont="1" applyFill="1" applyBorder="1" applyAlignment="1">
      <x:alignment horizontal="center" vertical="center" wrapText="1"/>
    </x:xf>
    <x:xf numFmtId="0" fontId="3" fillId="29" borderId="0" xfId="0" applyNumberFormat="1" applyFont="1" applyFill="1" applyBorder="1" applyAlignment="1">
      <x:alignment horizontal="center" vertical="top" wrapText="1"/>
    </x:xf>
    <x:xf numFmtId="0" fontId="2" fillId="29" borderId="0" xfId="0" applyNumberFormat="1" applyFont="1" applyFill="1" applyBorder="1" applyAlignment="1">
      <x:alignment horizontal="center" vertical="top" wrapText="1"/>
    </x:xf>
    <x:xf numFmtId="0" fontId="9" fillId="17" borderId="0" xfId="0" applyNumberFormat="1" applyFont="1" applyFill="1" applyBorder="1" applyAlignment="1">
      <x:alignment horizontal="center" vertical="top" wrapText="1"/>
    </x:xf>
    <x:xf numFmtId="0" fontId="15" fillId="29" borderId="0" xfId="0" applyNumberFormat="1" applyFont="1" applyFill="1" applyBorder="1"/>
    <x:xf numFmtId="0" fontId="0" fillId="0" borderId="0" xfId="0" applyNumberFormat="1" applyFont="1" applyFill="1" applyBorder="1" applyAlignment="1">
      <x:alignment horizontal="center" vertical="top" wrapText="1"/>
    </x:xf>
    <x:xf numFmtId="0" fontId="9" fillId="30" borderId="14" xfId="0" applyNumberFormat="1" applyFont="1" applyFill="1" applyBorder="1" applyAlignment="1">
      <x:alignment horizontal="center" vertical="center" wrapText="1"/>
    </x:xf>
    <x:xf numFmtId="0" fontId="9" fillId="30" borderId="16" xfId="0" applyNumberFormat="1" applyFont="1" applyFill="1" applyBorder="1" applyAlignment="1">
      <x:alignment horizontal="center" vertical="center" wrapText="1"/>
    </x:xf>
    <x:xf numFmtId="0" fontId="9" fillId="30" borderId="15" xfId="0" applyNumberFormat="1" applyFont="1" applyFill="1" applyBorder="1" applyAlignment="1">
      <x:alignment horizontal="center" vertical="center"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21" fillId="33" borderId="25" xfId="0" applyNumberFormat="1" applyFont="1" applyFill="1" applyBorder="1" applyAlignment="1">
      <x:alignment vertical="top" wrapText="1"/>
    </x:xf>
    <x:xf numFmtId="0" fontId="22" fillId="0" borderId="25" xfId="0" applyNumberFormat="1" applyFont="1" applyFill="1" applyBorder="1" applyAlignment="1">
      <x:alignment vertical="top" wrapText="1"/>
    </x:xf>
    <x:xf numFmtId="0" fontId="21" fillId="33" borderId="26" xfId="0" applyNumberFormat="1" applyFont="1" applyFill="1" applyBorder="1" applyAlignment="1">
      <x:alignment vertical="top" wrapText="1"/>
    </x:xf>
    <x:xf numFmtId="0" fontId="21" fillId="33" borderId="27" xfId="0" applyNumberFormat="1" applyFont="1" applyFill="1" applyBorder="1" applyAlignment="1">
      <x:alignment vertical="top" wrapText="1"/>
    </x:xf>
    <x:xf numFmtId="0" fontId="22" fillId="0" borderId="26" xfId="0" applyNumberFormat="1" applyFont="1" applyFill="1" applyBorder="1" applyAlignment="1">
      <x:alignment vertical="top" wrapText="1"/>
    </x:xf>
    <x:xf numFmtId="0" fontId="22" fillId="0" borderId="27" xfId="0" applyNumberFormat="1" applyFont="1" applyFill="1" applyBorder="1" applyAlignment="1">
      <x:alignment vertical="top" wrapText="1"/>
    </x:xf>
    <x:xf numFmtId="164" fontId="0" fillId="0" borderId="18" xfId="0" applyNumberFormat="1" applyFont="1" applyFill="1" applyBorder="1" applyAlignment="1">
      <x:alignment vertical="top" wrapText="1"/>
    </x:xf>
    <x:xf numFmtId="164" fontId="0" fillId="0" borderId="2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164" fontId="0" fillId="0" borderId="16"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7" borderId="0" xfId="0" applyNumberFormat="1" applyFont="1" applyFill="1" applyBorder="1" applyAlignment="1">
      <x:alignment horizontal="left" vertical="center"/>
    </x:xf>
    <x:xf numFmtId="0" fontId="12" fillId="23" borderId="0" xfId="0" applyNumberFormat="1" applyFont="1" applyFill="1" applyBorder="1" applyAlignment="1">
      <x:alignment vertical="center"/>
    </x:xf>
    <x:xf numFmtId="164" fontId="3" fillId="4" borderId="0" xfId="0" applyNumberFormat="1" applyFont="1" applyFill="1" applyBorder="1" applyAlignment="1">
      <x:alignment wrapText="1"/>
    </x:xf>
    <x:xf numFmtId="0" fontId="4" fillId="18" borderId="0" xfId="0" applyNumberFormat="1" applyFont="1" applyFill="1" applyBorder="1" applyAlignment="1">
      <x:alignment vertical="center" wrapText="1"/>
    </x:xf>
    <x:xf numFmtId="0" fontId="20" fillId="31" borderId="0" xfId="0" applyNumberFormat="1" applyFont="1" applyFill="1" applyBorder="1" applyAlignment="1">
      <x:alignment horizontal="left" vertical="center" wrapText="1"/>
    </x:xf>
    <x:xf numFmtId="0" fontId="10" fillId="18" borderId="0" xfId="0" applyNumberFormat="1" applyFont="1" applyFill="1" applyBorder="1" applyAlignment="1">
      <x:alignment wrapText="1"/>
    </x:xf>
    <x:xf numFmtId="0" fontId="11" fillId="18" borderId="0" xfId="0" applyNumberFormat="1" applyFont="1" applyFill="1" applyBorder="1" applyAlignment="1">
      <x:alignment wrapText="1"/>
    </x:xf>
    <x:xf numFmtId="0" fontId="16" fillId="29" borderId="0" xfId="0" applyNumberFormat="1" applyFont="1" applyFill="1" applyBorder="1" applyAlignment="1">
      <x:alignment wrapText="1"/>
    </x:xf>
    <x:xf numFmtId="0" fontId="11" fillId="19" borderId="0" xfId="0" applyNumberFormat="1" applyFont="1" applyFill="1" applyBorder="1" applyAlignment="1">
      <x:alignment wrapText="1"/>
    </x:xf>
    <x:xf numFmtId="0" fontId="4" fillId="18" borderId="0" xfId="0" applyNumberFormat="1" applyFont="1" applyFill="1" applyBorder="1" applyAlignment="1">
      <x:alignment vertical="top" wrapText="1"/>
    </x:xf>
    <x:xf numFmtId="0" fontId="7" fillId="17" borderId="0" xfId="0" applyNumberFormat="1" applyFont="1" applyFill="1" applyBorder="1" applyAlignment="1">
      <x:alignment horizontal="left" vertical="center" wrapText="1"/>
    </x:xf>
    <x:xf numFmtId="0" fontId="8" fillId="18" borderId="0" xfId="0" applyNumberFormat="1" applyFont="1" applyFill="1" applyBorder="1" applyAlignment="1">
      <x:alignment wrapText="1"/>
    </x:xf>
    <x:xf numFmtId="0" fontId="7" fillId="17" borderId="0" xfId="0" applyNumberFormat="1" applyFont="1" applyFill="1" applyBorder="1" applyAlignment="1">
      <x:alignment horizontal="left" vertical="center"/>
    </x:xf>
    <x:xf numFmtId="0" fontId="8" fillId="19" borderId="0" xfId="0" applyNumberFormat="1" applyFont="1" applyFill="1" applyBorder="1" applyAlignment="1">
      <x:alignment wrapText="1"/>
    </x:xf>
    <x:xf numFmtId="0" fontId="13" fillId="23" borderId="0" xfId="0" applyNumberFormat="1" applyFont="1" applyFill="1" applyBorder="1" applyAlignment="1">
      <x:alignment vertical="center"/>
    </x:xf>
    <x:xf numFmtId="0" fontId="9" fillId="32" borderId="0" xfId="0" applyNumberFormat="1" applyFont="1" applyFill="1" applyBorder="1" applyAlignment="1">
      <x:alignment horizontal="left" vertical="center"/>
    </x:xf>
    <x:xf numFmtId="0" fontId="18" fillId="33" borderId="14" xfId="0" applyNumberFormat="1" applyFont="1" applyFill="1" applyBorder="1" applyAlignment="1">
      <x:alignment vertical="top" wrapText="1"/>
    </x:xf>
    <x:xf numFmtId="0" fontId="18" fillId="33" borderId="15" xfId="0" applyNumberFormat="1" applyFont="1" applyFill="1" applyBorder="1" applyAlignment="1">
      <x:alignment vertical="top" wrapText="1"/>
    </x:xf>
    <x:xf numFmtId="0" fontId="19" fillId="0" borderId="14" xfId="0" applyNumberFormat="1" applyFont="1" applyFill="1" applyBorder="1" applyAlignment="1">
      <x:alignment vertical="top" wrapText="1"/>
    </x:xf>
    <x:xf numFmtId="0" fontId="19" fillId="0" borderId="16" xfId="0" applyNumberFormat="1" applyFont="1" applyFill="1" applyBorder="1" applyAlignment="1">
      <x:alignment vertical="top" wrapText="1"/>
    </x:xf>
    <x:xf numFmtId="0" fontId="19" fillId="0" borderId="15" xfId="0" applyNumberFormat="1" applyFont="1" applyFill="1" applyBorder="1" applyAlignment="1">
      <x:alignment vertical="top" wrapText="1"/>
    </x:xf>
    <x:xf numFmtId="0" fontId="17" fillId="31" borderId="0" xfId="0" applyNumberFormat="1" applyFont="1" applyFill="1" applyBorder="1" applyAlignment="1">
      <x:alignment horizontal="left" vertical="center" wrapText="1"/>
    </x:xf>
    <x:xf numFmtId="0" fontId="0" fillId="28" borderId="0" xfId="0" applyNumberFormat="1" applyFont="1" applyFill="1" applyBorder="1" applyAlignment="1">
      <x:alignment vertical="center" wrapText="1"/>
    </x:xf>
    <x:xf numFmtId="0" fontId="14" fillId="28" borderId="0" xfId="0" applyNumberFormat="1" applyFont="1" applyFill="1" applyBorder="1" applyAlignment="1">
      <x:alignment vertical="center" wrapText="1"/>
    </x:xf>
    <x:xf numFmtId="0" fontId="7" fillId="30" borderId="0" xfId="0" applyNumberFormat="1" applyFont="1" applyFill="1" applyBorder="1" applyAlignment="1">
      <x:alignment horizontal="left" vertical="center" wrapText="1"/>
    </x:xf>
    <x:xf numFmtId="0" fontId="23" fillId="22" borderId="0" xfId="0" applyNumberFormat="1" applyFont="1" applyFill="1" applyBorder="1" applyAlignment="1">
      <x:alignment vertical="top" wrapText="1"/>
    </x:xf>
    <x:xf numFmtId="0" fontId="24" fillId="22" borderId="0" xfId="0" applyNumberFormat="1" applyFont="1" applyFill="1" applyBorder="1" applyAlignment="1">
      <x:alignment vertical="top" wrapText="1"/>
    </x:xf>
    <x:xf numFmtId="167" fontId="23" fillId="22" borderId="0" xfId="0" applyNumberFormat="1" applyFont="1" applyFill="1" applyBorder="1" applyAlignment="1">
      <x:alignment horizontal="center" vertical="top" wrapText="1"/>
    </x:xf>
    <x:xf numFmtId="0" fontId="23" fillId="22" borderId="0" xfId="0" applyNumberFormat="1" applyFont="1" applyFill="1" applyBorder="1" applyAlignment="1">
      <x:alignment horizontal="center" vertical="top" wrapText="1"/>
    </x:xf>
    <x:xf numFmtId="164" fontId="23" fillId="22" borderId="0" xfId="0" applyNumberFormat="1" applyFont="1" applyFill="1" applyBorder="1" applyAlignment="1">
      <x:alignment horizontal="center" vertical="top" wrapText="1"/>
    </x:xf>
    <x:xf numFmtId="9" fontId="23" fillId="22" borderId="0" xfId="0" applyNumberFormat="1" applyFont="1" applyFill="1" applyBorder="1" applyAlignment="1">
      <x:alignment horizontal="center" vertical="top" wrapText="1"/>
    </x:xf>
    <x:xf numFmtId="2" fontId="23" fillId="22" borderId="0" xfId="0" applyNumberFormat="1" applyFont="1" applyFill="1" applyBorder="1" applyAlignment="1">
      <x:alignment horizontal="center" vertical="top" wrapText="1"/>
    </x:xf>
    <x:xf numFmtId="0" fontId="24" fillId="22" borderId="0" xfId="0" applyNumberFormat="1" applyFont="1" applyFill="1" applyBorder="1" applyAlignment="1">
      <x:alignment horizontal="center" vertical="top" wrapText="1"/>
    </x:xf>
    <x:xf numFmtId="0" fontId="23" fillId="0" borderId="0" xfId="0" applyNumberFormat="1" applyFont="1" applyFill="1" applyBorder="1" applyAlignment="1">
      <x:alignment vertical="top" wrapText="1"/>
    </x:xf>
    <x:xf numFmtId="0" fontId="24" fillId="21" borderId="0" xfId="0" applyNumberFormat="1" applyFont="1" applyFill="1" applyBorder="1" applyAlignment="1">
      <x:alignment vertical="top" wrapText="1"/>
    </x:xf>
    <x:xf numFmtId="167" fontId="23" fillId="0" borderId="0" xfId="0" applyNumberFormat="1" applyFont="1" applyFill="1" applyBorder="1" applyAlignment="1">
      <x:alignment horizontal="center" vertical="top" wrapText="1"/>
    </x:xf>
    <x:xf numFmtId="0" fontId="23" fillId="0" borderId="0" xfId="0" applyNumberFormat="1" applyFont="1" applyFill="1" applyBorder="1" applyAlignment="1">
      <x:alignment horizontal="center" vertical="top" wrapText="1"/>
    </x:xf>
    <x:xf numFmtId="164" fontId="23" fillId="0" borderId="0" xfId="0" applyNumberFormat="1" applyFont="1" applyFill="1" applyBorder="1" applyAlignment="1">
      <x:alignment horizontal="center" vertical="top" wrapText="1"/>
    </x:xf>
    <x:xf numFmtId="9" fontId="23" fillId="0" borderId="0" xfId="0" applyNumberFormat="1" applyFont="1" applyFill="1" applyBorder="1" applyAlignment="1">
      <x:alignment horizontal="center" vertical="top" wrapText="1"/>
    </x:xf>
    <x:xf numFmtId="2" fontId="23" fillId="0" borderId="0" xfId="0" applyNumberFormat="1" applyFont="1" applyFill="1" applyBorder="1" applyAlignment="1">
      <x:alignment horizontal="center" vertical="top" wrapText="1"/>
    </x:xf>
    <x:xf numFmtId="0" fontId="24" fillId="7" borderId="0" xfId="0" applyNumberFormat="1" applyFont="1" applyFill="1" applyBorder="1" applyAlignment="1">
      <x:alignment horizontal="center" vertical="top" wrapText="1"/>
    </x:xf>
    <x:xf numFmtId="0" fontId="24" fillId="23" borderId="0" xfId="0" applyNumberFormat="1" applyFont="1" applyFill="1" applyBorder="1" applyAlignment="1">
      <x:alignment vertical="top" wrapText="1"/>
    </x:xf>
    <x:xf numFmtId="0" fontId="24" fillId="9" borderId="0" xfId="0" applyNumberFormat="1" applyFont="1" applyFill="1" applyBorder="1" applyAlignment="1">
      <x:alignment vertical="top" wrapText="1"/>
    </x:xf>
    <x:xf numFmtId="0" fontId="24" fillId="25" borderId="0" xfId="0" applyNumberFormat="1" applyFont="1" applyFill="1" applyBorder="1" applyAlignment="1">
      <x:alignment vertical="top" wrapText="1"/>
    </x:xf>
    <x:xf numFmtId="0" fontId="24" fillId="26" borderId="0" xfId="0" applyNumberFormat="1" applyFont="1" applyFill="1" applyBorder="1" applyAlignment="1">
      <x:alignment vertical="top" wrapText="1"/>
    </x:xf>
    <x:xf numFmtId="0" fontId="24" fillId="27" borderId="0" xfId="0" applyNumberFormat="1" applyFont="1" applyFill="1" applyBorder="1" applyAlignment="1">
      <x:alignment vertical="top" wrapText="1"/>
    </x:xf>
    <x:xf numFmtId="0" fontId="24" fillId="35" borderId="0" xfId="0" applyNumberFormat="1" applyFont="1" applyFill="1" applyBorder="1" applyAlignment="1">
      <x:alignment vertical="top" wrapText="1"/>
    </x:xf>
    <x:xf numFmtId="0" fontId="24" fillId="36" borderId="0" xfId="0" applyNumberFormat="1" applyFont="1" applyFill="1" applyBorder="1" applyAlignment="1">
      <x:alignment vertical="top" wrapText="1"/>
    </x:xf>
    <x:xf numFmtId="0" fontId="24" fillId="37" borderId="0" xfId="0" applyNumberFormat="1" applyFont="1" applyFill="1" applyBorder="1" applyAlignment="1">
      <x:alignment vertical="top" wrapText="1"/>
    </x:xf>
    <x:xf numFmtId="0" fontId="24" fillId="38" borderId="0" xfId="0" applyNumberFormat="1" applyFont="1" applyFill="1" applyBorder="1" applyAlignment="1">
      <x:alignment vertical="top" wrapText="1"/>
    </x:xf>
    <x:xf numFmtId="0" fontId="24" fillId="39" borderId="0" xfId="0" applyNumberFormat="1" applyFont="1" applyFill="1" applyBorder="1" applyAlignment="1">
      <x:alignment vertical="top" wrapText="1"/>
    </x:xf>
    <x:xf numFmtId="0" fontId="24" fillId="40" borderId="0" xfId="0" applyNumberFormat="1" applyFont="1" applyFill="1" applyBorder="1" applyAlignment="1">
      <x:alignment vertical="top" wrapText="1"/>
    </x:xf>
    <x:xf numFmtId="0" fontId="24" fillId="41" borderId="0" xfId="0" applyNumberFormat="1" applyFont="1" applyFill="1" applyBorder="1" applyAlignment="1">
      <x:alignment horizontal="center" vertical="top" wrapText="1"/>
    </x:xf>
    <x:xf numFmtId="0" fontId="23" fillId="41" borderId="0" xfId="0" applyNumberFormat="1" applyFont="1" applyFill="1" applyBorder="1" applyAlignment="1">
      <x:alignment horizontal="center" vertical="top" wrapText="1"/>
    </x:xf>
    <x:xf numFmtId="0" fontId="24" fillId="4" borderId="0" xfId="0" applyNumberFormat="1" applyFont="1" applyFill="1" applyBorder="1" applyAlignment="1">
      <x:alignment horizontal="center" vertical="top" wrapText="1"/>
    </x:xf>
    <x:xf numFmtId="0" fontId="23" fillId="4" borderId="0" xfId="0" applyNumberFormat="1" applyFont="1" applyFill="1" applyBorder="1" applyAlignment="1">
      <x:alignment horizontal="center" vertical="top" wrapText="1"/>
    </x:xf>
    <x:xf numFmtId="0" fontId="0" fillId="42" borderId="0" xfId="0" applyNumberFormat="1" applyFont="1" applyFill="1" applyBorder="1"/>
    <x:xf numFmtId="0" fontId="14" fillId="42" borderId="0" xfId="0" applyNumberFormat="1" applyFont="1" applyFill="1" applyBorder="1"/>
    <x:xf numFmtId="0" fontId="14" fillId="42" borderId="0" xfId="0" applyNumberFormat="1" applyFont="1" applyFill="1" applyBorder="1" applyAlignment="1">
      <x:alignment wrapText="1"/>
    </x:xf>
    <x:xf numFmtId="0" fontId="14" fillId="42" borderId="0" xfId="0" applyNumberFormat="1" applyFont="1" applyFill="1" applyBorder="1" applyAlignment="1">
      <x:alignment vertical="center" wrapText="1"/>
    </x:xf>
    <x:xf numFmtId="200" fontId="14" fillId="42" borderId="0" xfId="0" applyNumberFormat="1" applyFont="1" applyFill="1" applyBorder="1" applyAlignment="1">
      <x:alignment vertical="center" wrapText="1"/>
    </x:xf>
    <x:xf numFmtId="0" fontId="0" fillId="43" borderId="0" xfId="0" applyNumberFormat="1" applyFont="1" applyFill="1" applyBorder="1"/>
    <x:xf numFmtId="0" fontId="8" fillId="43" borderId="0" xfId="0" applyNumberFormat="1" applyFont="1" applyFill="1" applyBorder="1"/>
    <x:xf numFmtId="0" fontId="8" fillId="43" borderId="0" xfId="0" applyNumberFormat="1" applyFont="1" applyFill="1" applyBorder="1" applyAlignment="1">
      <x:alignment wrapText="1"/>
    </x:xf>
    <x:xf numFmtId="0" fontId="8" fillId="43" borderId="0" xfId="0" applyNumberFormat="1" applyFont="1" applyFill="1" applyBorder="1" applyAlignment="1">
      <x:alignment vertical="center" wrapText="1"/>
    </x:xf>
    <x:xf numFmtId="0" fontId="0" fillId="44" borderId="0" xfId="0" applyNumberFormat="1" applyFont="1" applyFill="1" applyBorder="1"/>
    <x:xf numFmtId="0" fontId="9" fillId="44" borderId="0" xfId="0" applyNumberFormat="1" applyFont="1" applyFill="1" applyBorder="1"/>
    <x:xf numFmtId="0" fontId="9" fillId="44" borderId="0" xfId="0" applyNumberFormat="1" applyFont="1" applyFill="1" applyBorder="1" applyAlignment="1">
      <x:alignment wrapText="1"/>
    </x:xf>
    <x:xf numFmtId="0" fontId="9" fillId="44" borderId="0" xfId="0" applyNumberFormat="1" applyFont="1" applyFill="1" applyBorder="1" applyAlignment="1">
      <x:alignment horizontal="center" wrapText="1"/>
    </x:xf>
    <x:xf numFmtId="0" fontId="9" fillId="44" borderId="0" xfId="0" applyNumberFormat="1" applyFont="1" applyFill="1" applyBorder="1" applyAlignment="1">
      <x:alignment horizontal="center" vertical="center" wrapText="1"/>
    </x:xf>
    <x:xf numFmtId="0" fontId="0" fillId="45" borderId="0" xfId="0" applyNumberFormat="1" applyFont="1" applyFill="1" applyBorder="1"/>
    <x:xf numFmtId="0" fontId="14" fillId="45" borderId="0" xfId="0" applyNumberFormat="1" applyFont="1" applyFill="1" applyBorder="1"/>
    <x:xf numFmtId="200" fontId="14" fillId="45" borderId="0" xfId="0" applyNumberFormat="1" applyFont="1" applyFill="1" applyBorder="1"/>
    <x:xf numFmtId="200" fontId="14" fillId="45" borderId="0" xfId="0" applyNumberFormat="1" applyFont="1" applyFill="1" applyBorder="1" applyAlignment="1">
      <x:alignment horizontal="center"/>
    </x:xf>
    <x:xf numFmtId="201" fontId="0" fillId="0" borderId="0" xfId="0" applyNumberFormat="1" applyFont="1" applyFill="1" applyBorder="1" applyAlignment="1">
      <x:alignment vertical="top" wrapText="1"/>
    </x:xf>
    <x:xf numFmtId="201" fontId="0" fillId="0" borderId="0" xfId="0" applyNumberFormat="1" applyFont="1" applyFill="1" applyBorder="1"/>
    <x:xf numFmtId="202" fontId="0" fillId="0" borderId="0" xfId="0" applyNumberFormat="1" applyFont="1" applyFill="1" applyBorder="1" applyAlignment="1">
      <x:alignment vertical="top" wrapText="1"/>
    </x:xf>
    <x:xf numFmtId="202" fontId="0" fillId="0" borderId="0" xfId="0" applyNumberFormat="1" applyFont="1" applyFill="1" applyBorder="1"/>
    <x:xf numFmtId="0" fontId="0" fillId="46" borderId="0" xfId="0" applyNumberFormat="1" applyFont="1" applyFill="1" applyBorder="1"/>
    <x:xf numFmtId="0" fontId="25" fillId="46" borderId="0" xfId="0" applyNumberFormat="1" applyFont="1" applyFill="1" applyBorder="1"/>
    <x:xf numFmtId="0" fontId="25" fillId="46" borderId="0" xfId="0" applyNumberFormat="1" applyFont="1" applyFill="1" applyBorder="1" applyAlignment="1">
      <x:alignment horizontal="center"/>
    </x:xf>
    <x:xf numFmtId="0" fontId="25" fillId="46" borderId="0" xfId="0" applyNumberFormat="1" applyFont="1" applyFill="1" applyBorder="1" applyAlignment="1">
      <x:alignment horizontal="center" vertical="center"/>
    </x:xf>
    <x:xf numFmtId="0" fontId="0" fillId="47" borderId="0" xfId="0" applyNumberFormat="1" applyFont="1" applyFill="1" applyBorder="1"/>
    <x:xf numFmtId="201" fontId="0" fillId="47" borderId="0" xfId="0" applyNumberFormat="1" applyFont="1" applyFill="1" applyBorder="1"/>
    <x:xf numFmtId="202" fontId="0" fillId="47" borderId="0" xfId="0" applyNumberFormat="1" applyFont="1" applyFill="1" applyBorder="1"/>
    <x:xf numFmtId="0" fontId="9" fillId="47" borderId="0" xfId="0" applyNumberFormat="1" applyFont="1" applyFill="1" applyBorder="1"/>
    <x:xf numFmtId="201" fontId="9" fillId="47" borderId="0" xfId="0" applyNumberFormat="1" applyFont="1" applyFill="1" applyBorder="1"/>
    <x:xf numFmtId="202" fontId="9" fillId="47" borderId="0" xfId="0" applyNumberFormat="1" applyFont="1" applyFill="1" applyBorder="1"/>
    <x:xf numFmtId="0" fontId="9" fillId="47" borderId="0" xfId="0" applyNumberFormat="1" applyFont="1" applyFill="1" applyBorder="1" applyAlignment="1">
      <x:alignment wrapText="1"/>
    </x:xf>
    <x:xf numFmtId="201" fontId="9" fillId="47" borderId="0" xfId="0" applyNumberFormat="1" applyFont="1" applyFill="1" applyBorder="1" applyAlignment="1">
      <x:alignment wrapText="1"/>
    </x:xf>
    <x:xf numFmtId="202" fontId="9" fillId="47" borderId="0" xfId="0" applyNumberFormat="1" applyFont="1" applyFill="1" applyBorder="1" applyAlignment="1">
      <x:alignment wrapText="1"/>
    </x:xf>
    <x:xf numFmtId="0" fontId="9" fillId="47" borderId="0" xfId="0" applyNumberFormat="1" applyFont="1" applyFill="1" applyBorder="1" applyAlignment="1">
      <x:alignment horizontal="left" wrapText="1"/>
    </x:xf>
    <x:xf numFmtId="201" fontId="9" fillId="47" borderId="0" xfId="0" applyNumberFormat="1" applyFont="1" applyFill="1" applyBorder="1" applyAlignment="1">
      <x:alignment horizontal="left" wrapText="1"/>
    </x:xf>
    <x:xf numFmtId="202" fontId="9" fillId="47" borderId="0" xfId="0" applyNumberFormat="1" applyFont="1" applyFill="1" applyBorder="1" applyAlignment="1">
      <x:alignment horizontal="left" wrapText="1"/>
    </x:xf>
    <x:xf numFmtId="0" fontId="9" fillId="47" borderId="0" xfId="0" applyNumberFormat="1" applyFont="1" applyFill="1" applyBorder="1" applyAlignment="1">
      <x:alignment horizontal="left" vertical="center" wrapText="1"/>
    </x:xf>
    <x:xf numFmtId="201" fontId="9" fillId="47" borderId="0" xfId="0" applyNumberFormat="1" applyFont="1" applyFill="1" applyBorder="1" applyAlignment="1">
      <x:alignment horizontal="left" vertical="center" wrapText="1"/>
    </x:xf>
    <x:xf numFmtId="202" fontId="9" fillId="47" borderId="0" xfId="0" applyNumberFormat="1" applyFont="1" applyFill="1" applyBorder="1" applyAlignment="1">
      <x:alignment horizontal="left" vertical="center" wrapText="1"/>
    </x:xf>
    <x:xf numFmtId="0" fontId="9" fillId="44" borderId="0" xfId="0" applyNumberFormat="1" applyFont="1" applyFill="1" applyBorder="1" applyAlignment="1">
      <x:alignment horizontal="center"/>
    </x:xf>
    <x:xf numFmtId="0" fontId="9" fillId="44" borderId="0" xfId="0" applyNumberFormat="1" applyFont="1" applyFill="1" applyBorder="1" applyAlignment="1">
      <x:alignment horizontal="center" vertical="center"/>
    </x:xf>
    <x:xf numFmtId="0" fontId="9" fillId="47" borderId="0" xfId="0" applyNumberFormat="1" applyFont="1" applyFill="1" applyBorder="1" applyAlignment="1">
      <x:alignment vertical="center" wrapText="1"/>
    </x:xf>
    <x:xf numFmtId="0" fontId="9" fillId="44" borderId="0" xfId="0" applyNumberFormat="1" applyFont="1" applyFill="1" applyBorder="1" applyAlignment="1">
      <x:alignment vertical="center" wrapText="1"/>
    </x:xf>
    <x:xf numFmtId="0" fontId="0" fillId="48" borderId="0" xfId="0" applyNumberFormat="1" applyFont="1" applyFill="1" applyBorder="1"/>
    <x:xf numFmtId="0" fontId="0" fillId="48" borderId="0" xfId="0" applyNumberFormat="1" applyFont="1" applyFill="1" applyBorder="1" applyAlignment="1">
      <x:alignment wrapText="1"/>
    </x:xf>
    <x:xf numFmtId="0" fontId="0" fillId="48" borderId="0" xfId="0" applyNumberFormat="1" applyFont="1" applyFill="1" applyBorder="1" applyAlignment="1">
      <x:alignment vertical="center" wrapText="1"/>
    </x:xf>
    <x:xf numFmtId="200" fontId="0" fillId="48" borderId="0" xfId="0" applyNumberFormat="1" applyFont="1" applyFill="1" applyBorder="1" applyAlignment="1">
      <x:alignment vertical="center" wrapText="1"/>
    </x:xf>
    <x:xf numFmtId="201" fontId="0" fillId="48" borderId="0" xfId="0" applyNumberFormat="1" applyFont="1" applyFill="1" applyBorder="1" applyAlignment="1">
      <x:alignment vertical="center" wrapText="1"/>
    </x:xf>
    <x:xf numFmtId="202" fontId="0" fillId="48" borderId="0" xfId="0" applyNumberFormat="1" applyFont="1" applyFill="1" applyBorder="1" applyAlignment="1">
      <x:alignment vertical="center" wrapText="1"/>
    </x:xf>
    <x:xf numFmtId="0" fontId="14" fillId="45" borderId="0" xfId="0" applyNumberFormat="1" applyFont="1" applyFill="1" applyBorder="1" applyAlignment="1">
      <x:alignment wrapText="1"/>
    </x:xf>
    <x:xf numFmtId="0" fontId="14" fillId="45" borderId="0" xfId="0" applyNumberFormat="1" applyFont="1" applyFill="1" applyBorder="1" applyAlignment="1">
      <x:alignment vertical="center" wrapText="1"/>
    </x:xf>
    <x:xf numFmtId="0" fontId="0" fillId="48"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200" fontId="3" fillId="28" borderId="0" xfId="0" applyNumberFormat="1" applyFont="1" applyFill="1" applyBorder="1" applyAlignment="1">
      <x:alignment wrapText="1"/>
    </x:xf>
    <x:xf numFmtId="201" fontId="3" fillId="28" borderId="0" xfId="0" applyNumberFormat="1" applyFont="1" applyFill="1" applyBorder="1" applyAlignment="1">
      <x:alignment wrapText="1"/>
    </x:xf>
    <x:xf numFmtId="202" fontId="3" fillId="28" borderId="0" xfId="0" applyNumberFormat="1" applyFont="1" applyFill="1" applyBorder="1" applyAlignment="1">
      <x:alignment wrapText="1"/>
    </x:xf>
    <x:xf numFmtId="0" fontId="4" fillId="49" borderId="0" xfId="0" applyNumberFormat="1" applyFont="1" applyFill="1" applyBorder="1" applyAlignment="1">
      <x:alignment vertical="center" wrapText="1"/>
    </x:xf>
    <x:xf numFmtId="0" fontId="26" fillId="0" borderId="0" xfId="0" applyNumberFormat="1" applyFont="1" applyFill="1" applyBorder="1" applyAlignment="1">
      <x:alignment wrapText="1"/>
    </x:xf>
    <x:xf numFmtId="0" fontId="3" fillId="43" borderId="0" xfId="0" applyNumberFormat="1" applyFont="1" applyFill="1" applyBorder="1"/>
    <x:xf numFmtId="0" fontId="15" fillId="43" borderId="0" xfId="0" applyNumberFormat="1" applyFont="1" applyFill="1" applyBorder="1"/>
    <x:xf numFmtId="0" fontId="11" fillId="43" borderId="0" xfId="0" applyNumberFormat="1" applyFont="1" applyFill="1" applyBorder="1"/>
    <x:xf numFmtId="0" fontId="16" fillId="43" borderId="0" xfId="0" applyNumberFormat="1" applyFont="1" applyFill="1" applyBorder="1"/>
    <x:xf numFmtId="0" fontId="11" fillId="43" borderId="0" xfId="0" applyNumberFormat="1" applyFont="1" applyFill="1" applyBorder="1" applyAlignment="1">
      <x:alignment wrapText="1"/>
    </x:xf>
    <x:xf numFmtId="0" fontId="16" fillId="43" borderId="0" xfId="0" applyNumberFormat="1" applyFont="1" applyFill="1" applyBorder="1" applyAlignment="1">
      <x:alignment wrapText="1"/>
    </x:xf>
    <x:xf numFmtId="0" fontId="27" fillId="23" borderId="0" xfId="0" applyNumberFormat="1" applyFont="1" applyFill="1" applyBorder="1" applyAlignment="1">
      <x:alignment vertical="center"/>
    </x:xf>
    <x:xf numFmtId="0" fontId="28" fillId="3" borderId="0" xfId="0" applyNumberFormat="1" applyFont="1" applyFill="1" applyBorder="1" applyAlignment="1">
      <x:alignment vertical="center"/>
    </x:xf>
    <x:xf numFmtId="0" fontId="28" fillId="20" borderId="0" xfId="0" applyNumberFormat="1" applyFont="1" applyFill="1" applyBorder="1" applyAlignment="1">
      <x:alignment horizontal="center"/>
    </x:xf>
    <x:xf numFmtId="0" fontId="15" fillId="0" borderId="0" xfId="0" applyNumberFormat="1" applyFont="1" applyFill="1" applyBorder="1" applyAlignment="1">
      <x:alignment vertical="top" wrapText="1"/>
    </x:xf>
    <x:xf numFmtId="0" fontId="27" fillId="23" borderId="0" xfId="0" applyNumberFormat="1" applyFont="1" applyFill="1" applyBorder="1" applyAlignment="1">
      <x:alignment vertical="center" wrapText="1"/>
    </x:xf>
    <x:xf numFmtId="0" fontId="28" fillId="3" borderId="0" xfId="0" applyNumberFormat="1" applyFont="1" applyFill="1" applyBorder="1" applyAlignment="1">
      <x:alignment vertical="center" wrapText="1"/>
    </x:xf>
    <x:xf numFmtId="0" fontId="28" fillId="20" borderId="0" xfId="0" applyNumberFormat="1" applyFont="1" applyFill="1" applyBorder="1" applyAlignment="1">
      <x:alignment horizontal="center" wrapText="1"/>
    </x:xf>
    <x:xf numFmtId="0" fontId="27" fillId="23" borderId="0" xfId="0" applyNumberFormat="1" applyFont="1" applyFill="1" applyBorder="1" applyAlignment="1">
      <x:alignment horizontal="center" vertical="center" wrapText="1"/>
    </x:xf>
    <x:xf numFmtId="0" fontId="27" fillId="23" borderId="0" xfId="0" applyNumberFormat="1" applyFont="1" applyFill="1" applyBorder="1" applyAlignment="1">
      <x:alignment horizontal="center" vertical="top" wrapText="1"/>
    </x:xf>
    <x:xf numFmtId="0" fontId="28" fillId="3" borderId="0" xfId="0" applyNumberFormat="1" applyFont="1" applyFill="1" applyBorder="1" applyAlignment="1">
      <x:alignment vertical="top" wrapText="1"/>
    </x:xf>
    <x:xf numFmtId="0" fontId="28" fillId="20" borderId="0" xfId="0" applyNumberFormat="1" applyFont="1" applyFill="1" applyBorder="1" applyAlignment="1">
      <x:alignment horizontal="center" vertical="top" wrapText="1"/>
    </x:xf>
    <x:xf numFmtId="0" fontId="13" fillId="23" borderId="0" xfId="0" applyNumberFormat="1" applyFont="1" applyFill="1" applyBorder="1" applyAlignment="1">
      <x:alignment vertical="center" wrapText="1"/>
    </x:xf>
    <x:xf numFmtId="0" fontId="9" fillId="32" borderId="0" xfId="0" applyNumberFormat="1" applyFont="1" applyFill="1" applyBorder="1" applyAlignment="1">
      <x:alignment horizontal="left" vertical="center" wrapText="1"/>
    </x:xf>
    <x:xf numFmtId="0" fontId="15" fillId="50" borderId="0" xfId="0" applyNumberFormat="1" applyFont="1" applyFill="1" applyBorder="1" applyAlignment="1">
      <x:alignment vertical="top" wrapText="1"/>
    </x:xf>
    <x:xf numFmtId="0" fontId="23" fillId="50" borderId="0" xfId="0" applyNumberFormat="1" applyFont="1" applyFill="1" applyBorder="1" applyAlignment="1">
      <x:alignment vertical="top" wrapText="1"/>
    </x:xf>
    <x:xf numFmtId="0" fontId="23" fillId="50" borderId="0" xfId="0" applyNumberFormat="1" applyFont="1" applyFill="1" applyBorder="1" applyAlignment="1">
      <x:alignment horizontal="left" vertical="top" wrapText="1"/>
    </x:xf>
    <x:xf numFmtId="0" fontId="28" fillId="51" borderId="0" xfId="0" applyNumberFormat="1" applyFont="1" applyFill="1" applyBorder="1" applyAlignment="1">
      <x:alignment horizontal="center" vertical="top" wrapText="1"/>
    </x:xf>
    <x:xf numFmtId="0" fontId="24" fillId="51" borderId="0" xfId="0" applyNumberFormat="1" applyFont="1" applyFill="1" applyBorder="1" applyAlignment="1">
      <x:alignment horizontal="center" vertical="top" wrapText="1"/>
    </x:xf>
    <x:xf numFmtId="0" fontId="24" fillId="51" borderId="0" xfId="0" applyNumberFormat="1" applyFont="1" applyFill="1" applyBorder="1" applyAlignment="1">
      <x:alignment horizontal="center" vertical="center" wrapText="1"/>
    </x:xf>
    <x:xf numFmtId="0" fontId="12" fillId="47" borderId="0" xfId="0" applyNumberFormat="1" applyFont="1" applyFill="1" applyBorder="1" applyAlignment="1">
      <x:alignment vertical="center" wrapText="1"/>
    </x:xf>
    <x:xf numFmtId="164" fontId="3" fillId="47" borderId="0" xfId="0" applyNumberFormat="1" applyFont="1" applyFill="1" applyBorder="1" applyAlignment="1">
      <x:alignment wrapText="1"/>
    </x:xf>
    <x:xf numFmtId="164" fontId="29" fillId="47" borderId="0" xfId="0" applyNumberFormat="1" applyFont="1" applyFill="1" applyBorder="1" applyAlignment="1">
      <x:alignment wrapText="1"/>
    </x:xf>
    <x:xf numFmtId="164" fontId="2" fillId="47" borderId="0" xfId="0" applyNumberFormat="1" applyFont="1" applyFill="1" applyBorder="1" applyAlignment="1">
      <x:alignment wrapText="1"/>
    </x:xf>
    <x:xf numFmtId="0" fontId="27" fillId="47" borderId="0" xfId="0" applyNumberFormat="1" applyFont="1" applyFill="1" applyBorder="1" applyAlignment="1">
      <x:alignment horizontal="center" vertical="top" wrapText="1"/>
    </x:xf>
    <x:xf numFmtId="0" fontId="28" fillId="47" borderId="0" xfId="0" applyNumberFormat="1" applyFont="1" applyFill="1" applyBorder="1" applyAlignment="1">
      <x:alignment vertical="top" wrapText="1"/>
    </x:xf>
    <x:xf numFmtId="0" fontId="12" fillId="47" borderId="0" xfId="0" applyNumberFormat="1" applyFont="1" applyFill="1" applyBorder="1" applyAlignment="1">
      <x:alignment horizontal="center" vertical="top" wrapText="1"/>
    </x:xf>
    <x:xf numFmtId="0" fontId="2" fillId="47" borderId="0" xfId="0" applyNumberFormat="1" applyFont="1" applyFill="1" applyBorder="1" applyAlignment="1">
      <x:alignment vertical="top" wrapText="1"/>
    </x:xf>
    <x:xf numFmtId="0" fontId="2" fillId="44" borderId="0" xfId="0" applyNumberFormat="1" applyFont="1" applyFill="1" applyBorder="1" applyAlignment="1">
      <x:alignment vertical="center" wrapText="1"/>
    </x:xf>
    <x:xf numFmtId="0" fontId="2" fillId="44" borderId="0" xfId="0" applyNumberFormat="1" applyFont="1" applyFill="1" applyBorder="1"/>
    <x:xf numFmtId="0" fontId="2" fillId="44" borderId="0" xfId="0" applyNumberFormat="1" applyFont="1" applyFill="1" applyBorder="1" applyAlignment="1">
      <x:alignment wrapText="1"/>
    </x:xf>
    <x:xf numFmtId="164" fontId="3" fillId="52" borderId="0" xfId="0" applyNumberFormat="1" applyFont="1" applyFill="1" applyBorder="1" applyAlignment="1">
      <x:alignment wrapText="1"/>
    </x:xf>
    <x:xf numFmtId="200" fontId="3" fillId="52" borderId="0" xfId="0" applyNumberFormat="1" applyFont="1" applyFill="1" applyBorder="1" applyAlignment="1">
      <x:alignment wrapText="1"/>
    </x:xf>
    <x:xf numFmtId="201" fontId="3" fillId="52" borderId="0" xfId="0" applyNumberFormat="1" applyFont="1" applyFill="1" applyBorder="1" applyAlignment="1">
      <x:alignment wrapText="1"/>
    </x:xf>
    <x:xf numFmtId="202" fontId="3" fillId="52" borderId="0" xfId="0" applyNumberFormat="1" applyFont="1" applyFill="1" applyBorder="1" applyAlignment="1">
      <x:alignment wrapText="1"/>
    </x:xf>
    <x:xf numFmtId="0" fontId="3" fillId="52" borderId="0" xfId="0" applyNumberFormat="1" applyFont="1" applyFill="1" applyBorder="1" applyAlignment="1">
      <x:alignment wrapText="1"/>
    </x:xf>
    <x:xf numFmtId="164" fontId="23" fillId="52" borderId="0" xfId="0" applyNumberFormat="1" applyFont="1" applyFill="1" applyBorder="1" applyAlignment="1">
      <x:alignment wrapText="1"/>
    </x:xf>
    <x:xf numFmtId="200" fontId="23" fillId="52" borderId="0" xfId="0" applyNumberFormat="1" applyFont="1" applyFill="1" applyBorder="1" applyAlignment="1">
      <x:alignment wrapText="1"/>
    </x:xf>
    <x:xf numFmtId="201" fontId="23" fillId="52" borderId="0" xfId="0" applyNumberFormat="1" applyFont="1" applyFill="1" applyBorder="1" applyAlignment="1">
      <x:alignment wrapText="1"/>
    </x:xf>
    <x:xf numFmtId="202" fontId="23" fillId="52" borderId="0" xfId="0" applyNumberFormat="1" applyFont="1" applyFill="1" applyBorder="1" applyAlignment="1">
      <x:alignment wrapText="1"/>
    </x:xf>
    <x:xf numFmtId="0" fontId="23" fillId="52" borderId="0" xfId="0" applyNumberFormat="1" applyFont="1" applyFill="1" applyBorder="1" applyAlignment="1">
      <x:alignment wrapText="1"/>
    </x:xf>
    <x:xf numFmtId="0" fontId="24" fillId="45" borderId="0" xfId="0" applyNumberFormat="1" applyFont="1" applyFill="1" applyBorder="1" applyAlignment="1">
      <x:alignment horizontal="center" vertical="center" wrapText="1"/>
    </x:xf>
  </x:cellXfs>
  <x:cellStyles count="1">
    <x:cellStyle name="Normal" xfId="0"/>
  </x:cellStyles>
  <x:dxfs count="19">
    <x:dxf>
      <x:font>
        <x:color rgb="FF166534"/>
      </x:font>
      <x:fill>
        <x:patternFill>
          <x:bgColor rgb="FFDCFCE7"/>
        </x:patternFill>
      </x:fill>
    </x:dxf>
    <x:dxf>
      <x:font>
        <x:color rgb="FF991B1B"/>
      </x:font>
      <x:fill>
        <x:patternFill>
          <x:bgColor rgb="FFFEE2E2"/>
        </x:patternFill>
      </x:fill>
    </x:dxf>
    <x:dxf>
      <x:font>
        <x:color rgb="FF2F75B5"/>
      </x:font>
      <x:fill>
        <x:patternFill>
          <x:bgColor rgb="FF2F75B5"/>
        </x:patternFill>
      </x:fill>
    </x:dxf>
    <x:dxf>
      <x:font>
        <x:color rgb="FF166534"/>
      </x:font>
      <x:fill>
        <x:patternFill>
          <x:bgColor rgb="FFDCFCE7"/>
        </x:patternFill>
      </x:fill>
    </x:dxf>
    <x:dxf>
      <x:font>
        <x:color rgb="FF991B1B"/>
      </x:font>
      <x:fill>
        <x:patternFill>
          <x:bgColor rgb="FFFEE2E2"/>
        </x:patternFill>
      </x:fill>
    </x:dxf>
    <x:dxf>
      <x:font>
        <x:b/>
        <x:color rgb="FF991B1B"/>
      </x:font>
      <x:fill>
        <x:patternFill>
          <x:bgColor rgb="FFFEE2E2"/>
        </x:patternFill>
      </x:fill>
    </x:dxf>
    <x:dxf>
      <x:font>
        <x:b/>
        <x:color rgb="FF1D4ED8"/>
      </x:font>
      <x:fill>
        <x:patternFill>
          <x:bgColor rgb="FFDBEAFE"/>
        </x:patternFill>
      </x:fill>
    </x:dxf>
    <x:dxf>
      <x:font>
        <x:b/>
        <x:color rgb="FF166534"/>
      </x:font>
      <x:fill>
        <x:patternFill>
          <x:bgColor rgb="FFDCFCE7"/>
        </x:patternFill>
      </x:fill>
    </x:dxf>
    <x:dxf>
      <x:fill>
        <x:patternFill>
          <x:bgColor rgb="FFFCE8E6"/>
        </x:patternFill>
      </x:fill>
    </x:dxf>
    <x:dxf>
      <x:fill>
        <x:patternFill>
          <x:bgColor rgb="FFD9EAF7"/>
        </x:patternFill>
      </x:fill>
    </x:dxf>
    <x:dxf>
      <x:fill>
        <x:patternFill>
          <x:bgColor rgb="FFE2F0D9"/>
        </x:patternFill>
      </x:fill>
    </x:dxf>
    <x:dxf>
      <x:fill>
        <x:patternFill>
          <x:bgColor rgb="FFFCE8E6"/>
        </x:patternFill>
      </x:fill>
    </x:dxf>
    <x:dxf>
      <x:fill>
        <x:patternFill>
          <x:bgColor rgb="FFD9EAF7"/>
        </x:patternFill>
      </x:fill>
    </x:dxf>
    <x:dxf>
      <x:fill>
        <x:patternFill>
          <x:bgColor rgb="FFE2F0D9"/>
        </x:patternFill>
      </x:fill>
    </x:dxf>
    <x:dxf>
      <x:font>
        <x:color rgb="FF2F75B5"/>
      </x:font>
      <x:fill>
        <x:patternFill>
          <x:bgColor rgb="FF2F75B5"/>
        </x:patternFill>
      </x:fill>
    </x:dxf>
    <x:dxf>
      <x:fill>
        <x:patternFill>
          <x:bgColor rgb="FFE2F0D9"/>
        </x:patternFill>
      </x:fill>
    </x:dxf>
    <x:dxf>
      <x:fill>
        <x:patternFill>
          <x:bgColor rgb="FFF4CCCC"/>
        </x:patternFill>
      </x:fill>
    </x:dxf>
    <x:dxf>
      <x:fill>
        <x:patternFill>
          <x:bgColor rgb="FFFFF2CC"/>
        </x:patternFill>
      </x:fill>
    </x:dxf>
    <x:dxf>
      <x:fill>
        <x:patternFill>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0982c820b14930" /><Relationship Type="http://schemas.openxmlformats.org/officeDocument/2006/relationships/theme" Target="/xl/theme/theme1.xml" Id="Rcff1b99a3ce14649" /><Relationship Type="http://schemas.openxmlformats.org/officeDocument/2006/relationships/sharedStrings" Target="/xl/sharedStrings.xml" Id="Re497d60e771f4553" /><Relationship Type="http://schemas.openxmlformats.org/officeDocument/2006/relationships/worksheet" Target="/xl/worksheets/sheet1.xml" Id="R33dbff285a14400a" /><Relationship Type="http://schemas.openxmlformats.org/officeDocument/2006/relationships/worksheet" Target="/xl/worksheets/sheet2.xml" Id="R2fd0e82f7c5c4793" /><Relationship Type="http://schemas.openxmlformats.org/officeDocument/2006/relationships/worksheet" Target="/xl/worksheets/sheet3.xml" Id="Ra78939f63e92438a" /><Relationship Type="http://schemas.openxmlformats.org/officeDocument/2006/relationships/worksheet" Target="/xl/worksheets/sheet4.xml" Id="R7787f349d2f94046" /><Relationship Type="http://schemas.openxmlformats.org/officeDocument/2006/relationships/worksheet" Target="/xl/worksheets/sheet5.xml" Id="Rd635d9dba2f24831" /><Relationship Type="http://schemas.openxmlformats.org/officeDocument/2006/relationships/worksheet" Target="/xl/worksheets/sheet6.xml" Id="Rc74eceb36c1841f3" /><Relationship Type="http://schemas.openxmlformats.org/officeDocument/2006/relationships/worksheet" Target="/xl/worksheets/sheet7.xml" Id="R404c111d5eb1452d" /><Relationship Type="http://schemas.openxmlformats.org/officeDocument/2006/relationships/worksheet" Target="/xl/worksheets/sheet8.xml" Id="R28ec6184c9344dbe" /><Relationship Type="http://schemas.openxmlformats.org/officeDocument/2006/relationships/worksheet" Target="/xl/worksheets/sheet9.xml" Id="R7d8a46c3b6b34719" /><Relationship Type="http://schemas.openxmlformats.org/officeDocument/2006/relationships/worksheet" Target="/xl/worksheets/sheet10.xml" Id="R17e77502c7b3431f" /><Relationship Type="http://schemas.openxmlformats.org/officeDocument/2006/relationships/worksheet" Target="/xl/worksheets/sheet11.xml" Id="Rb3213ca42e2c4b8a" /><Relationship Type="http://schemas.openxmlformats.org/officeDocument/2006/relationships/worksheet" Target="/xl/worksheets/sheet12.xml" Id="R87b14f06eb854f14" /><Relationship Type="http://schemas.openxmlformats.org/officeDocument/2006/relationships/worksheet" Target="/xl/worksheets/sheet13.xml" Id="Rced72d36184d442f" /><Relationship Type="http://schemas.openxmlformats.org/officeDocument/2006/relationships/worksheet" Target="/xl/worksheets/sheet14.xml" Id="R0ff377232ab84848" /><Relationship Type="http://schemas.openxmlformats.org/officeDocument/2006/relationships/worksheet" Target="/xl/worksheets/sheet15.xml" Id="R77f1abe972a44395" /><Relationship Type="http://schemas.openxmlformats.org/officeDocument/2006/relationships/worksheet" Target="/xl/worksheets/sheet16.xml" Id="R29e32a25489a4526" /><Relationship Type="http://schemas.openxmlformats.org/officeDocument/2006/relationships/worksheet" Target="/xl/worksheets/sheet17.xml" Id="R0d420a3d1acd49be" /><Relationship Type="http://schemas.openxmlformats.org/officeDocument/2006/relationships/worksheet" Target="/xl/worksheets/sheet18.xml" Id="R020451c9c5304c30" /></Relationships>
</file>

<file path=xl/drawings/_rels/drawing1.xml.rels>&#65279;<?xml version="1.0" encoding="utf-8"?><Relationships xmlns="http://schemas.openxmlformats.org/package/2006/relationships"><Relationship Type="http://schemas.openxmlformats.org/officeDocument/2006/relationships/chart" Target="/xl/drawings/charts/chart1.xml" Id="R5bb135665c8a46c7" /></Relationships>
</file>

<file path=xl/drawings/_rels/drawing2.xml.rels>&#65279;<?xml version="1.0" encoding="utf-8"?><Relationships xmlns="http://schemas.openxmlformats.org/package/2006/relationships"><Relationship Type="http://schemas.openxmlformats.org/officeDocument/2006/relationships/chart" Target="/xl/drawings/charts/chart2.xml" Id="R2996beff70934f88" /></Relationships>
</file>

<file path=xl/drawings/_rels/drawing3.xml.rels>&#65279;<?xml version="1.0" encoding="utf-8"?><Relationships xmlns="http://schemas.openxmlformats.org/package/2006/relationships"><Relationship Type="http://schemas.openxmlformats.org/officeDocument/2006/relationships/chart" Target="/xl/drawings/charts/chart3.xml" Id="R182d31901daf4f7d" /></Relationships>
</file>

<file path=xl/drawings/charts/chart1.xml><?xml version="1.0" encoding="utf-8"?>
<c:chartSpace xmlns:c="http://schemas.openxmlformats.org/drawingml/2006/chart">
  <c:lang val="en-US"/>
  <c:roundedCorners val="0"/>
  <c:style val="2"/>
  <c:chart>
    <c:plotArea>
      <c:lineChart>
        <c:grouping val="standard"/>
        <c:varyColors val="1"/>
        <c:ser>
          <c:idx val="0"/>
          <c:order val="0"/>
          <c:tx>
            <c:v>Planned Hours</c:v>
          </c:tx>
          <c:marker>
            <c:symbol val="none"/>
          </c:marker>
          <c:dLbls/>
          <c:cat>
            <c:strRef>
              <c:f>'Weekly Control'!$A$4:$A$55</c:f>
              <c:strCache>
                <c:ptCount val="9"/>
                <c:pt idx="0">
                  <c:v>Week</c:v>
                </c:pt>
                <c:pt idx="1">
                  <c:v>1</c:v>
                </c:pt>
                <c:pt idx="2">
                  <c:v>2</c:v>
                </c:pt>
                <c:pt idx="3">
                  <c:v>3</c:v>
                </c:pt>
                <c:pt idx="4">
                  <c:v>4</c:v>
                </c:pt>
                <c:pt idx="5">
                  <c:v>5</c:v>
                </c:pt>
                <c:pt idx="6">
                  <c:v>6</c:v>
                </c:pt>
                <c:pt idx="7">
                  <c:v>7</c:v>
                </c:pt>
                <c:pt idx="8">
                  <c:v>8</c:v>
                </c:pt>
              </c:strCache>
            </c:strRef>
          </c:cat>
          <c:val>
            <c:numRef>
              <c:f>'Weekly Control'!$D$4:$D$55</c:f>
              <c:numCache>
                <c:formatCode>0.00</c:formatCode>
                <c:ptCount val="9"/>
                <c:pt idx="0">
                  <c:v>0</c:v>
                </c:pt>
                <c:pt idx="1">
                  <c:v>8</c:v>
                </c:pt>
                <c:pt idx="2">
                  <c:v>10</c:v>
                </c:pt>
                <c:pt idx="3">
                  <c:v>10</c:v>
                </c:pt>
                <c:pt idx="4">
                  <c:v>10</c:v>
                </c:pt>
                <c:pt idx="5">
                  <c:v>10</c:v>
                </c:pt>
                <c:pt idx="6">
                  <c:v>10</c:v>
                </c:pt>
                <c:pt idx="7">
                  <c:v>10</c:v>
                </c:pt>
                <c:pt idx="8">
                  <c:v>8</c:v>
                </c:pt>
              </c:numCache>
            </c:numRef>
          </c:val>
        </c:ser>
        <c:ser>
          <c:idx val="1"/>
          <c:order val="1"/>
          <c:tx>
            <c:v>Actual Hours</c:v>
          </c:tx>
          <c:marker>
            <c:symbol val="none"/>
          </c:marker>
          <c:dLbls/>
          <c:cat>
            <c:strRef>
              <c:f>'Weekly Control'!$A$4:$A$55</c:f>
              <c:strCache>
                <c:ptCount val="9"/>
                <c:pt idx="0">
                  <c:v>Week</c:v>
                </c:pt>
                <c:pt idx="1">
                  <c:v>1</c:v>
                </c:pt>
                <c:pt idx="2">
                  <c:v>2</c:v>
                </c:pt>
                <c:pt idx="3">
                  <c:v>3</c:v>
                </c:pt>
                <c:pt idx="4">
                  <c:v>4</c:v>
                </c:pt>
                <c:pt idx="5">
                  <c:v>5</c:v>
                </c:pt>
                <c:pt idx="6">
                  <c:v>6</c:v>
                </c:pt>
                <c:pt idx="7">
                  <c:v>7</c:v>
                </c:pt>
                <c:pt idx="8">
                  <c:v>8</c:v>
                </c:pt>
              </c:strCache>
            </c:strRef>
          </c:cat>
          <c:val>
            <c:numRef>
              <c:f>'Weekly Control'!$E$4:$E$55</c:f>
              <c:numCache>
                <c:formatCode>0.00</c:formatCode>
                <c:ptCount val="9"/>
                <c:pt idx="0">
                  <c:v>0</c:v>
                </c:pt>
                <c:pt idx="1">
                  <c:v>7.550000000000001</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Planned Hours by Phase</a:t>
            </a:r>
          </a:p>
        </c:rich>
      </c:tx>
    </c:title>
    <c:autoTitleDeleted val="0"/>
    <c:plotArea>
      <c:barChart>
        <c:barDir val="col"/>
        <c:grouping val="clustered"/>
        <c:varyColors val="0"/>
        <c:ser>
          <c:idx val="0"/>
          <c:order val="0"/>
          <c:tx>
            <c:v>Planned Hours</c:v>
          </c:tx>
          <c:dLbls/>
          <c:cat>
            <c:strRef>
              <c:f>'Phase Summary'!$B$4:$B$11</c:f>
              <c:strCache>
                <c:ptCount val="6"/>
                <c:pt idx="0">
                  <c:v>0 Control &amp; Foundation</c:v>
                </c:pt>
                <c:pt idx="1">
                  <c:v>1 Evaluation Core</c:v>
                </c:pt>
                <c:pt idx="2">
                  <c:v>2 CLI &amp; Results</c:v>
                </c:pt>
                <c:pt idx="3">
                  <c:v>3 Cases &amp; Benchmark</c:v>
                </c:pt>
                <c:pt idx="4">
                  <c:v>4 Quality &amp; Reproducibility</c:v>
                </c:pt>
                <c:pt idx="5">
                  <c:v>5 Demo &amp; Release</c:v>
                </c:pt>
              </c:strCache>
            </c:strRef>
          </c:cat>
          <c:val>
            <c:numRef>
              <c:f>'Phase Summary'!$C$4:$C$11</c:f>
              <c:numCache>
                <c:formatCode>0.00</c:formatCode>
                <c:ptCount val="7"/>
                <c:pt idx="0">
                  <c:v>8</c:v>
                </c:pt>
                <c:pt idx="1">
                  <c:v>24</c:v>
                </c:pt>
                <c:pt idx="2">
                  <c:v>14</c:v>
                </c:pt>
                <c:pt idx="3">
                  <c:v>14</c:v>
                </c:pt>
                <c:pt idx="4">
                  <c:v>8</c:v>
                </c:pt>
                <c:pt idx="5">
                  <c:v>8</c:v>
                </c:pt>
                <c:pt idx="6">
                  <c:v>76</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Planned vs Actual Hours by Phase</a:t>
            </a:r>
          </a:p>
        </c:rich>
      </c:tx>
    </c:title>
    <c:autoTitleDeleted val="0"/>
    <c:plotArea>
      <c:barChart>
        <c:barDir val="col"/>
        <c:grouping val="clustered"/>
        <c:varyColors val="0"/>
        <c:ser>
          <c:idx val="0"/>
          <c:order val="0"/>
          <c:tx>
            <c:v>Planned Hours</c:v>
          </c:tx>
          <c:dLbls/>
          <c:cat>
            <c:strRef>
              <c:f>'MVP Dashboard'!$A$15:$A$20</c:f>
              <c:strCache>
                <c:ptCount val="6"/>
                <c:pt idx="0">
                  <c:v>0 Control &amp; Foundation</c:v>
                </c:pt>
                <c:pt idx="1">
                  <c:v>1 Evaluation Core</c:v>
                </c:pt>
                <c:pt idx="2">
                  <c:v>2 CLI &amp; Results</c:v>
                </c:pt>
                <c:pt idx="3">
                  <c:v>3 Cases &amp; Benchmark</c:v>
                </c:pt>
                <c:pt idx="4">
                  <c:v>4 Quality &amp; Reproducibility</c:v>
                </c:pt>
                <c:pt idx="5">
                  <c:v>5 Demo &amp; Release</c:v>
                </c:pt>
              </c:strCache>
            </c:strRef>
          </c:cat>
          <c:val>
            <c:numRef>
              <c:f>'MVP Dashboard'!$B$15:$B$20</c:f>
              <c:numCache>
                <c:formatCode>0.00</c:formatCode>
                <c:ptCount val="6"/>
                <c:pt idx="0">
                  <c:v>8</c:v>
                </c:pt>
                <c:pt idx="1">
                  <c:v>24</c:v>
                </c:pt>
                <c:pt idx="2">
                  <c:v>14</c:v>
                </c:pt>
                <c:pt idx="3">
                  <c:v>14</c:v>
                </c:pt>
                <c:pt idx="4">
                  <c:v>8</c:v>
                </c:pt>
                <c:pt idx="5">
                  <c:v>8</c:v>
                </c:pt>
              </c:numCache>
            </c:numRef>
          </c:val>
        </c:ser>
        <c:ser>
          <c:idx val="1"/>
          <c:order val="1"/>
          <c:tx>
            <c:v>Actual Hours</c:v>
          </c:tx>
          <c:dLbls/>
          <c:cat>
            <c:strRef>
              <c:f>'MVP Dashboard'!$A$15:$A$20</c:f>
              <c:strCache>
                <c:ptCount val="6"/>
                <c:pt idx="0">
                  <c:v>0 Control &amp; Foundation</c:v>
                </c:pt>
                <c:pt idx="1">
                  <c:v>1 Evaluation Core</c:v>
                </c:pt>
                <c:pt idx="2">
                  <c:v>2 CLI &amp; Results</c:v>
                </c:pt>
                <c:pt idx="3">
                  <c:v>3 Cases &amp; Benchmark</c:v>
                </c:pt>
                <c:pt idx="4">
                  <c:v>4 Quality &amp; Reproducibility</c:v>
                </c:pt>
                <c:pt idx="5">
                  <c:v>5 Demo &amp; Release</c:v>
                </c:pt>
              </c:strCache>
            </c:strRef>
          </c:cat>
          <c:val>
            <c:numRef>
              <c:f>'MVP Dashboard'!$C$15:$C$20</c:f>
              <c:numCache>
                <c:formatCode>0.00</c:formatCode>
                <c:ptCount val="6"/>
                <c:pt idx="0">
                  <c:v>7.550000000000001</c:v>
                </c:pt>
                <c:pt idx="1">
                  <c:v>0</c:v>
                </c:pt>
                <c:pt idx="2">
                  <c:v>0</c:v>
                </c:pt>
                <c:pt idx="3">
                  <c:v>0</c:v>
                </c:pt>
                <c:pt idx="4">
                  <c:v>0</c:v>
                </c:pt>
                <c:pt idx="5">
                  <c:v>0</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2</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bb135665c8a46c7"/>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2</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96beff70934f88"/>
        </a:graphicData>
      </a:graphic>
    </xdr:graphicFrame>
    <xdr:clientData/>
  </xdr:twoCellAnchor>
</xdr:wsDr>
</file>

<file path=xl/drawings/drawing3.xml><?xml version="1.0" encoding="utf-8"?>
<xdr:wsDr xmlns:xdr="http://schemas.openxmlformats.org/drawingml/2006/spreadsheetDrawing">
  <xdr:twoCellAnchor>
    <xdr:from>
      <xdr:col>6</xdr:col>
      <xdr:colOff>0</xdr:colOff>
      <xdr:row>11</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2d31901daf4f7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d25170acd801414f" /></Relationships>
</file>

<file path=xl/worksheets/_rels/sheet5.xml.rels>&#65279;<?xml version="1.0" encoding="utf-8"?><Relationships xmlns="http://schemas.openxmlformats.org/package/2006/relationships"><Relationship Type="http://schemas.openxmlformats.org/officeDocument/2006/relationships/drawing" Target="/xl/drawings/drawing2.xml" Id="Rd2e3261a08a54a5c" /></Relationships>
</file>

<file path=xl/worksheets/_rels/sheet15.xml.rels>&#65279;<?xml version="1.0" encoding="utf-8"?><Relationships xmlns="http://schemas.openxmlformats.org/package/2006/relationships"><Relationship Type="http://schemas.openxmlformats.org/officeDocument/2006/relationships/drawing" Target="/xl/drawings/drawing3.xml" Id="R5a1b89daa9964f52" /></Relationships>
</file>

<file path=xl/worksheets/sheet1.xml><?xml version="1.0" encoding="utf-8"?>
<x:worksheet xmlns:x="http://schemas.openxmlformats.org/spreadsheetml/2006/main">
  <x:sheetFormatPr defaultRowHeight="14.25"/>
  <x:cols>
    <x:col min="1" max="1" width="22" customWidth="1"/>
    <x:col min="2" max="2" width="34" customWidth="1"/>
    <x:col min="3" max="3" width="4" customWidth="1"/>
    <x:col min="4" max="4" width="22" customWidth="1"/>
    <x:col min="5" max="5" width="58" customWidth="1"/>
    <x:col min="6" max="6" width="4" customWidth="1"/>
    <x:col min="7" max="8" width="18" customWidth="1"/>
  </x:cols>
  <x:sheetData>
    <x:row r="1" ht="30" customHeight="1">
      <x:c r="A1" s="204" t="str">
        <x:v>Mechanical Engineering Workflow Assurance Platform — Project Control Workbook</x:v>
      </x:c>
      <x:c r="B1" s="205"/>
      <x:c r="C1" s="205"/>
      <x:c r="D1" s="205"/>
      <x:c r="E1" s="205"/>
      <x:c r="F1" s="205"/>
      <x:c r="G1" s="205"/>
      <x:c r="H1" s="205"/>
      <x:c r="I1" s="65"/>
      <x:c r="J1" s="65"/>
      <x:c r="K1" s="65"/>
      <x:c r="L1" s="65"/>
      <x:c r="M1" s="65"/>
      <x:c r="N1" s="65"/>
      <x:c r="O1" s="65"/>
      <x:c r="P1" s="65"/>
      <x:c r="Q1" s="65"/>
      <x:c r="R1" s="65"/>
      <x:c r="S1" s="65"/>
      <x:c r="T1" s="65"/>
      <x:c r="U1" s="65"/>
      <x:c r="V1" s="65"/>
      <x:c r="W1" s="65"/>
      <x:c r="X1" s="65"/>
      <x:c r="Y1" s="65"/>
      <x:c r="Z1" s="65"/>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row>
    <x:row r="2" ht="36" customHeight="1">
      <x:c r="A2" s="218" t="str">
        <x:v>Strategic direction: v0.2.0 is the frozen evaluation kernel. The active release is v0.3.0, a structured Mechanical Package Consistency Audit that produces evidence-linked findings and release-readiness states.</x:v>
      </x:c>
      <x:c r="B2" s="218"/>
      <x:c r="C2" s="218"/>
      <x:c r="D2" s="218"/>
      <x:c r="E2" s="218"/>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row>
    <x:row r="3" ht="24" customHeight="1">
      <x:c r="A3" s="731" t="str">
        <x:v>Active Baseline</x:v>
      </x:c>
      <x:c r="B3" s="734"/>
      <x:c r="C3" s="1"/>
      <x:c r="D3" s="737" t="str">
        <x:v>How to Use This Workbook Every Work Block</x:v>
      </x:c>
      <x:c r="E3" s="738"/>
      <x:c r="F3" s="207"/>
      <x:c r="G3" s="207"/>
      <x:c r="H3" s="207"/>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row>
    <x:row r="4" ht="38" customHeight="1">
      <x:c r="A4" s="739" t="str">
        <x:v>Baseline revision</x:v>
      </x:c>
      <x:c r="B4" s="747" t="str">
        <x:v>Program v2.0 — 2026-07-10</x:v>
      </x:c>
      <x:c r="C4" s="1"/>
      <x:c r="D4" s="752" t="n">
        <x:v>1</x:v>
      </x:c>
      <x:c r="E4" s="727" t="str">
        <x:v>Open AI Context, then read the active/next rows in Pilot Gantt.</x:v>
      </x:c>
      <x:c r="F4" s="209"/>
      <x:c r="G4" s="209"/>
      <x:c r="H4" s="210"/>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row>
    <x:row r="5" ht="38" customHeight="1">
      <x:c r="A5" s="739" t="str">
        <x:v>Released baseline</x:v>
      </x:c>
      <x:c r="B5" s="747" t="str">
        <x:v>v0.2.0 released; accepted commit 45336a2; tag verified</x:v>
      </x:c>
      <x:c r="C5" s="1"/>
      <x:c r="D5" s="752" t="n">
        <x:v>2</x:v>
      </x:c>
      <x:c r="E5" s="727" t="str">
        <x:v>State active WBS, objective, and definition of done before implementation; prospective time tracking is waived.</x:v>
      </x:c>
      <x:c r="F5" s="208"/>
      <x:c r="G5" s="208"/>
      <x:c r="H5" s="21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row>
    <x:row r="6" ht="38" customHeight="1">
      <x:c r="A6" s="739" t="str">
        <x:v>Pilot start</x:v>
      </x:c>
      <x:c r="B6" s="748" t="str">
        <x:v>2026-07-13</x:v>
      </x:c>
      <x:c r="C6" s="1"/>
      <x:c r="D6" s="752" t="n">
        <x:v>3</x:v>
      </x:c>
      <x:c r="E6" s="727" t="str">
        <x:v>Work one coherent capability in an isolated branch/worktree; do not parallelize overlapping changes.</x:v>
      </x:c>
      <x:c r="F6" s="208"/>
      <x:c r="G6" s="208"/>
      <x:c r="H6" s="211"/>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row>
    <x:row r="7" ht="38" customHeight="1">
      <x:c r="A7" s="739" t="str">
        <x:v>Pilot target finish</x:v>
      </x:c>
      <x:c r="B7" s="748" t="str">
        <x:v>2026-08-23</x:v>
      </x:c>
      <x:c r="C7" s="1"/>
      <x:c r="D7" s="752" t="n">
        <x:v>4</x:v>
      </x:c>
      <x:c r="E7" s="727" t="str">
        <x:v>Supervise agent actions; review diffs, commands, tests, and generated evidence before merge.</x:v>
      </x:c>
      <x:c r="F7" s="208"/>
      <x:c r="G7" s="208"/>
      <x:c r="H7" s="211"/>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row>
    <x:row r="8" ht="38" customHeight="1">
      <x:c r="A8" s="739" t="str">
        <x:v>Pilot planned labour</x:v>
      </x:c>
      <x:c r="B8" s="749" t="n">
        <x:v>46</x:v>
      </x:c>
      <x:c r="C8" s="1"/>
      <x:c r="D8" s="752" t="n">
        <x:v>5</x:v>
      </x:c>
      <x:c r="E8" s="727" t="str">
        <x:v>At closeout, update Pilot Gantt, evidence, decisions, risks, and next action; do not add or backfill work-block durations.</x:v>
      </x:c>
      <x:c r="F8" s="208"/>
      <x:c r="G8" s="208"/>
      <x:c r="H8" s="211"/>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row>
    <x:row r="9" ht="38" customHeight="1">
      <x:c r="A9" s="739" t="str">
        <x:v>Pilot logged hours</x:v>
      </x:c>
      <x:c r="B9" s="749" t="n">
        <x:v>0</x:v>
      </x:c>
      <x:c r="C9" s="1"/>
      <x:c r="D9" s="752" t="n">
        <x:v>6</x:v>
      </x:c>
      <x:c r="E9" s="727" t="str">
        <x:v>Never modify frozen references, held-out assets, or acceptance criteria merely to make a run pass.</x:v>
      </x:c>
      <x:c r="F9" s="208"/>
      <x:c r="G9" s="208"/>
      <x:c r="H9" s="21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row>
    <x:row r="10" ht="38" customHeight="1">
      <x:c r="A10" s="739" t="str">
        <x:v>Pilot weighted progress</x:v>
      </x:c>
      <x:c r="B10" s="750" t="n">
        <x:v>0</x:v>
      </x:c>
      <x:c r="C10" s="1"/>
      <x:c r="D10" s="752" t="n">
        <x:v>7</x:v>
      </x:c>
      <x:c r="E10" s="727" t="str">
        <x:v>Use gate decisions to change scope, dates, or planned hours; preserve prior history.</x:v>
      </x:c>
      <x:c r="F10" s="212"/>
      <x:c r="G10" s="212"/>
      <x:c r="H10" s="213"/>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row>
    <x:row r="11" ht="96" hidden="0" customHeight="1">
      <x:c r="A11" s="739" t="str">
        <x:v>Current product state</x:v>
      </x:c>
      <x:c r="B11" s="751" t="str">
        <x:v>Frozen v0.2.0 kernel: 5 reviewed cases, 121 tests, deterministic gates/checks, weighted scoring, immutable result evidence, CI, baseline 9/9, demo 2/2. Active build: v0.3.0 structured package assurance over drawing register, drawing metadata, BOM/equipment list, datasheet/spec metadata, and revision history.</x:v>
      </x:c>
      <x:c r="C11" s="1"/>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row>
    <x:row r="12" ht="36" hidden="0" customHeight="1">
      <x:c r="A12" s="741" t="str">
        <x:v>Active WBS</x:v>
      </x:c>
      <x:c r="B12" s="751" t="str">
        <x:v>P0.2 - Define acceptance plan and benchmark protocol</x:v>
      </x:c>
      <x:c r="C12" s="1"/>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row>
    <x:row r="13" ht="36" hidden="0" customHeight="1">
      <x:c r="A13" s="741" t="str">
        <x:v>Next build WBS</x:v>
      </x:c>
      <x:c r="B13" s="751" t="str">
        <x:v>P1.1 - Package manifest schema and loader (blocked pending P0.2 user acceptance)</x:v>
      </x:c>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row>
    <x:row r="14" ht="15">
      <x:c r="A14" s="207"/>
      <x:c r="B14" s="207"/>
      <x:c r="C14" s="207"/>
      <x:c r="D14" s="207"/>
      <x:c r="E14" s="207"/>
      <x:c r="F14" s="207"/>
      <x:c r="G14" s="207"/>
      <x:c r="H14" s="207"/>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row>
    <x:row r="15" ht="21.950000762939453" customHeight="1">
      <x:c r="A15" s="214" t="str">
        <x:v>v0.3.0 Pilot Definition of Done</x:v>
      </x:c>
      <x:c r="B15" s="214"/>
      <x:c r="C15" s="154"/>
      <x:c r="D15" s="214" t="str">
        <x:v>Pilot Dashboard</x:v>
      </x:c>
      <x:c r="E15" s="214" t="str">
        <x:v>Active v0.3.0 KPIs, phase progress, focus, and next deliverables.</x:v>
      </x:c>
      <x:c r="F15" s="214"/>
      <x:c r="G15" s="214"/>
      <x:c r="H15" s="214"/>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row>
    <x:row r="16" ht="34" customHeight="1">
      <x:c r="A16" s="165" t="n">
        <x:v>1</x:v>
      </x:c>
      <x:c r="B16" s="72" t="str">
        <x:v>Approved workflow contract and authority map for the structured package audit.</x:v>
      </x:c>
      <x:c r="C16" s="72"/>
      <x:c r="D16" s="165" t="str">
        <x:v>Pilot Gantt</x:v>
      </x:c>
      <x:c r="E16" s="72" t="str">
        <x:v>Controlling v0.3.0 WBS, hours, status, evidence, next action, and 6-week timeline.</x:v>
      </x:c>
      <x:c r="F16" s="72"/>
      <x:c r="G16" s="72"/>
      <x:c r="H16" s="73"/>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row>
    <x:row r="17" ht="34" customHeight="1">
      <x:c r="A17" s="165" t="n">
        <x:v>2</x:v>
      </x:c>
      <x:c r="B17" s="72" t="str">
        <x:v>Versioned package manifest schema plus one development and one newly authored held-out package.</x:v>
      </x:c>
      <x:c r="C17" s="72"/>
      <x:c r="D17" s="165" t="str">
        <x:v>MVP Dashboard</x:v>
      </x:c>
      <x:c r="E17" s="72" t="str">
        <x:v>Historical v0.2.0 release proof and metrics.</x:v>
      </x:c>
      <x:c r="F17" s="72"/>
      <x:c r="G17" s="72"/>
      <x:c r="H17" s="73"/>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row>
    <x:row r="18" ht="34" customHeight="1">
      <x:c r="A18" s="165" t="n">
        <x:v>3</x:v>
      </x:c>
      <x:c r="B18" s="72" t="str">
        <x:v>Mandatory inventory, parse, revision, file-reference, and authority gates before scoring.</x:v>
      </x:c>
      <x:c r="C18" s="74"/>
      <x:c r="D18" s="165" t="str">
        <x:v>Detailed Gantt</x:v>
      </x:c>
      <x:c r="E18" s="72" t="str">
        <x:v>Frozen v0.2.0 MVP WBS and actual history.</x:v>
      </x:c>
      <x:c r="F18" s="74"/>
      <x:c r="G18" s="74"/>
      <x:c r="H18" s="75"/>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row>
    <x:row r="19" ht="34" customHeight="1">
      <x:c r="A19" s="153" t="n">
        <x:v>4</x:v>
      </x:c>
      <x:c r="B19" s="141" t="str">
        <x:v>Deterministic document, tag, BOM/equipment, datasheet/specification, quantity, and revision consistency checks.</x:v>
      </x:c>
      <x:c r="C19" s="1"/>
      <x:c r="D19" s="153" t="str">
        <x:v>Work Block Log</x:v>
      </x:c>
      <x:c r="E19" s="141" t="str">
        <x:v>Chronological work history and actual-hour source.</x:v>
      </x:c>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row>
    <x:row r="20" ht="34" customHeight="1">
      <x:c r="A20" s="153" t="n">
        <x:v>5</x:v>
      </x:c>
      <x:c r="B20" s="141" t="str">
        <x:v>Explicit result states: automatic pass, automatic fail, engineering review required, missing authoritative information, extraction/tool failure, and evaluator uncertainty.</x:v>
      </x:c>
      <x:c r="C20" s="1"/>
      <x:c r="D20" s="153" t="str">
        <x:v>Decision Register</x:v>
      </x:c>
      <x:c r="E20" s="141" t="str">
        <x:v>Material design, scope, model-use, and project-control decisions.</x:v>
      </x:c>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row>
    <x:row r="21" ht="34" customHeight="1">
      <x:c r="A21" s="153" t="n">
        <x:v>6</x:v>
      </x:c>
      <x:c r="B21" s="141" t="str">
        <x:v>Immutable package result, evidence-linked issue register, release-readiness summary, and stable audit-package CLI exit codes.</x:v>
      </x:c>
      <x:c r="C21" s="1"/>
      <x:c r="D21" s="153" t="str">
        <x:v>Risks &amp; Issues</x:v>
      </x:c>
      <x:c r="E21" s="141" t="str">
        <x:v>Open risks, issues, mitigations, and review dates.</x:v>
      </x:c>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row>
    <x:row r="22" ht="34" customHeight="1">
      <x:c r="A22" s="153" t="n">
        <x:v>7</x:v>
      </x:c>
      <x:c r="B22" s="141" t="str">
        <x:v>Development and held-out benchmark with fault injection, failed-run preservation, false-positive/false-negative review, and bounded claims.</x:v>
      </x:c>
      <x:c r="C22" s="1"/>
      <x:c r="D22" s="153" t="str">
        <x:v>Evidence Register</x:v>
      </x:c>
      <x:c r="E22" s="141" t="str">
        <x:v>PRs, commits, tests, documents, releases, and acceptance evidence.</x:v>
      </x:c>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row>
    <x:row r="23" ht="34" customHeight="1">
      <x:c r="A23" s="153" t="n">
        <x:v>8</x:v>
      </x:c>
      <x:c r="B23" s="141" t="str">
        <x:v>Regression tests, CI, clean-clone acceptance, documentation, terminal-first demo, bounded service specification, and annotated v0.3.0 tag.</x:v>
      </x:c>
      <x:c r="C23" s="1"/>
      <x:c r="D23" s="153" t="str">
        <x:v>AI Context</x:v>
      </x:c>
      <x:c r="E23" s="141" t="str">
        <x:v>Compact handoff and GPT-5.6 operating rules; read first.</x:v>
      </x:c>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row>
    <x:row r="24" ht="33.95000076293945" customHeight="1">
      <x:c r="A24" s="1"/>
      <x:c r="B24" s="1"/>
      <x:c r="C24" s="1"/>
      <x:c r="D24" s="153" t="str">
        <x:v>Expansion Backlog</x:v>
      </x:c>
      <x:c r="E24" s="141" t="str">
        <x:v>Deferred capabilities and entry criteria; X-13 selected for v0.3.0.</x:v>
      </x:c>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row>
    <x:row r="25" ht="33.95000076293945" customHeight="1">
      <x:c r="A25" s="1"/>
      <x:c r="B25" s="1"/>
      <x:c r="C25" s="1"/>
      <x:c r="D25" s="153" t="str">
        <x:v>Product Vision</x:v>
      </x:c>
      <x:c r="E25" s="141" t="str">
        <x:v>Strategic platform direction, capability ladder, architecture invariants, and commercial path.</x:v>
      </x:c>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row>
    <x:row r="26" ht="32.099998474121094" customHeight="1">
      <x:c r="A26" s="1"/>
      <x:c r="B26" s="1"/>
      <x:c r="C26" s="1"/>
      <x:c r="D26" s="190"/>
      <x:c r="E26" s="19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row>
    <x:row r="27" ht="21.950000762939453" customHeight="1">
      <x:c r="A27" s="206" t="str">
        <x:v>Immediate Control Note</x:v>
      </x:c>
      <x:c r="B27" s="216"/>
      <x:c r="C27" s="216"/>
      <x:c r="D27" s="216"/>
      <x:c r="E27" s="216"/>
      <x:c r="F27" s="216"/>
      <x:c r="G27" s="216"/>
      <x:c r="H27" s="216"/>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row>
    <x:row r="28" ht="48" hidden="0" customHeight="1">
      <x:c r="A28" s="704" t="str">
        <x:v>P0.2 reviewed. User acceptance is required before P1.</x:v>
      </x:c>
      <x:c r="B28" s="704"/>
      <x:c r="C28" s="704"/>
      <x:c r="D28" s="704"/>
      <x:c r="E28" s="704"/>
      <x:c r="F28" s="217"/>
      <x:c r="G28" s="217"/>
      <x:c r="H28" s="217"/>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row>
    <x:row r="29" ht="26.100000381469727" customHeight="1">
      <x:c r="A29" s="217"/>
      <x:c r="B29" s="217"/>
      <x:c r="C29" s="217"/>
      <x:c r="D29" s="217"/>
      <x:c r="E29" s="217"/>
      <x:c r="F29" s="217"/>
      <x:c r="G29" s="217"/>
      <x:c r="H29" s="217"/>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row>
    <x:row r="30" ht="26.100000381469727" customHeight="1">
      <x:c r="A30" s="217"/>
      <x:c r="B30" s="217"/>
      <x:c r="C30" s="217"/>
      <x:c r="D30" s="217"/>
      <x:c r="E30" s="217"/>
      <x:c r="F30" s="217"/>
      <x:c r="G30" s="217"/>
      <x:c r="H30" s="217"/>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row>
    <x:row r="31" ht="26.100000381469727" customHeight="1">
      <x:c r="A31" s="217"/>
      <x:c r="B31" s="217"/>
      <x:c r="C31" s="217"/>
      <x:c r="D31" s="217"/>
      <x:c r="E31" s="217"/>
      <x:c r="F31" s="217"/>
      <x:c r="G31" s="217"/>
      <x:c r="H31" s="217"/>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row>
    <x:row r="32" ht="15">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row>
    <x:row r="33" ht="15">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row>
    <x:row r="34" ht="15">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row>
    <x:row r="35" ht="1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row>
    <x:row r="36" ht="15">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row>
    <x:row r="37" ht="15">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row>
    <x:row r="38" ht="15">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row>
    <x:row r="39" ht="15">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row>
    <x:row r="40" ht="15">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row>
    <x:row r="41" ht="15">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c r="BA41" s="1"/>
      <x:c r="BB41" s="1"/>
      <x:c r="BC41" s="1"/>
      <x:c r="BD41" s="1"/>
      <x:c r="BE41" s="1"/>
      <x:c r="BF41" s="1"/>
      <x:c r="BG41" s="1"/>
      <x:c r="BH41" s="1"/>
      <x:c r="BI41" s="1"/>
      <x:c r="BJ41" s="1"/>
      <x:c r="BK41" s="1"/>
      <x:c r="BL41" s="1"/>
      <x:c r="BM41" s="1"/>
      <x:c r="BN41" s="1"/>
      <x:c r="BO41" s="1"/>
      <x:c r="BP41" s="1"/>
      <x:c r="BQ41" s="1"/>
    </x:row>
    <x:row r="42" ht="15">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row>
    <x:row r="43" ht="15">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row>
    <x:row r="44" ht="15">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row>
    <x:row r="45" ht="1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row>
    <x:row r="46" ht="15">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row>
    <x:row r="47" ht="15">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row>
    <x:row r="48" ht="15">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row>
    <x:row r="49" ht="15">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row>
    <x:row r="50" ht="15">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row>
    <x:row r="51" ht="15">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row>
    <x:row r="52" ht="15">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row>
    <x:row r="53" ht="15">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row>
    <x:row r="54" ht="15">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row>
    <x:row r="55" ht="1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row>
    <x:row r="56" ht="15">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row>
    <x:row r="57" ht="15">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row>
    <x:row r="58" ht="15">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row>
    <x:row r="59" ht="15">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row>
    <x:row r="60" ht="15">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row>
    <x:row r="61" ht="15">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row>
    <x:row r="62" ht="15">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row>
    <x:row r="63" ht="15">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row>
    <x:row r="64" ht="15">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row>
    <x:row r="65" ht="1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row>
    <x:row r="66" ht="15">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row>
    <x:row r="67" ht="15">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row>
    <x:row r="68" ht="15">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row>
    <x:row r="69" ht="15">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row>
    <x:row r="70" ht="1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row>
    <x:row r="71" ht="15">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row>
    <x:row r="72" ht="15">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row>
    <x:row r="73" ht="1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row>
    <x:row r="74" ht="15">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row>
    <x:row r="75" ht="1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row>
    <x:row r="76" ht="15">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row>
    <x:row r="77" ht="15">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row>
    <x:row r="78" ht="15">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row>
    <x:row r="79" ht="15">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row>
    <x:row r="80" ht="15">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row>
    <x:row r="81" ht="15">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row>
    <x:row r="82" ht="15">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row>
    <x:row r="83" ht="15">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row>
    <x:row r="84" ht="15">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row>
    <x:row r="85" ht="1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row>
    <x:row r="86" ht="15">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row>
    <x:row r="87" ht="15">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row>
    <x:row r="88" ht="15">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row>
    <x:row r="89" ht="15">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row>
    <x:row r="90" ht="15">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row>
    <x:row r="91" ht="15">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row>
    <x:row r="92" ht="1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row>
    <x:row r="93" ht="15">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row>
    <x:row r="94" ht="15">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row>
    <x:row r="95" ht="1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row>
    <x:row r="96" ht="15">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row>
    <x:row r="97" ht="15">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row>
    <x:row r="98" ht="15">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row>
    <x:row r="99" ht="15">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row>
    <x:row r="100" ht="15">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row>
  </x:sheetData>
  <x:mergeCells>
    <x:mergeCell ref="A27:H27"/>
    <x:mergeCell ref="A15:B15"/>
    <x:mergeCell ref="D15:H15"/>
    <x:mergeCell ref="A2:E2"/>
    <x:mergeCell ref="A14:H14"/>
    <x:mergeCell ref="A1:H1"/>
    <x:mergeCell ref="A3:B3"/>
    <x:mergeCell ref="D3:E3"/>
  </x:mergeCells>
  <x:pageMargins left="0.7" right="0.7" top="0.75" bottom="0.75" header="0.3" footer="0.3"/>
</x:worksheet>
</file>

<file path=xl/worksheets/sheet2.xml><?xml version="1.0" encoding="utf-8"?>
<x:worksheet xmlns:x="http://schemas.openxmlformats.org/spreadsheetml/2006/main">
  <x:sheetFormatPr defaultRowHeight="14.25"/>
  <x:cols>
    <x:col min="1" max="1" width="7" customWidth="1"/>
    <x:col min="2" max="2" width="28" customWidth="1"/>
    <x:col min="3" max="4" width="12" customWidth="1"/>
    <x:col min="5" max="5" width="11" customWidth="1"/>
    <x:col min="6" max="7" width="12" customWidth="1"/>
    <x:col min="8" max="8" width="31" customWidth="1"/>
    <x:col min="9" max="9" width="40" customWidth="1"/>
    <x:col min="10" max="17" width="8" customWidth="1"/>
    <x:col min="18" max="20" width="10" customWidth="1"/>
  </x:cols>
  <x:sheetData>
    <x:row r="1" ht="27.950000762939453" customHeight="1">
      <x:c r="A1" s="204" t="str">
        <x:v>v0.2.0 Executive Gantt — Historical Release Baseline</x:v>
      </x:c>
      <x:c r="B1" s="205"/>
      <x:c r="C1" s="205"/>
      <x:c r="D1" s="205"/>
      <x:c r="E1" s="205"/>
      <x:c r="F1" s="205"/>
      <x:c r="G1" s="205"/>
      <x:c r="H1" s="205"/>
      <x:c r="I1" s="205"/>
      <x:c r="J1" s="205"/>
      <x:c r="K1" s="205"/>
      <x:c r="L1" s="205"/>
      <x:c r="M1" s="205"/>
      <x:c r="N1" s="205"/>
      <x:c r="O1" s="205"/>
      <x:c r="P1" s="205"/>
      <x:c r="Q1" s="205"/>
      <x:c r="R1" s="76"/>
      <x:c r="S1" s="76"/>
      <x:c r="T1" s="76"/>
      <x:c r="U1" s="65"/>
      <x:c r="V1" s="65"/>
      <x:c r="W1" s="65"/>
      <x:c r="X1" s="65"/>
      <x:c r="Y1" s="65"/>
      <x:c r="Z1" s="65"/>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row>
    <x:row r="2" ht="36" customHeight="1">
      <x:c r="A2" s="4"/>
      <x:c r="B2" s="4"/>
      <x:c r="C2" s="4"/>
      <x:c r="D2" s="4"/>
      <x:c r="E2" s="4"/>
      <x:c r="F2" s="4"/>
      <x:c r="G2" s="4"/>
      <x:c r="H2" s="4"/>
      <x:c r="I2" s="4"/>
      <x:c r="J2" s="4"/>
      <x:c r="K2" s="4"/>
      <x:c r="L2" s="4"/>
      <x:c r="M2" s="4"/>
      <x:c r="N2" s="4"/>
      <x:c r="O2" s="4"/>
      <x:c r="P2" s="4"/>
      <x:c r="Q2" s="4"/>
      <x:c r="R2" s="4"/>
      <x:c r="S2" s="4"/>
      <x:c r="T2" s="4"/>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row>
    <x:row r="3" ht="15">
      <x:c r="A3" s="88" t="s">
        <x:v>0</x:v>
      </x:c>
      <x:c r="B3" s="88" t="s">
        <x:v>1</x:v>
      </x:c>
      <x:c r="C3" s="88" t="s">
        <x:v>2</x:v>
      </x:c>
      <x:c r="D3" s="117" t="s">
        <x:v>3</x:v>
      </x:c>
      <x:c r="E3" s="118" t="s">
        <x:v>4</x:v>
      </x:c>
      <x:c r="F3" s="118" t="s">
        <x:v>5</x:v>
      </x:c>
      <x:c r="G3" s="88" t="s">
        <x:v>6</x:v>
      </x:c>
      <x:c r="H3" s="88" t="s">
        <x:v>7</x:v>
      </x:c>
      <x:c r="I3" s="88" t="s">
        <x:v>8</x:v>
      </x:c>
      <x:c r="J3" s="88" t="s">
        <x:v>9</x:v>
      </x:c>
      <x:c r="K3" s="88" t="s">
        <x:v>10</x:v>
      </x:c>
      <x:c r="L3" s="88" t="s">
        <x:v>11</x:v>
      </x:c>
      <x:c r="M3" s="88" t="s">
        <x:v>12</x:v>
      </x:c>
      <x:c r="N3" s="88" t="s">
        <x:v>13</x:v>
      </x:c>
      <x:c r="O3" s="88" t="s">
        <x:v>14</x:v>
      </x:c>
      <x:c r="P3" s="88" t="s">
        <x:v>15</x:v>
      </x:c>
      <x:c r="Q3" s="88" t="s">
        <x:v>16</x:v>
      </x:c>
      <x:c r="R3" s="9"/>
      <x:c r="S3" s="9"/>
      <x:c r="T3" s="9"/>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row>
    <x:row r="4" ht="27">
      <x:c r="A4" s="3" t="s">
        <x:v>17</x:v>
      </x:c>
      <x:c r="B4" s="98" t="s">
        <x:v>18</x:v>
      </x:c>
      <x:c r="C4" s="120">
        <x:v>8</x:v>
      </x:c>
      <x:c r="D4" s="120" t="n">
        <x:f>SUMIF('Detailed Gantt'!$B$6:$B$27,B4,'Detailed Gantt'!$M$6:$M$27)</x:f>
        <x:v>7.550000000000001</x:v>
      </x:c>
      <x:c r="E4" s="122" t="n">
        <x:f>IF(C4=0,0,SUMPRODUCT(('Detailed Gantt'!$B$6:$B$27=B4)*'Detailed Gantt'!$F$6:$F$27*'Detailed Gantt'!$L$6:$L$27)/C4)</x:f>
        <x:v>1</x:v>
      </x:c>
      <x:c r="F4" s="124">
        <x:v>46202</x:v>
      </x:c>
      <x:c r="G4" s="124">
        <x:v>46215</x:v>
      </x:c>
      <x:c r="H4" s="3" t="s">
        <x:v>19</x:v>
      </x:c>
      <x:c r="I4" s="125" t="s">
        <x:v>20</x:v>
      </x:c>
      <x:c r="J4" s="125" t="s">
        <x:v>21</x:v>
      </x:c>
      <x:c r="K4" s="126" t="s">
        <x:v>21</x:v>
      </x:c>
      <x:c r="L4" s="126"/>
      <x:c r="M4" s="126"/>
      <x:c r="N4" s="126"/>
      <x:c r="O4" s="126"/>
      <x:c r="P4" s="126"/>
      <x:c r="Q4" s="126"/>
      <x:c r="R4" s="10"/>
      <x:c r="S4" s="10"/>
      <x:c r="T4" s="10"/>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row>
    <x:row r="5" ht="27">
      <x:c r="A5" s="3" t="s">
        <x:v>22</x:v>
      </x:c>
      <x:c r="B5" s="99" t="s">
        <x:v>23</x:v>
      </x:c>
      <x:c r="C5" s="120">
        <x:v>24</x:v>
      </x:c>
      <x:c r="D5" s="120" t="n">
        <x:f>SUMIF('Detailed Gantt'!$B$6:$B$27,B5,'Detailed Gantt'!$M$6:$M$27)</x:f>
        <x:v>4.9</x:v>
      </x:c>
      <x:c r="E5" s="122" t="n">
        <x:f>IF(C5=0,0,SUMPRODUCT(('Detailed Gantt'!$B$6:$B$27=B5)*'Detailed Gantt'!$F$6:$F$27*'Detailed Gantt'!$L$6:$L$27)/C5)</x:f>
        <x:v>1</x:v>
      </x:c>
      <x:c r="F5" s="124">
        <x:v>46209</x:v>
      </x:c>
      <x:c r="G5" s="124">
        <x:v>46229</x:v>
      </x:c>
      <x:c r="H5" s="3" t="s">
        <x:v>24</x:v>
      </x:c>
      <x:c r="I5" s="126" t="s">
        <x:v>25</x:v>
      </x:c>
      <x:c r="J5" s="127"/>
      <x:c r="K5" s="127" t="s">
        <x:v>21</x:v>
      </x:c>
      <x:c r="L5" s="127" t="s">
        <x:v>21</x:v>
      </x:c>
      <x:c r="M5" s="126" t="s">
        <x:v>21</x:v>
      </x:c>
      <x:c r="N5" s="126"/>
      <x:c r="O5" s="126"/>
      <x:c r="P5" s="126"/>
      <x:c r="Q5" s="126"/>
      <x:c r="R5" s="10"/>
      <x:c r="S5" s="10"/>
      <x:c r="T5" s="10"/>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row>
    <x:row r="6" ht="15">
      <x:c r="A6" s="3" t="s">
        <x:v>26</x:v>
      </x:c>
      <x:c r="B6" s="100" t="s">
        <x:v>27</x:v>
      </x:c>
      <x:c r="C6" s="120">
        <x:v>14</x:v>
      </x:c>
      <x:c r="D6" s="120" t="n">
        <x:f>SUMIF('Detailed Gantt'!$B$6:$B$27,B6,'Detailed Gantt'!$M$6:$M$27)</x:f>
        <x:v>1.5799999999999998</x:v>
      </x:c>
      <x:c r="E6" s="122" t="n">
        <x:f>IF(C6=0,0,SUMPRODUCT(('Detailed Gantt'!$B$6:$B$27=B6)*'Detailed Gantt'!$F$6:$F$27*'Detailed Gantt'!$L$6:$L$27)/C6)</x:f>
        <x:v>1</x:v>
      </x:c>
      <x:c r="F6" s="124">
        <x:v>46230</x:v>
      </x:c>
      <x:c r="G6" s="124">
        <x:v>46236</x:v>
      </x:c>
      <x:c r="H6" s="3" t="s">
        <x:v>28</x:v>
      </x:c>
      <x:c r="I6" s="126" t="s">
        <x:v>29</x:v>
      </x:c>
      <x:c r="J6" s="126"/>
      <x:c r="K6" s="126"/>
      <x:c r="L6" s="128"/>
      <x:c r="M6" s="128"/>
      <x:c r="N6" s="128" t="s">
        <x:v>21</x:v>
      </x:c>
      <x:c r="O6" s="126"/>
      <x:c r="P6" s="126"/>
      <x:c r="Q6" s="126"/>
      <x:c r="R6" s="10"/>
      <x:c r="S6" s="10"/>
      <x:c r="T6" s="10"/>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row>
    <x:row r="7" ht="15">
      <x:c r="A7" s="3" t="s">
        <x:v>30</x:v>
      </x:c>
      <x:c r="B7" s="129" t="s">
        <x:v>31</x:v>
      </x:c>
      <x:c r="C7" s="120">
        <x:v>14</x:v>
      </x:c>
      <x:c r="D7" s="120" t="n">
        <x:f>SUMIF('Detailed Gantt'!$B$6:$B$27,B7,'Detailed Gantt'!$M$6:$M$27)</x:f>
        <x:v>1.97</x:v>
      </x:c>
      <x:c r="E7" s="122" t="n">
        <x:f>IF(C7=0,0,SUMPRODUCT(('Detailed Gantt'!$B$6:$B$27=B7)*'Detailed Gantt'!$F$6:$F$27*'Detailed Gantt'!$L$6:$L$27)/C7)</x:f>
        <x:v>1</x:v>
      </x:c>
      <x:c r="F7" s="124">
        <x:v>46209</x:v>
      </x:c>
      <x:c r="G7" s="124">
        <x:v>46243</x:v>
      </x:c>
      <x:c r="H7" s="3" t="s">
        <x:v>32</x:v>
      </x:c>
      <x:c r="I7" s="126" t="s">
        <x:v>33</x:v>
      </x:c>
      <x:c r="J7" s="126"/>
      <x:c r="K7" s="126" t="s">
        <x:v>21</x:v>
      </x:c>
      <x:c r="L7" s="126" t="s">
        <x:v>21</x:v>
      </x:c>
      <x:c r="M7" s="126" t="s">
        <x:v>21</x:v>
      </x:c>
      <x:c r="N7" s="130" t="s">
        <x:v>21</x:v>
      </x:c>
      <x:c r="O7" s="130" t="s">
        <x:v>21</x:v>
      </x:c>
      <x:c r="P7" s="130"/>
      <x:c r="Q7" s="126"/>
      <x:c r="R7" s="10"/>
      <x:c r="S7" s="10"/>
      <x:c r="T7" s="10"/>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row>
    <x:row r="8" ht="15">
      <x:c r="A8" s="3" t="s">
        <x:v>34</x:v>
      </x:c>
      <x:c r="B8" s="131" t="s">
        <x:v>35</x:v>
      </x:c>
      <x:c r="C8" s="120">
        <x:v>8</x:v>
      </x:c>
      <x:c r="D8" s="120" t="n">
        <x:f>SUMIF('Detailed Gantt'!$B$6:$B$27,B8,'Detailed Gantt'!$M$6:$M$27)</x:f>
        <x:v>0.72</x:v>
      </x:c>
      <x:c r="E8" s="122" t="n">
        <x:f>IF(C8=0,0,SUMPRODUCT(('Detailed Gantt'!$B$6:$B$27=B8)*'Detailed Gantt'!$F$6:$F$27*'Detailed Gantt'!$L$6:$L$27)/C8)</x:f>
        <x:v>1</x:v>
      </x:c>
      <x:c r="F8" s="124">
        <x:v>46223</x:v>
      </x:c>
      <x:c r="G8" s="124">
        <x:v>46250</x:v>
      </x:c>
      <x:c r="H8" s="3" t="s">
        <x:v>36</x:v>
      </x:c>
      <x:c r="I8" s="126" t="s">
        <x:v>37</x:v>
      </x:c>
      <x:c r="J8" s="126"/>
      <x:c r="K8" s="126"/>
      <x:c r="L8" s="126"/>
      <x:c r="M8" s="126" t="s">
        <x:v>21</x:v>
      </x:c>
      <x:c r="N8" s="126" t="s">
        <x:v>21</x:v>
      </x:c>
      <x:c r="O8" s="126" t="s">
        <x:v>21</x:v>
      </x:c>
      <x:c r="P8" s="132" t="s">
        <x:v>21</x:v>
      </x:c>
      <x:c r="Q8" s="132"/>
      <x:c r="R8" s="14"/>
      <x:c r="S8" s="10"/>
      <x:c r="T8" s="10"/>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row>
    <x:row r="9" ht="15">
      <x:c r="A9" s="3" t="s">
        <x:v>38</x:v>
      </x:c>
      <x:c r="B9" s="133" t="s">
        <x:v>39</x:v>
      </x:c>
      <x:c r="C9" s="120">
        <x:v>8</x:v>
      </x:c>
      <x:c r="D9" s="120" t="n">
        <x:f>SUMIF('Detailed Gantt'!$B$6:$B$27,B9,'Detailed Gantt'!$M$6:$M$27)</x:f>
        <x:v>0.6699999999999999</x:v>
      </x:c>
      <x:c r="E9" s="122" t="n">
        <x:f>IF(C9=0,0,SUMPRODUCT(('Detailed Gantt'!$B$6:$B$27=B9)*'Detailed Gantt'!$F$6:$F$27*'Detailed Gantt'!$L$6:$L$27)/C9)</x:f>
        <x:v>1</x:v>
      </x:c>
      <x:c r="F9" s="124">
        <x:v>46244</x:v>
      </x:c>
      <x:c r="G9" s="124">
        <x:v>46257</x:v>
      </x:c>
      <x:c r="H9" s="3" t="str">
        <x:v>Gate 6 — MVP v0.2.0 release</x:v>
      </x:c>
      <x:c r="I9" s="126" t="s">
        <x:v>40</x:v>
      </x:c>
      <x:c r="J9" s="126"/>
      <x:c r="K9" s="126"/>
      <x:c r="L9" s="126"/>
      <x:c r="M9" s="126"/>
      <x:c r="N9" s="126"/>
      <x:c r="O9" s="126"/>
      <x:c r="P9" s="126" t="s">
        <x:v>21</x:v>
      </x:c>
      <x:c r="Q9" s="126" t="s">
        <x:v>21</x:v>
      </x:c>
      <x:c r="R9" s="16"/>
      <x:c r="S9" s="16"/>
      <x:c r="T9" s="10"/>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row>
    <x:row r="10" ht="27">
      <x:c r="A10" s="89" t="s">
        <x:v>41</x:v>
      </x:c>
      <x:c r="B10" s="89"/>
      <x:c r="C10" s="121" t="n">
        <x:f>SUM(C4:C9)</x:f>
        <x:v>76</x:v>
      </x:c>
      <x:c r="D10" s="121" t="n">
        <x:f>SUM(D4:D9)</x:f>
        <x:v>17.39</x:v>
      </x:c>
      <x:c r="E10" s="123" t="n">
        <x:f>SUMPRODUCT(C4:C9,E4:E9)/C10</x:f>
        <x:v>1</x:v>
      </x:c>
      <x:c r="F10" s="116"/>
      <x:c r="G10" s="89"/>
      <x:c r="H10" s="89"/>
      <x:c r="I10" s="119"/>
      <x:c r="J10" s="119"/>
      <x:c r="K10" s="119"/>
      <x:c r="L10" s="119"/>
      <x:c r="M10" s="119"/>
      <x:c r="N10" s="119"/>
      <x:c r="O10" s="119"/>
      <x:c r="P10" s="119"/>
      <x:c r="Q10" s="119"/>
      <x:c r="R10" s="10"/>
      <x:c r="S10" s="18"/>
      <x:c r="T10" s="18"/>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row>
    <x:row r="11" ht="15">
      <x:c r="A11" s="77"/>
      <x:c r="B11" s="19"/>
      <x:c r="C11" s="19"/>
      <x:c r="D11" s="20"/>
      <x:c r="E11" s="19"/>
      <x:c r="F11" s="19"/>
      <x:c r="G11" s="19"/>
      <x:c r="H11" s="19"/>
      <x:c r="I11" s="19"/>
      <x:c r="J11" s="19"/>
      <x:c r="K11" s="19"/>
      <x:c r="L11" s="19"/>
      <x:c r="M11" s="19"/>
      <x:c r="N11" s="19"/>
      <x:c r="O11" s="19"/>
      <x:c r="P11" s="19"/>
      <x:c r="Q11" s="19"/>
      <x:c r="R11" s="19"/>
      <x:c r="S11" s="19"/>
      <x:c r="T11" s="2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row>
    <x:row r="12" ht="15">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row>
    <x:row r="13" ht="15">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row>
    <x:row r="14" ht="15">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row>
    <x:row r="15" ht="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row>
    <x:row r="16" ht="15">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row>
    <x:row r="17" ht="15">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row>
    <x:row r="18" ht="15">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row>
    <x:row r="19" ht="15">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row>
    <x:row r="20" ht="15">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row>
    <x:row r="21" ht="15">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row>
    <x:row r="22" ht="15">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row>
    <x:row r="23" ht="15">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row>
    <x:row r="24" ht="15">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row>
    <x:row r="25" ht="1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row>
    <x:row r="26" ht="15">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row>
    <x:row r="27" ht="15">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row>
    <x:row r="28" ht="15">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row>
    <x:row r="29" ht="15">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row>
    <x:row r="30" ht="15">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row>
    <x:row r="31" ht="15">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row>
    <x:row r="32" ht="15">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row>
    <x:row r="33" ht="15">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row>
    <x:row r="34" ht="15">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row>
    <x:row r="35" ht="1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row>
    <x:row r="36" ht="15">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row>
    <x:row r="37" ht="15">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row>
    <x:row r="38" ht="15">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row>
    <x:row r="39" ht="15">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row>
    <x:row r="40" ht="15">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row>
    <x:row r="41" ht="15">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c r="BA41" s="1"/>
      <x:c r="BB41" s="1"/>
      <x:c r="BC41" s="1"/>
      <x:c r="BD41" s="1"/>
      <x:c r="BE41" s="1"/>
      <x:c r="BF41" s="1"/>
      <x:c r="BG41" s="1"/>
      <x:c r="BH41" s="1"/>
      <x:c r="BI41" s="1"/>
      <x:c r="BJ41" s="1"/>
      <x:c r="BK41" s="1"/>
      <x:c r="BL41" s="1"/>
      <x:c r="BM41" s="1"/>
      <x:c r="BN41" s="1"/>
      <x:c r="BO41" s="1"/>
      <x:c r="BP41" s="1"/>
      <x:c r="BQ41" s="1"/>
    </x:row>
    <x:row r="42" ht="15">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row>
    <x:row r="43" ht="15">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row>
    <x:row r="44" ht="15">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row>
    <x:row r="45" ht="1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row>
    <x:row r="46" ht="15">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row>
    <x:row r="47" ht="15">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row>
    <x:row r="48" ht="15">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row>
    <x:row r="49" ht="15">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row>
    <x:row r="50" ht="15">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row>
    <x:row r="51" ht="15">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row>
    <x:row r="52" ht="15">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row>
    <x:row r="53" ht="15">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row>
    <x:row r="54" ht="15">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row>
    <x:row r="55" ht="1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row>
    <x:row r="56" ht="15">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row>
    <x:row r="57" ht="15">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row>
    <x:row r="58" ht="15">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row>
    <x:row r="59" ht="15">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row>
    <x:row r="60" ht="15">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row>
    <x:row r="61" ht="15">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row>
    <x:row r="62" ht="15">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row>
    <x:row r="63" ht="15">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row>
    <x:row r="64" ht="15">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row>
    <x:row r="65" ht="1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row>
    <x:row r="66" ht="15">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row>
    <x:row r="67" ht="15">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row>
    <x:row r="68" ht="15">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row>
    <x:row r="69" ht="15">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row>
    <x:row r="70" ht="1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row>
    <x:row r="71" ht="15">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row>
    <x:row r="72" ht="15">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row>
    <x:row r="73" ht="1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row>
    <x:row r="74" ht="15">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row>
    <x:row r="75" ht="1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row>
    <x:row r="76" ht="15">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row>
    <x:row r="77" ht="15">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row>
    <x:row r="78" ht="15">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row>
    <x:row r="79" ht="15">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row>
    <x:row r="80" ht="15">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row>
    <x:row r="81" ht="15">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row>
    <x:row r="82" ht="15">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row>
    <x:row r="83" ht="15">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row>
    <x:row r="84" ht="15">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row>
    <x:row r="85" ht="1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row>
    <x:row r="86" ht="15">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row>
    <x:row r="87" ht="15">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row>
    <x:row r="88" ht="15">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row>
    <x:row r="89" ht="15">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row>
    <x:row r="90" ht="15">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row>
    <x:row r="91" ht="15">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row>
    <x:row r="92" ht="1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row>
    <x:row r="93" ht="15">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row>
    <x:row r="94" ht="15">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row>
    <x:row r="95" ht="1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row>
    <x:row r="96" ht="15">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row>
    <x:row r="97" ht="15">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row>
    <x:row r="98" ht="15">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row>
    <x:row r="99" ht="15">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row>
    <x:row r="100" ht="15">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row>
  </x:sheetData>
  <x:mergeCells>
    <x:mergeCell ref="A1:Q1"/>
  </x:mergeCells>
  <x:conditionalFormatting sqref="J4:Q9">
    <x:cfRule type="expression" dxfId="14" priority="1">
      <x:formula>J4="■"</x:formula>
    </x:cfRule>
  </x:conditionalFormatting>
  <x:pageMargins left="0.7" right="0.7" top="0.75" bottom="0.75" header="0.3" footer="0.3"/>
</x:worksheet>
</file>

<file path=xl/worksheets/sheet3.xml><?xml version="1.0" encoding="utf-8"?>
<x:worksheet xmlns:x="http://schemas.openxmlformats.org/spreadsheetml/2006/main">
  <x:sheetFormatPr defaultRowHeight="14.25"/>
  <x:cols>
    <x:col min="1" max="1" width="8" customWidth="1"/>
    <x:col min="2" max="2" width="26" customWidth="1"/>
    <x:col min="3" max="3" width="34" customWidth="1"/>
    <x:col min="4" max="4" width="45" customWidth="1"/>
    <x:col min="5" max="5" width="14" customWidth="1"/>
    <x:col min="6" max="6" width="11" customWidth="1"/>
    <x:col min="7" max="8" width="9" customWidth="1"/>
    <x:col min="9" max="10" width="12" customWidth="1"/>
    <x:col min="11" max="11" width="13" customWidth="1"/>
    <x:col min="12" max="13" width="11" customWidth="1"/>
    <x:col min="14" max="14" width="13" customWidth="1"/>
    <x:col min="15" max="15" width="11" customWidth="1"/>
    <x:col min="16" max="16" width="28" customWidth="1"/>
    <x:col min="17" max="17" width="34" customWidth="1"/>
    <x:col min="18" max="18" width="42" customWidth="1"/>
    <x:col min="19" max="26" width="7" customWidth="1"/>
    <x:col min="27" max="69" width="5" customWidth="1"/>
  </x:cols>
  <x:sheetData>
    <x:row r="1" ht="15">
      <x:c r="A1" s="86" t="s">
        <x:v>42</x:v>
      </x:c>
      <x:c r="B1" s="87">
        <x:v>46202</x:v>
      </x:c>
      <x:c r="C1" s="87"/>
      <x:c r="D1" s="86" t="s">
        <x:v>43</x:v>
      </x:c>
      <x:c r="E1" s="86">
        <x:v>76</x:v>
      </x:c>
      <x:c r="F1" s="86"/>
      <x:c r="G1" s="86" t="s">
        <x:v>44</x:v>
      </x:c>
      <x:c r="H1" s="87">
        <x:v>46257</x:v>
      </x:c>
      <x:c r="I1" s="86"/>
      <x:c r="J1" s="86" t="s">
        <x:v>45</x:v>
      </x:c>
      <x:c r="K1" s="86" t="s">
        <x:v>46</x:v>
      </x:c>
      <x:c r="L1" s="2"/>
      <x:c r="M1" s="2"/>
      <x:c r="N1" s="2"/>
      <x:c r="O1" s="2"/>
      <x:c r="P1" s="2"/>
      <x:c r="Q1" s="2"/>
      <x:c r="R1" s="176"/>
      <x:c r="S1" s="176"/>
      <x:c r="T1" s="176"/>
      <x:c r="U1" s="176"/>
      <x:c r="V1" s="176"/>
      <x:c r="W1" s="176"/>
      <x:c r="X1" s="176"/>
      <x:c r="Y1" s="176"/>
      <x:c r="Z1" s="176"/>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row>
    <x:row r="2" ht="15">
      <x:c r="A2" s="710" t="str">
        <x:v>Historical v0.2.0 baseline. Do not edit except for documented corrective-release history. Active work is controlled in Pilot Gantt.</x:v>
      </x:c>
      <x:c r="B2" s="710"/>
      <x:c r="C2" s="710"/>
      <x:c r="D2" s="710"/>
      <x:c r="E2" s="710"/>
      <x:c r="F2" s="710"/>
      <x:c r="G2" s="710"/>
      <x:c r="H2" s="710"/>
      <x:c r="I2" s="710"/>
      <x:c r="J2" s="710"/>
      <x:c r="K2" s="710"/>
      <x:c r="L2" s="710"/>
      <x:c r="M2" s="710"/>
      <x:c r="N2" s="710"/>
      <x:c r="O2" s="710"/>
      <x:c r="P2" s="710"/>
      <x:c r="Q2" s="710"/>
      <x:c r="R2" s="711"/>
      <x:c r="S2" s="711"/>
      <x:c r="T2" s="711"/>
      <x:c r="U2" s="711"/>
      <x:c r="V2" s="711"/>
      <x:c r="W2" s="711"/>
      <x:c r="X2" s="711"/>
      <x:c r="Y2" s="711"/>
      <x:c r="Z2" s="71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row>
    <x:row r="3" ht="15">
      <x:c r="A3" s="219" t="s">
        <x:v>47</x:v>
      </x:c>
      <x:c r="B3" s="219"/>
      <x:c r="C3" s="220"/>
      <x:c r="D3" s="220"/>
      <x:c r="E3" s="220"/>
      <x:c r="F3" s="220"/>
      <x:c r="G3" s="220"/>
      <x:c r="H3" s="220"/>
      <x:c r="I3" s="220"/>
      <x:c r="J3" s="220"/>
      <x:c r="K3" s="220"/>
      <x:c r="L3" s="220"/>
      <x:c r="M3" s="220"/>
      <x:c r="N3" s="220"/>
      <x:c r="O3" s="220"/>
      <x:c r="P3" s="220"/>
      <x:c r="Q3" s="220"/>
      <x:c r="R3" s="221"/>
      <x:c r="S3" s="176"/>
      <x:c r="T3" s="176"/>
      <x:c r="U3" s="176"/>
      <x:c r="V3" s="176"/>
      <x:c r="W3" s="176"/>
      <x:c r="X3" s="176"/>
      <x:c r="Y3" s="176"/>
      <x:c r="Z3" s="176"/>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row>
    <x:row r="4" ht="27.950000762939453" customHeight="1">
      <x:c r="A4" s="1"/>
      <x:c r="B4" s="1"/>
      <x:c r="C4" s="1"/>
      <x:c r="D4" s="1"/>
      <x:c r="E4" s="1"/>
      <x:c r="F4" s="1"/>
      <x:c r="G4" s="1"/>
      <x:c r="H4" s="1"/>
      <x:c r="I4" s="1"/>
      <x:c r="J4" s="1"/>
      <x:c r="K4" s="1"/>
      <x:c r="L4" s="1"/>
      <x:c r="M4" s="1"/>
      <x:c r="N4" s="1"/>
      <x:c r="O4" s="1"/>
      <x:c r="P4" s="1"/>
      <x:c r="Q4" s="1"/>
      <x:c r="R4" s="22"/>
      <x:c r="S4" s="171">
        <x:v>46202</x:v>
      </x:c>
      <x:c r="T4" s="171">
        <x:v>46209</x:v>
      </x:c>
      <x:c r="U4" s="171">
        <x:v>46216</x:v>
      </x:c>
      <x:c r="V4" s="171">
        <x:v>46223</x:v>
      </x:c>
      <x:c r="W4" s="171">
        <x:v>46230</x:v>
      </x:c>
      <x:c r="X4" s="171">
        <x:v>46237</x:v>
      </x:c>
      <x:c r="Y4" s="171">
        <x:v>46244</x:v>
      </x:c>
      <x:c r="Z4" s="171">
        <x:v>46251</x:v>
      </x:c>
      <x:c r="AA4" s="22"/>
      <x:c r="AB4" s="22"/>
      <x:c r="AC4" s="22"/>
      <x:c r="AD4" s="22"/>
      <x:c r="AE4" s="22"/>
      <x:c r="AF4" s="22"/>
      <x:c r="AG4" s="22"/>
      <x:c r="AH4" s="22"/>
      <x:c r="AI4" s="22"/>
      <x:c r="AJ4" s="22"/>
      <x:c r="AK4" s="22"/>
      <x:c r="AL4" s="22"/>
      <x:c r="AM4" s="22"/>
      <x:c r="AN4" s="22"/>
      <x:c r="AO4" s="22"/>
      <x:c r="AP4" s="22"/>
      <x:c r="AQ4" s="22"/>
      <x:c r="AR4" s="22"/>
      <x:c r="AS4" s="22"/>
      <x:c r="AT4" s="22"/>
      <x:c r="AU4" s="22"/>
      <x:c r="AV4" s="22"/>
      <x:c r="AW4" s="22"/>
      <x:c r="AX4" s="22"/>
      <x:c r="AY4" s="22"/>
      <x:c r="AZ4" s="22"/>
      <x:c r="BA4" s="22"/>
      <x:c r="BB4" s="22"/>
      <x:c r="BC4" s="22"/>
      <x:c r="BD4" s="22"/>
      <x:c r="BE4" s="22"/>
      <x:c r="BF4" s="22"/>
      <x:c r="BG4" s="22"/>
      <x:c r="BH4" s="22"/>
      <x:c r="BI4" s="22"/>
      <x:c r="BJ4" s="22"/>
      <x:c r="BK4" s="22"/>
      <x:c r="BL4" s="22"/>
      <x:c r="BM4" s="22"/>
      <x:c r="BN4" s="22"/>
      <x:c r="BO4" s="22"/>
      <x:c r="BP4" s="22"/>
      <x:c r="BQ4" s="22"/>
    </x:row>
    <x:row r="5" ht="42" customHeight="1">
      <x:c r="A5" s="494" t="s">
        <x:v>48</x:v>
      </x:c>
      <x:c r="B5" s="494" t="s">
        <x:v>1</x:v>
      </x:c>
      <x:c r="C5" s="494" t="s">
        <x:v>49</x:v>
      </x:c>
      <x:c r="D5" s="494" t="s">
        <x:v>50</x:v>
      </x:c>
      <x:c r="E5" s="494" t="s">
        <x:v>51</x:v>
      </x:c>
      <x:c r="F5" s="494" t="s">
        <x:v>2</x:v>
      </x:c>
      <x:c r="G5" s="494" t="s">
        <x:v>52</x:v>
      </x:c>
      <x:c r="H5" s="494" t="s">
        <x:v>53</x:v>
      </x:c>
      <x:c r="I5" s="494" t="s">
        <x:v>54</x:v>
      </x:c>
      <x:c r="J5" s="494" t="s">
        <x:v>55</x:v>
      </x:c>
      <x:c r="K5" s="494" t="s">
        <x:v>56</x:v>
      </x:c>
      <x:c r="L5" s="494" t="s">
        <x:v>4</x:v>
      </x:c>
      <x:c r="M5" s="494" t="s">
        <x:v>3</x:v>
      </x:c>
      <x:c r="N5" s="494" t="s">
        <x:v>57</x:v>
      </x:c>
      <x:c r="O5" s="494" t="s">
        <x:v>58</x:v>
      </x:c>
      <x:c r="P5" s="494" t="s">
        <x:v>59</x:v>
      </x:c>
      <x:c r="Q5" s="494" t="s">
        <x:v>60</x:v>
      </x:c>
      <x:c r="R5" s="494" t="s">
        <x:v>61</x:v>
      </x:c>
      <x:c r="S5" s="172" t="s">
        <x:v>9</x:v>
      </x:c>
      <x:c r="T5" s="172" t="s">
        <x:v>10</x:v>
      </x:c>
      <x:c r="U5" s="172" t="s">
        <x:v>11</x:v>
      </x:c>
      <x:c r="V5" s="172" t="s">
        <x:v>12</x:v>
      </x:c>
      <x:c r="W5" s="172" t="s">
        <x:v>13</x:v>
      </x:c>
      <x:c r="X5" s="172" t="s">
        <x:v>14</x:v>
      </x:c>
      <x:c r="Y5" s="172" t="s">
        <x:v>15</x:v>
      </x:c>
      <x:c r="Z5" s="172" t="s">
        <x:v>16</x:v>
      </x:c>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row>
    <x:row r="6" ht="42" customHeight="1">
      <x:c r="A6" s="613" t="s">
        <x:v>62</x:v>
      </x:c>
      <x:c r="B6" s="634" t="s">
        <x:v>18</x:v>
      </x:c>
      <x:c r="C6" s="613" t="s">
        <x:v>63</x:v>
      </x:c>
      <x:c r="D6" s="613" t="s">
        <x:v>64</x:v>
      </x:c>
      <x:c r="E6" s="613" t="s">
        <x:v>65</x:v>
      </x:c>
      <x:c r="F6" s="615">
        <x:v>2</x:v>
      </x:c>
      <x:c r="G6" s="616">
        <x:v>1</x:v>
      </x:c>
      <x:c r="H6" s="616">
        <x:v>1</x:v>
      </x:c>
      <x:c r="I6" s="617" t="n">
        <x:f t="shared" ref="I6:I37" si="0">$B$1+(G6-1)*7</x:f>
        <x:v>46202</x:v>
      </x:c>
      <x:c r="J6" s="617" t="n">
        <x:f t="shared" ref="J6:J37" si="1">$B$1+H6*7-1</x:f>
        <x:v>46208</x:v>
      </x:c>
      <x:c r="K6" s="617" t="n">
        <x:f t="shared" ref="K6:K37" si="2">$C$1+H6*7-1</x:f>
        <x:v>6</x:v>
      </x:c>
      <x:c r="L6" s="618">
        <x:v>1</x:v>
      </x:c>
      <x:c r="M6" s="619" t="n">
        <x:f>SUMIF('Work Block Log'!$E$5:$E$200,A6,'Work Block Log'!$F$5:$F$200)</x:f>
        <x:v>2.5</x:v>
      </x:c>
      <x:c r="N6" s="619" t="n">
        <x:f t="shared" ref="N6:N27" si="3">MAX(F6*(1-L6),0)</x:f>
        <x:v>0</x:v>
      </x:c>
      <x:c r="O6" s="619" t="n">
        <x:f t="shared" ref="O6:O37" si="4">M6-F6</x:f>
        <x:v>0.5</x:v>
      </x:c>
      <x:c r="P6" s="616" t="n">
        <x:f t="shared" ref="P6:P37" si="5">MAX(F6*(1-M6),0)</x:f>
        <x:v>0</x:v>
      </x:c>
      <x:c r="Q6" s="613" t="s">
        <x:v>66</x:v>
      </x:c>
      <x:c r="R6" s="640" t="s">
        <x:v>67</x:v>
      </x:c>
      <x:c r="S6" s="173" t="s">
        <x:v>21</x:v>
      </x:c>
      <x:c r="T6" s="173"/>
      <x:c r="U6" s="173"/>
      <x:c r="V6" s="173"/>
      <x:c r="W6" s="173"/>
      <x:c r="X6" s="173"/>
      <x:c r="Y6" s="173"/>
      <x:c r="Z6" s="173"/>
      <x:c r="AA6" s="26"/>
      <x:c r="AB6" s="26"/>
      <x:c r="AC6" s="26"/>
      <x:c r="AD6" s="26"/>
      <x:c r="AE6" s="26"/>
      <x:c r="AF6" s="26"/>
      <x:c r="AG6" s="26"/>
      <x:c r="AH6" s="26"/>
      <x:c r="AI6" s="26"/>
      <x:c r="AJ6" s="26"/>
      <x:c r="AK6" s="26"/>
      <x:c r="AL6" s="26"/>
      <x:c r="AM6" s="26"/>
      <x:c r="AN6" s="26"/>
      <x:c r="AO6" s="26"/>
      <x:c r="AP6" s="26"/>
      <x:c r="AQ6" s="26"/>
      <x:c r="AR6" s="26"/>
      <x:c r="AS6" s="26"/>
      <x:c r="AT6" s="26"/>
      <x:c r="AU6" s="26"/>
      <x:c r="AV6" s="26"/>
      <x:c r="AW6" s="26"/>
      <x:c r="AX6" s="26"/>
      <x:c r="AY6" s="26"/>
      <x:c r="AZ6" s="26"/>
      <x:c r="BA6" s="26"/>
      <x:c r="BB6" s="26"/>
      <x:c r="BC6" s="26"/>
      <x:c r="BD6" s="26"/>
      <x:c r="BE6" s="26"/>
      <x:c r="BF6" s="26"/>
      <x:c r="BG6" s="26"/>
      <x:c r="BH6" s="26"/>
      <x:c r="BI6" s="26"/>
      <x:c r="BJ6" s="26"/>
      <x:c r="BK6" s="26"/>
      <x:c r="BL6" s="26"/>
      <x:c r="BM6" s="26"/>
      <x:c r="BN6" s="26"/>
      <x:c r="BO6" s="26"/>
      <x:c r="BP6" s="26"/>
      <x:c r="BQ6" s="27"/>
    </x:row>
    <x:row r="7" ht="42" customHeight="1">
      <x:c r="A7" s="621" t="s">
        <x:v>68</x:v>
      </x:c>
      <x:c r="B7" s="634" t="s">
        <x:v>18</x:v>
      </x:c>
      <x:c r="C7" s="621" t="s">
        <x:v>69</x:v>
      </x:c>
      <x:c r="D7" s="621" t="s">
        <x:v>70</x:v>
      </x:c>
      <x:c r="E7" s="621" t="s">
        <x:v>62</x:v>
      </x:c>
      <x:c r="F7" s="623">
        <x:v>2</x:v>
      </x:c>
      <x:c r="G7" s="624">
        <x:v>1</x:v>
      </x:c>
      <x:c r="H7" s="624">
        <x:v>2</x:v>
      </x:c>
      <x:c r="I7" s="625">
        <x:f t="shared" si="0"/>
        <x:v>46202</x:v>
      </x:c>
      <x:c r="J7" s="625">
        <x:f t="shared" si="1"/>
        <x:v>46215</x:v>
      </x:c>
      <x:c r="K7" s="625" t="str">
        <x:f t="shared" si="2"/>
        <x:v>Complete</x:v>
      </x:c>
      <x:c r="L7" s="626">
        <x:v>1</x:v>
      </x:c>
      <x:c r="M7" s="627" t="n">
        <x:f>SUMIF('Work Block Log'!$E$5:$E$200,A7,'Work Block Log'!$F$5:$F$200)</x:f>
        <x:v>2.9</x:v>
      </x:c>
      <x:c r="N7" s="627">
        <x:f t="shared" si="3"/>
        <x:v>0</x:v>
      </x:c>
      <x:c r="O7" s="627">
        <x:f t="shared" si="4"/>
        <x:v>0.89999999999999991</x:v>
      </x:c>
      <x:c r="P7" s="624" t="str">
        <x:f t="shared" si="5"/>
        <x:v>c71676d; docs/architecture.md; gantt.xlsx; EV-007–EV-009.</x:v>
      </x:c>
      <x:c r="Q7" s="621" t="s">
        <x:v>71</x:v>
      </x:c>
      <x:c r="R7" s="640" t="s">
        <x:v>72</x:v>
      </x:c>
      <x:c r="S7" s="173" t="s">
        <x:v>21</x:v>
      </x:c>
      <x:c r="T7" s="173" t="s">
        <x:v>21</x:v>
      </x:c>
      <x:c r="U7" s="173"/>
      <x:c r="V7" s="173"/>
      <x:c r="W7" s="173"/>
      <x:c r="X7" s="173"/>
      <x:c r="Y7" s="173"/>
      <x:c r="Z7" s="173"/>
      <x:c r="AA7" s="28"/>
      <x:c r="AB7" s="28"/>
      <x:c r="AC7" s="28"/>
      <x:c r="AD7" s="28"/>
      <x:c r="AE7" s="28"/>
      <x:c r="AF7" s="28"/>
      <x:c r="AG7" s="28"/>
      <x:c r="AH7" s="28"/>
      <x:c r="AI7" s="28"/>
      <x:c r="AJ7" s="28"/>
      <x:c r="AK7" s="28"/>
      <x:c r="AL7" s="28"/>
      <x:c r="AM7" s="28"/>
      <x:c r="AN7" s="28"/>
      <x:c r="AO7" s="28"/>
      <x:c r="AP7" s="28"/>
      <x:c r="AQ7" s="28"/>
      <x:c r="AR7" s="28"/>
      <x:c r="AS7" s="28"/>
      <x:c r="AT7" s="28"/>
      <x:c r="AU7" s="28"/>
      <x:c r="AV7" s="28"/>
      <x:c r="AW7" s="28"/>
      <x:c r="AX7" s="28"/>
      <x:c r="AY7" s="28"/>
      <x:c r="AZ7" s="28"/>
      <x:c r="BA7" s="28"/>
      <x:c r="BB7" s="28"/>
      <x:c r="BC7" s="28"/>
      <x:c r="BD7" s="28"/>
      <x:c r="BE7" s="28"/>
      <x:c r="BF7" s="28"/>
      <x:c r="BG7" s="28"/>
      <x:c r="BH7" s="28"/>
      <x:c r="BI7" s="28"/>
      <x:c r="BJ7" s="28"/>
      <x:c r="BK7" s="28"/>
      <x:c r="BL7" s="28"/>
      <x:c r="BM7" s="28"/>
      <x:c r="BN7" s="28"/>
      <x:c r="BO7" s="28"/>
      <x:c r="BP7" s="28"/>
      <x:c r="BQ7" s="29"/>
    </x:row>
    <x:row r="8" ht="42" customHeight="1">
      <x:c r="A8" s="613" t="s">
        <x:v>73</x:v>
      </x:c>
      <x:c r="B8" s="634" t="s">
        <x:v>18</x:v>
      </x:c>
      <x:c r="C8" s="613" t="s">
        <x:v>74</x:v>
      </x:c>
      <x:c r="D8" s="613" t="s">
        <x:v>75</x:v>
      </x:c>
      <x:c r="E8" s="613" t="s">
        <x:v>62</x:v>
      </x:c>
      <x:c r="F8" s="615">
        <x:v>4</x:v>
      </x:c>
      <x:c r="G8" s="616">
        <x:v>1</x:v>
      </x:c>
      <x:c r="H8" s="616">
        <x:v>1</x:v>
      </x:c>
      <x:c r="I8" s="617">
        <x:f t="shared" si="0"/>
        <x:v>46202</x:v>
      </x:c>
      <x:c r="J8" s="617">
        <x:f t="shared" si="1"/>
        <x:v>46208</x:v>
      </x:c>
      <x:c r="K8" s="617" t="str">
        <x:f t="shared" si="2"/>
        <x:v>Complete</x:v>
      </x:c>
      <x:c r="L8" s="618">
        <x:v>1</x:v>
      </x:c>
      <x:c r="M8" s="619" t="n">
        <x:f>SUMIF('Work Block Log'!$E$5:$E$200,A8,'Work Block Log'!$F$5:$F$200)</x:f>
        <x:v>2.15</x:v>
      </x:c>
      <x:c r="N8" s="619">
        <x:f t="shared" si="3"/>
        <x:v>0</x:v>
      </x:c>
      <x:c r="O8" s="619">
        <x:f t="shared" si="4"/>
        <x:v>-1.85</x:v>
      </x:c>
      <x:c r="P8" s="616" t="str">
        <x:f t="shared" si="5"/>
        <x:v>PR #2–#5; merges 84ae42e, 90ead34, 8399f1f, and 0205c60; 25 tests.</x:v>
      </x:c>
      <x:c r="Q8" s="613" t="s">
        <x:v>76</x:v>
      </x:c>
      <x:c r="R8" s="640" t="s">
        <x:v>77</x:v>
      </x:c>
      <x:c r="S8" s="174" t="s">
        <x:v>21</x:v>
      </x:c>
      <x:c r="T8" s="173"/>
      <x:c r="U8" s="173"/>
      <x:c r="V8" s="173"/>
      <x:c r="W8" s="173"/>
      <x:c r="X8" s="173"/>
      <x:c r="Y8" s="173"/>
      <x:c r="Z8" s="173"/>
      <x:c r="AA8" s="28"/>
      <x:c r="AB8" s="28"/>
      <x:c r="AC8" s="28"/>
      <x:c r="AD8" s="28"/>
      <x:c r="AE8" s="28"/>
      <x:c r="AF8" s="28"/>
      <x:c r="AG8" s="28"/>
      <x:c r="AH8" s="28"/>
      <x:c r="AI8" s="28"/>
      <x:c r="AJ8" s="28"/>
      <x:c r="AK8" s="28"/>
      <x:c r="AL8" s="28"/>
      <x:c r="AM8" s="28"/>
      <x:c r="AN8" s="28"/>
      <x:c r="AO8" s="28"/>
      <x:c r="AP8" s="28"/>
      <x:c r="AQ8" s="28"/>
      <x:c r="AR8" s="28"/>
      <x:c r="AS8" s="28"/>
      <x:c r="AT8" s="28"/>
      <x:c r="AU8" s="28"/>
      <x:c r="AV8" s="28"/>
      <x:c r="AW8" s="28"/>
      <x:c r="AX8" s="28"/>
      <x:c r="AY8" s="28"/>
      <x:c r="AZ8" s="28"/>
      <x:c r="BA8" s="28"/>
      <x:c r="BB8" s="28"/>
      <x:c r="BC8" s="28"/>
      <x:c r="BD8" s="28"/>
      <x:c r="BE8" s="28"/>
      <x:c r="BF8" s="28"/>
      <x:c r="BG8" s="28"/>
      <x:c r="BH8" s="28"/>
      <x:c r="BI8" s="28"/>
      <x:c r="BJ8" s="28"/>
      <x:c r="BK8" s="28"/>
      <x:c r="BL8" s="28"/>
      <x:c r="BM8" s="28"/>
      <x:c r="BN8" s="28"/>
      <x:c r="BO8" s="28"/>
      <x:c r="BP8" s="28"/>
      <x:c r="BQ8" s="29"/>
    </x:row>
    <x:row r="9" ht="82" customHeight="1">
      <x:c r="A9" s="621" t="s">
        <x:v>78</x:v>
      </x:c>
      <x:c r="B9" s="635" t="s">
        <x:v>23</x:v>
      </x:c>
      <x:c r="C9" s="621" t="s">
        <x:v>79</x:v>
      </x:c>
      <x:c r="D9" s="621" t="s">
        <x:v>80</x:v>
      </x:c>
      <x:c r="E9" s="621" t="s">
        <x:v>73</x:v>
      </x:c>
      <x:c r="F9" s="623">
        <x:v>4</x:v>
      </x:c>
      <x:c r="G9" s="624">
        <x:v>2</x:v>
      </x:c>
      <x:c r="H9" s="624">
        <x:v>2</x:v>
      </x:c>
      <x:c r="I9" s="625">
        <x:f t="shared" si="0"/>
        <x:v>46209</x:v>
      </x:c>
      <x:c r="J9" s="625">
        <x:f t="shared" si="1"/>
        <x:v>46215</x:v>
      </x:c>
      <x:c r="K9" s="625" t="str">
        <x:f t="shared" si="2"/>
        <x:v>Complete</x:v>
      </x:c>
      <x:c r="L9" s="626" t="n">
        <x:v>1</x:v>
      </x:c>
      <x:c r="M9" s="627" t="n">
        <x:f>SUMIF('Work Block Log'!$E$5:$E$200,A9,'Work Block Log'!$F$5:$F$200)</x:f>
        <x:v>0.73</x:v>
      </x:c>
      <x:c r="N9" s="627" t="n">
        <x:f t="shared" si="3">MAX(F9*(1-L9),0)</x:f>
        <x:v>0</x:v>
      </x:c>
      <x:c r="O9" s="627" t="n">
        <x:f t="shared" si="4">M9-F9</x:f>
        <x:v>-3.27</x:v>
      </x:c>
      <x:c r="P9" s="624" t="str">
        <x:f t="shared" si="5"/>
        <x:v>PR #6 merged in c419dc3; feature commit 2b0b6e7; Gantt closeout ba18051; 31 passing tests.</x:v>
      </x:c>
      <x:c r="Q9" s="621" t="str">
        <x:v>Complete. Preserve the candidate envelope as the input contract for subsequent evaluator work.</x:v>
      </x:c>
      <x:c r="R9" s="641" t="str">
        <x:v>Completed 2026-07-05. Logged implementation plus closeout total: 0.73 h. Candidate examples remain separate from benchmark case definitions.</x:v>
      </x:c>
      <x:c r="S9" s="174"/>
      <x:c r="T9" s="173" t="s">
        <x:v>21</x:v>
      </x:c>
      <x:c r="U9" s="173"/>
      <x:c r="V9" s="173"/>
      <x:c r="W9" s="173"/>
      <x:c r="X9" s="173"/>
      <x:c r="Y9" s="173"/>
      <x:c r="Z9" s="173"/>
      <x:c r="AA9" s="28"/>
      <x:c r="AB9" s="28"/>
      <x:c r="AC9" s="28"/>
      <x:c r="AD9" s="28"/>
      <x:c r="AE9" s="28"/>
      <x:c r="AF9" s="28"/>
      <x:c r="AG9" s="28"/>
      <x:c r="AH9" s="28"/>
      <x:c r="AI9" s="28"/>
      <x:c r="AJ9" s="28"/>
      <x:c r="AK9" s="28"/>
      <x:c r="AL9" s="28"/>
      <x:c r="AM9" s="28"/>
      <x:c r="AN9" s="28"/>
      <x:c r="AO9" s="28"/>
      <x:c r="AP9" s="28"/>
      <x:c r="AQ9" s="28"/>
      <x:c r="AR9" s="28"/>
      <x:c r="AS9" s="28"/>
      <x:c r="AT9" s="28"/>
      <x:c r="AU9" s="28"/>
      <x:c r="AV9" s="28"/>
      <x:c r="AW9" s="28"/>
      <x:c r="AX9" s="28"/>
      <x:c r="AY9" s="28"/>
      <x:c r="AZ9" s="28"/>
      <x:c r="BA9" s="28"/>
      <x:c r="BB9" s="28"/>
      <x:c r="BC9" s="28"/>
      <x:c r="BD9" s="28"/>
      <x:c r="BE9" s="28"/>
      <x:c r="BF9" s="28"/>
      <x:c r="BG9" s="28"/>
      <x:c r="BH9" s="28"/>
      <x:c r="BI9" s="28"/>
      <x:c r="BJ9" s="28"/>
      <x:c r="BK9" s="28"/>
      <x:c r="BL9" s="28"/>
      <x:c r="BM9" s="28"/>
      <x:c r="BN9" s="28"/>
      <x:c r="BO9" s="28"/>
      <x:c r="BP9" s="28"/>
      <x:c r="BQ9" s="29"/>
    </x:row>
    <x:row r="10" ht="82" customHeight="1">
      <x:c r="A10" s="613" t="s">
        <x:v>81</x:v>
      </x:c>
      <x:c r="B10" s="635" t="s">
        <x:v>23</x:v>
      </x:c>
      <x:c r="C10" s="613" t="s">
        <x:v>82</x:v>
      </x:c>
      <x:c r="D10" s="613" t="s">
        <x:v>83</x:v>
      </x:c>
      <x:c r="E10" s="613" t="s">
        <x:v>78</x:v>
      </x:c>
      <x:c r="F10" s="615">
        <x:v>5</x:v>
      </x:c>
      <x:c r="G10" s="616">
        <x:v>2</x:v>
      </x:c>
      <x:c r="H10" s="616">
        <x:v>3</x:v>
      </x:c>
      <x:c r="I10" s="617">
        <x:f t="shared" si="0"/>
        <x:v>46209</x:v>
      </x:c>
      <x:c r="J10" s="617">
        <x:f t="shared" si="1"/>
        <x:v>46222</x:v>
      </x:c>
      <x:c r="K10" s="617" t="str">
        <x:f t="shared" si="2"/>
        <x:v>Complete</x:v>
      </x:c>
      <x:c r="L10" s="618" t="n">
        <x:v>1</x:v>
      </x:c>
      <x:c r="M10" s="619" t="n">
        <x:f>SUMIF('Work Block Log'!$E$5:$E$200,A10,'Work Block Log'!$F$5:$F$200)</x:f>
        <x:v>0.5</x:v>
      </x:c>
      <x:c r="N10" s="619" t="n">
        <x:f t="shared" si="3">MAX(F10*(1-L10),0)</x:f>
        <x:v>0</x:v>
      </x:c>
      <x:c r="O10" s="619" t="n">
        <x:f t="shared" si="4">M10-F10</x:f>
        <x:v>-4.5</x:v>
      </x:c>
      <x:c r="P10" s="616" t="str">
        <x:f t="shared" si="5"/>
        <x:v>c05ef3d merged to main in 05c025b; GateResult engine; seven focused tests; 38 total tests.</x:v>
      </x:c>
      <x:c r="Q10" s="613" t="str">
        <x:v>Begin WBS 1.3: implement CheckResult and deterministic exact, Boolean, set, and contains checks.</x:v>
      </x:c>
      <x:c r="R10" s="640" t="str">
        <x:v>Completed 2026-07-05 in 0.50 h. Gates execute in evaluator order and stop after the first failure. Task specifications declare payload types; Boolean is not accepted as numeric.</x:v>
      </x:c>
      <x:c r="S10" s="174"/>
      <x:c r="T10" s="174" t="s">
        <x:v>21</x:v>
      </x:c>
      <x:c r="U10" s="174" t="s">
        <x:v>21</x:v>
      </x:c>
      <x:c r="V10" s="174"/>
      <x:c r="W10" s="174"/>
      <x:c r="X10" s="174"/>
      <x:c r="Y10" s="174"/>
      <x:c r="Z10" s="174"/>
      <x:c r="AA10" s="32"/>
      <x:c r="AB10" s="32"/>
      <x:c r="AC10" s="32"/>
      <x:c r="AD10" s="32"/>
      <x:c r="AE10" s="32"/>
      <x:c r="AF10" s="32"/>
      <x:c r="AG10" s="32"/>
      <x:c r="AH10" s="32"/>
      <x:c r="AI10" s="32"/>
      <x:c r="AJ10" s="32"/>
      <x:c r="AK10" s="32"/>
      <x:c r="AL10" s="32"/>
      <x:c r="AM10" s="32"/>
      <x:c r="AN10" s="32"/>
      <x:c r="AO10" s="32"/>
      <x:c r="AP10" s="32"/>
      <x:c r="AQ10" s="32"/>
      <x:c r="AR10" s="32"/>
      <x:c r="AS10" s="32"/>
      <x:c r="AT10" s="32"/>
      <x:c r="AU10" s="32"/>
      <x:c r="AV10" s="32"/>
      <x:c r="AW10" s="32"/>
      <x:c r="AX10" s="32"/>
      <x:c r="AY10" s="32"/>
      <x:c r="AZ10" s="32"/>
      <x:c r="BA10" s="32"/>
      <x:c r="BB10" s="32"/>
      <x:c r="BC10" s="32"/>
      <x:c r="BD10" s="32"/>
      <x:c r="BE10" s="32"/>
      <x:c r="BF10" s="32"/>
      <x:c r="BG10" s="32"/>
      <x:c r="BH10" s="32"/>
      <x:c r="BI10" s="32"/>
      <x:c r="BJ10" s="32"/>
      <x:c r="BK10" s="32"/>
      <x:c r="BL10" s="32"/>
      <x:c r="BM10" s="32"/>
      <x:c r="BN10" s="32"/>
      <x:c r="BO10" s="32"/>
      <x:c r="BP10" s="32"/>
      <x:c r="BQ10" s="30"/>
    </x:row>
    <x:row r="11" ht="68" customHeight="1">
      <x:c r="A11" s="621" t="s">
        <x:v>84</x:v>
      </x:c>
      <x:c r="B11" s="635" t="s">
        <x:v>23</x:v>
      </x:c>
      <x:c r="C11" s="621" t="s">
        <x:v>85</x:v>
      </x:c>
      <x:c r="D11" s="621" t="s">
        <x:v>86</x:v>
      </x:c>
      <x:c r="E11" s="621" t="s">
        <x:v>81</x:v>
      </x:c>
      <x:c r="F11" s="623">
        <x:v>5</x:v>
      </x:c>
      <x:c r="G11" s="624">
        <x:v>3</x:v>
      </x:c>
      <x:c r="H11" s="624">
        <x:v>3</x:v>
      </x:c>
      <x:c r="I11" s="625">
        <x:f t="shared" si="0"/>
        <x:v>46216</x:v>
      </x:c>
      <x:c r="J11" s="625">
        <x:f t="shared" si="1"/>
        <x:v>46222</x:v>
      </x:c>
      <x:c r="K11" s="625" t="str">
        <x:f t="shared" si="2"/>
        <x:v>Complete</x:v>
      </x:c>
      <x:c r="L11" s="626" t="n">
        <x:v>1</x:v>
      </x:c>
      <x:c r="M11" s="627" t="n">
        <x:f>SUMIF('Work Block Log'!$E$5:$E$200,A11,'Work Block Log'!$F$5:$F$200)</x:f>
        <x:v>2.85</x:v>
      </x:c>
      <x:c r="N11" s="627" t="n">
        <x:f t="shared" si="3">MAX(F11*(1-L11),0)</x:f>
        <x:v>0</x:v>
      </x:c>
      <x:c r="O11" s="627" t="n">
        <x:f t="shared" si="4">M11-F11</x:f>
        <x:v>-2.15</x:v>
      </x:c>
      <x:c r="P11" s="624" t="str">
        <x:f t="shared" si="5"/>
        <x:v>PR #8 merged in 7222c81; feature commit 53f96cc; Gantt progress commit 269a070; 12 focused tests and 50 total tests passed.</x:v>
      </x:c>
      <x:c r="Q11" s="621" t="str">
        <x:v>Begin WBS 1.4: create feature/numeric-tolerance-checks and implement numeric_close with absolute-tolerance boundary evidence.</x:v>
      </x:c>
      <x:c r="R11" s="641" t="str">
        <x:v>Completed 2026-07-05. Logged implementation time remains 2.85 h (10:04 AM–12:55 PM); no additional closeout time was added because a later end time was not explicitly provided.</x:v>
      </x:c>
      <x:c r="S11" s="173"/>
      <x:c r="T11" s="173"/>
      <x:c r="U11" s="174" t="s">
        <x:v>21</x:v>
      </x:c>
      <x:c r="V11" s="174"/>
      <x:c r="W11" s="174"/>
      <x:c r="X11" s="174"/>
      <x:c r="Y11" s="174"/>
      <x:c r="Z11" s="174"/>
      <x:c r="AA11" s="32"/>
      <x:c r="AB11" s="32"/>
      <x:c r="AC11" s="32"/>
      <x:c r="AD11" s="32"/>
      <x:c r="AE11" s="32"/>
      <x:c r="AF11" s="32"/>
      <x:c r="AG11" s="32"/>
      <x:c r="AH11" s="32"/>
      <x:c r="AI11" s="32"/>
      <x:c r="AJ11" s="32"/>
      <x:c r="AK11" s="32"/>
      <x:c r="AL11" s="32"/>
      <x:c r="AM11" s="32"/>
      <x:c r="AN11" s="32"/>
      <x:c r="AO11" s="32"/>
      <x:c r="AP11" s="32"/>
      <x:c r="AQ11" s="32"/>
      <x:c r="AR11" s="32"/>
      <x:c r="AS11" s="32"/>
      <x:c r="AT11" s="32"/>
      <x:c r="AU11" s="32"/>
      <x:c r="AV11" s="32"/>
      <x:c r="AW11" s="32"/>
      <x:c r="AX11" s="32"/>
      <x:c r="AY11" s="32"/>
      <x:c r="AZ11" s="32"/>
      <x:c r="BA11" s="32"/>
      <x:c r="BB11" s="32"/>
      <x:c r="BC11" s="32"/>
      <x:c r="BD11" s="32"/>
      <x:c r="BE11" s="32"/>
      <x:c r="BF11" s="32"/>
      <x:c r="BG11" s="32"/>
      <x:c r="BH11" s="32"/>
      <x:c r="BI11" s="32"/>
      <x:c r="BJ11" s="32"/>
      <x:c r="BK11" s="32"/>
      <x:c r="BL11" s="32"/>
      <x:c r="BM11" s="32"/>
      <x:c r="BN11" s="32"/>
      <x:c r="BO11" s="32"/>
      <x:c r="BP11" s="32"/>
      <x:c r="BQ11" s="30"/>
    </x:row>
    <x:row r="12" ht="42" customHeight="1">
      <x:c r="A12" s="613" t="s">
        <x:v>87</x:v>
      </x:c>
      <x:c r="B12" s="635" t="s">
        <x:v>23</x:v>
      </x:c>
      <x:c r="C12" s="613" t="s">
        <x:v>88</x:v>
      </x:c>
      <x:c r="D12" s="613" t="s">
        <x:v>89</x:v>
      </x:c>
      <x:c r="E12" s="613" t="s">
        <x:v>81</x:v>
      </x:c>
      <x:c r="F12" s="615">
        <x:v>4</x:v>
      </x:c>
      <x:c r="G12" s="616">
        <x:v>3</x:v>
      </x:c>
      <x:c r="H12" s="616">
        <x:v>4</x:v>
      </x:c>
      <x:c r="I12" s="617">
        <x:f t="shared" si="0"/>
        <x:v>46216</x:v>
      </x:c>
      <x:c r="J12" s="617">
        <x:f t="shared" si="1"/>
        <x:v>46229</x:v>
      </x:c>
      <x:c r="K12" s="617" t="str">
        <x:f t="shared" si="2"/>
        <x:v>Complete</x:v>
      </x:c>
      <x:c r="L12" s="618" t="n">
        <x:v>1</x:v>
      </x:c>
      <x:c r="M12" s="619" t="n">
        <x:f>SUMIF('Work Block Log'!$E$5:$E$200,A12,'Work Block Log'!$F$5:$F$200)</x:f>
        <x:v>0.5</x:v>
      </x:c>
      <x:c r="N12" s="619" t="n">
        <x:f t="shared" si="3">MAX(F12*(1-L12),0)</x:f>
        <x:v>0</x:v>
      </x:c>
      <x:c r="O12" s="619" t="n">
        <x:f t="shared" si="4">M12-F12</x:f>
        <x:v>-3.5</x:v>
      </x:c>
      <x:c r="P12" s="616" t="str">
        <x:f t="shared" si="5"/>
        <x:v>PR #9 merged in 1fbb45d; feature commit 31015c9; 11 focused numeric tests, 11 deterministic-check tests, and 60 total tests passed.</x:v>
      </x:c>
      <x:c r="Q12" s="613" t="str">
        <x:v>Begin WBS 1.5: create feature/weighted-scoring and compose mandatory gate results plus weighted check results into one evaluation outcome.</x:v>
      </x:c>
      <x:c r="R12" s="641" t="str">
        <x:v>Completed 2026-07-05. Logged 0.50 h for the 12:55 PM–1:29 PM block using the agreed rounded estimate. Absolute-tolerance boundaries are inclusive; invalid evaluator/reference numeric configuration fails closed.</x:v>
      </x:c>
      <x:c r="S12" s="173"/>
      <x:c r="T12" s="173"/>
      <x:c r="U12" s="173" t="s">
        <x:v>21</x:v>
      </x:c>
      <x:c r="V12" s="173" t="s">
        <x:v>21</x:v>
      </x:c>
      <x:c r="W12" s="173"/>
      <x:c r="X12" s="173"/>
      <x:c r="Y12" s="173"/>
      <x:c r="Z12" s="174"/>
      <x:c r="AA12" s="32"/>
      <x:c r="AB12" s="32"/>
      <x:c r="AC12" s="32"/>
      <x:c r="AD12" s="32"/>
      <x:c r="AE12" s="32"/>
      <x:c r="AF12" s="32"/>
      <x:c r="AG12" s="32"/>
      <x:c r="AH12" s="32"/>
      <x:c r="AI12" s="32"/>
      <x:c r="AJ12" s="32"/>
      <x:c r="AK12" s="32"/>
      <x:c r="AL12" s="32"/>
      <x:c r="AM12" s="32"/>
      <x:c r="AN12" s="32"/>
      <x:c r="AO12" s="32"/>
      <x:c r="AP12" s="32"/>
      <x:c r="AQ12" s="32"/>
      <x:c r="AR12" s="32"/>
      <x:c r="AS12" s="32"/>
      <x:c r="AT12" s="32"/>
      <x:c r="AU12" s="32"/>
      <x:c r="AV12" s="32"/>
      <x:c r="AW12" s="32"/>
      <x:c r="AX12" s="32"/>
      <x:c r="AY12" s="32"/>
      <x:c r="AZ12" s="32"/>
      <x:c r="BA12" s="32"/>
      <x:c r="BB12" s="32"/>
      <x:c r="BC12" s="32"/>
      <x:c r="BD12" s="32"/>
      <x:c r="BE12" s="32"/>
      <x:c r="BF12" s="32"/>
      <x:c r="BG12" s="32"/>
      <x:c r="BH12" s="32"/>
      <x:c r="BI12" s="32"/>
      <x:c r="BJ12" s="32"/>
      <x:c r="BK12" s="32"/>
      <x:c r="BL12" s="32"/>
      <x:c r="BM12" s="32"/>
      <x:c r="BN12" s="32"/>
      <x:c r="BO12" s="32"/>
      <x:c r="BP12" s="32"/>
      <x:c r="BQ12" s="30"/>
    </x:row>
    <x:row r="13" ht="42" customHeight="1">
      <x:c r="A13" s="621" t="s">
        <x:v>90</x:v>
      </x:c>
      <x:c r="B13" s="635" t="s">
        <x:v>23</x:v>
      </x:c>
      <x:c r="C13" s="621" t="s">
        <x:v>91</x:v>
      </x:c>
      <x:c r="D13" s="621" t="s">
        <x:v>92</x:v>
      </x:c>
      <x:c r="E13" s="621" t="s">
        <x:v>93</x:v>
      </x:c>
      <x:c r="F13" s="623">
        <x:v>6</x:v>
      </x:c>
      <x:c r="G13" s="624">
        <x:v>4</x:v>
      </x:c>
      <x:c r="H13" s="624">
        <x:v>4</x:v>
      </x:c>
      <x:c r="I13" s="625">
        <x:f t="shared" si="0"/>
        <x:v>46223</x:v>
      </x:c>
      <x:c r="J13" s="625">
        <x:f t="shared" si="1"/>
        <x:v>46229</x:v>
      </x:c>
      <x:c r="K13" s="625" t="str">
        <x:f t="shared" si="2"/>
        <x:v>Complete</x:v>
      </x:c>
      <x:c r="L13" s="626" t="n">
        <x:v>1</x:v>
      </x:c>
      <x:c r="M13" s="627" t="n">
        <x:f>SUMIF('Work Block Log'!$E$5:$E$200,A13,'Work Block Log'!$F$5:$F$200)</x:f>
        <x:v>0.32</x:v>
      </x:c>
      <x:c r="N13" s="627" t="n">
        <x:f t="shared" si="3">MAX(F13*(1-L13),0)</x:f>
        <x:v>0</x:v>
      </x:c>
      <x:c r="O13" s="627" t="n">
        <x:f t="shared" si="4">M13-F13</x:f>
        <x:v>-5.68</x:v>
      </x:c>
      <x:c r="P13" s="624" t="str">
        <x:f t="shared" si="5"/>
        <x:v>PR #10 merged in 27a8e59; feature commit bd34af8; 17 focused weighted-scoring tests and 77 total tests passed.</x:v>
      </x:c>
      <x:c r="Q13" s="621" t="str">
        <x:v>Begin WBS 2.1: create feature/evaluate-cli and integrate the existing candidate loader, gate engine, deterministic checks, and scoring result into one CLI execution path.</x:v>
      </x:c>
      <x:c r="R13" s="641" t="str">
        <x:v>Completed 2026-07-05. Duration calculated from 1:29 PM–1:48 PM (19 minutes) and rounded to 0.32 h. Gate failures force score 0.0; otherwise the score is the sum of passed check weights and passes at the inclusive evaluator threshold. Structured failure evidence is retained.</x:v>
      </x:c>
      <x:c r="S13" s="173"/>
      <x:c r="T13" s="174"/>
      <x:c r="U13" s="173"/>
      <x:c r="V13" s="173" t="s">
        <x:v>21</x:v>
      </x:c>
      <x:c r="W13" s="173"/>
      <x:c r="X13" s="173"/>
      <x:c r="Y13" s="173"/>
      <x:c r="Z13" s="173"/>
      <x:c r="AA13" s="28"/>
      <x:c r="AB13" s="28"/>
      <x:c r="AC13" s="28"/>
      <x:c r="AD13" s="28"/>
      <x:c r="AE13" s="28"/>
      <x:c r="AF13" s="28"/>
      <x:c r="AG13" s="28"/>
      <x:c r="AH13" s="28"/>
      <x:c r="AI13" s="28"/>
      <x:c r="AJ13" s="28"/>
      <x:c r="AK13" s="28"/>
      <x:c r="AL13" s="28"/>
      <x:c r="AM13" s="28"/>
      <x:c r="AN13" s="28"/>
      <x:c r="AO13" s="28"/>
      <x:c r="AP13" s="28"/>
      <x:c r="AQ13" s="28"/>
      <x:c r="AR13" s="28"/>
      <x:c r="AS13" s="28"/>
      <x:c r="AT13" s="28"/>
      <x:c r="AU13" s="28"/>
      <x:c r="AV13" s="28"/>
      <x:c r="AW13" s="28"/>
      <x:c r="AX13" s="28"/>
      <x:c r="AY13" s="28"/>
      <x:c r="AZ13" s="28"/>
      <x:c r="BA13" s="28"/>
      <x:c r="BB13" s="28"/>
      <x:c r="BC13" s="28"/>
      <x:c r="BD13" s="28"/>
      <x:c r="BE13" s="28"/>
      <x:c r="BF13" s="28"/>
      <x:c r="BG13" s="28"/>
      <x:c r="BH13" s="28"/>
      <x:c r="BI13" s="28"/>
      <x:c r="BJ13" s="28"/>
      <x:c r="BK13" s="28"/>
      <x:c r="BL13" s="28"/>
      <x:c r="BM13" s="28"/>
      <x:c r="BN13" s="28"/>
      <x:c r="BO13" s="28"/>
      <x:c r="BP13" s="28"/>
      <x:c r="BQ13" s="29"/>
    </x:row>
    <x:row r="14" ht="42" customHeight="1">
      <x:c r="A14" s="613" t="s">
        <x:v>94</x:v>
      </x:c>
      <x:c r="B14" s="636" t="s">
        <x:v>27</x:v>
      </x:c>
      <x:c r="C14" s="613" t="s">
        <x:v>95</x:v>
      </x:c>
      <x:c r="D14" s="613" t="s">
        <x:v>96</x:v>
      </x:c>
      <x:c r="E14" s="613" t="s">
        <x:v>90</x:v>
      </x:c>
      <x:c r="F14" s="615">
        <x:v>4</x:v>
      </x:c>
      <x:c r="G14" s="616">
        <x:v>5</x:v>
      </x:c>
      <x:c r="H14" s="616">
        <x:v>5</x:v>
      </x:c>
      <x:c r="I14" s="617">
        <x:f t="shared" si="0"/>
        <x:v>46230</x:v>
      </x:c>
      <x:c r="J14" s="617">
        <x:f t="shared" si="1"/>
        <x:v>46236</x:v>
      </x:c>
      <x:c r="K14" s="617" t="str">
        <x:f t="shared" si="2"/>
        <x:v>Complete</x:v>
      </x:c>
      <x:c r="L14" s="618" t="n">
        <x:v>1</x:v>
      </x:c>
      <x:c r="M14" s="619" t="n">
        <x:f>SUMIF('Work Block Log'!$E$5:$E$200,A14,'Work Block Log'!$F$5:$F$200)</x:f>
        <x:v>0.7</x:v>
      </x:c>
      <x:c r="N14" s="619" t="n">
        <x:f t="shared" si="3">MAX(F14*(1-L14),0)</x:f>
        <x:v>0</x:v>
      </x:c>
      <x:c r="O14" s="619" t="n">
        <x:f t="shared" si="4">M14-F14</x:f>
        <x:v>-3.3</x:v>
      </x:c>
      <x:c r="P14" s="616" t="str">
        <x:f t="shared" si="5"/>
        <x:v>0ee3c48 feature commit; PR merged; post-merge main verification confirmed; 5 focused CLI tests and 82 total tests passed.</x:v>
      </x:c>
      <x:c r="Q14" s="613" t="str">
        <x:v>Begin WBS 2.2: define the runtime-agnostic structured result schema and model, including versions, artifact references, gate/check evidence, expected/actual values, score, pass/fail, failure modes, and evidence-location extension points.</x:v>
      </x:c>
      <x:c r="R14" s="641" t="str">
        <x:v>Completed 2026-07-05. Logged 0.70 h for the 1:48 PM–2:29 PM block (41 minutes rounded). The CLI now orchestrates case loading, mandatory gates, candidate validation, deterministic checks, and weighted scoring. Exit codes are stable: 0 pass, 1 evaluated candidate failure, 2 configuration error, and 3 unexpected internal error. Result persistence remains deferred.</x:v>
      </x:c>
      <x:c r="S14" s="173"/>
      <x:c r="T14" s="174"/>
      <x:c r="U14" s="174"/>
      <x:c r="V14" s="173"/>
      <x:c r="W14" s="173" t="s">
        <x:v>21</x:v>
      </x:c>
      <x:c r="X14" s="173"/>
      <x:c r="Y14" s="173"/>
      <x:c r="Z14" s="173"/>
      <x:c r="AA14" s="28"/>
      <x:c r="AB14" s="28"/>
      <x:c r="AC14" s="28"/>
      <x:c r="AD14" s="28"/>
      <x:c r="AE14" s="28"/>
      <x:c r="AF14" s="28"/>
      <x:c r="AG14" s="28"/>
      <x:c r="AH14" s="28"/>
      <x:c r="AI14" s="28"/>
      <x:c r="AJ14" s="28"/>
      <x:c r="AK14" s="28"/>
      <x:c r="AL14" s="28"/>
      <x:c r="AM14" s="28"/>
      <x:c r="AN14" s="28"/>
      <x:c r="AO14" s="28"/>
      <x:c r="AP14" s="28"/>
      <x:c r="AQ14" s="28"/>
      <x:c r="AR14" s="28"/>
      <x:c r="AS14" s="28"/>
      <x:c r="AT14" s="28"/>
      <x:c r="AU14" s="28"/>
      <x:c r="AV14" s="28"/>
      <x:c r="AW14" s="28"/>
      <x:c r="AX14" s="28"/>
      <x:c r="AY14" s="28"/>
      <x:c r="AZ14" s="28"/>
      <x:c r="BA14" s="28"/>
      <x:c r="BB14" s="28"/>
      <x:c r="BC14" s="28"/>
      <x:c r="BD14" s="28"/>
      <x:c r="BE14" s="28"/>
      <x:c r="BF14" s="28"/>
      <x:c r="BG14" s="28"/>
      <x:c r="BH14" s="28"/>
      <x:c r="BI14" s="28"/>
      <x:c r="BJ14" s="28"/>
      <x:c r="BK14" s="28"/>
      <x:c r="BL14" s="28"/>
      <x:c r="BM14" s="28"/>
      <x:c r="BN14" s="28"/>
      <x:c r="BO14" s="28"/>
      <x:c r="BP14" s="28"/>
      <x:c r="BQ14" s="29"/>
    </x:row>
    <x:row r="15" ht="62.099998474121094" customHeight="1">
      <x:c r="A15" s="621" t="s">
        <x:v>97</x:v>
      </x:c>
      <x:c r="B15" s="636" t="s">
        <x:v>27</x:v>
      </x:c>
      <x:c r="C15" s="621" t="s">
        <x:v>98</x:v>
      </x:c>
      <x:c r="D15" s="621" t="s">
        <x:v>99</x:v>
      </x:c>
      <x:c r="E15" s="621" t="s">
        <x:v>90</x:v>
      </x:c>
      <x:c r="F15" s="623">
        <x:v>4</x:v>
      </x:c>
      <x:c r="G15" s="624">
        <x:v>5</x:v>
      </x:c>
      <x:c r="H15" s="624">
        <x:v>5</x:v>
      </x:c>
      <x:c r="I15" s="625">
        <x:f t="shared" si="0"/>
        <x:v>46230</x:v>
      </x:c>
      <x:c r="J15" s="625">
        <x:f t="shared" si="1"/>
        <x:v>46236</x:v>
      </x:c>
      <x:c r="K15" s="625" t="str">
        <x:f t="shared" si="2"/>
        <x:v>Complete</x:v>
      </x:c>
      <x:c r="L15" s="626" t="n">
        <x:v>1</x:v>
      </x:c>
      <x:c r="M15" s="627" t="n">
        <x:f>SUMIF('Work Block Log'!$E$5:$E$200,A15,'Work Block Log'!$F$5:$F$200)</x:f>
        <x:v>0.3</x:v>
      </x:c>
      <x:c r="N15" s="627" t="n">
        <x:f t="shared" si="3">MAX(F15*(1-L15),0)</x:f>
        <x:v>0</x:v>
      </x:c>
      <x:c r="O15" s="627" t="n">
        <x:f t="shared" si="4">M15-F15</x:f>
        <x:v>-3.7</x:v>
      </x:c>
      <x:c r="P15" s="624" t="str">
        <x:f t="shared" si="5"/>
        <x:v>b6d6c21 feature commit; PR #12 merged in b56f217; result.schema.json; results.py; 9 focused result-model tests and 91 total tests passed.</x:v>
      </x:c>
      <x:c r="Q15" s="621" t="str">
        <x:v>Begin WBS 2.3: create feature/result-persistence and implement immutable timestamped local result records without overwriting prior evidence.</x:v>
      </x:c>
      <x:c r="R15" s="641" t="str">
        <x:v>Completed 2026-07-05. Logged 0.30 h for the 2:29 PM–2:47 PM block (18 minutes rounded). The runtime-agnostic result contract preserves component versions, candidate/reference artifact references, aggregate scoring, complete gate/check evidence, typed expected/actual values, failure modes, and optional evidence-location/source-reference extension points. Persistence remains deferred to WBS 2.3.</x:v>
      </x:c>
      <x:c r="S15" s="173"/>
      <x:c r="T15" s="173"/>
      <x:c r="U15" s="174"/>
      <x:c r="V15" s="174"/>
      <x:c r="W15" s="173" t="s">
        <x:v>21</x:v>
      </x:c>
      <x:c r="X15" s="173"/>
      <x:c r="Y15" s="173"/>
      <x:c r="Z15" s="173"/>
      <x:c r="AA15" s="28"/>
      <x:c r="AB15" s="28"/>
      <x:c r="AC15" s="28"/>
      <x:c r="AD15" s="28"/>
      <x:c r="AE15" s="28"/>
      <x:c r="AF15" s="28"/>
      <x:c r="AG15" s="28"/>
      <x:c r="AH15" s="28"/>
      <x:c r="AI15" s="28"/>
      <x:c r="AJ15" s="28"/>
      <x:c r="AK15" s="28"/>
      <x:c r="AL15" s="28"/>
      <x:c r="AM15" s="28"/>
      <x:c r="AN15" s="28"/>
      <x:c r="AO15" s="28"/>
      <x:c r="AP15" s="28"/>
      <x:c r="AQ15" s="28"/>
      <x:c r="AR15" s="28"/>
      <x:c r="AS15" s="28"/>
      <x:c r="AT15" s="28"/>
      <x:c r="AU15" s="28"/>
      <x:c r="AV15" s="28"/>
      <x:c r="AW15" s="28"/>
      <x:c r="AX15" s="28"/>
      <x:c r="AY15" s="28"/>
      <x:c r="AZ15" s="28"/>
      <x:c r="BA15" s="28"/>
      <x:c r="BB15" s="28"/>
      <x:c r="BC15" s="28"/>
      <x:c r="BD15" s="28"/>
      <x:c r="BE15" s="28"/>
      <x:c r="BF15" s="28"/>
      <x:c r="BG15" s="28"/>
      <x:c r="BH15" s="28"/>
      <x:c r="BI15" s="28"/>
      <x:c r="BJ15" s="28"/>
      <x:c r="BK15" s="28"/>
      <x:c r="BL15" s="28"/>
      <x:c r="BM15" s="28"/>
      <x:c r="BN15" s="28"/>
      <x:c r="BO15" s="28"/>
      <x:c r="BP15" s="28"/>
      <x:c r="BQ15" s="29"/>
    </x:row>
    <x:row r="16" ht="42" customHeight="1">
      <x:c r="A16" s="613" t="s">
        <x:v>100</x:v>
      </x:c>
      <x:c r="B16" s="636" t="s">
        <x:v>27</x:v>
      </x:c>
      <x:c r="C16" s="613" t="s">
        <x:v>101</x:v>
      </x:c>
      <x:c r="D16" s="613" t="s">
        <x:v>102</x:v>
      </x:c>
      <x:c r="E16" s="613" t="s">
        <x:v>97</x:v>
      </x:c>
      <x:c r="F16" s="615">
        <x:v>3</x:v>
      </x:c>
      <x:c r="G16" s="616">
        <x:v>5</x:v>
      </x:c>
      <x:c r="H16" s="616">
        <x:v>5</x:v>
      </x:c>
      <x:c r="I16" s="617">
        <x:f t="shared" si="0"/>
        <x:v>46230</x:v>
      </x:c>
      <x:c r="J16" s="617">
        <x:f t="shared" si="1"/>
        <x:v>46236</x:v>
      </x:c>
      <x:c r="K16" s="617" t="str">
        <x:f t="shared" si="2"/>
        <x:v>Complete</x:v>
      </x:c>
      <x:c r="L16" s="618" t="n">
        <x:v>1</x:v>
      </x:c>
      <x:c r="M16" s="619" t="n">
        <x:f>SUMIF('Work Block Log'!$E$5:$E$200,A16,'Work Block Log'!$F$5:$F$200)</x:f>
        <x:v>0.38</x:v>
      </x:c>
      <x:c r="N16" s="619" t="n">
        <x:f t="shared" si="3">MAX(F16*(1-L16),0)</x:f>
        <x:v>0</x:v>
      </x:c>
      <x:c r="O16" s="619" t="n">
        <x:f t="shared" si="4">M16-F16</x:f>
        <x:v>-2.62</x:v>
      </x:c>
      <x:c r="P16" s="616" t="str">
        <x:f t="shared" si="5"/>
        <x:v>e03a2e8 feature commit; PR #13 merged in e56fc92; persistence.py; 5 persistence tests, 5 CLI integration tests, 96 total tests, and installed CLI smoke test.</x:v>
      </x:c>
      <x:c r="Q16" s="613" t="str">
        <x:v>Begin WBS 2.4: create feature/example-candidates and add one passing plus two representative failing MECH-002 candidate artifacts that run end-to-end.</x:v>
      </x:c>
      <x:c r="R16" s="641" t="str">
        <x:v>Completed 2026-07-05. Logged 0.38 h for the 2:47 PM–3:10 PM block (23 minutes rounded). Each completed evaluation now writes an immutable, schema-valid, BOM-free UTF-8 result.json under runs/&lt;run_id&gt;/ with UTC microsecond run IDs, random suffixes, exclusive directory creation, collision protection, and Git exclusion. Pass and evaluated-fail outcomes persist; configuration and internal failures do not produce misleading records.</x:v>
      </x:c>
      <x:c r="S16" s="173"/>
      <x:c r="T16" s="173"/>
      <x:c r="U16" s="173"/>
      <x:c r="V16" s="174"/>
      <x:c r="W16" s="174" t="s">
        <x:v>21</x:v>
      </x:c>
      <x:c r="X16" s="174"/>
      <x:c r="Y16" s="173"/>
      <x:c r="Z16" s="173"/>
      <x:c r="AA16" s="28"/>
      <x:c r="AB16" s="28"/>
      <x:c r="AC16" s="28"/>
      <x:c r="AD16" s="28"/>
      <x:c r="AE16" s="28"/>
      <x:c r="AF16" s="28"/>
      <x:c r="AG16" s="28"/>
      <x:c r="AH16" s="28"/>
      <x:c r="AI16" s="28"/>
      <x:c r="AJ16" s="28"/>
      <x:c r="AK16" s="28"/>
      <x:c r="AL16" s="28"/>
      <x:c r="AM16" s="28"/>
      <x:c r="AN16" s="28"/>
      <x:c r="AO16" s="28"/>
      <x:c r="AP16" s="28"/>
      <x:c r="AQ16" s="28"/>
      <x:c r="AR16" s="28"/>
      <x:c r="AS16" s="28"/>
      <x:c r="AT16" s="28"/>
      <x:c r="AU16" s="28"/>
      <x:c r="AV16" s="28"/>
      <x:c r="AW16" s="28"/>
      <x:c r="AX16" s="28"/>
      <x:c r="AY16" s="28"/>
      <x:c r="AZ16" s="28"/>
      <x:c r="BA16" s="28"/>
      <x:c r="BB16" s="28"/>
      <x:c r="BC16" s="28"/>
      <x:c r="BD16" s="28"/>
      <x:c r="BE16" s="28"/>
      <x:c r="BF16" s="28"/>
      <x:c r="BG16" s="28"/>
      <x:c r="BH16" s="28"/>
      <x:c r="BI16" s="28"/>
      <x:c r="BJ16" s="28"/>
      <x:c r="BK16" s="28"/>
      <x:c r="BL16" s="28"/>
      <x:c r="BM16" s="28"/>
      <x:c r="BN16" s="28"/>
      <x:c r="BO16" s="28"/>
      <x:c r="BP16" s="28"/>
      <x:c r="BQ16" s="29"/>
    </x:row>
    <x:row r="17" ht="42" customHeight="1">
      <x:c r="A17" s="621" t="s">
        <x:v>103</x:v>
      </x:c>
      <x:c r="B17" s="636" t="s">
        <x:v>27</x:v>
      </x:c>
      <x:c r="C17" s="621" t="s">
        <x:v>104</x:v>
      </x:c>
      <x:c r="D17" s="621" t="s">
        <x:v>105</x:v>
      </x:c>
      <x:c r="E17" s="621" t="s">
        <x:v>106</x:v>
      </x:c>
      <x:c r="F17" s="623">
        <x:v>3</x:v>
      </x:c>
      <x:c r="G17" s="624">
        <x:v>5</x:v>
      </x:c>
      <x:c r="H17" s="624">
        <x:v>5</x:v>
      </x:c>
      <x:c r="I17" s="625">
        <x:f t="shared" si="0"/>
        <x:v>46230</x:v>
      </x:c>
      <x:c r="J17" s="625">
        <x:f t="shared" si="1"/>
        <x:v>46236</x:v>
      </x:c>
      <x:c r="K17" s="625" t="str">
        <x:f t="shared" si="2"/>
        <x:v>Complete</x:v>
      </x:c>
      <x:c r="L17" s="626" t="n">
        <x:v>1</x:v>
      </x:c>
      <x:c r="M17" s="627" t="n">
        <x:f>SUMIF('Work Block Log'!$E$5:$E$200,A17,'Work Block Log'!$F$5:$F$200)</x:f>
        <x:v>0.2</x:v>
      </x:c>
      <x:c r="N17" s="627" t="n">
        <x:f t="shared" si="3">MAX(F17*(1-L17),0)</x:f>
        <x:v>0</x:v>
      </x:c>
      <x:c r="O17" s="627" t="n">
        <x:f t="shared" si="4">M17-F17</x:f>
        <x:v>-2.8</x:v>
      </x:c>
      <x:c r="P17" s="624" t="str">
        <x:f t="shared" si="5"/>
        <x:v>271224e feature commit; PR #14 merged in 7e38b3f; valid.json, unit-error.json, incomplete.json; tests/test_example_candidates.py; 3 focused tests and 99 total tests passed; installed CLI smoke test verified exit codes, scores, and failure evidence.</x:v>
      </x:c>
      <x:c r="Q17" s="621" t="str">
        <x:v>Begin WBS 3.1: create feature/seed-case-verification and independently verify MECH-001 through MECH-003 calculations, references, tolerances, and intended failure modes.</x:v>
      </x:c>
      <x:c r="R17" s="641" t="str">
        <x:v>Completed 2026-07-05. Logged 0.20 h for the 3:10 PM–3:22 PM block (12 minutes). Versioned synthetic MECH-002 examples now demonstrate pass (score 1.00), deterministic unit error (score 0.75; UNIT_ERROR), and incomplete output (score 0.00; INCOMPLETE_DELIVERABLE) through the installed CLI and immutable result path. Generated run evidence remains excluded from Git. No blocker.</x:v>
      </x:c>
      <x:c r="S17" s="173"/>
      <x:c r="T17" s="173"/>
      <x:c r="U17" s="173"/>
      <x:c r="V17" s="173"/>
      <x:c r="W17" s="173" t="s">
        <x:v>21</x:v>
      </x:c>
      <x:c r="X17" s="174"/>
      <x:c r="Y17" s="174"/>
      <x:c r="Z17" s="173"/>
      <x:c r="AA17" s="28"/>
      <x:c r="AB17" s="28"/>
      <x:c r="AC17" s="28"/>
      <x:c r="AD17" s="28"/>
      <x:c r="AE17" s="28"/>
      <x:c r="AF17" s="28"/>
      <x:c r="AG17" s="28"/>
      <x:c r="AH17" s="28"/>
      <x:c r="AI17" s="28"/>
      <x:c r="AJ17" s="28"/>
      <x:c r="AK17" s="28"/>
      <x:c r="AL17" s="28"/>
      <x:c r="AM17" s="28"/>
      <x:c r="AN17" s="28"/>
      <x:c r="AO17" s="28"/>
      <x:c r="AP17" s="28"/>
      <x:c r="AQ17" s="28"/>
      <x:c r="AR17" s="28"/>
      <x:c r="AS17" s="28"/>
      <x:c r="AT17" s="28"/>
      <x:c r="AU17" s="28"/>
      <x:c r="AV17" s="28"/>
      <x:c r="AW17" s="28"/>
      <x:c r="AX17" s="28"/>
      <x:c r="AY17" s="28"/>
      <x:c r="AZ17" s="28"/>
      <x:c r="BA17" s="28"/>
      <x:c r="BB17" s="28"/>
      <x:c r="BC17" s="28"/>
      <x:c r="BD17" s="28"/>
      <x:c r="BE17" s="28"/>
      <x:c r="BF17" s="28"/>
      <x:c r="BG17" s="28"/>
      <x:c r="BH17" s="28"/>
      <x:c r="BI17" s="28"/>
      <x:c r="BJ17" s="28"/>
      <x:c r="BK17" s="28"/>
      <x:c r="BL17" s="28"/>
      <x:c r="BM17" s="28"/>
      <x:c r="BN17" s="28"/>
      <x:c r="BO17" s="28"/>
      <x:c r="BP17" s="28"/>
      <x:c r="BQ17" s="29"/>
    </x:row>
    <x:row r="18" ht="42" customHeight="1">
      <x:c r="A18" s="613" t="s">
        <x:v>107</x:v>
      </x:c>
      <x:c r="B18" s="637" t="s">
        <x:v>31</x:v>
      </x:c>
      <x:c r="C18" s="613" t="s">
        <x:v>108</x:v>
      </x:c>
      <x:c r="D18" s="613" t="s">
        <x:v>109</x:v>
      </x:c>
      <x:c r="E18" s="613" t="s">
        <x:v>73</x:v>
      </x:c>
      <x:c r="F18" s="615">
        <x:v>4</x:v>
      </x:c>
      <x:c r="G18" s="616">
        <x:v>2</x:v>
      </x:c>
      <x:c r="H18" s="616">
        <x:v>3</x:v>
      </x:c>
      <x:c r="I18" s="617">
        <x:f t="shared" si="0"/>
        <x:v>46209</x:v>
      </x:c>
      <x:c r="J18" s="617">
        <x:f t="shared" si="1"/>
        <x:v>46222</x:v>
      </x:c>
      <x:c r="K18" s="617" t="str">
        <x:f t="shared" si="2"/>
        <x:v>Complete</x:v>
      </x:c>
      <x:c r="L18" s="618" t="n">
        <x:v>1</x:v>
      </x:c>
      <x:c r="M18" s="619" t="n">
        <x:f>SUMIF('Work Block Log'!$E$5:$E$200,A18,'Work Block Log'!$F$5:$F$200)</x:f>
        <x:v>0.92</x:v>
      </x:c>
      <x:c r="N18" s="619" t="n">
        <x:f t="shared" si="3"/>
        <x:v>0</x:v>
      </x:c>
      <x:c r="O18" s="619" t="n">
        <x:f t="shared" si="4"/>
        <x:v>-3.08</x:v>
      </x:c>
      <x:c r="P18" s="616" t="str">
        <x:f t="shared" si="5"/>
        <x:v>e977b48 feature commit; PR #15 merged in 318d5ce; docs/seed-case-verification.md; tests/test_seed_case_verification.py; 4 focused verification tests; 103 total tests; 3 cases validate.</x:v>
      </x:c>
      <x:c r="Q18" s="613" t="str">
        <x:v>Begin WBS 3.2 on feature/additional-cases; select two economically meaningful mechanical workflows with distinct failure families, then define deterministic inputs, references, evaluator checks, and acceptance evidence.</x:v>
      </x:c>
      <x:c r="R18" s="641" t="str">
        <x:v>Completed 2026-07-05. Independently verified MECH-001 clearance/fit calculations, MECH-002 shaft-power calculations and tolerance rationale, and MECH-003 revision-audit findings. Corrected corrupted source headings/formulas and changed release_disposition failure taxonomy from WRONG_REVISION to UNAUTHORIZED_RELEASE. Added a versioned verification record and four regression tests. Encoding audit, repository validation, and 103-test suite passed. Logged 0.92 h for 3:22 PM–4:17 PM. No blocker.</x:v>
      </x:c>
      <x:c r="S18" s="173"/>
      <x:c r="T18" s="173" t="s">
        <x:v>21</x:v>
      </x:c>
      <x:c r="U18" s="173" t="s">
        <x:v>21</x:v>
      </x:c>
      <x:c r="V18" s="173"/>
      <x:c r="W18" s="173"/>
      <x:c r="X18" s="173"/>
      <x:c r="Y18" s="174"/>
      <x:c r="Z18" s="173"/>
      <x:c r="AA18" s="28"/>
      <x:c r="AB18" s="28"/>
      <x:c r="AC18" s="28"/>
      <x:c r="AD18" s="28"/>
      <x:c r="AE18" s="28"/>
      <x:c r="AF18" s="28"/>
      <x:c r="AG18" s="28"/>
      <x:c r="AH18" s="28"/>
      <x:c r="AI18" s="28"/>
      <x:c r="AJ18" s="28"/>
      <x:c r="AK18" s="28"/>
      <x:c r="AL18" s="28"/>
      <x:c r="AM18" s="28"/>
      <x:c r="AN18" s="28"/>
      <x:c r="AO18" s="28"/>
      <x:c r="AP18" s="28"/>
      <x:c r="AQ18" s="28"/>
      <x:c r="AR18" s="28"/>
      <x:c r="AS18" s="28"/>
      <x:c r="AT18" s="28"/>
      <x:c r="AU18" s="28"/>
      <x:c r="AV18" s="28"/>
      <x:c r="AW18" s="28"/>
      <x:c r="AX18" s="28"/>
      <x:c r="AY18" s="28"/>
      <x:c r="AZ18" s="28"/>
      <x:c r="BA18" s="28"/>
      <x:c r="BB18" s="28"/>
      <x:c r="BC18" s="28"/>
      <x:c r="BD18" s="28"/>
      <x:c r="BE18" s="28"/>
      <x:c r="BF18" s="28"/>
      <x:c r="BG18" s="28"/>
      <x:c r="BH18" s="28"/>
      <x:c r="BI18" s="28"/>
      <x:c r="BJ18" s="28"/>
      <x:c r="BK18" s="28"/>
      <x:c r="BL18" s="28"/>
      <x:c r="BM18" s="28"/>
      <x:c r="BN18" s="28"/>
      <x:c r="BO18" s="28"/>
      <x:c r="BP18" s="28"/>
      <x:c r="BQ18" s="29"/>
    </x:row>
    <x:row r="19" ht="42" customHeight="1">
      <x:c r="A19" s="621" t="s">
        <x:v>110</x:v>
      </x:c>
      <x:c r="B19" s="637" t="s">
        <x:v>31</x:v>
      </x:c>
      <x:c r="C19" s="621" t="s">
        <x:v>111</x:v>
      </x:c>
      <x:c r="D19" s="621" t="s">
        <x:v>112</x:v>
      </x:c>
      <x:c r="E19" s="621" t="s">
        <x:v>113</x:v>
      </x:c>
      <x:c r="F19" s="623">
        <x:v>5</x:v>
      </x:c>
      <x:c r="G19" s="624">
        <x:v>6</x:v>
      </x:c>
      <x:c r="H19" s="624">
        <x:v>6</x:v>
      </x:c>
      <x:c r="I19" s="625">
        <x:f t="shared" si="0"/>
        <x:v>46237</x:v>
      </x:c>
      <x:c r="J19" s="625">
        <x:f t="shared" si="1"/>
        <x:v>46243</x:v>
      </x:c>
      <x:c r="K19" s="625" t="str">
        <x:f t="shared" si="2"/>
        <x:v>Complete</x:v>
      </x:c>
      <x:c r="L19" s="626" t="n">
        <x:v>1</x:v>
      </x:c>
      <x:c r="M19" s="627" t="n">
        <x:f>SUMIF('Work Block Log'!$E$5:$E$200,A19,'Work Block Log'!$F$5:$F$200)</x:f>
        <x:v>0.63</x:v>
      </x:c>
      <x:c r="N19" s="627" t="n">
        <x:f t="shared" si="3">MAX(F19*(1-L19),0)</x:f>
        <x:v>0</x:v>
      </x:c>
      <x:c r="O19" s="627" t="n">
        <x:f t="shared" si="4">M19-F19</x:f>
        <x:v>-4.37</x:v>
      </x:c>
      <x:c r="P19" s="624" t="str">
        <x:f t="shared" si="5"/>
        <x:v>634ef11 feature commit; PR #16 merged in 50df7a9; MECH-004 and MECH-005 case/task/evaluator packages; four candidate fixtures; docs/additional-case-verification.md; focused end-to-end tests; 111 total tests; 5 cases validate.</x:v>
      </x:c>
      <x:c r="Q19" s="621" t="str">
        <x:v>Begin WBS 3.3 on feature/held-out-split; assign and freeze at least one held-out case, record the review checklist and split rationale, and prohibit tuning against held-out artifacts.</x:v>
      </x:c>
      <x:c r="R19" s="641" t="str">
        <x:v>Completed 2026-07-05. Added MECH-004 drawing-parts-list versus procurement-BOM reconciliation and MECH-005 unconstrained thermal-expansion calculation. Both cases include independently reconstructed references, existing deterministic evaluator checks, valid and representative failing candidates, engineering verification/tolerance rationale, and end-to-end regression evidence. Logged 0.63 h for 4:17 PM–4:55 PM. Five cases validate and 111 tests pass. No blocker.</x:v>
      </x:c>
      <x:c r="S19" s="173"/>
      <x:c r="T19" s="173"/>
      <x:c r="U19" s="173"/>
      <x:c r="V19" s="173"/>
      <x:c r="W19" s="173"/>
      <x:c r="X19" s="173" t="s">
        <x:v>21</x:v>
      </x:c>
      <x:c r="Y19" s="173"/>
      <x:c r="Z19" s="174"/>
      <x:c r="AA19" s="28"/>
      <x:c r="AB19" s="28"/>
      <x:c r="AC19" s="28"/>
      <x:c r="AD19" s="28"/>
      <x:c r="AE19" s="28"/>
      <x:c r="AF19" s="28"/>
      <x:c r="AG19" s="28"/>
      <x:c r="AH19" s="28"/>
      <x:c r="AI19" s="28"/>
      <x:c r="AJ19" s="28"/>
      <x:c r="AK19" s="28"/>
      <x:c r="AL19" s="28"/>
      <x:c r="AM19" s="28"/>
      <x:c r="AN19" s="28"/>
      <x:c r="AO19" s="28"/>
      <x:c r="AP19" s="28"/>
      <x:c r="AQ19" s="28"/>
      <x:c r="AR19" s="28"/>
      <x:c r="AS19" s="28"/>
      <x:c r="AT19" s="28"/>
      <x:c r="AU19" s="28"/>
      <x:c r="AV19" s="28"/>
      <x:c r="AW19" s="28"/>
      <x:c r="AX19" s="28"/>
      <x:c r="AY19" s="28"/>
      <x:c r="AZ19" s="28"/>
      <x:c r="BA19" s="28"/>
      <x:c r="BB19" s="28"/>
      <x:c r="BC19" s="28"/>
      <x:c r="BD19" s="28"/>
      <x:c r="BE19" s="28"/>
      <x:c r="BF19" s="28"/>
      <x:c r="BG19" s="28"/>
      <x:c r="BH19" s="28"/>
      <x:c r="BI19" s="28"/>
      <x:c r="BJ19" s="28"/>
      <x:c r="BK19" s="28"/>
      <x:c r="BL19" s="28"/>
      <x:c r="BM19" s="28"/>
      <x:c r="BN19" s="28"/>
      <x:c r="BO19" s="28"/>
      <x:c r="BP19" s="28"/>
      <x:c r="BQ19" s="29"/>
    </x:row>
    <x:row r="20" ht="42" customHeight="1">
      <x:c r="A20" s="613" t="s">
        <x:v>114</x:v>
      </x:c>
      <x:c r="B20" s="637" t="s">
        <x:v>31</x:v>
      </x:c>
      <x:c r="C20" s="613" t="s">
        <x:v>115</x:v>
      </x:c>
      <x:c r="D20" s="613" t="s">
        <x:v>116</x:v>
      </x:c>
      <x:c r="E20" s="613" t="s">
        <x:v>110</x:v>
      </x:c>
      <x:c r="F20" s="615">
        <x:v>2</x:v>
      </x:c>
      <x:c r="G20" s="616">
        <x:v>6</x:v>
      </x:c>
      <x:c r="H20" s="616">
        <x:v>6</x:v>
      </x:c>
      <x:c r="I20" s="617">
        <x:f t="shared" si="0"/>
        <x:v>46237</x:v>
      </x:c>
      <x:c r="J20" s="617">
        <x:f t="shared" si="1"/>
        <x:v>46243</x:v>
      </x:c>
      <x:c r="K20" s="617" t="str">
        <x:f t="shared" si="2"/>
        <x:v>Complete</x:v>
      </x:c>
      <x:c r="L20" s="618" t="n">
        <x:v>1</x:v>
      </x:c>
      <x:c r="M20" s="619" t="n">
        <x:f>SUMIF('Work Block Log'!$E$5:$E$200,A20,'Work Block Log'!$F$5:$F$200)</x:f>
        <x:v>0.2</x:v>
      </x:c>
      <x:c r="N20" s="619" t="n">
        <x:f t="shared" si="3">MAX(F20*(1-L20),0)</x:f>
        <x:v>0</x:v>
      </x:c>
      <x:c r="O20" s="619" t="n">
        <x:f t="shared" si="4">M20-F20</x:f>
        <x:v>-1.8</x:v>
      </x:c>
      <x:c r="P20" s="616" t="str">
        <x:f t="shared" si="5"/>
        <x:v>ab63155 feature commit; PR #17 merged in 825d7ff; benchmarks/mvp_v1/split.json; benchmarks/mvp_v1/review-checklist.md; tests/test_benchmark_split.py; 5 focused split-control tests; 116 total tests; 5 cases validate.</x:v>
      </x:c>
      <x:c r="Q20" s="613" t="str">
        <x:v>Begin WBS 3.4 on feature/baseline-benchmark; run the frozen five-case baseline, report development and held-out results separately, preserve generated result records, and write the failure summary and limitations.</x:v>
      </x:c>
      <x:c r="R20" s="643" t="str">
        <x:v>Completed 2026-07-05. Logged 0.20 h for 4:55 PM–5:07 PM. MECH-003 is frozen as the MVP v1 held-out validation case; the other four cases remain development. The manifest discloses that MECH-003 was historically seen during authoring and is not a pristine blind set. Candidate fixtures for held-out cases are prohibited, metadata/checklist consistency is regression-tested, and no blocker remains.</x:v>
      </x:c>
      <x:c r="S20" s="173"/>
      <x:c r="T20" s="173"/>
      <x:c r="U20" s="173"/>
      <x:c r="V20" s="173"/>
      <x:c r="W20" s="173"/>
      <x:c r="X20" s="173" t="s">
        <x:v>21</x:v>
      </x:c>
      <x:c r="Y20" s="173"/>
      <x:c r="Z20" s="173"/>
      <x:c r="AA20" s="33"/>
      <x:c r="AB20" s="28"/>
      <x:c r="AC20" s="28"/>
      <x:c r="AD20" s="28"/>
      <x:c r="AE20" s="28"/>
      <x:c r="AF20" s="28"/>
      <x:c r="AG20" s="28"/>
      <x:c r="AH20" s="28"/>
      <x:c r="AI20" s="28"/>
      <x:c r="AJ20" s="28"/>
      <x:c r="AK20" s="28"/>
      <x:c r="AL20" s="28"/>
      <x:c r="AM20" s="28"/>
      <x:c r="AN20" s="28"/>
      <x:c r="AO20" s="28"/>
      <x:c r="AP20" s="28"/>
      <x:c r="AQ20" s="28"/>
      <x:c r="AR20" s="28"/>
      <x:c r="AS20" s="28"/>
      <x:c r="AT20" s="28"/>
      <x:c r="AU20" s="28"/>
      <x:c r="AV20" s="28"/>
      <x:c r="AW20" s="28"/>
      <x:c r="AX20" s="28"/>
      <x:c r="AY20" s="28"/>
      <x:c r="AZ20" s="28"/>
      <x:c r="BA20" s="28"/>
      <x:c r="BB20" s="28"/>
      <x:c r="BC20" s="28"/>
      <x:c r="BD20" s="28"/>
      <x:c r="BE20" s="28"/>
      <x:c r="BF20" s="28"/>
      <x:c r="BG20" s="28"/>
      <x:c r="BH20" s="28"/>
      <x:c r="BI20" s="28"/>
      <x:c r="BJ20" s="28"/>
      <x:c r="BK20" s="28"/>
      <x:c r="BL20" s="28"/>
      <x:c r="BM20" s="28"/>
      <x:c r="BN20" s="28"/>
      <x:c r="BO20" s="28"/>
      <x:c r="BP20" s="28"/>
      <x:c r="BQ20" s="29"/>
    </x:row>
    <x:row r="21" ht="42" customHeight="1">
      <x:c r="A21" s="621" t="s">
        <x:v>117</x:v>
      </x:c>
      <x:c r="B21" s="637" t="s">
        <x:v>31</x:v>
      </x:c>
      <x:c r="C21" s="621" t="s">
        <x:v>118</x:v>
      </x:c>
      <x:c r="D21" s="621" t="s">
        <x:v>119</x:v>
      </x:c>
      <x:c r="E21" s="621" t="s">
        <x:v>120</x:v>
      </x:c>
      <x:c r="F21" s="623">
        <x:v>3</x:v>
      </x:c>
      <x:c r="G21" s="624">
        <x:v>6</x:v>
      </x:c>
      <x:c r="H21" s="624">
        <x:v>6</x:v>
      </x:c>
      <x:c r="I21" s="625">
        <x:f t="shared" si="0"/>
        <x:v>46237</x:v>
      </x:c>
      <x:c r="J21" s="625">
        <x:f t="shared" si="1"/>
        <x:v>46243</x:v>
      </x:c>
      <x:c r="K21" s="625" t="str">
        <x:f t="shared" si="2"/>
        <x:v>Complete</x:v>
      </x:c>
      <x:c r="L21" s="626" t="n">
        <x:v>1</x:v>
      </x:c>
      <x:c r="M21" s="627" t="n">
        <x:f>SUMIF('Work Block Log'!$E$5:$E$200,A21,'Work Block Log'!$F$5:$F$200)</x:f>
        <x:v>0.22</x:v>
      </x:c>
      <x:c r="N21" s="627" t="n">
        <x:f t="shared" si="3">MAX(F21*(1-L21),0)</x:f>
        <x:v>0</x:v>
      </x:c>
      <x:c r="O21" s="627" t="n">
        <x:f t="shared" si="4">M21-F21</x:f>
        <x:v>-2.78</x:v>
      </x:c>
      <x:c r="P21" s="624" t="str">
        <x:f t="shared" si="5"/>
        <x:v>e0746d7 feature commit; PR #18 merged; scripts/run_mvp_baseline.py; evidence/mvp_v1_baseline/{summary.json,report.md}; tests/test_mvp_baseline.py; 9 immutable raw result records; 4 focused baseline tests; 120 total tests; 5 cases validate.</x:v>
      </x:c>
      <x:c r="Q21" s="621" t="str">
        <x:v>Begin WBS 4.2 on feature/github-actions-ci; add a minimal GitHub Actions workflow for push and pull request, then prove the red/green path with a controlled seeded failure.</x:v>
      </x:c>
      <x:c r="R21" s="643" t="str">
        <x:v>Completed 2026-07-05. Logged 0.22 h for 5:07 PM–5:20 PM. The reproducible MVP v1 harness-verification baseline executed four development oracle checks, one separately reported held-out oracle check, and four curated fault injections. All nine scenarios met expectations. The versioned report states that this is not model or agent performance evidence and discloses MECH-003 prior exposure. Raw run records remain under ignored runtime storage. No blocker.</x:v>
      </x:c>
      <x:c r="S21" s="173"/>
      <x:c r="T21" s="173"/>
      <x:c r="U21" s="173"/>
      <x:c r="V21" s="173"/>
      <x:c r="W21" s="173"/>
      <x:c r="X21" s="173" t="s">
        <x:v>21</x:v>
      </x:c>
      <x:c r="Y21" s="173"/>
      <x:c r="Z21" s="173"/>
      <x:c r="AA21" s="34"/>
      <x:c r="AB21" s="35"/>
      <x:c r="AC21" s="28"/>
      <x:c r="AD21" s="28"/>
      <x:c r="AE21" s="28"/>
      <x:c r="AF21" s="28"/>
      <x:c r="AG21" s="28"/>
      <x:c r="AH21" s="28"/>
      <x:c r="AI21" s="28"/>
      <x:c r="AJ21" s="28"/>
      <x:c r="AK21" s="28"/>
      <x:c r="AL21" s="28"/>
      <x:c r="AM21" s="28"/>
      <x:c r="AN21" s="28"/>
      <x:c r="AO21" s="28"/>
      <x:c r="AP21" s="28"/>
      <x:c r="AQ21" s="28"/>
      <x:c r="AR21" s="28"/>
      <x:c r="AS21" s="28"/>
      <x:c r="AT21" s="28"/>
      <x:c r="AU21" s="28"/>
      <x:c r="AV21" s="28"/>
      <x:c r="AW21" s="28"/>
      <x:c r="AX21" s="28"/>
      <x:c r="AY21" s="28"/>
      <x:c r="AZ21" s="28"/>
      <x:c r="BA21" s="28"/>
      <x:c r="BB21" s="28"/>
      <x:c r="BC21" s="28"/>
      <x:c r="BD21" s="28"/>
      <x:c r="BE21" s="28"/>
      <x:c r="BF21" s="28"/>
      <x:c r="BG21" s="28"/>
      <x:c r="BH21" s="28"/>
      <x:c r="BI21" s="28"/>
      <x:c r="BJ21" s="28"/>
      <x:c r="BK21" s="28"/>
      <x:c r="BL21" s="28"/>
      <x:c r="BM21" s="28"/>
      <x:c r="BN21" s="28"/>
      <x:c r="BO21" s="28"/>
      <x:c r="BP21" s="28"/>
      <x:c r="BQ21" s="29"/>
    </x:row>
    <x:row r="22" ht="42" customHeight="1">
      <x:c r="A22" s="613" t="s">
        <x:v>121</x:v>
      </x:c>
      <x:c r="B22" s="638" t="s">
        <x:v>35</x:v>
      </x:c>
      <x:c r="C22" s="613" t="s">
        <x:v>122</x:v>
      </x:c>
      <x:c r="D22" s="613" t="s">
        <x:v>123</x:v>
      </x:c>
      <x:c r="E22" s="613" t="s">
        <x:v>90</x:v>
      </x:c>
      <x:c r="F22" s="615">
        <x:v>3</x:v>
      </x:c>
      <x:c r="G22" s="616">
        <x:v>4</x:v>
      </x:c>
      <x:c r="H22" s="616">
        <x:v>6</x:v>
      </x:c>
      <x:c r="I22" s="617">
        <x:f t="shared" si="0"/>
        <x:v>46223</x:v>
      </x:c>
      <x:c r="J22" s="617">
        <x:f t="shared" si="1"/>
        <x:v>46243</x:v>
      </x:c>
      <x:c r="K22" s="617" t="str">
        <x:f t="shared" si="2"/>
        <x:v>Complete</x:v>
      </x:c>
      <x:c r="L22" s="618" t="n">
        <x:v>1</x:v>
      </x:c>
      <x:c r="M22" s="619" t="n">
        <x:f>SUMIF('Work Block Log'!$E$5:$E$200,A22,'Work Block Log'!$F$5:$F$200)</x:f>
        <x:v>0</x:v>
      </x:c>
      <x:c r="N22" s="619" t="n">
        <x:f t="shared" si="3">MAX(F22*(1-L22),0)</x:f>
        <x:v>0</x:v>
      </x:c>
      <x:c r="O22" s="619" t="n">
        <x:f t="shared" si="4">M22-F22</x:f>
        <x:v>-3</x:v>
      </x:c>
      <x:c r="P22" s="616" t="str">
        <x:f t="shared" si="5"/>
        <x:v>121-test suite; capability-specific regression tests across tests/; GitHub Actions CI; clean-clone v0.2.0 acceptance; EV-024; EV-028</x:v>
      </x:c>
      <x:c r="Q22" s="613" t="str">
        <x:v>Complete. Keep test additions proportional to material behaviour changes after v0.2.0.</x:v>
      </x:c>
      <x:c r="R22" s="641" t="str">
        <x:v>Closed at MVP release without separate actual hours. Regression coverage was implemented and logged inside the coherent capability WBS items that introduced each behaviour, including gates, checks, scoring, CLI, persistence, benchmark, and portfolio demo tests. The final clean-clone run passed 121 tests. No additional fixture refactor was required; stop per the proportional-value rule and avoid double-counting labour.</x:v>
      </x:c>
      <x:c r="S22" s="173"/>
      <x:c r="T22" s="173"/>
      <x:c r="U22" s="173"/>
      <x:c r="V22" s="173" t="s">
        <x:v>21</x:v>
      </x:c>
      <x:c r="W22" s="173" t="s">
        <x:v>21</x:v>
      </x:c>
      <x:c r="X22" s="173" t="s">
        <x:v>21</x:v>
      </x:c>
      <x:c r="Y22" s="173"/>
      <x:c r="Z22" s="173"/>
      <x:c r="AA22" s="28"/>
      <x:c r="AB22" s="34"/>
      <x:c r="AC22" s="35"/>
      <x:c r="AD22" s="28"/>
      <x:c r="AE22" s="28"/>
      <x:c r="AF22" s="28"/>
      <x:c r="AG22" s="28"/>
      <x:c r="AH22" s="28"/>
      <x:c r="AI22" s="28"/>
      <x:c r="AJ22" s="28"/>
      <x:c r="AK22" s="28"/>
      <x:c r="AL22" s="28"/>
      <x:c r="AM22" s="28"/>
      <x:c r="AN22" s="28"/>
      <x:c r="AO22" s="28"/>
      <x:c r="AP22" s="28"/>
      <x:c r="AQ22" s="28"/>
      <x:c r="AR22" s="28"/>
      <x:c r="AS22" s="28"/>
      <x:c r="AT22" s="28"/>
      <x:c r="AU22" s="28"/>
      <x:c r="AV22" s="28"/>
      <x:c r="AW22" s="28"/>
      <x:c r="AX22" s="28"/>
      <x:c r="AY22" s="28"/>
      <x:c r="AZ22" s="28"/>
      <x:c r="BA22" s="28"/>
      <x:c r="BB22" s="28"/>
      <x:c r="BC22" s="28"/>
      <x:c r="BD22" s="28"/>
      <x:c r="BE22" s="28"/>
      <x:c r="BF22" s="28"/>
      <x:c r="BG22" s="28"/>
      <x:c r="BH22" s="28"/>
      <x:c r="BI22" s="28"/>
      <x:c r="BJ22" s="28"/>
      <x:c r="BK22" s="28"/>
      <x:c r="BL22" s="28"/>
      <x:c r="BM22" s="28"/>
      <x:c r="BN22" s="28"/>
      <x:c r="BO22" s="28"/>
      <x:c r="BP22" s="28"/>
      <x:c r="BQ22" s="29"/>
    </x:row>
    <x:row r="23" ht="42" customHeight="1">
      <x:c r="A23" s="621" t="s">
        <x:v>124</x:v>
      </x:c>
      <x:c r="B23" s="638" t="s">
        <x:v>35</x:v>
      </x:c>
      <x:c r="C23" s="621" t="s">
        <x:v>125</x:v>
      </x:c>
      <x:c r="D23" s="621" t="s">
        <x:v>126</x:v>
      </x:c>
      <x:c r="E23" s="621" t="s">
        <x:v>121</x:v>
      </x:c>
      <x:c r="F23" s="623">
        <x:v>2</x:v>
      </x:c>
      <x:c r="G23" s="624">
        <x:v>7</x:v>
      </x:c>
      <x:c r="H23" s="624">
        <x:v>7</x:v>
      </x:c>
      <x:c r="I23" s="625">
        <x:f t="shared" si="0"/>
        <x:v>46244</x:v>
      </x:c>
      <x:c r="J23" s="625">
        <x:f t="shared" si="1"/>
        <x:v>46250</x:v>
      </x:c>
      <x:c r="K23" s="625" t="str">
        <x:f t="shared" si="2"/>
        <x:v>Complete</x:v>
      </x:c>
      <x:c r="L23" s="626" t="n">
        <x:v>1</x:v>
      </x:c>
      <x:c r="M23" s="627" t="n">
        <x:f>SUMIF('Work Block Log'!$E$5:$E$200,A23,'Work Block Log'!$F$5:$F$200)</x:f>
        <x:v>0.27</x:v>
      </x:c>
      <x:c r="N23" s="627" t="n">
        <x:f t="shared" si="3">MAX(F23*(1-L23),0)</x:f>
        <x:v>0</x:v>
      </x:c>
      <x:c r="O23" s="627" t="n">
        <x:f t="shared" si="4">M23-F23</x:f>
        <x:v>-1.73</x:v>
      </x:c>
      <x:c r="P23" s="624" t="str">
        <x:f t="shared" si="5"/>
        <x:v>80a26fe seeded red; 22713e4 corrected; PR #19 / merge 5dc3f41; .github/workflows/ci.yml; EV-024; 120 tests</x:v>
      </x:c>
      <x:c r="Q23" s="621" t="str">
        <x:v>Complete. Begin WBS 4.3 on feature/readme-architecture; align README and docs/architecture.md with the actual install, CLI, benchmark, results, CI, and limitations.</x:v>
      </x:c>
      <x:c r="R23" s="641" t="str">
        <x:v>Completed 2026-07-05. Logged 0.27 h for 5:27 PM–5:43 PM. GitHub Actions now runs on push and pull request in clean Ubuntu/Python 3.12, installs the editable project with development dependencies, validates all five cases, and runs the 120-test suite. A controlled seeded failure proved the red path; the corrected push run and PR check were green. One annotation warning did not affect acceptance. No blocker.</x:v>
      </x:c>
      <x:c r="S23" s="173"/>
      <x:c r="T23" s="173"/>
      <x:c r="U23" s="173"/>
      <x:c r="V23" s="173"/>
      <x:c r="W23" s="173"/>
      <x:c r="X23" s="173"/>
      <x:c r="Y23" s="173" t="s">
        <x:v>21</x:v>
      </x:c>
      <x:c r="Z23" s="173"/>
      <x:c r="AA23" s="28"/>
      <x:c r="AB23" s="28"/>
      <x:c r="AC23" s="34"/>
      <x:c r="AD23" s="35"/>
      <x:c r="AE23" s="28"/>
      <x:c r="AF23" s="28"/>
      <x:c r="AG23" s="28"/>
      <x:c r="AH23" s="28"/>
      <x:c r="AI23" s="28"/>
      <x:c r="AJ23" s="28"/>
      <x:c r="AK23" s="28"/>
      <x:c r="AL23" s="28"/>
      <x:c r="AM23" s="28"/>
      <x:c r="AN23" s="28"/>
      <x:c r="AO23" s="28"/>
      <x:c r="AP23" s="28"/>
      <x:c r="AQ23" s="28"/>
      <x:c r="AR23" s="28"/>
      <x:c r="AS23" s="28"/>
      <x:c r="AT23" s="28"/>
      <x:c r="AU23" s="28"/>
      <x:c r="AV23" s="28"/>
      <x:c r="AW23" s="28"/>
      <x:c r="AX23" s="28"/>
      <x:c r="AY23" s="28"/>
      <x:c r="AZ23" s="28"/>
      <x:c r="BA23" s="28"/>
      <x:c r="BB23" s="28"/>
      <x:c r="BC23" s="28"/>
      <x:c r="BD23" s="28"/>
      <x:c r="BE23" s="28"/>
      <x:c r="BF23" s="28"/>
      <x:c r="BG23" s="28"/>
      <x:c r="BH23" s="28"/>
      <x:c r="BI23" s="28"/>
      <x:c r="BJ23" s="28"/>
      <x:c r="BK23" s="28"/>
      <x:c r="BL23" s="28"/>
      <x:c r="BM23" s="28"/>
      <x:c r="BN23" s="28"/>
      <x:c r="BO23" s="28"/>
      <x:c r="BP23" s="28"/>
      <x:c r="BQ23" s="29"/>
    </x:row>
    <x:row r="24" ht="42" customHeight="1">
      <x:c r="A24" s="613" t="s">
        <x:v>127</x:v>
      </x:c>
      <x:c r="B24" s="638" t="s">
        <x:v>35</x:v>
      </x:c>
      <x:c r="C24" s="613" t="s">
        <x:v>128</x:v>
      </x:c>
      <x:c r="D24" s="613" t="s">
        <x:v>129</x:v>
      </x:c>
      <x:c r="E24" s="613" t="s">
        <x:v>130</x:v>
      </x:c>
      <x:c r="F24" s="615">
        <x:v>3</x:v>
      </x:c>
      <x:c r="G24" s="616">
        <x:v>7</x:v>
      </x:c>
      <x:c r="H24" s="616">
        <x:v>7</x:v>
      </x:c>
      <x:c r="I24" s="617">
        <x:f t="shared" si="0"/>
        <x:v>46244</x:v>
      </x:c>
      <x:c r="J24" s="617">
        <x:f t="shared" si="1"/>
        <x:v>46250</x:v>
      </x:c>
      <x:c r="K24" s="617" t="str">
        <x:f t="shared" si="2"/>
        <x:v>Complete</x:v>
      </x:c>
      <x:c r="L24" s="618" t="n">
        <x:v>1</x:v>
      </x:c>
      <x:c r="M24" s="619" t="n">
        <x:f>SUMIF('Work Block Log'!$E$5:$E$200,A24,'Work Block Log'!$F$5:$F$200)</x:f>
        <x:v>0.45</x:v>
      </x:c>
      <x:c r="N24" s="619" t="n">
        <x:f t="shared" si="3">MAX(F24*(1-L24),0)</x:f>
        <x:v>0</x:v>
      </x:c>
      <x:c r="O24" s="619" t="n">
        <x:f t="shared" si="4">M24-F24</x:f>
        <x:v>-2.55</x:v>
      </x:c>
      <x:c r="P24" s="616" t="str">
        <x:f t="shared" si="5"/>
        <x:v>README.md; docs/architecture.md; ac8d6dd; PR #20 / merge 2b98214; five cases validate; 120 tests; EV-025</x:v>
      </x:c>
      <x:c r="Q24" s="613" t="str">
        <x:v>Complete. Begin WBS 5.1 on feature/portfolio-demo; create a concise terminal demo that shows pass, failure evidence, and immutable result persistence.</x:v>
      </x:c>
      <x:c r="R24" s="641" t="str">
        <x:v>Completed 2026-07-05. Logged 0.45 h for 5:43 PM–6:10 PM. README.md and docs/architecture.md now match the implemented JSON-first CLI, supported commands and exit codes, five-case benchmark, MECH-003 held-out limitation, harness-only baseline claims, immutable result records, GitHub Actions workflow, failure layers, extension points, and qualified-human review boundary. PR #20 merged in 2b98214; post-merge validation passed five cases and 120 tests. No blocker.</x:v>
      </x:c>
      <x:c r="S24" s="173"/>
      <x:c r="T24" s="173"/>
      <x:c r="U24" s="173"/>
      <x:c r="V24" s="173"/>
      <x:c r="W24" s="173"/>
      <x:c r="X24" s="173"/>
      <x:c r="Y24" s="173" t="s">
        <x:v>21</x:v>
      </x:c>
      <x:c r="Z24" s="173"/>
      <x:c r="AA24" s="28"/>
      <x:c r="AB24" s="28"/>
      <x:c r="AC24" s="28"/>
      <x:c r="AD24" s="34"/>
      <x:c r="AE24" s="35"/>
      <x:c r="AF24" s="28"/>
      <x:c r="AG24" s="28"/>
      <x:c r="AH24" s="28"/>
      <x:c r="AI24" s="28"/>
      <x:c r="AJ24" s="28"/>
      <x:c r="AK24" s="28"/>
      <x:c r="AL24" s="28"/>
      <x:c r="AM24" s="28"/>
      <x:c r="AN24" s="28"/>
      <x:c r="AO24" s="28"/>
      <x:c r="AP24" s="28"/>
      <x:c r="AQ24" s="28"/>
      <x:c r="AR24" s="28"/>
      <x:c r="AS24" s="28"/>
      <x:c r="AT24" s="28"/>
      <x:c r="AU24" s="28"/>
      <x:c r="AV24" s="28"/>
      <x:c r="AW24" s="28"/>
      <x:c r="AX24" s="28"/>
      <x:c r="AY24" s="28"/>
      <x:c r="AZ24" s="28"/>
      <x:c r="BA24" s="28"/>
      <x:c r="BB24" s="28"/>
      <x:c r="BC24" s="28"/>
      <x:c r="BD24" s="28"/>
      <x:c r="BE24" s="28"/>
      <x:c r="BF24" s="28"/>
      <x:c r="BG24" s="28"/>
      <x:c r="BH24" s="28"/>
      <x:c r="BI24" s="28"/>
      <x:c r="BJ24" s="28"/>
      <x:c r="BK24" s="28"/>
      <x:c r="BL24" s="28"/>
      <x:c r="BM24" s="28"/>
      <x:c r="BN24" s="28"/>
      <x:c r="BO24" s="28"/>
      <x:c r="BP24" s="28"/>
      <x:c r="BQ24" s="29"/>
    </x:row>
    <x:row r="25" ht="42" customHeight="1">
      <x:c r="A25" s="621" t="s">
        <x:v>131</x:v>
      </x:c>
      <x:c r="B25" s="639" t="s">
        <x:v>39</x:v>
      </x:c>
      <x:c r="C25" s="621" t="s">
        <x:v>132</x:v>
      </x:c>
      <x:c r="D25" s="621" t="s">
        <x:v>133</x:v>
      </x:c>
      <x:c r="E25" s="621" t="s">
        <x:v>134</x:v>
      </x:c>
      <x:c r="F25" s="623">
        <x:v>3</x:v>
      </x:c>
      <x:c r="G25" s="624">
        <x:v>7</x:v>
      </x:c>
      <x:c r="H25" s="624">
        <x:v>7</x:v>
      </x:c>
      <x:c r="I25" s="625">
        <x:f t="shared" si="0"/>
        <x:v>46244</x:v>
      </x:c>
      <x:c r="J25" s="625">
        <x:f t="shared" si="1"/>
        <x:v>46250</x:v>
      </x:c>
      <x:c r="K25" s="625" t="str">
        <x:f t="shared" si="2"/>
        <x:v>Complete</x:v>
      </x:c>
      <x:c r="L25" s="626" t="n">
        <x:v>1</x:v>
      </x:c>
      <x:c r="M25" s="627" t="n">
        <x:f>SUMIF('Work Block Log'!$E$5:$E$200,A25,'Work Block Log'!$F$5:$F$200)</x:f>
        <x:v>0.3</x:v>
      </x:c>
      <x:c r="N25" s="627" t="n">
        <x:f t="shared" si="3">MAX(F25*(1-L25),0)</x:f>
        <x:v>0</x:v>
      </x:c>
      <x:c r="O25" s="627" t="n">
        <x:f t="shared" si="4">M25-F25</x:f>
        <x:v>-2.7</x:v>
      </x:c>
      <x:c r="P25" s="624" t="str">
        <x:f t="shared" si="5"/>
        <x:v>599402c; PR #21 / merge c15393d; scripts/run_portfolio_demo.py; tests/test_portfolio_demo.py; docs/portfolio_demo.md; evidence/portfolio_demo/report.md; five cases validate; 121 tests; EV-026</x:v>
      </x:c>
      <x:c r="Q25" s="621" t="str">
        <x:v>Complete. Begin WBS 5.2 on feature/release-notes; write v0.1.0 release notes and limitations consistent with the implemented MVP and accepted claim boundaries.</x:v>
      </x:c>
      <x:c r="R25" s="641" t="str">
        <x:v>Completed 2026-07-05. Logged 0.30 h for 6:10 PM–6:28 PM based on the final post-merge demo timestamp. The deterministic terminal demo verifies one passing MECH-002 artifact and one structurally valid UNIT_ERROR artifact, expected exit codes 0/1, scores 1.00/0.75, failure evidence, and immutable result persistence. PR #21 merged in c15393d; post-merge validation passed five cases, 121 tests, and demo verification 2/2. No blocker.</x:v>
      </x:c>
      <x:c r="S25" s="173"/>
      <x:c r="T25" s="173"/>
      <x:c r="U25" s="173"/>
      <x:c r="V25" s="173"/>
      <x:c r="W25" s="173"/>
      <x:c r="X25" s="173"/>
      <x:c r="Y25" s="173" t="s">
        <x:v>21</x:v>
      </x:c>
      <x:c r="Z25" s="173"/>
      <x:c r="AA25" s="28"/>
      <x:c r="AB25" s="28"/>
      <x:c r="AC25" s="28"/>
      <x:c r="AD25" s="28"/>
      <x:c r="AE25" s="34"/>
      <x:c r="AF25" s="35"/>
      <x:c r="AG25" s="28"/>
      <x:c r="AH25" s="28"/>
      <x:c r="AI25" s="28"/>
      <x:c r="AJ25" s="28"/>
      <x:c r="AK25" s="28"/>
      <x:c r="AL25" s="28"/>
      <x:c r="AM25" s="28"/>
      <x:c r="AN25" s="28"/>
      <x:c r="AO25" s="28"/>
      <x:c r="AP25" s="28"/>
      <x:c r="AQ25" s="28"/>
      <x:c r="AR25" s="28"/>
      <x:c r="AS25" s="28"/>
      <x:c r="AT25" s="28"/>
      <x:c r="AU25" s="28"/>
      <x:c r="AV25" s="28"/>
      <x:c r="AW25" s="28"/>
      <x:c r="AX25" s="28"/>
      <x:c r="AY25" s="28"/>
      <x:c r="AZ25" s="28"/>
      <x:c r="BA25" s="28"/>
      <x:c r="BB25" s="28"/>
      <x:c r="BC25" s="28"/>
      <x:c r="BD25" s="28"/>
      <x:c r="BE25" s="28"/>
      <x:c r="BF25" s="28"/>
      <x:c r="BG25" s="28"/>
      <x:c r="BH25" s="28"/>
      <x:c r="BI25" s="28"/>
      <x:c r="BJ25" s="28"/>
      <x:c r="BK25" s="28"/>
      <x:c r="BL25" s="28"/>
      <x:c r="BM25" s="28"/>
      <x:c r="BN25" s="28"/>
      <x:c r="BO25" s="28"/>
      <x:c r="BP25" s="28"/>
      <x:c r="BQ25" s="29"/>
    </x:row>
    <x:row r="26" ht="42" customHeight="1">
      <x:c r="A26" s="613" t="s">
        <x:v>135</x:v>
      </x:c>
      <x:c r="B26" s="639" t="s">
        <x:v>39</x:v>
      </x:c>
      <x:c r="C26" s="613" t="s">
        <x:v>136</x:v>
      </x:c>
      <x:c r="D26" s="613" t="s">
        <x:v>137</x:v>
      </x:c>
      <x:c r="E26" s="613" t="s">
        <x:v>131</x:v>
      </x:c>
      <x:c r="F26" s="615">
        <x:v>2</x:v>
      </x:c>
      <x:c r="G26" s="616">
        <x:v>8</x:v>
      </x:c>
      <x:c r="H26" s="616">
        <x:v>8</x:v>
      </x:c>
      <x:c r="I26" s="617">
        <x:f t="shared" si="0"/>
        <x:v>46251</x:v>
      </x:c>
      <x:c r="J26" s="617">
        <x:f t="shared" si="1"/>
        <x:v>46257</x:v>
      </x:c>
      <x:c r="K26" s="617" t="str">
        <x:f t="shared" si="2"/>
        <x:v>Complete</x:v>
      </x:c>
      <x:c r="L26" s="618" t="n">
        <x:v>1</x:v>
      </x:c>
      <x:c r="M26" s="619" t="n">
        <x:f>SUMIF('Work Block Log'!$E$5:$E$200,A26,'Work Block Log'!$F$5:$F$200)</x:f>
        <x:v>0.12</x:v>
      </x:c>
      <x:c r="N26" s="619" t="n">
        <x:f t="shared" si="3">MAX(F26*(1-L26),0)</x:f>
        <x:v>0</x:v>
      </x:c>
      <x:c r="O26" s="619" t="n">
        <x:f t="shared" si="4">M26-F26</x:f>
        <x:v>-1.88</x:v>
      </x:c>
      <x:c r="P26" s="616" t="str">
        <x:f t="shared" si="5"/>
        <x:v>64db931; PR #22 / merge 0f8adbe; README.md; docs/release_notes_v0.2.0.md; docs/limitations.md; five cases validate; 121 tests; EV-027</x:v>
      </x:c>
      <x:c r="Q26" s="613" t="str">
        <x:v>Complete. Begin WBS 5.3 final acceptance on release/v0.2.0; verify a clean release candidate, then create and push the v0.2.0 tag only after all acceptance checks pass.</x:v>
      </x:c>
      <x:c r="R26" s="641" t="str">
        <x:v>Completed 2026-07-05. Logged 0.12 h for 6:28 PM–6:35 PM. Release documentation now matches package metadata and persisted result evidence at version 0.2.0. It states the implemented JSON-first CLI scope, five-case synthetic benchmark, MECH-003 prior-exposure limitation, harness-verification baseline limits, deterministic demo evidence, result-record constraints, professional boundary, and deferred capabilities. PR #22 merged in 0f8adbe; post-merge validation passed five cases and 121 tests. No blocker.</x:v>
      </x:c>
      <x:c r="S26" s="173"/>
      <x:c r="T26" s="173"/>
      <x:c r="U26" s="173"/>
      <x:c r="V26" s="173"/>
      <x:c r="W26" s="173"/>
      <x:c r="X26" s="173"/>
      <x:c r="Y26" s="173"/>
      <x:c r="Z26" s="173" t="s">
        <x:v>21</x:v>
      </x:c>
      <x:c r="AA26" s="28"/>
      <x:c r="AB26" s="28"/>
      <x:c r="AC26" s="28"/>
      <x:c r="AD26" s="28"/>
      <x:c r="AE26" s="28"/>
      <x:c r="AF26" s="33"/>
      <x:c r="AG26" s="28"/>
      <x:c r="AH26" s="28"/>
      <x:c r="AI26" s="28"/>
      <x:c r="AJ26" s="28"/>
      <x:c r="AK26" s="28"/>
      <x:c r="AL26" s="28"/>
      <x:c r="AM26" s="28"/>
      <x:c r="AN26" s="28"/>
      <x:c r="AO26" s="28"/>
      <x:c r="AP26" s="28"/>
      <x:c r="AQ26" s="28"/>
      <x:c r="AR26" s="28"/>
      <x:c r="AS26" s="28"/>
      <x:c r="AT26" s="28"/>
      <x:c r="AU26" s="28"/>
      <x:c r="AV26" s="28"/>
      <x:c r="AW26" s="28"/>
      <x:c r="AX26" s="28"/>
      <x:c r="AY26" s="28"/>
      <x:c r="AZ26" s="28"/>
      <x:c r="BA26" s="28"/>
      <x:c r="BB26" s="28"/>
      <x:c r="BC26" s="28"/>
      <x:c r="BD26" s="28"/>
      <x:c r="BE26" s="28"/>
      <x:c r="BF26" s="28"/>
      <x:c r="BG26" s="28"/>
      <x:c r="BH26" s="28"/>
      <x:c r="BI26" s="28"/>
      <x:c r="BJ26" s="28"/>
      <x:c r="BK26" s="28"/>
      <x:c r="BL26" s="28"/>
      <x:c r="BM26" s="28"/>
      <x:c r="BN26" s="28"/>
      <x:c r="BO26" s="28"/>
      <x:c r="BP26" s="28"/>
      <x:c r="BQ26" s="29"/>
    </x:row>
    <x:row r="27" ht="42" customHeight="1">
      <x:c r="A27" s="621" t="s">
        <x:v>138</x:v>
      </x:c>
      <x:c r="B27" s="639" t="s">
        <x:v>39</x:v>
      </x:c>
      <x:c r="C27" s="621" t="str">
        <x:v>Run final acceptance and tag MVP v0.2.0</x:v>
      </x:c>
      <x:c r="D27" s="621" t="str">
        <x:v>Clean clone/run path, tests and benchmark pass, demo is reproducible, release documentation is consistent, and v0.2.0 is tagged.</x:v>
      </x:c>
      <x:c r="E27" s="621" t="s">
        <x:v>139</x:v>
      </x:c>
      <x:c r="F27" s="623">
        <x:v>3</x:v>
      </x:c>
      <x:c r="G27" s="624">
        <x:v>8</x:v>
      </x:c>
      <x:c r="H27" s="624">
        <x:v>8</x:v>
      </x:c>
      <x:c r="I27" s="625">
        <x:f t="shared" si="0"/>
        <x:v>46251</x:v>
      </x:c>
      <x:c r="J27" s="625">
        <x:f t="shared" si="1"/>
        <x:v>46257</x:v>
      </x:c>
      <x:c r="K27" s="625" t="str">
        <x:f t="shared" si="2"/>
        <x:v>Complete</x:v>
      </x:c>
      <x:c r="L27" s="626" t="n">
        <x:v>1</x:v>
      </x:c>
      <x:c r="M27" s="627" t="n">
        <x:f>SUMIF('Work Block Log'!$E$5:$E$200,A27,'Work Block Log'!$F$5:$F$200)</x:f>
        <x:v>0.25</x:v>
      </x:c>
      <x:c r="N27" s="627" t="n">
        <x:f t="shared" si="3">MAX(F27*(1-L27),0)</x:f>
        <x:v>0</x:v>
      </x:c>
      <x:c r="O27" s="627" t="n">
        <x:f t="shared" si="4">M27-F27</x:f>
        <x:v>-2.75</x:v>
      </x:c>
      <x:c r="P27" s="624" t="str">
        <x:f t="shared" si="5"/>
        <x:v>v0.2.0 annotated tag; accepted commit 45336a2; tag object 8d426d2; evidence/final_acceptance_v0.2.0/{report.md,summary.json}; clean Python 3.12.6 clone; five cases; 121 tests; baseline 9/9; demo 2/2; 11 result versions; EV-028</x:v>
      </x:c>
      <x:c r="Q27" s="621" t="str">
        <x:v>Complete. Freeze the v0.2.0 release baseline and begin a separate post-MVP backlog-selection block before new implementation.</x:v>
      </x:c>
      <x:c r="R27" s="641" t="str">
        <x:v>Completed 2026-07-05. Logged 0.25 h for 6:35 PM–6:50 PM. The final clean-clone matrix accepted commit 45336a21c9c5f4dcd4b3bd009d05183621061b5d, installed version 0.2.0 under Python 3.12.6, validated five cases, passed 121 tests, reproduced the nine-scenario baseline and two-scenario portfolio demo, verified eleven generated result versions, confirmed claim boundaries and a clean tree, and then created/pushed annotated tag v0.2.0. Remote peeled tag resolves to the accepted commit. No blocker.</x:v>
      </x:c>
      <x:c r="S27" s="173"/>
      <x:c r="T27" s="173"/>
      <x:c r="U27" s="173"/>
      <x:c r="V27" s="173"/>
      <x:c r="W27" s="173"/>
      <x:c r="X27" s="173"/>
      <x:c r="Y27" s="173"/>
      <x:c r="Z27" s="173" t="s">
        <x:v>21</x:v>
      </x:c>
      <x:c r="AA27" s="28"/>
      <x:c r="AB27" s="28"/>
      <x:c r="AC27" s="28"/>
      <x:c r="AD27" s="28"/>
      <x:c r="AE27" s="28"/>
      <x:c r="AF27" s="28"/>
      <x:c r="AG27" s="33"/>
      <x:c r="AH27" s="28"/>
      <x:c r="AI27" s="28"/>
      <x:c r="AJ27" s="28"/>
      <x:c r="AK27" s="28"/>
      <x:c r="AL27" s="28"/>
      <x:c r="AM27" s="28"/>
      <x:c r="AN27" s="28"/>
      <x:c r="AO27" s="28"/>
      <x:c r="AP27" s="28"/>
      <x:c r="AQ27" s="28"/>
      <x:c r="AR27" s="28"/>
      <x:c r="AS27" s="28"/>
      <x:c r="AT27" s="28"/>
      <x:c r="AU27" s="28"/>
      <x:c r="AV27" s="28"/>
      <x:c r="AW27" s="28"/>
      <x:c r="AX27" s="28"/>
      <x:c r="AY27" s="28"/>
      <x:c r="AZ27" s="28"/>
      <x:c r="BA27" s="28"/>
      <x:c r="BB27" s="28"/>
      <x:c r="BC27" s="28"/>
      <x:c r="BD27" s="28"/>
      <x:c r="BE27" s="28"/>
      <x:c r="BF27" s="28"/>
      <x:c r="BG27" s="28"/>
      <x:c r="BH27" s="28"/>
      <x:c r="BI27" s="28"/>
      <x:c r="BJ27" s="28"/>
      <x:c r="BK27" s="28"/>
      <x:c r="BL27" s="28"/>
      <x:c r="BM27" s="28"/>
      <x:c r="BN27" s="28"/>
      <x:c r="BO27" s="28"/>
      <x:c r="BP27" s="28"/>
      <x:c r="BQ27" s="29"/>
    </x:row>
    <x:row r="28" ht="42" customHeight="1">
      <x:c r="A28" s="3"/>
      <x:c r="B28" s="100"/>
      <x:c r="C28" s="3"/>
      <x:c r="D28" s="3"/>
      <x:c r="E28" s="3"/>
      <x:c r="F28" s="94"/>
      <x:c r="G28" s="97"/>
      <x:c r="H28" s="97"/>
      <x:c r="I28" s="93">
        <x:f t="shared" si="0"/>
        <x:v>46195</x:v>
      </x:c>
      <x:c r="J28" s="93">
        <x:f t="shared" si="1"/>
        <x:v>46201</x:v>
      </x:c>
      <x:c r="K28" s="93">
        <x:f t="shared" si="2"/>
        <x:v>-1</x:v>
      </x:c>
      <x:c r="L28" s="66"/>
      <x:c r="M28" s="67"/>
      <x:c r="N28" s="67"/>
      <x:c r="O28" s="67">
        <x:f t="shared" si="4"/>
        <x:v>0</x:v>
      </x:c>
      <x:c r="P28" s="97">
        <x:f t="shared" si="5"/>
        <x:v>0</x:v>
      </x:c>
      <x:c r="Q28" s="3"/>
      <x:c r="R28" s="97"/>
      <x:c r="S28" s="173"/>
      <x:c r="T28" s="173"/>
      <x:c r="U28" s="173"/>
      <x:c r="V28" s="173"/>
      <x:c r="W28" s="173"/>
      <x:c r="X28" s="173"/>
      <x:c r="Y28" s="173"/>
      <x:c r="Z28" s="173"/>
      <x:c r="AA28" s="28"/>
      <x:c r="AB28" s="28"/>
      <x:c r="AC28" s="28"/>
      <x:c r="AD28" s="28"/>
      <x:c r="AE28" s="28"/>
      <x:c r="AF28" s="28"/>
      <x:c r="AG28" s="28"/>
      <x:c r="AH28" s="36"/>
      <x:c r="AI28" s="37"/>
      <x:c r="AJ28" s="28"/>
      <x:c r="AK28" s="28"/>
      <x:c r="AL28" s="28"/>
      <x:c r="AM28" s="28"/>
      <x:c r="AN28" s="28"/>
      <x:c r="AO28" s="28"/>
      <x:c r="AP28" s="28"/>
      <x:c r="AQ28" s="28"/>
      <x:c r="AR28" s="28"/>
      <x:c r="AS28" s="28"/>
      <x:c r="AT28" s="28"/>
      <x:c r="AU28" s="28"/>
      <x:c r="AV28" s="28"/>
      <x:c r="AW28" s="28"/>
      <x:c r="AX28" s="28"/>
      <x:c r="AY28" s="28"/>
      <x:c r="AZ28" s="28"/>
      <x:c r="BA28" s="28"/>
      <x:c r="BB28" s="28"/>
      <x:c r="BC28" s="28"/>
      <x:c r="BD28" s="28"/>
      <x:c r="BE28" s="28"/>
      <x:c r="BF28" s="28"/>
      <x:c r="BG28" s="28"/>
      <x:c r="BH28" s="28"/>
      <x:c r="BI28" s="28"/>
      <x:c r="BJ28" s="28"/>
      <x:c r="BK28" s="28"/>
      <x:c r="BL28" s="28"/>
      <x:c r="BM28" s="28"/>
      <x:c r="BN28" s="28"/>
      <x:c r="BO28" s="28"/>
      <x:c r="BP28" s="28"/>
      <x:c r="BQ28" s="29"/>
    </x:row>
    <x:row r="29" ht="42" customHeight="1">
      <x:c r="A29" s="89" t="s">
        <x:v>41</x:v>
      </x:c>
      <x:c r="B29" s="89"/>
      <x:c r="C29" s="89"/>
      <x:c r="D29" s="89"/>
      <x:c r="E29" s="89"/>
      <x:c r="F29" s="95" t="n">
        <x:f>SUM(F6:F27)</x:f>
        <x:v>76</x:v>
      </x:c>
      <x:c r="G29" s="90"/>
      <x:c r="H29" s="90"/>
      <x:c r="I29" s="91">
        <x:f t="shared" si="0"/>
        <x:v>46195</x:v>
      </x:c>
      <x:c r="J29" s="91">
        <x:f t="shared" si="1"/>
        <x:v>46201</x:v>
      </x:c>
      <x:c r="K29" s="91">
        <x:f t="shared" si="2"/>
        <x:v>-1</x:v>
      </x:c>
      <x:c r="L29" s="92" t="n">
        <x:f>SUMPRODUCT(F6:F27,L6:L27)/F29</x:f>
        <x:v>1</x:v>
      </x:c>
      <x:c r="M29" s="96" t="n">
        <x:f>SUM(M6:M27)</x:f>
        <x:v>17.39</x:v>
      </x:c>
      <x:c r="N29" s="96" t="n">
        <x:f>SUM(N6:N27)</x:f>
        <x:v>0</x:v>
      </x:c>
      <x:c r="O29" s="96">
        <x:f t="shared" si="4"/>
        <x:v>-68.45</x:v>
      </x:c>
      <x:c r="P29" s="90">
        <x:f t="shared" si="5"/>
        <x:v>0</x:v>
      </x:c>
      <x:c r="Q29" s="89"/>
      <x:c r="R29" s="90"/>
      <x:c r="S29" s="173"/>
      <x:c r="T29" s="173"/>
      <x:c r="U29" s="173"/>
      <x:c r="V29" s="173"/>
      <x:c r="W29" s="173"/>
      <x:c r="X29" s="173"/>
      <x:c r="Y29" s="173"/>
      <x:c r="Z29" s="173"/>
      <x:c r="AA29" s="28"/>
      <x:c r="AB29" s="28"/>
      <x:c r="AC29" s="28"/>
      <x:c r="AD29" s="28"/>
      <x:c r="AE29" s="28"/>
      <x:c r="AF29" s="28"/>
      <x:c r="AG29" s="28"/>
      <x:c r="AH29" s="28"/>
      <x:c r="AI29" s="36"/>
      <x:c r="AJ29" s="37"/>
      <x:c r="AK29" s="28"/>
      <x:c r="AL29" s="28"/>
      <x:c r="AM29" s="28"/>
      <x:c r="AN29" s="28"/>
      <x:c r="AO29" s="28"/>
      <x:c r="AP29" s="28"/>
      <x:c r="AQ29" s="28"/>
      <x:c r="AR29" s="28"/>
      <x:c r="AS29" s="28"/>
      <x:c r="AT29" s="28"/>
      <x:c r="AU29" s="28"/>
      <x:c r="AV29" s="28"/>
      <x:c r="AW29" s="28"/>
      <x:c r="AX29" s="28"/>
      <x:c r="AY29" s="28"/>
      <x:c r="AZ29" s="28"/>
      <x:c r="BA29" s="28"/>
      <x:c r="BB29" s="28"/>
      <x:c r="BC29" s="28"/>
      <x:c r="BD29" s="28"/>
      <x:c r="BE29" s="28"/>
      <x:c r="BF29" s="28"/>
      <x:c r="BG29" s="28"/>
      <x:c r="BH29" s="28"/>
      <x:c r="BI29" s="28"/>
      <x:c r="BJ29" s="28"/>
      <x:c r="BK29" s="28"/>
      <x:c r="BL29" s="28"/>
      <x:c r="BM29" s="28"/>
      <x:c r="BN29" s="28"/>
      <x:c r="BO29" s="28"/>
      <x:c r="BP29" s="28"/>
      <x:c r="BQ29" s="29"/>
    </x:row>
    <x:row r="30" ht="42" customHeight="1">
      <x:c r="A30" s="5"/>
      <x:c r="B30" s="11"/>
      <x:c r="C30" s="6"/>
      <x:c r="D30" s="6"/>
      <x:c r="E30" s="6"/>
      <x:c r="F30" s="23"/>
      <x:c r="G30" s="23"/>
      <x:c r="H30" s="23"/>
      <x:c r="I30" s="23">
        <x:f t="shared" si="0"/>
        <x:v>46195</x:v>
      </x:c>
      <x:c r="J30" s="24">
        <x:f t="shared" si="1"/>
        <x:v>46201</x:v>
      </x:c>
      <x:c r="K30" s="24">
        <x:f t="shared" si="2"/>
        <x:v>-1</x:v>
      </x:c>
      <x:c r="L30" s="23"/>
      <x:c r="M30" s="25"/>
      <x:c r="N30" s="23"/>
      <x:c r="O30" s="23">
        <x:f t="shared" si="4"/>
        <x:v>0</x:v>
      </x:c>
      <x:c r="P30" s="23">
        <x:f t="shared" si="5"/>
        <x:v>0</x:v>
      </x:c>
      <x:c r="Q30" s="8"/>
      <x:c r="R30" s="31"/>
      <x:c r="S30" s="28"/>
      <x:c r="T30" s="28"/>
      <x:c r="U30" s="28"/>
      <x:c r="V30" s="28"/>
      <x:c r="W30" s="28"/>
      <x:c r="X30" s="28"/>
      <x:c r="Y30" s="28"/>
      <x:c r="Z30" s="28"/>
      <x:c r="AA30" s="28"/>
      <x:c r="AB30" s="28"/>
      <x:c r="AC30" s="28"/>
      <x:c r="AD30" s="28"/>
      <x:c r="AE30" s="28"/>
      <x:c r="AF30" s="28"/>
      <x:c r="AG30" s="28"/>
      <x:c r="AH30" s="28"/>
      <x:c r="AI30" s="28"/>
      <x:c r="AJ30" s="36"/>
      <x:c r="AK30" s="37"/>
      <x:c r="AL30" s="28"/>
      <x:c r="AM30" s="28"/>
      <x:c r="AN30" s="28"/>
      <x:c r="AO30" s="28"/>
      <x:c r="AP30" s="28"/>
      <x:c r="AQ30" s="28"/>
      <x:c r="AR30" s="28"/>
      <x:c r="AS30" s="28"/>
      <x:c r="AT30" s="28"/>
      <x:c r="AU30" s="28"/>
      <x:c r="AV30" s="28"/>
      <x:c r="AW30" s="28"/>
      <x:c r="AX30" s="28"/>
      <x:c r="AY30" s="28"/>
      <x:c r="AZ30" s="28"/>
      <x:c r="BA30" s="28"/>
      <x:c r="BB30" s="28"/>
      <x:c r="BC30" s="28"/>
      <x:c r="BD30" s="28"/>
      <x:c r="BE30" s="28"/>
      <x:c r="BF30" s="28"/>
      <x:c r="BG30" s="28"/>
      <x:c r="BH30" s="28"/>
      <x:c r="BI30" s="28"/>
      <x:c r="BJ30" s="28"/>
      <x:c r="BK30" s="28"/>
      <x:c r="BL30" s="28"/>
      <x:c r="BM30" s="28"/>
      <x:c r="BN30" s="28"/>
      <x:c r="BO30" s="28"/>
      <x:c r="BP30" s="28"/>
      <x:c r="BQ30" s="29"/>
    </x:row>
    <x:row r="31" ht="42" customHeight="1">
      <x:c r="A31" s="5"/>
      <x:c r="B31" s="11"/>
      <x:c r="C31" s="6"/>
      <x:c r="D31" s="6"/>
      <x:c r="E31" s="6"/>
      <x:c r="F31" s="23"/>
      <x:c r="G31" s="23"/>
      <x:c r="H31" s="23"/>
      <x:c r="I31" s="23">
        <x:f t="shared" si="0"/>
        <x:v>46195</x:v>
      </x:c>
      <x:c r="J31" s="24">
        <x:f t="shared" si="1"/>
        <x:v>46201</x:v>
      </x:c>
      <x:c r="K31" s="24">
        <x:f t="shared" si="2"/>
        <x:v>-1</x:v>
      </x:c>
      <x:c r="L31" s="23"/>
      <x:c r="M31" s="25"/>
      <x:c r="N31" s="23"/>
      <x:c r="O31" s="23">
        <x:f t="shared" si="4"/>
        <x:v>0</x:v>
      </x:c>
      <x:c r="P31" s="23">
        <x:f t="shared" si="5"/>
        <x:v>0</x:v>
      </x:c>
      <x:c r="Q31" s="8"/>
      <x:c r="R31" s="31"/>
      <x:c r="S31" s="28"/>
      <x:c r="T31" s="28"/>
      <x:c r="U31" s="28"/>
      <x:c r="V31" s="28"/>
      <x:c r="W31" s="28"/>
      <x:c r="X31" s="28"/>
      <x:c r="Y31" s="28"/>
      <x:c r="Z31" s="28"/>
      <x:c r="AA31" s="28"/>
      <x:c r="AB31" s="28"/>
      <x:c r="AC31" s="28"/>
      <x:c r="AD31" s="28"/>
      <x:c r="AE31" s="28"/>
      <x:c r="AF31" s="28"/>
      <x:c r="AG31" s="28"/>
      <x:c r="AH31" s="28"/>
      <x:c r="AI31" s="28"/>
      <x:c r="AJ31" s="28"/>
      <x:c r="AK31" s="38"/>
      <x:c r="AL31" s="28"/>
      <x:c r="AM31" s="28"/>
      <x:c r="AN31" s="28"/>
      <x:c r="AO31" s="28"/>
      <x:c r="AP31" s="28"/>
      <x:c r="AQ31" s="28"/>
      <x:c r="AR31" s="28"/>
      <x:c r="AS31" s="28"/>
      <x:c r="AT31" s="28"/>
      <x:c r="AU31" s="28"/>
      <x:c r="AV31" s="28"/>
      <x:c r="AW31" s="28"/>
      <x:c r="AX31" s="28"/>
      <x:c r="AY31" s="28"/>
      <x:c r="AZ31" s="28"/>
      <x:c r="BA31" s="28"/>
      <x:c r="BB31" s="28"/>
      <x:c r="BC31" s="28"/>
      <x:c r="BD31" s="28"/>
      <x:c r="BE31" s="28"/>
      <x:c r="BF31" s="28"/>
      <x:c r="BG31" s="28"/>
      <x:c r="BH31" s="28"/>
      <x:c r="BI31" s="28"/>
      <x:c r="BJ31" s="28"/>
      <x:c r="BK31" s="28"/>
      <x:c r="BL31" s="28"/>
      <x:c r="BM31" s="28"/>
      <x:c r="BN31" s="28"/>
      <x:c r="BO31" s="28"/>
      <x:c r="BP31" s="28"/>
      <x:c r="BQ31" s="29"/>
    </x:row>
    <x:row r="32" ht="42" customHeight="1">
      <x:c r="A32" s="5"/>
      <x:c r="B32" s="11"/>
      <x:c r="C32" s="6"/>
      <x:c r="D32" s="6"/>
      <x:c r="E32" s="6"/>
      <x:c r="F32" s="23"/>
      <x:c r="G32" s="23"/>
      <x:c r="H32" s="23"/>
      <x:c r="I32" s="23">
        <x:f t="shared" si="0"/>
        <x:v>46195</x:v>
      </x:c>
      <x:c r="J32" s="24">
        <x:f t="shared" si="1"/>
        <x:v>46201</x:v>
      </x:c>
      <x:c r="K32" s="24">
        <x:f t="shared" si="2"/>
        <x:v>-1</x:v>
      </x:c>
      <x:c r="L32" s="23"/>
      <x:c r="M32" s="25"/>
      <x:c r="N32" s="23"/>
      <x:c r="O32" s="23">
        <x:f t="shared" si="4"/>
        <x:v>0</x:v>
      </x:c>
      <x:c r="P32" s="23">
        <x:f t="shared" si="5"/>
        <x:v>0</x:v>
      </x:c>
      <x:c r="Q32" s="8"/>
      <x:c r="R32" s="31"/>
      <x:c r="S32" s="28"/>
      <x:c r="T32" s="28"/>
      <x:c r="U32" s="28"/>
      <x:c r="V32" s="28"/>
      <x:c r="W32" s="28"/>
      <x:c r="X32" s="28"/>
      <x:c r="Y32" s="28"/>
      <x:c r="Z32" s="28"/>
      <x:c r="AA32" s="28"/>
      <x:c r="AB32" s="28"/>
      <x:c r="AC32" s="28"/>
      <x:c r="AD32" s="28"/>
      <x:c r="AE32" s="28"/>
      <x:c r="AF32" s="28"/>
      <x:c r="AG32" s="28"/>
      <x:c r="AH32" s="28"/>
      <x:c r="AI32" s="28"/>
      <x:c r="AJ32" s="28"/>
      <x:c r="AK32" s="28"/>
      <x:c r="AL32" s="38"/>
      <x:c r="AM32" s="28"/>
      <x:c r="AN32" s="28"/>
      <x:c r="AO32" s="28"/>
      <x:c r="AP32" s="28"/>
      <x:c r="AQ32" s="28"/>
      <x:c r="AR32" s="28"/>
      <x:c r="AS32" s="28"/>
      <x:c r="AT32" s="28"/>
      <x:c r="AU32" s="28"/>
      <x:c r="AV32" s="28"/>
      <x:c r="AW32" s="28"/>
      <x:c r="AX32" s="28"/>
      <x:c r="AY32" s="28"/>
      <x:c r="AZ32" s="28"/>
      <x:c r="BA32" s="28"/>
      <x:c r="BB32" s="28"/>
      <x:c r="BC32" s="28"/>
      <x:c r="BD32" s="28"/>
      <x:c r="BE32" s="28"/>
      <x:c r="BF32" s="28"/>
      <x:c r="BG32" s="28"/>
      <x:c r="BH32" s="28"/>
      <x:c r="BI32" s="28"/>
      <x:c r="BJ32" s="28"/>
      <x:c r="BK32" s="28"/>
      <x:c r="BL32" s="28"/>
      <x:c r="BM32" s="28"/>
      <x:c r="BN32" s="28"/>
      <x:c r="BO32" s="28"/>
      <x:c r="BP32" s="28"/>
      <x:c r="BQ32" s="29"/>
    </x:row>
    <x:row r="33" ht="42" customHeight="1">
      <x:c r="A33" s="5"/>
      <x:c r="B33" s="11"/>
      <x:c r="C33" s="6"/>
      <x:c r="D33" s="6"/>
      <x:c r="E33" s="6"/>
      <x:c r="F33" s="23"/>
      <x:c r="G33" s="23"/>
      <x:c r="H33" s="23"/>
      <x:c r="I33" s="23">
        <x:f t="shared" si="0"/>
        <x:v>46195</x:v>
      </x:c>
      <x:c r="J33" s="24">
        <x:f t="shared" si="1"/>
        <x:v>46201</x:v>
      </x:c>
      <x:c r="K33" s="24">
        <x:f t="shared" si="2"/>
        <x:v>-1</x:v>
      </x:c>
      <x:c r="L33" s="23"/>
      <x:c r="M33" s="25"/>
      <x:c r="N33" s="23"/>
      <x:c r="O33" s="23">
        <x:f t="shared" si="4"/>
        <x:v>0</x:v>
      </x:c>
      <x:c r="P33" s="23">
        <x:f t="shared" si="5"/>
        <x:v>0</x:v>
      </x:c>
      <x:c r="Q33" s="8"/>
      <x:c r="R33" s="31"/>
      <x:c r="S33" s="28"/>
      <x:c r="T33" s="28"/>
      <x:c r="U33" s="28"/>
      <x:c r="V33" s="28"/>
      <x:c r="W33" s="28"/>
      <x:c r="X33" s="28"/>
      <x:c r="Y33" s="28"/>
      <x:c r="Z33" s="28"/>
      <x:c r="AA33" s="28"/>
      <x:c r="AB33" s="28"/>
      <x:c r="AC33" s="28"/>
      <x:c r="AD33" s="28"/>
      <x:c r="AE33" s="28"/>
      <x:c r="AF33" s="28"/>
      <x:c r="AG33" s="28"/>
      <x:c r="AH33" s="28"/>
      <x:c r="AI33" s="28"/>
      <x:c r="AJ33" s="28"/>
      <x:c r="AK33" s="28"/>
      <x:c r="AL33" s="36"/>
      <x:c r="AM33" s="37"/>
      <x:c r="AN33" s="28"/>
      <x:c r="AO33" s="28"/>
      <x:c r="AP33" s="28"/>
      <x:c r="AQ33" s="28"/>
      <x:c r="AR33" s="28"/>
      <x:c r="AS33" s="28"/>
      <x:c r="AT33" s="28"/>
      <x:c r="AU33" s="28"/>
      <x:c r="AV33" s="28"/>
      <x:c r="AW33" s="28"/>
      <x:c r="AX33" s="28"/>
      <x:c r="AY33" s="28"/>
      <x:c r="AZ33" s="28"/>
      <x:c r="BA33" s="28"/>
      <x:c r="BB33" s="28"/>
      <x:c r="BC33" s="28"/>
      <x:c r="BD33" s="28"/>
      <x:c r="BE33" s="28"/>
      <x:c r="BF33" s="28"/>
      <x:c r="BG33" s="28"/>
      <x:c r="BH33" s="28"/>
      <x:c r="BI33" s="28"/>
      <x:c r="BJ33" s="28"/>
      <x:c r="BK33" s="28"/>
      <x:c r="BL33" s="28"/>
      <x:c r="BM33" s="28"/>
      <x:c r="BN33" s="28"/>
      <x:c r="BO33" s="28"/>
      <x:c r="BP33" s="28"/>
      <x:c r="BQ33" s="29"/>
    </x:row>
    <x:row r="34" ht="42" customHeight="1">
      <x:c r="A34" s="5"/>
      <x:c r="B34" s="11"/>
      <x:c r="C34" s="6"/>
      <x:c r="D34" s="6"/>
      <x:c r="E34" s="6"/>
      <x:c r="F34" s="23"/>
      <x:c r="G34" s="23"/>
      <x:c r="H34" s="23"/>
      <x:c r="I34" s="23">
        <x:f t="shared" si="0"/>
        <x:v>46195</x:v>
      </x:c>
      <x:c r="J34" s="24">
        <x:f t="shared" si="1"/>
        <x:v>46201</x:v>
      </x:c>
      <x:c r="K34" s="24">
        <x:f t="shared" si="2"/>
        <x:v>-1</x:v>
      </x:c>
      <x:c r="L34" s="23"/>
      <x:c r="M34" s="25"/>
      <x:c r="N34" s="23"/>
      <x:c r="O34" s="23">
        <x:f t="shared" si="4"/>
        <x:v>0</x:v>
      </x:c>
      <x:c r="P34" s="23">
        <x:f t="shared" si="5"/>
        <x:v>0</x:v>
      </x:c>
      <x:c r="Q34" s="8"/>
      <x:c r="R34" s="31"/>
      <x:c r="S34" s="28"/>
      <x:c r="T34" s="28"/>
      <x:c r="U34" s="28"/>
      <x:c r="V34" s="28"/>
      <x:c r="W34" s="28"/>
      <x:c r="X34" s="28"/>
      <x:c r="Y34" s="28"/>
      <x:c r="Z34" s="28"/>
      <x:c r="AA34" s="28"/>
      <x:c r="AB34" s="28"/>
      <x:c r="AC34" s="28"/>
      <x:c r="AD34" s="28"/>
      <x:c r="AE34" s="28"/>
      <x:c r="AF34" s="28"/>
      <x:c r="AG34" s="28"/>
      <x:c r="AH34" s="28"/>
      <x:c r="AI34" s="28"/>
      <x:c r="AJ34" s="28"/>
      <x:c r="AK34" s="28"/>
      <x:c r="AL34" s="28"/>
      <x:c r="AM34" s="36"/>
      <x:c r="AN34" s="37"/>
      <x:c r="AO34" s="28"/>
      <x:c r="AP34" s="28"/>
      <x:c r="AQ34" s="28"/>
      <x:c r="AR34" s="28"/>
      <x:c r="AS34" s="28"/>
      <x:c r="AT34" s="28"/>
      <x:c r="AU34" s="28"/>
      <x:c r="AV34" s="28"/>
      <x:c r="AW34" s="28"/>
      <x:c r="AX34" s="28"/>
      <x:c r="AY34" s="28"/>
      <x:c r="AZ34" s="28"/>
      <x:c r="BA34" s="28"/>
      <x:c r="BB34" s="28"/>
      <x:c r="BC34" s="28"/>
      <x:c r="BD34" s="28"/>
      <x:c r="BE34" s="28"/>
      <x:c r="BF34" s="28"/>
      <x:c r="BG34" s="28"/>
      <x:c r="BH34" s="28"/>
      <x:c r="BI34" s="28"/>
      <x:c r="BJ34" s="28"/>
      <x:c r="BK34" s="28"/>
      <x:c r="BL34" s="28"/>
      <x:c r="BM34" s="28"/>
      <x:c r="BN34" s="28"/>
      <x:c r="BO34" s="28"/>
      <x:c r="BP34" s="28"/>
      <x:c r="BQ34" s="29"/>
    </x:row>
    <x:row r="35" ht="42" customHeight="1">
      <x:c r="A35" s="5"/>
      <x:c r="B35" s="11"/>
      <x:c r="C35" s="6"/>
      <x:c r="D35" s="6"/>
      <x:c r="E35" s="6"/>
      <x:c r="F35" s="23"/>
      <x:c r="G35" s="23"/>
      <x:c r="H35" s="23"/>
      <x:c r="I35" s="23">
        <x:f t="shared" si="0"/>
        <x:v>46195</x:v>
      </x:c>
      <x:c r="J35" s="24">
        <x:f t="shared" si="1"/>
        <x:v>46201</x:v>
      </x:c>
      <x:c r="K35" s="24">
        <x:f t="shared" si="2"/>
        <x:v>-1</x:v>
      </x:c>
      <x:c r="L35" s="23"/>
      <x:c r="M35" s="25"/>
      <x:c r="N35" s="23"/>
      <x:c r="O35" s="23">
        <x:f t="shared" si="4"/>
        <x:v>0</x:v>
      </x:c>
      <x:c r="P35" s="23">
        <x:f t="shared" si="5"/>
        <x:v>0</x:v>
      </x:c>
      <x:c r="Q35" s="8"/>
      <x:c r="R35" s="31"/>
      <x:c r="S35" s="28"/>
      <x:c r="T35" s="28"/>
      <x:c r="U35" s="28"/>
      <x:c r="V35" s="28"/>
      <x:c r="W35" s="28"/>
      <x:c r="X35" s="28"/>
      <x:c r="Y35" s="28"/>
      <x:c r="Z35" s="28"/>
      <x:c r="AA35" s="28"/>
      <x:c r="AB35" s="28"/>
      <x:c r="AC35" s="28"/>
      <x:c r="AD35" s="28"/>
      <x:c r="AE35" s="28"/>
      <x:c r="AF35" s="28"/>
      <x:c r="AG35" s="28"/>
      <x:c r="AH35" s="28"/>
      <x:c r="AI35" s="28"/>
      <x:c r="AJ35" s="28"/>
      <x:c r="AK35" s="28"/>
      <x:c r="AL35" s="28"/>
      <x:c r="AM35" s="28"/>
      <x:c r="AN35" s="28"/>
      <x:c r="AO35" s="38"/>
      <x:c r="AP35" s="28"/>
      <x:c r="AQ35" s="28"/>
      <x:c r="AR35" s="28"/>
      <x:c r="AS35" s="28"/>
      <x:c r="AT35" s="28"/>
      <x:c r="AU35" s="28"/>
      <x:c r="AV35" s="28"/>
      <x:c r="AW35" s="28"/>
      <x:c r="AX35" s="28"/>
      <x:c r="AY35" s="28"/>
      <x:c r="AZ35" s="28"/>
      <x:c r="BA35" s="28"/>
      <x:c r="BB35" s="28"/>
      <x:c r="BC35" s="28"/>
      <x:c r="BD35" s="28"/>
      <x:c r="BE35" s="28"/>
      <x:c r="BF35" s="28"/>
      <x:c r="BG35" s="28"/>
      <x:c r="BH35" s="28"/>
      <x:c r="BI35" s="28"/>
      <x:c r="BJ35" s="28"/>
      <x:c r="BK35" s="28"/>
      <x:c r="BL35" s="28"/>
      <x:c r="BM35" s="28"/>
      <x:c r="BN35" s="28"/>
      <x:c r="BO35" s="28"/>
      <x:c r="BP35" s="28"/>
      <x:c r="BQ35" s="29"/>
    </x:row>
    <x:row r="36" ht="42" customHeight="1">
      <x:c r="A36" s="5"/>
      <x:c r="B36" s="12"/>
      <x:c r="C36" s="6"/>
      <x:c r="D36" s="6"/>
      <x:c r="E36" s="6"/>
      <x:c r="F36" s="23"/>
      <x:c r="G36" s="23"/>
      <x:c r="H36" s="23"/>
      <x:c r="I36" s="23">
        <x:f t="shared" si="0"/>
        <x:v>46195</x:v>
      </x:c>
      <x:c r="J36" s="24">
        <x:f t="shared" si="1"/>
        <x:v>46201</x:v>
      </x:c>
      <x:c r="K36" s="24">
        <x:f t="shared" si="2"/>
        <x:v>-1</x:v>
      </x:c>
      <x:c r="L36" s="23"/>
      <x:c r="M36" s="25"/>
      <x:c r="N36" s="23"/>
      <x:c r="O36" s="23">
        <x:f t="shared" si="4"/>
        <x:v>0</x:v>
      </x:c>
      <x:c r="P36" s="23">
        <x:f t="shared" si="5"/>
        <x:v>0</x:v>
      </x:c>
      <x:c r="Q36" s="8"/>
      <x:c r="R36" s="31"/>
      <x:c r="S36" s="28"/>
      <x:c r="T36" s="28"/>
      <x:c r="U36" s="28"/>
      <x:c r="V36" s="28"/>
      <x:c r="W36" s="28"/>
      <x:c r="X36" s="28"/>
      <x:c r="Y36" s="28"/>
      <x:c r="Z36" s="28"/>
      <x:c r="AA36" s="28"/>
      <x:c r="AB36" s="28"/>
      <x:c r="AC36" s="28"/>
      <x:c r="AD36" s="28"/>
      <x:c r="AE36" s="28"/>
      <x:c r="AF36" s="28"/>
      <x:c r="AG36" s="28"/>
      <x:c r="AH36" s="28"/>
      <x:c r="AI36" s="28"/>
      <x:c r="AJ36" s="28"/>
      <x:c r="AK36" s="28"/>
      <x:c r="AL36" s="28"/>
      <x:c r="AM36" s="28"/>
      <x:c r="AN36" s="28"/>
      <x:c r="AO36" s="28"/>
      <x:c r="AP36" s="39"/>
      <x:c r="AQ36" s="28"/>
      <x:c r="AR36" s="28"/>
      <x:c r="AS36" s="28"/>
      <x:c r="AT36" s="28"/>
      <x:c r="AU36" s="28"/>
      <x:c r="AV36" s="28"/>
      <x:c r="AW36" s="28"/>
      <x:c r="AX36" s="28"/>
      <x:c r="AY36" s="28"/>
      <x:c r="AZ36" s="28"/>
      <x:c r="BA36" s="28"/>
      <x:c r="BB36" s="28"/>
      <x:c r="BC36" s="28"/>
      <x:c r="BD36" s="28"/>
      <x:c r="BE36" s="28"/>
      <x:c r="BF36" s="28"/>
      <x:c r="BG36" s="28"/>
      <x:c r="BH36" s="28"/>
      <x:c r="BI36" s="28"/>
      <x:c r="BJ36" s="28"/>
      <x:c r="BK36" s="28"/>
      <x:c r="BL36" s="28"/>
      <x:c r="BM36" s="28"/>
      <x:c r="BN36" s="28"/>
      <x:c r="BO36" s="28"/>
      <x:c r="BP36" s="28"/>
      <x:c r="BQ36" s="29"/>
    </x:row>
    <x:row r="37" ht="42" customHeight="1">
      <x:c r="A37" s="5"/>
      <x:c r="B37" s="12"/>
      <x:c r="C37" s="6"/>
      <x:c r="D37" s="6"/>
      <x:c r="E37" s="6"/>
      <x:c r="F37" s="23"/>
      <x:c r="G37" s="23"/>
      <x:c r="H37" s="23"/>
      <x:c r="I37" s="23">
        <x:f t="shared" si="0"/>
        <x:v>46195</x:v>
      </x:c>
      <x:c r="J37" s="24">
        <x:f t="shared" si="1"/>
        <x:v>46201</x:v>
      </x:c>
      <x:c r="K37" s="24">
        <x:f t="shared" si="2"/>
        <x:v>-1</x:v>
      </x:c>
      <x:c r="L37" s="23"/>
      <x:c r="M37" s="25"/>
      <x:c r="N37" s="23"/>
      <x:c r="O37" s="23">
        <x:f t="shared" si="4"/>
        <x:v>0</x:v>
      </x:c>
      <x:c r="P37" s="23">
        <x:f t="shared" si="5"/>
        <x:v>0</x:v>
      </x:c>
      <x:c r="Q37" s="8"/>
      <x:c r="R37" s="31"/>
      <x:c r="S37" s="28"/>
      <x:c r="T37" s="28"/>
      <x:c r="U37" s="28"/>
      <x:c r="V37" s="28"/>
      <x:c r="W37" s="28"/>
      <x:c r="X37" s="28"/>
      <x:c r="Y37" s="28"/>
      <x:c r="Z37" s="28"/>
      <x:c r="AA37" s="28"/>
      <x:c r="AB37" s="28"/>
      <x:c r="AC37" s="28"/>
      <x:c r="AD37" s="28"/>
      <x:c r="AE37" s="28"/>
      <x:c r="AF37" s="28"/>
      <x:c r="AG37" s="28"/>
      <x:c r="AH37" s="28"/>
      <x:c r="AI37" s="28"/>
      <x:c r="AJ37" s="28"/>
      <x:c r="AK37" s="28"/>
      <x:c r="AL37" s="28"/>
      <x:c r="AM37" s="28"/>
      <x:c r="AN37" s="28"/>
      <x:c r="AO37" s="28"/>
      <x:c r="AP37" s="40"/>
      <x:c r="AQ37" s="41"/>
      <x:c r="AR37" s="28"/>
      <x:c r="AS37" s="28"/>
      <x:c r="AT37" s="28"/>
      <x:c r="AU37" s="28"/>
      <x:c r="AV37" s="28"/>
      <x:c r="AW37" s="28"/>
      <x:c r="AX37" s="28"/>
      <x:c r="AY37" s="28"/>
      <x:c r="AZ37" s="28"/>
      <x:c r="BA37" s="28"/>
      <x:c r="BB37" s="28"/>
      <x:c r="BC37" s="28"/>
      <x:c r="BD37" s="28"/>
      <x:c r="BE37" s="28"/>
      <x:c r="BF37" s="28"/>
      <x:c r="BG37" s="28"/>
      <x:c r="BH37" s="28"/>
      <x:c r="BI37" s="28"/>
      <x:c r="BJ37" s="28"/>
      <x:c r="BK37" s="28"/>
      <x:c r="BL37" s="28"/>
      <x:c r="BM37" s="28"/>
      <x:c r="BN37" s="28"/>
      <x:c r="BO37" s="28"/>
      <x:c r="BP37" s="28"/>
      <x:c r="BQ37" s="29"/>
    </x:row>
    <x:row r="38" ht="42" customHeight="1">
      <x:c r="A38" s="5"/>
      <x:c r="B38" s="12"/>
      <x:c r="C38" s="6"/>
      <x:c r="D38" s="6"/>
      <x:c r="E38" s="6"/>
      <x:c r="F38" s="23"/>
      <x:c r="G38" s="23"/>
      <x:c r="H38" s="23"/>
      <x:c r="I38" s="23" t="n">
        <x:f t="shared" ref="I38:I63" si="6">H38-G38+1</x:f>
        <x:v>1</x:v>
      </x:c>
      <x:c r="J38" s="24" t="n">
        <x:f t="shared" ref="J38:J63" si="7">$C$1+(G38-1)*7</x:f>
        <x:v>-7</x:v>
      </x:c>
      <x:c r="K38" s="24" t="n">
        <x:f t="shared" ref="K38:K63" si="8">$C$1+H38*7-1</x:f>
        <x:v>-1</x:v>
      </x:c>
      <x:c r="L38" s="23"/>
      <x:c r="M38" s="25"/>
      <x:c r="N38" s="23"/>
      <x:c r="O38" s="23" t="str">
        <x:f t="shared" ref="O38:O63" si="9">IF(N38="","",N38-F38)</x:f>
      </x:c>
      <x:c r="P38" s="23" t="n">
        <x:f t="shared" ref="P38:P63" si="10">MAX(F38*(1-M38),0)</x:f>
        <x:v>0</x:v>
      </x:c>
      <x:c r="Q38" s="8"/>
      <x:c r="R38" s="31"/>
      <x:c r="S38" s="28"/>
      <x:c r="T38" s="28"/>
      <x:c r="U38" s="28"/>
      <x:c r="V38" s="28"/>
      <x:c r="W38" s="28"/>
      <x:c r="X38" s="28"/>
      <x:c r="Y38" s="28"/>
      <x:c r="Z38" s="28"/>
      <x:c r="AA38" s="28"/>
      <x:c r="AB38" s="28"/>
      <x:c r="AC38" s="28"/>
      <x:c r="AD38" s="28"/>
      <x:c r="AE38" s="28"/>
      <x:c r="AF38" s="28"/>
      <x:c r="AG38" s="28"/>
      <x:c r="AH38" s="28"/>
      <x:c r="AI38" s="28"/>
      <x:c r="AJ38" s="28"/>
      <x:c r="AK38" s="28"/>
      <x:c r="AL38" s="28"/>
      <x:c r="AM38" s="28"/>
      <x:c r="AN38" s="28"/>
      <x:c r="AO38" s="28"/>
      <x:c r="AP38" s="28"/>
      <x:c r="AQ38" s="40"/>
      <x:c r="AR38" s="42"/>
      <x:c r="AS38" s="41"/>
      <x:c r="AT38" s="28"/>
      <x:c r="AU38" s="28"/>
      <x:c r="AV38" s="28"/>
      <x:c r="AW38" s="28"/>
      <x:c r="AX38" s="28"/>
      <x:c r="AY38" s="28"/>
      <x:c r="AZ38" s="28"/>
      <x:c r="BA38" s="28"/>
      <x:c r="BB38" s="28"/>
      <x:c r="BC38" s="28"/>
      <x:c r="BD38" s="28"/>
      <x:c r="BE38" s="28"/>
      <x:c r="BF38" s="28"/>
      <x:c r="BG38" s="28"/>
      <x:c r="BH38" s="28"/>
      <x:c r="BI38" s="28"/>
      <x:c r="BJ38" s="28"/>
      <x:c r="BK38" s="28"/>
      <x:c r="BL38" s="28"/>
      <x:c r="BM38" s="28"/>
      <x:c r="BN38" s="28"/>
      <x:c r="BO38" s="28"/>
      <x:c r="BP38" s="28"/>
      <x:c r="BQ38" s="29"/>
    </x:row>
    <x:row r="39" ht="42" customHeight="1">
      <x:c r="A39" s="5"/>
      <x:c r="B39" s="12"/>
      <x:c r="C39" s="6"/>
      <x:c r="D39" s="6"/>
      <x:c r="E39" s="6"/>
      <x:c r="F39" s="23"/>
      <x:c r="G39" s="23"/>
      <x:c r="H39" s="23"/>
      <x:c r="I39" s="23">
        <x:f t="shared" si="6"/>
        <x:v>1</x:v>
      </x:c>
      <x:c r="J39" s="24">
        <x:f t="shared" si="7"/>
        <x:v>-7</x:v>
      </x:c>
      <x:c r="K39" s="24">
        <x:f t="shared" si="8"/>
        <x:v>-1</x:v>
      </x:c>
      <x:c r="L39" s="23"/>
      <x:c r="M39" s="25"/>
      <x:c r="N39" s="23"/>
      <x:c r="O39" s="23" t="str">
        <x:f t="shared" si="9"/>
      </x:c>
      <x:c r="P39" s="23">
        <x:f t="shared" si="10"/>
        <x:v>0</x:v>
      </x:c>
      <x:c r="Q39" s="8"/>
      <x:c r="R39" s="31"/>
      <x:c r="S39" s="28"/>
      <x:c r="T39" s="28"/>
      <x:c r="U39" s="28"/>
      <x:c r="V39" s="28"/>
      <x:c r="W39" s="28"/>
      <x:c r="X39" s="28"/>
      <x:c r="Y39" s="28"/>
      <x:c r="Z39" s="28"/>
      <x:c r="AA39" s="28"/>
      <x:c r="AB39" s="28"/>
      <x:c r="AC39" s="28"/>
      <x:c r="AD39" s="28"/>
      <x:c r="AE39" s="28"/>
      <x:c r="AF39" s="28"/>
      <x:c r="AG39" s="28"/>
      <x:c r="AH39" s="28"/>
      <x:c r="AI39" s="28"/>
      <x:c r="AJ39" s="28"/>
      <x:c r="AK39" s="28"/>
      <x:c r="AL39" s="28"/>
      <x:c r="AM39" s="28"/>
      <x:c r="AN39" s="28"/>
      <x:c r="AO39" s="28"/>
      <x:c r="AP39" s="28"/>
      <x:c r="AQ39" s="28"/>
      <x:c r="AR39" s="28"/>
      <x:c r="AS39" s="40"/>
      <x:c r="AT39" s="41"/>
      <x:c r="AU39" s="28"/>
      <x:c r="AV39" s="28"/>
      <x:c r="AW39" s="28"/>
      <x:c r="AX39" s="28"/>
      <x:c r="AY39" s="28"/>
      <x:c r="AZ39" s="28"/>
      <x:c r="BA39" s="28"/>
      <x:c r="BB39" s="28"/>
      <x:c r="BC39" s="28"/>
      <x:c r="BD39" s="28"/>
      <x:c r="BE39" s="28"/>
      <x:c r="BF39" s="28"/>
      <x:c r="BG39" s="28"/>
      <x:c r="BH39" s="28"/>
      <x:c r="BI39" s="28"/>
      <x:c r="BJ39" s="28"/>
      <x:c r="BK39" s="28"/>
      <x:c r="BL39" s="28"/>
      <x:c r="BM39" s="28"/>
      <x:c r="BN39" s="28"/>
      <x:c r="BO39" s="28"/>
      <x:c r="BP39" s="28"/>
      <x:c r="BQ39" s="29"/>
    </x:row>
    <x:row r="40" ht="42" customHeight="1">
      <x:c r="A40" s="5"/>
      <x:c r="B40" s="12"/>
      <x:c r="C40" s="6"/>
      <x:c r="D40" s="6"/>
      <x:c r="E40" s="6"/>
      <x:c r="F40" s="23"/>
      <x:c r="G40" s="23"/>
      <x:c r="H40" s="23"/>
      <x:c r="I40" s="23">
        <x:f t="shared" si="6"/>
        <x:v>1</x:v>
      </x:c>
      <x:c r="J40" s="24">
        <x:f t="shared" si="7"/>
        <x:v>-7</x:v>
      </x:c>
      <x:c r="K40" s="24">
        <x:f t="shared" si="8"/>
        <x:v>-1</x:v>
      </x:c>
      <x:c r="L40" s="23"/>
      <x:c r="M40" s="25"/>
      <x:c r="N40" s="23"/>
      <x:c r="O40" s="23" t="str">
        <x:f t="shared" si="9"/>
      </x:c>
      <x:c r="P40" s="23">
        <x:f t="shared" si="10"/>
        <x:v>0</x:v>
      </x:c>
      <x:c r="Q40" s="8"/>
      <x:c r="R40" s="31"/>
      <x:c r="S40" s="28"/>
      <x:c r="T40" s="28"/>
      <x:c r="U40" s="28"/>
      <x:c r="V40" s="28"/>
      <x:c r="W40" s="28"/>
      <x:c r="X40" s="28"/>
      <x:c r="Y40" s="28"/>
      <x:c r="Z40" s="28"/>
      <x:c r="AA40" s="28"/>
      <x:c r="AB40" s="28"/>
      <x:c r="AC40" s="28"/>
      <x:c r="AD40" s="28"/>
      <x:c r="AE40" s="28"/>
      <x:c r="AF40" s="28"/>
      <x:c r="AG40" s="28"/>
      <x:c r="AH40" s="28"/>
      <x:c r="AI40" s="28"/>
      <x:c r="AJ40" s="28"/>
      <x:c r="AK40" s="28"/>
      <x:c r="AL40" s="28"/>
      <x:c r="AM40" s="28"/>
      <x:c r="AN40" s="28"/>
      <x:c r="AO40" s="28"/>
      <x:c r="AP40" s="28"/>
      <x:c r="AQ40" s="28"/>
      <x:c r="AR40" s="28"/>
      <x:c r="AS40" s="28"/>
      <x:c r="AT40" s="40"/>
      <x:c r="AU40" s="41"/>
      <x:c r="AV40" s="28"/>
      <x:c r="AW40" s="28"/>
      <x:c r="AX40" s="28"/>
      <x:c r="AY40" s="28"/>
      <x:c r="AZ40" s="28"/>
      <x:c r="BA40" s="28"/>
      <x:c r="BB40" s="28"/>
      <x:c r="BC40" s="28"/>
      <x:c r="BD40" s="28"/>
      <x:c r="BE40" s="28"/>
      <x:c r="BF40" s="28"/>
      <x:c r="BG40" s="28"/>
      <x:c r="BH40" s="28"/>
      <x:c r="BI40" s="28"/>
      <x:c r="BJ40" s="28"/>
      <x:c r="BK40" s="28"/>
      <x:c r="BL40" s="28"/>
      <x:c r="BM40" s="28"/>
      <x:c r="BN40" s="28"/>
      <x:c r="BO40" s="28"/>
      <x:c r="BP40" s="28"/>
      <x:c r="BQ40" s="29"/>
    </x:row>
    <x:row r="41" ht="42" customHeight="1">
      <x:c r="A41" s="5"/>
      <x:c r="B41" s="12"/>
      <x:c r="C41" s="6"/>
      <x:c r="D41" s="6"/>
      <x:c r="E41" s="6"/>
      <x:c r="F41" s="23"/>
      <x:c r="G41" s="23"/>
      <x:c r="H41" s="23"/>
      <x:c r="I41" s="23">
        <x:f t="shared" si="6"/>
        <x:v>1</x:v>
      </x:c>
      <x:c r="J41" s="24">
        <x:f t="shared" si="7"/>
        <x:v>-7</x:v>
      </x:c>
      <x:c r="K41" s="24">
        <x:f t="shared" si="8"/>
        <x:v>-1</x:v>
      </x:c>
      <x:c r="L41" s="23"/>
      <x:c r="M41" s="25"/>
      <x:c r="N41" s="23"/>
      <x:c r="O41" s="23" t="str">
        <x:f t="shared" si="9"/>
      </x:c>
      <x:c r="P41" s="23">
        <x:f t="shared" si="10"/>
        <x:v>0</x:v>
      </x:c>
      <x:c r="Q41" s="8"/>
      <x:c r="R41" s="31"/>
      <x:c r="S41" s="28"/>
      <x:c r="T41" s="28"/>
      <x:c r="U41" s="28"/>
      <x:c r="V41" s="28"/>
      <x:c r="W41" s="28"/>
      <x:c r="X41" s="28"/>
      <x:c r="Y41" s="28"/>
      <x:c r="Z41" s="28"/>
      <x:c r="AA41" s="28"/>
      <x:c r="AB41" s="28"/>
      <x:c r="AC41" s="28"/>
      <x:c r="AD41" s="28"/>
      <x:c r="AE41" s="28"/>
      <x:c r="AF41" s="28"/>
      <x:c r="AG41" s="28"/>
      <x:c r="AH41" s="28"/>
      <x:c r="AI41" s="28"/>
      <x:c r="AJ41" s="28"/>
      <x:c r="AK41" s="28"/>
      <x:c r="AL41" s="28"/>
      <x:c r="AM41" s="28"/>
      <x:c r="AN41" s="28"/>
      <x:c r="AO41" s="28"/>
      <x:c r="AP41" s="28"/>
      <x:c r="AQ41" s="28"/>
      <x:c r="AR41" s="28"/>
      <x:c r="AS41" s="28"/>
      <x:c r="AT41" s="28"/>
      <x:c r="AU41" s="40"/>
      <x:c r="AV41" s="41"/>
      <x:c r="AW41" s="28"/>
      <x:c r="AX41" s="28"/>
      <x:c r="AY41" s="28"/>
      <x:c r="AZ41" s="28"/>
      <x:c r="BA41" s="28"/>
      <x:c r="BB41" s="28"/>
      <x:c r="BC41" s="28"/>
      <x:c r="BD41" s="28"/>
      <x:c r="BE41" s="28"/>
      <x:c r="BF41" s="28"/>
      <x:c r="BG41" s="28"/>
      <x:c r="BH41" s="28"/>
      <x:c r="BI41" s="28"/>
      <x:c r="BJ41" s="28"/>
      <x:c r="BK41" s="28"/>
      <x:c r="BL41" s="28"/>
      <x:c r="BM41" s="28"/>
      <x:c r="BN41" s="28"/>
      <x:c r="BO41" s="28"/>
      <x:c r="BP41" s="28"/>
      <x:c r="BQ41" s="29"/>
    </x:row>
    <x:row r="42" ht="42" customHeight="1">
      <x:c r="A42" s="5"/>
      <x:c r="B42" s="12"/>
      <x:c r="C42" s="6"/>
      <x:c r="D42" s="6"/>
      <x:c r="E42" s="6"/>
      <x:c r="F42" s="23"/>
      <x:c r="G42" s="23"/>
      <x:c r="H42" s="23"/>
      <x:c r="I42" s="23">
        <x:f t="shared" si="6"/>
        <x:v>1</x:v>
      </x:c>
      <x:c r="J42" s="24">
        <x:f t="shared" si="7"/>
        <x:v>-7</x:v>
      </x:c>
      <x:c r="K42" s="24">
        <x:f t="shared" si="8"/>
        <x:v>-1</x:v>
      </x:c>
      <x:c r="L42" s="23"/>
      <x:c r="M42" s="25"/>
      <x:c r="N42" s="23"/>
      <x:c r="O42" s="23" t="str">
        <x:f t="shared" si="9"/>
      </x:c>
      <x:c r="P42" s="23">
        <x:f t="shared" si="10"/>
        <x:v>0</x:v>
      </x:c>
      <x:c r="Q42" s="8"/>
      <x:c r="R42" s="31"/>
      <x:c r="S42" s="28"/>
      <x:c r="T42" s="28"/>
      <x:c r="U42" s="28"/>
      <x:c r="V42" s="28"/>
      <x:c r="W42" s="28"/>
      <x:c r="X42" s="28"/>
      <x:c r="Y42" s="28"/>
      <x:c r="Z42" s="28"/>
      <x:c r="AA42" s="28"/>
      <x:c r="AB42" s="28"/>
      <x:c r="AC42" s="28"/>
      <x:c r="AD42" s="28"/>
      <x:c r="AE42" s="28"/>
      <x:c r="AF42" s="28"/>
      <x:c r="AG42" s="28"/>
      <x:c r="AH42" s="28"/>
      <x:c r="AI42" s="28"/>
      <x:c r="AJ42" s="28"/>
      <x:c r="AK42" s="28"/>
      <x:c r="AL42" s="28"/>
      <x:c r="AM42" s="28"/>
      <x:c r="AN42" s="28"/>
      <x:c r="AO42" s="28"/>
      <x:c r="AP42" s="28"/>
      <x:c r="AQ42" s="28"/>
      <x:c r="AR42" s="28"/>
      <x:c r="AS42" s="28"/>
      <x:c r="AT42" s="28"/>
      <x:c r="AU42" s="28"/>
      <x:c r="AV42" s="28"/>
      <x:c r="AW42" s="39"/>
      <x:c r="AX42" s="28"/>
      <x:c r="AY42" s="28"/>
      <x:c r="AZ42" s="28"/>
      <x:c r="BA42" s="28"/>
      <x:c r="BB42" s="28"/>
      <x:c r="BC42" s="28"/>
      <x:c r="BD42" s="28"/>
      <x:c r="BE42" s="28"/>
      <x:c r="BF42" s="28"/>
      <x:c r="BG42" s="28"/>
      <x:c r="BH42" s="28"/>
      <x:c r="BI42" s="28"/>
      <x:c r="BJ42" s="28"/>
      <x:c r="BK42" s="28"/>
      <x:c r="BL42" s="28"/>
      <x:c r="BM42" s="28"/>
      <x:c r="BN42" s="28"/>
      <x:c r="BO42" s="28"/>
      <x:c r="BP42" s="28"/>
      <x:c r="BQ42" s="29"/>
    </x:row>
    <x:row r="43" ht="42" customHeight="1">
      <x:c r="A43" s="5"/>
      <x:c r="B43" s="13"/>
      <x:c r="C43" s="6"/>
      <x:c r="D43" s="6"/>
      <x:c r="E43" s="6"/>
      <x:c r="F43" s="23"/>
      <x:c r="G43" s="23"/>
      <x:c r="H43" s="23"/>
      <x:c r="I43" s="23">
        <x:f t="shared" si="6"/>
        <x:v>1</x:v>
      </x:c>
      <x:c r="J43" s="24">
        <x:f t="shared" si="7"/>
        <x:v>-7</x:v>
      </x:c>
      <x:c r="K43" s="24">
        <x:f t="shared" si="8"/>
        <x:v>-1</x:v>
      </x:c>
      <x:c r="L43" s="23"/>
      <x:c r="M43" s="25"/>
      <x:c r="N43" s="23"/>
      <x:c r="O43" s="23" t="str">
        <x:f t="shared" si="9"/>
      </x:c>
      <x:c r="P43" s="23">
        <x:f t="shared" si="10"/>
        <x:v>0</x:v>
      </x:c>
      <x:c r="Q43" s="8"/>
      <x:c r="R43" s="31"/>
      <x:c r="S43" s="28"/>
      <x:c r="T43" s="28"/>
      <x:c r="U43" s="28"/>
      <x:c r="V43" s="28"/>
      <x:c r="W43" s="28"/>
      <x:c r="X43" s="28"/>
      <x:c r="Y43" s="28"/>
      <x:c r="Z43" s="28"/>
      <x:c r="AA43" s="28"/>
      <x:c r="AB43" s="28"/>
      <x:c r="AC43" s="28"/>
      <x:c r="AD43" s="28"/>
      <x:c r="AE43" s="28"/>
      <x:c r="AF43" s="28"/>
      <x:c r="AG43" s="28"/>
      <x:c r="AH43" s="28"/>
      <x:c r="AI43" s="28"/>
      <x:c r="AJ43" s="28"/>
      <x:c r="AK43" s="28"/>
      <x:c r="AL43" s="28"/>
      <x:c r="AM43" s="28"/>
      <x:c r="AN43" s="28"/>
      <x:c r="AO43" s="28"/>
      <x:c r="AP43" s="28"/>
      <x:c r="AQ43" s="28"/>
      <x:c r="AR43" s="28"/>
      <x:c r="AS43" s="28"/>
      <x:c r="AT43" s="28"/>
      <x:c r="AU43" s="28"/>
      <x:c r="AV43" s="28"/>
      <x:c r="AW43" s="28"/>
      <x:c r="AX43" s="43"/>
      <x:c r="AY43" s="28"/>
      <x:c r="AZ43" s="28"/>
      <x:c r="BA43" s="28"/>
      <x:c r="BB43" s="28"/>
      <x:c r="BC43" s="28"/>
      <x:c r="BD43" s="28"/>
      <x:c r="BE43" s="28"/>
      <x:c r="BF43" s="28"/>
      <x:c r="BG43" s="28"/>
      <x:c r="BH43" s="28"/>
      <x:c r="BI43" s="28"/>
      <x:c r="BJ43" s="28"/>
      <x:c r="BK43" s="28"/>
      <x:c r="BL43" s="28"/>
      <x:c r="BM43" s="28"/>
      <x:c r="BN43" s="28"/>
      <x:c r="BO43" s="28"/>
      <x:c r="BP43" s="28"/>
      <x:c r="BQ43" s="29"/>
    </x:row>
    <x:row r="44" ht="42" customHeight="1">
      <x:c r="A44" s="5"/>
      <x:c r="B44" s="13"/>
      <x:c r="C44" s="6"/>
      <x:c r="D44" s="6"/>
      <x:c r="E44" s="6"/>
      <x:c r="F44" s="23"/>
      <x:c r="G44" s="23"/>
      <x:c r="H44" s="23"/>
      <x:c r="I44" s="23">
        <x:f t="shared" si="6"/>
        <x:v>1</x:v>
      </x:c>
      <x:c r="J44" s="24">
        <x:f t="shared" si="7"/>
        <x:v>-7</x:v>
      </x:c>
      <x:c r="K44" s="24">
        <x:f t="shared" si="8"/>
        <x:v>-1</x:v>
      </x:c>
      <x:c r="L44" s="23"/>
      <x:c r="M44" s="25"/>
      <x:c r="N44" s="23"/>
      <x:c r="O44" s="23" t="str">
        <x:f t="shared" si="9"/>
      </x:c>
      <x:c r="P44" s="23">
        <x:f t="shared" si="10"/>
        <x:v>0</x:v>
      </x:c>
      <x:c r="Q44" s="8"/>
      <x:c r="R44" s="31"/>
      <x:c r="S44" s="28"/>
      <x:c r="T44" s="28"/>
      <x:c r="U44" s="28"/>
      <x:c r="V44" s="28"/>
      <x:c r="W44" s="28"/>
      <x:c r="X44" s="28"/>
      <x:c r="Y44" s="28"/>
      <x:c r="Z44" s="28"/>
      <x:c r="AA44" s="28"/>
      <x:c r="AB44" s="28"/>
      <x:c r="AC44" s="28"/>
      <x:c r="AD44" s="28"/>
      <x:c r="AE44" s="28"/>
      <x:c r="AF44" s="28"/>
      <x:c r="AG44" s="28"/>
      <x:c r="AH44" s="28"/>
      <x:c r="AI44" s="28"/>
      <x:c r="AJ44" s="28"/>
      <x:c r="AK44" s="28"/>
      <x:c r="AL44" s="28"/>
      <x:c r="AM44" s="28"/>
      <x:c r="AN44" s="28"/>
      <x:c r="AO44" s="28"/>
      <x:c r="AP44" s="28"/>
      <x:c r="AQ44" s="28"/>
      <x:c r="AR44" s="28"/>
      <x:c r="AS44" s="28"/>
      <x:c r="AT44" s="28"/>
      <x:c r="AU44" s="28"/>
      <x:c r="AV44" s="28"/>
      <x:c r="AW44" s="28"/>
      <x:c r="AX44" s="28"/>
      <x:c r="AY44" s="44"/>
      <x:c r="AZ44" s="45"/>
      <x:c r="BA44" s="28"/>
      <x:c r="BB44" s="28"/>
      <x:c r="BC44" s="28"/>
      <x:c r="BD44" s="28"/>
      <x:c r="BE44" s="28"/>
      <x:c r="BF44" s="28"/>
      <x:c r="BG44" s="28"/>
      <x:c r="BH44" s="28"/>
      <x:c r="BI44" s="28"/>
      <x:c r="BJ44" s="28"/>
      <x:c r="BK44" s="28"/>
      <x:c r="BL44" s="28"/>
      <x:c r="BM44" s="28"/>
      <x:c r="BN44" s="28"/>
      <x:c r="BO44" s="28"/>
      <x:c r="BP44" s="28"/>
      <x:c r="BQ44" s="29"/>
    </x:row>
    <x:row r="45" ht="42" customHeight="1">
      <x:c r="A45" s="5"/>
      <x:c r="B45" s="13"/>
      <x:c r="C45" s="6"/>
      <x:c r="D45" s="6"/>
      <x:c r="E45" s="6"/>
      <x:c r="F45" s="23"/>
      <x:c r="G45" s="23"/>
      <x:c r="H45" s="23"/>
      <x:c r="I45" s="23">
        <x:f t="shared" si="6"/>
        <x:v>1</x:v>
      </x:c>
      <x:c r="J45" s="24">
        <x:f t="shared" si="7"/>
        <x:v>-7</x:v>
      </x:c>
      <x:c r="K45" s="24">
        <x:f t="shared" si="8"/>
        <x:v>-1</x:v>
      </x:c>
      <x:c r="L45" s="23"/>
      <x:c r="M45" s="25"/>
      <x:c r="N45" s="23"/>
      <x:c r="O45" s="23" t="str">
        <x:f t="shared" si="9"/>
      </x:c>
      <x:c r="P45" s="23">
        <x:f t="shared" si="10"/>
        <x:v>0</x:v>
      </x:c>
      <x:c r="Q45" s="8"/>
      <x:c r="R45" s="31"/>
      <x:c r="S45" s="28"/>
      <x:c r="T45" s="28"/>
      <x:c r="U45" s="28"/>
      <x:c r="V45" s="28"/>
      <x:c r="W45" s="28"/>
      <x:c r="X45" s="28"/>
      <x:c r="Y45" s="28"/>
      <x:c r="Z45" s="28"/>
      <x:c r="AA45" s="28"/>
      <x:c r="AB45" s="28"/>
      <x:c r="AC45" s="28"/>
      <x:c r="AD45" s="28"/>
      <x:c r="AE45" s="28"/>
      <x:c r="AF45" s="28"/>
      <x:c r="AG45" s="28"/>
      <x:c r="AH45" s="28"/>
      <x:c r="AI45" s="28"/>
      <x:c r="AJ45" s="28"/>
      <x:c r="AK45" s="28"/>
      <x:c r="AL45" s="28"/>
      <x:c r="AM45" s="28"/>
      <x:c r="AN45" s="28"/>
      <x:c r="AO45" s="28"/>
      <x:c r="AP45" s="28"/>
      <x:c r="AQ45" s="28"/>
      <x:c r="AR45" s="28"/>
      <x:c r="AS45" s="28"/>
      <x:c r="AT45" s="28"/>
      <x:c r="AU45" s="28"/>
      <x:c r="AV45" s="28"/>
      <x:c r="AW45" s="28"/>
      <x:c r="AX45" s="28"/>
      <x:c r="AY45" s="28"/>
      <x:c r="AZ45" s="44"/>
      <x:c r="BA45" s="45"/>
      <x:c r="BB45" s="28"/>
      <x:c r="BC45" s="28"/>
      <x:c r="BD45" s="28"/>
      <x:c r="BE45" s="28"/>
      <x:c r="BF45" s="28"/>
      <x:c r="BG45" s="28"/>
      <x:c r="BH45" s="28"/>
      <x:c r="BI45" s="28"/>
      <x:c r="BJ45" s="28"/>
      <x:c r="BK45" s="28"/>
      <x:c r="BL45" s="28"/>
      <x:c r="BM45" s="28"/>
      <x:c r="BN45" s="28"/>
      <x:c r="BO45" s="28"/>
      <x:c r="BP45" s="28"/>
      <x:c r="BQ45" s="29"/>
    </x:row>
    <x:row r="46" ht="42" customHeight="1">
      <x:c r="A46" s="5"/>
      <x:c r="B46" s="13"/>
      <x:c r="C46" s="6"/>
      <x:c r="D46" s="6"/>
      <x:c r="E46" s="6"/>
      <x:c r="F46" s="23"/>
      <x:c r="G46" s="23"/>
      <x:c r="H46" s="23"/>
      <x:c r="I46" s="23">
        <x:f t="shared" si="6"/>
        <x:v>1</x:v>
      </x:c>
      <x:c r="J46" s="24">
        <x:f t="shared" si="7"/>
        <x:v>-7</x:v>
      </x:c>
      <x:c r="K46" s="24">
        <x:f t="shared" si="8"/>
        <x:v>-1</x:v>
      </x:c>
      <x:c r="L46" s="23"/>
      <x:c r="M46" s="25"/>
      <x:c r="N46" s="23"/>
      <x:c r="O46" s="23" t="str">
        <x:f t="shared" si="9"/>
      </x:c>
      <x:c r="P46" s="23">
        <x:f t="shared" si="10"/>
        <x:v>0</x:v>
      </x:c>
      <x:c r="Q46" s="8"/>
      <x:c r="R46" s="31"/>
      <x:c r="S46" s="28"/>
      <x:c r="T46" s="28"/>
      <x:c r="U46" s="28"/>
      <x:c r="V46" s="28"/>
      <x:c r="W46" s="28"/>
      <x:c r="X46" s="28"/>
      <x:c r="Y46" s="28"/>
      <x:c r="Z46" s="28"/>
      <x:c r="AA46" s="28"/>
      <x:c r="AB46" s="28"/>
      <x:c r="AC46" s="28"/>
      <x:c r="AD46" s="28"/>
      <x:c r="AE46" s="28"/>
      <x:c r="AF46" s="28"/>
      <x:c r="AG46" s="28"/>
      <x:c r="AH46" s="28"/>
      <x:c r="AI46" s="28"/>
      <x:c r="AJ46" s="28"/>
      <x:c r="AK46" s="28"/>
      <x:c r="AL46" s="28"/>
      <x:c r="AM46" s="28"/>
      <x:c r="AN46" s="28"/>
      <x:c r="AO46" s="28"/>
      <x:c r="AP46" s="28"/>
      <x:c r="AQ46" s="28"/>
      <x:c r="AR46" s="28"/>
      <x:c r="AS46" s="28"/>
      <x:c r="AT46" s="28"/>
      <x:c r="AU46" s="28"/>
      <x:c r="AV46" s="28"/>
      <x:c r="AW46" s="28"/>
      <x:c r="AX46" s="28"/>
      <x:c r="AY46" s="28"/>
      <x:c r="AZ46" s="28"/>
      <x:c r="BA46" s="43"/>
      <x:c r="BB46" s="28"/>
      <x:c r="BC46" s="28"/>
      <x:c r="BD46" s="28"/>
      <x:c r="BE46" s="28"/>
      <x:c r="BF46" s="28"/>
      <x:c r="BG46" s="28"/>
      <x:c r="BH46" s="28"/>
      <x:c r="BI46" s="28"/>
      <x:c r="BJ46" s="28"/>
      <x:c r="BK46" s="28"/>
      <x:c r="BL46" s="28"/>
      <x:c r="BM46" s="28"/>
      <x:c r="BN46" s="28"/>
      <x:c r="BO46" s="28"/>
      <x:c r="BP46" s="28"/>
      <x:c r="BQ46" s="29"/>
    </x:row>
    <x:row r="47" ht="42" customHeight="1">
      <x:c r="A47" s="5"/>
      <x:c r="B47" s="13"/>
      <x:c r="C47" s="6"/>
      <x:c r="D47" s="6"/>
      <x:c r="E47" s="6"/>
      <x:c r="F47" s="23"/>
      <x:c r="G47" s="23"/>
      <x:c r="H47" s="23"/>
      <x:c r="I47" s="23">
        <x:f t="shared" si="6"/>
        <x:v>1</x:v>
      </x:c>
      <x:c r="J47" s="24">
        <x:f t="shared" si="7"/>
        <x:v>-7</x:v>
      </x:c>
      <x:c r="K47" s="24">
        <x:f t="shared" si="8"/>
        <x:v>-1</x:v>
      </x:c>
      <x:c r="L47" s="23"/>
      <x:c r="M47" s="25"/>
      <x:c r="N47" s="23"/>
      <x:c r="O47" s="23" t="str">
        <x:f t="shared" si="9"/>
      </x:c>
      <x:c r="P47" s="23">
        <x:f t="shared" si="10"/>
        <x:v>0</x:v>
      </x:c>
      <x:c r="Q47" s="8"/>
      <x:c r="R47" s="31"/>
      <x:c r="S47" s="28"/>
      <x:c r="T47" s="28"/>
      <x:c r="U47" s="28"/>
      <x:c r="V47" s="28"/>
      <x:c r="W47" s="28"/>
      <x:c r="X47" s="28"/>
      <x:c r="Y47" s="28"/>
      <x:c r="Z47" s="28"/>
      <x:c r="AA47" s="28"/>
      <x:c r="AB47" s="28"/>
      <x:c r="AC47" s="28"/>
      <x:c r="AD47" s="28"/>
      <x:c r="AE47" s="28"/>
      <x:c r="AF47" s="28"/>
      <x:c r="AG47" s="28"/>
      <x:c r="AH47" s="28"/>
      <x:c r="AI47" s="28"/>
      <x:c r="AJ47" s="28"/>
      <x:c r="AK47" s="28"/>
      <x:c r="AL47" s="28"/>
      <x:c r="AM47" s="28"/>
      <x:c r="AN47" s="28"/>
      <x:c r="AO47" s="28"/>
      <x:c r="AP47" s="28"/>
      <x:c r="AQ47" s="28"/>
      <x:c r="AR47" s="28"/>
      <x:c r="AS47" s="28"/>
      <x:c r="AT47" s="28"/>
      <x:c r="AU47" s="28"/>
      <x:c r="AV47" s="28"/>
      <x:c r="AW47" s="28"/>
      <x:c r="AX47" s="28"/>
      <x:c r="AY47" s="28"/>
      <x:c r="AZ47" s="28"/>
      <x:c r="BA47" s="28"/>
      <x:c r="BB47" s="44"/>
      <x:c r="BC47" s="45"/>
      <x:c r="BD47" s="28"/>
      <x:c r="BE47" s="28"/>
      <x:c r="BF47" s="28"/>
      <x:c r="BG47" s="28"/>
      <x:c r="BH47" s="28"/>
      <x:c r="BI47" s="28"/>
      <x:c r="BJ47" s="28"/>
      <x:c r="BK47" s="28"/>
      <x:c r="BL47" s="28"/>
      <x:c r="BM47" s="28"/>
      <x:c r="BN47" s="28"/>
      <x:c r="BO47" s="28"/>
      <x:c r="BP47" s="28"/>
      <x:c r="BQ47" s="29"/>
    </x:row>
    <x:row r="48" ht="42" customHeight="1">
      <x:c r="A48" s="5"/>
      <x:c r="B48" s="13"/>
      <x:c r="C48" s="6"/>
      <x:c r="D48" s="6"/>
      <x:c r="E48" s="6"/>
      <x:c r="F48" s="23"/>
      <x:c r="G48" s="23"/>
      <x:c r="H48" s="23"/>
      <x:c r="I48" s="23">
        <x:f t="shared" si="6"/>
        <x:v>1</x:v>
      </x:c>
      <x:c r="J48" s="24">
        <x:f t="shared" si="7"/>
        <x:v>-7</x:v>
      </x:c>
      <x:c r="K48" s="24">
        <x:f t="shared" si="8"/>
        <x:v>-1</x:v>
      </x:c>
      <x:c r="L48" s="23"/>
      <x:c r="M48" s="25"/>
      <x:c r="N48" s="23"/>
      <x:c r="O48" s="23" t="str">
        <x:f t="shared" si="9"/>
      </x:c>
      <x:c r="P48" s="23">
        <x:f t="shared" si="10"/>
        <x:v>0</x:v>
      </x:c>
      <x:c r="Q48" s="8"/>
      <x:c r="R48" s="31"/>
      <x:c r="S48" s="28"/>
      <x:c r="T48" s="28"/>
      <x:c r="U48" s="28"/>
      <x:c r="V48" s="28"/>
      <x:c r="W48" s="28"/>
      <x:c r="X48" s="28"/>
      <x:c r="Y48" s="28"/>
      <x:c r="Z48" s="28"/>
      <x:c r="AA48" s="28"/>
      <x:c r="AB48" s="28"/>
      <x:c r="AC48" s="28"/>
      <x:c r="AD48" s="28"/>
      <x:c r="AE48" s="28"/>
      <x:c r="AF48" s="28"/>
      <x:c r="AG48" s="28"/>
      <x:c r="AH48" s="28"/>
      <x:c r="AI48" s="28"/>
      <x:c r="AJ48" s="28"/>
      <x:c r="AK48" s="28"/>
      <x:c r="AL48" s="28"/>
      <x:c r="AM48" s="28"/>
      <x:c r="AN48" s="28"/>
      <x:c r="AO48" s="28"/>
      <x:c r="AP48" s="28"/>
      <x:c r="AQ48" s="28"/>
      <x:c r="AR48" s="28"/>
      <x:c r="AS48" s="28"/>
      <x:c r="AT48" s="28"/>
      <x:c r="AU48" s="28"/>
      <x:c r="AV48" s="28"/>
      <x:c r="AW48" s="28"/>
      <x:c r="AX48" s="28"/>
      <x:c r="AY48" s="28"/>
      <x:c r="AZ48" s="28"/>
      <x:c r="BA48" s="28"/>
      <x:c r="BB48" s="28"/>
      <x:c r="BC48" s="44"/>
      <x:c r="BD48" s="45"/>
      <x:c r="BE48" s="28"/>
      <x:c r="BF48" s="28"/>
      <x:c r="BG48" s="28"/>
      <x:c r="BH48" s="28"/>
      <x:c r="BI48" s="28"/>
      <x:c r="BJ48" s="28"/>
      <x:c r="BK48" s="28"/>
      <x:c r="BL48" s="28"/>
      <x:c r="BM48" s="28"/>
      <x:c r="BN48" s="28"/>
      <x:c r="BO48" s="28"/>
      <x:c r="BP48" s="28"/>
      <x:c r="BQ48" s="29"/>
    </x:row>
    <x:row r="49" ht="42" customHeight="1">
      <x:c r="A49" s="5"/>
      <x:c r="B49" s="13"/>
      <x:c r="C49" s="6"/>
      <x:c r="D49" s="6"/>
      <x:c r="E49" s="6"/>
      <x:c r="F49" s="23"/>
      <x:c r="G49" s="23"/>
      <x:c r="H49" s="23"/>
      <x:c r="I49" s="23">
        <x:f t="shared" si="6"/>
        <x:v>1</x:v>
      </x:c>
      <x:c r="J49" s="24">
        <x:f t="shared" si="7"/>
        <x:v>-7</x:v>
      </x:c>
      <x:c r="K49" s="24">
        <x:f t="shared" si="8"/>
        <x:v>-1</x:v>
      </x:c>
      <x:c r="L49" s="23"/>
      <x:c r="M49" s="25"/>
      <x:c r="N49" s="23"/>
      <x:c r="O49" s="23" t="str">
        <x:f t="shared" si="9"/>
      </x:c>
      <x:c r="P49" s="23">
        <x:f t="shared" si="10"/>
        <x:v>0</x:v>
      </x:c>
      <x:c r="Q49" s="8"/>
      <x:c r="R49" s="31"/>
      <x:c r="S49" s="28"/>
      <x:c r="T49" s="28"/>
      <x:c r="U49" s="28"/>
      <x:c r="V49" s="28"/>
      <x:c r="W49" s="28"/>
      <x:c r="X49" s="28"/>
      <x:c r="Y49" s="28"/>
      <x:c r="Z49" s="28"/>
      <x:c r="AA49" s="28"/>
      <x:c r="AB49" s="28"/>
      <x:c r="AC49" s="28"/>
      <x:c r="AD49" s="28"/>
      <x:c r="AE49" s="28"/>
      <x:c r="AF49" s="28"/>
      <x:c r="AG49" s="28"/>
      <x:c r="AH49" s="28"/>
      <x:c r="AI49" s="28"/>
      <x:c r="AJ49" s="28"/>
      <x:c r="AK49" s="28"/>
      <x:c r="AL49" s="28"/>
      <x:c r="AM49" s="28"/>
      <x:c r="AN49" s="28"/>
      <x:c r="AO49" s="28"/>
      <x:c r="AP49" s="28"/>
      <x:c r="AQ49" s="28"/>
      <x:c r="AR49" s="28"/>
      <x:c r="AS49" s="28"/>
      <x:c r="AT49" s="28"/>
      <x:c r="AU49" s="28"/>
      <x:c r="AV49" s="28"/>
      <x:c r="AW49" s="28"/>
      <x:c r="AX49" s="28"/>
      <x:c r="AY49" s="28"/>
      <x:c r="AZ49" s="28"/>
      <x:c r="BA49" s="28"/>
      <x:c r="BB49" s="28"/>
      <x:c r="BC49" s="28"/>
      <x:c r="BD49" s="28"/>
      <x:c r="BE49" s="44"/>
      <x:c r="BF49" s="45"/>
      <x:c r="BG49" s="28"/>
      <x:c r="BH49" s="28"/>
      <x:c r="BI49" s="28"/>
      <x:c r="BJ49" s="28"/>
      <x:c r="BK49" s="28"/>
      <x:c r="BL49" s="28"/>
      <x:c r="BM49" s="28"/>
      <x:c r="BN49" s="28"/>
      <x:c r="BO49" s="28"/>
      <x:c r="BP49" s="28"/>
      <x:c r="BQ49" s="29"/>
    </x:row>
    <x:row r="50" ht="42" customHeight="1">
      <x:c r="A50" s="5"/>
      <x:c r="B50" s="13"/>
      <x:c r="C50" s="6"/>
      <x:c r="D50" s="6"/>
      <x:c r="E50" s="6"/>
      <x:c r="F50" s="23"/>
      <x:c r="G50" s="23"/>
      <x:c r="H50" s="23"/>
      <x:c r="I50" s="23">
        <x:f t="shared" si="6"/>
        <x:v>1</x:v>
      </x:c>
      <x:c r="J50" s="24">
        <x:f t="shared" si="7"/>
        <x:v>-7</x:v>
      </x:c>
      <x:c r="K50" s="24">
        <x:f t="shared" si="8"/>
        <x:v>-1</x:v>
      </x:c>
      <x:c r="L50" s="23"/>
      <x:c r="M50" s="25"/>
      <x:c r="N50" s="23"/>
      <x:c r="O50" s="23" t="str">
        <x:f t="shared" si="9"/>
      </x:c>
      <x:c r="P50" s="23">
        <x:f t="shared" si="10"/>
        <x:v>0</x:v>
      </x:c>
      <x:c r="Q50" s="8"/>
      <x:c r="R50" s="31"/>
      <x:c r="S50" s="28"/>
      <x:c r="T50" s="28"/>
      <x:c r="U50" s="28"/>
      <x:c r="V50" s="28"/>
      <x:c r="W50" s="28"/>
      <x:c r="X50" s="28"/>
      <x:c r="Y50" s="28"/>
      <x:c r="Z50" s="28"/>
      <x:c r="AA50" s="28"/>
      <x:c r="AB50" s="28"/>
      <x:c r="AC50" s="28"/>
      <x:c r="AD50" s="28"/>
      <x:c r="AE50" s="28"/>
      <x:c r="AF50" s="28"/>
      <x:c r="AG50" s="28"/>
      <x:c r="AH50" s="28"/>
      <x:c r="AI50" s="28"/>
      <x:c r="AJ50" s="28"/>
      <x:c r="AK50" s="28"/>
      <x:c r="AL50" s="28"/>
      <x:c r="AM50" s="28"/>
      <x:c r="AN50" s="28"/>
      <x:c r="AO50" s="28"/>
      <x:c r="AP50" s="28"/>
      <x:c r="AQ50" s="28"/>
      <x:c r="AR50" s="28"/>
      <x:c r="AS50" s="28"/>
      <x:c r="AT50" s="28"/>
      <x:c r="AU50" s="28"/>
      <x:c r="AV50" s="28"/>
      <x:c r="AW50" s="28"/>
      <x:c r="AX50" s="28"/>
      <x:c r="AY50" s="28"/>
      <x:c r="AZ50" s="28"/>
      <x:c r="BA50" s="28"/>
      <x:c r="BB50" s="28"/>
      <x:c r="BC50" s="28"/>
      <x:c r="BD50" s="28"/>
      <x:c r="BE50" s="28"/>
      <x:c r="BF50" s="28"/>
      <x:c r="BG50" s="43"/>
      <x:c r="BH50" s="28"/>
      <x:c r="BI50" s="28"/>
      <x:c r="BJ50" s="28"/>
      <x:c r="BK50" s="28"/>
      <x:c r="BL50" s="28"/>
      <x:c r="BM50" s="28"/>
      <x:c r="BN50" s="28"/>
      <x:c r="BO50" s="28"/>
      <x:c r="BP50" s="28"/>
      <x:c r="BQ50" s="29"/>
    </x:row>
    <x:row r="51" ht="42" customHeight="1">
      <x:c r="A51" s="5"/>
      <x:c r="B51" s="15"/>
      <x:c r="C51" s="6"/>
      <x:c r="D51" s="6"/>
      <x:c r="E51" s="6"/>
      <x:c r="F51" s="23"/>
      <x:c r="G51" s="23"/>
      <x:c r="H51" s="23"/>
      <x:c r="I51" s="23">
        <x:f t="shared" si="6"/>
        <x:v>1</x:v>
      </x:c>
      <x:c r="J51" s="24">
        <x:f t="shared" si="7"/>
        <x:v>-7</x:v>
      </x:c>
      <x:c r="K51" s="24">
        <x:f t="shared" si="8"/>
        <x:v>-1</x:v>
      </x:c>
      <x:c r="L51" s="23"/>
      <x:c r="M51" s="25"/>
      <x:c r="N51" s="23"/>
      <x:c r="O51" s="23" t="str">
        <x:f t="shared" si="9"/>
      </x:c>
      <x:c r="P51" s="23">
        <x:f t="shared" si="10"/>
        <x:v>0</x:v>
      </x:c>
      <x:c r="Q51" s="8"/>
      <x:c r="R51" s="31"/>
      <x:c r="S51" s="28"/>
      <x:c r="T51" s="28"/>
      <x:c r="U51" s="28"/>
      <x:c r="V51" s="28"/>
      <x:c r="W51" s="28"/>
      <x:c r="X51" s="28"/>
      <x:c r="Y51" s="28"/>
      <x:c r="Z51" s="28"/>
      <x:c r="AA51" s="28"/>
      <x:c r="AB51" s="28"/>
      <x:c r="AC51" s="28"/>
      <x:c r="AD51" s="28"/>
      <x:c r="AE51" s="28"/>
      <x:c r="AF51" s="28"/>
      <x:c r="AG51" s="28"/>
      <x:c r="AH51" s="28"/>
      <x:c r="AI51" s="28"/>
      <x:c r="AJ51" s="28"/>
      <x:c r="AK51" s="28"/>
      <x:c r="AL51" s="28"/>
      <x:c r="AM51" s="28"/>
      <x:c r="AN51" s="28"/>
      <x:c r="AO51" s="28"/>
      <x:c r="AP51" s="28"/>
      <x:c r="AQ51" s="28"/>
      <x:c r="AR51" s="28"/>
      <x:c r="AS51" s="28"/>
      <x:c r="AT51" s="28"/>
      <x:c r="AU51" s="28"/>
      <x:c r="AV51" s="28"/>
      <x:c r="AW51" s="28"/>
      <x:c r="AX51" s="28"/>
      <x:c r="AY51" s="28"/>
      <x:c r="AZ51" s="28"/>
      <x:c r="BA51" s="28"/>
      <x:c r="BB51" s="28"/>
      <x:c r="BC51" s="28"/>
      <x:c r="BD51" s="28"/>
      <x:c r="BE51" s="28"/>
      <x:c r="BF51" s="28"/>
      <x:c r="BG51" s="28"/>
      <x:c r="BH51" s="46"/>
      <x:c r="BI51" s="28"/>
      <x:c r="BJ51" s="28"/>
      <x:c r="BK51" s="28"/>
      <x:c r="BL51" s="28"/>
      <x:c r="BM51" s="28"/>
      <x:c r="BN51" s="28"/>
      <x:c r="BO51" s="28"/>
      <x:c r="BP51" s="28"/>
      <x:c r="BQ51" s="29"/>
    </x:row>
    <x:row r="52" ht="42" customHeight="1">
      <x:c r="A52" s="5"/>
      <x:c r="B52" s="15"/>
      <x:c r="C52" s="6"/>
      <x:c r="D52" s="6"/>
      <x:c r="E52" s="6"/>
      <x:c r="F52" s="23"/>
      <x:c r="G52" s="23"/>
      <x:c r="H52" s="23"/>
      <x:c r="I52" s="23">
        <x:f t="shared" si="6"/>
        <x:v>1</x:v>
      </x:c>
      <x:c r="J52" s="24">
        <x:f t="shared" si="7"/>
        <x:v>-7</x:v>
      </x:c>
      <x:c r="K52" s="24">
        <x:f t="shared" si="8"/>
        <x:v>-1</x:v>
      </x:c>
      <x:c r="L52" s="23"/>
      <x:c r="M52" s="25"/>
      <x:c r="N52" s="23"/>
      <x:c r="O52" s="23" t="str">
        <x:f t="shared" si="9"/>
      </x:c>
      <x:c r="P52" s="23">
        <x:f t="shared" si="10"/>
        <x:v>0</x:v>
      </x:c>
      <x:c r="Q52" s="8"/>
      <x:c r="R52" s="31"/>
      <x:c r="S52" s="28"/>
      <x:c r="T52" s="28"/>
      <x:c r="U52" s="28"/>
      <x:c r="V52" s="28"/>
      <x:c r="W52" s="28"/>
      <x:c r="X52" s="28"/>
      <x:c r="Y52" s="28"/>
      <x:c r="Z52" s="28"/>
      <x:c r="AA52" s="28"/>
      <x:c r="AB52" s="28"/>
      <x:c r="AC52" s="28"/>
      <x:c r="AD52" s="28"/>
      <x:c r="AE52" s="28"/>
      <x:c r="AF52" s="28"/>
      <x:c r="AG52" s="28"/>
      <x:c r="AH52" s="28"/>
      <x:c r="AI52" s="28"/>
      <x:c r="AJ52" s="28"/>
      <x:c r="AK52" s="28"/>
      <x:c r="AL52" s="28"/>
      <x:c r="AM52" s="28"/>
      <x:c r="AN52" s="28"/>
      <x:c r="AO52" s="28"/>
      <x:c r="AP52" s="28"/>
      <x:c r="AQ52" s="28"/>
      <x:c r="AR52" s="28"/>
      <x:c r="AS52" s="28"/>
      <x:c r="AT52" s="28"/>
      <x:c r="AU52" s="28"/>
      <x:c r="AV52" s="28"/>
      <x:c r="AW52" s="28"/>
      <x:c r="AX52" s="28"/>
      <x:c r="AY52" s="28"/>
      <x:c r="AZ52" s="28"/>
      <x:c r="BA52" s="28"/>
      <x:c r="BB52" s="28"/>
      <x:c r="BC52" s="28"/>
      <x:c r="BD52" s="28"/>
      <x:c r="BE52" s="28"/>
      <x:c r="BF52" s="28"/>
      <x:c r="BG52" s="28"/>
      <x:c r="BH52" s="47"/>
      <x:c r="BI52" s="48"/>
      <x:c r="BJ52" s="28"/>
      <x:c r="BK52" s="28"/>
      <x:c r="BL52" s="28"/>
      <x:c r="BM52" s="28"/>
      <x:c r="BN52" s="28"/>
      <x:c r="BO52" s="28"/>
      <x:c r="BP52" s="28"/>
      <x:c r="BQ52" s="29"/>
    </x:row>
    <x:row r="53" ht="42" customHeight="1">
      <x:c r="A53" s="5"/>
      <x:c r="B53" s="15"/>
      <x:c r="C53" s="6"/>
      <x:c r="D53" s="6"/>
      <x:c r="E53" s="6"/>
      <x:c r="F53" s="23"/>
      <x:c r="G53" s="23"/>
      <x:c r="H53" s="23"/>
      <x:c r="I53" s="23">
        <x:f t="shared" si="6"/>
        <x:v>1</x:v>
      </x:c>
      <x:c r="J53" s="24">
        <x:f t="shared" si="7"/>
        <x:v>-7</x:v>
      </x:c>
      <x:c r="K53" s="24">
        <x:f t="shared" si="8"/>
        <x:v>-1</x:v>
      </x:c>
      <x:c r="L53" s="23"/>
      <x:c r="M53" s="25"/>
      <x:c r="N53" s="23"/>
      <x:c r="O53" s="23" t="str">
        <x:f t="shared" si="9"/>
      </x:c>
      <x:c r="P53" s="23">
        <x:f t="shared" si="10"/>
        <x:v>0</x:v>
      </x:c>
      <x:c r="Q53" s="8"/>
      <x:c r="R53" s="31"/>
      <x:c r="S53" s="28"/>
      <x:c r="T53" s="28"/>
      <x:c r="U53" s="28"/>
      <x:c r="V53" s="28"/>
      <x:c r="W53" s="28"/>
      <x:c r="X53" s="28"/>
      <x:c r="Y53" s="28"/>
      <x:c r="Z53" s="28"/>
      <x:c r="AA53" s="28"/>
      <x:c r="AB53" s="28"/>
      <x:c r="AC53" s="28"/>
      <x:c r="AD53" s="28"/>
      <x:c r="AE53" s="28"/>
      <x:c r="AF53" s="28"/>
      <x:c r="AG53" s="28"/>
      <x:c r="AH53" s="28"/>
      <x:c r="AI53" s="28"/>
      <x:c r="AJ53" s="28"/>
      <x:c r="AK53" s="28"/>
      <x:c r="AL53" s="28"/>
      <x:c r="AM53" s="28"/>
      <x:c r="AN53" s="28"/>
      <x:c r="AO53" s="28"/>
      <x:c r="AP53" s="28"/>
      <x:c r="AQ53" s="28"/>
      <x:c r="AR53" s="28"/>
      <x:c r="AS53" s="28"/>
      <x:c r="AT53" s="28"/>
      <x:c r="AU53" s="28"/>
      <x:c r="AV53" s="28"/>
      <x:c r="AW53" s="28"/>
      <x:c r="AX53" s="28"/>
      <x:c r="AY53" s="28"/>
      <x:c r="AZ53" s="28"/>
      <x:c r="BA53" s="28"/>
      <x:c r="BB53" s="28"/>
      <x:c r="BC53" s="28"/>
      <x:c r="BD53" s="28"/>
      <x:c r="BE53" s="28"/>
      <x:c r="BF53" s="28"/>
      <x:c r="BG53" s="28"/>
      <x:c r="BH53" s="28"/>
      <x:c r="BI53" s="47"/>
      <x:c r="BJ53" s="48"/>
      <x:c r="BK53" s="28"/>
      <x:c r="BL53" s="28"/>
      <x:c r="BM53" s="28"/>
      <x:c r="BN53" s="28"/>
      <x:c r="BO53" s="28"/>
      <x:c r="BP53" s="28"/>
      <x:c r="BQ53" s="29"/>
    </x:row>
    <x:row r="54" ht="42" customHeight="1">
      <x:c r="A54" s="5"/>
      <x:c r="B54" s="15"/>
      <x:c r="C54" s="6"/>
      <x:c r="D54" s="6"/>
      <x:c r="E54" s="6"/>
      <x:c r="F54" s="23"/>
      <x:c r="G54" s="23"/>
      <x:c r="H54" s="23"/>
      <x:c r="I54" s="23">
        <x:f t="shared" si="6"/>
        <x:v>1</x:v>
      </x:c>
      <x:c r="J54" s="24">
        <x:f t="shared" si="7"/>
        <x:v>-7</x:v>
      </x:c>
      <x:c r="K54" s="24">
        <x:f t="shared" si="8"/>
        <x:v>-1</x:v>
      </x:c>
      <x:c r="L54" s="23"/>
      <x:c r="M54" s="25"/>
      <x:c r="N54" s="23"/>
      <x:c r="O54" s="23" t="str">
        <x:f t="shared" si="9"/>
      </x:c>
      <x:c r="P54" s="23">
        <x:f t="shared" si="10"/>
        <x:v>0</x:v>
      </x:c>
      <x:c r="Q54" s="8"/>
      <x:c r="R54" s="31"/>
      <x:c r="S54" s="28"/>
      <x:c r="T54" s="28"/>
      <x:c r="U54" s="28"/>
      <x:c r="V54" s="28"/>
      <x:c r="W54" s="28"/>
      <x:c r="X54" s="28"/>
      <x:c r="Y54" s="28"/>
      <x:c r="Z54" s="28"/>
      <x:c r="AA54" s="28"/>
      <x:c r="AB54" s="28"/>
      <x:c r="AC54" s="28"/>
      <x:c r="AD54" s="28"/>
      <x:c r="AE54" s="28"/>
      <x:c r="AF54" s="28"/>
      <x:c r="AG54" s="28"/>
      <x:c r="AH54" s="28"/>
      <x:c r="AI54" s="28"/>
      <x:c r="AJ54" s="28"/>
      <x:c r="AK54" s="28"/>
      <x:c r="AL54" s="28"/>
      <x:c r="AM54" s="28"/>
      <x:c r="AN54" s="28"/>
      <x:c r="AO54" s="28"/>
      <x:c r="AP54" s="28"/>
      <x:c r="AQ54" s="28"/>
      <x:c r="AR54" s="28"/>
      <x:c r="AS54" s="28"/>
      <x:c r="AT54" s="28"/>
      <x:c r="AU54" s="28"/>
      <x:c r="AV54" s="28"/>
      <x:c r="AW54" s="28"/>
      <x:c r="AX54" s="28"/>
      <x:c r="AY54" s="28"/>
      <x:c r="AZ54" s="28"/>
      <x:c r="BA54" s="28"/>
      <x:c r="BB54" s="28"/>
      <x:c r="BC54" s="28"/>
      <x:c r="BD54" s="28"/>
      <x:c r="BE54" s="28"/>
      <x:c r="BF54" s="28"/>
      <x:c r="BG54" s="28"/>
      <x:c r="BH54" s="28"/>
      <x:c r="BI54" s="28"/>
      <x:c r="BJ54" s="47"/>
      <x:c r="BK54" s="48"/>
      <x:c r="BL54" s="28"/>
      <x:c r="BM54" s="28"/>
      <x:c r="BN54" s="28"/>
      <x:c r="BO54" s="28"/>
      <x:c r="BP54" s="28"/>
      <x:c r="BQ54" s="29"/>
    </x:row>
    <x:row r="55" ht="42" customHeight="1">
      <x:c r="A55" s="5"/>
      <x:c r="B55" s="15"/>
      <x:c r="C55" s="6"/>
      <x:c r="D55" s="6"/>
      <x:c r="E55" s="6"/>
      <x:c r="F55" s="23"/>
      <x:c r="G55" s="23"/>
      <x:c r="H55" s="23"/>
      <x:c r="I55" s="23">
        <x:f t="shared" si="6"/>
        <x:v>1</x:v>
      </x:c>
      <x:c r="J55" s="24">
        <x:f t="shared" si="7"/>
        <x:v>-7</x:v>
      </x:c>
      <x:c r="K55" s="24">
        <x:f t="shared" si="8"/>
        <x:v>-1</x:v>
      </x:c>
      <x:c r="L55" s="23"/>
      <x:c r="M55" s="25"/>
      <x:c r="N55" s="23"/>
      <x:c r="O55" s="23" t="str">
        <x:f t="shared" si="9"/>
      </x:c>
      <x:c r="P55" s="23">
        <x:f t="shared" si="10"/>
        <x:v>0</x:v>
      </x:c>
      <x:c r="Q55" s="8"/>
      <x:c r="R55" s="31"/>
      <x:c r="S55" s="28"/>
      <x:c r="T55" s="28"/>
      <x:c r="U55" s="28"/>
      <x:c r="V55" s="28"/>
      <x:c r="W55" s="28"/>
      <x:c r="X55" s="28"/>
      <x:c r="Y55" s="28"/>
      <x:c r="Z55" s="28"/>
      <x:c r="AA55" s="28"/>
      <x:c r="AB55" s="28"/>
      <x:c r="AC55" s="28"/>
      <x:c r="AD55" s="28"/>
      <x:c r="AE55" s="28"/>
      <x:c r="AF55" s="28"/>
      <x:c r="AG55" s="28"/>
      <x:c r="AH55" s="28"/>
      <x:c r="AI55" s="28"/>
      <x:c r="AJ55" s="28"/>
      <x:c r="AK55" s="28"/>
      <x:c r="AL55" s="28"/>
      <x:c r="AM55" s="28"/>
      <x:c r="AN55" s="28"/>
      <x:c r="AO55" s="28"/>
      <x:c r="AP55" s="28"/>
      <x:c r="AQ55" s="28"/>
      <x:c r="AR55" s="28"/>
      <x:c r="AS55" s="28"/>
      <x:c r="AT55" s="28"/>
      <x:c r="AU55" s="28"/>
      <x:c r="AV55" s="28"/>
      <x:c r="AW55" s="28"/>
      <x:c r="AX55" s="28"/>
      <x:c r="AY55" s="28"/>
      <x:c r="AZ55" s="28"/>
      <x:c r="BA55" s="28"/>
      <x:c r="BB55" s="28"/>
      <x:c r="BC55" s="28"/>
      <x:c r="BD55" s="28"/>
      <x:c r="BE55" s="28"/>
      <x:c r="BF55" s="28"/>
      <x:c r="BG55" s="28"/>
      <x:c r="BH55" s="28"/>
      <x:c r="BI55" s="28"/>
      <x:c r="BJ55" s="28"/>
      <x:c r="BK55" s="47"/>
      <x:c r="BL55" s="48"/>
      <x:c r="BM55" s="28"/>
      <x:c r="BN55" s="28"/>
      <x:c r="BO55" s="28"/>
      <x:c r="BP55" s="28"/>
      <x:c r="BQ55" s="29"/>
    </x:row>
    <x:row r="56" ht="42" customHeight="1">
      <x:c r="A56" s="5"/>
      <x:c r="B56" s="15"/>
      <x:c r="C56" s="6"/>
      <x:c r="D56" s="6"/>
      <x:c r="E56" s="6"/>
      <x:c r="F56" s="23"/>
      <x:c r="G56" s="23"/>
      <x:c r="H56" s="23"/>
      <x:c r="I56" s="23">
        <x:f t="shared" si="6"/>
        <x:v>1</x:v>
      </x:c>
      <x:c r="J56" s="24">
        <x:f t="shared" si="7"/>
        <x:v>-7</x:v>
      </x:c>
      <x:c r="K56" s="24">
        <x:f t="shared" si="8"/>
        <x:v>-1</x:v>
      </x:c>
      <x:c r="L56" s="23"/>
      <x:c r="M56" s="25"/>
      <x:c r="N56" s="23"/>
      <x:c r="O56" s="23" t="str">
        <x:f t="shared" si="9"/>
      </x:c>
      <x:c r="P56" s="23">
        <x:f t="shared" si="10"/>
        <x:v>0</x:v>
      </x:c>
      <x:c r="Q56" s="8"/>
      <x:c r="R56" s="31"/>
      <x:c r="S56" s="28"/>
      <x:c r="T56" s="28"/>
      <x:c r="U56" s="28"/>
      <x:c r="V56" s="28"/>
      <x:c r="W56" s="28"/>
      <x:c r="X56" s="28"/>
      <x:c r="Y56" s="28"/>
      <x:c r="Z56" s="28"/>
      <x:c r="AA56" s="28"/>
      <x:c r="AB56" s="28"/>
      <x:c r="AC56" s="28"/>
      <x:c r="AD56" s="28"/>
      <x:c r="AE56" s="28"/>
      <x:c r="AF56" s="28"/>
      <x:c r="AG56" s="28"/>
      <x:c r="AH56" s="28"/>
      <x:c r="AI56" s="28"/>
      <x:c r="AJ56" s="28"/>
      <x:c r="AK56" s="28"/>
      <x:c r="AL56" s="28"/>
      <x:c r="AM56" s="28"/>
      <x:c r="AN56" s="28"/>
      <x:c r="AO56" s="28"/>
      <x:c r="AP56" s="28"/>
      <x:c r="AQ56" s="28"/>
      <x:c r="AR56" s="28"/>
      <x:c r="AS56" s="28"/>
      <x:c r="AT56" s="28"/>
      <x:c r="AU56" s="28"/>
      <x:c r="AV56" s="28"/>
      <x:c r="AW56" s="28"/>
      <x:c r="AX56" s="28"/>
      <x:c r="AY56" s="28"/>
      <x:c r="AZ56" s="28"/>
      <x:c r="BA56" s="28"/>
      <x:c r="BB56" s="28"/>
      <x:c r="BC56" s="28"/>
      <x:c r="BD56" s="28"/>
      <x:c r="BE56" s="28"/>
      <x:c r="BF56" s="28"/>
      <x:c r="BG56" s="28"/>
      <x:c r="BH56" s="28"/>
      <x:c r="BI56" s="28"/>
      <x:c r="BJ56" s="28"/>
      <x:c r="BK56" s="28"/>
      <x:c r="BL56" s="46"/>
      <x:c r="BM56" s="28"/>
      <x:c r="BN56" s="28"/>
      <x:c r="BO56" s="28"/>
      <x:c r="BP56" s="28"/>
      <x:c r="BQ56" s="29"/>
    </x:row>
    <x:row r="57" ht="42" customHeight="1">
      <x:c r="A57" s="5"/>
      <x:c r="B57" s="17"/>
      <x:c r="C57" s="6"/>
      <x:c r="D57" s="6"/>
      <x:c r="E57" s="6"/>
      <x:c r="F57" s="23"/>
      <x:c r="G57" s="23"/>
      <x:c r="H57" s="23"/>
      <x:c r="I57" s="23">
        <x:f t="shared" si="6"/>
        <x:v>1</x:v>
      </x:c>
      <x:c r="J57" s="24">
        <x:f t="shared" si="7"/>
        <x:v>-7</x:v>
      </x:c>
      <x:c r="K57" s="24">
        <x:f t="shared" si="8"/>
        <x:v>-1</x:v>
      </x:c>
      <x:c r="L57" s="23"/>
      <x:c r="M57" s="25"/>
      <x:c r="N57" s="23"/>
      <x:c r="O57" s="23" t="str">
        <x:f t="shared" si="9"/>
      </x:c>
      <x:c r="P57" s="23">
        <x:f t="shared" si="10"/>
        <x:v>0</x:v>
      </x:c>
      <x:c r="Q57" s="8"/>
      <x:c r="R57" s="31"/>
      <x:c r="S57" s="28"/>
      <x:c r="T57" s="28"/>
      <x:c r="U57" s="28"/>
      <x:c r="V57" s="28"/>
      <x:c r="W57" s="28"/>
      <x:c r="X57" s="28"/>
      <x:c r="Y57" s="28"/>
      <x:c r="Z57" s="28"/>
      <x:c r="AA57" s="28"/>
      <x:c r="AB57" s="28"/>
      <x:c r="AC57" s="28"/>
      <x:c r="AD57" s="28"/>
      <x:c r="AE57" s="28"/>
      <x:c r="AF57" s="28"/>
      <x:c r="AG57" s="28"/>
      <x:c r="AH57" s="28"/>
      <x:c r="AI57" s="28"/>
      <x:c r="AJ57" s="28"/>
      <x:c r="AK57" s="28"/>
      <x:c r="AL57" s="28"/>
      <x:c r="AM57" s="28"/>
      <x:c r="AN57" s="28"/>
      <x:c r="AO57" s="28"/>
      <x:c r="AP57" s="28"/>
      <x:c r="AQ57" s="28"/>
      <x:c r="AR57" s="28"/>
      <x:c r="AS57" s="28"/>
      <x:c r="AT57" s="28"/>
      <x:c r="AU57" s="28"/>
      <x:c r="AV57" s="28"/>
      <x:c r="AW57" s="28"/>
      <x:c r="AX57" s="28"/>
      <x:c r="AY57" s="28"/>
      <x:c r="AZ57" s="28"/>
      <x:c r="BA57" s="28"/>
      <x:c r="BB57" s="28"/>
      <x:c r="BC57" s="28"/>
      <x:c r="BD57" s="28"/>
      <x:c r="BE57" s="28"/>
      <x:c r="BF57" s="28"/>
      <x:c r="BG57" s="28"/>
      <x:c r="BH57" s="28"/>
      <x:c r="BI57" s="28"/>
      <x:c r="BJ57" s="28"/>
      <x:c r="BK57" s="28"/>
      <x:c r="BL57" s="28"/>
      <x:c r="BM57" s="49"/>
      <x:c r="BN57" s="28"/>
      <x:c r="BO57" s="28"/>
      <x:c r="BP57" s="28"/>
      <x:c r="BQ57" s="29"/>
    </x:row>
    <x:row r="58" ht="42" customHeight="1">
      <x:c r="A58" s="5"/>
      <x:c r="B58" s="17"/>
      <x:c r="C58" s="6"/>
      <x:c r="D58" s="6"/>
      <x:c r="E58" s="6"/>
      <x:c r="F58" s="23"/>
      <x:c r="G58" s="23"/>
      <x:c r="H58" s="23"/>
      <x:c r="I58" s="23">
        <x:f t="shared" si="6"/>
        <x:v>1</x:v>
      </x:c>
      <x:c r="J58" s="24">
        <x:f t="shared" si="7"/>
        <x:v>-7</x:v>
      </x:c>
      <x:c r="K58" s="24">
        <x:f t="shared" si="8"/>
        <x:v>-1</x:v>
      </x:c>
      <x:c r="L58" s="23"/>
      <x:c r="M58" s="25"/>
      <x:c r="N58" s="23"/>
      <x:c r="O58" s="23" t="str">
        <x:f t="shared" si="9"/>
      </x:c>
      <x:c r="P58" s="23">
        <x:f t="shared" si="10"/>
        <x:v>0</x:v>
      </x:c>
      <x:c r="Q58" s="8"/>
      <x:c r="R58" s="31"/>
      <x:c r="S58" s="28"/>
      <x:c r="T58" s="28"/>
      <x:c r="U58" s="28"/>
      <x:c r="V58" s="28"/>
      <x:c r="W58" s="28"/>
      <x:c r="X58" s="28"/>
      <x:c r="Y58" s="28"/>
      <x:c r="Z58" s="28"/>
      <x:c r="AA58" s="28"/>
      <x:c r="AB58" s="28"/>
      <x:c r="AC58" s="28"/>
      <x:c r="AD58" s="28"/>
      <x:c r="AE58" s="28"/>
      <x:c r="AF58" s="28"/>
      <x:c r="AG58" s="28"/>
      <x:c r="AH58" s="28"/>
      <x:c r="AI58" s="28"/>
      <x:c r="AJ58" s="28"/>
      <x:c r="AK58" s="28"/>
      <x:c r="AL58" s="28"/>
      <x:c r="AM58" s="28"/>
      <x:c r="AN58" s="28"/>
      <x:c r="AO58" s="28"/>
      <x:c r="AP58" s="28"/>
      <x:c r="AQ58" s="28"/>
      <x:c r="AR58" s="28"/>
      <x:c r="AS58" s="28"/>
      <x:c r="AT58" s="28"/>
      <x:c r="AU58" s="28"/>
      <x:c r="AV58" s="28"/>
      <x:c r="AW58" s="28"/>
      <x:c r="AX58" s="28"/>
      <x:c r="AY58" s="28"/>
      <x:c r="AZ58" s="28"/>
      <x:c r="BA58" s="28"/>
      <x:c r="BB58" s="28"/>
      <x:c r="BC58" s="28"/>
      <x:c r="BD58" s="28"/>
      <x:c r="BE58" s="28"/>
      <x:c r="BF58" s="28"/>
      <x:c r="BG58" s="28"/>
      <x:c r="BH58" s="28"/>
      <x:c r="BI58" s="28"/>
      <x:c r="BJ58" s="28"/>
      <x:c r="BK58" s="28"/>
      <x:c r="BL58" s="28"/>
      <x:c r="BM58" s="50"/>
      <x:c r="BN58" s="51"/>
      <x:c r="BO58" s="28"/>
      <x:c r="BP58" s="28"/>
      <x:c r="BQ58" s="29"/>
    </x:row>
    <x:row r="59" ht="42" customHeight="1">
      <x:c r="A59" s="5"/>
      <x:c r="B59" s="17"/>
      <x:c r="C59" s="6"/>
      <x:c r="D59" s="6"/>
      <x:c r="E59" s="6"/>
      <x:c r="F59" s="23"/>
      <x:c r="G59" s="23"/>
      <x:c r="H59" s="23"/>
      <x:c r="I59" s="23">
        <x:f t="shared" si="6"/>
        <x:v>1</x:v>
      </x:c>
      <x:c r="J59" s="24">
        <x:f t="shared" si="7"/>
        <x:v>-7</x:v>
      </x:c>
      <x:c r="K59" s="24">
        <x:f t="shared" si="8"/>
        <x:v>-1</x:v>
      </x:c>
      <x:c r="L59" s="23"/>
      <x:c r="M59" s="25"/>
      <x:c r="N59" s="23"/>
      <x:c r="O59" s="23" t="str">
        <x:f t="shared" si="9"/>
      </x:c>
      <x:c r="P59" s="23">
        <x:f t="shared" si="10"/>
        <x:v>0</x:v>
      </x:c>
      <x:c r="Q59" s="8"/>
      <x:c r="R59" s="31"/>
      <x:c r="S59" s="28"/>
      <x:c r="T59" s="28"/>
      <x:c r="U59" s="28"/>
      <x:c r="V59" s="28"/>
      <x:c r="W59" s="28"/>
      <x:c r="X59" s="28"/>
      <x:c r="Y59" s="28"/>
      <x:c r="Z59" s="28"/>
      <x:c r="AA59" s="28"/>
      <x:c r="AB59" s="28"/>
      <x:c r="AC59" s="28"/>
      <x:c r="AD59" s="28"/>
      <x:c r="AE59" s="28"/>
      <x:c r="AF59" s="28"/>
      <x:c r="AG59" s="28"/>
      <x:c r="AH59" s="28"/>
      <x:c r="AI59" s="28"/>
      <x:c r="AJ59" s="28"/>
      <x:c r="AK59" s="28"/>
      <x:c r="AL59" s="28"/>
      <x:c r="AM59" s="28"/>
      <x:c r="AN59" s="28"/>
      <x:c r="AO59" s="28"/>
      <x:c r="AP59" s="28"/>
      <x:c r="AQ59" s="28"/>
      <x:c r="AR59" s="28"/>
      <x:c r="AS59" s="28"/>
      <x:c r="AT59" s="28"/>
      <x:c r="AU59" s="28"/>
      <x:c r="AV59" s="28"/>
      <x:c r="AW59" s="28"/>
      <x:c r="AX59" s="28"/>
      <x:c r="AY59" s="28"/>
      <x:c r="AZ59" s="28"/>
      <x:c r="BA59" s="28"/>
      <x:c r="BB59" s="28"/>
      <x:c r="BC59" s="28"/>
      <x:c r="BD59" s="28"/>
      <x:c r="BE59" s="28"/>
      <x:c r="BF59" s="28"/>
      <x:c r="BG59" s="28"/>
      <x:c r="BH59" s="28"/>
      <x:c r="BI59" s="28"/>
      <x:c r="BJ59" s="28"/>
      <x:c r="BK59" s="28"/>
      <x:c r="BL59" s="28"/>
      <x:c r="BM59" s="28"/>
      <x:c r="BN59" s="50"/>
      <x:c r="BO59" s="51"/>
      <x:c r="BP59" s="28"/>
      <x:c r="BQ59" s="29"/>
    </x:row>
    <x:row r="60" ht="42" customHeight="1">
      <x:c r="A60" s="5"/>
      <x:c r="B60" s="17"/>
      <x:c r="C60" s="6"/>
      <x:c r="D60" s="6"/>
      <x:c r="E60" s="6"/>
      <x:c r="F60" s="23"/>
      <x:c r="G60" s="23"/>
      <x:c r="H60" s="23"/>
      <x:c r="I60" s="23">
        <x:f t="shared" si="6"/>
        <x:v>1</x:v>
      </x:c>
      <x:c r="J60" s="24">
        <x:f t="shared" si="7"/>
        <x:v>-7</x:v>
      </x:c>
      <x:c r="K60" s="24">
        <x:f t="shared" si="8"/>
        <x:v>-1</x:v>
      </x:c>
      <x:c r="L60" s="23"/>
      <x:c r="M60" s="25"/>
      <x:c r="N60" s="23"/>
      <x:c r="O60" s="23" t="str">
        <x:f t="shared" si="9"/>
      </x:c>
      <x:c r="P60" s="23">
        <x:f t="shared" si="10"/>
        <x:v>0</x:v>
      </x:c>
      <x:c r="Q60" s="8"/>
      <x:c r="R60" s="31"/>
      <x:c r="S60" s="28"/>
      <x:c r="T60" s="28"/>
      <x:c r="U60" s="28"/>
      <x:c r="V60" s="28"/>
      <x:c r="W60" s="28"/>
      <x:c r="X60" s="28"/>
      <x:c r="Y60" s="28"/>
      <x:c r="Z60" s="28"/>
      <x:c r="AA60" s="28"/>
      <x:c r="AB60" s="28"/>
      <x:c r="AC60" s="28"/>
      <x:c r="AD60" s="28"/>
      <x:c r="AE60" s="28"/>
      <x:c r="AF60" s="28"/>
      <x:c r="AG60" s="28"/>
      <x:c r="AH60" s="28"/>
      <x:c r="AI60" s="28"/>
      <x:c r="AJ60" s="28"/>
      <x:c r="AK60" s="28"/>
      <x:c r="AL60" s="28"/>
      <x:c r="AM60" s="28"/>
      <x:c r="AN60" s="28"/>
      <x:c r="AO60" s="28"/>
      <x:c r="AP60" s="28"/>
      <x:c r="AQ60" s="28"/>
      <x:c r="AR60" s="28"/>
      <x:c r="AS60" s="28"/>
      <x:c r="AT60" s="28"/>
      <x:c r="AU60" s="28"/>
      <x:c r="AV60" s="28"/>
      <x:c r="AW60" s="28"/>
      <x:c r="AX60" s="28"/>
      <x:c r="AY60" s="28"/>
      <x:c r="AZ60" s="28"/>
      <x:c r="BA60" s="28"/>
      <x:c r="BB60" s="28"/>
      <x:c r="BC60" s="28"/>
      <x:c r="BD60" s="28"/>
      <x:c r="BE60" s="28"/>
      <x:c r="BF60" s="28"/>
      <x:c r="BG60" s="28"/>
      <x:c r="BH60" s="28"/>
      <x:c r="BI60" s="28"/>
      <x:c r="BJ60" s="28"/>
      <x:c r="BK60" s="28"/>
      <x:c r="BL60" s="28"/>
      <x:c r="BM60" s="28"/>
      <x:c r="BN60" s="28"/>
      <x:c r="BO60" s="49"/>
      <x:c r="BP60" s="28"/>
      <x:c r="BQ60" s="29"/>
    </x:row>
    <x:row r="61" ht="42" customHeight="1">
      <x:c r="A61" s="5"/>
      <x:c r="B61" s="17"/>
      <x:c r="C61" s="6"/>
      <x:c r="D61" s="6"/>
      <x:c r="E61" s="6"/>
      <x:c r="F61" s="23"/>
      <x:c r="G61" s="23"/>
      <x:c r="H61" s="23"/>
      <x:c r="I61" s="23">
        <x:f t="shared" si="6"/>
        <x:v>1</x:v>
      </x:c>
      <x:c r="J61" s="24">
        <x:f t="shared" si="7"/>
        <x:v>-7</x:v>
      </x:c>
      <x:c r="K61" s="24">
        <x:f t="shared" si="8"/>
        <x:v>-1</x:v>
      </x:c>
      <x:c r="L61" s="23"/>
      <x:c r="M61" s="25"/>
      <x:c r="N61" s="23"/>
      <x:c r="O61" s="23" t="str">
        <x:f t="shared" si="9"/>
      </x:c>
      <x:c r="P61" s="23">
        <x:f t="shared" si="10"/>
        <x:v>0</x:v>
      </x:c>
      <x:c r="Q61" s="8"/>
      <x:c r="R61" s="31"/>
      <x:c r="S61" s="28"/>
      <x:c r="T61" s="28"/>
      <x:c r="U61" s="28"/>
      <x:c r="V61" s="28"/>
      <x:c r="W61" s="28"/>
      <x:c r="X61" s="28"/>
      <x:c r="Y61" s="28"/>
      <x:c r="Z61" s="28"/>
      <x:c r="AA61" s="28"/>
      <x:c r="AB61" s="28"/>
      <x:c r="AC61" s="28"/>
      <x:c r="AD61" s="28"/>
      <x:c r="AE61" s="28"/>
      <x:c r="AF61" s="28"/>
      <x:c r="AG61" s="28"/>
      <x:c r="AH61" s="28"/>
      <x:c r="AI61" s="28"/>
      <x:c r="AJ61" s="28"/>
      <x:c r="AK61" s="28"/>
      <x:c r="AL61" s="28"/>
      <x:c r="AM61" s="28"/>
      <x:c r="AN61" s="28"/>
      <x:c r="AO61" s="28"/>
      <x:c r="AP61" s="28"/>
      <x:c r="AQ61" s="28"/>
      <x:c r="AR61" s="28"/>
      <x:c r="AS61" s="28"/>
      <x:c r="AT61" s="28"/>
      <x:c r="AU61" s="28"/>
      <x:c r="AV61" s="28"/>
      <x:c r="AW61" s="28"/>
      <x:c r="AX61" s="28"/>
      <x:c r="AY61" s="28"/>
      <x:c r="AZ61" s="28"/>
      <x:c r="BA61" s="28"/>
      <x:c r="BB61" s="28"/>
      <x:c r="BC61" s="28"/>
      <x:c r="BD61" s="28"/>
      <x:c r="BE61" s="28"/>
      <x:c r="BF61" s="28"/>
      <x:c r="BG61" s="28"/>
      <x:c r="BH61" s="28"/>
      <x:c r="BI61" s="28"/>
      <x:c r="BJ61" s="28"/>
      <x:c r="BK61" s="28"/>
      <x:c r="BL61" s="28"/>
      <x:c r="BM61" s="28"/>
      <x:c r="BN61" s="28"/>
      <x:c r="BO61" s="28"/>
      <x:c r="BP61" s="49"/>
      <x:c r="BQ61" s="29"/>
    </x:row>
    <x:row r="62" ht="42" customHeight="1">
      <x:c r="A62" s="5"/>
      <x:c r="B62" s="17"/>
      <x:c r="C62" s="6"/>
      <x:c r="D62" s="6"/>
      <x:c r="E62" s="6"/>
      <x:c r="F62" s="23"/>
      <x:c r="G62" s="23"/>
      <x:c r="H62" s="23"/>
      <x:c r="I62" s="23">
        <x:f t="shared" si="6"/>
        <x:v>1</x:v>
      </x:c>
      <x:c r="J62" s="24">
        <x:f t="shared" si="7"/>
        <x:v>-7</x:v>
      </x:c>
      <x:c r="K62" s="24">
        <x:f t="shared" si="8"/>
        <x:v>-1</x:v>
      </x:c>
      <x:c r="L62" s="23"/>
      <x:c r="M62" s="25"/>
      <x:c r="N62" s="23"/>
      <x:c r="O62" s="23" t="str">
        <x:f t="shared" si="9"/>
      </x:c>
      <x:c r="P62" s="23">
        <x:f t="shared" si="10"/>
        <x:v>0</x:v>
      </x:c>
      <x:c r="Q62" s="8"/>
      <x:c r="R62" s="31"/>
      <x:c r="S62" s="28"/>
      <x:c r="T62" s="28"/>
      <x:c r="U62" s="28"/>
      <x:c r="V62" s="28"/>
      <x:c r="W62" s="28"/>
      <x:c r="X62" s="28"/>
      <x:c r="Y62" s="28"/>
      <x:c r="Z62" s="28"/>
      <x:c r="AA62" s="28"/>
      <x:c r="AB62" s="28"/>
      <x:c r="AC62" s="28"/>
      <x:c r="AD62" s="28"/>
      <x:c r="AE62" s="28"/>
      <x:c r="AF62" s="28"/>
      <x:c r="AG62" s="28"/>
      <x:c r="AH62" s="28"/>
      <x:c r="AI62" s="28"/>
      <x:c r="AJ62" s="28"/>
      <x:c r="AK62" s="28"/>
      <x:c r="AL62" s="28"/>
      <x:c r="AM62" s="28"/>
      <x:c r="AN62" s="28"/>
      <x:c r="AO62" s="28"/>
      <x:c r="AP62" s="28"/>
      <x:c r="AQ62" s="28"/>
      <x:c r="AR62" s="28"/>
      <x:c r="AS62" s="28"/>
      <x:c r="AT62" s="28"/>
      <x:c r="AU62" s="28"/>
      <x:c r="AV62" s="28"/>
      <x:c r="AW62" s="28"/>
      <x:c r="AX62" s="28"/>
      <x:c r="AY62" s="28"/>
      <x:c r="AZ62" s="28"/>
      <x:c r="BA62" s="28"/>
      <x:c r="BB62" s="28"/>
      <x:c r="BC62" s="28"/>
      <x:c r="BD62" s="28"/>
      <x:c r="BE62" s="28"/>
      <x:c r="BF62" s="28"/>
      <x:c r="BG62" s="28"/>
      <x:c r="BH62" s="28"/>
      <x:c r="BI62" s="28"/>
      <x:c r="BJ62" s="28"/>
      <x:c r="BK62" s="28"/>
      <x:c r="BL62" s="28"/>
      <x:c r="BM62" s="28"/>
      <x:c r="BN62" s="28"/>
      <x:c r="BO62" s="28"/>
      <x:c r="BP62" s="50"/>
      <x:c r="BQ62" s="51"/>
    </x:row>
    <x:row r="63" ht="42" customHeight="1">
      <x:c r="A63" s="5"/>
      <x:c r="B63" s="17"/>
      <x:c r="C63" s="6"/>
      <x:c r="D63" s="6"/>
      <x:c r="E63" s="6"/>
      <x:c r="F63" s="23"/>
      <x:c r="G63" s="23"/>
      <x:c r="H63" s="23"/>
      <x:c r="I63" s="23">
        <x:f t="shared" si="6"/>
        <x:v>1</x:v>
      </x:c>
      <x:c r="J63" s="24">
        <x:f t="shared" si="7"/>
        <x:v>-7</x:v>
      </x:c>
      <x:c r="K63" s="24">
        <x:f t="shared" si="8"/>
        <x:v>-1</x:v>
      </x:c>
      <x:c r="L63" s="23"/>
      <x:c r="M63" s="25"/>
      <x:c r="N63" s="23"/>
      <x:c r="O63" s="23" t="str">
        <x:f t="shared" si="9"/>
      </x:c>
      <x:c r="P63" s="23">
        <x:f t="shared" si="10"/>
        <x:v>0</x:v>
      </x:c>
      <x:c r="Q63" s="8"/>
      <x:c r="R63" s="52"/>
      <x:c r="S63" s="53"/>
      <x:c r="T63" s="53"/>
      <x:c r="U63" s="53"/>
      <x:c r="V63" s="53"/>
      <x:c r="W63" s="53"/>
      <x:c r="X63" s="53"/>
      <x:c r="Y63" s="53"/>
      <x:c r="Z63" s="53"/>
      <x:c r="AA63" s="53"/>
      <x:c r="AB63" s="53"/>
      <x:c r="AC63" s="53"/>
      <x:c r="AD63" s="53"/>
      <x:c r="AE63" s="53"/>
      <x:c r="AF63" s="53"/>
      <x:c r="AG63" s="53"/>
      <x:c r="AH63" s="53"/>
      <x:c r="AI63" s="53"/>
      <x:c r="AJ63" s="53"/>
      <x:c r="AK63" s="53"/>
      <x:c r="AL63" s="53"/>
      <x:c r="AM63" s="53"/>
      <x:c r="AN63" s="53"/>
      <x:c r="AO63" s="53"/>
      <x:c r="AP63" s="53"/>
      <x:c r="AQ63" s="53"/>
      <x:c r="AR63" s="53"/>
      <x:c r="AS63" s="53"/>
      <x:c r="AT63" s="53"/>
      <x:c r="AU63" s="53"/>
      <x:c r="AV63" s="53"/>
      <x:c r="AW63" s="53"/>
      <x:c r="AX63" s="53"/>
      <x:c r="AY63" s="53"/>
      <x:c r="AZ63" s="53"/>
      <x:c r="BA63" s="53"/>
      <x:c r="BB63" s="53"/>
      <x:c r="BC63" s="53"/>
      <x:c r="BD63" s="53"/>
      <x:c r="BE63" s="53"/>
      <x:c r="BF63" s="53"/>
      <x:c r="BG63" s="53"/>
      <x:c r="BH63" s="53"/>
      <x:c r="BI63" s="53"/>
      <x:c r="BJ63" s="53"/>
      <x:c r="BK63" s="53"/>
      <x:c r="BL63" s="53"/>
      <x:c r="BM63" s="53"/>
      <x:c r="BN63" s="53"/>
      <x:c r="BO63" s="53"/>
      <x:c r="BP63" s="53"/>
      <x:c r="BQ63" s="49"/>
    </x:row>
    <x:row r="64" ht="15">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row>
    <x:row r="65" ht="1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row>
    <x:row r="66" ht="15">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row>
    <x:row r="67" ht="15">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row>
    <x:row r="68" ht="15">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row>
    <x:row r="69" ht="15">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row>
    <x:row r="70" ht="1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row>
    <x:row r="71" ht="15">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row>
    <x:row r="72" ht="15">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row>
    <x:row r="73" ht="1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row>
    <x:row r="74" ht="15">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row>
    <x:row r="75" ht="1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row>
    <x:row r="76" ht="15">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row>
    <x:row r="77" ht="15">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row>
    <x:row r="78" ht="15">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row>
    <x:row r="79" ht="15">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row>
    <x:row r="80" ht="15">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row>
    <x:row r="81" ht="15">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row>
    <x:row r="82" ht="15">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row>
    <x:row r="83" ht="15">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row>
    <x:row r="84" ht="15">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row>
    <x:row r="85" ht="1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row>
    <x:row r="86" ht="15">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row>
    <x:row r="87" ht="15">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row>
    <x:row r="88" ht="15">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row>
    <x:row r="89" ht="15">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row>
    <x:row r="90" ht="15">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row>
    <x:row r="91" ht="15">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row>
    <x:row r="92" ht="1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row>
    <x:row r="93" ht="15">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row>
    <x:row r="94" ht="15">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row>
    <x:row r="95" ht="1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row>
    <x:row r="96" ht="15">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row>
    <x:row r="97" ht="15">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row>
    <x:row r="98" ht="15">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row>
    <x:row r="99" ht="15">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row>
    <x:row r="100" ht="15">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row>
  </x:sheetData>
  <x:mergeCells>
    <x:mergeCell ref="A3:R3"/>
  </x:mergeCells>
  <x:conditionalFormatting sqref="K6:K27">
    <x:cfRule type="expression" dxfId="13" priority="11">
      <x:formula>K6="Complete"</x:formula>
    </x:cfRule>
    <x:cfRule type="expression" dxfId="12" priority="12">
      <x:formula>K6="In Progress"</x:formula>
    </x:cfRule>
    <x:cfRule type="expression" dxfId="11" priority="13">
      <x:formula>K6="Blocked"</x:formula>
    </x:cfRule>
    <x:cfRule type="expression" dxfId="10" priority="16">
      <x:formula>K6="Complete"</x:formula>
    </x:cfRule>
    <x:cfRule type="expression" dxfId="9" priority="17">
      <x:formula>K6="In Progress"</x:formula>
    </x:cfRule>
    <x:cfRule type="expression" dxfId="8" priority="18">
      <x:formula>K6="Blocked"</x:formula>
    </x:cfRule>
  </x:conditionalFormatting>
  <x:conditionalFormatting sqref="L6:L27">
    <x:cfRule type="dataBar" priority="10">
      <x:dataBar>
        <x:cfvo type="min"/>
        <x:cfvo type="max"/>
        <x:color rgb="FF2F75B5"/>
      </x:dataBar>
    </x:cfRule>
    <x:cfRule type="dataBar" priority="15">
      <x:dataBar>
        <x:cfvo type="min"/>
        <x:cfvo type="max"/>
        <x:color rgb="FF2F75B5"/>
      </x:dataBar>
    </x:cfRule>
    <x:cfRule type="dataBar" priority="21">
      <x:dataBar>
        <x:cfvo type="min"/>
        <x:cfvo type="max"/>
        <x:color rgb="FF2F75B5"/>
      </x:dataBar>
      <x:extLst>
        <x:ext xmlns:x14="http://schemas.microsoft.com/office/spreadsheetml/2009/9/main" uri="{B025F937-C7B1-47D3-B67F-A62EFF666E3E}">
          <x14:id>{063DC311-2080-FF25-3757-9AC640565C53}</x14:id>
        </x:ext>
      </x:extLst>
    </x:cfRule>
    <x:cfRule type="dataBar" priority="21">
      <x:dataBar>
        <x:cfvo type="min"/>
        <x:cfvo type="max"/>
        <x:color rgb="FF2F75B5"/>
      </x:dataBar>
      <x:extLst>
        <x:ext xmlns:x14="http://schemas.microsoft.com/office/spreadsheetml/2009/9/main" uri="{B025F937-C7B1-47D3-B67F-A62EFF666E3E}">
          <x14:id>{C0AFF14F-9D94-F3D6-12B8-079A9CDD4DAD}</x14:id>
        </x:ext>
      </x:extLst>
    </x:cfRule>
  </x:conditionalFormatting>
  <x:conditionalFormatting sqref="L6:L63">
    <x:cfRule type="expression" dxfId="7" priority="1">
      <x:formula>L6="Complete"</x:formula>
    </x:cfRule>
    <x:cfRule type="expression" dxfId="6" priority="2">
      <x:formula>L6="In Progress"</x:formula>
    </x:cfRule>
    <x:cfRule type="expression" dxfId="5" priority="3">
      <x:formula>L6="On Hold"</x:formula>
    </x:cfRule>
  </x:conditionalFormatting>
  <x:conditionalFormatting sqref="M6:M63">
    <x:cfRule type="dataBar" priority="4">
      <x:dataBar>
        <x:cfvo type="min"/>
        <x:cfvo type="max"/>
        <x:color rgb="FF2563EB"/>
      </x:dataBar>
    </x:cfRule>
    <x:cfRule type="dataBar" priority="7">
      <x:dataBar>
        <x:cfvo type="min"/>
        <x:cfvo type="max"/>
        <x:color rgb="FF2563EB"/>
      </x:dataBar>
    </x:cfRule>
    <x:cfRule type="dataBar" priority="8">
      <x:dataBar>
        <x:cfvo type="min"/>
        <x:cfvo type="max"/>
        <x:color rgb="FF2563EB"/>
      </x:dataBar>
    </x:cfRule>
    <x:cfRule type="dataBar" priority="9">
      <x:dataBar>
        <x:cfvo type="min"/>
        <x:cfvo type="max"/>
        <x:color rgb="FF2563EB"/>
      </x:dataBar>
    </x:cfRule>
    <x:cfRule type="dataBar" priority="20">
      <x:dataBar>
        <x:cfvo type="min"/>
        <x:cfvo type="max"/>
        <x:color rgb="FF2563EB"/>
      </x:dataBar>
      <x:extLst>
        <x:ext xmlns:x14="http://schemas.microsoft.com/office/spreadsheetml/2009/9/main" uri="{B025F937-C7B1-47D3-B67F-A62EFF666E3E}">
          <x14:id>{B05FFF90-18D4-A5A7-8560-2BA14D3F5BBD}</x14:id>
        </x:ext>
      </x:extLst>
    </x:cfRule>
  </x:conditionalFormatting>
  <x:conditionalFormatting sqref="O6:O63">
    <x:cfRule type="cellIs" dxfId="4" priority="5" operator="greaterThan">
      <x:formula>0</x:formula>
    </x:cfRule>
    <x:cfRule type="cellIs" dxfId="3" priority="6" operator="lessThan">
      <x:formula>0</x:formula>
    </x:cfRule>
  </x:conditionalFormatting>
  <x:conditionalFormatting sqref="S6:Z27">
    <x:cfRule type="expression" dxfId="2" priority="14">
      <x:formula>S6="■"</x:formula>
    </x:cfRule>
  </x:conditionalFormatting>
  <x:dataValidations count="2">
    <x:dataValidation type="list" sqref="L6:L63">
      <x:formula1>"Not Started,In Progress,Complete,On Hold"</x:formula1>
    </x:dataValidation>
    <x:dataValidation type="list" sqref="K6:K27">
      <x:formula1>"Not Started,In Progress,Complete,Blocked,Deferred"</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1" id="{063DC311-2080-FF25-3757-9AC640565C53}">
            <x14:dataBar>
              <x14:cfvo type="min"/>
              <x14:cfvo type="max"/>
              <x14:fillColor rgb="FF2F75B5"/>
              <x14:negativeFillColor auto="1"/>
              <x14:axisColor auto="1"/>
            </x14:dataBar>
          </x14:cfRule>
          <x14:cfRule type="dataBar" priority="21" id="{C0AFF14F-9D94-F3D6-12B8-079A9CDD4DAD}">
            <x14:dataBar>
              <x14:cfvo type="min"/>
              <x14:cfvo type="max"/>
              <x14:fillColor rgb="FF2F75B5"/>
              <x14:negativeFillColor auto="1"/>
              <x14:axisColor auto="1"/>
            </x14:dataBar>
          </x14:cfRule>
          <xm:sqref>L6:L27</xm:sqref>
        </x14:conditionalFormatting>
        <x14:conditionalFormatting>
          <x14:cfRule type="dataBar" priority="20" id="{B05FFF90-18D4-A5A7-8560-2BA14D3F5BBD}">
            <x14:dataBar>
              <x14:cfvo type="min"/>
              <x14:cfvo type="max"/>
              <x14:fillColor rgb="FF2563EB"/>
              <x14:negativeFillColor auto="1"/>
              <x14:axisColor auto="1"/>
            </x14:dataBar>
          </x14:cfRule>
          <xm:sqref>M6:M63</xm:sqref>
        </x14:conditionalFormatting>
      </x14:conditionalFormattings>
    </x:ext>
  </x:extLst>
</x:worksheet>
</file>

<file path=xl/worksheets/sheet4.xml><?xml version="1.0" encoding="utf-8"?>
<x:worksheet xmlns:x="http://schemas.openxmlformats.org/spreadsheetml/2006/main">
  <x:sheetFormatPr defaultRowHeight="14.25"/>
  <x:cols>
    <x:col min="1" max="1" width="8" customWidth="1"/>
    <x:col min="2" max="5" width="12" customWidth="1"/>
    <x:col min="6" max="6" width="11" customWidth="1"/>
    <x:col min="7" max="8" width="14" customWidth="1"/>
    <x:col min="9" max="9" width="15" customWidth="1"/>
    <x:col min="10" max="10" width="34" customWidth="1"/>
    <x:col min="11" max="11" width="13" customWidth="1"/>
    <x:col min="12" max="12" width="52" customWidth="1"/>
  </x:cols>
  <x:sheetData>
    <x:row r="1" ht="27.950000762939453" customHeight="1">
      <x:c r="A1" s="204" t="str">
        <x:v>v0.2.0 Weekly Resource Control — Historical</x:v>
      </x:c>
      <x:c r="B1" s="205"/>
      <x:c r="C1" s="205"/>
      <x:c r="D1" s="205"/>
      <x:c r="E1" s="205"/>
      <x:c r="F1" s="205"/>
      <x:c r="G1" s="205"/>
      <x:c r="H1" s="205"/>
      <x:c r="I1" s="205"/>
      <x:c r="J1" s="205"/>
      <x:c r="K1" s="205"/>
      <x:c r="L1" s="205"/>
      <x:c r="M1" s="65"/>
      <x:c r="N1" s="65"/>
      <x:c r="O1" s="65"/>
      <x:c r="P1" s="65"/>
      <x:c r="Q1" s="65"/>
      <x:c r="R1" s="65"/>
      <x:c r="S1" s="65"/>
      <x:c r="T1" s="65"/>
      <x:c r="U1" s="65"/>
      <x:c r="V1" s="65"/>
      <x:c r="W1" s="65"/>
      <x:c r="X1" s="65"/>
      <x:c r="Y1" s="65"/>
      <x:c r="Z1" s="65"/>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row>
    <x:row r="2" ht="15">
      <x:c r="A2" s="222" t="str">
        <x:v>This sheet preserves the original MVP weekly baseline. Active v0.3.0 control is in Pilot Dashboard and Pilot Gantt.</x:v>
      </x:c>
      <x:c r="B2" s="222"/>
      <x:c r="C2" s="222"/>
      <x:c r="D2" s="222"/>
      <x:c r="E2" s="222"/>
      <x:c r="F2" s="222"/>
      <x:c r="G2" s="222"/>
      <x:c r="H2" s="222"/>
      <x:c r="I2" s="222"/>
      <x:c r="J2" s="222"/>
      <x:c r="K2" s="222"/>
      <x:c r="L2" s="222"/>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row>
    <x:row r="3" ht="36" customHeight="1">
      <x:c r="A3" s="4"/>
      <x:c r="B3" s="4"/>
      <x:c r="C3" s="4"/>
      <x:c r="D3" s="4"/>
      <x:c r="E3" s="4"/>
      <x:c r="F3" s="4"/>
      <x:c r="G3" s="4"/>
      <x:c r="H3" s="4"/>
      <x:c r="I3" s="4"/>
      <x:c r="J3" s="4"/>
      <x:c r="K3" s="4"/>
      <x:c r="L3" s="4"/>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row>
    <x:row r="4" ht="27">
      <x:c r="A4" s="88" t="str">
        <x:v>Week</x:v>
      </x:c>
      <x:c r="B4" s="118" t="str">
        <x:v>Week Start</x:v>
      </x:c>
      <x:c r="C4" s="118" t="str">
        <x:v>Week Finish</x:v>
      </x:c>
      <x:c r="D4" s="88" t="str">
        <x:v>Planned Hours</x:v>
      </x:c>
      <x:c r="E4" s="137" t="str">
        <x:v>Actual Hours</x:v>
      </x:c>
      <x:c r="F4" s="88" t="str">
        <x:v>Variance</x:v>
      </x:c>
      <x:c r="G4" s="88" t="str">
        <x:v>Cumulative Planned</x:v>
      </x:c>
      <x:c r="H4" s="88" t="str">
        <x:v>Cumulative Actual</x:v>
      </x:c>
      <x:c r="I4" s="88" t="str">
        <x:v>Remaining</x:v>
      </x:c>
      <x:c r="J4" s="88" t="str">
        <x:v>Primary Focus</x:v>
      </x:c>
      <x:c r="K4" s="88" t="str">
        <x:v>Status</x:v>
      </x:c>
      <x:c r="L4" s="88" t="str">
        <x:v>Weekly Note</x:v>
      </x:c>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row>
    <x:row r="5" ht="72" customHeight="1">
      <x:c r="A5" s="141">
        <x:v>1</x:v>
      </x:c>
      <x:c r="B5" s="138">
        <x:v>46202</x:v>
      </x:c>
      <x:c r="C5" s="138">
        <x:v>46208</x:v>
      </x:c>
      <x:c r="D5" s="68">
        <x:v>8</x:v>
      </x:c>
      <x:c r="E5" s="68" t="n">
        <x:f>SUMIF('Work Block Log'!$G$5:$G$200,A5,'Work Block Log'!$F$5:$F$200)</x:f>
        <x:v>17.39</x:v>
      </x:c>
      <x:c r="F5" s="68" t="n">
        <x:f t="shared" ref="F5:F35" si="0">IF(E5="","",E5-D5)</x:f>
        <x:v>9.39</x:v>
      </x:c>
      <x:c r="G5" s="68" t="n">
        <x:f t="shared" ref="G5:G36" si="2">SUM($D$5:D5)</x:f>
        <x:v>8</x:v>
      </x:c>
      <x:c r="H5" s="68" t="n">
        <x:f t="shared" ref="H5:H36" si="3">SUM($E$5:E5)</x:f>
        <x:v>17.39</x:v>
      </x:c>
      <x:c r="I5" s="68" t="n">
        <x:f t="shared" ref="I5:I35" si="1">MAX($G$13-H5,0)</x:f>
        <x:v>58.61</x:v>
      </x:c>
      <x:c r="J5" s="141" t="s">
        <x:v>140</x:v>
      </x:c>
      <x:c r="K5" s="141" t="str">
        <x:v>Complete</x:v>
      </x:c>
      <x:c r="L5" s="448" t="str">
        <x:v>Known logged time through WB-025: 17.39 h. All MVP WBS items are complete; Gates 1–6 are accepted. The clean-clone final matrix passed at commit 45336a2 with Python 3.12.6, package 0.2.0, five cases, 121 tests, baseline 9/9, demo 2/2, eleven result-version checks, required claim boundaries, and a clean tree. Annotated tag v0.2.0 was pushed and verified. MVP v0.2.0 is released. Next: freeze the baseline and select one post-MVP expansion through a separate decision block.</x:v>
      </x:c>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row>
    <x:row r="6" ht="15">
      <x:c r="A6" s="141">
        <x:v>2</x:v>
      </x:c>
      <x:c r="B6" s="138">
        <x:v>46209</x:v>
      </x:c>
      <x:c r="C6" s="138">
        <x:v>46215</x:v>
      </x:c>
      <x:c r="D6" s="68">
        <x:v>10</x:v>
      </x:c>
      <x:c r="E6" s="68" t="n">
        <x:f>SUMIF('Work Block Log'!$G$5:$G$200,A6,'Work Block Log'!$F$5:$F$200)</x:f>
        <x:v>0</x:v>
      </x:c>
      <x:c r="F6" s="68" t="str">
        <x:f t="shared" si="0">IF(E6="","",E6-D6)</x:f>
      </x:c>
      <x:c r="G6" s="68" t="n">
        <x:f t="shared" si="2">SUM($D$5:D6)</x:f>
        <x:v>18</x:v>
      </x:c>
      <x:c r="H6" s="68" t="n">
        <x:f t="shared" si="3">SUM($E$5:E6)</x:f>
        <x:v>17.39</x:v>
      </x:c>
      <x:c r="I6" s="68" t="n">
        <x:f t="shared" si="1">MAX($G$13-H6,0)</x:f>
        <x:v>58.61</x:v>
      </x:c>
      <x:c r="J6" s="141" t="s">
        <x:v>141</x:v>
      </x:c>
      <x:c r="K6" s="141" t="s">
        <x:v>142</x:v>
      </x:c>
      <x:c r="L6" s="14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row>
    <x:row r="7" ht="15">
      <x:c r="A7" s="141">
        <x:v>3</x:v>
      </x:c>
      <x:c r="B7" s="138">
        <x:v>46216</x:v>
      </x:c>
      <x:c r="C7" s="138">
        <x:v>46222</x:v>
      </x:c>
      <x:c r="D7" s="68">
        <x:v>10</x:v>
      </x:c>
      <x:c r="E7" s="68" t="n">
        <x:f>SUMIF('Work Block Log'!$G$5:$G$200,A7,'Work Block Log'!$F$5:$F$200)</x:f>
        <x:v>0</x:v>
      </x:c>
      <x:c r="F7" s="68" t="str">
        <x:f t="shared" si="0">IF(E7="","",E7-D7)</x:f>
      </x:c>
      <x:c r="G7" s="68" t="n">
        <x:f t="shared" si="2">SUM($D$5:D7)</x:f>
        <x:v>28</x:v>
      </x:c>
      <x:c r="H7" s="68" t="n">
        <x:f t="shared" si="3">SUM($E$5:E7)</x:f>
        <x:v>17.39</x:v>
      </x:c>
      <x:c r="I7" s="68" t="n">
        <x:f t="shared" si="1">MAX($G$13-H7,0)</x:f>
        <x:v>58.61</x:v>
      </x:c>
      <x:c r="J7" s="141" t="s">
        <x:v>143</x:v>
      </x:c>
      <x:c r="K7" s="141" t="s">
        <x:v>142</x:v>
      </x:c>
      <x:c r="L7" s="14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row>
    <x:row r="8" ht="15">
      <x:c r="A8" s="141">
        <x:v>4</x:v>
      </x:c>
      <x:c r="B8" s="138">
        <x:v>46223</x:v>
      </x:c>
      <x:c r="C8" s="138">
        <x:v>46229</x:v>
      </x:c>
      <x:c r="D8" s="68">
        <x:v>10</x:v>
      </x:c>
      <x:c r="E8" s="68" t="n">
        <x:f>SUMIF('Work Block Log'!$G$5:$G$200,A8,'Work Block Log'!$F$5:$F$200)</x:f>
        <x:v>0</x:v>
      </x:c>
      <x:c r="F8" s="68" t="str">
        <x:f t="shared" si="0">IF(E8="","",E8-D8)</x:f>
      </x:c>
      <x:c r="G8" s="68" t="n">
        <x:f t="shared" si="2">SUM($D$5:D8)</x:f>
        <x:v>38</x:v>
      </x:c>
      <x:c r="H8" s="68" t="n">
        <x:f t="shared" si="3">SUM($E$5:E8)</x:f>
        <x:v>17.39</x:v>
      </x:c>
      <x:c r="I8" s="68" t="n">
        <x:f t="shared" si="1">MAX($G$13-H8,0)</x:f>
        <x:v>58.61</x:v>
      </x:c>
      <x:c r="J8" s="141" t="s">
        <x:v>144</x:v>
      </x:c>
      <x:c r="K8" s="141" t="s">
        <x:v>142</x:v>
      </x:c>
      <x:c r="L8" s="14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row>
    <x:row r="9" ht="15">
      <x:c r="A9" s="141">
        <x:v>5</x:v>
      </x:c>
      <x:c r="B9" s="138">
        <x:v>46230</x:v>
      </x:c>
      <x:c r="C9" s="138">
        <x:v>46236</x:v>
      </x:c>
      <x:c r="D9" s="68">
        <x:v>10</x:v>
      </x:c>
      <x:c r="E9" s="68" t="n">
        <x:f>SUMIF('Work Block Log'!$G$5:$G$200,A9,'Work Block Log'!$F$5:$F$200)</x:f>
        <x:v>0</x:v>
      </x:c>
      <x:c r="F9" s="68" t="str">
        <x:f t="shared" si="0">IF(E9="","",E9-D9)</x:f>
      </x:c>
      <x:c r="G9" s="68" t="n">
        <x:f t="shared" si="2">SUM($D$5:D9)</x:f>
        <x:v>48</x:v>
      </x:c>
      <x:c r="H9" s="68" t="n">
        <x:f t="shared" si="3">SUM($E$5:E9)</x:f>
        <x:v>17.39</x:v>
      </x:c>
      <x:c r="I9" s="68" t="n">
        <x:f t="shared" si="1">MAX($G$13-H9,0)</x:f>
        <x:v>58.61</x:v>
      </x:c>
      <x:c r="J9" s="141" t="s">
        <x:v>145</x:v>
      </x:c>
      <x:c r="K9" s="141" t="s">
        <x:v>142</x:v>
      </x:c>
      <x:c r="L9" s="14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row>
    <x:row r="10" ht="15">
      <x:c r="A10" s="141">
        <x:v>6</x:v>
      </x:c>
      <x:c r="B10" s="138">
        <x:v>46237</x:v>
      </x:c>
      <x:c r="C10" s="138">
        <x:v>46243</x:v>
      </x:c>
      <x:c r="D10" s="68">
        <x:v>10</x:v>
      </x:c>
      <x:c r="E10" s="68" t="n">
        <x:f>SUMIF('Work Block Log'!$G$5:$G$200,A10,'Work Block Log'!$F$5:$F$200)</x:f>
        <x:v>0</x:v>
      </x:c>
      <x:c r="F10" s="68" t="str">
        <x:f t="shared" si="0">IF(E10="","",E10-D10)</x:f>
      </x:c>
      <x:c r="G10" s="68" t="n">
        <x:f t="shared" si="2">SUM($D$5:D10)</x:f>
        <x:v>58</x:v>
      </x:c>
      <x:c r="H10" s="68" t="n">
        <x:f t="shared" si="3">SUM($E$5:E10)</x:f>
        <x:v>17.39</x:v>
      </x:c>
      <x:c r="I10" s="68" t="n">
        <x:f t="shared" si="1">MAX($G$13-H10,0)</x:f>
        <x:v>58.61</x:v>
      </x:c>
      <x:c r="J10" s="141" t="s">
        <x:v>146</x:v>
      </x:c>
      <x:c r="K10" s="141" t="s">
        <x:v>142</x:v>
      </x:c>
      <x:c r="L10" s="14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row>
    <x:row r="11" ht="15">
      <x:c r="A11" s="141">
        <x:v>7</x:v>
      </x:c>
      <x:c r="B11" s="138">
        <x:v>46244</x:v>
      </x:c>
      <x:c r="C11" s="138">
        <x:v>46250</x:v>
      </x:c>
      <x:c r="D11" s="68">
        <x:v>10</x:v>
      </x:c>
      <x:c r="E11" s="68" t="n">
        <x:f>SUMIF('Work Block Log'!$G$5:$G$200,A11,'Work Block Log'!$F$5:$F$200)</x:f>
        <x:v>0</x:v>
      </x:c>
      <x:c r="F11" s="68" t="str">
        <x:f t="shared" si="0">IF(E11="","",E11-D11)</x:f>
      </x:c>
      <x:c r="G11" s="68" t="n">
        <x:f t="shared" si="2">SUM($D$5:D11)</x:f>
        <x:v>68</x:v>
      </x:c>
      <x:c r="H11" s="68" t="n">
        <x:f t="shared" si="3">SUM($E$5:E11)</x:f>
        <x:v>17.39</x:v>
      </x:c>
      <x:c r="I11" s="68" t="n">
        <x:f t="shared" si="1">MAX($G$13-H11,0)</x:f>
        <x:v>58.61</x:v>
      </x:c>
      <x:c r="J11" s="141" t="s">
        <x:v>147</x:v>
      </x:c>
      <x:c r="K11" s="141" t="s">
        <x:v>142</x:v>
      </x:c>
      <x:c r="L11" s="14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row>
    <x:row r="12" ht="15">
      <x:c r="A12" s="142">
        <x:v>8</x:v>
      </x:c>
      <x:c r="B12" s="139">
        <x:v>46251</x:v>
      </x:c>
      <x:c r="C12" s="139">
        <x:v>46257</x:v>
      </x:c>
      <x:c r="D12" s="140">
        <x:v>8</x:v>
      </x:c>
      <x:c r="E12" s="140" t="n">
        <x:f>SUMIF('Work Block Log'!$G$5:$G$200,A12,'Work Block Log'!$F$5:$F$200)</x:f>
        <x:v>0</x:v>
      </x:c>
      <x:c r="F12" s="140" t="str">
        <x:f t="shared" si="0">IF(E12="","",E12-D12)</x:f>
      </x:c>
      <x:c r="G12" s="140" t="n">
        <x:f t="shared" si="2">SUM($D$5:D12)</x:f>
        <x:v>76</x:v>
      </x:c>
      <x:c r="H12" s="140" t="n">
        <x:f t="shared" si="3">SUM($E$5:E12)</x:f>
        <x:v>17.39</x:v>
      </x:c>
      <x:c r="I12" s="140" t="n">
        <x:f t="shared" si="1">MAX($G$13-H12,0)</x:f>
        <x:v>58.61</x:v>
      </x:c>
      <x:c r="J12" s="142" t="str">
        <x:v>Stabilization; limitations; v0.2.0 release</x:v>
      </x:c>
      <x:c r="K12" s="142" t="s">
        <x:v>142</x:v>
      </x:c>
      <x:c r="L12" s="142"/>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row>
    <x:row r="13" ht="15">
      <x:c r="A13" s="54"/>
      <x:c r="B13" s="55"/>
      <x:c r="C13" s="55"/>
      <x:c r="D13" s="56"/>
      <x:c r="E13" s="56"/>
      <x:c r="F13" s="56" t="str">
        <x:f t="shared" si="0"/>
      </x:c>
      <x:c r="G13" s="56" t="n">
        <x:f t="shared" si="2"/>
        <x:v>76</x:v>
      </x:c>
      <x:c r="H13" s="56">
        <x:f t="shared" si="3"/>
      </x:c>
      <x:c r="I13" s="56">
        <x:f t="shared" si="1"/>
      </x:c>
      <x:c r="J13" s="56"/>
      <x:c r="K13" s="56"/>
      <x:c r="L13" s="57"/>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row>
    <x:row r="14" ht="15">
      <x:c r="A14" s="54"/>
      <x:c r="B14" s="55"/>
      <x:c r="C14" s="55"/>
      <x:c r="D14" s="56"/>
      <x:c r="E14" s="56"/>
      <x:c r="F14" s="56" t="str">
        <x:f t="shared" si="0"/>
      </x:c>
      <x:c r="G14" s="56">
        <x:f t="shared" si="2"/>
      </x:c>
      <x:c r="H14" s="56">
        <x:f t="shared" si="3"/>
      </x:c>
      <x:c r="I14" s="56">
        <x:f t="shared" si="1"/>
      </x:c>
      <x:c r="J14" s="56"/>
      <x:c r="K14" s="56"/>
      <x:c r="L14" s="57"/>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row>
    <x:row r="15" ht="15">
      <x:c r="A15" s="54"/>
      <x:c r="B15" s="55"/>
      <x:c r="C15" s="55"/>
      <x:c r="D15" s="56"/>
      <x:c r="E15" s="56"/>
      <x:c r="F15" s="56" t="str">
        <x:f t="shared" si="0"/>
      </x:c>
      <x:c r="G15" s="56">
        <x:f t="shared" si="2"/>
      </x:c>
      <x:c r="H15" s="56">
        <x:f t="shared" si="3"/>
      </x:c>
      <x:c r="I15" s="56">
        <x:f t="shared" si="1"/>
      </x:c>
      <x:c r="J15" s="56"/>
      <x:c r="K15" s="56"/>
      <x:c r="L15" s="57"/>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row>
    <x:row r="16" ht="15">
      <x:c r="A16" s="54"/>
      <x:c r="B16" s="55"/>
      <x:c r="C16" s="55"/>
      <x:c r="D16" s="56"/>
      <x:c r="E16" s="56"/>
      <x:c r="F16" s="56" t="str">
        <x:f t="shared" si="0"/>
      </x:c>
      <x:c r="G16" s="56">
        <x:f t="shared" si="2"/>
      </x:c>
      <x:c r="H16" s="56">
        <x:f t="shared" si="3"/>
      </x:c>
      <x:c r="I16" s="56">
        <x:f t="shared" si="1"/>
      </x:c>
      <x:c r="J16" s="56"/>
      <x:c r="K16" s="56"/>
      <x:c r="L16" s="57"/>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row>
    <x:row r="17" ht="15">
      <x:c r="A17" s="54"/>
      <x:c r="B17" s="55"/>
      <x:c r="C17" s="55"/>
      <x:c r="D17" s="56"/>
      <x:c r="E17" s="56"/>
      <x:c r="F17" s="56" t="str">
        <x:f t="shared" si="0"/>
      </x:c>
      <x:c r="G17" s="56">
        <x:f t="shared" si="2"/>
      </x:c>
      <x:c r="H17" s="56">
        <x:f t="shared" si="3"/>
      </x:c>
      <x:c r="I17" s="56">
        <x:f t="shared" si="1"/>
      </x:c>
      <x:c r="J17" s="56"/>
      <x:c r="K17" s="56"/>
      <x:c r="L17" s="57"/>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row>
    <x:row r="18" ht="15">
      <x:c r="A18" s="54"/>
      <x:c r="B18" s="55"/>
      <x:c r="C18" s="55"/>
      <x:c r="D18" s="56"/>
      <x:c r="E18" s="56"/>
      <x:c r="F18" s="56" t="str">
        <x:f t="shared" si="0"/>
      </x:c>
      <x:c r="G18" s="56">
        <x:f t="shared" si="2"/>
      </x:c>
      <x:c r="H18" s="56">
        <x:f t="shared" si="3"/>
      </x:c>
      <x:c r="I18" s="56">
        <x:f t="shared" si="1"/>
      </x:c>
      <x:c r="J18" s="56"/>
      <x:c r="K18" s="56"/>
      <x:c r="L18" s="57"/>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row>
    <x:row r="19" ht="15">
      <x:c r="A19" s="54"/>
      <x:c r="B19" s="55"/>
      <x:c r="C19" s="55"/>
      <x:c r="D19" s="56"/>
      <x:c r="E19" s="56"/>
      <x:c r="F19" s="56" t="str">
        <x:f t="shared" si="0"/>
      </x:c>
      <x:c r="G19" s="56">
        <x:f t="shared" si="2"/>
      </x:c>
      <x:c r="H19" s="56">
        <x:f t="shared" si="3"/>
      </x:c>
      <x:c r="I19" s="56">
        <x:f t="shared" si="1"/>
      </x:c>
      <x:c r="J19" s="56"/>
      <x:c r="K19" s="56"/>
      <x:c r="L19" s="57"/>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row>
    <x:row r="20" ht="15">
      <x:c r="A20" s="54"/>
      <x:c r="B20" s="55"/>
      <x:c r="C20" s="55"/>
      <x:c r="D20" s="56"/>
      <x:c r="E20" s="56"/>
      <x:c r="F20" s="56" t="str">
        <x:f t="shared" si="0"/>
      </x:c>
      <x:c r="G20" s="56">
        <x:f t="shared" si="2"/>
      </x:c>
      <x:c r="H20" s="56">
        <x:f t="shared" si="3"/>
      </x:c>
      <x:c r="I20" s="56">
        <x:f t="shared" si="1"/>
      </x:c>
      <x:c r="J20" s="56"/>
      <x:c r="K20" s="56"/>
      <x:c r="L20" s="57"/>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row>
    <x:row r="21" ht="15">
      <x:c r="A21" s="54"/>
      <x:c r="B21" s="55"/>
      <x:c r="C21" s="55"/>
      <x:c r="D21" s="56"/>
      <x:c r="E21" s="56"/>
      <x:c r="F21" s="56" t="str">
        <x:f t="shared" si="0"/>
      </x:c>
      <x:c r="G21" s="56">
        <x:f t="shared" si="2"/>
      </x:c>
      <x:c r="H21" s="56">
        <x:f t="shared" si="3"/>
      </x:c>
      <x:c r="I21" s="56">
        <x:f t="shared" si="1"/>
      </x:c>
      <x:c r="J21" s="56"/>
      <x:c r="K21" s="56"/>
      <x:c r="L21" s="57"/>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row>
    <x:row r="22" ht="15">
      <x:c r="A22" s="54"/>
      <x:c r="B22" s="55"/>
      <x:c r="C22" s="55"/>
      <x:c r="D22" s="56"/>
      <x:c r="E22" s="56"/>
      <x:c r="F22" s="56" t="str">
        <x:f t="shared" si="0"/>
      </x:c>
      <x:c r="G22" s="56">
        <x:f t="shared" si="2"/>
      </x:c>
      <x:c r="H22" s="56">
        <x:f t="shared" si="3"/>
      </x:c>
      <x:c r="I22" s="56">
        <x:f t="shared" si="1"/>
      </x:c>
      <x:c r="J22" s="56"/>
      <x:c r="K22" s="56"/>
      <x:c r="L22" s="57"/>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row>
    <x:row r="23" ht="15">
      <x:c r="A23" s="54"/>
      <x:c r="B23" s="55"/>
      <x:c r="C23" s="55"/>
      <x:c r="D23" s="56"/>
      <x:c r="E23" s="56"/>
      <x:c r="F23" s="56" t="str">
        <x:f t="shared" si="0"/>
      </x:c>
      <x:c r="G23" s="56">
        <x:f t="shared" si="2"/>
      </x:c>
      <x:c r="H23" s="56">
        <x:f t="shared" si="3"/>
      </x:c>
      <x:c r="I23" s="56">
        <x:f t="shared" si="1"/>
      </x:c>
      <x:c r="J23" s="56"/>
      <x:c r="K23" s="56"/>
      <x:c r="L23" s="57"/>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row>
    <x:row r="24" ht="15">
      <x:c r="A24" s="54"/>
      <x:c r="B24" s="55"/>
      <x:c r="C24" s="55"/>
      <x:c r="D24" s="56"/>
      <x:c r="E24" s="56"/>
      <x:c r="F24" s="56" t="str">
        <x:f t="shared" si="0"/>
      </x:c>
      <x:c r="G24" s="56">
        <x:f t="shared" si="2"/>
      </x:c>
      <x:c r="H24" s="56">
        <x:f t="shared" si="3"/>
      </x:c>
      <x:c r="I24" s="56">
        <x:f t="shared" si="1"/>
      </x:c>
      <x:c r="J24" s="56"/>
      <x:c r="K24" s="56"/>
      <x:c r="L24" s="57"/>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row>
    <x:row r="25" ht="15">
      <x:c r="A25" s="54"/>
      <x:c r="B25" s="55"/>
      <x:c r="C25" s="55"/>
      <x:c r="D25" s="56"/>
      <x:c r="E25" s="56"/>
      <x:c r="F25" s="56" t="str">
        <x:f t="shared" si="0"/>
      </x:c>
      <x:c r="G25" s="56">
        <x:f t="shared" si="2"/>
      </x:c>
      <x:c r="H25" s="56">
        <x:f t="shared" si="3"/>
      </x:c>
      <x:c r="I25" s="56">
        <x:f t="shared" si="1"/>
      </x:c>
      <x:c r="J25" s="56"/>
      <x:c r="K25" s="56"/>
      <x:c r="L25" s="57"/>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row>
    <x:row r="26" ht="15">
      <x:c r="A26" s="54"/>
      <x:c r="B26" s="55"/>
      <x:c r="C26" s="55"/>
      <x:c r="D26" s="56"/>
      <x:c r="E26" s="56"/>
      <x:c r="F26" s="56" t="str">
        <x:f t="shared" si="0"/>
      </x:c>
      <x:c r="G26" s="56">
        <x:f t="shared" si="2"/>
      </x:c>
      <x:c r="H26" s="56">
        <x:f t="shared" si="3"/>
      </x:c>
      <x:c r="I26" s="56">
        <x:f t="shared" si="1"/>
      </x:c>
      <x:c r="J26" s="56"/>
      <x:c r="K26" s="56"/>
      <x:c r="L26" s="57"/>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row>
    <x:row r="27" ht="15">
      <x:c r="A27" s="58"/>
      <x:c r="B27" s="59"/>
      <x:c r="C27" s="59"/>
      <x:c r="D27" s="60"/>
      <x:c r="E27" s="60"/>
      <x:c r="F27" s="60" t="str">
        <x:f t="shared" si="0"/>
      </x:c>
      <x:c r="G27" s="60">
        <x:f t="shared" si="2"/>
      </x:c>
      <x:c r="H27" s="60">
        <x:f t="shared" si="3"/>
      </x:c>
      <x:c r="I27" s="60">
        <x:f t="shared" si="1"/>
      </x:c>
      <x:c r="J27" s="60"/>
      <x:c r="K27" s="60"/>
      <x:c r="L27" s="6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row>
    <x:row r="28" ht="15">
      <x:c r="A28" s="54"/>
      <x:c r="B28" s="55"/>
      <x:c r="C28" s="55"/>
      <x:c r="D28" s="56"/>
      <x:c r="E28" s="56"/>
      <x:c r="F28" s="56" t="str">
        <x:f t="shared" si="0"/>
      </x:c>
      <x:c r="G28" s="56">
        <x:f t="shared" si="2"/>
      </x:c>
      <x:c r="H28" s="56">
        <x:f t="shared" si="3"/>
      </x:c>
      <x:c r="I28" s="56">
        <x:f t="shared" si="1"/>
      </x:c>
      <x:c r="J28" s="56"/>
      <x:c r="K28" s="56"/>
      <x:c r="L28" s="57"/>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row>
    <x:row r="29" ht="15">
      <x:c r="A29" s="54"/>
      <x:c r="B29" s="55"/>
      <x:c r="C29" s="55"/>
      <x:c r="D29" s="56"/>
      <x:c r="E29" s="56"/>
      <x:c r="F29" s="56" t="str">
        <x:f t="shared" si="0"/>
      </x:c>
      <x:c r="G29" s="56">
        <x:f t="shared" si="2"/>
      </x:c>
      <x:c r="H29" s="56">
        <x:f t="shared" si="3"/>
      </x:c>
      <x:c r="I29" s="56">
        <x:f t="shared" si="1"/>
      </x:c>
      <x:c r="J29" s="56"/>
      <x:c r="K29" s="56"/>
      <x:c r="L29" s="57"/>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row>
    <x:row r="30" ht="15">
      <x:c r="A30" s="54"/>
      <x:c r="B30" s="55"/>
      <x:c r="C30" s="55"/>
      <x:c r="D30" s="56"/>
      <x:c r="E30" s="56"/>
      <x:c r="F30" s="56" t="str">
        <x:f t="shared" si="0"/>
      </x:c>
      <x:c r="G30" s="56">
        <x:f t="shared" si="2"/>
      </x:c>
      <x:c r="H30" s="56">
        <x:f t="shared" si="3"/>
      </x:c>
      <x:c r="I30" s="56">
        <x:f t="shared" si="1"/>
      </x:c>
      <x:c r="J30" s="56"/>
      <x:c r="K30" s="56"/>
      <x:c r="L30" s="57"/>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row>
    <x:row r="31" ht="15">
      <x:c r="A31" s="54"/>
      <x:c r="B31" s="55"/>
      <x:c r="C31" s="55"/>
      <x:c r="D31" s="56"/>
      <x:c r="E31" s="56"/>
      <x:c r="F31" s="56" t="str">
        <x:f t="shared" si="0"/>
      </x:c>
      <x:c r="G31" s="56">
        <x:f t="shared" si="2"/>
      </x:c>
      <x:c r="H31" s="56">
        <x:f t="shared" si="3"/>
      </x:c>
      <x:c r="I31" s="56">
        <x:f t="shared" si="1"/>
      </x:c>
      <x:c r="J31" s="56"/>
      <x:c r="K31" s="56"/>
      <x:c r="L31" s="57"/>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row>
    <x:row r="32" ht="15">
      <x:c r="A32" s="54"/>
      <x:c r="B32" s="55"/>
      <x:c r="C32" s="55"/>
      <x:c r="D32" s="56"/>
      <x:c r="E32" s="56"/>
      <x:c r="F32" s="56" t="str">
        <x:f t="shared" si="0"/>
      </x:c>
      <x:c r="G32" s="56">
        <x:f t="shared" si="2"/>
      </x:c>
      <x:c r="H32" s="56">
        <x:f t="shared" si="3"/>
      </x:c>
      <x:c r="I32" s="56">
        <x:f t="shared" si="1"/>
      </x:c>
      <x:c r="J32" s="56"/>
      <x:c r="K32" s="56"/>
      <x:c r="L32" s="57"/>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row>
    <x:row r="33" ht="15">
      <x:c r="A33" s="54"/>
      <x:c r="B33" s="55"/>
      <x:c r="C33" s="55"/>
      <x:c r="D33" s="56"/>
      <x:c r="E33" s="56"/>
      <x:c r="F33" s="56" t="str">
        <x:f t="shared" si="0"/>
      </x:c>
      <x:c r="G33" s="56">
        <x:f t="shared" si="2"/>
      </x:c>
      <x:c r="H33" s="56">
        <x:f t="shared" si="3"/>
      </x:c>
      <x:c r="I33" s="56">
        <x:f t="shared" si="1"/>
      </x:c>
      <x:c r="J33" s="56"/>
      <x:c r="K33" s="56"/>
      <x:c r="L33" s="57"/>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row>
    <x:row r="34" ht="15">
      <x:c r="A34" s="54"/>
      <x:c r="B34" s="55"/>
      <x:c r="C34" s="55"/>
      <x:c r="D34" s="56"/>
      <x:c r="E34" s="56"/>
      <x:c r="F34" s="56" t="str">
        <x:f t="shared" si="0"/>
      </x:c>
      <x:c r="G34" s="56">
        <x:f t="shared" si="2"/>
      </x:c>
      <x:c r="H34" s="56">
        <x:f t="shared" si="3"/>
      </x:c>
      <x:c r="I34" s="56">
        <x:f t="shared" si="1"/>
      </x:c>
      <x:c r="J34" s="56"/>
      <x:c r="K34" s="56"/>
      <x:c r="L34" s="57"/>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row>
    <x:row r="35" ht="15">
      <x:c r="A35" s="54"/>
      <x:c r="B35" s="55"/>
      <x:c r="C35" s="55"/>
      <x:c r="D35" s="56"/>
      <x:c r="E35" s="56"/>
      <x:c r="F35" s="56" t="str">
        <x:f t="shared" si="0"/>
      </x:c>
      <x:c r="G35" s="56">
        <x:f t="shared" si="2"/>
      </x:c>
      <x:c r="H35" s="56">
        <x:f t="shared" si="3"/>
      </x:c>
      <x:c r="I35" s="56">
        <x:f t="shared" si="1"/>
      </x:c>
      <x:c r="J35" s="56"/>
      <x:c r="K35" s="56"/>
      <x:c r="L35" s="57"/>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row>
    <x:row r="36" ht="15">
      <x:c r="A36" s="54"/>
      <x:c r="B36" s="55"/>
      <x:c r="C36" s="55"/>
      <x:c r="D36" s="56"/>
      <x:c r="E36" s="56"/>
      <x:c r="F36" s="56" t="str">
        <x:f t="shared" ref="F36:F55" si="4">IF(E36="","",E36-D36)</x:f>
      </x:c>
      <x:c r="G36" s="56">
        <x:f t="shared" si="2"/>
      </x:c>
      <x:c r="H36" s="56">
        <x:f t="shared" si="3"/>
      </x:c>
      <x:c r="I36" s="56" t="n">
        <x:f t="shared" ref="I36:I55" si="5">MAX(576-G36,0)</x:f>
        <x:v>576</x:v>
      </x:c>
      <x:c r="J36" s="56"/>
      <x:c r="K36" s="56"/>
      <x:c r="L36" s="57"/>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row>
    <x:row r="37" ht="15">
      <x:c r="A37" s="54"/>
      <x:c r="B37" s="55"/>
      <x:c r="C37" s="55"/>
      <x:c r="D37" s="56"/>
      <x:c r="E37" s="56"/>
      <x:c r="F37" s="56">
        <x:f t="shared" si="4"/>
      </x:c>
      <x:c r="G37" s="56" t="n">
        <x:f t="shared" ref="G37:G55" si="6">G36+D37</x:f>
        <x:v>0</x:v>
      </x:c>
      <x:c r="H37" s="56" t="n">
        <x:f t="shared" ref="H37:H55" si="7">H36+IF(E37="",0,E37)</x:f>
        <x:v>0</x:v>
      </x:c>
      <x:c r="I37" s="56">
        <x:f t="shared" si="5"/>
      </x:c>
      <x:c r="J37" s="56"/>
      <x:c r="K37" s="56"/>
      <x:c r="L37" s="57"/>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row>
    <x:row r="38" ht="15">
      <x:c r="A38" s="54"/>
      <x:c r="B38" s="55"/>
      <x:c r="C38" s="55"/>
      <x:c r="D38" s="56"/>
      <x:c r="E38" s="56"/>
      <x:c r="F38" s="56" t="str">
        <x:f t="shared" si="4"/>
      </x:c>
      <x:c r="G38" s="56">
        <x:f t="shared" si="6"/>
      </x:c>
      <x:c r="H38" s="56">
        <x:f t="shared" si="7"/>
      </x:c>
      <x:c r="I38" s="56">
        <x:f t="shared" si="5"/>
      </x:c>
      <x:c r="J38" s="56"/>
      <x:c r="K38" s="56"/>
      <x:c r="L38" s="57"/>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row>
    <x:row r="39" ht="15">
      <x:c r="A39" s="54"/>
      <x:c r="B39" s="55"/>
      <x:c r="C39" s="55"/>
      <x:c r="D39" s="56"/>
      <x:c r="E39" s="56"/>
      <x:c r="F39" s="56" t="str">
        <x:f t="shared" si="4"/>
      </x:c>
      <x:c r="G39" s="56">
        <x:f t="shared" si="6"/>
      </x:c>
      <x:c r="H39" s="56">
        <x:f t="shared" si="7"/>
      </x:c>
      <x:c r="I39" s="56">
        <x:f t="shared" si="5"/>
      </x:c>
      <x:c r="J39" s="56"/>
      <x:c r="K39" s="56"/>
      <x:c r="L39" s="57"/>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row>
    <x:row r="40" ht="15">
      <x:c r="A40" s="54"/>
      <x:c r="B40" s="55"/>
      <x:c r="C40" s="55"/>
      <x:c r="D40" s="56"/>
      <x:c r="E40" s="56"/>
      <x:c r="F40" s="56" t="str">
        <x:f t="shared" si="4"/>
      </x:c>
      <x:c r="G40" s="56">
        <x:f t="shared" si="6"/>
      </x:c>
      <x:c r="H40" s="56">
        <x:f t="shared" si="7"/>
      </x:c>
      <x:c r="I40" s="56">
        <x:f t="shared" si="5"/>
      </x:c>
      <x:c r="J40" s="56"/>
      <x:c r="K40" s="56"/>
      <x:c r="L40" s="57"/>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row>
    <x:row r="41" ht="15">
      <x:c r="A41" s="54"/>
      <x:c r="B41" s="55"/>
      <x:c r="C41" s="55"/>
      <x:c r="D41" s="56"/>
      <x:c r="E41" s="56"/>
      <x:c r="F41" s="56" t="str">
        <x:f t="shared" si="4"/>
      </x:c>
      <x:c r="G41" s="56">
        <x:f t="shared" si="6"/>
      </x:c>
      <x:c r="H41" s="56">
        <x:f t="shared" si="7"/>
      </x:c>
      <x:c r="I41" s="56">
        <x:f t="shared" si="5"/>
      </x:c>
      <x:c r="J41" s="56"/>
      <x:c r="K41" s="56"/>
      <x:c r="L41" s="57"/>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c r="BA41" s="1"/>
      <x:c r="BB41" s="1"/>
      <x:c r="BC41" s="1"/>
      <x:c r="BD41" s="1"/>
      <x:c r="BE41" s="1"/>
      <x:c r="BF41" s="1"/>
      <x:c r="BG41" s="1"/>
      <x:c r="BH41" s="1"/>
      <x:c r="BI41" s="1"/>
      <x:c r="BJ41" s="1"/>
      <x:c r="BK41" s="1"/>
      <x:c r="BL41" s="1"/>
      <x:c r="BM41" s="1"/>
      <x:c r="BN41" s="1"/>
      <x:c r="BO41" s="1"/>
      <x:c r="BP41" s="1"/>
      <x:c r="BQ41" s="1"/>
    </x:row>
    <x:row r="42" ht="15">
      <x:c r="A42" s="54"/>
      <x:c r="B42" s="55"/>
      <x:c r="C42" s="55"/>
      <x:c r="D42" s="56"/>
      <x:c r="E42" s="56"/>
      <x:c r="F42" s="56" t="str">
        <x:f t="shared" si="4"/>
      </x:c>
      <x:c r="G42" s="56">
        <x:f t="shared" si="6"/>
      </x:c>
      <x:c r="H42" s="56">
        <x:f t="shared" si="7"/>
      </x:c>
      <x:c r="I42" s="56">
        <x:f t="shared" si="5"/>
      </x:c>
      <x:c r="J42" s="56"/>
      <x:c r="K42" s="56"/>
      <x:c r="L42" s="57"/>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row>
    <x:row r="43" ht="15">
      <x:c r="A43" s="54"/>
      <x:c r="B43" s="55"/>
      <x:c r="C43" s="55"/>
      <x:c r="D43" s="56"/>
      <x:c r="E43" s="56"/>
      <x:c r="F43" s="56" t="str">
        <x:f t="shared" si="4"/>
      </x:c>
      <x:c r="G43" s="56">
        <x:f t="shared" si="6"/>
      </x:c>
      <x:c r="H43" s="56">
        <x:f t="shared" si="7"/>
      </x:c>
      <x:c r="I43" s="56">
        <x:f t="shared" si="5"/>
      </x:c>
      <x:c r="J43" s="56"/>
      <x:c r="K43" s="56"/>
      <x:c r="L43" s="57"/>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row>
    <x:row r="44" ht="15">
      <x:c r="A44" s="54"/>
      <x:c r="B44" s="55"/>
      <x:c r="C44" s="55"/>
      <x:c r="D44" s="56"/>
      <x:c r="E44" s="56"/>
      <x:c r="F44" s="56" t="str">
        <x:f t="shared" si="4"/>
      </x:c>
      <x:c r="G44" s="56">
        <x:f t="shared" si="6"/>
      </x:c>
      <x:c r="H44" s="56">
        <x:f t="shared" si="7"/>
      </x:c>
      <x:c r="I44" s="56">
        <x:f t="shared" si="5"/>
      </x:c>
      <x:c r="J44" s="56"/>
      <x:c r="K44" s="56"/>
      <x:c r="L44" s="57"/>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row>
    <x:row r="45" ht="15">
      <x:c r="A45" s="58"/>
      <x:c r="B45" s="59"/>
      <x:c r="C45" s="59"/>
      <x:c r="D45" s="60"/>
      <x:c r="E45" s="60"/>
      <x:c r="F45" s="60" t="str">
        <x:f t="shared" si="4"/>
      </x:c>
      <x:c r="G45" s="60">
        <x:f t="shared" si="6"/>
      </x:c>
      <x:c r="H45" s="60">
        <x:f t="shared" si="7"/>
      </x:c>
      <x:c r="I45" s="60">
        <x:f t="shared" si="5"/>
      </x:c>
      <x:c r="J45" s="60"/>
      <x:c r="K45" s="60"/>
      <x:c r="L45" s="6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row>
    <x:row r="46" ht="15">
      <x:c r="A46" s="54"/>
      <x:c r="B46" s="55"/>
      <x:c r="C46" s="55"/>
      <x:c r="D46" s="56"/>
      <x:c r="E46" s="56"/>
      <x:c r="F46" s="56" t="str">
        <x:f t="shared" si="4"/>
      </x:c>
      <x:c r="G46" s="56">
        <x:f t="shared" si="6"/>
      </x:c>
      <x:c r="H46" s="56">
        <x:f t="shared" si="7"/>
      </x:c>
      <x:c r="I46" s="56">
        <x:f t="shared" si="5"/>
      </x:c>
      <x:c r="J46" s="56"/>
      <x:c r="K46" s="56"/>
      <x:c r="L46" s="57"/>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row>
    <x:row r="47" ht="15">
      <x:c r="A47" s="54"/>
      <x:c r="B47" s="55"/>
      <x:c r="C47" s="55"/>
      <x:c r="D47" s="56"/>
      <x:c r="E47" s="56"/>
      <x:c r="F47" s="56" t="str">
        <x:f t="shared" si="4"/>
      </x:c>
      <x:c r="G47" s="56">
        <x:f t="shared" si="6"/>
      </x:c>
      <x:c r="H47" s="56">
        <x:f t="shared" si="7"/>
      </x:c>
      <x:c r="I47" s="56">
        <x:f t="shared" si="5"/>
      </x:c>
      <x:c r="J47" s="56"/>
      <x:c r="K47" s="56"/>
      <x:c r="L47" s="57"/>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row>
    <x:row r="48" ht="15">
      <x:c r="A48" s="54"/>
      <x:c r="B48" s="55"/>
      <x:c r="C48" s="55"/>
      <x:c r="D48" s="56"/>
      <x:c r="E48" s="56"/>
      <x:c r="F48" s="56" t="str">
        <x:f t="shared" si="4"/>
      </x:c>
      <x:c r="G48" s="56">
        <x:f t="shared" si="6"/>
      </x:c>
      <x:c r="H48" s="56">
        <x:f t="shared" si="7"/>
      </x:c>
      <x:c r="I48" s="56">
        <x:f t="shared" si="5"/>
      </x:c>
      <x:c r="J48" s="56"/>
      <x:c r="K48" s="56"/>
      <x:c r="L48" s="57"/>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row>
    <x:row r="49" ht="15">
      <x:c r="A49" s="54"/>
      <x:c r="B49" s="55"/>
      <x:c r="C49" s="55"/>
      <x:c r="D49" s="56"/>
      <x:c r="E49" s="56"/>
      <x:c r="F49" s="56" t="str">
        <x:f t="shared" si="4"/>
      </x:c>
      <x:c r="G49" s="56">
        <x:f t="shared" si="6"/>
      </x:c>
      <x:c r="H49" s="56">
        <x:f t="shared" si="7"/>
      </x:c>
      <x:c r="I49" s="56">
        <x:f t="shared" si="5"/>
      </x:c>
      <x:c r="J49" s="56"/>
      <x:c r="K49" s="56"/>
      <x:c r="L49" s="57"/>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row>
    <x:row r="50" ht="15">
      <x:c r="A50" s="54"/>
      <x:c r="B50" s="55"/>
      <x:c r="C50" s="55"/>
      <x:c r="D50" s="56"/>
      <x:c r="E50" s="56"/>
      <x:c r="F50" s="56" t="str">
        <x:f t="shared" si="4"/>
      </x:c>
      <x:c r="G50" s="56">
        <x:f t="shared" si="6"/>
      </x:c>
      <x:c r="H50" s="56">
        <x:f t="shared" si="7"/>
      </x:c>
      <x:c r="I50" s="56">
        <x:f t="shared" si="5"/>
      </x:c>
      <x:c r="J50" s="56"/>
      <x:c r="K50" s="56"/>
      <x:c r="L50" s="57"/>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row>
    <x:row r="51" ht="15">
      <x:c r="A51" s="54"/>
      <x:c r="B51" s="55"/>
      <x:c r="C51" s="55"/>
      <x:c r="D51" s="56"/>
      <x:c r="E51" s="56"/>
      <x:c r="F51" s="56" t="str">
        <x:f t="shared" si="4"/>
      </x:c>
      <x:c r="G51" s="56">
        <x:f t="shared" si="6"/>
      </x:c>
      <x:c r="H51" s="56">
        <x:f t="shared" si="7"/>
      </x:c>
      <x:c r="I51" s="56">
        <x:f t="shared" si="5"/>
      </x:c>
      <x:c r="J51" s="56"/>
      <x:c r="K51" s="56"/>
      <x:c r="L51" s="57"/>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row>
    <x:row r="52" ht="15">
      <x:c r="A52" s="54"/>
      <x:c r="B52" s="55"/>
      <x:c r="C52" s="55"/>
      <x:c r="D52" s="56"/>
      <x:c r="E52" s="56"/>
      <x:c r="F52" s="56" t="str">
        <x:f t="shared" si="4"/>
      </x:c>
      <x:c r="G52" s="56">
        <x:f t="shared" si="6"/>
      </x:c>
      <x:c r="H52" s="56">
        <x:f t="shared" si="7"/>
      </x:c>
      <x:c r="I52" s="56">
        <x:f t="shared" si="5"/>
      </x:c>
      <x:c r="J52" s="56"/>
      <x:c r="K52" s="56"/>
      <x:c r="L52" s="57"/>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row>
    <x:row r="53" ht="15">
      <x:c r="A53" s="54"/>
      <x:c r="B53" s="55"/>
      <x:c r="C53" s="55"/>
      <x:c r="D53" s="56"/>
      <x:c r="E53" s="56"/>
      <x:c r="F53" s="56" t="str">
        <x:f t="shared" si="4"/>
      </x:c>
      <x:c r="G53" s="56">
        <x:f t="shared" si="6"/>
      </x:c>
      <x:c r="H53" s="56">
        <x:f t="shared" si="7"/>
      </x:c>
      <x:c r="I53" s="56">
        <x:f t="shared" si="5"/>
      </x:c>
      <x:c r="J53" s="56"/>
      <x:c r="K53" s="56"/>
      <x:c r="L53" s="57"/>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row>
    <x:row r="54" ht="15">
      <x:c r="A54" s="54"/>
      <x:c r="B54" s="55"/>
      <x:c r="C54" s="55"/>
      <x:c r="D54" s="56"/>
      <x:c r="E54" s="56"/>
      <x:c r="F54" s="56" t="str">
        <x:f t="shared" si="4"/>
      </x:c>
      <x:c r="G54" s="56">
        <x:f t="shared" si="6"/>
      </x:c>
      <x:c r="H54" s="56">
        <x:f t="shared" si="7"/>
      </x:c>
      <x:c r="I54" s="56">
        <x:f t="shared" si="5"/>
      </x:c>
      <x:c r="J54" s="56"/>
      <x:c r="K54" s="56"/>
      <x:c r="L54" s="57"/>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row>
    <x:row r="55" ht="15">
      <x:c r="A55" s="58"/>
      <x:c r="B55" s="59"/>
      <x:c r="C55" s="59"/>
      <x:c r="D55" s="60"/>
      <x:c r="E55" s="60"/>
      <x:c r="F55" s="60" t="str">
        <x:f t="shared" si="4"/>
      </x:c>
      <x:c r="G55" s="60">
        <x:f t="shared" si="6"/>
      </x:c>
      <x:c r="H55" s="60">
        <x:f t="shared" si="7"/>
      </x:c>
      <x:c r="I55" s="60">
        <x:f t="shared" si="5"/>
      </x:c>
      <x:c r="J55" s="60"/>
      <x:c r="K55" s="60"/>
      <x:c r="L55" s="6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row>
    <x:row r="56" ht="15">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row>
    <x:row r="57" ht="15">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row>
    <x:row r="58" ht="15">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row>
    <x:row r="59" ht="15">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row>
    <x:row r="60" ht="15">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row>
    <x:row r="61" ht="15">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row>
    <x:row r="62" ht="15">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row>
    <x:row r="63" ht="15">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row>
    <x:row r="64" ht="15">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row>
    <x:row r="65" ht="1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row>
    <x:row r="66" ht="15">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row>
    <x:row r="67" ht="15">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row>
    <x:row r="68" ht="15">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row>
    <x:row r="69" ht="15">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row>
    <x:row r="70" ht="1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row>
    <x:row r="71" ht="15">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row>
    <x:row r="72" ht="15">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row>
    <x:row r="73" ht="1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row>
    <x:row r="74" ht="15">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row>
    <x:row r="75" ht="1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row>
    <x:row r="76" ht="15">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row>
    <x:row r="77" ht="15">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row>
    <x:row r="78" ht="15">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row>
    <x:row r="79" ht="15">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row>
    <x:row r="80" ht="15">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row>
    <x:row r="81" ht="15">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row>
    <x:row r="82" ht="15">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row>
    <x:row r="83" ht="15">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row>
    <x:row r="84" ht="15">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row>
    <x:row r="85" ht="1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row>
    <x:row r="86" ht="15">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row>
    <x:row r="87" ht="15">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row>
    <x:row r="88" ht="15">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row>
    <x:row r="89" ht="15">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row>
    <x:row r="90" ht="15">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row>
    <x:row r="91" ht="15">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row>
    <x:row r="92" ht="1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row>
    <x:row r="93" ht="15">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row>
    <x:row r="94" ht="15">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row>
    <x:row r="95" ht="1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row>
    <x:row r="96" ht="15">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row>
    <x:row r="97" ht="15">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row>
    <x:row r="98" ht="15">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row>
    <x:row r="99" ht="15">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row>
    <x:row r="100" ht="15">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row>
  </x:sheetData>
  <x:mergeCells>
    <x:mergeCell ref="A1:L1"/>
    <x:mergeCell ref="A2:L2"/>
  </x:mergeCells>
  <x:conditionalFormatting sqref="D4:D55">
    <x:cfRule type="dataBar" priority="3">
      <x:dataBar>
        <x:cfvo type="min"/>
        <x:cfvo type="max"/>
        <x:color rgb="FF2563EB"/>
      </x:dataBar>
    </x:cfRule>
    <x:cfRule type="dataBar" priority="5">
      <x:dataBar>
        <x:cfvo type="min"/>
        <x:cfvo type="max"/>
        <x:color rgb="FF2563EB"/>
      </x:dataBar>
    </x:cfRule>
    <x:cfRule type="dataBar" priority="7">
      <x:dataBar>
        <x:cfvo type="min"/>
        <x:cfvo type="max"/>
        <x:color rgb="FF2563EB"/>
      </x:dataBar>
    </x:cfRule>
    <x:cfRule type="dataBar" priority="9">
      <x:dataBar>
        <x:cfvo type="min"/>
        <x:cfvo type="max"/>
        <x:color rgb="FF2563EB"/>
      </x:dataBar>
    </x:cfRule>
    <x:cfRule type="dataBar" priority="11">
      <x:dataBar>
        <x:cfvo type="min"/>
        <x:cfvo type="max"/>
        <x:color rgb="FF2563EB"/>
      </x:dataBar>
      <x:extLst>
        <x:ext xmlns:x14="http://schemas.microsoft.com/office/spreadsheetml/2009/9/main" uri="{B025F937-C7B1-47D3-B67F-A62EFF666E3E}">
          <x14:id>{B9CF9B83-EEEF-806F-3865-A7F6C560F42A}</x14:id>
        </x:ext>
      </x:extLst>
    </x:cfRule>
  </x:conditionalFormatting>
  <x:conditionalFormatting sqref="E4:E55">
    <x:cfRule type="dataBar" priority="4">
      <x:dataBar>
        <x:cfvo type="min"/>
        <x:cfvo type="max"/>
        <x:color rgb="FF16A34A"/>
      </x:dataBar>
    </x:cfRule>
    <x:cfRule type="dataBar" priority="6">
      <x:dataBar>
        <x:cfvo type="min"/>
        <x:cfvo type="max"/>
        <x:color rgb="FF16A34A"/>
      </x:dataBar>
    </x:cfRule>
    <x:cfRule type="dataBar" priority="8">
      <x:dataBar>
        <x:cfvo type="min"/>
        <x:cfvo type="max"/>
        <x:color rgb="FF16A34A"/>
      </x:dataBar>
    </x:cfRule>
    <x:cfRule type="dataBar" priority="10">
      <x:dataBar>
        <x:cfvo type="min"/>
        <x:cfvo type="max"/>
        <x:color rgb="FF16A34A"/>
      </x:dataBar>
    </x:cfRule>
    <x:cfRule type="dataBar" priority="12">
      <x:dataBar>
        <x:cfvo type="min"/>
        <x:cfvo type="max"/>
        <x:color rgb="FF16A34A"/>
      </x:dataBar>
      <x:extLst>
        <x:ext xmlns:x14="http://schemas.microsoft.com/office/spreadsheetml/2009/9/main" uri="{B025F937-C7B1-47D3-B67F-A62EFF666E3E}">
          <x14:id>{C5949B8B-F80D-9915-0B44-DA00EAF5A662}</x14:id>
        </x:ext>
      </x:extLst>
    </x:cfRule>
  </x:conditionalFormatting>
  <x:conditionalFormatting sqref="F4:F55">
    <x:cfRule type="cellIs" dxfId="1" priority="1" operator="greaterThan">
      <x:formula>0</x:formula>
    </x:cfRule>
    <x:cfRule type="cellIs" dxfId="0" priority="2" operator="lessThan">
      <x:formula>0</x:formula>
    </x:cfRule>
  </x:conditionalFormatting>
  <x:dataValidations count="2">
    <x:dataValidation type="list" sqref="K4:K55">
      <x:formula1>"Not Started,In Progress,Complete,Missed,Replanned"</x:formula1>
    </x:dataValidation>
    <x:dataValidation type="list" sqref="K5:K12">
      <x:formula1>"Not Started,In Progress,Complete,Blocked"</x:formula1>
    </x:dataValidation>
  </x:dataValidations>
  <x:pageMargins left="0.7" right="0.7" top="0.75" bottom="0.75" header="0.3" footer="0.3"/>
  <x:drawing xmlns:r="http://schemas.openxmlformats.org/officeDocument/2006/relationships" r:id="Rd25170acd801414f"/>
  <x:extLst>
    <x:ext xmlns:x14="http://schemas.microsoft.com/office/spreadsheetml/2009/9/main" xmlns:xm="http://schemas.microsoft.com/office/excel/2006/main" uri="{78C0D931-6437-407d-A8EE-F0AAD7539E65}">
      <x14:conditionalFormattings>
        <x14:conditionalFormatting>
          <x14:cfRule type="dataBar" priority="11" id="{B9CF9B83-EEEF-806F-3865-A7F6C560F42A}">
            <x14:dataBar>
              <x14:cfvo type="min"/>
              <x14:cfvo type="max"/>
              <x14:fillColor rgb="FF2563EB"/>
              <x14:negativeFillColor auto="1"/>
              <x14:axisColor auto="1"/>
            </x14:dataBar>
          </x14:cfRule>
          <xm:sqref>D4:D55</xm:sqref>
        </x14:conditionalFormatting>
        <x14:conditionalFormatting>
          <x14:cfRule type="dataBar" priority="12" id="{C5949B8B-F80D-9915-0B44-DA00EAF5A662}">
            <x14:dataBar>
              <x14:cfvo type="min"/>
              <x14:cfvo type="max"/>
              <x14:fillColor rgb="FF16A34A"/>
              <x14:negativeFillColor auto="1"/>
              <x14:axisColor auto="1"/>
            </x14:dataBar>
          </x14:cfRule>
          <xm:sqref>E4:E55</xm:sqref>
        </x14:conditionalFormatting>
      </x14:conditionalFormattings>
    </x:ext>
  </x:extLst>
</x:worksheet>
</file>

<file path=xl/worksheets/sheet5.xml><?xml version="1.0" encoding="utf-8"?>
<x:worksheet xmlns:x="http://schemas.openxmlformats.org/spreadsheetml/2006/main">
  <x:sheetFormatPr defaultRowHeight="14.25"/>
  <x:cols>
    <x:col min="1" max="1" width="7" customWidth="1"/>
    <x:col min="2" max="2" width="30" customWidth="1"/>
    <x:col min="3" max="4" width="14" customWidth="1"/>
    <x:col min="5" max="7" width="12" customWidth="1"/>
    <x:col min="8" max="8" width="38" customWidth="1"/>
  </x:cols>
  <x:sheetData>
    <x:row r="1" ht="27.950000762939453" customHeight="1">
      <x:c r="A1" s="204" t="str">
        <x:v>v0.2.0 Phase Labour Summary and Gates — Historical</x:v>
      </x:c>
      <x:c r="B1" s="205"/>
      <x:c r="C1" s="205"/>
      <x:c r="D1" s="205"/>
      <x:c r="E1" s="205"/>
      <x:c r="F1" s="205"/>
      <x:c r="G1" s="205"/>
      <x:c r="H1" s="205"/>
      <x:c r="I1" s="65"/>
      <x:c r="J1" s="65"/>
      <x:c r="K1" s="65"/>
      <x:c r="L1" s="65"/>
      <x:c r="M1" s="65"/>
      <x:c r="N1" s="65"/>
      <x:c r="O1" s="65"/>
      <x:c r="P1" s="65"/>
      <x:c r="Q1" s="65"/>
      <x:c r="R1" s="65"/>
      <x:c r="S1" s="65"/>
      <x:c r="T1" s="65"/>
      <x:c r="U1" s="65"/>
      <x:c r="V1" s="65"/>
      <x:c r="W1" s="65"/>
      <x:c r="X1" s="65"/>
      <x:c r="Y1" s="65"/>
      <x:c r="Z1" s="65"/>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row>
    <x:row r="2" ht="15">
      <x:c r="A2" s="1"/>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row>
    <x:row r="3" ht="15">
      <x:c r="A3" s="88" t="s">
        <x:v>0</x:v>
      </x:c>
      <x:c r="B3" s="88" t="s">
        <x:v>1</x:v>
      </x:c>
      <x:c r="C3" s="88" t="s">
        <x:v>2</x:v>
      </x:c>
      <x:c r="D3" s="88" t="s">
        <x:v>3</x:v>
      </x:c>
      <x:c r="E3" s="88" t="s">
        <x:v>4</x:v>
      </x:c>
      <x:c r="F3" s="88" t="s">
        <x:v>5</x:v>
      </x:c>
      <x:c r="G3" s="88" t="s">
        <x:v>6</x:v>
      </x:c>
      <x:c r="H3" s="88" t="s">
        <x:v>148</x:v>
      </x:c>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row>
    <x:row r="4" ht="15">
      <x:c r="A4" s="141" t="s">
        <x:v>17</x:v>
      </x:c>
      <x:c r="B4" s="145" t="s">
        <x:v>18</x:v>
      </x:c>
      <x:c r="C4" s="68">
        <x:v>8</x:v>
      </x:c>
      <x:c r="D4" s="68" t="n">
        <x:f>SUMIF('Detailed Gantt'!$B$6:$B$27,B4,'Detailed Gantt'!$M$6:$M$27)</x:f>
        <x:v>7.550000000000001</x:v>
      </x:c>
      <x:c r="E4" s="143" t="n">
        <x:f>IF(C4=0,0,SUMPRODUCT(('Detailed Gantt'!$B$6:$B$27=B4)*'Detailed Gantt'!$F$6:$F$27*'Detailed Gantt'!$L$6:$L$27)/C4)</x:f>
        <x:v>1</x:v>
      </x:c>
      <x:c r="F4" s="138">
        <x:v>46202</x:v>
      </x:c>
      <x:c r="G4" s="138">
        <x:v>46215</x:v>
      </x:c>
      <x:c r="H4" s="141" t="s">
        <x:v>19</x:v>
      </x:c>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row>
    <x:row r="5" ht="15">
      <x:c r="A5" s="141" t="s">
        <x:v>22</x:v>
      </x:c>
      <x:c r="B5" s="146" t="s">
        <x:v>23</x:v>
      </x:c>
      <x:c r="C5" s="68">
        <x:v>24</x:v>
      </x:c>
      <x:c r="D5" s="68" t="n">
        <x:f>SUMIF('Detailed Gantt'!$B$6:$B$27,B5,'Detailed Gantt'!$M$6:$M$27)</x:f>
        <x:v>4.9</x:v>
      </x:c>
      <x:c r="E5" s="143" t="n">
        <x:f>IF(C5=0,0,SUMPRODUCT(('Detailed Gantt'!$B$6:$B$27=B5)*'Detailed Gantt'!$F$6:$F$27*'Detailed Gantt'!$L$6:$L$27)/C5)</x:f>
        <x:v>1</x:v>
      </x:c>
      <x:c r="F5" s="138">
        <x:v>46209</x:v>
      </x:c>
      <x:c r="G5" s="138">
        <x:v>46229</x:v>
      </x:c>
      <x:c r="H5" s="141" t="s">
        <x:v>24</x:v>
      </x:c>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row>
    <x:row r="6" ht="15">
      <x:c r="A6" s="141" t="s">
        <x:v>26</x:v>
      </x:c>
      <x:c r="B6" s="147" t="s">
        <x:v>27</x:v>
      </x:c>
      <x:c r="C6" s="68">
        <x:v>14</x:v>
      </x:c>
      <x:c r="D6" s="68" t="n">
        <x:f>SUMIF('Detailed Gantt'!$B$6:$B$27,B6,'Detailed Gantt'!$M$6:$M$27)</x:f>
        <x:v>1.5799999999999998</x:v>
      </x:c>
      <x:c r="E6" s="143" t="n">
        <x:f>IF(C6=0,0,SUMPRODUCT(('Detailed Gantt'!$B$6:$B$27=B6)*'Detailed Gantt'!$F$6:$F$27*'Detailed Gantt'!$L$6:$L$27)/C6)</x:f>
        <x:v>1</x:v>
      </x:c>
      <x:c r="F6" s="138">
        <x:v>46230</x:v>
      </x:c>
      <x:c r="G6" s="138">
        <x:v>46236</x:v>
      </x:c>
      <x:c r="H6" s="141" t="s">
        <x:v>28</x:v>
      </x:c>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row>
    <x:row r="7" ht="15">
      <x:c r="A7" s="141" t="s">
        <x:v>30</x:v>
      </x:c>
      <x:c r="B7" s="148" t="s">
        <x:v>31</x:v>
      </x:c>
      <x:c r="C7" s="68">
        <x:v>14</x:v>
      </x:c>
      <x:c r="D7" s="68" t="n">
        <x:f>SUMIF('Detailed Gantt'!$B$6:$B$27,B7,'Detailed Gantt'!$M$6:$M$27)</x:f>
        <x:v>1.97</x:v>
      </x:c>
      <x:c r="E7" s="143" t="n">
        <x:f>IF(C7=0,0,SUMPRODUCT(('Detailed Gantt'!$B$6:$B$27=B7)*'Detailed Gantt'!$F$6:$F$27*'Detailed Gantt'!$L$6:$L$27)/C7)</x:f>
        <x:v>1</x:v>
      </x:c>
      <x:c r="F7" s="138">
        <x:v>46209</x:v>
      </x:c>
      <x:c r="G7" s="138">
        <x:v>46243</x:v>
      </x:c>
      <x:c r="H7" s="141" t="s">
        <x:v>32</x:v>
      </x:c>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row>
    <x:row r="8" ht="15">
      <x:c r="A8" s="141" t="s">
        <x:v>34</x:v>
      </x:c>
      <x:c r="B8" s="149" t="s">
        <x:v>35</x:v>
      </x:c>
      <x:c r="C8" s="68">
        <x:v>8</x:v>
      </x:c>
      <x:c r="D8" s="68" t="n">
        <x:f>SUMIF('Detailed Gantt'!$B$6:$B$27,B8,'Detailed Gantt'!$M$6:$M$27)</x:f>
        <x:v>0.72</x:v>
      </x:c>
      <x:c r="E8" s="143" t="n">
        <x:f>IF(C8=0,0,SUMPRODUCT(('Detailed Gantt'!$B$6:$B$27=B8)*'Detailed Gantt'!$F$6:$F$27*'Detailed Gantt'!$L$6:$L$27)/C8)</x:f>
        <x:v>1</x:v>
      </x:c>
      <x:c r="F8" s="138">
        <x:v>46223</x:v>
      </x:c>
      <x:c r="G8" s="138">
        <x:v>46250</x:v>
      </x:c>
      <x:c r="H8" s="141" t="s">
        <x:v>36</x:v>
      </x:c>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row>
    <x:row r="9" ht="15">
      <x:c r="A9" s="141" t="s">
        <x:v>38</x:v>
      </x:c>
      <x:c r="B9" s="150" t="s">
        <x:v>39</x:v>
      </x:c>
      <x:c r="C9" s="68">
        <x:v>8</x:v>
      </x:c>
      <x:c r="D9" s="68" t="n">
        <x:f>SUMIF('Detailed Gantt'!$B$6:$B$27,B9,'Detailed Gantt'!$M$6:$M$27)</x:f>
        <x:v>0.6699999999999999</x:v>
      </x:c>
      <x:c r="E9" s="143" t="n">
        <x:f>IF(C9=0,0,SUMPRODUCT(('Detailed Gantt'!$B$6:$B$27=B9)*'Detailed Gantt'!$F$6:$F$27*'Detailed Gantt'!$L$6:$L$27)/C9)</x:f>
        <x:v>1</x:v>
      </x:c>
      <x:c r="F9" s="138">
        <x:v>46244</x:v>
      </x:c>
      <x:c r="G9" s="138">
        <x:v>46257</x:v>
      </x:c>
      <x:c r="H9" s="141" t="str">
        <x:v>Gate 6 — MVP v0.2.0 release</x:v>
      </x:c>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row>
    <x:row r="10" ht="15">
      <x:c r="A10" s="134" t="s">
        <x:v>149</x:v>
      </x:c>
      <x:c r="B10" s="134"/>
      <x:c r="C10" s="136" t="n">
        <x:f>SUM(C4:C9)</x:f>
        <x:v>76</x:v>
      </x:c>
      <x:c r="D10" s="136" t="n">
        <x:f>SUM(D4:D9)</x:f>
        <x:v>17.39</x:v>
      </x:c>
      <x:c r="E10" s="144" t="n">
        <x:f>SUMPRODUCT(C4:C9,E4:E9)/C10</x:f>
        <x:v>1</x:v>
      </x:c>
      <x:c r="F10" s="135"/>
      <x:c r="G10" s="134"/>
      <x:c r="H10" s="134"/>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row>
    <x:row r="11" ht="15">
      <x:c r="A11" s="54"/>
      <x:c r="B11" s="64"/>
      <x:c r="C11" s="56"/>
      <x:c r="D11" s="62"/>
      <x:c r="E11" s="55"/>
      <x:c r="F11" s="63"/>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row>
    <x:row r="12" ht="15">
      <x:c r="A12" s="223"/>
      <x:c r="B12" s="224"/>
      <x:c r="C12" s="19"/>
      <x:c r="D12" s="20"/>
      <x:c r="E12" s="19"/>
      <x:c r="F12" s="2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row>
    <x:row r="13" ht="15">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row>
    <x:row r="14" ht="15">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row>
    <x:row r="15" ht="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row>
    <x:row r="16" ht="15">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row>
    <x:row r="17" ht="15">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row>
    <x:row r="18" ht="15">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row>
    <x:row r="19" ht="15">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row>
    <x:row r="20" ht="15">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row>
    <x:row r="21" ht="15">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row>
    <x:row r="22" ht="15">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row>
    <x:row r="23" ht="15">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row>
    <x:row r="24" ht="15">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row>
    <x:row r="25" ht="1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row>
    <x:row r="26" ht="15">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row>
    <x:row r="27" ht="15">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row>
    <x:row r="28" ht="15">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row>
    <x:row r="29" ht="15">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row>
    <x:row r="30" ht="15">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row>
    <x:row r="31" ht="15">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row>
    <x:row r="32" ht="15">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row>
    <x:row r="33" ht="15">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row>
    <x:row r="34" ht="15">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row>
    <x:row r="35" ht="1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row>
    <x:row r="36" ht="15">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row>
    <x:row r="37" ht="15">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row>
    <x:row r="38" ht="15">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row>
    <x:row r="39" ht="15">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row>
    <x:row r="40" ht="15">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row>
    <x:row r="41" ht="15">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c r="BA41" s="1"/>
      <x:c r="BB41" s="1"/>
      <x:c r="BC41" s="1"/>
      <x:c r="BD41" s="1"/>
      <x:c r="BE41" s="1"/>
      <x:c r="BF41" s="1"/>
      <x:c r="BG41" s="1"/>
      <x:c r="BH41" s="1"/>
      <x:c r="BI41" s="1"/>
      <x:c r="BJ41" s="1"/>
      <x:c r="BK41" s="1"/>
      <x:c r="BL41" s="1"/>
      <x:c r="BM41" s="1"/>
      <x:c r="BN41" s="1"/>
      <x:c r="BO41" s="1"/>
      <x:c r="BP41" s="1"/>
      <x:c r="BQ41" s="1"/>
    </x:row>
    <x:row r="42" ht="15">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row>
    <x:row r="43" ht="15">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row>
    <x:row r="44" ht="15">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row>
    <x:row r="45" ht="1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row>
    <x:row r="46" ht="15">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row>
    <x:row r="47" ht="15">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row>
    <x:row r="48" ht="15">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row>
    <x:row r="49" ht="15">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row>
    <x:row r="50" ht="15">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row>
    <x:row r="51" ht="15">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row>
    <x:row r="52" ht="15">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row>
    <x:row r="53" ht="15">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row>
    <x:row r="54" ht="15">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row>
    <x:row r="55" ht="1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row>
    <x:row r="56" ht="15">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row>
    <x:row r="57" ht="15">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row>
    <x:row r="58" ht="15">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row>
    <x:row r="59" ht="15">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row>
    <x:row r="60" ht="15">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row>
    <x:row r="61" ht="15">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row>
    <x:row r="62" ht="15">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row>
    <x:row r="63" ht="15">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row>
    <x:row r="64" ht="15">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row>
    <x:row r="65" ht="1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row>
    <x:row r="66" ht="15">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row>
    <x:row r="67" ht="15">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row>
    <x:row r="68" ht="15">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row>
    <x:row r="69" ht="15">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row>
    <x:row r="70" ht="1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row>
    <x:row r="71" ht="15">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row>
    <x:row r="72" ht="15">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row>
    <x:row r="73" ht="1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row>
    <x:row r="74" ht="15">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row>
    <x:row r="75" ht="1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row>
    <x:row r="76" ht="15">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row>
    <x:row r="77" ht="15">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row>
    <x:row r="78" ht="15">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row>
    <x:row r="79" ht="15">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row>
    <x:row r="80" ht="15">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row>
    <x:row r="81" ht="15">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row>
    <x:row r="82" ht="15">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row>
    <x:row r="83" ht="15">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row>
    <x:row r="84" ht="15">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row>
    <x:row r="85" ht="1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row>
    <x:row r="86" ht="15">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row>
    <x:row r="87" ht="15">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row>
    <x:row r="88" ht="15">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row>
    <x:row r="89" ht="15">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row>
    <x:row r="90" ht="15">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row>
    <x:row r="91" ht="15">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row>
    <x:row r="92" ht="1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row>
    <x:row r="93" ht="15">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row>
    <x:row r="94" ht="15">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row>
    <x:row r="95" ht="1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row>
    <x:row r="96" ht="15">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row>
    <x:row r="97" ht="15">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row>
    <x:row r="98" ht="15">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row>
    <x:row r="99" ht="15">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row>
    <x:row r="100" ht="15">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row>
  </x:sheetData>
  <x:mergeCells>
    <x:mergeCell ref="A1:H1"/>
    <x:mergeCell ref="A12:B12"/>
  </x:mergeCells>
  <x:pageMargins left="0.7" right="0.7" top="0.75" bottom="0.75" header="0.3" footer="0.3"/>
  <x:drawing xmlns:r="http://schemas.openxmlformats.org/officeDocument/2006/relationships" r:id="Rd2e3261a08a54a5c"/>
</x:worksheet>
</file>

<file path=xl/worksheets/sheet6.xml><?xml version="1.0" encoding="utf-8"?>
<x:worksheet xmlns:x="http://schemas.openxmlformats.org/spreadsheetml/2006/main">
  <x:sheetFormatPr defaultRowHeight="14.25"/>
  <x:cols>
    <x:col min="1" max="1" width="11" customWidth="1"/>
    <x:col min="2" max="2" width="12" customWidth="1"/>
    <x:col min="3" max="4" width="13" customWidth="1"/>
    <x:col min="5" max="5" width="48" customWidth="1"/>
    <x:col min="6" max="7" width="36" customWidth="1"/>
  </x:cols>
  <x:sheetData>
    <x:row r="1" ht="27.950000762939453" customHeight="1">
      <x:c r="A1" s="204" t="s">
        <x:v>150</x:v>
      </x:c>
      <x:c r="B1" s="205"/>
      <x:c r="C1" s="205"/>
      <x:c r="D1" s="205"/>
      <x:c r="E1" s="205"/>
      <x:c r="F1" s="205"/>
      <x:c r="G1" s="205"/>
      <x:c r="H1" s="76"/>
      <x:c r="I1" s="65"/>
      <x:c r="J1" s="65"/>
      <x:c r="K1" s="65"/>
      <x:c r="L1" s="65"/>
      <x:c r="M1" s="65"/>
      <x:c r="N1" s="65"/>
      <x:c r="O1" s="65"/>
      <x:c r="P1" s="65"/>
      <x:c r="Q1" s="65"/>
      <x:c r="R1" s="65"/>
      <x:c r="S1" s="65"/>
      <x:c r="T1" s="65"/>
      <x:c r="U1" s="65"/>
      <x:c r="V1" s="65"/>
      <x:c r="W1" s="65"/>
      <x:c r="X1" s="65"/>
      <x:c r="Y1" s="65"/>
      <x:c r="Z1" s="65"/>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row>
    <x:row r="2" ht="15">
      <x:c r="A2" s="1"/>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row>
    <x:row r="3" ht="15.75">
      <x:c r="A3" s="206" t="s">
        <x:v>151</x:v>
      </x:c>
      <x:c r="B3" s="207"/>
      <x:c r="C3" s="207"/>
      <x:c r="D3" s="207"/>
      <x:c r="E3" s="207"/>
      <x:c r="F3" s="207"/>
      <x:c r="G3" s="207"/>
      <x:c r="H3" s="2"/>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row>
    <x:row r="4" ht="135">
      <x:c r="A4" s="151" t="s">
        <x:v>152</x:v>
      </x:c>
      <x:c r="B4" s="3" t="s">
        <x:v>153</x:v>
      </x:c>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row>
    <x:row r="5" ht="81">
      <x:c r="A5" s="151" t="s">
        <x:v>154</x:v>
      </x:c>
      <x:c r="B5" s="3" t="s">
        <x:v>155</x:v>
      </x:c>
      <x:c r="C5" s="1"/>
      <x:c r="D5" s="1"/>
      <x:c r="E5" s="1"/>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row>
    <x:row r="6" ht="108">
      <x:c r="A6" s="151" t="s">
        <x:v>156</x:v>
      </x:c>
      <x:c r="B6" s="3" t="s">
        <x:v>157</x:v>
      </x:c>
      <x:c r="C6" s="1"/>
      <x:c r="D6" s="1"/>
      <x:c r="E6" s="1"/>
      <x:c r="F6" s="1"/>
      <x:c r="G6" s="1"/>
      <x:c r="H6" s="1"/>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row>
    <x:row r="7" ht="135">
      <x:c r="A7" s="151" t="s">
        <x:v>158</x:v>
      </x:c>
      <x:c r="B7" s="3" t="s">
        <x:v>159</x:v>
      </x:c>
      <x:c r="C7" s="1"/>
      <x:c r="D7" s="1"/>
      <x:c r="E7" s="1"/>
      <x:c r="F7" s="1"/>
      <x:c r="G7" s="1"/>
      <x:c r="H7" s="1"/>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row>
    <x:row r="8" ht="67.5">
      <x:c r="A8" s="151" t="s">
        <x:v>160</x:v>
      </x:c>
      <x:c r="B8" s="3" t="s">
        <x:v>161</x:v>
      </x:c>
      <x:c r="C8" s="1"/>
      <x:c r="D8" s="1"/>
      <x:c r="E8" s="1"/>
      <x:c r="F8" s="1"/>
      <x:c r="G8" s="1"/>
      <x:c r="H8" s="1"/>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row>
    <x:row r="9" ht="135">
      <x:c r="A9" s="151" t="s">
        <x:v>162</x:v>
      </x:c>
      <x:c r="B9" s="3" t="s">
        <x:v>163</x:v>
      </x:c>
      <x:c r="C9" s="1"/>
      <x:c r="D9" s="1"/>
      <x:c r="E9" s="1"/>
      <x:c r="F9" s="1"/>
      <x:c r="G9" s="1"/>
      <x:c r="H9" s="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row>
    <x:row r="10" ht="108">
      <x:c r="A10" s="151" t="s">
        <x:v>164</x:v>
      </x:c>
      <x:c r="B10" s="3" t="str">
        <x:v>Prospective work-block time tracking was waived by the user on 2026-07-15. Preserve historical values; do not request, estimate, or backfill new durations.</x:v>
      </x:c>
      <x:c r="C10" s="1"/>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row>
    <x:row r="11" ht="175.5">
      <x:c r="A11" s="151" t="s">
        <x:v>165</x:v>
      </x:c>
      <x:c r="B11" s="3" t="s">
        <x:v>166</x:v>
      </x:c>
      <x:c r="C11" s="1"/>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row>
    <x:row r="12" ht="175.5">
      <x:c r="A12" s="153" t="s">
        <x:v>167</x:v>
      </x:c>
      <x:c r="B12" s="141" t="s">
        <x:v>168</x:v>
      </x:c>
      <x:c r="C12" s="1"/>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row>
    <x:row r="13" ht="162">
      <x:c r="A13" s="153" t="s">
        <x:v>169</x:v>
      </x:c>
      <x:c r="B13" s="141" t="s">
        <x:v>170</x:v>
      </x:c>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row>
    <x:row r="14" ht="175.5">
      <x:c r="A14" s="152" t="s">
        <x:v>171</x:v>
      </x:c>
      <x:c r="B14" s="4" t="s">
        <x:v>172</x:v>
      </x:c>
      <x:c r="C14" s="4"/>
      <x:c r="D14" s="4"/>
      <x:c r="E14" s="4"/>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row>
    <x:row r="15" ht="44.099998474121094" customHeight="1">
      <x:c r="A15" s="192" t="s">
        <x:v>173</x:v>
      </x:c>
      <x:c r="B15" s="194" t="s">
        <x:v>174</x:v>
      </x:c>
      <x:c r="C15" s="7"/>
      <x:c r="D15" s="6"/>
      <x:c r="E15" s="8"/>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row>
    <x:row r="16" ht="44.099998474121094" customHeight="1">
      <x:c r="A16" s="193" t="s">
        <x:v>175</x:v>
      </x:c>
      <x:c r="B16" s="195" t="s">
        <x:v>176</x:v>
      </x:c>
      <x:c r="C16" s="7"/>
      <x:c r="D16" s="6"/>
      <x:c r="E16" s="8"/>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row>
    <x:row r="17" ht="15">
      <x:c r="A17" s="214" t="s">
        <x:v>177</x:v>
      </x:c>
      <x:c r="B17" s="225"/>
      <x:c r="C17" s="226"/>
      <x:c r="D17" s="225"/>
      <x:c r="E17" s="227"/>
      <x:c r="F17" s="216"/>
      <x:c r="G17" s="216"/>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row>
    <x:row r="18" ht="15">
      <x:c r="A18" s="88" t="s">
        <x:v>148</x:v>
      </x:c>
      <x:c r="B18" s="88" t="s">
        <x:v>178</x:v>
      </x:c>
      <x:c r="C18" s="118" t="s">
        <x:v>179</x:v>
      </x:c>
      <x:c r="D18" s="88" t="s">
        <x:v>56</x:v>
      </x:c>
      <x:c r="E18" s="88" t="s">
        <x:v>180</x:v>
      </x:c>
      <x:c r="F18" s="88" t="s">
        <x:v>181</x:v>
      </x:c>
      <x:c r="G18" s="88" t="s">
        <x:v>182</x:v>
      </x:c>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row>
    <x:row r="19" ht="27">
      <x:c r="A19" s="155" t="s">
        <x:v>183</x:v>
      </x:c>
      <x:c r="B19" s="3">
        <x:v>2</x:v>
      </x:c>
      <x:c r="C19" s="124">
        <x:v>46215</x:v>
      </x:c>
      <x:c r="D19" s="3" t="s">
        <x:v>184</x:v>
      </x:c>
      <x:c r="E19" s="3" t="s">
        <x:v>185</x:v>
      </x:c>
      <x:c r="F19" s="141" t="s">
        <x:v>186</x:v>
      </x:c>
      <x:c r="G19" s="141" t="s">
        <x:v>187</x:v>
      </x:c>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row>
    <x:row r="20" ht="27">
      <x:c r="A20" s="155" t="s">
        <x:v>188</x:v>
      </x:c>
      <x:c r="B20" s="3">
        <x:v>2</x:v>
      </x:c>
      <x:c r="C20" s="124">
        <x:v>46215</x:v>
      </x:c>
      <x:c r="D20" s="3" t="str">
        <x:v>Passed</x:v>
      </x:c>
      <x:c r="E20" s="3" t="str">
        <x:v>Candidate artifact contract and loader work for MECH-002 with controlled errors.</x:v>
      </x:c>
      <x:c r="F20" s="141" t="str">
        <x:v>PR #6 / merge c419dc3; 31 tests</x:v>
      </x:c>
      <x:c r="G20" s="141" t="str">
        <x:v>Gate accepted. Mandatory gates and deterministic checks followed.</x:v>
      </x:c>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row>
    <x:row r="21" ht="27">
      <x:c r="A21" s="155" t="s">
        <x:v>189</x:v>
      </x:c>
      <x:c r="B21" s="3">
        <x:v>4</x:v>
      </x:c>
      <x:c r="C21" s="124">
        <x:v>46229</x:v>
      </x:c>
      <x:c r="D21" s="3" t="str">
        <x:v>Passed</x:v>
      </x:c>
      <x:c r="E21" s="3" t="str">
        <x:v>Mandatory gates, deterministic checks, weighted score, failure modes, and evidence work end-to-end.</x:v>
      </x:c>
      <x:c r="F21" s="141" t="str">
        <x:v>WBS 1.1–1.5 merged; PR #10 / merge 27a8e59; 77 tests; src/mech_eval_harness/scoring.py</x:v>
      </x:c>
      <x:c r="G21" s="141" t="str">
        <x:v>Gate accepted. Authorize WBS 2.1 evaluate CLI integration.</x:v>
      </x:c>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row>
    <x:row r="22" ht="27">
      <x:c r="A22" s="155" t="s">
        <x:v>190</x:v>
      </x:c>
      <x:c r="B22" s="3">
        <x:v>5</x:v>
      </x:c>
      <x:c r="C22" s="124">
        <x:v>46236</x:v>
      </x:c>
      <x:c r="D22" s="3" t="str">
        <x:v>Passed</x:v>
      </x:c>
      <x:c r="E22" s="3" t="str">
        <x:v>evaluate CLI writes immutable structured results for example artifacts.</x:v>
      </x:c>
      <x:c r="F22" s="141" t="str">
        <x:v>WBS 2.1–2.4 merged; PR #14 / merge 7e38b3f; 99 tests; EV-016 through EV-019; installed CLI pass/fail smoke tests</x:v>
      </x:c>
      <x:c r="G22" s="141" t="str">
        <x:v>Gate accepted. Authorize WBS 3.1 independent engineering verification of the three seed cases.</x:v>
      </x:c>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row>
    <x:row r="23" ht="27">
      <x:c r="A23" s="141" t="s">
        <x:v>191</x:v>
      </x:c>
      <x:c r="B23" s="141">
        <x:v>6</x:v>
      </x:c>
      <x:c r="C23" s="138">
        <x:v>46243</x:v>
      </x:c>
      <x:c r="D23" s="141" t="str">
        <x:v>Passed</x:v>
      </x:c>
      <x:c r="E23" s="141" t="str">
        <x:v>Five reviewed cases, held-out split, and reproducible baseline benchmark exist.</x:v>
      </x:c>
      <x:c r="F23" s="141" t="str">
        <x:v>e0746d7; PR #18 merged; scripts/run_mvp_baseline.py; evidence/mvp_v1_baseline/{summary.json,report.md}; 9 raw result records; 120 tests</x:v>
      </x:c>
      <x:c r="G23" s="141" t="str">
        <x:v>Gate accepted. Authorize release hardening beginning with WBS 4.2 GitHub Actions CI.</x:v>
      </x:c>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row>
    <x:row r="24" ht="27">
      <x:c r="A24" s="141" t="s">
        <x:v>192</x:v>
      </x:c>
      <x:c r="B24" s="141">
        <x:v>7</x:v>
      </x:c>
      <x:c r="C24" s="138">
        <x:v>46250</x:v>
      </x:c>
      <x:c r="D24" s="141" t="str">
        <x:v>Passed</x:v>
      </x:c>
      <x:c r="E24" s="141" t="str">
        <x:v>CI is green; README and architecture match implementation; portfolio demo works.</x:v>
      </x:c>
      <x:c r="F24" s="141" t="str">
        <x:v>PR #19 / merge 5dc3f41; .github/workflows/ci.yml; controlled red/green CI runs; PR #20 / merge 2b98214; README.md; docs/architecture.md; PR #21 / merge c15393d; scripts/run_portfolio_demo.py; evidence/portfolio_demo/report.md; five-case validation; 121 tests; EV-024; EV-025; EV-026</x:v>
      </x:c>
      <x:c r="G24" s="141" t="str">
        <x:v>Gate accepted. WBS 5.2 release notes and limitations are complete at v0.2.0. Authorize WBS 5.3 final acceptance and v0.2.0 tag.</x:v>
      </x:c>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row>
    <x:row r="25" ht="27">
      <x:c r="A25" s="141" t="s">
        <x:v>193</x:v>
      </x:c>
      <x:c r="B25" s="141">
        <x:v>8</x:v>
      </x:c>
      <x:c r="C25" s="138">
        <x:v>46257</x:v>
      </x:c>
      <x:c r="D25" s="141" t="str">
        <x:v>Passed</x:v>
      </x:c>
      <x:c r="E25" s="141" t="str">
        <x:v>Clean acceptance run passed; limitations are explicit; package, result, and documentation versions agree; MVP v0.2.0 is tagged.</x:v>
      </x:c>
      <x:c r="F25" s="141" t="str">
        <x:v>v0.2.0; accepted commit 45336a2; tag object 8d426d2; pyproject.toml 0.2.0; clean Python 3.12.6 install; five cases; 121 tests; baseline 9/9; demo 2/2; 11 generated results at 0.2.0; evidence/final_acceptance_v0.2.0/{report.md,summary.json}; EV-028</x:v>
      </x:c>
      <x:c r="G25" s="141" t="str">
        <x:v>Gate accepted. MVP v0.2.0 is released. Freeze the baseline and select the next capability through a separate post-MVP decision block.</x:v>
      </x:c>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row>
    <x:row r="26" ht="15">
      <x:c r="A26" s="2"/>
      <x:c r="B26" s="2"/>
      <x:c r="C26" s="2"/>
      <x:c r="D26" s="2"/>
      <x:c r="E26" s="2"/>
      <x:c r="F26" s="2"/>
      <x:c r="G26" s="2"/>
      <x:c r="H26" s="2"/>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row>
    <x:row r="27" ht="15">
      <x:c r="A27" s="69"/>
      <x:c r="B27" s="70"/>
      <x:c r="C27" s="70"/>
      <x:c r="D27" s="70"/>
      <x:c r="E27" s="70"/>
      <x:c r="F27" s="70"/>
      <x:c r="G27" s="70"/>
      <x:c r="H27" s="7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row>
    <x:row r="28" ht="15">
      <x:c r="A28" s="214" t="s">
        <x:v>194</x:v>
      </x:c>
      <x:c r="B28" s="228"/>
      <x:c r="C28" s="228"/>
      <x:c r="D28" s="228"/>
      <x:c r="E28" s="228"/>
      <x:c r="F28" s="228"/>
      <x:c r="G28" s="228"/>
      <x:c r="H28" s="73"/>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row>
    <x:row r="29" ht="15">
      <x:c r="A29" s="229" t="str">
        <x:v>Do not silently add scope or extend the schedule. Record a decision when a gate slips, forecast finish moves by more than one week, benchmark or acceptance criteria change, or a deferred capability is pulled into the MVP. First protect the working evaluation flow and release evidence.</x:v>
      </x:c>
      <x:c r="B29" s="229"/>
      <x:c r="C29" s="229"/>
      <x:c r="D29" s="229"/>
      <x:c r="E29" s="229"/>
      <x:c r="F29" s="229"/>
      <x:c r="G29" s="229"/>
      <x:c r="H29" s="73"/>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row>
    <x:row r="30" ht="15">
      <x:c r="A30" s="229"/>
      <x:c r="B30" s="229"/>
      <x:c r="C30" s="229"/>
      <x:c r="D30" s="229"/>
      <x:c r="E30" s="229"/>
      <x:c r="F30" s="229"/>
      <x:c r="G30" s="229"/>
      <x:c r="H30" s="75"/>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row>
    <x:row r="31" ht="15">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row>
    <x:row r="32" ht="15">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row>
    <x:row r="33" ht="15">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row>
    <x:row r="34" ht="15">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row>
    <x:row r="35" ht="1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row>
    <x:row r="36" ht="15">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row>
    <x:row r="37" ht="15">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row>
    <x:row r="38" ht="15">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row>
    <x:row r="39" ht="15">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row>
    <x:row r="40" ht="15">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row>
    <x:row r="41" ht="15">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c r="BA41" s="1"/>
      <x:c r="BB41" s="1"/>
      <x:c r="BC41" s="1"/>
      <x:c r="BD41" s="1"/>
      <x:c r="BE41" s="1"/>
      <x:c r="BF41" s="1"/>
      <x:c r="BG41" s="1"/>
      <x:c r="BH41" s="1"/>
      <x:c r="BI41" s="1"/>
      <x:c r="BJ41" s="1"/>
      <x:c r="BK41" s="1"/>
      <x:c r="BL41" s="1"/>
      <x:c r="BM41" s="1"/>
      <x:c r="BN41" s="1"/>
      <x:c r="BO41" s="1"/>
      <x:c r="BP41" s="1"/>
      <x:c r="BQ41" s="1"/>
    </x:row>
    <x:row r="42" ht="15">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row>
    <x:row r="43" ht="15">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row>
    <x:row r="44" ht="15">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row>
    <x:row r="45" ht="1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row>
    <x:row r="46" ht="15">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row>
    <x:row r="47" ht="15">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row>
    <x:row r="48" ht="15">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row>
    <x:row r="49" ht="15">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row>
    <x:row r="50" ht="15">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row>
    <x:row r="51" ht="15">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row>
    <x:row r="52" ht="15">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row>
    <x:row r="53" ht="15">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row>
    <x:row r="54" ht="15">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row>
    <x:row r="55" ht="1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row>
    <x:row r="56" ht="15">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row>
    <x:row r="57" ht="15">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row>
    <x:row r="58" ht="15">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row>
    <x:row r="59" ht="15">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row>
    <x:row r="60" ht="15">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row>
    <x:row r="61" ht="15">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row>
    <x:row r="62" ht="15">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row>
    <x:row r="63" ht="15">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row>
    <x:row r="64" ht="15">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row>
    <x:row r="65" ht="1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row>
    <x:row r="66" ht="15">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row>
    <x:row r="67" ht="15">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row>
    <x:row r="68" ht="15">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row>
    <x:row r="69" ht="15">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row>
    <x:row r="70" ht="1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row>
    <x:row r="71" ht="15">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row>
    <x:row r="72" ht="15">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row>
    <x:row r="73" ht="1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row>
    <x:row r="74" ht="15">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row>
    <x:row r="75" ht="1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row>
    <x:row r="76" ht="15">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row>
    <x:row r="77" ht="15">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row>
    <x:row r="78" ht="15">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row>
    <x:row r="79" ht="15">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row>
    <x:row r="80" ht="15">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row>
    <x:row r="81" ht="15">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row>
    <x:row r="82" ht="15">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row>
    <x:row r="83" ht="15">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row>
    <x:row r="84" ht="15">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row>
    <x:row r="85" ht="1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row>
    <x:row r="86" ht="15">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row>
    <x:row r="87" ht="15">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row>
    <x:row r="88" ht="15">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row>
    <x:row r="89" ht="15">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row>
    <x:row r="90" ht="15">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row>
    <x:row r="91" ht="15">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row>
    <x:row r="92" ht="1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row>
    <x:row r="93" ht="15">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row>
    <x:row r="94" ht="15">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row>
    <x:row r="95" ht="1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row>
    <x:row r="96" ht="15">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row>
    <x:row r="97" ht="15">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row>
    <x:row r="98" ht="15">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row>
    <x:row r="99" ht="15">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row>
    <x:row r="100" ht="15">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row>
  </x:sheetData>
  <x:mergeCells>
    <x:mergeCell ref="A1:G1"/>
    <x:mergeCell ref="A3:G3"/>
    <x:mergeCell ref="A17:G17"/>
    <x:mergeCell ref="A28:G28"/>
    <x:mergeCell ref="A29:G30"/>
  </x:mergeCells>
  <x:dataValidations count="1">
    <x:dataValidation type="list" sqref="D19:D25">
      <x:formula1>"Planned,In Progress,Passed,Failed,Deferred"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4.25"/>
  <x:cols>
    <x:col min="1" max="1" width="42" customWidth="1"/>
    <x:col min="2" max="2" width="52" customWidth="1"/>
    <x:col min="3" max="3" width="18" customWidth="1"/>
    <x:col min="4" max="5" width="34" customWidth="1"/>
  </x:cols>
  <x:sheetData>
    <x:row r="1" ht="27.950000762939453" customHeight="1">
      <x:c r="A1" s="204" t="str">
        <x:v>Planning Sources and Design Rationale — Updated for GPT-5.6 and v0.3.0</x:v>
      </x:c>
      <x:c r="B1" s="205"/>
      <x:c r="C1" s="205"/>
      <x:c r="D1" s="205"/>
      <x:c r="E1" s="230"/>
      <x:c r="F1" s="65"/>
      <x:c r="G1" s="65"/>
      <x:c r="H1" s="65"/>
      <x:c r="I1" s="65"/>
      <x:c r="J1" s="65"/>
      <x:c r="K1" s="65"/>
      <x:c r="L1" s="65"/>
      <x:c r="M1" s="65"/>
      <x:c r="N1" s="65"/>
      <x:c r="O1" s="65"/>
      <x:c r="P1" s="65"/>
      <x:c r="Q1" s="65"/>
      <x:c r="R1" s="65"/>
      <x:c r="S1" s="65"/>
      <x:c r="T1" s="65"/>
      <x:c r="U1" s="65"/>
      <x:c r="V1" s="65"/>
      <x:c r="W1" s="65"/>
      <x:c r="X1" s="65"/>
      <x:c r="Y1" s="65"/>
      <x:c r="Z1" s="65"/>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row>
    <x:row r="2" ht="15">
      <x:c r="A2" s="1"/>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row>
    <x:row r="3" ht="15">
      <x:c r="A3" s="494" t="s">
        <x:v>195</x:v>
      </x:c>
      <x:c r="B3" s="494" t="s">
        <x:v>196</x:v>
      </x:c>
      <x:c r="C3" s="494" t="s">
        <x:v>197</x:v>
      </x:c>
      <x:c r="D3" s="494" t="s">
        <x:v>198</x:v>
      </x:c>
      <x:c r="E3" s="494" t="s">
        <x:v>199</x:v>
      </x:c>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row>
    <x:row r="4" ht="27">
      <x:c r="A4" s="438" t="s">
        <x:v>200</x:v>
      </x:c>
      <x:c r="B4" s="438" t="s">
        <x:v>201</x:v>
      </x:c>
      <x:c r="C4" s="438" t="s">
        <x:v>202</x:v>
      </x:c>
      <x:c r="D4" s="438" t="s">
        <x:v>203</x:v>
      </x:c>
      <x:c r="E4" s="448" t="s">
        <x:v>204</x:v>
      </x:c>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row>
    <x:row r="5" ht="27">
      <x:c r="A5" s="438" t="s">
        <x:v>205</x:v>
      </x:c>
      <x:c r="B5" s="438" t="s">
        <x:v>206</x:v>
      </x:c>
      <x:c r="C5" s="438" t="s">
        <x:v>202</x:v>
      </x:c>
      <x:c r="D5" s="438" t="str">
        <x:v>gantt_v0.3_package_assurance_pilot.xlsx</x:v>
      </x:c>
      <x:c r="E5" s="448" t="s">
        <x:v>207</x:v>
      </x:c>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row>
    <x:row r="6" ht="27">
      <x:c r="A6" s="438" t="s">
        <x:v>208</x:v>
      </x:c>
      <x:c r="B6" s="438" t="s">
        <x:v>209</x:v>
      </x:c>
      <x:c r="C6" s="438" t="s">
        <x:v>210</x:v>
      </x:c>
      <x:c r="D6" s="438" t="s">
        <x:v>211</x:v>
      </x:c>
      <x:c r="E6" s="448" t="s">
        <x:v>212</x:v>
      </x:c>
      <x:c r="F6" s="1"/>
      <x:c r="G6" s="1"/>
      <x:c r="H6" s="1"/>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row>
    <x:row r="7" ht="27">
      <x:c r="A7" s="438" t="s">
        <x:v>213</x:v>
      </x:c>
      <x:c r="B7" s="438" t="s">
        <x:v>214</x:v>
      </x:c>
      <x:c r="C7" s="438" t="s">
        <x:v>215</x:v>
      </x:c>
      <x:c r="D7" s="438" t="s">
        <x:v>216</x:v>
      </x:c>
      <x:c r="E7" s="448" t="s">
        <x:v>217</x:v>
      </x:c>
      <x:c r="F7" s="1"/>
      <x:c r="G7" s="1"/>
      <x:c r="H7" s="1"/>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row>
    <x:row r="8" ht="40.5">
      <x:c r="A8" s="438" t="s">
        <x:v>218</x:v>
      </x:c>
      <x:c r="B8" s="438" t="s">
        <x:v>219</x:v>
      </x:c>
      <x:c r="C8" s="438" t="s">
        <x:v>215</x:v>
      </x:c>
      <x:c r="D8" s="438" t="s">
        <x:v>216</x:v>
      </x:c>
      <x:c r="E8" s="448" t="s">
        <x:v>220</x:v>
      </x:c>
      <x:c r="F8" s="1"/>
      <x:c r="G8" s="1"/>
      <x:c r="H8" s="1"/>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row>
    <x:row r="9" ht="27">
      <x:c r="A9" s="438" t="s">
        <x:v>221</x:v>
      </x:c>
      <x:c r="B9" s="438" t="s">
        <x:v>222</x:v>
      </x:c>
      <x:c r="C9" s="438" t="s">
        <x:v>223</x:v>
      </x:c>
      <x:c r="D9" s="438" t="s">
        <x:v>224</x:v>
      </x:c>
      <x:c r="E9" s="448" t="s">
        <x:v>225</x:v>
      </x:c>
      <x:c r="F9" s="1"/>
      <x:c r="G9" s="1"/>
      <x:c r="H9" s="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row>
    <x:row r="10" ht="27">
      <x:c r="A10" s="448" t="s">
        <x:v>226</x:v>
      </x:c>
      <x:c r="B10" s="448" t="s">
        <x:v>227</x:v>
      </x:c>
      <x:c r="C10" s="448" t="s">
        <x:v>223</x:v>
      </x:c>
      <x:c r="D10" s="448" t="s">
        <x:v>228</x:v>
      </x:c>
      <x:c r="E10" s="448" t="s">
        <x:v>229</x:v>
      </x:c>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row>
    <x:row r="11" ht="27">
      <x:c r="A11" s="448" t="s">
        <x:v>230</x:v>
      </x:c>
      <x:c r="B11" s="448" t="s">
        <x:v>231</x:v>
      </x:c>
      <x:c r="C11" s="448" t="s">
        <x:v>223</x:v>
      </x:c>
      <x:c r="D11" s="448" t="s">
        <x:v>232</x:v>
      </x:c>
      <x:c r="E11" s="448" t="s">
        <x:v>229</x:v>
      </x:c>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row>
    <x:row r="12" ht="27">
      <x:c r="A12" s="448" t="s">
        <x:v>233</x:v>
      </x:c>
      <x:c r="B12" s="448" t="s">
        <x:v>234</x:v>
      </x:c>
      <x:c r="C12" s="448" t="s">
        <x:v>215</x:v>
      </x:c>
      <x:c r="D12" s="448" t="s">
        <x:v>216</x:v>
      </x:c>
      <x:c r="E12" s="448" t="s">
        <x:v>235</x:v>
      </x:c>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row>
    <x:row r="13" ht="56" customHeight="1">
      <x:c r="A13" s="448" t="str">
        <x:v>GPT-5.6: Frontier intelligence that scales with your ambition</x:v>
      </x:c>
      <x:c r="B13" s="448" t="str">
        <x:v>Supports stronger long-horizon coding, professional knowledge work, tool coordination, computer use, and artifact production; changes the execution model, not the need for independent evaluation.</x:v>
      </x:c>
      <x:c r="C13" s="448" t="str">
        <x:v>Official OpenAI source</x:v>
      </x:c>
      <x:c r="D13" s="705" t="str">
        <x:v>https://openai.com/index/gpt-5-6/</x:v>
      </x:c>
      <x:c r="E13" s="448" t="str">
        <x:v>Use for capability planning; do not treat benchmark gains as proof of this project’s workflow performance.</x:v>
      </x:c>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row>
    <x:row r="14" ht="56" customHeight="1">
      <x:c r="A14" s="448" t="str">
        <x:v>GPT-5.6 System Card</x:v>
      </x:c>
      <x:c r="B14" s="448" t="str">
        <x:v>Adds the control requirement that long-trajectory coding agents be supervised because stronger persistence can also produce unauthorized actions or overclaim completion.</x:v>
      </x:c>
      <x:c r="C14" s="448" t="str">
        <x:v>Official OpenAI safety source</x:v>
      </x:c>
      <x:c r="D14" s="705" t="str">
        <x:v>https://deploymentsafety.openai.com/gpt-5-6</x:v>
      </x:c>
      <x:c r="E14" s="448" t="str">
        <x:v>Direct operating-control influence: explicit permissions, isolated worktrees, verification, and approval gates.</x:v>
      </x:c>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row>
    <x:row r="15" ht="56" customHeight="1">
      <x:c r="A15" s="448" t="str">
        <x:v>Codex in ChatGPT</x:v>
      </x:c>
      <x:c r="B15" s="448" t="str">
        <x:v>Supports end-to-end engineering work, worktrees, multi-agent workflows, reusable skills, testing, and code review.</x:v>
      </x:c>
      <x:c r="C15" s="448" t="str">
        <x:v>Official OpenAI product source</x:v>
      </x:c>
      <x:c r="D15" s="705" t="str">
        <x:v>https://openai.com/codex/</x:v>
      </x:c>
      <x:c r="E15" s="448" t="str">
        <x:v>Use only for bounded repo work; no autonomous merge or overlap across parallel workstreams.</x:v>
      </x:c>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row>
    <x:row r="16" ht="56" customHeight="1">
      <x:c r="A16" s="448" t="str">
        <x:v>Harness Project Strategy Discussion — 2026-07-10</x:v>
      </x:c>
      <x:c r="B16" s="448" t="str">
        <x:v>Records the decision that the harness is not obsolete, selects the package consistency audit, and defines service-first commercial direction and explicit result states.</x:v>
      </x:c>
      <x:c r="C16" s="448" t="str">
        <x:v>Project strategy</x:v>
      </x:c>
      <x:c r="D16" s="448" t="str">
        <x:v>harness_strategy_chat_2026-07-10.md</x:v>
      </x:c>
      <x:c r="E16" s="448" t="str">
        <x:v>Immediate strategic input for v0.3.0.</x:v>
      </x:c>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row>
    <x:row r="17" ht="15">
      <x:c r="A17" s="141"/>
      <x:c r="B17" s="141"/>
      <x:c r="C17" s="141"/>
      <x:c r="D17" s="141"/>
      <x:c r="E17" s="14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row>
    <x:row r="18" ht="15">
      <x:c r="A18" s="141"/>
      <x:c r="B18" s="141"/>
      <x:c r="C18" s="141"/>
      <x:c r="D18" s="141"/>
      <x:c r="E18" s="14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row>
    <x:row r="19" ht="15">
      <x:c r="A19" s="141"/>
      <x:c r="B19" s="141"/>
      <x:c r="C19" s="141"/>
      <x:c r="D19" s="141"/>
      <x:c r="E19" s="141"/>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row>
    <x:row r="20" ht="15">
      <x:c r="A20" s="141"/>
      <x:c r="B20" s="141"/>
      <x:c r="C20" s="141"/>
      <x:c r="D20" s="141"/>
      <x:c r="E20" s="141"/>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row>
    <x:row r="21" ht="15">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row>
    <x:row r="22" ht="15">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row>
    <x:row r="23" ht="15">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row>
    <x:row r="24" ht="15">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row>
    <x:row r="25" ht="1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row>
    <x:row r="26" ht="15">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row>
    <x:row r="27" ht="15">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row>
    <x:row r="28" ht="15">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row>
    <x:row r="29" ht="15">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row>
    <x:row r="30" ht="15">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row>
    <x:row r="31" ht="15">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row>
    <x:row r="32" ht="15">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row>
    <x:row r="33" ht="15">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row>
    <x:row r="34" ht="15">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row>
    <x:row r="35" ht="1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row>
    <x:row r="36" ht="15">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row>
    <x:row r="37" ht="15">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row>
    <x:row r="38" ht="15">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row>
    <x:row r="39" ht="15">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row>
    <x:row r="40" ht="15">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row>
    <x:row r="41" ht="15">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c r="BA41" s="1"/>
      <x:c r="BB41" s="1"/>
      <x:c r="BC41" s="1"/>
      <x:c r="BD41" s="1"/>
      <x:c r="BE41" s="1"/>
      <x:c r="BF41" s="1"/>
      <x:c r="BG41" s="1"/>
      <x:c r="BH41" s="1"/>
      <x:c r="BI41" s="1"/>
      <x:c r="BJ41" s="1"/>
      <x:c r="BK41" s="1"/>
      <x:c r="BL41" s="1"/>
      <x:c r="BM41" s="1"/>
      <x:c r="BN41" s="1"/>
      <x:c r="BO41" s="1"/>
      <x:c r="BP41" s="1"/>
      <x:c r="BQ41" s="1"/>
    </x:row>
    <x:row r="42" ht="15">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row>
    <x:row r="43" ht="15">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row>
    <x:row r="44" ht="15">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row>
    <x:row r="45" ht="1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row>
    <x:row r="46" ht="15">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row>
    <x:row r="47" ht="15">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row>
    <x:row r="48" ht="15">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row>
    <x:row r="49" ht="15">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row>
    <x:row r="50" ht="15">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row>
    <x:row r="51" ht="15">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row>
    <x:row r="52" ht="15">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row>
    <x:row r="53" ht="15">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row>
    <x:row r="54" ht="15">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row>
    <x:row r="55" ht="1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row>
    <x:row r="56" ht="15">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row>
    <x:row r="57" ht="15">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row>
    <x:row r="58" ht="15">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row>
    <x:row r="59" ht="15">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row>
    <x:row r="60" ht="15">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row>
    <x:row r="61" ht="15">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row>
    <x:row r="62" ht="15">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row>
    <x:row r="63" ht="15">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row>
    <x:row r="64" ht="15">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row>
    <x:row r="65" ht="1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row>
    <x:row r="66" ht="15">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row>
    <x:row r="67" ht="15">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row>
    <x:row r="68" ht="15">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row>
    <x:row r="69" ht="15">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row>
    <x:row r="70" ht="1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row>
    <x:row r="71" ht="15">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row>
    <x:row r="72" ht="15">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row>
    <x:row r="73" ht="1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row>
    <x:row r="74" ht="15">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row>
    <x:row r="75" ht="1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row>
    <x:row r="76" ht="15">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row>
    <x:row r="77" ht="15">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row>
    <x:row r="78" ht="15">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row>
    <x:row r="79" ht="15">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row>
    <x:row r="80" ht="15">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row>
    <x:row r="81" ht="15">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row>
    <x:row r="82" ht="15">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row>
    <x:row r="83" ht="15">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row>
    <x:row r="84" ht="15">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row>
    <x:row r="85" ht="1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row>
    <x:row r="86" ht="15">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row>
    <x:row r="87" ht="15">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row>
    <x:row r="88" ht="15">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row>
    <x:row r="89" ht="15">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row>
    <x:row r="90" ht="15">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row>
    <x:row r="91" ht="15">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row>
    <x:row r="92" ht="1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row>
    <x:row r="93" ht="15">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row>
    <x:row r="94" ht="15">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row>
    <x:row r="95" ht="1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row>
    <x:row r="96" ht="15">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row>
    <x:row r="97" ht="15">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row>
    <x:row r="98" ht="15">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row>
    <x:row r="99" ht="15">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row>
    <x:row r="100" ht="15">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row>
  </x:sheetData>
  <x:mergeCells>
    <x:mergeCell ref="A1:E1"/>
  </x:mergeCells>
  <x:pageMargins left="0.7" right="0.7" top="0.75" bottom="0.75" header="0.3" footer="0.3"/>
</x:worksheet>
</file>

<file path=xl/worksheets/sheet8.xml><?xml version="1.0" encoding="utf-8"?>
<x:worksheet xmlns:x="http://schemas.openxmlformats.org/spreadsheetml/2006/main">
  <x:sheetFormatPr defaultRowHeight="14.25"/>
  <x:cols>
    <x:col min="1" max="1" width="10" customWidth="1"/>
    <x:col min="2" max="2" width="28" customWidth="1"/>
    <x:col min="3" max="3" width="34" customWidth="1"/>
    <x:col min="4" max="4" width="42" customWidth="1"/>
    <x:col min="5" max="20" width="13" customWidth="1"/>
  </x:cols>
  <x:sheetData>
    <x:row r="1" ht="27.950000762939453" customHeight="1">
      <x:c r="A1" s="231" t="s">
        <x:v>236</x:v>
      </x:c>
      <x:c r="B1" s="232"/>
      <x:c r="C1" s="232"/>
      <x:c r="D1" s="232"/>
      <x:c r="E1" s="232"/>
      <x:c r="F1" s="232"/>
      <x:c r="G1" s="232"/>
      <x:c r="H1" s="232"/>
      <x:c r="I1" s="232"/>
      <x:c r="J1" s="232"/>
      <x:c r="K1" s="232"/>
      <x:c r="L1" s="232"/>
      <x:c r="M1" s="232"/>
      <x:c r="N1" s="232"/>
      <x:c r="O1" s="232"/>
      <x:c r="P1" s="232"/>
      <x:c r="Q1" s="232"/>
      <x:c r="R1" s="232"/>
      <x:c r="S1" s="232"/>
      <x:c r="T1" s="232"/>
    </x:row>
    <x:row r="2">
      <x:c r="A2" s="233" t="s">
        <x:v>237</x:v>
      </x:c>
      <x:c r="B2" s="233"/>
      <x:c r="C2" s="233"/>
      <x:c r="D2" s="233"/>
      <x:c r="E2" s="233"/>
      <x:c r="F2" s="233"/>
      <x:c r="G2" s="233"/>
      <x:c r="H2" s="233"/>
      <x:c r="I2" s="233"/>
      <x:c r="J2" s="233"/>
      <x:c r="K2" s="233"/>
      <x:c r="L2" s="233"/>
      <x:c r="M2" s="233"/>
      <x:c r="N2" s="233"/>
      <x:c r="O2" s="233"/>
      <x:c r="P2" s="233"/>
      <x:c r="Q2" s="233"/>
      <x:c r="R2" s="233"/>
      <x:c r="S2" s="233"/>
      <x:c r="T2" s="233"/>
    </x:row>
    <x:row r="4">
      <x:c r="A4" t="s">
        <x:v>42</x:v>
      </x:c>
      <x:c r="C4">
        <x:v>46202</x:v>
      </x:c>
      <x:c r="D4" t="s">
        <x:v>43</x:v>
      </x:c>
      <x:c r="G4">
        <x:v>576</x:v>
      </x:c>
      <x:c r="H4" t="s">
        <x:v>238</x:v>
      </x:c>
      <x:c r="L4" t="s">
        <x:v>239</x:v>
      </x:c>
    </x:row>
    <x:row r="6">
      <x:c r="A6" t="s">
        <x:v>240</x:v>
      </x:c>
      <x:c r="C6" t="s">
        <x:v>241</x:v>
      </x:c>
    </x:row>
    <x:row r="8">
      <x:c r="A8" t="s">
        <x:v>48</x:v>
      </x:c>
      <x:c r="B8" t="s">
        <x:v>1</x:v>
      </x:c>
      <x:c r="C8" t="s">
        <x:v>49</x:v>
      </x:c>
      <x:c r="D8" t="s">
        <x:v>50</x:v>
      </x:c>
      <x:c r="E8" t="s">
        <x:v>51</x:v>
      </x:c>
      <x:c r="F8" t="s">
        <x:v>2</x:v>
      </x:c>
      <x:c r="G8" t="s">
        <x:v>52</x:v>
      </x:c>
      <x:c r="H8" t="s">
        <x:v>53</x:v>
      </x:c>
      <x:c r="I8" t="s">
        <x:v>242</x:v>
      </x:c>
      <x:c r="J8" t="s">
        <x:v>54</x:v>
      </x:c>
      <x:c r="K8" t="s">
        <x:v>55</x:v>
      </x:c>
      <x:c r="L8" t="s">
        <x:v>56</x:v>
      </x:c>
      <x:c r="M8" t="s">
        <x:v>4</x:v>
      </x:c>
      <x:c r="N8" t="s">
        <x:v>3</x:v>
      </x:c>
      <x:c r="O8" t="s">
        <x:v>58</x:v>
      </x:c>
      <x:c r="P8" t="s">
        <x:v>57</x:v>
      </x:c>
      <x:c r="Q8" t="s">
        <x:v>61</x:v>
      </x:c>
    </x:row>
    <x:row r="9">
      <x:c r="A9" t="s">
        <x:v>62</x:v>
      </x:c>
      <x:c r="B9" t="s">
        <x:v>243</x:v>
      </x:c>
      <x:c r="C9" t="s">
        <x:v>244</x:v>
      </x:c>
      <x:c r="D9" t="s">
        <x:v>245</x:v>
      </x:c>
      <x:c r="E9" t="s">
        <x:v>65</x:v>
      </x:c>
      <x:c r="F9">
        <x:v>4</x:v>
      </x:c>
      <x:c r="G9">
        <x:v>1</x:v>
      </x:c>
      <x:c r="H9">
        <x:v>1</x:v>
      </x:c>
      <x:c r="I9">
        <x:v>1</x:v>
      </x:c>
      <x:c r="J9">
        <x:v>46202</x:v>
      </x:c>
      <x:c r="K9">
        <x:v>46208</x:v>
      </x:c>
      <x:c r="L9" t="s">
        <x:v>246</x:v>
      </x:c>
      <x:c r="M9">
        <x:v>1</x:v>
      </x:c>
      <x:c r="N9">
        <x:v>1.5</x:v>
      </x:c>
      <x:c r="O9">
        <x:v>-2.5</x:v>
      </x:c>
      <x:c r="P9">
        <x:v>0</x:v>
      </x:c>
      <x:c r="Q9" t="s">
        <x:v>247</x:v>
      </x:c>
    </x:row>
    <x:row r="10">
      <x:c r="A10" t="s">
        <x:v>68</x:v>
      </x:c>
      <x:c r="B10" t="s">
        <x:v>243</x:v>
      </x:c>
      <x:c r="C10" t="s">
        <x:v>248</x:v>
      </x:c>
      <x:c r="D10" t="s">
        <x:v>249</x:v>
      </x:c>
      <x:c r="E10" t="s">
        <x:v>62</x:v>
      </x:c>
      <x:c r="F10">
        <x:v>4</x:v>
      </x:c>
      <x:c r="G10">
        <x:v>1</x:v>
      </x:c>
      <x:c r="H10">
        <x:v>1</x:v>
      </x:c>
      <x:c r="I10">
        <x:v>1</x:v>
      </x:c>
      <x:c r="J10">
        <x:v>46202</x:v>
      </x:c>
      <x:c r="K10">
        <x:v>46208</x:v>
      </x:c>
      <x:c r="L10" t="s">
        <x:v>246</x:v>
      </x:c>
      <x:c r="M10">
        <x:v>1</x:v>
      </x:c>
      <x:c r="P10">
        <x:v>0</x:v>
      </x:c>
      <x:c r="Q10" t="s">
        <x:v>250</x:v>
      </x:c>
    </x:row>
    <x:row r="11">
      <x:c r="A11" t="s">
        <x:v>73</x:v>
      </x:c>
      <x:c r="B11" t="s">
        <x:v>243</x:v>
      </x:c>
      <x:c r="C11" t="s">
        <x:v>251</x:v>
      </x:c>
      <x:c r="D11" t="s">
        <x:v>252</x:v>
      </x:c>
      <x:c r="E11" t="s">
        <x:v>62</x:v>
      </x:c>
      <x:c r="F11">
        <x:v>4</x:v>
      </x:c>
      <x:c r="G11">
        <x:v>1</x:v>
      </x:c>
      <x:c r="H11">
        <x:v>2</x:v>
      </x:c>
      <x:c r="I11">
        <x:v>2</x:v>
      </x:c>
      <x:c r="J11">
        <x:v>46202</x:v>
      </x:c>
      <x:c r="K11">
        <x:v>46215</x:v>
      </x:c>
      <x:c r="L11" t="s">
        <x:v>253</x:v>
      </x:c>
      <x:c r="M11">
        <x:v>0.5</x:v>
      </x:c>
      <x:c r="P11">
        <x:v>2</x:v>
      </x:c>
      <x:c r="Q11" t="s">
        <x:v>254</x:v>
      </x:c>
    </x:row>
    <x:row r="12">
      <x:c r="A12" t="s">
        <x:v>255</x:v>
      </x:c>
      <x:c r="B12" t="s">
        <x:v>243</x:v>
      </x:c>
      <x:c r="C12" t="s">
        <x:v>256</x:v>
      </x:c>
      <x:c r="D12" t="s">
        <x:v>257</x:v>
      </x:c>
      <x:c r="E12" t="s">
        <x:v>68</x:v>
      </x:c>
      <x:c r="F12">
        <x:v>4</x:v>
      </x:c>
      <x:c r="G12">
        <x:v>2</x:v>
      </x:c>
      <x:c r="H12">
        <x:v>2</x:v>
      </x:c>
      <x:c r="I12">
        <x:v>1</x:v>
      </x:c>
      <x:c r="J12">
        <x:v>46209</x:v>
      </x:c>
      <x:c r="K12">
        <x:v>46215</x:v>
      </x:c>
      <x:c r="L12" t="s">
        <x:v>142</x:v>
      </x:c>
      <x:c r="M12">
        <x:v>0</x:v>
      </x:c>
      <x:c r="P12">
        <x:v>4</x:v>
      </x:c>
    </x:row>
    <x:row r="13">
      <x:c r="A13" t="s">
        <x:v>258</x:v>
      </x:c>
      <x:c r="B13" t="s">
        <x:v>243</x:v>
      </x:c>
      <x:c r="C13" t="s">
        <x:v>259</x:v>
      </x:c>
      <x:c r="D13" t="s">
        <x:v>260</x:v>
      </x:c>
      <x:c r="E13" t="s">
        <x:v>255</x:v>
      </x:c>
      <x:c r="F13">
        <x:v>12</x:v>
      </x:c>
      <x:c r="G13">
        <x:v>1</x:v>
      </x:c>
      <x:c r="H13">
        <x:v>52</x:v>
      </x:c>
      <x:c r="I13">
        <x:v>52</x:v>
      </x:c>
      <x:c r="J13">
        <x:v>46202</x:v>
      </x:c>
      <x:c r="K13">
        <x:v>46565</x:v>
      </x:c>
      <x:c r="L13" t="s">
        <x:v>253</x:v>
      </x:c>
      <x:c r="M13">
        <x:v>0.02</x:v>
      </x:c>
      <x:c r="P13">
        <x:v>11.76</x:v>
      </x:c>
      <x:c r="Q13" t="s">
        <x:v>261</x:v>
      </x:c>
    </x:row>
    <x:row r="14">
      <x:c r="A14" t="s">
        <x:v>262</x:v>
      </x:c>
      <x:c r="B14" t="s">
        <x:v>243</x:v>
      </x:c>
      <x:c r="C14" t="s">
        <x:v>263</x:v>
      </x:c>
      <x:c r="D14" t="s">
        <x:v>264</x:v>
      </x:c>
      <x:c r="E14" t="s">
        <x:v>255</x:v>
      </x:c>
      <x:c r="F14">
        <x:v>6</x:v>
      </x:c>
      <x:c r="G14">
        <x:v>4</x:v>
      </x:c>
      <x:c r="H14">
        <x:v>52</x:v>
      </x:c>
      <x:c r="I14">
        <x:v>49</x:v>
      </x:c>
      <x:c r="J14">
        <x:v>46223</x:v>
      </x:c>
      <x:c r="K14">
        <x:v>46565</x:v>
      </x:c>
      <x:c r="L14" t="s">
        <x:v>142</x:v>
      </x:c>
      <x:c r="M14">
        <x:v>0</x:v>
      </x:c>
      <x:c r="P14">
        <x:v>6</x:v>
      </x:c>
    </x:row>
    <x:row r="15">
      <x:c r="A15" t="s">
        <x:v>265</x:v>
      </x:c>
      <x:c r="B15" t="s">
        <x:v>243</x:v>
      </x:c>
      <x:c r="C15" t="s">
        <x:v>266</x:v>
      </x:c>
      <x:c r="D15" t="s">
        <x:v>267</x:v>
      </x:c>
      <x:c r="E15" t="s">
        <x:v>255</x:v>
      </x:c>
      <x:c r="F15">
        <x:v>6</x:v>
      </x:c>
      <x:c r="G15">
        <x:v>9</x:v>
      </x:c>
      <x:c r="H15">
        <x:v>52</x:v>
      </x:c>
      <x:c r="I15">
        <x:v>44</x:v>
      </x:c>
      <x:c r="J15">
        <x:v>46258</x:v>
      </x:c>
      <x:c r="K15">
        <x:v>46565</x:v>
      </x:c>
      <x:c r="L15" t="s">
        <x:v>142</x:v>
      </x:c>
      <x:c r="M15">
        <x:v>0</x:v>
      </x:c>
      <x:c r="P15">
        <x:v>6</x:v>
      </x:c>
    </x:row>
    <x:row r="16">
      <x:c r="A16" t="s">
        <x:v>78</x:v>
      </x:c>
      <x:c r="B16" t="s">
        <x:v>268</x:v>
      </x:c>
      <x:c r="C16" t="s">
        <x:v>269</x:v>
      </x:c>
      <x:c r="D16" t="s">
        <x:v>270</x:v>
      </x:c>
      <x:c r="E16" t="s">
        <x:v>73</x:v>
      </x:c>
      <x:c r="F16">
        <x:v>8</x:v>
      </x:c>
      <x:c r="G16">
        <x:v>3</x:v>
      </x:c>
      <x:c r="H16">
        <x:v>3</x:v>
      </x:c>
      <x:c r="I16">
        <x:v>1</x:v>
      </x:c>
      <x:c r="J16">
        <x:v>46216</x:v>
      </x:c>
      <x:c r="K16">
        <x:v>46222</x:v>
      </x:c>
      <x:c r="L16" t="s">
        <x:v>142</x:v>
      </x:c>
      <x:c r="M16">
        <x:v>0</x:v>
      </x:c>
      <x:c r="P16">
        <x:v>8</x:v>
      </x:c>
    </x:row>
    <x:row r="17">
      <x:c r="A17" t="s">
        <x:v>81</x:v>
      </x:c>
      <x:c r="B17" t="s">
        <x:v>268</x:v>
      </x:c>
      <x:c r="C17" t="s">
        <x:v>271</x:v>
      </x:c>
      <x:c r="D17" t="s">
        <x:v>272</x:v>
      </x:c>
      <x:c r="E17" t="s">
        <x:v>78</x:v>
      </x:c>
      <x:c r="F17">
        <x:v>6</x:v>
      </x:c>
      <x:c r="G17">
        <x:v>3</x:v>
      </x:c>
      <x:c r="H17">
        <x:v>4</x:v>
      </x:c>
      <x:c r="I17">
        <x:v>2</x:v>
      </x:c>
      <x:c r="J17">
        <x:v>46216</x:v>
      </x:c>
      <x:c r="K17">
        <x:v>46229</x:v>
      </x:c>
      <x:c r="L17" t="s">
        <x:v>142</x:v>
      </x:c>
      <x:c r="M17">
        <x:v>0</x:v>
      </x:c>
      <x:c r="P17">
        <x:v>6</x:v>
      </x:c>
    </x:row>
    <x:row r="18">
      <x:c r="A18" t="s">
        <x:v>84</x:v>
      </x:c>
      <x:c r="B18" t="s">
        <x:v>268</x:v>
      </x:c>
      <x:c r="C18" t="s">
        <x:v>273</x:v>
      </x:c>
      <x:c r="D18" t="s">
        <x:v>274</x:v>
      </x:c>
      <x:c r="E18" t="s">
        <x:v>81</x:v>
      </x:c>
      <x:c r="F18">
        <x:v>14</x:v>
      </x:c>
      <x:c r="G18">
        <x:v>4</x:v>
      </x:c>
      <x:c r="H18">
        <x:v>5</x:v>
      </x:c>
      <x:c r="I18">
        <x:v>2</x:v>
      </x:c>
      <x:c r="J18">
        <x:v>46223</x:v>
      </x:c>
      <x:c r="K18">
        <x:v>46236</x:v>
      </x:c>
      <x:c r="L18" t="s">
        <x:v>142</x:v>
      </x:c>
      <x:c r="M18">
        <x:v>0</x:v>
      </x:c>
      <x:c r="P18">
        <x:v>14</x:v>
      </x:c>
    </x:row>
    <x:row r="19">
      <x:c r="A19" t="s">
        <x:v>87</x:v>
      </x:c>
      <x:c r="B19" t="s">
        <x:v>268</x:v>
      </x:c>
      <x:c r="C19" t="s">
        <x:v>275</x:v>
      </x:c>
      <x:c r="D19" t="s">
        <x:v>276</x:v>
      </x:c>
      <x:c r="E19" t="s">
        <x:v>84</x:v>
      </x:c>
      <x:c r="F19">
        <x:v>18</x:v>
      </x:c>
      <x:c r="G19">
        <x:v>5</x:v>
      </x:c>
      <x:c r="H19">
        <x:v>7</x:v>
      </x:c>
      <x:c r="I19">
        <x:v>3</x:v>
      </x:c>
      <x:c r="J19">
        <x:v>46230</x:v>
      </x:c>
      <x:c r="K19">
        <x:v>46250</x:v>
      </x:c>
      <x:c r="L19" t="s">
        <x:v>142</x:v>
      </x:c>
      <x:c r="M19">
        <x:v>0</x:v>
      </x:c>
      <x:c r="P19">
        <x:v>18</x:v>
      </x:c>
    </x:row>
    <x:row r="20">
      <x:c r="A20" t="s">
        <x:v>90</x:v>
      </x:c>
      <x:c r="B20" t="s">
        <x:v>268</x:v>
      </x:c>
      <x:c r="C20" t="s">
        <x:v>277</x:v>
      </x:c>
      <x:c r="D20" t="s">
        <x:v>278</x:v>
      </x:c>
      <x:c r="E20" t="s">
        <x:v>87</x:v>
      </x:c>
      <x:c r="F20">
        <x:v>6</x:v>
      </x:c>
      <x:c r="G20">
        <x:v>7</x:v>
      </x:c>
      <x:c r="H20">
        <x:v>8</x:v>
      </x:c>
      <x:c r="I20">
        <x:v>2</x:v>
      </x:c>
      <x:c r="J20">
        <x:v>46244</x:v>
      </x:c>
      <x:c r="K20">
        <x:v>46257</x:v>
      </x:c>
      <x:c r="L20" t="s">
        <x:v>142</x:v>
      </x:c>
      <x:c r="M20">
        <x:v>0</x:v>
      </x:c>
      <x:c r="P20">
        <x:v>6</x:v>
      </x:c>
    </x:row>
    <x:row r="21">
      <x:c r="A21" t="s">
        <x:v>279</x:v>
      </x:c>
      <x:c r="B21" t="s">
        <x:v>268</x:v>
      </x:c>
      <x:c r="C21" t="s">
        <x:v>280</x:v>
      </x:c>
      <x:c r="D21" t="s">
        <x:v>281</x:v>
      </x:c>
      <x:c r="E21" t="s">
        <x:v>90</x:v>
      </x:c>
      <x:c r="F21">
        <x:v>6</x:v>
      </x:c>
      <x:c r="G21">
        <x:v>8</x:v>
      </x:c>
      <x:c r="H21">
        <x:v>8</x:v>
      </x:c>
      <x:c r="I21">
        <x:v>1</x:v>
      </x:c>
      <x:c r="J21">
        <x:v>46251</x:v>
      </x:c>
      <x:c r="K21">
        <x:v>46257</x:v>
      </x:c>
      <x:c r="L21" t="s">
        <x:v>142</x:v>
      </x:c>
      <x:c r="M21">
        <x:v>0</x:v>
      </x:c>
      <x:c r="P21">
        <x:v>6</x:v>
      </x:c>
    </x:row>
    <x:row r="22">
      <x:c r="A22" t="s">
        <x:v>282</x:v>
      </x:c>
      <x:c r="B22" t="s">
        <x:v>268</x:v>
      </x:c>
      <x:c r="C22" t="s">
        <x:v>283</x:v>
      </x:c>
      <x:c r="D22" t="s">
        <x:v>284</x:v>
      </x:c>
      <x:c r="E22" t="s">
        <x:v>279</x:v>
      </x:c>
      <x:c r="F22">
        <x:v>6</x:v>
      </x:c>
      <x:c r="G22">
        <x:v>9</x:v>
      </x:c>
      <x:c r="H22">
        <x:v>9</x:v>
      </x:c>
      <x:c r="I22">
        <x:v>1</x:v>
      </x:c>
      <x:c r="J22">
        <x:v>46258</x:v>
      </x:c>
      <x:c r="K22">
        <x:v>46264</x:v>
      </x:c>
      <x:c r="L22" t="s">
        <x:v>142</x:v>
      </x:c>
      <x:c r="M22">
        <x:v>0</x:v>
      </x:c>
      <x:c r="P22">
        <x:v>6</x:v>
      </x:c>
    </x:row>
    <x:row r="23">
      <x:c r="A23" t="s">
        <x:v>94</x:v>
      </x:c>
      <x:c r="B23" t="s">
        <x:v>285</x:v>
      </x:c>
      <x:c r="C23" t="s">
        <x:v>286</x:v>
      </x:c>
      <x:c r="D23" t="s">
        <x:v>287</x:v>
      </x:c>
      <x:c r="E23" t="s">
        <x:v>282</x:v>
      </x:c>
      <x:c r="F23">
        <x:v>10</x:v>
      </x:c>
      <x:c r="G23">
        <x:v>10</x:v>
      </x:c>
      <x:c r="H23">
        <x:v>10</x:v>
      </x:c>
      <x:c r="I23">
        <x:v>1</x:v>
      </x:c>
      <x:c r="J23">
        <x:v>46265</x:v>
      </x:c>
      <x:c r="K23">
        <x:v>46271</x:v>
      </x:c>
      <x:c r="L23" t="s">
        <x:v>253</x:v>
      </x:c>
      <x:c r="M23">
        <x:v>0.2</x:v>
      </x:c>
      <x:c r="P23">
        <x:v>8</x:v>
      </x:c>
      <x:c r="Q23" t="s">
        <x:v>288</x:v>
      </x:c>
    </x:row>
    <x:row r="24">
      <x:c r="A24" t="s">
        <x:v>97</x:v>
      </x:c>
      <x:c r="B24" t="s">
        <x:v>285</x:v>
      </x:c>
      <x:c r="C24" t="s">
        <x:v>289</x:v>
      </x:c>
      <x:c r="D24" t="s">
        <x:v>290</x:v>
      </x:c>
      <x:c r="E24" t="s">
        <x:v>94</x:v>
      </x:c>
      <x:c r="F24">
        <x:v>12</x:v>
      </x:c>
      <x:c r="G24">
        <x:v>10</x:v>
      </x:c>
      <x:c r="H24">
        <x:v>11</x:v>
      </x:c>
      <x:c r="I24">
        <x:v>2</x:v>
      </x:c>
      <x:c r="J24">
        <x:v>46265</x:v>
      </x:c>
      <x:c r="K24">
        <x:v>46278</x:v>
      </x:c>
      <x:c r="L24" t="s">
        <x:v>253</x:v>
      </x:c>
      <x:c r="M24">
        <x:v>0.15</x:v>
      </x:c>
      <x:c r="N24">
        <x:v>0.62</x:v>
      </x:c>
      <x:c r="O24">
        <x:v>-11.38</x:v>
      </x:c>
      <x:c r="P24">
        <x:v>10.199999999999999</x:v>
      </x:c>
      <x:c r="Q24" t="s">
        <x:v>291</x:v>
      </x:c>
    </x:row>
    <x:row r="25">
      <x:c r="A25" t="s">
        <x:v>100</x:v>
      </x:c>
      <x:c r="B25" t="s">
        <x:v>285</x:v>
      </x:c>
      <x:c r="C25" t="s">
        <x:v>292</x:v>
      </x:c>
      <x:c r="D25" t="s">
        <x:v>293</x:v>
      </x:c>
      <x:c r="E25" t="s">
        <x:v>97</x:v>
      </x:c>
      <x:c r="F25">
        <x:v>14</x:v>
      </x:c>
      <x:c r="G25">
        <x:v>11</x:v>
      </x:c>
      <x:c r="H25">
        <x:v>12</x:v>
      </x:c>
      <x:c r="I25">
        <x:v>2</x:v>
      </x:c>
      <x:c r="J25">
        <x:v>46272</x:v>
      </x:c>
      <x:c r="K25">
        <x:v>46285</x:v>
      </x:c>
      <x:c r="L25" t="s">
        <x:v>246</x:v>
      </x:c>
      <x:c r="M25">
        <x:v>1</x:v>
      </x:c>
      <x:c r="P25">
        <x:v>0</x:v>
      </x:c>
      <x:c r="Q25" t="s">
        <x:v>294</x:v>
      </x:c>
    </x:row>
    <x:row r="26">
      <x:c r="A26" t="s">
        <x:v>103</x:v>
      </x:c>
      <x:c r="B26" t="s">
        <x:v>285</x:v>
      </x:c>
      <x:c r="C26" t="s">
        <x:v>295</x:v>
      </x:c>
      <x:c r="D26" t="s">
        <x:v>296</x:v>
      </x:c>
      <x:c r="E26" t="s">
        <x:v>100</x:v>
      </x:c>
      <x:c r="F26">
        <x:v>10</x:v>
      </x:c>
      <x:c r="G26">
        <x:v>12</x:v>
      </x:c>
      <x:c r="H26">
        <x:v>13</x:v>
      </x:c>
      <x:c r="I26">
        <x:v>2</x:v>
      </x:c>
      <x:c r="J26">
        <x:v>46279</x:v>
      </x:c>
      <x:c r="K26">
        <x:v>46292</x:v>
      </x:c>
      <x:c r="L26" t="s">
        <x:v>142</x:v>
      </x:c>
      <x:c r="M26">
        <x:v>0</x:v>
      </x:c>
      <x:c r="P26">
        <x:v>10</x:v>
      </x:c>
    </x:row>
    <x:row r="27">
      <x:c r="A27" t="s">
        <x:v>297</x:v>
      </x:c>
      <x:c r="B27" t="s">
        <x:v>285</x:v>
      </x:c>
      <x:c r="C27" t="s">
        <x:v>298</x:v>
      </x:c>
      <x:c r="D27" t="s">
        <x:v>299</x:v>
      </x:c>
      <x:c r="E27" t="s">
        <x:v>100</x:v>
      </x:c>
      <x:c r="F27">
        <x:v>10</x:v>
      </x:c>
      <x:c r="G27">
        <x:v>13</x:v>
      </x:c>
      <x:c r="H27">
        <x:v>14</x:v>
      </x:c>
      <x:c r="I27">
        <x:v>2</x:v>
      </x:c>
      <x:c r="J27">
        <x:v>46286</x:v>
      </x:c>
      <x:c r="K27">
        <x:v>46299</x:v>
      </x:c>
      <x:c r="L27" t="s">
        <x:v>142</x:v>
      </x:c>
      <x:c r="M27">
        <x:v>0</x:v>
      </x:c>
      <x:c r="P27">
        <x:v>10</x:v>
      </x:c>
    </x:row>
    <x:row r="28">
      <x:c r="A28" t="s">
        <x:v>300</x:v>
      </x:c>
      <x:c r="B28" t="s">
        <x:v>285</x:v>
      </x:c>
      <x:c r="C28" t="s">
        <x:v>301</x:v>
      </x:c>
      <x:c r="D28" t="s">
        <x:v>302</x:v>
      </x:c>
      <x:c r="E28" t="s">
        <x:v>103</x:v>
      </x:c>
      <x:c r="F28">
        <x:v>8</x:v>
      </x:c>
      <x:c r="G28">
        <x:v>14</x:v>
      </x:c>
      <x:c r="H28">
        <x:v>15</x:v>
      </x:c>
      <x:c r="I28">
        <x:v>2</x:v>
      </x:c>
      <x:c r="J28">
        <x:v>46293</x:v>
      </x:c>
      <x:c r="K28">
        <x:v>46306</x:v>
      </x:c>
      <x:c r="L28" t="s">
        <x:v>142</x:v>
      </x:c>
      <x:c r="M28">
        <x:v>0</x:v>
      </x:c>
      <x:c r="P28">
        <x:v>8</x:v>
      </x:c>
    </x:row>
    <x:row r="29">
      <x:c r="A29" t="s">
        <x:v>303</x:v>
      </x:c>
      <x:c r="B29" t="s">
        <x:v>285</x:v>
      </x:c>
      <x:c r="C29" t="s">
        <x:v>304</x:v>
      </x:c>
      <x:c r="D29" t="s">
        <x:v>305</x:v>
      </x:c>
      <x:c r="E29" t="s">
        <x:v>297</x:v>
      </x:c>
      <x:c r="F29">
        <x:v>4</x:v>
      </x:c>
      <x:c r="G29">
        <x:v>15</x:v>
      </x:c>
      <x:c r="H29">
        <x:v>15</x:v>
      </x:c>
      <x:c r="I29">
        <x:v>1</x:v>
      </x:c>
      <x:c r="J29">
        <x:v>46300</x:v>
      </x:c>
      <x:c r="K29">
        <x:v>46306</x:v>
      </x:c>
      <x:c r="L29" t="s">
        <x:v>142</x:v>
      </x:c>
      <x:c r="M29">
        <x:v>0</x:v>
      </x:c>
      <x:c r="P29">
        <x:v>4</x:v>
      </x:c>
    </x:row>
    <x:row r="30">
      <x:c r="A30" t="s">
        <x:v>306</x:v>
      </x:c>
      <x:c r="B30" t="s">
        <x:v>285</x:v>
      </x:c>
      <x:c r="C30" t="s">
        <x:v>307</x:v>
      </x:c>
      <x:c r="D30" t="s">
        <x:v>308</x:v>
      </x:c>
      <x:c r="E30" t="s">
        <x:v>300</x:v>
      </x:c>
      <x:c r="F30">
        <x:v>4</x:v>
      </x:c>
      <x:c r="G30">
        <x:v>16</x:v>
      </x:c>
      <x:c r="H30">
        <x:v>16</x:v>
      </x:c>
      <x:c r="I30">
        <x:v>1</x:v>
      </x:c>
      <x:c r="J30">
        <x:v>46307</x:v>
      </x:c>
      <x:c r="K30">
        <x:v>46313</x:v>
      </x:c>
      <x:c r="L30" t="s">
        <x:v>142</x:v>
      </x:c>
      <x:c r="M30">
        <x:v>0</x:v>
      </x:c>
      <x:c r="P30">
        <x:v>4</x:v>
      </x:c>
    </x:row>
    <x:row r="31">
      <x:c r="A31" t="s">
        <x:v>107</x:v>
      </x:c>
      <x:c r="B31" t="s">
        <x:v>309</x:v>
      </x:c>
      <x:c r="C31" t="s">
        <x:v>310</x:v>
      </x:c>
      <x:c r="D31" t="s">
        <x:v>311</x:v>
      </x:c>
      <x:c r="E31" t="s">
        <x:v>306</x:v>
      </x:c>
      <x:c r="F31">
        <x:v>18</x:v>
      </x:c>
      <x:c r="G31">
        <x:v>17</x:v>
      </x:c>
      <x:c r="H31">
        <x:v>18</x:v>
      </x:c>
      <x:c r="I31">
        <x:v>2</x:v>
      </x:c>
      <x:c r="J31">
        <x:v>46314</x:v>
      </x:c>
      <x:c r="K31">
        <x:v>46327</x:v>
      </x:c>
      <x:c r="L31" t="s">
        <x:v>142</x:v>
      </x:c>
      <x:c r="M31">
        <x:v>0</x:v>
      </x:c>
      <x:c r="P31">
        <x:v>18</x:v>
      </x:c>
    </x:row>
    <x:row r="32">
      <x:c r="A32" t="s">
        <x:v>110</x:v>
      </x:c>
      <x:c r="B32" t="s">
        <x:v>309</x:v>
      </x:c>
      <x:c r="C32" t="s">
        <x:v>312</x:v>
      </x:c>
      <x:c r="D32" t="s">
        <x:v>313</x:v>
      </x:c>
      <x:c r="E32" t="s">
        <x:v>107</x:v>
      </x:c>
      <x:c r="F32">
        <x:v>12</x:v>
      </x:c>
      <x:c r="G32">
        <x:v>18</x:v>
      </x:c>
      <x:c r="H32">
        <x:v>19</x:v>
      </x:c>
      <x:c r="I32">
        <x:v>2</x:v>
      </x:c>
      <x:c r="J32">
        <x:v>46321</x:v>
      </x:c>
      <x:c r="K32">
        <x:v>46334</x:v>
      </x:c>
      <x:c r="L32" t="s">
        <x:v>142</x:v>
      </x:c>
      <x:c r="M32">
        <x:v>0</x:v>
      </x:c>
      <x:c r="P32">
        <x:v>12</x:v>
      </x:c>
    </x:row>
    <x:row r="33">
      <x:c r="A33" t="s">
        <x:v>114</x:v>
      </x:c>
      <x:c r="B33" t="s">
        <x:v>309</x:v>
      </x:c>
      <x:c r="C33" t="s">
        <x:v>314</x:v>
      </x:c>
      <x:c r="D33" t="s">
        <x:v>315</x:v>
      </x:c>
      <x:c r="E33" t="s">
        <x:v>110</x:v>
      </x:c>
      <x:c r="F33">
        <x:v>12</x:v>
      </x:c>
      <x:c r="G33">
        <x:v>19</x:v>
      </x:c>
      <x:c r="H33">
        <x:v>20</x:v>
      </x:c>
      <x:c r="I33">
        <x:v>2</x:v>
      </x:c>
      <x:c r="J33">
        <x:v>46328</x:v>
      </x:c>
      <x:c r="K33">
        <x:v>46341</x:v>
      </x:c>
      <x:c r="L33" t="s">
        <x:v>142</x:v>
      </x:c>
      <x:c r="M33">
        <x:v>0</x:v>
      </x:c>
      <x:c r="P33">
        <x:v>12</x:v>
      </x:c>
    </x:row>
    <x:row r="34">
      <x:c r="A34" t="s">
        <x:v>117</x:v>
      </x:c>
      <x:c r="B34" t="s">
        <x:v>309</x:v>
      </x:c>
      <x:c r="C34" t="s">
        <x:v>316</x:v>
      </x:c>
      <x:c r="D34" t="s">
        <x:v>317</x:v>
      </x:c>
      <x:c r="E34" t="s">
        <x:v>114</x:v>
      </x:c>
      <x:c r="F34">
        <x:v>8</x:v>
      </x:c>
      <x:c r="G34">
        <x:v>20</x:v>
      </x:c>
      <x:c r="H34">
        <x:v>20</x:v>
      </x:c>
      <x:c r="I34">
        <x:v>1</x:v>
      </x:c>
      <x:c r="J34">
        <x:v>46335</x:v>
      </x:c>
      <x:c r="K34">
        <x:v>46341</x:v>
      </x:c>
      <x:c r="L34" t="s">
        <x:v>142</x:v>
      </x:c>
      <x:c r="M34">
        <x:v>0</x:v>
      </x:c>
      <x:c r="P34">
        <x:v>8</x:v>
      </x:c>
    </x:row>
    <x:row r="35">
      <x:c r="A35" t="s">
        <x:v>318</x:v>
      </x:c>
      <x:c r="B35" t="s">
        <x:v>309</x:v>
      </x:c>
      <x:c r="C35" t="s">
        <x:v>319</x:v>
      </x:c>
      <x:c r="D35" t="s">
        <x:v>320</x:v>
      </x:c>
      <x:c r="E35" t="s">
        <x:v>117</x:v>
      </x:c>
      <x:c r="F35">
        <x:v>10</x:v>
      </x:c>
      <x:c r="G35">
        <x:v>21</x:v>
      </x:c>
      <x:c r="H35">
        <x:v>21</x:v>
      </x:c>
      <x:c r="I35">
        <x:v>1</x:v>
      </x:c>
      <x:c r="J35">
        <x:v>46342</x:v>
      </x:c>
      <x:c r="K35">
        <x:v>46348</x:v>
      </x:c>
      <x:c r="L35" t="s">
        <x:v>142</x:v>
      </x:c>
      <x:c r="M35">
        <x:v>0</x:v>
      </x:c>
      <x:c r="P35">
        <x:v>10</x:v>
      </x:c>
    </x:row>
    <x:row r="36">
      <x:c r="A36" t="s">
        <x:v>321</x:v>
      </x:c>
      <x:c r="B36" t="s">
        <x:v>309</x:v>
      </x:c>
      <x:c r="C36" t="s">
        <x:v>322</x:v>
      </x:c>
      <x:c r="D36" t="s">
        <x:v>323</x:v>
      </x:c>
      <x:c r="E36" t="s">
        <x:v>318</x:v>
      </x:c>
      <x:c r="F36">
        <x:v>10</x:v>
      </x:c>
      <x:c r="G36">
        <x:v>21</x:v>
      </x:c>
      <x:c r="H36">
        <x:v>22</x:v>
      </x:c>
      <x:c r="I36">
        <x:v>2</x:v>
      </x:c>
      <x:c r="J36">
        <x:v>46342</x:v>
      </x:c>
      <x:c r="K36">
        <x:v>46355</x:v>
      </x:c>
      <x:c r="L36" t="s">
        <x:v>142</x:v>
      </x:c>
      <x:c r="M36">
        <x:v>0</x:v>
      </x:c>
      <x:c r="P36">
        <x:v>10</x:v>
      </x:c>
    </x:row>
    <x:row r="37">
      <x:c r="A37" t="s">
        <x:v>324</x:v>
      </x:c>
      <x:c r="B37" t="s">
        <x:v>309</x:v>
      </x:c>
      <x:c r="C37" t="s">
        <x:v>325</x:v>
      </x:c>
      <x:c r="D37" t="s">
        <x:v>326</x:v>
      </x:c>
      <x:c r="E37" t="s">
        <x:v>321</x:v>
      </x:c>
      <x:c r="F37">
        <x:v>10</x:v>
      </x:c>
      <x:c r="G37">
        <x:v>22</x:v>
      </x:c>
      <x:c r="H37">
        <x:v>23</x:v>
      </x:c>
      <x:c r="I37">
        <x:v>2</x:v>
      </x:c>
      <x:c r="J37">
        <x:v>46349</x:v>
      </x:c>
      <x:c r="K37">
        <x:v>46362</x:v>
      </x:c>
      <x:c r="L37" t="s">
        <x:v>142</x:v>
      </x:c>
      <x:c r="M37">
        <x:v>0</x:v>
      </x:c>
      <x:c r="P37">
        <x:v>10</x:v>
      </x:c>
    </x:row>
    <x:row r="38">
      <x:c r="A38" t="s">
        <x:v>327</x:v>
      </x:c>
      <x:c r="B38" t="s">
        <x:v>309</x:v>
      </x:c>
      <x:c r="C38" t="s">
        <x:v>328</x:v>
      </x:c>
      <x:c r="D38" t="s">
        <x:v>329</x:v>
      </x:c>
      <x:c r="E38" t="s">
        <x:v>324</x:v>
      </x:c>
      <x:c r="F38">
        <x:v>8</x:v>
      </x:c>
      <x:c r="G38">
        <x:v>24</x:v>
      </x:c>
      <x:c r="H38">
        <x:v>24</x:v>
      </x:c>
      <x:c r="I38">
        <x:v>1</x:v>
      </x:c>
      <x:c r="J38">
        <x:v>46363</x:v>
      </x:c>
      <x:c r="K38">
        <x:v>46369</x:v>
      </x:c>
      <x:c r="L38" t="s">
        <x:v>142</x:v>
      </x:c>
      <x:c r="M38">
        <x:v>0</x:v>
      </x:c>
      <x:c r="P38">
        <x:v>8</x:v>
      </x:c>
    </x:row>
    <x:row r="39">
      <x:c r="A39" t="s">
        <x:v>121</x:v>
      </x:c>
      <x:c r="B39" t="s">
        <x:v>330</x:v>
      </x:c>
      <x:c r="C39" t="s">
        <x:v>331</x:v>
      </x:c>
      <x:c r="D39" t="s">
        <x:v>332</x:v>
      </x:c>
      <x:c r="E39" t="s">
        <x:v>327</x:v>
      </x:c>
      <x:c r="F39">
        <x:v>8</x:v>
      </x:c>
      <x:c r="G39">
        <x:v>25</x:v>
      </x:c>
      <x:c r="H39">
        <x:v>25</x:v>
      </x:c>
      <x:c r="I39">
        <x:v>1</x:v>
      </x:c>
      <x:c r="J39">
        <x:v>46370</x:v>
      </x:c>
      <x:c r="K39">
        <x:v>46376</x:v>
      </x:c>
      <x:c r="L39" t="s">
        <x:v>142</x:v>
      </x:c>
      <x:c r="M39">
        <x:v>0</x:v>
      </x:c>
      <x:c r="P39">
        <x:v>8</x:v>
      </x:c>
    </x:row>
    <x:row r="40">
      <x:c r="A40" t="s">
        <x:v>124</x:v>
      </x:c>
      <x:c r="B40" t="s">
        <x:v>330</x:v>
      </x:c>
      <x:c r="C40" t="s">
        <x:v>333</x:v>
      </x:c>
      <x:c r="D40" t="s">
        <x:v>334</x:v>
      </x:c>
      <x:c r="E40" t="s">
        <x:v>121</x:v>
      </x:c>
      <x:c r="F40">
        <x:v>10</x:v>
      </x:c>
      <x:c r="G40">
        <x:v>25</x:v>
      </x:c>
      <x:c r="H40">
        <x:v>26</x:v>
      </x:c>
      <x:c r="I40">
        <x:v>2</x:v>
      </x:c>
      <x:c r="J40">
        <x:v>46370</x:v>
      </x:c>
      <x:c r="K40">
        <x:v>46383</x:v>
      </x:c>
      <x:c r="L40" t="s">
        <x:v>142</x:v>
      </x:c>
      <x:c r="M40">
        <x:v>0</x:v>
      </x:c>
      <x:c r="P40">
        <x:v>10</x:v>
      </x:c>
    </x:row>
    <x:row r="41">
      <x:c r="A41" t="s">
        <x:v>127</x:v>
      </x:c>
      <x:c r="B41" t="s">
        <x:v>330</x:v>
      </x:c>
      <x:c r="C41" t="s">
        <x:v>335</x:v>
      </x:c>
      <x:c r="D41" t="s">
        <x:v>336</x:v>
      </x:c>
      <x:c r="E41" t="s">
        <x:v>124</x:v>
      </x:c>
      <x:c r="F41">
        <x:v>18</x:v>
      </x:c>
      <x:c r="G41">
        <x:v>26</x:v>
      </x:c>
      <x:c r="H41">
        <x:v>28</x:v>
      </x:c>
      <x:c r="I41">
        <x:v>3</x:v>
      </x:c>
      <x:c r="J41">
        <x:v>46377</x:v>
      </x:c>
      <x:c r="K41">
        <x:v>46397</x:v>
      </x:c>
      <x:c r="L41" t="s">
        <x:v>142</x:v>
      </x:c>
      <x:c r="M41">
        <x:v>0</x:v>
      </x:c>
      <x:c r="P41">
        <x:v>18</x:v>
      </x:c>
    </x:row>
    <x:row r="42">
      <x:c r="A42" t="s">
        <x:v>337</x:v>
      </x:c>
      <x:c r="B42" t="s">
        <x:v>330</x:v>
      </x:c>
      <x:c r="C42" t="s">
        <x:v>338</x:v>
      </x:c>
      <x:c r="D42" t="s">
        <x:v>339</x:v>
      </x:c>
      <x:c r="E42" t="s">
        <x:v>127</x:v>
      </x:c>
      <x:c r="F42">
        <x:v>14</x:v>
      </x:c>
      <x:c r="G42">
        <x:v>28</x:v>
      </x:c>
      <x:c r="H42">
        <x:v>29</x:v>
      </x:c>
      <x:c r="I42">
        <x:v>2</x:v>
      </x:c>
      <x:c r="J42">
        <x:v>46391</x:v>
      </x:c>
      <x:c r="K42">
        <x:v>46404</x:v>
      </x:c>
      <x:c r="L42" t="s">
        <x:v>142</x:v>
      </x:c>
      <x:c r="M42">
        <x:v>0</x:v>
      </x:c>
      <x:c r="P42">
        <x:v>14</x:v>
      </x:c>
    </x:row>
    <x:row r="43">
      <x:c r="A43" t="s">
        <x:v>340</x:v>
      </x:c>
      <x:c r="B43" t="s">
        <x:v>330</x:v>
      </x:c>
      <x:c r="C43" t="s">
        <x:v>341</x:v>
      </x:c>
      <x:c r="D43" t="s">
        <x:v>342</x:v>
      </x:c>
      <x:c r="E43" t="s">
        <x:v>127</x:v>
      </x:c>
      <x:c r="F43">
        <x:v>14</x:v>
      </x:c>
      <x:c r="G43">
        <x:v>29</x:v>
      </x:c>
      <x:c r="H43">
        <x:v>30</x:v>
      </x:c>
      <x:c r="I43">
        <x:v>2</x:v>
      </x:c>
      <x:c r="J43">
        <x:v>46398</x:v>
      </x:c>
      <x:c r="K43">
        <x:v>46411</x:v>
      </x:c>
      <x:c r="L43" t="s">
        <x:v>142</x:v>
      </x:c>
      <x:c r="M43">
        <x:v>0</x:v>
      </x:c>
      <x:c r="P43">
        <x:v>14</x:v>
      </x:c>
    </x:row>
    <x:row r="44">
      <x:c r="A44" t="s">
        <x:v>343</x:v>
      </x:c>
      <x:c r="B44" t="s">
        <x:v>330</x:v>
      </x:c>
      <x:c r="C44" t="s">
        <x:v>344</x:v>
      </x:c>
      <x:c r="D44" t="s">
        <x:v>345</x:v>
      </x:c>
      <x:c r="E44" t="s">
        <x:v>337</x:v>
      </x:c>
      <x:c r="F44">
        <x:v>20</x:v>
      </x:c>
      <x:c r="G44">
        <x:v>30</x:v>
      </x:c>
      <x:c r="H44">
        <x:v>31</x:v>
      </x:c>
      <x:c r="I44">
        <x:v>2</x:v>
      </x:c>
      <x:c r="J44">
        <x:v>46405</x:v>
      </x:c>
      <x:c r="K44">
        <x:v>46418</x:v>
      </x:c>
      <x:c r="L44" t="s">
        <x:v>142</x:v>
      </x:c>
      <x:c r="M44">
        <x:v>0</x:v>
      </x:c>
      <x:c r="P44">
        <x:v>20</x:v>
      </x:c>
    </x:row>
    <x:row r="45">
      <x:c r="A45" t="s">
        <x:v>346</x:v>
      </x:c>
      <x:c r="B45" t="s">
        <x:v>330</x:v>
      </x:c>
      <x:c r="C45" t="s">
        <x:v>347</x:v>
      </x:c>
      <x:c r="D45" t="s">
        <x:v>348</x:v>
      </x:c>
      <x:c r="E45" t="s">
        <x:v>343</x:v>
      </x:c>
      <x:c r="F45">
        <x:v>12</x:v>
      </x:c>
      <x:c r="G45">
        <x:v>32</x:v>
      </x:c>
      <x:c r="H45">
        <x:v>32</x:v>
      </x:c>
      <x:c r="I45">
        <x:v>1</x:v>
      </x:c>
      <x:c r="J45">
        <x:v>46419</x:v>
      </x:c>
      <x:c r="K45">
        <x:v>46425</x:v>
      </x:c>
      <x:c r="L45" t="s">
        <x:v>142</x:v>
      </x:c>
      <x:c r="M45">
        <x:v>0</x:v>
      </x:c>
      <x:c r="P45">
        <x:v>12</x:v>
      </x:c>
    </x:row>
    <x:row r="46">
      <x:c r="A46" t="s">
        <x:v>131</x:v>
      </x:c>
      <x:c r="B46" t="s">
        <x:v>349</x:v>
      </x:c>
      <x:c r="C46" t="s">
        <x:v>350</x:v>
      </x:c>
      <x:c r="D46" t="s">
        <x:v>351</x:v>
      </x:c>
      <x:c r="E46" t="s">
        <x:v>346</x:v>
      </x:c>
      <x:c r="F46">
        <x:v>10</x:v>
      </x:c>
      <x:c r="G46">
        <x:v>33</x:v>
      </x:c>
      <x:c r="H46">
        <x:v>33</x:v>
      </x:c>
      <x:c r="I46">
        <x:v>1</x:v>
      </x:c>
      <x:c r="J46">
        <x:v>46426</x:v>
      </x:c>
      <x:c r="K46">
        <x:v>46432</x:v>
      </x:c>
      <x:c r="L46" t="s">
        <x:v>142</x:v>
      </x:c>
      <x:c r="M46">
        <x:v>0</x:v>
      </x:c>
      <x:c r="P46">
        <x:v>10</x:v>
      </x:c>
    </x:row>
    <x:row r="47">
      <x:c r="A47" t="s">
        <x:v>135</x:v>
      </x:c>
      <x:c r="B47" t="s">
        <x:v>349</x:v>
      </x:c>
      <x:c r="C47" t="s">
        <x:v>352</x:v>
      </x:c>
      <x:c r="D47" t="s">
        <x:v>353</x:v>
      </x:c>
      <x:c r="E47" t="s">
        <x:v>131</x:v>
      </x:c>
      <x:c r="F47">
        <x:v>16</x:v>
      </x:c>
      <x:c r="G47">
        <x:v>34</x:v>
      </x:c>
      <x:c r="H47">
        <x:v>35</x:v>
      </x:c>
      <x:c r="I47">
        <x:v>2</x:v>
      </x:c>
      <x:c r="J47">
        <x:v>46433</x:v>
      </x:c>
      <x:c r="K47">
        <x:v>46446</x:v>
      </x:c>
      <x:c r="L47" t="s">
        <x:v>142</x:v>
      </x:c>
      <x:c r="M47">
        <x:v>0</x:v>
      </x:c>
      <x:c r="P47">
        <x:v>16</x:v>
      </x:c>
    </x:row>
    <x:row r="48">
      <x:c r="A48" t="s">
        <x:v>138</x:v>
      </x:c>
      <x:c r="B48" t="s">
        <x:v>349</x:v>
      </x:c>
      <x:c r="C48" t="s">
        <x:v>354</x:v>
      </x:c>
      <x:c r="D48" t="s">
        <x:v>355</x:v>
      </x:c>
      <x:c r="E48" t="s">
        <x:v>135</x:v>
      </x:c>
      <x:c r="F48">
        <x:v>12</x:v>
      </x:c>
      <x:c r="G48">
        <x:v>35</x:v>
      </x:c>
      <x:c r="H48">
        <x:v>36</x:v>
      </x:c>
      <x:c r="I48">
        <x:v>2</x:v>
      </x:c>
      <x:c r="J48">
        <x:v>46440</x:v>
      </x:c>
      <x:c r="K48">
        <x:v>46453</x:v>
      </x:c>
      <x:c r="L48" t="s">
        <x:v>142</x:v>
      </x:c>
      <x:c r="M48">
        <x:v>0</x:v>
      </x:c>
      <x:c r="P48">
        <x:v>12</x:v>
      </x:c>
    </x:row>
    <x:row r="49">
      <x:c r="A49" t="s">
        <x:v>356</x:v>
      </x:c>
      <x:c r="B49" t="s">
        <x:v>349</x:v>
      </x:c>
      <x:c r="C49" t="s">
        <x:v>357</x:v>
      </x:c>
      <x:c r="D49" t="s">
        <x:v>358</x:v>
      </x:c>
      <x:c r="E49" t="s">
        <x:v>138</x:v>
      </x:c>
      <x:c r="F49">
        <x:v>10</x:v>
      </x:c>
      <x:c r="G49">
        <x:v>36</x:v>
      </x:c>
      <x:c r="H49">
        <x:v>36</x:v>
      </x:c>
      <x:c r="I49">
        <x:v>1</x:v>
      </x:c>
      <x:c r="J49">
        <x:v>46447</x:v>
      </x:c>
      <x:c r="K49">
        <x:v>46453</x:v>
      </x:c>
      <x:c r="L49" t="s">
        <x:v>142</x:v>
      </x:c>
      <x:c r="M49">
        <x:v>0</x:v>
      </x:c>
      <x:c r="P49">
        <x:v>10</x:v>
      </x:c>
    </x:row>
    <x:row r="50">
      <x:c r="A50" t="s">
        <x:v>359</x:v>
      </x:c>
      <x:c r="B50" t="s">
        <x:v>349</x:v>
      </x:c>
      <x:c r="C50" t="s">
        <x:v>360</x:v>
      </x:c>
      <x:c r="D50" t="s">
        <x:v>361</x:v>
      </x:c>
      <x:c r="E50" t="s">
        <x:v>356</x:v>
      </x:c>
      <x:c r="F50">
        <x:v>16</x:v>
      </x:c>
      <x:c r="G50">
        <x:v>37</x:v>
      </x:c>
      <x:c r="H50">
        <x:v>38</x:v>
      </x:c>
      <x:c r="I50">
        <x:v>2</x:v>
      </x:c>
      <x:c r="J50">
        <x:v>46454</x:v>
      </x:c>
      <x:c r="K50">
        <x:v>46467</x:v>
      </x:c>
      <x:c r="L50" t="s">
        <x:v>142</x:v>
      </x:c>
      <x:c r="M50">
        <x:v>0</x:v>
      </x:c>
      <x:c r="P50">
        <x:v>16</x:v>
      </x:c>
    </x:row>
    <x:row r="51">
      <x:c r="A51" t="s">
        <x:v>362</x:v>
      </x:c>
      <x:c r="B51" t="s">
        <x:v>349</x:v>
      </x:c>
      <x:c r="C51" t="s">
        <x:v>363</x:v>
      </x:c>
      <x:c r="D51" t="s">
        <x:v>364</x:v>
      </x:c>
      <x:c r="E51" t="s">
        <x:v>359</x:v>
      </x:c>
      <x:c r="F51">
        <x:v>14</x:v>
      </x:c>
      <x:c r="G51">
        <x:v>38</x:v>
      </x:c>
      <x:c r="H51">
        <x:v>39</x:v>
      </x:c>
      <x:c r="I51">
        <x:v>2</x:v>
      </x:c>
      <x:c r="J51">
        <x:v>46461</x:v>
      </x:c>
      <x:c r="K51">
        <x:v>46474</x:v>
      </x:c>
      <x:c r="L51" t="s">
        <x:v>142</x:v>
      </x:c>
      <x:c r="M51">
        <x:v>0</x:v>
      </x:c>
      <x:c r="P51">
        <x:v>14</x:v>
      </x:c>
    </x:row>
    <x:row r="52">
      <x:c r="A52" t="s">
        <x:v>365</x:v>
      </x:c>
      <x:c r="B52" t="s">
        <x:v>349</x:v>
      </x:c>
      <x:c r="C52" t="s">
        <x:v>366</x:v>
      </x:c>
      <x:c r="D52" t="s">
        <x:v>367</x:v>
      </x:c>
      <x:c r="E52" t="s">
        <x:v>362</x:v>
      </x:c>
      <x:c r="F52">
        <x:v>16</x:v>
      </x:c>
      <x:c r="G52">
        <x:v>40</x:v>
      </x:c>
      <x:c r="H52">
        <x:v>41</x:v>
      </x:c>
      <x:c r="I52">
        <x:v>2</x:v>
      </x:c>
      <x:c r="J52">
        <x:v>46475</x:v>
      </x:c>
      <x:c r="K52">
        <x:v>46488</x:v>
      </x:c>
      <x:c r="L52" t="s">
        <x:v>142</x:v>
      </x:c>
      <x:c r="M52">
        <x:v>0</x:v>
      </x:c>
      <x:c r="P52">
        <x:v>16</x:v>
      </x:c>
    </x:row>
    <x:row r="53">
      <x:c r="A53" t="s">
        <x:v>368</x:v>
      </x:c>
      <x:c r="B53" t="s">
        <x:v>349</x:v>
      </x:c>
      <x:c r="C53" t="s">
        <x:v>369</x:v>
      </x:c>
      <x:c r="D53" t="s">
        <x:v>370</x:v>
      </x:c>
      <x:c r="E53" t="s">
        <x:v>365</x:v>
      </x:c>
      <x:c r="F53">
        <x:v>10</x:v>
      </x:c>
      <x:c r="G53">
        <x:v>42</x:v>
      </x:c>
      <x:c r="H53">
        <x:v>42</x:v>
      </x:c>
      <x:c r="I53">
        <x:v>1</x:v>
      </x:c>
      <x:c r="J53">
        <x:v>46489</x:v>
      </x:c>
      <x:c r="K53">
        <x:v>46495</x:v>
      </x:c>
      <x:c r="L53" t="s">
        <x:v>142</x:v>
      </x:c>
      <x:c r="M53">
        <x:v>0</x:v>
      </x:c>
      <x:c r="P53">
        <x:v>10</x:v>
      </x:c>
    </x:row>
    <x:row r="54">
      <x:c r="A54" t="s">
        <x:v>371</x:v>
      </x:c>
      <x:c r="B54" t="s">
        <x:v>372</x:v>
      </x:c>
      <x:c r="C54" t="s">
        <x:v>373</x:v>
      </x:c>
      <x:c r="D54" t="s">
        <x:v>374</x:v>
      </x:c>
      <x:c r="E54" t="s">
        <x:v>368</x:v>
      </x:c>
      <x:c r="F54">
        <x:v>6</x:v>
      </x:c>
      <x:c r="G54">
        <x:v>43</x:v>
      </x:c>
      <x:c r="H54">
        <x:v>43</x:v>
      </x:c>
      <x:c r="I54">
        <x:v>1</x:v>
      </x:c>
      <x:c r="J54">
        <x:v>46496</x:v>
      </x:c>
      <x:c r="K54">
        <x:v>46502</x:v>
      </x:c>
      <x:c r="L54" t="s">
        <x:v>142</x:v>
      </x:c>
      <x:c r="M54">
        <x:v>0</x:v>
      </x:c>
      <x:c r="P54">
        <x:v>6</x:v>
      </x:c>
    </x:row>
    <x:row r="55">
      <x:c r="A55" t="s">
        <x:v>375</x:v>
      </x:c>
      <x:c r="B55" t="s">
        <x:v>372</x:v>
      </x:c>
      <x:c r="C55" t="s">
        <x:v>376</x:v>
      </x:c>
      <x:c r="D55" t="s">
        <x:v>377</x:v>
      </x:c>
      <x:c r="E55" t="s">
        <x:v>371</x:v>
      </x:c>
      <x:c r="F55">
        <x:v>10</x:v>
      </x:c>
      <x:c r="G55">
        <x:v>43</x:v>
      </x:c>
      <x:c r="H55">
        <x:v>44</x:v>
      </x:c>
      <x:c r="I55">
        <x:v>2</x:v>
      </x:c>
      <x:c r="J55">
        <x:v>46496</x:v>
      </x:c>
      <x:c r="K55">
        <x:v>46509</x:v>
      </x:c>
      <x:c r="L55" t="s">
        <x:v>142</x:v>
      </x:c>
      <x:c r="M55">
        <x:v>0</x:v>
      </x:c>
      <x:c r="P55">
        <x:v>10</x:v>
      </x:c>
    </x:row>
    <x:row r="56">
      <x:c r="A56" t="s">
        <x:v>378</x:v>
      </x:c>
      <x:c r="B56" t="s">
        <x:v>372</x:v>
      </x:c>
      <x:c r="C56" t="s">
        <x:v>379</x:v>
      </x:c>
      <x:c r="D56" t="s">
        <x:v>380</x:v>
      </x:c>
      <x:c r="E56" t="s">
        <x:v>375</x:v>
      </x:c>
      <x:c r="F56">
        <x:v>14</x:v>
      </x:c>
      <x:c r="G56">
        <x:v>44</x:v>
      </x:c>
      <x:c r="H56">
        <x:v>45</x:v>
      </x:c>
      <x:c r="I56">
        <x:v>2</x:v>
      </x:c>
      <x:c r="J56">
        <x:v>46503</x:v>
      </x:c>
      <x:c r="K56">
        <x:v>46516</x:v>
      </x:c>
      <x:c r="L56" t="s">
        <x:v>142</x:v>
      </x:c>
      <x:c r="M56">
        <x:v>0</x:v>
      </x:c>
      <x:c r="P56">
        <x:v>14</x:v>
      </x:c>
    </x:row>
    <x:row r="57">
      <x:c r="A57" t="s">
        <x:v>381</x:v>
      </x:c>
      <x:c r="B57" t="s">
        <x:v>372</x:v>
      </x:c>
      <x:c r="C57" t="s">
        <x:v>382</x:v>
      </x:c>
      <x:c r="D57" t="s">
        <x:v>383</x:v>
      </x:c>
      <x:c r="E57" t="s">
        <x:v>378</x:v>
      </x:c>
      <x:c r="F57">
        <x:v>8</x:v>
      </x:c>
      <x:c r="G57">
        <x:v>45</x:v>
      </x:c>
      <x:c r="H57">
        <x:v>46</x:v>
      </x:c>
      <x:c r="I57">
        <x:v>2</x:v>
      </x:c>
      <x:c r="J57">
        <x:v>46510</x:v>
      </x:c>
      <x:c r="K57">
        <x:v>46523</x:v>
      </x:c>
      <x:c r="L57" t="s">
        <x:v>142</x:v>
      </x:c>
      <x:c r="M57">
        <x:v>0</x:v>
      </x:c>
      <x:c r="P57">
        <x:v>8</x:v>
      </x:c>
    </x:row>
    <x:row r="58">
      <x:c r="A58" t="s">
        <x:v>384</x:v>
      </x:c>
      <x:c r="B58" t="s">
        <x:v>372</x:v>
      </x:c>
      <x:c r="C58" t="s">
        <x:v>385</x:v>
      </x:c>
      <x:c r="D58" t="s">
        <x:v>386</x:v>
      </x:c>
      <x:c r="E58" t="s">
        <x:v>381</x:v>
      </x:c>
      <x:c r="F58">
        <x:v>10</x:v>
      </x:c>
      <x:c r="G58">
        <x:v>46</x:v>
      </x:c>
      <x:c r="H58">
        <x:v>47</x:v>
      </x:c>
      <x:c r="I58">
        <x:v>2</x:v>
      </x:c>
      <x:c r="J58">
        <x:v>46517</x:v>
      </x:c>
      <x:c r="K58">
        <x:v>46530</x:v>
      </x:c>
      <x:c r="L58" t="s">
        <x:v>142</x:v>
      </x:c>
      <x:c r="M58">
        <x:v>0</x:v>
      </x:c>
      <x:c r="P58">
        <x:v>10</x:v>
      </x:c>
    </x:row>
    <x:row r="59">
      <x:c r="A59" t="s">
        <x:v>387</x:v>
      </x:c>
      <x:c r="B59" t="s">
        <x:v>372</x:v>
      </x:c>
      <x:c r="C59" t="s">
        <x:v>388</x:v>
      </x:c>
      <x:c r="D59" t="s">
        <x:v>389</x:v>
      </x:c>
      <x:c r="E59" t="s">
        <x:v>384</x:v>
      </x:c>
      <x:c r="F59">
        <x:v>4</x:v>
      </x:c>
      <x:c r="G59">
        <x:v>47</x:v>
      </x:c>
      <x:c r="H59">
        <x:v>47</x:v>
      </x:c>
      <x:c r="I59">
        <x:v>1</x:v>
      </x:c>
      <x:c r="J59">
        <x:v>46524</x:v>
      </x:c>
      <x:c r="K59">
        <x:v>46530</x:v>
      </x:c>
      <x:c r="L59" t="s">
        <x:v>142</x:v>
      </x:c>
      <x:c r="M59">
        <x:v>0</x:v>
      </x:c>
      <x:c r="P59">
        <x:v>4</x:v>
      </x:c>
    </x:row>
    <x:row r="60">
      <x:c r="A60" t="s">
        <x:v>390</x:v>
      </x:c>
      <x:c r="B60" t="s">
        <x:v>391</x:v>
      </x:c>
      <x:c r="C60" t="s">
        <x:v>392</x:v>
      </x:c>
      <x:c r="D60" t="s">
        <x:v>393</x:v>
      </x:c>
      <x:c r="E60" t="s">
        <x:v>387</x:v>
      </x:c>
      <x:c r="F60">
        <x:v>12</x:v>
      </x:c>
      <x:c r="G60">
        <x:v>48</x:v>
      </x:c>
      <x:c r="H60">
        <x:v>48</x:v>
      </x:c>
      <x:c r="I60">
        <x:v>1</x:v>
      </x:c>
      <x:c r="J60">
        <x:v>46531</x:v>
      </x:c>
      <x:c r="K60">
        <x:v>46537</x:v>
      </x:c>
      <x:c r="L60" t="s">
        <x:v>142</x:v>
      </x:c>
      <x:c r="M60">
        <x:v>0</x:v>
      </x:c>
      <x:c r="P60">
        <x:v>12</x:v>
      </x:c>
    </x:row>
    <x:row r="61">
      <x:c r="A61" t="s">
        <x:v>394</x:v>
      </x:c>
      <x:c r="B61" t="s">
        <x:v>391</x:v>
      </x:c>
      <x:c r="C61" t="s">
        <x:v>395</x:v>
      </x:c>
      <x:c r="D61" t="s">
        <x:v>396</x:v>
      </x:c>
      <x:c r="E61" t="s">
        <x:v>390</x:v>
      </x:c>
      <x:c r="F61">
        <x:v>10</x:v>
      </x:c>
      <x:c r="G61">
        <x:v>48</x:v>
      </x:c>
      <x:c r="H61">
        <x:v>49</x:v>
      </x:c>
      <x:c r="I61">
        <x:v>2</x:v>
      </x:c>
      <x:c r="J61">
        <x:v>46531</x:v>
      </x:c>
      <x:c r="K61">
        <x:v>46544</x:v>
      </x:c>
      <x:c r="L61" t="s">
        <x:v>142</x:v>
      </x:c>
      <x:c r="M61">
        <x:v>0</x:v>
      </x:c>
      <x:c r="P61">
        <x:v>10</x:v>
      </x:c>
    </x:row>
    <x:row r="62">
      <x:c r="A62" t="s">
        <x:v>397</x:v>
      </x:c>
      <x:c r="B62" t="s">
        <x:v>391</x:v>
      </x:c>
      <x:c r="C62" t="s">
        <x:v>398</x:v>
      </x:c>
      <x:c r="D62" t="s">
        <x:v>399</x:v>
      </x:c>
      <x:c r="E62" t="s">
        <x:v>390</x:v>
      </x:c>
      <x:c r="F62">
        <x:v>10</x:v>
      </x:c>
      <x:c r="G62">
        <x:v>49</x:v>
      </x:c>
      <x:c r="H62">
        <x:v>50</x:v>
      </x:c>
      <x:c r="I62">
        <x:v>2</x:v>
      </x:c>
      <x:c r="J62">
        <x:v>46538</x:v>
      </x:c>
      <x:c r="K62">
        <x:v>46551</x:v>
      </x:c>
      <x:c r="L62" t="s">
        <x:v>142</x:v>
      </x:c>
      <x:c r="M62">
        <x:v>0</x:v>
      </x:c>
      <x:c r="P62">
        <x:v>10</x:v>
      </x:c>
    </x:row>
    <x:row r="63">
      <x:c r="A63" t="s">
        <x:v>400</x:v>
      </x:c>
      <x:c r="B63" t="s">
        <x:v>391</x:v>
      </x:c>
      <x:c r="C63" t="s">
        <x:v>401</x:v>
      </x:c>
      <x:c r="D63" t="s">
        <x:v>402</x:v>
      </x:c>
      <x:c r="E63" t="s">
        <x:v>394</x:v>
      </x:c>
      <x:c r="F63">
        <x:v>10</x:v>
      </x:c>
      <x:c r="G63">
        <x:v>50</x:v>
      </x:c>
      <x:c r="H63">
        <x:v>50</x:v>
      </x:c>
      <x:c r="I63">
        <x:v>1</x:v>
      </x:c>
      <x:c r="J63">
        <x:v>46545</x:v>
      </x:c>
      <x:c r="K63">
        <x:v>46551</x:v>
      </x:c>
      <x:c r="L63" t="s">
        <x:v>142</x:v>
      </x:c>
      <x:c r="M63">
        <x:v>0</x:v>
      </x:c>
      <x:c r="P63">
        <x:v>10</x:v>
      </x:c>
    </x:row>
    <x:row r="64">
      <x:c r="A64" t="s">
        <x:v>403</x:v>
      </x:c>
      <x:c r="B64" t="s">
        <x:v>391</x:v>
      </x:c>
      <x:c r="C64" t="s">
        <x:v>404</x:v>
      </x:c>
      <x:c r="D64" t="s">
        <x:v>405</x:v>
      </x:c>
      <x:c r="E64" t="s">
        <x:v>397</x:v>
      </x:c>
      <x:c r="F64">
        <x:v>8</x:v>
      </x:c>
      <x:c r="G64">
        <x:v>51</x:v>
      </x:c>
      <x:c r="H64">
        <x:v>51</x:v>
      </x:c>
      <x:c r="I64">
        <x:v>1</x:v>
      </x:c>
      <x:c r="J64">
        <x:v>46552</x:v>
      </x:c>
      <x:c r="K64">
        <x:v>46558</x:v>
      </x:c>
      <x:c r="L64" t="s">
        <x:v>142</x:v>
      </x:c>
      <x:c r="M64">
        <x:v>0</x:v>
      </x:c>
      <x:c r="P64">
        <x:v>8</x:v>
      </x:c>
    </x:row>
    <x:row r="65">
      <x:c r="A65" t="s">
        <x:v>406</x:v>
      </x:c>
      <x:c r="B65" t="s">
        <x:v>391</x:v>
      </x:c>
      <x:c r="C65" t="s">
        <x:v>407</x:v>
      </x:c>
      <x:c r="D65" t="s">
        <x:v>408</x:v>
      </x:c>
      <x:c r="E65" t="s">
        <x:v>400</x:v>
      </x:c>
      <x:c r="F65">
        <x:v>6</x:v>
      </x:c>
      <x:c r="G65">
        <x:v>51</x:v>
      </x:c>
      <x:c r="H65">
        <x:v>52</x:v>
      </x:c>
      <x:c r="I65">
        <x:v>2</x:v>
      </x:c>
      <x:c r="J65">
        <x:v>46552</x:v>
      </x:c>
      <x:c r="K65">
        <x:v>46565</x:v>
      </x:c>
      <x:c r="L65" t="s">
        <x:v>142</x:v>
      </x:c>
      <x:c r="M65">
        <x:v>0</x:v>
      </x:c>
      <x:c r="P65">
        <x:v>6</x:v>
      </x:c>
    </x:row>
    <x:row r="66">
      <x:c r="A66" t="s">
        <x:v>409</x:v>
      </x:c>
      <x:c r="B66" t="s">
        <x:v>391</x:v>
      </x:c>
      <x:c r="C66" t="s">
        <x:v>410</x:v>
      </x:c>
      <x:c r="D66" t="s">
        <x:v>411</x:v>
      </x:c>
      <x:c r="E66" t="s">
        <x:v>403</x:v>
      </x:c>
      <x:c r="F66">
        <x:v>4</x:v>
      </x:c>
      <x:c r="G66">
        <x:v>52</x:v>
      </x:c>
      <x:c r="H66">
        <x:v>52</x:v>
      </x:c>
      <x:c r="I66">
        <x:v>1</x:v>
      </x:c>
      <x:c r="J66">
        <x:v>46559</x:v>
      </x:c>
      <x:c r="K66">
        <x:v>46565</x:v>
      </x:c>
      <x:c r="L66" t="s">
        <x:v>142</x:v>
      </x:c>
      <x:c r="M66">
        <x:v>0</x:v>
      </x:c>
      <x:c r="P66">
        <x:v>4</x:v>
      </x:c>
    </x:row>
    <x:row r="69">
      <x:c r="A69" t="s">
        <x:v>412</x:v>
      </x:c>
    </x:row>
    <x:row r="70">
      <x:c r="A70" t="s">
        <x:v>48</x:v>
      </x:c>
      <x:c r="B70" t="s">
        <x:v>1</x:v>
      </x:c>
      <x:c r="C70" t="s">
        <x:v>413</x:v>
      </x:c>
      <x:c r="D70" t="s">
        <x:v>414</x:v>
      </x:c>
      <x:c r="E70" t="s">
        <x:v>5</x:v>
      </x:c>
      <x:c r="F70" t="s">
        <x:v>6</x:v>
      </x:c>
      <x:c r="G70" t="s">
        <x:v>7</x:v>
      </x:c>
      <x:c r="H70" t="s">
        <x:v>8</x:v>
      </x:c>
      <x:c r="I70" t="s">
        <x:v>415</x:v>
      </x:c>
      <x:c r="J70" t="s">
        <x:v>416</x:v>
      </x:c>
      <x:c r="K70" t="s">
        <x:v>417</x:v>
      </x:c>
      <x:c r="L70" t="s">
        <x:v>418</x:v>
      </x:c>
      <x:c r="M70" t="s">
        <x:v>419</x:v>
      </x:c>
      <x:c r="N70" t="s">
        <x:v>420</x:v>
      </x:c>
      <x:c r="O70" t="s">
        <x:v>421</x:v>
      </x:c>
      <x:c r="P70" t="s">
        <x:v>422</x:v>
      </x:c>
      <x:c r="Q70" t="s">
        <x:v>423</x:v>
      </x:c>
      <x:c r="R70" t="s">
        <x:v>424</x:v>
      </x:c>
      <x:c r="S70" t="s">
        <x:v>425</x:v>
      </x:c>
      <x:c r="T70" t="s">
        <x:v>426</x:v>
      </x:c>
    </x:row>
    <x:row r="71">
      <x:c r="A71" t="s">
        <x:v>17</x:v>
      </x:c>
      <x:c r="B71" t="s">
        <x:v>243</x:v>
      </x:c>
      <x:c r="C71">
        <x:v>40</x:v>
      </x:c>
      <x:c r="D71">
        <x:v>6.9444444444444448E-2</x:v>
      </x:c>
      <x:c r="E71">
        <x:v>46202</x:v>
      </x:c>
      <x:c r="F71">
        <x:v>46565</x:v>
      </x:c>
      <x:c r="G71" t="s">
        <x:v>427</x:v>
      </x:c>
      <x:c r="H71" t="s">
        <x:v>428</x:v>
      </x:c>
      <x:c r="I71" t="s">
        <x:v>21</x:v>
      </x:c>
      <x:c r="J71" t="s">
        <x:v>21</x:v>
      </x:c>
      <x:c r="K71" t="s">
        <x:v>21</x:v>
      </x:c>
      <x:c r="L71" t="s">
        <x:v>21</x:v>
      </x:c>
      <x:c r="M71" t="s">
        <x:v>21</x:v>
      </x:c>
      <x:c r="N71" t="s">
        <x:v>21</x:v>
      </x:c>
      <x:c r="O71" t="s">
        <x:v>21</x:v>
      </x:c>
      <x:c r="P71" t="s">
        <x:v>21</x:v>
      </x:c>
      <x:c r="Q71" t="s">
        <x:v>21</x:v>
      </x:c>
      <x:c r="R71" t="s">
        <x:v>21</x:v>
      </x:c>
      <x:c r="S71" t="s">
        <x:v>21</x:v>
      </x:c>
      <x:c r="T71" t="s">
        <x:v>21</x:v>
      </x:c>
    </x:row>
    <x:row r="72">
      <x:c r="A72" t="s">
        <x:v>22</x:v>
      </x:c>
      <x:c r="B72" t="s">
        <x:v>268</x:v>
      </x:c>
      <x:c r="C72">
        <x:v>64</x:v>
      </x:c>
      <x:c r="D72">
        <x:v>0.1111111111111111</x:v>
      </x:c>
      <x:c r="E72">
        <x:v>46216</x:v>
      </x:c>
      <x:c r="F72">
        <x:v>46264</x:v>
      </x:c>
      <x:c r="G72" t="s">
        <x:v>429</x:v>
      </x:c>
      <x:c r="H72" t="s">
        <x:v>430</x:v>
      </x:c>
      <x:c r="I72" t="s">
        <x:v>21</x:v>
      </x:c>
      <x:c r="J72" t="s">
        <x:v>21</x:v>
      </x:c>
    </x:row>
    <x:row r="73">
      <x:c r="A73" t="s">
        <x:v>26</x:v>
      </x:c>
      <x:c r="B73" t="s">
        <x:v>285</x:v>
      </x:c>
      <x:c r="C73">
        <x:v>72</x:v>
      </x:c>
      <x:c r="D73">
        <x:v>0.125</x:v>
      </x:c>
      <x:c r="E73">
        <x:v>46265</x:v>
      </x:c>
      <x:c r="F73">
        <x:v>46313</x:v>
      </x:c>
      <x:c r="G73" t="s">
        <x:v>431</x:v>
      </x:c>
      <x:c r="H73" t="s">
        <x:v>432</x:v>
      </x:c>
      <x:c r="J73" t="s">
        <x:v>21</x:v>
      </x:c>
      <x:c r="K73" t="s">
        <x:v>21</x:v>
      </x:c>
      <x:c r="L73" t="s">
        <x:v>21</x:v>
      </x:c>
    </x:row>
    <x:row r="74">
      <x:c r="A74" t="s">
        <x:v>30</x:v>
      </x:c>
      <x:c r="B74" t="s">
        <x:v>309</x:v>
      </x:c>
      <x:c r="C74">
        <x:v>88</x:v>
      </x:c>
      <x:c r="D74">
        <x:v>0.15277777777777779</x:v>
      </x:c>
      <x:c r="E74">
        <x:v>46314</x:v>
      </x:c>
      <x:c r="F74">
        <x:v>46369</x:v>
      </x:c>
      <x:c r="G74" t="s">
        <x:v>433</x:v>
      </x:c>
      <x:c r="H74" t="s">
        <x:v>434</x:v>
      </x:c>
      <x:c r="L74" t="s">
        <x:v>21</x:v>
      </x:c>
      <x:c r="M74" t="s">
        <x:v>21</x:v>
      </x:c>
      <x:c r="N74" t="s">
        <x:v>21</x:v>
      </x:c>
    </x:row>
    <x:row r="75">
      <x:c r="A75" t="s">
        <x:v>34</x:v>
      </x:c>
      <x:c r="B75" t="s">
        <x:v>330</x:v>
      </x:c>
      <x:c r="C75">
        <x:v>96</x:v>
      </x:c>
      <x:c r="D75">
        <x:v>0.16666666666666666</x:v>
      </x:c>
      <x:c r="E75">
        <x:v>46370</x:v>
      </x:c>
      <x:c r="F75">
        <x:v>46425</x:v>
      </x:c>
      <x:c r="G75" t="s">
        <x:v>435</x:v>
      </x:c>
      <x:c r="H75" t="s">
        <x:v>436</x:v>
      </x:c>
      <x:c r="N75" t="s">
        <x:v>21</x:v>
      </x:c>
      <x:c r="O75" t="s">
        <x:v>21</x:v>
      </x:c>
      <x:c r="P75" t="s">
        <x:v>21</x:v>
      </x:c>
    </x:row>
    <x:row r="76">
      <x:c r="A76" t="s">
        <x:v>38</x:v>
      </x:c>
      <x:c r="B76" t="s">
        <x:v>349</x:v>
      </x:c>
      <x:c r="C76">
        <x:v>104</x:v>
      </x:c>
      <x:c r="D76">
        <x:v>0.18055555555555555</x:v>
      </x:c>
      <x:c r="E76">
        <x:v>46426</x:v>
      </x:c>
      <x:c r="F76">
        <x:v>46495</x:v>
      </x:c>
      <x:c r="G76" t="s">
        <x:v>437</x:v>
      </x:c>
      <x:c r="H76" t="s">
        <x:v>438</x:v>
      </x:c>
      <x:c r="P76" t="s">
        <x:v>21</x:v>
      </x:c>
      <x:c r="Q76" t="s">
        <x:v>21</x:v>
      </x:c>
      <x:c r="R76" t="s">
        <x:v>21</x:v>
      </x:c>
    </x:row>
    <x:row r="77">
      <x:c r="A77" t="s">
        <x:v>439</x:v>
      </x:c>
      <x:c r="B77" t="s">
        <x:v>372</x:v>
      </x:c>
      <x:c r="C77">
        <x:v>52</x:v>
      </x:c>
      <x:c r="D77">
        <x:v>9.0277777777777776E-2</x:v>
      </x:c>
      <x:c r="E77">
        <x:v>46496</x:v>
      </x:c>
      <x:c r="F77">
        <x:v>46530</x:v>
      </x:c>
      <x:c r="G77" t="s">
        <x:v>440</x:v>
      </x:c>
      <x:c r="H77" t="s">
        <x:v>441</x:v>
      </x:c>
      <x:c r="R77" t="s">
        <x:v>21</x:v>
      </x:c>
      <x:c r="S77" t="s">
        <x:v>21</x:v>
      </x:c>
    </x:row>
    <x:row r="78">
      <x:c r="A78" t="s">
        <x:v>442</x:v>
      </x:c>
      <x:c r="B78" t="s">
        <x:v>391</x:v>
      </x:c>
      <x:c r="C78">
        <x:v>60</x:v>
      </x:c>
      <x:c r="D78">
        <x:v>0.10416666666666667</x:v>
      </x:c>
      <x:c r="E78">
        <x:v>46531</x:v>
      </x:c>
      <x:c r="F78">
        <x:v>46565</x:v>
      </x:c>
      <x:c r="G78" t="s">
        <x:v>443</x:v>
      </x:c>
      <x:c r="H78" t="s">
        <x:v>444</x:v>
      </x:c>
      <x:c r="S78" t="s">
        <x:v>21</x:v>
      </x:c>
      <x:c r="T78" t="s">
        <x:v>21</x:v>
      </x:c>
    </x:row>
    <x:row r="79">
      <x:c r="A79" t="s">
        <x:v>445</x:v>
      </x:c>
      <x:c r="C79">
        <x:v>576</x:v>
      </x:c>
      <x:c r="D79">
        <x:v>1</x:v>
      </x:c>
    </x:row>
  </x:sheetData>
  <x:mergeCells>
    <x:mergeCell ref="A1:T1"/>
    <x:mergeCell ref="A2:T2"/>
  </x:mergeCells>
  <x:pageMargins left="0.7" right="0.7" top="0.75" bottom="0.75" header="0.3" footer="0.3"/>
</x:worksheet>
</file>

<file path=xl/worksheets/sheet9.xml><?xml version="1.0" encoding="utf-8"?>
<x:worksheet xmlns:x="http://schemas.openxmlformats.org/spreadsheetml/2006/main">
  <x:sheetFormatPr defaultRowHeight="14.25"/>
  <x:cols>
    <x:col min="1" max="1" width="11" customWidth="1"/>
    <x:col min="2" max="2" width="12" customWidth="1"/>
    <x:col min="3" max="4" width="10" customWidth="1"/>
    <x:col min="5" max="5" width="11" customWidth="1"/>
    <x:col min="6" max="6" width="12" customWidth="1"/>
    <x:col min="7" max="7" width="10" customWidth="1"/>
    <x:col min="8" max="8" width="13" customWidth="1"/>
    <x:col min="9" max="9" width="34" customWidth="1"/>
    <x:col min="10" max="11" width="42" customWidth="1"/>
    <x:col min="12" max="12" width="36" customWidth="1"/>
    <x:col min="13" max="13" width="28" customWidth="1"/>
  </x:cols>
  <x:sheetData>
    <x:row r="1" ht="27.950000762939453" customHeight="1">
      <x:c r="A1" s="234" t="s">
        <x:v>446</x:v>
      </x:c>
      <x:c r="B1" s="235"/>
      <x:c r="C1" s="235"/>
      <x:c r="D1" s="235"/>
      <x:c r="E1" s="235"/>
      <x:c r="F1" s="235"/>
      <x:c r="G1" s="235"/>
      <x:c r="H1" s="235"/>
      <x:c r="I1" s="235"/>
      <x:c r="J1" s="235"/>
      <x:c r="K1" s="235"/>
      <x:c r="L1" s="235"/>
      <x:c r="M1" s="235"/>
    </x:row>
    <x:row r="2">
      <x:c r="A2" s="236" t="s">
        <x:v>447</x:v>
      </x:c>
      <x:c r="B2" s="236"/>
      <x:c r="C2" s="236"/>
      <x:c r="D2" s="236"/>
      <x:c r="E2" s="236"/>
      <x:c r="F2" s="236"/>
      <x:c r="G2" s="236"/>
      <x:c r="H2" s="236"/>
      <x:c r="I2" s="236"/>
      <x:c r="J2" s="236"/>
      <x:c r="K2" s="236"/>
      <x:c r="L2" s="236"/>
      <x:c r="M2" s="236"/>
    </x:row>
    <x:row r="4" ht="30">
      <x:c r="A4" s="80" t="s">
        <x:v>448</x:v>
      </x:c>
      <x:c r="B4" s="80" t="s">
        <x:v>449</x:v>
      </x:c>
      <x:c r="C4" s="80" t="s">
        <x:v>5</x:v>
      </x:c>
      <x:c r="D4" s="80" t="s">
        <x:v>450</x:v>
      </x:c>
      <x:c r="E4" s="80" t="s">
        <x:v>451</x:v>
      </x:c>
      <x:c r="F4" s="80" t="s">
        <x:v>3</x:v>
      </x:c>
      <x:c r="G4" s="80" t="s">
        <x:v>452</x:v>
      </x:c>
      <x:c r="H4" s="80" t="s">
        <x:v>56</x:v>
      </x:c>
      <x:c r="I4" s="80" t="s">
        <x:v>453</x:v>
      </x:c>
      <x:c r="J4" s="80" t="s">
        <x:v>454</x:v>
      </x:c>
      <x:c r="K4" s="80" t="s">
        <x:v>455</x:v>
      </x:c>
      <x:c r="L4" s="80" t="s">
        <x:v>60</x:v>
      </x:c>
      <x:c r="M4" s="80" t="s">
        <x:v>456</x:v>
      </x:c>
    </x:row>
    <x:row r="5" ht="42.75">
      <x:c r="A5" s="83" t="s">
        <x:v>457</x:v>
      </x:c>
      <x:c r="B5" s="84">
        <x:v>46201</x:v>
      </x:c>
      <x:c r="C5" s="83"/>
      <x:c r="D5" s="83"/>
      <x:c r="E5" s="83" t="s">
        <x:v>62</x:v>
      </x:c>
      <x:c r="F5" s="85">
        <x:v>2.5</x:v>
      </x:c>
      <x:c r="G5" s="178" t="n">
        <x:f t="shared" ref="G5:G10" si="0">IF(B5="","",MAX(1,INT((B5-DATE(2026,6,29))/7)+1))</x:f>
        <x:v>1</x:v>
      </x:c>
      <x:c r="H5" s="83" t="s">
        <x:v>246</x:v>
      </x:c>
      <x:c r="I5" s="83" t="s">
        <x:v>458</x:v>
      </x:c>
      <x:c r="J5" s="83" t="s">
        <x:v>459</x:v>
      </x:c>
      <x:c r="K5" s="83" t="s">
        <x:v>460</x:v>
      </x:c>
      <x:c r="L5" s="83" t="s">
        <x:v>461</x:v>
      </x:c>
      <x:c r="M5" s="83" t="s">
        <x:v>462</x:v>
      </x:c>
    </x:row>
    <x:row r="6" ht="42.75">
      <x:c r="A6" s="83" t="s">
        <x:v>463</x:v>
      </x:c>
      <x:c r="B6" s="84">
        <x:v>46203</x:v>
      </x:c>
      <x:c r="C6" s="83"/>
      <x:c r="D6" s="83"/>
      <x:c r="E6" s="83" t="s">
        <x:v>68</x:v>
      </x:c>
      <x:c r="F6" s="85">
        <x:v>1.5</x:v>
      </x:c>
      <x:c r="G6" s="178">
        <x:f t="shared" si="0"/>
        <x:v>1</x:v>
      </x:c>
      <x:c r="H6" s="83" t="s">
        <x:v>246</x:v>
      </x:c>
      <x:c r="I6" s="83" t="s">
        <x:v>464</x:v>
      </x:c>
      <x:c r="J6" s="83" t="s">
        <x:v>465</x:v>
      </x:c>
      <x:c r="K6" s="83" t="s">
        <x:v>466</x:v>
      </x:c>
      <x:c r="L6" s="83" t="s">
        <x:v>467</x:v>
      </x:c>
      <x:c r="M6" s="83" t="s">
        <x:v>468</x:v>
      </x:c>
    </x:row>
    <x:row r="7" ht="42.75">
      <x:c r="A7" s="83" t="s">
        <x:v>469</x:v>
      </x:c>
      <x:c r="B7" s="84">
        <x:v>46207</x:v>
      </x:c>
      <x:c r="C7" s="83" t="s">
        <x:v>470</x:v>
      </x:c>
      <x:c r="D7" s="83" t="s">
        <x:v>471</x:v>
      </x:c>
      <x:c r="E7" s="83" t="s">
        <x:v>73</x:v>
      </x:c>
      <x:c r="F7" s="85">
        <x:v>0.62</x:v>
      </x:c>
      <x:c r="G7" s="178">
        <x:f t="shared" si="0"/>
        <x:v>1</x:v>
      </x:c>
      <x:c r="H7" s="83" t="s">
        <x:v>246</x:v>
      </x:c>
      <x:c r="I7" s="83" t="s">
        <x:v>472</x:v>
      </x:c>
      <x:c r="J7" s="83" t="s">
        <x:v>473</x:v>
      </x:c>
      <x:c r="K7" s="83" t="s">
        <x:v>474</x:v>
      </x:c>
      <x:c r="L7" s="83" t="s">
        <x:v>475</x:v>
      </x:c>
      <x:c r="M7" s="83" t="s">
        <x:v>476</x:v>
      </x:c>
    </x:row>
    <x:row r="8" ht="57">
      <x:c r="A8" s="83" t="s">
        <x:v>477</x:v>
      </x:c>
      <x:c r="B8" s="84">
        <x:v>46207</x:v>
      </x:c>
      <x:c r="C8" s="83" t="s">
        <x:v>471</x:v>
      </x:c>
      <x:c r="D8" s="83" t="s">
        <x:v>478</x:v>
      </x:c>
      <x:c r="E8" s="83" t="s">
        <x:v>73</x:v>
      </x:c>
      <x:c r="F8" s="85">
        <x:v>1.53</x:v>
      </x:c>
      <x:c r="G8" s="178">
        <x:f t="shared" si="0"/>
        <x:v>1</x:v>
      </x:c>
      <x:c r="H8" s="83" t="s">
        <x:v>246</x:v>
      </x:c>
      <x:c r="I8" s="83" t="s">
        <x:v>479</x:v>
      </x:c>
      <x:c r="J8" s="83" t="s">
        <x:v>480</x:v>
      </x:c>
      <x:c r="K8" s="83" t="s">
        <x:v>481</x:v>
      </x:c>
      <x:c r="L8" s="83" t="s">
        <x:v>482</x:v>
      </x:c>
      <x:c r="M8" s="83" t="s">
        <x:v>483</x:v>
      </x:c>
    </x:row>
    <x:row r="9" ht="42.75">
      <x:c r="A9" s="83" t="s">
        <x:v>484</x:v>
      </x:c>
      <x:c r="B9" s="84">
        <x:v>46207</x:v>
      </x:c>
      <x:c r="C9" s="83" t="s">
        <x:v>478</x:v>
      </x:c>
      <x:c r="D9" s="83" t="s">
        <x:v>485</x:v>
      </x:c>
      <x:c r="E9" s="83" t="s">
        <x:v>68</x:v>
      </x:c>
      <x:c r="F9" s="85">
        <x:v>1.33</x:v>
      </x:c>
      <x:c r="G9" s="178">
        <x:f t="shared" si="0"/>
        <x:v>1</x:v>
      </x:c>
      <x:c r="H9" s="83" t="s">
        <x:v>246</x:v>
      </x:c>
      <x:c r="I9" s="83" t="s">
        <x:v>486</x:v>
      </x:c>
      <x:c r="J9" s="83" t="s">
        <x:v>487</x:v>
      </x:c>
      <x:c r="K9" s="83" t="s">
        <x:v>488</x:v>
      </x:c>
      <x:c r="L9" s="83" t="s">
        <x:v>489</x:v>
      </x:c>
      <x:c r="M9" s="83" t="s">
        <x:v>490</x:v>
      </x:c>
    </x:row>
    <x:row r="10" ht="42.75">
      <x:c r="A10" s="83" t="s">
        <x:v>491</x:v>
      </x:c>
      <x:c r="B10" s="84">
        <x:v>46207</x:v>
      </x:c>
      <x:c r="C10" s="83" t="s">
        <x:v>485</x:v>
      </x:c>
      <x:c r="D10" s="83" t="s">
        <x:v>492</x:v>
      </x:c>
      <x:c r="E10" s="83" t="s">
        <x:v>68</x:v>
      </x:c>
      <x:c r="F10" s="85">
        <x:v>7.0000000000000007E-2</x:v>
      </x:c>
      <x:c r="G10" s="178">
        <x:f t="shared" si="0"/>
        <x:v>1</x:v>
      </x:c>
      <x:c r="H10" s="83" t="s">
        <x:v>246</x:v>
      </x:c>
      <x:c r="I10" s="83" t="s">
        <x:v>493</x:v>
      </x:c>
      <x:c r="J10" s="83" t="s">
        <x:v>494</x:v>
      </x:c>
      <x:c r="K10" s="83" t="s">
        <x:v>495</x:v>
      </x:c>
      <x:c r="L10" s="83" t="s">
        <x:v>496</x:v>
      </x:c>
      <x:c r="M10" s="83" t="s">
        <x:v>497</x:v>
      </x:c>
    </x:row>
    <x:row r="11" ht="72" customHeight="1">
      <x:c r="A11" s="431" t="str">
        <x:v>WB-007</x:v>
      </x:c>
      <x:c r="B11" s="429" t="n">
        <x:v>46208</x:v>
      </x:c>
      <x:c r="C11" s="431" t="str">
        <x:v>11:00 AM</x:v>
      </x:c>
      <x:c r="D11" s="431" t="str">
        <x:v>11:35 AM</x:v>
      </x:c>
      <x:c r="E11" s="431" t="str">
        <x:v>1.1</x:v>
      </x:c>
      <x:c r="F11" s="432" t="n">
        <x:v>0.58</x:v>
      </x:c>
      <x:c r="G11" s="433" t="n">
        <x:v>1</x:v>
      </x:c>
      <x:c r="H11" s="431" t="str">
        <x:v>Complete</x:v>
      </x:c>
      <x:c r="I11" s="431" t="str">
        <x:v>Define and implement the candidate artifact contract and loader.</x:v>
      </x:c>
      <x:c r="J11" s="431" t="str">
        <x:v>Candidate schema, valid MECH-002 example, LoadedCandidate/load_candidate(), controlled validation failures, contract documentation, six focused tests, and 31 total passing tests.</x:v>
      </x:c>
      <x:c r="K11" s="431" t="str">
        <x:v>Keep the envelope runtime-agnostic; keep case-specific engineering fields inside payload; store example candidates outside versioned case definitions.</x:v>
      </x:c>
      <x:c r="L11" s="431" t="str">
        <x:v>Push the feature branch, open and merge the PR, sync main, then begin WBS 1.2 mandatory gate engine.</x:v>
      </x:c>
      <x:c r="M11" s="431" t="str">
        <x:v>2b0b6e7 — Add candidate artifact contract and loader; PR pending</x:v>
      </x:c>
    </x:row>
    <x:row r="12" ht="78" customHeight="1">
      <x:c r="A12" s="431" t="str">
        <x:v>WB-008</x:v>
      </x:c>
      <x:c r="B12" s="429" t="n">
        <x:v>46208</x:v>
      </x:c>
      <x:c r="C12" s="431" t="str">
        <x:v>11:35 AM</x:v>
      </x:c>
      <x:c r="D12" s="431" t="str">
        <x:v>11:44 AM</x:v>
      </x:c>
      <x:c r="E12" s="431" t="str">
        <x:v>1.1</x:v>
      </x:c>
      <x:c r="F12" s="432" t="n">
        <x:v>0.15</x:v>
      </x:c>
      <x:c r="G12" s="433" t="n">
        <x:v>1</x:v>
      </x:c>
      <x:c r="H12" s="431" t="str">
        <x:v>Complete</x:v>
      </x:c>
      <x:c r="I12" s="431" t="str">
        <x:v>Close WBS 1.1 through PR merge, main synchronization, test verification, and project-control update.</x:v>
      </x:c>
      <x:c r="J12" s="431" t="str">
        <x:v>Candidate artifact capability merged to main in c419dc3; 31 tests passed; updated controlling workbook committed in ba18051.</x:v>
      </x:c>
      <x:c r="K12" s="431" t="str">
        <x:v>A capability is not operationally closed until code, tests, merge evidence, and the controlling Gantt are synchronized. No blocker.</x:v>
      </x:c>
      <x:c r="L12" s="431" t="str">
        <x:v>Begin WBS 1.2 mandatory gate engine.</x:v>
      </x:c>
      <x:c r="M12" s="431" t="str">
        <x:v>PR #6 / merge c419dc3; ba18051 — Record WBS 1.1 completion</x:v>
      </x:c>
    </x:row>
    <x:row r="13" ht="78" customHeight="1">
      <x:c r="A13" s="431" t="str">
        <x:v>WB-009</x:v>
      </x:c>
      <x:c r="B13" s="429" t="n">
        <x:v>46208</x:v>
      </x:c>
      <x:c r="C13" s="431" t="str">
        <x:v>11:44 AM</x:v>
      </x:c>
      <x:c r="D13" s="431" t="str">
        <x:v>12:14 PM</x:v>
      </x:c>
      <x:c r="E13" s="431" t="str">
        <x:v>1.2</x:v>
      </x:c>
      <x:c r="F13" s="432" t="n">
        <x:v>0.5</x:v>
      </x:c>
      <x:c r="G13" s="433" t="n">
        <x:v>1</x:v>
      </x:c>
      <x:c r="H13" s="431" t="str">
        <x:v>Complete</x:v>
      </x:c>
      <x:c r="I13" s="431" t="str">
        <x:v>Implement the mandatory pre-scoring gate engine for candidate artifacts.</x:v>
      </x:c>
      <x:c r="J13" s="431" t="str">
        <x:v>GateResult records and ordered gate execution implemented for output existence, valid object-root JSON, required payload fields, and declared field types; seven focused tests and 38 total tests passed.</x:v>
      </x:c>
      <x:c r="K13" s="431" t="str">
        <x:v>Stop after the first failed gate. Declare payload field types in the task deliverable instead of inferring them from reference answers. Treat Boolean values as distinct from numbers. No blocker.</x:v>
      </x:c>
      <x:c r="L13" s="431" t="str">
        <x:v>Begin WBS 1.3 deterministic exact, Boolean, set, and contains checks.</x:v>
      </x:c>
      <x:c r="M13" s="431" t="str">
        <x:v>c05ef3d — Add mandatory gate engine; merged to main in 05c025b</x:v>
      </x:c>
    </x:row>
    <x:row r="14">
      <x:c r="A14" s="83" t="str">
        <x:v>WB-010</x:v>
      </x:c>
      <x:c r="B14" s="84" t="n">
        <x:v>46208</x:v>
      </x:c>
      <x:c r="C14" s="83" t="str">
        <x:v>10:04 AM</x:v>
      </x:c>
      <x:c r="D14" s="83" t="str">
        <x:v>12:55 PM</x:v>
      </x:c>
      <x:c r="E14" s="83" t="str">
        <x:v>1.3</x:v>
      </x:c>
      <x:c r="F14" s="85" t="n">
        <x:v>2.85</x:v>
      </x:c>
      <x:c r="G14" s="178" t="n">
        <x:v>1</x:v>
      </x:c>
      <x:c r="H14" s="83" t="str">
        <x:v>Complete</x:v>
      </x:c>
      <x:c r="I14" s="83" t="str">
        <x:v>Implement, verify, merge, and operationally close the deterministic non-numeric check engine.</x:v>
      </x:c>
      <x:c r="J14" s="83" t="str">
        <x:v>CheckResult records and dispatch for exact_match, boolean_equals, set_equals, and contains_all were verified by 12 focused tests and 50 total tests; PR #8 merged to main in 7222c81.</x:v>
      </x:c>
      <x:c r="K14" s="83" t="str">
        <x:v>Comparison remains independent of loading. Exact matching is JSON-type-sensitive; set equality ignores order/duplicate count; missing candidate paths fail; invalid reference/configuration raises CheckConfigurationError. No blocker.</x:v>
      </x:c>
      <x:c r="L14" s="83" t="str">
        <x:v>Begin WBS 1.4 on feature/numeric-tolerance-checks; implement numeric_close and boundary/configuration tests.</x:v>
      </x:c>
      <x:c r="M14" s="83" t="str">
        <x:v>53f96cc — feature implementation; PR #8 / merge 7222c81; 269a070 — Gantt progress update</x:v>
      </x:c>
    </x:row>
    <x:row r="15">
      <x:c r="A15" s="83" t="str">
        <x:v>WB-011</x:v>
      </x:c>
      <x:c r="B15" s="84" t="n">
        <x:v>46208</x:v>
      </x:c>
      <x:c r="C15" s="83" t="str">
        <x:v>12:55 PM</x:v>
      </x:c>
      <x:c r="D15" s="83" t="str">
        <x:v>1:29 PM</x:v>
      </x:c>
      <x:c r="E15" s="83" t="str">
        <x:v>1.4</x:v>
      </x:c>
      <x:c r="F15" s="85" t="n">
        <x:v>0.5</x:v>
      </x:c>
      <x:c r="G15" s="178" t="n">
        <x:v>1</x:v>
      </x:c>
      <x:c r="H15" s="83" t="str">
        <x:v>Complete</x:v>
      </x:c>
      <x:c r="I15" s="83" t="str">
        <x:v>Implement, verify, merge, and operationally close numeric tolerance checks.</x:v>
      </x:c>
      <x:c r="J15" s="83" t="str">
        <x:v>numeric_close now supports evaluator-declared absolute tolerance, inclusive boundary behaviour, structured difference/tolerance evidence, and controlled numeric/configuration failures; 11 focused numeric tests, 11 deterministic-check tests, and 60 total tests passed.</x:v>
      </x:c>
      <x:c r="K15" s="83" t="str">
        <x:v>The exact tolerance boundary passes. Boolean and non-finite values are not valid numbers. Invalid candidate numeric values fail the check; invalid reference values or tolerance definitions raise CheckConfigurationError. No blocker.</x:v>
      </x:c>
      <x:c r="L15" s="83" t="str">
        <x:v>Begin WBS 1.5 on feature/weighted-scoring; combine gate and check results into score, pass/fail, failure modes, and structured evidence.</x:v>
      </x:c>
      <x:c r="M15" s="83" t="str">
        <x:v>31015c9 — feature implementation; PR #9 / merge 1fbb45d</x:v>
      </x:c>
    </x:row>
    <x:row r="16">
      <x:c r="A16" s="83" t="str">
        <x:v>WB-012</x:v>
      </x:c>
      <x:c r="B16" s="84" t="n">
        <x:v>46208</x:v>
      </x:c>
      <x:c r="C16" s="83" t="str">
        <x:v>1:29 PM</x:v>
      </x:c>
      <x:c r="D16" s="83" t="str">
        <x:v>1:48 PM</x:v>
      </x:c>
      <x:c r="E16" s="83" t="str">
        <x:v>1.5</x:v>
      </x:c>
      <x:c r="F16" s="85" t="n">
        <x:v>0.32</x:v>
      </x:c>
      <x:c r="G16" s="178" t="n">
        <x:v>1</x:v>
      </x:c>
      <x:c r="H16" s="83" t="str">
        <x:v>Complete</x:v>
      </x:c>
      <x:c r="I16" s="83" t="str">
        <x:v>Implement, verify, merge, and operationally close weighted scoring and structured failure evidence.</x:v>
      </x:c>
      <x:c r="J16" s="83" t="str">
        <x:v>Added a separate scoring module for gate_then_weighted_checks; failed gates force score 0.0; passed check weights determine score; evaluator pass_threshold determines overall pass/fail; gate/check failure evidence is preserved. Seventeen focused tests and 77 total tests passed.</x:v>
      </x:c>
      <x:c r="K16" s="83" t="str">
        <x:v>Use inclusive threshold comparison. Evaluator weights must sum to 1.0. Gate failure may terminate without check results; malformed scoring inputs fail with ScoringConfigurationError. No blocker.</x:v>
      </x:c>
      <x:c r="L16" s="83" t="str">
        <x:v>Begin WBS 2.1 on feature/evaluate-cli; integrate candidate loading, mandatory gates, deterministic checks, and weighted scoring into one stable CLI command.</x:v>
      </x:c>
      <x:c r="M16" s="83" t="str">
        <x:v>bd34af8 — feature implementation; PR #10 / merge 27a8e59</x:v>
      </x:c>
    </x:row>
    <x:row r="17">
      <x:c r="A17" s="83" t="str">
        <x:v>WB-013</x:v>
      </x:c>
      <x:c r="B17" s="84" t="n">
        <x:v>46208</x:v>
      </x:c>
      <x:c r="C17" s="83" t="str">
        <x:v>1:48 PM</x:v>
      </x:c>
      <x:c r="D17" s="83" t="str">
        <x:v>2:29 PM</x:v>
      </x:c>
      <x:c r="E17" s="83" t="str">
        <x:v>2.1</x:v>
      </x:c>
      <x:c r="F17" s="85" t="n">
        <x:v>0.7</x:v>
      </x:c>
      <x:c r="G17" s="178" t="n">
        <x:v>1</x:v>
      </x:c>
      <x:c r="H17" s="83" t="str">
        <x:v>Complete</x:v>
      </x:c>
      <x:c r="I17" s="83" t="str">
        <x:v>Implement, verify, merge, and operationally close the end-to-end evaluate CLI command.</x:v>
      </x:c>
      <x:c r="J17" s="83" t="str">
        <x:v>Added mech-eval evaluate orchestration across case loading, mandatory gates, candidate validation, deterministic checks, and weighted scoring; stable human-readable output and exit codes; five focused CLI tests and 82 total tests passed. Installed CLI verified exit 0 for pass, 1 for failed check or gate, and 2 for unknown-case configuration failure.</x:v>
      </x:c>
      <x:c r="K17" s="83" t="str">
        <x:v>Treat malformed or unsuccessful candidate artifacts as evaluated failures (exit 1); treat invalid case/evaluator/reference configuration as exit 2; reserve exit 3 for unexpected internal failure. Keep result persistence deferred until the structured result contract is defined. No blocker.</x:v>
      </x:c>
      <x:c r="L17" s="83" t="str">
        <x:v>Begin WBS 2.2 on feature/result-schema; define the minimum runtime-agnostic structured result schema and Python model before persistence.</x:v>
      </x:c>
      <x:c r="M17" s="83" t="str">
        <x:v>0ee3c48 — Add evaluate CLI command and exit codes; PR merged and main verified</x:v>
      </x:c>
    </x:row>
    <x:row r="18">
      <x:c r="A18" s="83" t="str">
        <x:v>WB-014</x:v>
      </x:c>
      <x:c r="B18" s="84" t="n">
        <x:v>46208</x:v>
      </x:c>
      <x:c r="C18" s="83" t="str">
        <x:v>2:29 PM</x:v>
      </x:c>
      <x:c r="D18" s="83" t="str">
        <x:v>2:47 PM</x:v>
      </x:c>
      <x:c r="E18" s="83" t="str">
        <x:v>2.2</x:v>
      </x:c>
      <x:c r="F18" s="85" t="n">
        <x:v>0.3</x:v>
      </x:c>
      <x:c r="G18" s="178" t="n">
        <x:v>1</x:v>
      </x:c>
      <x:c r="H18" s="83" t="str">
        <x:v>Complete</x:v>
      </x:c>
      <x:c r="I18" s="83" t="str">
        <x:v>Define, implement, verify, merge, and operationally close the structured evaluation result schema and Python model.</x:v>
      </x:c>
      <x:c r="J18" s="83" t="str">
        <x:v>Added versioned result.schema.json and immutable result dataclasses with JSON serialization, component versions, candidate/reference artifact references, aggregate scoring, complete gate/check records, typed expected/actual values, failure evidence, and evidence-location/source-reference extension points. Nine focused tests and 91 total tests passed.</x:v>
      </x:c>
      <x:c r="K18" s="83" t="str">
        <x:v>Keep generated run evidence separate from versioned case definitions. Preserve strict internal consistency between gates, checks, score, pass/fail, and failure evidence. Standardize repository JSON/Python files as UTF-8 without BOM. Defer run-directory persistence to WBS 2.3. No blocker.</x:v>
      </x:c>
      <x:c r="L18" s="83" t="str">
        <x:v>Begin WBS 2.3 on feature/result-persistence; write immutable timestamped result.json records without overwriting prior evidence.</x:v>
      </x:c>
      <x:c r="M18" s="83" t="str">
        <x:v>b6d6c21 — Add structured evaluation result model; PR #12 / merge b56f217</x:v>
      </x:c>
    </x:row>
    <x:row r="19">
      <x:c r="A19" s="83" t="str">
        <x:v>WB-015</x:v>
      </x:c>
      <x:c r="B19" s="84" t="n">
        <x:v>46208</x:v>
      </x:c>
      <x:c r="C19" s="83" t="str">
        <x:v>2:47 PM</x:v>
      </x:c>
      <x:c r="D19" s="83" t="str">
        <x:v>3:10 PM</x:v>
      </x:c>
      <x:c r="E19" s="83" t="str">
        <x:v>2.3</x:v>
      </x:c>
      <x:c r="F19" s="85" t="n">
        <x:v>0.38</x:v>
      </x:c>
      <x:c r="G19" s="178" t="n">
        <x:v>1</x:v>
      </x:c>
      <x:c r="H19" s="83" t="str">
        <x:v>Complete</x:v>
      </x:c>
      <x:c r="I19" s="83" t="str">
        <x:v>Implement, verify, merge, and operationally close immutable local result persistence.</x:v>
      </x:c>
      <x:c r="J19" s="83" t="str">
        <x:v>Added safe UTC run IDs and immutable schema-valid result.json persistence under runs/&lt;run_id&gt;/; protected against collisions and unsafe run IDs; integrated CLI persistence for pass and evaluated-fail outcomes; preserved candidate-schema failures as structured failed gates; five persistence tests, five CLI integration tests, and 96 total tests passed. Installed CLI smoke test confirmed default runs/ output, BOM-free UTF-8, schema validity, and Git ignore treatment.</x:v>
      </x:c>
      <x:c r="K19" s="83" t="str">
        <x:v>Persist only completed evaluation outcomes. Do not write misleading result records for configuration or unexpected internal failures. Generated run evidence remains outside versioned benchmark inputs and excluded from Git. No blocker.</x:v>
      </x:c>
      <x:c r="L19" s="83" t="str">
        <x:v>Begin WBS 2.4 on feature/example-candidates; add one passing and two representative failing candidate artifacts and verify them end-to-end.</x:v>
      </x:c>
      <x:c r="M19" s="83" t="str">
        <x:v>e03a2e8 — Persist immutable evaluation result records; PR #13 / merge e56fc92; src/mech_eval_harness/persistence.py; tests/test_result_persistence.py; tests/test_cli_evaluate.py</x:v>
      </x:c>
    </x:row>
    <x:row r="20">
      <x:c r="A20" s="83" t="str">
        <x:v>WB-016</x:v>
      </x:c>
      <x:c r="B20" s="84" t="n">
        <x:v>46208</x:v>
      </x:c>
      <x:c r="C20" s="83" t="str">
        <x:v>3:10 PM</x:v>
      </x:c>
      <x:c r="D20" s="83" t="str">
        <x:v>3:22 PM</x:v>
      </x:c>
      <x:c r="E20" s="83" t="str">
        <x:v>2.4</x:v>
      </x:c>
      <x:c r="F20" s="85" t="n">
        <x:v>0.2</x:v>
      </x:c>
      <x:c r="G20" s="178" t="n">
        <x:v>1</x:v>
      </x:c>
      <x:c r="H20" s="83" t="str">
        <x:v>Complete</x:v>
      </x:c>
      <x:c r="I20" s="83" t="str">
        <x:v>Create, verify, merge, and operationally close representative pass/fail candidate artifacts.</x:v>
      </x:c>
      <x:c r="J20" s="83" t="str">
        <x:v>Added versioned MECH-002 valid, unit-error, and incomplete candidate fixtures plus concise documentation and end-to-end regression tests. Installed CLI smoke test confirmed exit 0 / score 1.00 for pass, exit 1 / score 0.75 with UNIT_ERROR, and exit 1 / score 0.00 with INCOMPLETE_DELIVERABLE. Three focused tests and 99 total tests passed.</x:v>
      </x:c>
      <x:c r="K20" s="83" t="str">
        <x:v>Use synthetic versioned candidate fixtures to demonstrate expected quality outcomes. Lock expected exit code, score, failure source/item/mode, and immutable result behaviour in regression tests. Keep generated runs outside version control. No blocker.</x:v>
      </x:c>
      <x:c r="L20" s="83" t="str">
        <x:v>Begin WBS 3.1 on feature/seed-case-verification; independently verify the engineering correctness, references, tolerances, and intended failure modes for MECH-001 through MECH-003.</x:v>
      </x:c>
      <x:c r="M20" s="83" t="str">
        <x:v>271224e — Add representative MECH-002 candidate examples; PR #14 / merge 7e38b3f</x:v>
      </x:c>
    </x:row>
    <x:row r="21">
      <x:c r="A21" s="83" t="str">
        <x:v>WB-017</x:v>
      </x:c>
      <x:c r="B21" s="84" t="n">
        <x:v>46208</x:v>
      </x:c>
      <x:c r="C21" s="83" t="str">
        <x:v>3:22 PM</x:v>
      </x:c>
      <x:c r="D21" s="83" t="str">
        <x:v>4:17 PM</x:v>
      </x:c>
      <x:c r="E21" s="83" t="str">
        <x:v>3.1</x:v>
      </x:c>
      <x:c r="F21" s="85" t="n">
        <x:v>0.92</x:v>
      </x:c>
      <x:c r="G21" s="178" t="n">
        <x:v>1</x:v>
      </x:c>
      <x:c r="H21" s="83" t="str">
        <x:v>Complete</x:v>
      </x:c>
      <x:c r="I21" s="83" t="str">
        <x:v>Independently verify, correct, test, merge, and operationally close the three seed benchmark cases.</x:v>
      </x:c>
      <x:c r="J21" s="83" t="str">
        <x:v>Recalculated MECH-001 clearance/fit, MECH-002 shaft power, and MECH-003 revision-audit findings; corrected five source/evaluator defects; added a 118-line verification record and four regression tests; encoding audit passed; 103 total tests and all three repository cases passed; PR #15 merged.</x:v>
      </x:c>
      <x:c r="K21" s="83" t="str">
        <x:v>Require independent engineering verification and regression evidence before benchmark admission. Treat failure taxonomy as part of case correctness. Use explicit UTF-8 handling and unambiguous ASCII formula operators in benchmark source files. No blocker.</x:v>
      </x:c>
      <x:c r="L21" s="83" t="str">
        <x:v>Begin WBS 3.2 on feature/additional-cases; select two non-redundant, economically meaningful mechanical workflows and define valid deterministic case packages.</x:v>
      </x:c>
      <x:c r="M21" s="83" t="str">
        <x:v>e977b48 — Verify seed cases and correct benchmark defects; PR #15 / merge 318d5ce; docs/seed-case-verification.md; tests/test_seed_case_verification.py</x:v>
      </x:c>
    </x:row>
    <x:row r="22">
      <x:c r="A22" s="83" t="str">
        <x:v>WB-018</x:v>
      </x:c>
      <x:c r="B22" s="84" t="n">
        <x:v>46208</x:v>
      </x:c>
      <x:c r="C22" s="83" t="str">
        <x:v>4:17 PM</x:v>
      </x:c>
      <x:c r="D22" s="83" t="str">
        <x:v>4:55 PM</x:v>
      </x:c>
      <x:c r="E22" s="83" t="str">
        <x:v>3.2</x:v>
      </x:c>
      <x:c r="F22" s="85" t="n">
        <x:v>0.63</x:v>
      </x:c>
      <x:c r="G22" s="178" t="n">
        <x:v>1</x:v>
      </x:c>
      <x:c r="H22" s="83" t="str">
        <x:v>Complete</x:v>
      </x:c>
      <x:c r="I22" s="83" t="str">
        <x:v>Select, author, independently verify, test, merge, and operationally close two additional synthetic benchmark cases.</x:v>
      </x:c>
      <x:c r="J22" s="83" t="str">
        <x:v>Added MECH-004 BOM reconciliation and MECH-005 thermal expansion case packages, task/evaluator specifications, valid and representative failing candidates, independent verification documentation, CLI smoke evidence, and focused regression tests. Five cases validate and the full 111-test suite passes.</x:v>
      </x:c>
      <x:c r="K22" s="83" t="str">
        <x:v>Use existing deterministic evaluator kinds where practical. Cross-document set comparison and unit-sensitive calculation added meaningful workflow coverage without expanding the engine. The evaluator schema supports absolute tolerance only; unsupported relative_tolerance fields were removed. No blocker.</x:v>
      </x:c>
      <x:c r="L22" s="83" t="str">
        <x:v>Begin WBS 3.3 on feature/held-out-split; assign at least one held-out case and record provenance, correctness, evaluability, freeze, and no-tuning controls.</x:v>
      </x:c>
      <x:c r="M22" s="83" t="str">
        <x:v>634ef11 — Add BOM reconciliation and thermal expansion cases; PR #16 / merge 50df7a9</x:v>
      </x:c>
    </x:row>
    <x:row r="23">
      <x:c r="A23" s="431" t="str">
        <x:v>WB-019</x:v>
      </x:c>
      <x:c r="B23" s="491" t="n">
        <x:v>46208</x:v>
      </x:c>
      <x:c r="C23" s="431" t="str">
        <x:v>4:55 PM</x:v>
      </x:c>
      <x:c r="D23" s="431" t="str">
        <x:v>5:07 PM</x:v>
      </x:c>
      <x:c r="E23" s="431" t="str">
        <x:v>3.3</x:v>
      </x:c>
      <x:c r="F23" s="432" t="n">
        <x:v>0.2</x:v>
      </x:c>
      <x:c r="G23" s="433" t="n">
        <x:v>1</x:v>
      </x:c>
      <x:c r="H23" s="431" t="str">
        <x:v>Complete</x:v>
      </x:c>
      <x:c r="I23" s="431" t="str">
        <x:v>Freeze the MVP benchmark split, document review and prior-exposure limitations, add leakage controls, merge, and operationally close WBS 3.3.</x:v>
      </x:c>
      <x:c r="J23" s="431" t="str">
        <x:v>Designated MECH-003 as the MVP v1 held-out validation case; versioned benchmarks/mvp_v1/split.json and review-checklist.md; added five regression tests for complete/unique membership, metadata agreement, held-out candidate leakage, control disclosure, and checklist consistency. PR #17 merged; five cases validate and 116 total tests pass.</x:v>
      </x:c>
      <x:c r="K23" s="431" t="str">
        <x:v>Treat MECH-003 as a frozen validation case, not a pristine blind benchmark. Keep MECH-001, MECH-002, MECH-004, and MECH-005 in development; prohibit versioned MECH-003 candidate fixtures and tuning against held-out outcomes; report development and held-out results separately. No blocker.</x:v>
      </x:c>
      <x:c r="L23" s="431" t="str">
        <x:v>Begin WBS 3.4 on feature/baseline-benchmark; run the five-case baseline using the frozen split, preserve generated evidence separately, and summarize representative failures and limitations.</x:v>
      </x:c>
      <x:c r="M23" s="431" t="str">
        <x:v>ab63155 — Freeze MVP benchmark split and add leakage controls; PR #17 / merge 825d7ff</x:v>
      </x:c>
    </x:row>
    <x:row r="24">
      <x:c r="A24" s="83" t="str">
        <x:v>WB-020</x:v>
      </x:c>
      <x:c r="B24" s="84" t="n">
        <x:v>46208</x:v>
      </x:c>
      <x:c r="C24" s="83" t="str">
        <x:v>5:07 PM</x:v>
      </x:c>
      <x:c r="D24" s="83" t="str">
        <x:v>5:20 PM</x:v>
      </x:c>
      <x:c r="E24" s="83" t="str">
        <x:v>3.4</x:v>
      </x:c>
      <x:c r="F24" s="85" t="n">
        <x:v>0.22</x:v>
      </x:c>
      <x:c r="G24" s="178" t="n">
        <x:v>1</x:v>
      </x:c>
      <x:c r="H24" s="83" t="str">
        <x:v>Complete</x:v>
      </x:c>
      <x:c r="I24" s="83" t="str">
        <x:v>Execute, verify, merge, and operationally close the reproducible MVP v1 harness-verification baseline.</x:v>
      </x:c>
      <x:c r="J24" s="83" t="str">
        <x:v>Added scripts/run_mvp_baseline.py, evidence/mvp_v1_baseline/{summary.json,report.md}, and tests/test_mvp_baseline.py. The runner executed five oracle scenarios and four curated fault-injection scenarios, preserved nine immutable raw result records under ignored runs/, and reproduced the full baseline in isolated test directories.</x:v>
      </x:c>
      <x:c r="K24" s="83" t="str">
        <x:v>Treat this as harness-verification evidence only, not model or agent performance evidence. Report development and held-out outcomes separately, preserve the MECH-003 prior-exposure disclosure, keep raw runs separate from versioned benchmark inputs, and do not tune against held-out outcomes. No blocker.</x:v>
      </x:c>
      <x:c r="L24" s="83" t="str">
        <x:v>Begin WBS 4.2 on feature/github-actions-ci; add a minimal push/PR test workflow and prove red/green behaviour with a seeded failure.</x:v>
      </x:c>
      <x:c r="M24" s="83" t="str">
        <x:v>e0746d7 — Add reproducible MVP baseline benchmark; PR #18 merged (merge hash not captured in transcript)</x:v>
      </x:c>
    </x:row>
    <x:row r="25">
      <x:c r="A25" s="83" t="str">
        <x:v>WB-021</x:v>
      </x:c>
      <x:c r="B25" s="84" t="n">
        <x:v>46208</x:v>
      </x:c>
      <x:c r="C25" s="83" t="str">
        <x:v>5:27 PM</x:v>
      </x:c>
      <x:c r="D25" s="83" t="str">
        <x:v>5:43 PM</x:v>
      </x:c>
      <x:c r="E25" s="83" t="str">
        <x:v>4.2</x:v>
      </x:c>
      <x:c r="F25" s="85" t="n">
        <x:v>0.27</x:v>
      </x:c>
      <x:c r="G25" s="178" t="n">
        <x:v>1</x:v>
      </x:c>
      <x:c r="H25" s="83" t="str">
        <x:v>Complete</x:v>
      </x:c>
      <x:c r="I25" s="83" t="str">
        <x:v>Add, prove, merge, and operationally close a minimal GitHub Actions CI quality gate.</x:v>
      </x:c>
      <x:c r="J25" s="83" t="str">
        <x:v>Added .github/workflows/ci.yml for push and pull-request events using Ubuntu and Python 3.12. The clean runner installs the editable package with development dependencies, validates the five-case repository, and runs the complete pytest suite. Commit 80a26fe produced the expected controlled red run; commit 22713e4 removed only the seed and produced a green run. PR #19 merged in 5dc3f41. Post-merge local verification again passed five cases and 120 tests.</x:v>
      </x:c>
      <x:c r="K25" s="83" t="str">
        <x:v>Use one minimal Python 3.12 CI job as the MVP release gate. Preserve the intentional red run and corrected green run as acceptance evidence. Defer Python matrices, coverage thresholds, deployment automation, Docker, and unrelated quality tooling. The visible annotation warning was non-blocking. No blocker.</x:v>
      </x:c>
      <x:c r="L25" s="83" t="str">
        <x:v>Begin WBS 4.3 on feature/readme-architecture; make README.md and docs/architecture.md accurately explain setup, CLI usage, benchmark controls, baseline evidence, immutable results, CI, limitations, and the human-review boundary.</x:v>
      </x:c>
      <x:c r="M25" s="83" t="str">
        <x:v>80a26fe — Add CI workflow with seeded failure; 22713e4 — Remove seeded CI failure; PR #19 / merge 5dc3f41; .github/workflows/ci.yml; GitHub Actions runs #1–#3</x:v>
      </x:c>
    </x:row>
    <x:row r="26">
      <x:c r="A26" s="83" t="str">
        <x:v>WB-022</x:v>
      </x:c>
      <x:c r="B26" s="84" t="n">
        <x:v>46208</x:v>
      </x:c>
      <x:c r="C26" s="83" t="str">
        <x:v>5:43 PM</x:v>
      </x:c>
      <x:c r="D26" s="83" t="str">
        <x:v>6:10 PM</x:v>
      </x:c>
      <x:c r="E26" s="83" t="str">
        <x:v>4.3</x:v>
      </x:c>
      <x:c r="F26" s="85" t="n">
        <x:v>0.45</x:v>
      </x:c>
      <x:c r="G26" s="178" t="n">
        <x:v>1</x:v>
      </x:c>
      <x:c r="H26" s="83" t="str">
        <x:v>Complete</x:v>
      </x:c>
      <x:c r="I26" s="83" t="str">
        <x:v>Audit, rewrite, verify, merge, and operationally close the release-ready README and architecture documentation.</x:v>
      </x:c>
      <x:c r="J26" s="83" t="str">
        <x:v>Replaced stale Month 1 documentation with implementation-accurate README.md and docs/architecture.md. Documented clean installation, validate/list/inspect/evaluate CLI usage, exit codes 0–3, five-case benchmark and held-out controls, harness-verification baseline limits, immutable results, GitHub Actions behaviour, architecture boundaries, failure layers, extension points, and qualified-human review limits. PR #20 merged; five cases validate and 120 tests pass.</x:v>
      </x:c>
      <x:c r="K26" s="83" t="str">
        <x:v>Treat README and architecture as release-contract documentation for implemented behaviour, not planned capability. Preserve explicit MECH-003 prior-exposure and baseline claim limitations; keep agent, multimodal, API/database, observability, deployment, governance-pack, and RL implementation deferred. No blocker.</x:v>
      </x:c>
      <x:c r="L26" s="83" t="str">
        <x:v>Begin WBS 5.1 on feature/portfolio-demo; create one concise scripted terminal demo that shows a passing candidate, a representative failure with evidence, and the immutable result-record path. No frontend.</x:v>
      </x:c>
      <x:c r="M26" s="83" t="str">
        <x:v>ac8d6dd — Complete README and architecture documentation; PR #20 / merge 2b98214; README.md; docs/architecture.md; five-case validation; 120 tests</x:v>
      </x:c>
    </x:row>
    <x:row r="27">
      <x:c r="A27" s="83" t="str">
        <x:v>WB-023</x:v>
      </x:c>
      <x:c r="B27" s="84" t="n">
        <x:v>46208</x:v>
      </x:c>
      <x:c r="C27" s="83" t="str">
        <x:v>6:10 PM</x:v>
      </x:c>
      <x:c r="D27" s="83" t="str">
        <x:v>6:28 PM</x:v>
      </x:c>
      <x:c r="E27" s="83" t="str">
        <x:v>5.1</x:v>
      </x:c>
      <x:c r="F27" s="85" t="n">
        <x:v>0.3</x:v>
      </x:c>
      <x:c r="G27" s="178" t="n">
        <x:v>1</x:v>
      </x:c>
      <x:c r="H27" s="83" t="str">
        <x:v>Complete</x:v>
      </x:c>
      <x:c r="I27" s="83" t="str">
        <x:v>Create, verify, merge, and operationally close a deterministic terminal-first portfolio demo for the MVP harness.</x:v>
      </x:c>
      <x:c r="J27" s="83" t="str">
        <x:v>Added scripts/run_portfolio_demo.py, tests/test_portfolio_demo.py, docs/portfolio_demo.md, evidence/portfolio_demo/report.md, and a top-level README link. The demo reuses committed MECH-002 candidates, verifies a passing artifact at score 1.00 and a structurally valid unit-error artifact at score 0.75 with UNIT_ERROR, checks expected exit codes, and verifies immutable result persistence. PR #21 merged; five cases validate and 121 tests pass.</x:v>
      </x:c>
      <x:c r="K27" s="83" t="str">
        <x:v>Use the public CLI as the demo boundary rather than adding new evaluator logic or a frontend. Version the script, regression test, walkthrough, and concise evidence report; keep generated raw run records outside Git. Treat the demo as harness-behaviour evidence only, not AI/model/agent performance or engineering sign-off. Gate 5 accepted. No blocker.</x:v>
      </x:c>
      <x:c r="L27" s="83" t="str">
        <x:v>Begin WBS 5.2 on feature/release-notes; write concise v0.1.0 release notes and explicit limitations consistent with the implemented repository and accepted claim boundaries.</x:v>
      </x:c>
      <x:c r="M27" s="83" t="str">
        <x:v>599402c — Add reproducible portfolio demo; PR #21 / merge c15393d; scripts/run_portfolio_demo.py; tests/test_portfolio_demo.py; docs/portfolio_demo.md; evidence/portfolio_demo/report.md; five-case validation; 121 tests; demo 2/2 verified</x:v>
      </x:c>
    </x:row>
    <x:row r="28">
      <x:c r="A28" s="83" t="str">
        <x:v>WB-024</x:v>
      </x:c>
      <x:c r="B28" s="84" t="n">
        <x:v>46208</x:v>
      </x:c>
      <x:c r="C28" s="83" t="str">
        <x:v>6:28 PM</x:v>
      </x:c>
      <x:c r="D28" s="83" t="str">
        <x:v>6:35 PM</x:v>
      </x:c>
      <x:c r="E28" s="83" t="str">
        <x:v>5.2</x:v>
      </x:c>
      <x:c r="F28" s="85" t="n">
        <x:v>0.12</x:v>
      </x:c>
      <x:c r="G28" s="178" t="n">
        <x:v>1</x:v>
      </x:c>
      <x:c r="H28" s="83" t="str">
        <x:v>Complete</x:v>
      </x:c>
      <x:c r="I28" s="83" t="str">
        <x:v>Create, verify, merge, and operationally close the versioned release notes and limitations for the first tagged MVP release.</x:v>
      </x:c>
      <x:c r="J28" s="83" t="str">
        <x:v>Added docs/release_notes_v0.2.0.md and docs/limitations.md, linked both from README.md, resolved the release-version inconsistency in favor of v0.2.0 using pyproject.toml and persisted harness_version evidence, and documented implemented scope, benchmark contamination limits, harness-only baseline claims, result-record limits, security/interface constraints, deferred capabilities, and qualified-human review boundaries. PR #22 merged; five cases validate and 121 tests pass.</x:v>
      </x:c>
      <x:c r="K28" s="83" t="str">
        <x:v>Use v0.2.0 as the release target because both package metadata and persisted result records already identify the harness as 0.2.0. Do not downgrade the package or create v0.1.0. Treat release documentation as claim-control evidence; no model/agent performance, pristine-blind held-out, engineering-authority, deployment, multimodal, API/database, observability, governance-pack, or RL claims. No blocker.</x:v>
      </x:c>
      <x:c r="L28" s="83" t="str">
        <x:v>Begin WBS 5.3 final acceptance on release/v0.2.0; execute a clean release-candidate verification, confirm documentation/version consistency, create the v0.2.0 tag only after acceptance passes, and capture final release evidence.</x:v>
      </x:c>
      <x:c r="M28" s="83" t="str">
        <x:v>64db931 — Add v0.2.0 release notes and limitations; PR #22 / merge 0f8adbe; README.md; docs/release_notes_v0.2.0.md; docs/limitations.md; five-case validation; 121 tests</x:v>
      </x:c>
    </x:row>
    <x:row r="29">
      <x:c r="A29" s="83" t="str">
        <x:v>WB-025</x:v>
      </x:c>
      <x:c r="B29" s="84" t="n">
        <x:v>46208</x:v>
      </x:c>
      <x:c r="C29" s="83" t="str">
        <x:v>6:35 PM</x:v>
      </x:c>
      <x:c r="D29" s="83" t="str">
        <x:v>6:50 PM</x:v>
      </x:c>
      <x:c r="E29" s="83" t="str">
        <x:v>5.3</x:v>
      </x:c>
      <x:c r="F29" s="85" t="n">
        <x:v>0.25</x:v>
      </x:c>
      <x:c r="G29" s="178" t="n">
        <x:v>1</x:v>
      </x:c>
      <x:c r="H29" s="83" t="str">
        <x:v>Complete</x:v>
      </x:c>
      <x:c r="I29" s="83" t="str">
        <x:v>Execute the clean-clone final acceptance matrix, verify release integrity, create and push the annotated v0.2.0 tag, and close the MVP.</x:v>
      </x:c>
      <x:c r="J29" s="83" t="str">
        <x:v>Verified accepted commit 45336a21c9c5f4dcd4b3bd009d05183621061b5d in a fresh Python 3.12.6 clone. Installed package version 0.2.0; five cases validated; 121 tests passed; nine baseline scenarios and two portfolio-demo scenarios reproduced; eleven generated results reported harness_version 0.2.0; required claim boundaries were present; clean-clone Git state remained clean. Created and pushed annotated tag v0.2.0; remote peeled tag resolves to the accepted commit.</x:v>
      </x:c>
      <x:c r="K29" s="83" t="str">
        <x:v>Accept v0.2.0 as the completed MVP release. Treat two earlier acceptance-wrapper failures as tooling defects, not product failures; the final clean-clone pass supersedes them. Close WBS 4.1 without separate hours because regression tests were delivered and logged within capability WBS items; avoid double-counting. Preserve the benchmark and professional-boundary limitations. No blocker.</x:v>
      </x:c>
      <x:c r="L29" s="83" t="str">
        <x:v>Freeze the v0.2.0 release baseline. Commit the post-release acceptance report, summary, and final Gantt closeout; then conduct a separate post-MVP backlog-selection block before starting new implementation.</x:v>
      </x:c>
      <x:c r="M29" s="83" t="str">
        <x:v>v0.2.0 annotated tag; accepted commit 45336a2; tag object 8d426d2; clean Python 3.12.6 clone; five-case validation; 121 tests; baseline 9/9; demo 2/2; 11 result versions verified; EV-028</x:v>
      </x:c>
    </x:row>
    <x:row r="30">
      <x:c r="A30" s="83"/>
      <x:c r="B30" s="84"/>
      <x:c r="C30" s="83"/>
      <x:c r="D30" s="83"/>
      <x:c r="E30" s="83"/>
      <x:c r="F30" s="85"/>
      <x:c r="G30" s="178"/>
      <x:c r="H30" s="83"/>
      <x:c r="I30" s="83"/>
      <x:c r="J30" s="83"/>
      <x:c r="K30" s="83"/>
      <x:c r="L30" s="83"/>
      <x:c r="M30" s="83"/>
    </x:row>
    <x:row r="31">
      <x:c r="A31" s="83"/>
      <x:c r="B31" s="84"/>
      <x:c r="C31" s="83"/>
      <x:c r="D31" s="83"/>
      <x:c r="E31" s="83"/>
      <x:c r="F31" s="85"/>
      <x:c r="G31" s="178"/>
      <x:c r="H31" s="83"/>
      <x:c r="I31" s="83"/>
      <x:c r="J31" s="83"/>
      <x:c r="K31" s="83"/>
      <x:c r="L31" s="83"/>
      <x:c r="M31" s="83"/>
    </x:row>
    <x:row r="32">
      <x:c r="A32" s="83"/>
      <x:c r="B32" s="84"/>
      <x:c r="C32" s="83"/>
      <x:c r="D32" s="83"/>
      <x:c r="E32" s="83"/>
      <x:c r="F32" s="85"/>
      <x:c r="G32" s="178"/>
      <x:c r="H32" s="83"/>
      <x:c r="I32" s="83"/>
      <x:c r="J32" s="83"/>
      <x:c r="K32" s="83"/>
      <x:c r="L32" s="83"/>
      <x:c r="M32" s="83"/>
    </x:row>
    <x:row r="33">
      <x:c r="A33" s="83"/>
      <x:c r="B33" s="84"/>
      <x:c r="C33" s="83"/>
      <x:c r="D33" s="83"/>
      <x:c r="E33" s="83"/>
      <x:c r="F33" s="85"/>
      <x:c r="G33" s="178"/>
      <x:c r="H33" s="83"/>
      <x:c r="I33" s="83"/>
      <x:c r="J33" s="83"/>
      <x:c r="K33" s="83"/>
      <x:c r="L33" s="83"/>
      <x:c r="M33" s="83"/>
    </x:row>
    <x:row r="34">
      <x:c r="A34" s="83"/>
      <x:c r="B34" s="84"/>
      <x:c r="C34" s="83"/>
      <x:c r="D34" s="83"/>
      <x:c r="E34" s="83"/>
      <x:c r="F34" s="85"/>
      <x:c r="G34" s="178"/>
      <x:c r="H34" s="83"/>
      <x:c r="I34" s="83"/>
      <x:c r="J34" s="83"/>
      <x:c r="K34" s="83"/>
      <x:c r="L34" s="83"/>
      <x:c r="M34" s="83"/>
    </x:row>
    <x:row r="35">
      <x:c r="A35" s="83"/>
      <x:c r="B35" s="84"/>
      <x:c r="C35" s="83"/>
      <x:c r="D35" s="83"/>
      <x:c r="E35" s="83"/>
      <x:c r="F35" s="85"/>
      <x:c r="G35" s="178"/>
      <x:c r="H35" s="83"/>
      <x:c r="I35" s="83"/>
      <x:c r="J35" s="83"/>
      <x:c r="K35" s="83"/>
      <x:c r="L35" s="83"/>
      <x:c r="M35" s="83"/>
    </x:row>
    <x:row r="36">
      <x:c r="A36" s="83"/>
      <x:c r="B36" s="84"/>
      <x:c r="C36" s="83"/>
      <x:c r="D36" s="83"/>
      <x:c r="E36" s="83"/>
      <x:c r="F36" s="85"/>
      <x:c r="G36" s="178"/>
      <x:c r="H36" s="83"/>
      <x:c r="I36" s="83"/>
      <x:c r="J36" s="83"/>
      <x:c r="K36" s="83"/>
      <x:c r="L36" s="83"/>
      <x:c r="M36" s="83"/>
    </x:row>
    <x:row r="37">
      <x:c r="A37" s="83"/>
      <x:c r="B37" s="84"/>
      <x:c r="C37" s="83"/>
      <x:c r="D37" s="83"/>
      <x:c r="E37" s="83"/>
      <x:c r="F37" s="85"/>
      <x:c r="G37" s="178"/>
      <x:c r="H37" s="83"/>
      <x:c r="I37" s="83"/>
      <x:c r="J37" s="83"/>
      <x:c r="K37" s="83"/>
      <x:c r="L37" s="83"/>
      <x:c r="M37" s="83"/>
    </x:row>
    <x:row r="38">
      <x:c r="A38" s="83"/>
      <x:c r="B38" s="84"/>
      <x:c r="C38" s="83"/>
      <x:c r="D38" s="83"/>
      <x:c r="E38" s="83"/>
      <x:c r="F38" s="85"/>
      <x:c r="G38" s="178"/>
      <x:c r="H38" s="83"/>
      <x:c r="I38" s="83"/>
      <x:c r="J38" s="83"/>
      <x:c r="K38" s="83"/>
      <x:c r="L38" s="83"/>
      <x:c r="M38" s="83"/>
    </x:row>
    <x:row r="39">
      <x:c r="A39" s="83"/>
      <x:c r="B39" s="84"/>
      <x:c r="C39" s="83"/>
      <x:c r="D39" s="83"/>
      <x:c r="E39" s="83"/>
      <x:c r="F39" s="85"/>
      <x:c r="G39" s="178"/>
      <x:c r="H39" s="83"/>
      <x:c r="I39" s="83"/>
      <x:c r="J39" s="83"/>
      <x:c r="K39" s="83"/>
      <x:c r="L39" s="83"/>
      <x:c r="M39" s="83"/>
    </x:row>
    <x:row r="40">
      <x:c r="A40" s="83"/>
      <x:c r="B40" s="84"/>
      <x:c r="C40" s="83"/>
      <x:c r="D40" s="83"/>
      <x:c r="E40" s="83"/>
      <x:c r="F40" s="85"/>
      <x:c r="G40" s="178"/>
      <x:c r="H40" s="83"/>
      <x:c r="I40" s="83"/>
      <x:c r="J40" s="83"/>
      <x:c r="K40" s="83"/>
      <x:c r="L40" s="83"/>
      <x:c r="M40" s="83"/>
    </x:row>
    <x:row r="41">
      <x:c r="A41" s="83"/>
      <x:c r="B41" s="84"/>
      <x:c r="C41" s="83"/>
      <x:c r="D41" s="83"/>
      <x:c r="E41" s="83"/>
      <x:c r="F41" s="85"/>
      <x:c r="G41" s="178"/>
      <x:c r="H41" s="83"/>
      <x:c r="I41" s="83"/>
      <x:c r="J41" s="83"/>
      <x:c r="K41" s="83"/>
      <x:c r="L41" s="83"/>
      <x:c r="M41" s="83"/>
    </x:row>
    <x:row r="42">
      <x:c r="A42" s="83"/>
      <x:c r="B42" s="84"/>
      <x:c r="C42" s="83"/>
      <x:c r="D42" s="83"/>
      <x:c r="E42" s="83"/>
      <x:c r="F42" s="85"/>
      <x:c r="G42" s="178"/>
      <x:c r="H42" s="83"/>
      <x:c r="I42" s="83"/>
      <x:c r="J42" s="83"/>
      <x:c r="K42" s="83"/>
      <x:c r="L42" s="83"/>
      <x:c r="M42" s="83"/>
    </x:row>
    <x:row r="43">
      <x:c r="A43" s="83"/>
      <x:c r="B43" s="84"/>
      <x:c r="C43" s="83"/>
      <x:c r="D43" s="83"/>
      <x:c r="E43" s="83"/>
      <x:c r="F43" s="85"/>
      <x:c r="G43" s="178"/>
      <x:c r="H43" s="83"/>
      <x:c r="I43" s="83"/>
      <x:c r="J43" s="83"/>
      <x:c r="K43" s="83"/>
      <x:c r="L43" s="83"/>
      <x:c r="M43" s="83"/>
    </x:row>
    <x:row r="44">
      <x:c r="A44" s="83"/>
      <x:c r="B44" s="84"/>
      <x:c r="C44" s="83"/>
      <x:c r="D44" s="83"/>
      <x:c r="E44" s="83"/>
      <x:c r="F44" s="85"/>
      <x:c r="G44" s="178"/>
      <x:c r="H44" s="83"/>
      <x:c r="I44" s="83"/>
      <x:c r="J44" s="83"/>
      <x:c r="K44" s="83"/>
      <x:c r="L44" s="83"/>
      <x:c r="M44" s="83"/>
    </x:row>
    <x:row r="45">
      <x:c r="A45" s="83"/>
      <x:c r="B45" s="84"/>
      <x:c r="C45" s="83"/>
      <x:c r="D45" s="83"/>
      <x:c r="E45" s="83"/>
      <x:c r="F45" s="85"/>
      <x:c r="G45" s="178"/>
      <x:c r="H45" s="83"/>
      <x:c r="I45" s="83"/>
      <x:c r="J45" s="83"/>
      <x:c r="K45" s="83"/>
      <x:c r="L45" s="83"/>
      <x:c r="M45" s="83"/>
    </x:row>
    <x:row r="46">
      <x:c r="A46" s="83"/>
      <x:c r="B46" s="84"/>
      <x:c r="C46" s="83"/>
      <x:c r="D46" s="83"/>
      <x:c r="E46" s="83"/>
      <x:c r="F46" s="85"/>
      <x:c r="G46" s="178"/>
      <x:c r="H46" s="83"/>
      <x:c r="I46" s="83"/>
      <x:c r="J46" s="83"/>
      <x:c r="K46" s="83"/>
      <x:c r="L46" s="83"/>
      <x:c r="M46" s="83"/>
    </x:row>
    <x:row r="47">
      <x:c r="A47" s="83"/>
      <x:c r="B47" s="84"/>
      <x:c r="C47" s="83"/>
      <x:c r="D47" s="83"/>
      <x:c r="E47" s="83"/>
      <x:c r="F47" s="85"/>
      <x:c r="G47" s="178"/>
      <x:c r="H47" s="83"/>
      <x:c r="I47" s="83"/>
      <x:c r="J47" s="83"/>
      <x:c r="K47" s="83"/>
      <x:c r="L47" s="83"/>
      <x:c r="M47" s="83"/>
    </x:row>
    <x:row r="48">
      <x:c r="A48" s="83"/>
      <x:c r="B48" s="84"/>
      <x:c r="C48" s="83"/>
      <x:c r="D48" s="83"/>
      <x:c r="E48" s="83"/>
      <x:c r="F48" s="85"/>
      <x:c r="G48" s="178"/>
      <x:c r="H48" s="83"/>
      <x:c r="I48" s="83"/>
      <x:c r="J48" s="83"/>
      <x:c r="K48" s="83"/>
      <x:c r="L48" s="83"/>
      <x:c r="M48" s="83"/>
    </x:row>
    <x:row r="49">
      <x:c r="A49" s="83"/>
      <x:c r="B49" s="84"/>
      <x:c r="C49" s="83"/>
      <x:c r="D49" s="83"/>
      <x:c r="E49" s="83"/>
      <x:c r="F49" s="85"/>
      <x:c r="G49" s="178"/>
      <x:c r="H49" s="83"/>
      <x:c r="I49" s="83"/>
      <x:c r="J49" s="83"/>
      <x:c r="K49" s="83"/>
      <x:c r="L49" s="83"/>
      <x:c r="M49" s="83"/>
    </x:row>
    <x:row r="50">
      <x:c r="A50" s="83"/>
      <x:c r="B50" s="84"/>
      <x:c r="C50" s="83"/>
      <x:c r="D50" s="83"/>
      <x:c r="E50" s="83"/>
      <x:c r="F50" s="85"/>
      <x:c r="G50" s="178"/>
      <x:c r="H50" s="83"/>
      <x:c r="I50" s="83"/>
      <x:c r="J50" s="83"/>
      <x:c r="K50" s="83"/>
      <x:c r="L50" s="83"/>
      <x:c r="M50" s="83"/>
    </x:row>
    <x:row r="51">
      <x:c r="A51" s="83"/>
      <x:c r="B51" s="84"/>
      <x:c r="C51" s="83"/>
      <x:c r="D51" s="83"/>
      <x:c r="E51" s="83"/>
      <x:c r="F51" s="85"/>
      <x:c r="G51" s="178"/>
      <x:c r="H51" s="83"/>
      <x:c r="I51" s="83"/>
      <x:c r="J51" s="83"/>
      <x:c r="K51" s="83"/>
      <x:c r="L51" s="83"/>
      <x:c r="M51" s="83"/>
    </x:row>
    <x:row r="52">
      <x:c r="A52" s="83"/>
      <x:c r="B52" s="84"/>
      <x:c r="C52" s="83"/>
      <x:c r="D52" s="83"/>
      <x:c r="E52" s="83"/>
      <x:c r="F52" s="85"/>
      <x:c r="G52" s="178"/>
      <x:c r="H52" s="83"/>
      <x:c r="I52" s="83"/>
      <x:c r="J52" s="83"/>
      <x:c r="K52" s="83"/>
      <x:c r="L52" s="83"/>
      <x:c r="M52" s="83"/>
    </x:row>
    <x:row r="53">
      <x:c r="A53" s="83"/>
      <x:c r="B53" s="84"/>
      <x:c r="C53" s="83"/>
      <x:c r="D53" s="83"/>
      <x:c r="E53" s="83"/>
      <x:c r="F53" s="85"/>
      <x:c r="G53" s="178"/>
      <x:c r="H53" s="83"/>
      <x:c r="I53" s="83"/>
      <x:c r="J53" s="83"/>
      <x:c r="K53" s="83"/>
      <x:c r="L53" s="83"/>
      <x:c r="M53" s="83"/>
    </x:row>
    <x:row r="54">
      <x:c r="A54" s="83"/>
      <x:c r="B54" s="84"/>
      <x:c r="C54" s="83"/>
      <x:c r="D54" s="83"/>
      <x:c r="E54" s="83"/>
      <x:c r="F54" s="85"/>
      <x:c r="G54" s="178"/>
      <x:c r="H54" s="83"/>
      <x:c r="I54" s="83"/>
      <x:c r="J54" s="83"/>
      <x:c r="K54" s="83"/>
      <x:c r="L54" s="83"/>
      <x:c r="M54" s="83"/>
    </x:row>
    <x:row r="55">
      <x:c r="A55" s="83"/>
      <x:c r="B55" s="84"/>
      <x:c r="C55" s="83"/>
      <x:c r="D55" s="83"/>
      <x:c r="E55" s="83"/>
      <x:c r="F55" s="85"/>
      <x:c r="G55" s="178"/>
      <x:c r="H55" s="83"/>
      <x:c r="I55" s="83"/>
      <x:c r="J55" s="83"/>
      <x:c r="K55" s="83"/>
      <x:c r="L55" s="83"/>
      <x:c r="M55" s="83"/>
    </x:row>
    <x:row r="56">
      <x:c r="A56" s="83"/>
      <x:c r="B56" s="84"/>
      <x:c r="C56" s="83"/>
      <x:c r="D56" s="83"/>
      <x:c r="E56" s="83"/>
      <x:c r="F56" s="85"/>
      <x:c r="G56" s="178"/>
      <x:c r="H56" s="83"/>
      <x:c r="I56" s="83"/>
      <x:c r="J56" s="83"/>
      <x:c r="K56" s="83"/>
      <x:c r="L56" s="83"/>
      <x:c r="M56" s="83"/>
    </x:row>
    <x:row r="57">
      <x:c r="A57" s="83"/>
      <x:c r="B57" s="84"/>
      <x:c r="C57" s="83"/>
      <x:c r="D57" s="83"/>
      <x:c r="E57" s="83"/>
      <x:c r="F57" s="85"/>
      <x:c r="G57" s="178"/>
      <x:c r="H57" s="83"/>
      <x:c r="I57" s="83"/>
      <x:c r="J57" s="83"/>
      <x:c r="K57" s="83"/>
      <x:c r="L57" s="83"/>
      <x:c r="M57" s="83"/>
    </x:row>
    <x:row r="58">
      <x:c r="A58" s="83"/>
      <x:c r="B58" s="84"/>
      <x:c r="C58" s="83"/>
      <x:c r="D58" s="83"/>
      <x:c r="E58" s="83"/>
      <x:c r="F58" s="85"/>
      <x:c r="G58" s="178"/>
      <x:c r="H58" s="83"/>
      <x:c r="I58" s="83"/>
      <x:c r="J58" s="83"/>
      <x:c r="K58" s="83"/>
      <x:c r="L58" s="83"/>
      <x:c r="M58" s="83"/>
    </x:row>
    <x:row r="59">
      <x:c r="A59" s="83"/>
      <x:c r="B59" s="84"/>
      <x:c r="C59" s="83"/>
      <x:c r="D59" s="83"/>
      <x:c r="E59" s="83"/>
      <x:c r="F59" s="85"/>
      <x:c r="G59" s="178"/>
      <x:c r="H59" s="83"/>
      <x:c r="I59" s="83"/>
      <x:c r="J59" s="83"/>
      <x:c r="K59" s="83"/>
      <x:c r="L59" s="83"/>
      <x:c r="M59" s="83"/>
    </x:row>
    <x:row r="60">
      <x:c r="A60" s="83"/>
      <x:c r="B60" s="84"/>
      <x:c r="C60" s="83"/>
      <x:c r="D60" s="83"/>
      <x:c r="E60" s="83"/>
      <x:c r="F60" s="85"/>
      <x:c r="G60" s="178"/>
      <x:c r="H60" s="83"/>
      <x:c r="I60" s="83"/>
      <x:c r="J60" s="83"/>
      <x:c r="K60" s="83"/>
      <x:c r="L60" s="83"/>
      <x:c r="M60" s="83"/>
    </x:row>
    <x:row r="61">
      <x:c r="A61" s="83"/>
      <x:c r="B61" s="84"/>
      <x:c r="C61" s="83"/>
      <x:c r="D61" s="83"/>
      <x:c r="E61" s="83"/>
      <x:c r="F61" s="85"/>
      <x:c r="G61" s="178"/>
      <x:c r="H61" s="83"/>
      <x:c r="I61" s="83"/>
      <x:c r="J61" s="83"/>
      <x:c r="K61" s="83"/>
      <x:c r="L61" s="83"/>
      <x:c r="M61" s="83"/>
    </x:row>
    <x:row r="62">
      <x:c r="A62" s="83"/>
      <x:c r="B62" s="84"/>
      <x:c r="C62" s="83"/>
      <x:c r="D62" s="83"/>
      <x:c r="E62" s="83"/>
      <x:c r="F62" s="85"/>
      <x:c r="G62" s="178"/>
      <x:c r="H62" s="83"/>
      <x:c r="I62" s="83"/>
      <x:c r="J62" s="83"/>
      <x:c r="K62" s="83"/>
      <x:c r="L62" s="83"/>
      <x:c r="M62" s="83"/>
    </x:row>
    <x:row r="63">
      <x:c r="A63" s="83"/>
      <x:c r="B63" s="84"/>
      <x:c r="C63" s="83"/>
      <x:c r="D63" s="83"/>
      <x:c r="E63" s="83"/>
      <x:c r="F63" s="85"/>
      <x:c r="G63" s="178"/>
      <x:c r="H63" s="83"/>
      <x:c r="I63" s="83"/>
      <x:c r="J63" s="83"/>
      <x:c r="K63" s="83"/>
      <x:c r="L63" s="83"/>
      <x:c r="M63" s="83"/>
    </x:row>
    <x:row r="64">
      <x:c r="A64" s="83"/>
      <x:c r="B64" s="84"/>
      <x:c r="C64" s="83"/>
      <x:c r="D64" s="83"/>
      <x:c r="E64" s="83"/>
      <x:c r="F64" s="85"/>
      <x:c r="G64" s="178"/>
      <x:c r="H64" s="83"/>
      <x:c r="I64" s="83"/>
      <x:c r="J64" s="83"/>
      <x:c r="K64" s="83"/>
      <x:c r="L64" s="83"/>
      <x:c r="M64" s="83"/>
    </x:row>
    <x:row r="65">
      <x:c r="A65" s="83"/>
      <x:c r="B65" s="84"/>
      <x:c r="C65" s="83"/>
      <x:c r="D65" s="83"/>
      <x:c r="E65" s="83"/>
      <x:c r="F65" s="85"/>
      <x:c r="G65" s="178"/>
      <x:c r="H65" s="83"/>
      <x:c r="I65" s="83"/>
      <x:c r="J65" s="83"/>
      <x:c r="K65" s="83"/>
      <x:c r="L65" s="83"/>
      <x:c r="M65" s="83"/>
    </x:row>
    <x:row r="66">
      <x:c r="A66" s="83"/>
      <x:c r="B66" s="84"/>
      <x:c r="C66" s="83"/>
      <x:c r="D66" s="83"/>
      <x:c r="E66" s="83"/>
      <x:c r="F66" s="85"/>
      <x:c r="G66" s="178"/>
      <x:c r="H66" s="83"/>
      <x:c r="I66" s="83"/>
      <x:c r="J66" s="83"/>
      <x:c r="K66" s="83"/>
      <x:c r="L66" s="83"/>
      <x:c r="M66" s="83"/>
    </x:row>
    <x:row r="67">
      <x:c r="A67" s="83"/>
      <x:c r="B67" s="84"/>
      <x:c r="C67" s="83"/>
      <x:c r="D67" s="83"/>
      <x:c r="E67" s="83"/>
      <x:c r="F67" s="85"/>
      <x:c r="G67" s="178"/>
      <x:c r="H67" s="83"/>
      <x:c r="I67" s="83"/>
      <x:c r="J67" s="83"/>
      <x:c r="K67" s="83"/>
      <x:c r="L67" s="83"/>
      <x:c r="M67" s="83"/>
    </x:row>
    <x:row r="68">
      <x:c r="A68" s="83"/>
      <x:c r="B68" s="84"/>
      <x:c r="C68" s="83"/>
      <x:c r="D68" s="83"/>
      <x:c r="E68" s="83"/>
      <x:c r="F68" s="85"/>
      <x:c r="G68" s="178"/>
      <x:c r="H68" s="83"/>
      <x:c r="I68" s="83"/>
      <x:c r="J68" s="83"/>
      <x:c r="K68" s="83"/>
      <x:c r="L68" s="83"/>
      <x:c r="M68" s="83"/>
    </x:row>
    <x:row r="69">
      <x:c r="A69" s="83"/>
      <x:c r="B69" s="84"/>
      <x:c r="C69" s="83"/>
      <x:c r="D69" s="83"/>
      <x:c r="E69" s="83"/>
      <x:c r="F69" s="85"/>
      <x:c r="G69" s="178"/>
      <x:c r="H69" s="83"/>
      <x:c r="I69" s="83"/>
      <x:c r="J69" s="83"/>
      <x:c r="K69" s="83"/>
      <x:c r="L69" s="83"/>
      <x:c r="M69" s="83"/>
    </x:row>
    <x:row r="70">
      <x:c r="A70" s="83"/>
      <x:c r="B70" s="84"/>
      <x:c r="C70" s="83"/>
      <x:c r="D70" s="83"/>
      <x:c r="E70" s="83"/>
      <x:c r="F70" s="85"/>
      <x:c r="G70" s="178"/>
      <x:c r="H70" s="83"/>
      <x:c r="I70" s="83"/>
      <x:c r="J70" s="83"/>
      <x:c r="K70" s="83"/>
      <x:c r="L70" s="83"/>
      <x:c r="M70" s="83"/>
    </x:row>
    <x:row r="71">
      <x:c r="A71" s="83"/>
      <x:c r="B71" s="84"/>
      <x:c r="C71" s="83"/>
      <x:c r="D71" s="83"/>
      <x:c r="E71" s="83"/>
      <x:c r="F71" s="85"/>
      <x:c r="G71" s="178"/>
      <x:c r="H71" s="83"/>
      <x:c r="I71" s="83"/>
      <x:c r="J71" s="83"/>
      <x:c r="K71" s="83"/>
      <x:c r="L71" s="83"/>
      <x:c r="M71" s="83"/>
    </x:row>
    <x:row r="72">
      <x:c r="A72" s="83"/>
      <x:c r="B72" s="84"/>
      <x:c r="C72" s="83"/>
      <x:c r="D72" s="83"/>
      <x:c r="E72" s="83"/>
      <x:c r="F72" s="85"/>
      <x:c r="G72" s="178"/>
      <x:c r="H72" s="83"/>
      <x:c r="I72" s="83"/>
      <x:c r="J72" s="83"/>
      <x:c r="K72" s="83"/>
      <x:c r="L72" s="83"/>
      <x:c r="M72" s="83"/>
    </x:row>
    <x:row r="73">
      <x:c r="A73" s="83"/>
      <x:c r="B73" s="84"/>
      <x:c r="C73" s="83"/>
      <x:c r="D73" s="83"/>
      <x:c r="E73" s="83"/>
      <x:c r="F73" s="85"/>
      <x:c r="G73" s="178"/>
      <x:c r="H73" s="83"/>
      <x:c r="I73" s="83"/>
      <x:c r="J73" s="83"/>
      <x:c r="K73" s="83"/>
      <x:c r="L73" s="83"/>
      <x:c r="M73" s="83"/>
    </x:row>
    <x:row r="74">
      <x:c r="A74" s="83"/>
      <x:c r="B74" s="84"/>
      <x:c r="C74" s="83"/>
      <x:c r="D74" s="83"/>
      <x:c r="E74" s="83"/>
      <x:c r="F74" s="85"/>
      <x:c r="G74" s="178"/>
      <x:c r="H74" s="83"/>
      <x:c r="I74" s="83"/>
      <x:c r="J74" s="83"/>
      <x:c r="K74" s="83"/>
      <x:c r="L74" s="83"/>
      <x:c r="M74" s="83"/>
    </x:row>
    <x:row r="75">
      <x:c r="A75" s="83"/>
      <x:c r="B75" s="84"/>
      <x:c r="C75" s="83"/>
      <x:c r="D75" s="83"/>
      <x:c r="E75" s="83"/>
      <x:c r="F75" s="85"/>
      <x:c r="G75" s="178"/>
      <x:c r="H75" s="83"/>
      <x:c r="I75" s="83"/>
      <x:c r="J75" s="83"/>
      <x:c r="K75" s="83"/>
      <x:c r="L75" s="83"/>
      <x:c r="M75" s="83"/>
    </x:row>
    <x:row r="76">
      <x:c r="A76" s="83"/>
      <x:c r="B76" s="84"/>
      <x:c r="C76" s="83"/>
      <x:c r="D76" s="83"/>
      <x:c r="E76" s="83"/>
      <x:c r="F76" s="85"/>
      <x:c r="G76" s="178"/>
      <x:c r="H76" s="83"/>
      <x:c r="I76" s="83"/>
      <x:c r="J76" s="83"/>
      <x:c r="K76" s="83"/>
      <x:c r="L76" s="83"/>
      <x:c r="M76" s="83"/>
    </x:row>
    <x:row r="77">
      <x:c r="A77" s="83"/>
      <x:c r="B77" s="84"/>
      <x:c r="C77" s="83"/>
      <x:c r="D77" s="83"/>
      <x:c r="E77" s="83"/>
      <x:c r="F77" s="85"/>
      <x:c r="G77" s="178"/>
      <x:c r="H77" s="83"/>
      <x:c r="I77" s="83"/>
      <x:c r="J77" s="83"/>
      <x:c r="K77" s="83"/>
      <x:c r="L77" s="83"/>
      <x:c r="M77" s="83"/>
    </x:row>
    <x:row r="78">
      <x:c r="A78" s="83"/>
      <x:c r="B78" s="84"/>
      <x:c r="C78" s="83"/>
      <x:c r="D78" s="83"/>
      <x:c r="E78" s="83"/>
      <x:c r="F78" s="85"/>
      <x:c r="G78" s="178"/>
      <x:c r="H78" s="83"/>
      <x:c r="I78" s="83"/>
      <x:c r="J78" s="83"/>
      <x:c r="K78" s="83"/>
      <x:c r="L78" s="83"/>
      <x:c r="M78" s="83"/>
    </x:row>
    <x:row r="79">
      <x:c r="A79" s="83"/>
      <x:c r="B79" s="84"/>
      <x:c r="C79" s="83"/>
      <x:c r="D79" s="83"/>
      <x:c r="E79" s="83"/>
      <x:c r="F79" s="85"/>
      <x:c r="G79" s="178"/>
      <x:c r="H79" s="83"/>
      <x:c r="I79" s="83"/>
      <x:c r="J79" s="83"/>
      <x:c r="K79" s="83"/>
      <x:c r="L79" s="83"/>
      <x:c r="M79" s="83"/>
    </x:row>
    <x:row r="80">
      <x:c r="A80" s="83"/>
      <x:c r="B80" s="84"/>
      <x:c r="C80" s="83"/>
      <x:c r="D80" s="83"/>
      <x:c r="E80" s="83"/>
      <x:c r="F80" s="85"/>
      <x:c r="G80" s="178"/>
      <x:c r="H80" s="83"/>
      <x:c r="I80" s="83"/>
      <x:c r="J80" s="83"/>
      <x:c r="K80" s="83"/>
      <x:c r="L80" s="83"/>
      <x:c r="M80" s="83"/>
    </x:row>
    <x:row r="81">
      <x:c r="A81" s="83"/>
      <x:c r="B81" s="84"/>
      <x:c r="C81" s="83"/>
      <x:c r="D81" s="83"/>
      <x:c r="E81" s="83"/>
      <x:c r="F81" s="85"/>
      <x:c r="G81" s="178"/>
      <x:c r="H81" s="83"/>
      <x:c r="I81" s="83"/>
      <x:c r="J81" s="83"/>
      <x:c r="K81" s="83"/>
      <x:c r="L81" s="83"/>
      <x:c r="M81" s="83"/>
    </x:row>
    <x:row r="82">
      <x:c r="A82" s="83"/>
      <x:c r="B82" s="84"/>
      <x:c r="C82" s="83"/>
      <x:c r="D82" s="83"/>
      <x:c r="E82" s="83"/>
      <x:c r="F82" s="85"/>
      <x:c r="G82" s="178"/>
      <x:c r="H82" s="83"/>
      <x:c r="I82" s="83"/>
      <x:c r="J82" s="83"/>
      <x:c r="K82" s="83"/>
      <x:c r="L82" s="83"/>
      <x:c r="M82" s="83"/>
    </x:row>
    <x:row r="83">
      <x:c r="A83" s="83"/>
      <x:c r="B83" s="84"/>
      <x:c r="C83" s="83"/>
      <x:c r="D83" s="83"/>
      <x:c r="E83" s="83"/>
      <x:c r="F83" s="85"/>
      <x:c r="G83" s="178"/>
      <x:c r="H83" s="83"/>
      <x:c r="I83" s="83"/>
      <x:c r="J83" s="83"/>
      <x:c r="K83" s="83"/>
      <x:c r="L83" s="83"/>
      <x:c r="M83" s="83"/>
    </x:row>
    <x:row r="84">
      <x:c r="A84" s="83"/>
      <x:c r="B84" s="84"/>
      <x:c r="C84" s="83"/>
      <x:c r="D84" s="83"/>
      <x:c r="E84" s="83"/>
      <x:c r="F84" s="85"/>
      <x:c r="G84" s="178"/>
      <x:c r="H84" s="83"/>
      <x:c r="I84" s="83"/>
      <x:c r="J84" s="83"/>
      <x:c r="K84" s="83"/>
      <x:c r="L84" s="83"/>
      <x:c r="M84" s="83"/>
    </x:row>
    <x:row r="85">
      <x:c r="A85" s="83"/>
      <x:c r="B85" s="84"/>
      <x:c r="C85" s="83"/>
      <x:c r="D85" s="83"/>
      <x:c r="E85" s="83"/>
      <x:c r="F85" s="85"/>
      <x:c r="G85" s="178"/>
      <x:c r="H85" s="83"/>
      <x:c r="I85" s="83"/>
      <x:c r="J85" s="83"/>
      <x:c r="K85" s="83"/>
      <x:c r="L85" s="83"/>
      <x:c r="M85" s="83"/>
    </x:row>
    <x:row r="86">
      <x:c r="A86" s="83"/>
      <x:c r="B86" s="84"/>
      <x:c r="C86" s="83"/>
      <x:c r="D86" s="83"/>
      <x:c r="E86" s="83"/>
      <x:c r="F86" s="85"/>
      <x:c r="G86" s="178"/>
      <x:c r="H86" s="83"/>
      <x:c r="I86" s="83"/>
      <x:c r="J86" s="83"/>
      <x:c r="K86" s="83"/>
      <x:c r="L86" s="83"/>
      <x:c r="M86" s="83"/>
    </x:row>
    <x:row r="87">
      <x:c r="A87" s="83"/>
      <x:c r="B87" s="84"/>
      <x:c r="C87" s="83"/>
      <x:c r="D87" s="83"/>
      <x:c r="E87" s="83"/>
      <x:c r="F87" s="85"/>
      <x:c r="G87" s="178"/>
      <x:c r="H87" s="83"/>
      <x:c r="I87" s="83"/>
      <x:c r="J87" s="83"/>
      <x:c r="K87" s="83"/>
      <x:c r="L87" s="83"/>
      <x:c r="M87" s="83"/>
    </x:row>
    <x:row r="88">
      <x:c r="A88" s="83"/>
      <x:c r="B88" s="84"/>
      <x:c r="C88" s="83"/>
      <x:c r="D88" s="83"/>
      <x:c r="E88" s="83"/>
      <x:c r="F88" s="85"/>
      <x:c r="G88" s="178"/>
      <x:c r="H88" s="83"/>
      <x:c r="I88" s="83"/>
      <x:c r="J88" s="83"/>
      <x:c r="K88" s="83"/>
      <x:c r="L88" s="83"/>
      <x:c r="M88" s="83"/>
    </x:row>
    <x:row r="89">
      <x:c r="A89" s="83"/>
      <x:c r="B89" s="84"/>
      <x:c r="C89" s="83"/>
      <x:c r="D89" s="83"/>
      <x:c r="E89" s="83"/>
      <x:c r="F89" s="85"/>
      <x:c r="G89" s="178"/>
      <x:c r="H89" s="83"/>
      <x:c r="I89" s="83"/>
      <x:c r="J89" s="83"/>
      <x:c r="K89" s="83"/>
      <x:c r="L89" s="83"/>
      <x:c r="M89" s="83"/>
    </x:row>
    <x:row r="90">
      <x:c r="A90" s="83"/>
      <x:c r="B90" s="84"/>
      <x:c r="C90" s="83"/>
      <x:c r="D90" s="83"/>
      <x:c r="E90" s="83"/>
      <x:c r="F90" s="85"/>
      <x:c r="G90" s="178"/>
      <x:c r="H90" s="83"/>
      <x:c r="I90" s="83"/>
      <x:c r="J90" s="83"/>
      <x:c r="K90" s="83"/>
      <x:c r="L90" s="83"/>
      <x:c r="M90" s="83"/>
    </x:row>
    <x:row r="91">
      <x:c r="A91" s="83"/>
      <x:c r="B91" s="84"/>
      <x:c r="C91" s="83"/>
      <x:c r="D91" s="83"/>
      <x:c r="E91" s="83"/>
      <x:c r="F91" s="85"/>
      <x:c r="G91" s="178"/>
      <x:c r="H91" s="83"/>
      <x:c r="I91" s="83"/>
      <x:c r="J91" s="83"/>
      <x:c r="K91" s="83"/>
      <x:c r="L91" s="83"/>
      <x:c r="M91" s="83"/>
    </x:row>
    <x:row r="92">
      <x:c r="A92" s="83"/>
      <x:c r="B92" s="84"/>
      <x:c r="C92" s="83"/>
      <x:c r="D92" s="83"/>
      <x:c r="E92" s="83"/>
      <x:c r="F92" s="85"/>
      <x:c r="G92" s="178"/>
      <x:c r="H92" s="83"/>
      <x:c r="I92" s="83"/>
      <x:c r="J92" s="83"/>
      <x:c r="K92" s="83"/>
      <x:c r="L92" s="83"/>
      <x:c r="M92" s="83"/>
    </x:row>
    <x:row r="93">
      <x:c r="A93" s="83"/>
      <x:c r="B93" s="84"/>
      <x:c r="C93" s="83"/>
      <x:c r="D93" s="83"/>
      <x:c r="E93" s="83"/>
      <x:c r="F93" s="85"/>
      <x:c r="G93" s="178"/>
      <x:c r="H93" s="83"/>
      <x:c r="I93" s="83"/>
      <x:c r="J93" s="83"/>
      <x:c r="K93" s="83"/>
      <x:c r="L93" s="83"/>
      <x:c r="M93" s="83"/>
    </x:row>
    <x:row r="94">
      <x:c r="A94" s="83"/>
      <x:c r="B94" s="84"/>
      <x:c r="C94" s="83"/>
      <x:c r="D94" s="83"/>
      <x:c r="E94" s="83"/>
      <x:c r="F94" s="85"/>
      <x:c r="G94" s="178"/>
      <x:c r="H94" s="83"/>
      <x:c r="I94" s="83"/>
      <x:c r="J94" s="83"/>
      <x:c r="K94" s="83"/>
      <x:c r="L94" s="83"/>
      <x:c r="M94" s="83"/>
    </x:row>
    <x:row r="95">
      <x:c r="A95" s="83"/>
      <x:c r="B95" s="84"/>
      <x:c r="C95" s="83"/>
      <x:c r="D95" s="83"/>
      <x:c r="E95" s="83"/>
      <x:c r="F95" s="85"/>
      <x:c r="G95" s="178"/>
      <x:c r="H95" s="83"/>
      <x:c r="I95" s="83"/>
      <x:c r="J95" s="83"/>
      <x:c r="K95" s="83"/>
      <x:c r="L95" s="83"/>
      <x:c r="M95" s="83"/>
    </x:row>
    <x:row r="96">
      <x:c r="A96" s="83"/>
      <x:c r="B96" s="84"/>
      <x:c r="C96" s="83"/>
      <x:c r="D96" s="83"/>
      <x:c r="E96" s="83"/>
      <x:c r="F96" s="85"/>
      <x:c r="G96" s="178"/>
      <x:c r="H96" s="83"/>
      <x:c r="I96" s="83"/>
      <x:c r="J96" s="83"/>
      <x:c r="K96" s="83"/>
      <x:c r="L96" s="83"/>
      <x:c r="M96" s="83"/>
    </x:row>
    <x:row r="97">
      <x:c r="A97" s="83"/>
      <x:c r="B97" s="84"/>
      <x:c r="C97" s="83"/>
      <x:c r="D97" s="83"/>
      <x:c r="E97" s="83"/>
      <x:c r="F97" s="85"/>
      <x:c r="G97" s="178"/>
      <x:c r="H97" s="83"/>
      <x:c r="I97" s="83"/>
      <x:c r="J97" s="83"/>
      <x:c r="K97" s="83"/>
      <x:c r="L97" s="83"/>
      <x:c r="M97" s="83"/>
    </x:row>
    <x:row r="98">
      <x:c r="A98" s="83"/>
      <x:c r="B98" s="84"/>
      <x:c r="C98" s="83"/>
      <x:c r="D98" s="83"/>
      <x:c r="E98" s="83"/>
      <x:c r="F98" s="85"/>
      <x:c r="G98" s="178"/>
      <x:c r="H98" s="83"/>
      <x:c r="I98" s="83"/>
      <x:c r="J98" s="83"/>
      <x:c r="K98" s="83"/>
      <x:c r="L98" s="83"/>
      <x:c r="M98" s="83"/>
    </x:row>
    <x:row r="99">
      <x:c r="A99" s="83"/>
      <x:c r="B99" s="84"/>
      <x:c r="C99" s="83"/>
      <x:c r="D99" s="83"/>
      <x:c r="E99" s="83"/>
      <x:c r="F99" s="85"/>
      <x:c r="G99" s="178"/>
      <x:c r="H99" s="83"/>
      <x:c r="I99" s="83"/>
      <x:c r="J99" s="83"/>
      <x:c r="K99" s="83"/>
      <x:c r="L99" s="83"/>
      <x:c r="M99" s="83"/>
    </x:row>
    <x:row r="100">
      <x:c r="A100" s="83"/>
      <x:c r="B100" s="84"/>
      <x:c r="C100" s="83"/>
      <x:c r="D100" s="83"/>
      <x:c r="E100" s="83"/>
      <x:c r="F100" s="85"/>
      <x:c r="G100" s="178"/>
      <x:c r="H100" s="83"/>
      <x:c r="I100" s="83"/>
      <x:c r="J100" s="83"/>
      <x:c r="K100" s="83"/>
      <x:c r="L100" s="83"/>
      <x:c r="M100" s="83"/>
    </x:row>
    <x:row r="101">
      <x:c r="A101" s="83"/>
      <x:c r="B101" s="84"/>
      <x:c r="C101" s="83"/>
      <x:c r="D101" s="83"/>
      <x:c r="E101" s="83"/>
      <x:c r="F101" s="85"/>
      <x:c r="G101" s="178"/>
      <x:c r="H101" s="83"/>
      <x:c r="I101" s="83"/>
      <x:c r="J101" s="83"/>
      <x:c r="K101" s="83"/>
      <x:c r="L101" s="83"/>
      <x:c r="M101" s="83"/>
    </x:row>
    <x:row r="102">
      <x:c r="A102" s="83"/>
      <x:c r="B102" s="84"/>
      <x:c r="C102" s="83"/>
      <x:c r="D102" s="83"/>
      <x:c r="E102" s="83"/>
      <x:c r="F102" s="85"/>
      <x:c r="G102" s="178"/>
      <x:c r="H102" s="83"/>
      <x:c r="I102" s="83"/>
      <x:c r="J102" s="83"/>
      <x:c r="K102" s="83"/>
      <x:c r="L102" s="83"/>
      <x:c r="M102" s="83"/>
    </x:row>
    <x:row r="103">
      <x:c r="A103" s="83"/>
      <x:c r="B103" s="84"/>
      <x:c r="C103" s="83"/>
      <x:c r="D103" s="83"/>
      <x:c r="E103" s="83"/>
      <x:c r="F103" s="85"/>
      <x:c r="G103" s="178"/>
      <x:c r="H103" s="83"/>
      <x:c r="I103" s="83"/>
      <x:c r="J103" s="83"/>
      <x:c r="K103" s="83"/>
      <x:c r="L103" s="83"/>
      <x:c r="M103" s="83"/>
    </x:row>
    <x:row r="104">
      <x:c r="A104" s="83"/>
      <x:c r="B104" s="84"/>
      <x:c r="C104" s="83"/>
      <x:c r="D104" s="83"/>
      <x:c r="E104" s="83"/>
      <x:c r="F104" s="85"/>
      <x:c r="G104" s="178"/>
      <x:c r="H104" s="83"/>
      <x:c r="I104" s="83"/>
      <x:c r="J104" s="83"/>
      <x:c r="K104" s="83"/>
      <x:c r="L104" s="83"/>
      <x:c r="M104" s="83"/>
    </x:row>
    <x:row r="105">
      <x:c r="A105" s="83"/>
      <x:c r="B105" s="84"/>
      <x:c r="C105" s="83"/>
      <x:c r="D105" s="83"/>
      <x:c r="E105" s="83"/>
      <x:c r="F105" s="85"/>
      <x:c r="G105" s="178"/>
      <x:c r="H105" s="83"/>
      <x:c r="I105" s="83"/>
      <x:c r="J105" s="83"/>
      <x:c r="K105" s="83"/>
      <x:c r="L105" s="83"/>
      <x:c r="M105" s="83"/>
    </x:row>
    <x:row r="106">
      <x:c r="A106" s="83"/>
      <x:c r="B106" s="84"/>
      <x:c r="C106" s="83"/>
      <x:c r="D106" s="83"/>
      <x:c r="E106" s="83"/>
      <x:c r="F106" s="85"/>
      <x:c r="G106" s="178"/>
      <x:c r="H106" s="83"/>
      <x:c r="I106" s="83"/>
      <x:c r="J106" s="83"/>
      <x:c r="K106" s="83"/>
      <x:c r="L106" s="83"/>
      <x:c r="M106" s="83"/>
    </x:row>
    <x:row r="107">
      <x:c r="A107" s="83"/>
      <x:c r="B107" s="84"/>
      <x:c r="C107" s="83"/>
      <x:c r="D107" s="83"/>
      <x:c r="E107" s="83"/>
      <x:c r="F107" s="85"/>
      <x:c r="G107" s="178"/>
      <x:c r="H107" s="83"/>
      <x:c r="I107" s="83"/>
      <x:c r="J107" s="83"/>
      <x:c r="K107" s="83"/>
      <x:c r="L107" s="83"/>
      <x:c r="M107" s="83"/>
    </x:row>
    <x:row r="108">
      <x:c r="A108" s="83"/>
      <x:c r="B108" s="84"/>
      <x:c r="C108" s="83"/>
      <x:c r="D108" s="83"/>
      <x:c r="E108" s="83"/>
      <x:c r="F108" s="85"/>
      <x:c r="G108" s="178"/>
      <x:c r="H108" s="83"/>
      <x:c r="I108" s="83"/>
      <x:c r="J108" s="83"/>
      <x:c r="K108" s="83"/>
      <x:c r="L108" s="83"/>
      <x:c r="M108" s="83"/>
    </x:row>
    <x:row r="109">
      <x:c r="A109" s="83"/>
      <x:c r="B109" s="84"/>
      <x:c r="C109" s="83"/>
      <x:c r="D109" s="83"/>
      <x:c r="E109" s="83"/>
      <x:c r="F109" s="85"/>
      <x:c r="G109" s="178"/>
      <x:c r="H109" s="83"/>
      <x:c r="I109" s="83"/>
      <x:c r="J109" s="83"/>
      <x:c r="K109" s="83"/>
      <x:c r="L109" s="83"/>
      <x:c r="M109" s="83"/>
    </x:row>
    <x:row r="110">
      <x:c r="A110" s="83"/>
      <x:c r="B110" s="84"/>
      <x:c r="C110" s="83"/>
      <x:c r="D110" s="83"/>
      <x:c r="E110" s="83"/>
      <x:c r="F110" s="85"/>
      <x:c r="G110" s="178"/>
      <x:c r="H110" s="83"/>
      <x:c r="I110" s="83"/>
      <x:c r="J110" s="83"/>
      <x:c r="K110" s="83"/>
      <x:c r="L110" s="83"/>
      <x:c r="M110" s="83"/>
    </x:row>
    <x:row r="111">
      <x:c r="A111" s="83"/>
      <x:c r="B111" s="84"/>
      <x:c r="C111" s="83"/>
      <x:c r="D111" s="83"/>
      <x:c r="E111" s="83"/>
      <x:c r="F111" s="85"/>
      <x:c r="G111" s="178"/>
      <x:c r="H111" s="83"/>
      <x:c r="I111" s="83"/>
      <x:c r="J111" s="83"/>
      <x:c r="K111" s="83"/>
      <x:c r="L111" s="83"/>
      <x:c r="M111" s="83"/>
    </x:row>
    <x:row r="112">
      <x:c r="A112" s="83"/>
      <x:c r="B112" s="84"/>
      <x:c r="C112" s="83"/>
      <x:c r="D112" s="83"/>
      <x:c r="E112" s="83"/>
      <x:c r="F112" s="85"/>
      <x:c r="G112" s="178"/>
      <x:c r="H112" s="83"/>
      <x:c r="I112" s="83"/>
      <x:c r="J112" s="83"/>
      <x:c r="K112" s="83"/>
      <x:c r="L112" s="83"/>
      <x:c r="M112" s="83"/>
    </x:row>
    <x:row r="113">
      <x:c r="A113" s="83"/>
      <x:c r="B113" s="84"/>
      <x:c r="C113" s="83"/>
      <x:c r="D113" s="83"/>
      <x:c r="E113" s="83"/>
      <x:c r="F113" s="85"/>
      <x:c r="G113" s="178"/>
      <x:c r="H113" s="83"/>
      <x:c r="I113" s="83"/>
      <x:c r="J113" s="83"/>
      <x:c r="K113" s="83"/>
      <x:c r="L113" s="83"/>
      <x:c r="M113" s="83"/>
    </x:row>
    <x:row r="114">
      <x:c r="A114" s="83"/>
      <x:c r="B114" s="84"/>
      <x:c r="C114" s="83"/>
      <x:c r="D114" s="83"/>
      <x:c r="E114" s="83"/>
      <x:c r="F114" s="85"/>
      <x:c r="G114" s="178"/>
      <x:c r="H114" s="83"/>
      <x:c r="I114" s="83"/>
      <x:c r="J114" s="83"/>
      <x:c r="K114" s="83"/>
      <x:c r="L114" s="83"/>
      <x:c r="M114" s="83"/>
    </x:row>
    <x:row r="115">
      <x:c r="A115" s="83"/>
      <x:c r="B115" s="84"/>
      <x:c r="C115" s="83"/>
      <x:c r="D115" s="83"/>
      <x:c r="E115" s="83"/>
      <x:c r="F115" s="85"/>
      <x:c r="G115" s="178"/>
      <x:c r="H115" s="83"/>
      <x:c r="I115" s="83"/>
      <x:c r="J115" s="83"/>
      <x:c r="K115" s="83"/>
      <x:c r="L115" s="83"/>
      <x:c r="M115" s="83"/>
    </x:row>
    <x:row r="116">
      <x:c r="A116" s="83"/>
      <x:c r="B116" s="84"/>
      <x:c r="C116" s="83"/>
      <x:c r="D116" s="83"/>
      <x:c r="E116" s="83"/>
      <x:c r="F116" s="85"/>
      <x:c r="G116" s="178"/>
      <x:c r="H116" s="83"/>
      <x:c r="I116" s="83"/>
      <x:c r="J116" s="83"/>
      <x:c r="K116" s="83"/>
      <x:c r="L116" s="83"/>
      <x:c r="M116" s="83"/>
    </x:row>
    <x:row r="117">
      <x:c r="A117" s="83"/>
      <x:c r="B117" s="84"/>
      <x:c r="C117" s="83"/>
      <x:c r="D117" s="83"/>
      <x:c r="E117" s="83"/>
      <x:c r="F117" s="85"/>
      <x:c r="G117" s="178"/>
      <x:c r="H117" s="83"/>
      <x:c r="I117" s="83"/>
      <x:c r="J117" s="83"/>
      <x:c r="K117" s="83"/>
      <x:c r="L117" s="83"/>
      <x:c r="M117" s="83"/>
    </x:row>
    <x:row r="118">
      <x:c r="A118" s="83"/>
      <x:c r="B118" s="84"/>
      <x:c r="C118" s="83"/>
      <x:c r="D118" s="83"/>
      <x:c r="E118" s="83"/>
      <x:c r="F118" s="85"/>
      <x:c r="G118" s="178"/>
      <x:c r="H118" s="83"/>
      <x:c r="I118" s="83"/>
      <x:c r="J118" s="83"/>
      <x:c r="K118" s="83"/>
      <x:c r="L118" s="83"/>
      <x:c r="M118" s="83"/>
    </x:row>
    <x:row r="119">
      <x:c r="A119" s="83"/>
      <x:c r="B119" s="84"/>
      <x:c r="C119" s="83"/>
      <x:c r="D119" s="83"/>
      <x:c r="E119" s="83"/>
      <x:c r="F119" s="85"/>
      <x:c r="G119" s="178"/>
      <x:c r="H119" s="83"/>
      <x:c r="I119" s="83"/>
      <x:c r="J119" s="83"/>
      <x:c r="K119" s="83"/>
      <x:c r="L119" s="83"/>
      <x:c r="M119" s="83"/>
    </x:row>
    <x:row r="120">
      <x:c r="A120" s="83"/>
      <x:c r="B120" s="84"/>
      <x:c r="C120" s="83"/>
      <x:c r="D120" s="83"/>
      <x:c r="E120" s="83"/>
      <x:c r="F120" s="85"/>
      <x:c r="G120" s="178"/>
      <x:c r="H120" s="83"/>
      <x:c r="I120" s="83"/>
      <x:c r="J120" s="83"/>
      <x:c r="K120" s="83"/>
      <x:c r="L120" s="83"/>
      <x:c r="M120" s="83"/>
    </x:row>
    <x:row r="121">
      <x:c r="A121" s="83"/>
      <x:c r="B121" s="84"/>
      <x:c r="C121" s="83"/>
      <x:c r="D121" s="83"/>
      <x:c r="E121" s="83"/>
      <x:c r="F121" s="85"/>
      <x:c r="G121" s="178"/>
      <x:c r="H121" s="83"/>
      <x:c r="I121" s="83"/>
      <x:c r="J121" s="83"/>
      <x:c r="K121" s="83"/>
      <x:c r="L121" s="83"/>
      <x:c r="M121" s="83"/>
    </x:row>
    <x:row r="122">
      <x:c r="A122" s="83"/>
      <x:c r="B122" s="84"/>
      <x:c r="C122" s="83"/>
      <x:c r="D122" s="83"/>
      <x:c r="E122" s="83"/>
      <x:c r="F122" s="85"/>
      <x:c r="G122" s="178"/>
      <x:c r="H122" s="83"/>
      <x:c r="I122" s="83"/>
      <x:c r="J122" s="83"/>
      <x:c r="K122" s="83"/>
      <x:c r="L122" s="83"/>
      <x:c r="M122" s="83"/>
    </x:row>
    <x:row r="123">
      <x:c r="A123" s="83"/>
      <x:c r="B123" s="84"/>
      <x:c r="C123" s="83"/>
      <x:c r="D123" s="83"/>
      <x:c r="E123" s="83"/>
      <x:c r="F123" s="85"/>
      <x:c r="G123" s="178"/>
      <x:c r="H123" s="83"/>
      <x:c r="I123" s="83"/>
      <x:c r="J123" s="83"/>
      <x:c r="K123" s="83"/>
      <x:c r="L123" s="83"/>
      <x:c r="M123" s="83"/>
    </x:row>
    <x:row r="124">
      <x:c r="A124" s="83"/>
      <x:c r="B124" s="84"/>
      <x:c r="C124" s="83"/>
      <x:c r="D124" s="83"/>
      <x:c r="E124" s="83"/>
      <x:c r="F124" s="85"/>
      <x:c r="G124" s="178"/>
      <x:c r="H124" s="83"/>
      <x:c r="I124" s="83"/>
      <x:c r="J124" s="83"/>
      <x:c r="K124" s="83"/>
      <x:c r="L124" s="83"/>
      <x:c r="M124" s="83"/>
    </x:row>
    <x:row r="125">
      <x:c r="A125" s="83"/>
      <x:c r="B125" s="84"/>
      <x:c r="C125" s="83"/>
      <x:c r="D125" s="83"/>
      <x:c r="E125" s="83"/>
      <x:c r="F125" s="85"/>
      <x:c r="G125" s="178"/>
      <x:c r="H125" s="83"/>
      <x:c r="I125" s="83"/>
      <x:c r="J125" s="83"/>
      <x:c r="K125" s="83"/>
      <x:c r="L125" s="83"/>
      <x:c r="M125" s="83"/>
    </x:row>
    <x:row r="126">
      <x:c r="A126" s="83"/>
      <x:c r="B126" s="84"/>
      <x:c r="C126" s="83"/>
      <x:c r="D126" s="83"/>
      <x:c r="E126" s="83"/>
      <x:c r="F126" s="85"/>
      <x:c r="G126" s="178"/>
      <x:c r="H126" s="83"/>
      <x:c r="I126" s="83"/>
      <x:c r="J126" s="83"/>
      <x:c r="K126" s="83"/>
      <x:c r="L126" s="83"/>
      <x:c r="M126" s="83"/>
    </x:row>
    <x:row r="127">
      <x:c r="A127" s="83"/>
      <x:c r="B127" s="84"/>
      <x:c r="C127" s="83"/>
      <x:c r="D127" s="83"/>
      <x:c r="E127" s="83"/>
      <x:c r="F127" s="85"/>
      <x:c r="G127" s="178"/>
      <x:c r="H127" s="83"/>
      <x:c r="I127" s="83"/>
      <x:c r="J127" s="83"/>
      <x:c r="K127" s="83"/>
      <x:c r="L127" s="83"/>
      <x:c r="M127" s="83"/>
    </x:row>
    <x:row r="128">
      <x:c r="A128" s="83"/>
      <x:c r="B128" s="84"/>
      <x:c r="C128" s="83"/>
      <x:c r="D128" s="83"/>
      <x:c r="E128" s="83"/>
      <x:c r="F128" s="85"/>
      <x:c r="G128" s="178"/>
      <x:c r="H128" s="83"/>
      <x:c r="I128" s="83"/>
      <x:c r="J128" s="83"/>
      <x:c r="K128" s="83"/>
      <x:c r="L128" s="83"/>
      <x:c r="M128" s="83"/>
    </x:row>
    <x:row r="129">
      <x:c r="A129" s="83"/>
      <x:c r="B129" s="84"/>
      <x:c r="C129" s="83"/>
      <x:c r="D129" s="83"/>
      <x:c r="E129" s="83"/>
      <x:c r="F129" s="85"/>
      <x:c r="G129" s="178"/>
      <x:c r="H129" s="83"/>
      <x:c r="I129" s="83"/>
      <x:c r="J129" s="83"/>
      <x:c r="K129" s="83"/>
      <x:c r="L129" s="83"/>
      <x:c r="M129" s="83"/>
    </x:row>
    <x:row r="130">
      <x:c r="A130" s="83"/>
      <x:c r="B130" s="84"/>
      <x:c r="C130" s="83"/>
      <x:c r="D130" s="83"/>
      <x:c r="E130" s="83"/>
      <x:c r="F130" s="85"/>
      <x:c r="G130" s="178"/>
      <x:c r="H130" s="83"/>
      <x:c r="I130" s="83"/>
      <x:c r="J130" s="83"/>
      <x:c r="K130" s="83"/>
      <x:c r="L130" s="83"/>
      <x:c r="M130" s="83"/>
    </x:row>
    <x:row r="131">
      <x:c r="A131" s="83"/>
      <x:c r="B131" s="84"/>
      <x:c r="C131" s="83"/>
      <x:c r="D131" s="83"/>
      <x:c r="E131" s="83"/>
      <x:c r="F131" s="85"/>
      <x:c r="G131" s="178"/>
      <x:c r="H131" s="83"/>
      <x:c r="I131" s="83"/>
      <x:c r="J131" s="83"/>
      <x:c r="K131" s="83"/>
      <x:c r="L131" s="83"/>
      <x:c r="M131" s="83"/>
    </x:row>
    <x:row r="132">
      <x:c r="A132" s="83"/>
      <x:c r="B132" s="84"/>
      <x:c r="C132" s="83"/>
      <x:c r="D132" s="83"/>
      <x:c r="E132" s="83"/>
      <x:c r="F132" s="85"/>
      <x:c r="G132" s="178"/>
      <x:c r="H132" s="83"/>
      <x:c r="I132" s="83"/>
      <x:c r="J132" s="83"/>
      <x:c r="K132" s="83"/>
      <x:c r="L132" s="83"/>
      <x:c r="M132" s="83"/>
    </x:row>
    <x:row r="133">
      <x:c r="A133" s="83"/>
      <x:c r="B133" s="84"/>
      <x:c r="C133" s="83"/>
      <x:c r="D133" s="83"/>
      <x:c r="E133" s="83"/>
      <x:c r="F133" s="85"/>
      <x:c r="G133" s="178"/>
      <x:c r="H133" s="83"/>
      <x:c r="I133" s="83"/>
      <x:c r="J133" s="83"/>
      <x:c r="K133" s="83"/>
      <x:c r="L133" s="83"/>
      <x:c r="M133" s="83"/>
    </x:row>
    <x:row r="134">
      <x:c r="A134" s="83"/>
      <x:c r="B134" s="84"/>
      <x:c r="C134" s="83"/>
      <x:c r="D134" s="83"/>
      <x:c r="E134" s="83"/>
      <x:c r="F134" s="85"/>
      <x:c r="G134" s="178"/>
      <x:c r="H134" s="83"/>
      <x:c r="I134" s="83"/>
      <x:c r="J134" s="83"/>
      <x:c r="K134" s="83"/>
      <x:c r="L134" s="83"/>
      <x:c r="M134" s="83"/>
    </x:row>
    <x:row r="135">
      <x:c r="A135" s="83"/>
      <x:c r="B135" s="84"/>
      <x:c r="C135" s="83"/>
      <x:c r="D135" s="83"/>
      <x:c r="E135" s="83"/>
      <x:c r="F135" s="85"/>
      <x:c r="G135" s="178"/>
      <x:c r="H135" s="83"/>
      <x:c r="I135" s="83"/>
      <x:c r="J135" s="83"/>
      <x:c r="K135" s="83"/>
      <x:c r="L135" s="83"/>
      <x:c r="M135" s="83"/>
    </x:row>
    <x:row r="136">
      <x:c r="A136" s="83"/>
      <x:c r="B136" s="84"/>
      <x:c r="C136" s="83"/>
      <x:c r="D136" s="83"/>
      <x:c r="E136" s="83"/>
      <x:c r="F136" s="85"/>
      <x:c r="G136" s="178"/>
      <x:c r="H136" s="83"/>
      <x:c r="I136" s="83"/>
      <x:c r="J136" s="83"/>
      <x:c r="K136" s="83"/>
      <x:c r="L136" s="83"/>
      <x:c r="M136" s="83"/>
    </x:row>
    <x:row r="137">
      <x:c r="A137" s="83"/>
      <x:c r="B137" s="84"/>
      <x:c r="C137" s="83"/>
      <x:c r="D137" s="83"/>
      <x:c r="E137" s="83"/>
      <x:c r="F137" s="85"/>
      <x:c r="G137" s="178"/>
      <x:c r="H137" s="83"/>
      <x:c r="I137" s="83"/>
      <x:c r="J137" s="83"/>
      <x:c r="K137" s="83"/>
      <x:c r="L137" s="83"/>
      <x:c r="M137" s="83"/>
    </x:row>
    <x:row r="138">
      <x:c r="A138" s="83"/>
      <x:c r="B138" s="84"/>
      <x:c r="C138" s="83"/>
      <x:c r="D138" s="83"/>
      <x:c r="E138" s="83"/>
      <x:c r="F138" s="85"/>
      <x:c r="G138" s="178"/>
      <x:c r="H138" s="83"/>
      <x:c r="I138" s="83"/>
      <x:c r="J138" s="83"/>
      <x:c r="K138" s="83"/>
      <x:c r="L138" s="83"/>
      <x:c r="M138" s="83"/>
    </x:row>
    <x:row r="139">
      <x:c r="A139" s="83"/>
      <x:c r="B139" s="84"/>
      <x:c r="C139" s="83"/>
      <x:c r="D139" s="83"/>
      <x:c r="E139" s="83"/>
      <x:c r="F139" s="85"/>
      <x:c r="G139" s="178"/>
      <x:c r="H139" s="83"/>
      <x:c r="I139" s="83"/>
      <x:c r="J139" s="83"/>
      <x:c r="K139" s="83"/>
      <x:c r="L139" s="83"/>
      <x:c r="M139" s="83"/>
    </x:row>
    <x:row r="140">
      <x:c r="A140" s="83"/>
      <x:c r="B140" s="84"/>
      <x:c r="C140" s="83"/>
      <x:c r="D140" s="83"/>
      <x:c r="E140" s="83"/>
      <x:c r="F140" s="85"/>
      <x:c r="G140" s="178"/>
      <x:c r="H140" s="83"/>
      <x:c r="I140" s="83"/>
      <x:c r="J140" s="83"/>
      <x:c r="K140" s="83"/>
      <x:c r="L140" s="83"/>
      <x:c r="M140" s="83"/>
    </x:row>
    <x:row r="141">
      <x:c r="A141" s="83"/>
      <x:c r="B141" s="84"/>
      <x:c r="C141" s="83"/>
      <x:c r="D141" s="83"/>
      <x:c r="E141" s="83"/>
      <x:c r="F141" s="85"/>
      <x:c r="G141" s="178"/>
      <x:c r="H141" s="83"/>
      <x:c r="I141" s="83"/>
      <x:c r="J141" s="83"/>
      <x:c r="K141" s="83"/>
      <x:c r="L141" s="83"/>
      <x:c r="M141" s="83"/>
    </x:row>
    <x:row r="142">
      <x:c r="A142" s="83"/>
      <x:c r="B142" s="84"/>
      <x:c r="C142" s="83"/>
      <x:c r="D142" s="83"/>
      <x:c r="E142" s="83"/>
      <x:c r="F142" s="85"/>
      <x:c r="G142" s="178"/>
      <x:c r="H142" s="83"/>
      <x:c r="I142" s="83"/>
      <x:c r="J142" s="83"/>
      <x:c r="K142" s="83"/>
      <x:c r="L142" s="83"/>
      <x:c r="M142" s="83"/>
    </x:row>
    <x:row r="143">
      <x:c r="A143" s="83"/>
      <x:c r="B143" s="84"/>
      <x:c r="C143" s="83"/>
      <x:c r="D143" s="83"/>
      <x:c r="E143" s="83"/>
      <x:c r="F143" s="85"/>
      <x:c r="G143" s="178"/>
      <x:c r="H143" s="83"/>
      <x:c r="I143" s="83"/>
      <x:c r="J143" s="83"/>
      <x:c r="K143" s="83"/>
      <x:c r="L143" s="83"/>
      <x:c r="M143" s="83"/>
    </x:row>
    <x:row r="144">
      <x:c r="A144" s="83"/>
      <x:c r="B144" s="84"/>
      <x:c r="C144" s="83"/>
      <x:c r="D144" s="83"/>
      <x:c r="E144" s="83"/>
      <x:c r="F144" s="85"/>
      <x:c r="G144" s="178"/>
      <x:c r="H144" s="83"/>
      <x:c r="I144" s="83"/>
      <x:c r="J144" s="83"/>
      <x:c r="K144" s="83"/>
      <x:c r="L144" s="83"/>
      <x:c r="M144" s="83"/>
    </x:row>
    <x:row r="145">
      <x:c r="A145" s="83"/>
      <x:c r="B145" s="84"/>
      <x:c r="C145" s="83"/>
      <x:c r="D145" s="83"/>
      <x:c r="E145" s="83"/>
      <x:c r="F145" s="85"/>
      <x:c r="G145" s="178"/>
      <x:c r="H145" s="83"/>
      <x:c r="I145" s="83"/>
      <x:c r="J145" s="83"/>
      <x:c r="K145" s="83"/>
      <x:c r="L145" s="83"/>
      <x:c r="M145" s="83"/>
    </x:row>
    <x:row r="146">
      <x:c r="A146" s="83"/>
      <x:c r="B146" s="84"/>
      <x:c r="C146" s="83"/>
      <x:c r="D146" s="83"/>
      <x:c r="E146" s="83"/>
      <x:c r="F146" s="85"/>
      <x:c r="G146" s="178"/>
      <x:c r="H146" s="83"/>
      <x:c r="I146" s="83"/>
      <x:c r="J146" s="83"/>
      <x:c r="K146" s="83"/>
      <x:c r="L146" s="83"/>
      <x:c r="M146" s="83"/>
    </x:row>
    <x:row r="147">
      <x:c r="A147" s="83"/>
      <x:c r="B147" s="84"/>
      <x:c r="C147" s="83"/>
      <x:c r="D147" s="83"/>
      <x:c r="E147" s="83"/>
      <x:c r="F147" s="85"/>
      <x:c r="G147" s="178"/>
      <x:c r="H147" s="83"/>
      <x:c r="I147" s="83"/>
      <x:c r="J147" s="83"/>
      <x:c r="K147" s="83"/>
      <x:c r="L147" s="83"/>
      <x:c r="M147" s="83"/>
    </x:row>
    <x:row r="148">
      <x:c r="A148" s="83"/>
      <x:c r="B148" s="84"/>
      <x:c r="C148" s="83"/>
      <x:c r="D148" s="83"/>
      <x:c r="E148" s="83"/>
      <x:c r="F148" s="85"/>
      <x:c r="G148" s="178"/>
      <x:c r="H148" s="83"/>
      <x:c r="I148" s="83"/>
      <x:c r="J148" s="83"/>
      <x:c r="K148" s="83"/>
      <x:c r="L148" s="83"/>
      <x:c r="M148" s="83"/>
    </x:row>
    <x:row r="149">
      <x:c r="A149" s="83"/>
      <x:c r="B149" s="84"/>
      <x:c r="C149" s="83"/>
      <x:c r="D149" s="83"/>
      <x:c r="E149" s="83"/>
      <x:c r="F149" s="85"/>
      <x:c r="G149" s="178"/>
      <x:c r="H149" s="83"/>
      <x:c r="I149" s="83"/>
      <x:c r="J149" s="83"/>
      <x:c r="K149" s="83"/>
      <x:c r="L149" s="83"/>
      <x:c r="M149" s="83"/>
    </x:row>
    <x:row r="150">
      <x:c r="A150" s="83"/>
      <x:c r="B150" s="84"/>
      <x:c r="C150" s="83"/>
      <x:c r="D150" s="83"/>
      <x:c r="E150" s="83"/>
      <x:c r="F150" s="85"/>
      <x:c r="G150" s="178"/>
      <x:c r="H150" s="83"/>
      <x:c r="I150" s="83"/>
      <x:c r="J150" s="83"/>
      <x:c r="K150" s="83"/>
      <x:c r="L150" s="83"/>
      <x:c r="M150" s="83"/>
    </x:row>
    <x:row r="151">
      <x:c r="A151" s="83"/>
      <x:c r="B151" s="84"/>
      <x:c r="C151" s="83"/>
      <x:c r="D151" s="83"/>
      <x:c r="E151" s="83"/>
      <x:c r="F151" s="85"/>
      <x:c r="G151" s="178"/>
      <x:c r="H151" s="83"/>
      <x:c r="I151" s="83"/>
      <x:c r="J151" s="83"/>
      <x:c r="K151" s="83"/>
      <x:c r="L151" s="83"/>
      <x:c r="M151" s="83"/>
    </x:row>
    <x:row r="152">
      <x:c r="A152" s="83"/>
      <x:c r="B152" s="84"/>
      <x:c r="C152" s="83"/>
      <x:c r="D152" s="83"/>
      <x:c r="E152" s="83"/>
      <x:c r="F152" s="85"/>
      <x:c r="G152" s="178"/>
      <x:c r="H152" s="83"/>
      <x:c r="I152" s="83"/>
      <x:c r="J152" s="83"/>
      <x:c r="K152" s="83"/>
      <x:c r="L152" s="83"/>
      <x:c r="M152" s="83"/>
    </x:row>
    <x:row r="153">
      <x:c r="A153" s="83"/>
      <x:c r="B153" s="84"/>
      <x:c r="C153" s="83"/>
      <x:c r="D153" s="83"/>
      <x:c r="E153" s="83"/>
      <x:c r="F153" s="85"/>
      <x:c r="G153" s="178"/>
      <x:c r="H153" s="83"/>
      <x:c r="I153" s="83"/>
      <x:c r="J153" s="83"/>
      <x:c r="K153" s="83"/>
      <x:c r="L153" s="83"/>
      <x:c r="M153" s="83"/>
    </x:row>
    <x:row r="154">
      <x:c r="A154" s="83"/>
      <x:c r="B154" s="84"/>
      <x:c r="C154" s="83"/>
      <x:c r="D154" s="83"/>
      <x:c r="E154" s="83"/>
      <x:c r="F154" s="85"/>
      <x:c r="G154" s="178"/>
      <x:c r="H154" s="83"/>
      <x:c r="I154" s="83"/>
      <x:c r="J154" s="83"/>
      <x:c r="K154" s="83"/>
      <x:c r="L154" s="83"/>
      <x:c r="M154" s="83"/>
    </x:row>
    <x:row r="155">
      <x:c r="A155" s="83"/>
      <x:c r="B155" s="84"/>
      <x:c r="C155" s="83"/>
      <x:c r="D155" s="83"/>
      <x:c r="E155" s="83"/>
      <x:c r="F155" s="85"/>
      <x:c r="G155" s="178"/>
      <x:c r="H155" s="83"/>
      <x:c r="I155" s="83"/>
      <x:c r="J155" s="83"/>
      <x:c r="K155" s="83"/>
      <x:c r="L155" s="83"/>
      <x:c r="M155" s="83"/>
    </x:row>
    <x:row r="156">
      <x:c r="A156" s="83"/>
      <x:c r="B156" s="84"/>
      <x:c r="C156" s="83"/>
      <x:c r="D156" s="83"/>
      <x:c r="E156" s="83"/>
      <x:c r="F156" s="85"/>
      <x:c r="G156" s="178"/>
      <x:c r="H156" s="83"/>
      <x:c r="I156" s="83"/>
      <x:c r="J156" s="83"/>
      <x:c r="K156" s="83"/>
      <x:c r="L156" s="83"/>
      <x:c r="M156" s="83"/>
    </x:row>
    <x:row r="157">
      <x:c r="A157" s="83"/>
      <x:c r="B157" s="84"/>
      <x:c r="C157" s="83"/>
      <x:c r="D157" s="83"/>
      <x:c r="E157" s="83"/>
      <x:c r="F157" s="85"/>
      <x:c r="G157" s="178"/>
      <x:c r="H157" s="83"/>
      <x:c r="I157" s="83"/>
      <x:c r="J157" s="83"/>
      <x:c r="K157" s="83"/>
      <x:c r="L157" s="83"/>
      <x:c r="M157" s="83"/>
    </x:row>
    <x:row r="158">
      <x:c r="A158" s="83"/>
      <x:c r="B158" s="84"/>
      <x:c r="C158" s="83"/>
      <x:c r="D158" s="83"/>
      <x:c r="E158" s="83"/>
      <x:c r="F158" s="85"/>
      <x:c r="G158" s="178"/>
      <x:c r="H158" s="83"/>
      <x:c r="I158" s="83"/>
      <x:c r="J158" s="83"/>
      <x:c r="K158" s="83"/>
      <x:c r="L158" s="83"/>
      <x:c r="M158" s="83"/>
    </x:row>
    <x:row r="159">
      <x:c r="A159" s="83"/>
      <x:c r="B159" s="84"/>
      <x:c r="C159" s="83"/>
      <x:c r="D159" s="83"/>
      <x:c r="E159" s="83"/>
      <x:c r="F159" s="85"/>
      <x:c r="G159" s="178"/>
      <x:c r="H159" s="83"/>
      <x:c r="I159" s="83"/>
      <x:c r="J159" s="83"/>
      <x:c r="K159" s="83"/>
      <x:c r="L159" s="83"/>
      <x:c r="M159" s="83"/>
    </x:row>
    <x:row r="160">
      <x:c r="A160" s="83"/>
      <x:c r="B160" s="84"/>
      <x:c r="C160" s="83"/>
      <x:c r="D160" s="83"/>
      <x:c r="E160" s="83"/>
      <x:c r="F160" s="85"/>
      <x:c r="G160" s="178"/>
      <x:c r="H160" s="83"/>
      <x:c r="I160" s="83"/>
      <x:c r="J160" s="83"/>
      <x:c r="K160" s="83"/>
      <x:c r="L160" s="83"/>
      <x:c r="M160" s="83"/>
    </x:row>
    <x:row r="161">
      <x:c r="A161" s="83"/>
      <x:c r="B161" s="84"/>
      <x:c r="C161" s="83"/>
      <x:c r="D161" s="83"/>
      <x:c r="E161" s="83"/>
      <x:c r="F161" s="85"/>
      <x:c r="G161" s="178"/>
      <x:c r="H161" s="83"/>
      <x:c r="I161" s="83"/>
      <x:c r="J161" s="83"/>
      <x:c r="K161" s="83"/>
      <x:c r="L161" s="83"/>
      <x:c r="M161" s="83"/>
    </x:row>
    <x:row r="162">
      <x:c r="A162" s="83"/>
      <x:c r="B162" s="84"/>
      <x:c r="C162" s="83"/>
      <x:c r="D162" s="83"/>
      <x:c r="E162" s="83"/>
      <x:c r="F162" s="85"/>
      <x:c r="G162" s="178"/>
      <x:c r="H162" s="83"/>
      <x:c r="I162" s="83"/>
      <x:c r="J162" s="83"/>
      <x:c r="K162" s="83"/>
      <x:c r="L162" s="83"/>
      <x:c r="M162" s="83"/>
    </x:row>
    <x:row r="163">
      <x:c r="A163" s="83"/>
      <x:c r="B163" s="84"/>
      <x:c r="C163" s="83"/>
      <x:c r="D163" s="83"/>
      <x:c r="E163" s="83"/>
      <x:c r="F163" s="85"/>
      <x:c r="G163" s="178"/>
      <x:c r="H163" s="83"/>
      <x:c r="I163" s="83"/>
      <x:c r="J163" s="83"/>
      <x:c r="K163" s="83"/>
      <x:c r="L163" s="83"/>
      <x:c r="M163" s="83"/>
    </x:row>
    <x:row r="164">
      <x:c r="A164" s="83"/>
      <x:c r="B164" s="84"/>
      <x:c r="C164" s="83"/>
      <x:c r="D164" s="83"/>
      <x:c r="E164" s="83"/>
      <x:c r="F164" s="85"/>
      <x:c r="G164" s="178"/>
      <x:c r="H164" s="83"/>
      <x:c r="I164" s="83"/>
      <x:c r="J164" s="83"/>
      <x:c r="K164" s="83"/>
      <x:c r="L164" s="83"/>
      <x:c r="M164" s="83"/>
    </x:row>
    <x:row r="165">
      <x:c r="A165" s="83"/>
      <x:c r="B165" s="84"/>
      <x:c r="C165" s="83"/>
      <x:c r="D165" s="83"/>
      <x:c r="E165" s="83"/>
      <x:c r="F165" s="85"/>
      <x:c r="G165" s="178"/>
      <x:c r="H165" s="83"/>
      <x:c r="I165" s="83"/>
      <x:c r="J165" s="83"/>
      <x:c r="K165" s="83"/>
      <x:c r="L165" s="83"/>
      <x:c r="M165" s="83"/>
    </x:row>
    <x:row r="166">
      <x:c r="A166" s="83"/>
      <x:c r="B166" s="84"/>
      <x:c r="C166" s="83"/>
      <x:c r="D166" s="83"/>
      <x:c r="E166" s="83"/>
      <x:c r="F166" s="85"/>
      <x:c r="G166" s="178"/>
      <x:c r="H166" s="83"/>
      <x:c r="I166" s="83"/>
      <x:c r="J166" s="83"/>
      <x:c r="K166" s="83"/>
      <x:c r="L166" s="83"/>
      <x:c r="M166" s="83"/>
    </x:row>
    <x:row r="167">
      <x:c r="A167" s="83"/>
      <x:c r="B167" s="84"/>
      <x:c r="C167" s="83"/>
      <x:c r="D167" s="83"/>
      <x:c r="E167" s="83"/>
      <x:c r="F167" s="85"/>
      <x:c r="G167" s="178"/>
      <x:c r="H167" s="83"/>
      <x:c r="I167" s="83"/>
      <x:c r="J167" s="83"/>
      <x:c r="K167" s="83"/>
      <x:c r="L167" s="83"/>
      <x:c r="M167" s="83"/>
    </x:row>
    <x:row r="168">
      <x:c r="A168" s="83"/>
      <x:c r="B168" s="84"/>
      <x:c r="C168" s="83"/>
      <x:c r="D168" s="83"/>
      <x:c r="E168" s="83"/>
      <x:c r="F168" s="85"/>
      <x:c r="G168" s="178"/>
      <x:c r="H168" s="83"/>
      <x:c r="I168" s="83"/>
      <x:c r="J168" s="83"/>
      <x:c r="K168" s="83"/>
      <x:c r="L168" s="83"/>
      <x:c r="M168" s="83"/>
    </x:row>
    <x:row r="169">
      <x:c r="A169" s="83"/>
      <x:c r="B169" s="84"/>
      <x:c r="C169" s="83"/>
      <x:c r="D169" s="83"/>
      <x:c r="E169" s="83"/>
      <x:c r="F169" s="85"/>
      <x:c r="G169" s="178"/>
      <x:c r="H169" s="83"/>
      <x:c r="I169" s="83"/>
      <x:c r="J169" s="83"/>
      <x:c r="K169" s="83"/>
      <x:c r="L169" s="83"/>
      <x:c r="M169" s="83"/>
    </x:row>
    <x:row r="170">
      <x:c r="A170" s="83"/>
      <x:c r="B170" s="84"/>
      <x:c r="C170" s="83"/>
      <x:c r="D170" s="83"/>
      <x:c r="E170" s="83"/>
      <x:c r="F170" s="85"/>
      <x:c r="G170" s="178"/>
      <x:c r="H170" s="83"/>
      <x:c r="I170" s="83"/>
      <x:c r="J170" s="83"/>
      <x:c r="K170" s="83"/>
      <x:c r="L170" s="83"/>
      <x:c r="M170" s="83"/>
    </x:row>
    <x:row r="171">
      <x:c r="A171" s="83"/>
      <x:c r="B171" s="84"/>
      <x:c r="C171" s="83"/>
      <x:c r="D171" s="83"/>
      <x:c r="E171" s="83"/>
      <x:c r="F171" s="85"/>
      <x:c r="G171" s="178"/>
      <x:c r="H171" s="83"/>
      <x:c r="I171" s="83"/>
      <x:c r="J171" s="83"/>
      <x:c r="K171" s="83"/>
      <x:c r="L171" s="83"/>
      <x:c r="M171" s="83"/>
    </x:row>
    <x:row r="172">
      <x:c r="A172" s="83"/>
      <x:c r="B172" s="84"/>
      <x:c r="C172" s="83"/>
      <x:c r="D172" s="83"/>
      <x:c r="E172" s="83"/>
      <x:c r="F172" s="85"/>
      <x:c r="G172" s="178"/>
      <x:c r="H172" s="83"/>
      <x:c r="I172" s="83"/>
      <x:c r="J172" s="83"/>
      <x:c r="K172" s="83"/>
      <x:c r="L172" s="83"/>
      <x:c r="M172" s="83"/>
    </x:row>
    <x:row r="173">
      <x:c r="A173" s="83"/>
      <x:c r="B173" s="84"/>
      <x:c r="C173" s="83"/>
      <x:c r="D173" s="83"/>
      <x:c r="E173" s="83"/>
      <x:c r="F173" s="85"/>
      <x:c r="G173" s="178"/>
      <x:c r="H173" s="83"/>
      <x:c r="I173" s="83"/>
      <x:c r="J173" s="83"/>
      <x:c r="K173" s="83"/>
      <x:c r="L173" s="83"/>
      <x:c r="M173" s="83"/>
    </x:row>
    <x:row r="174">
      <x:c r="A174" s="83"/>
      <x:c r="B174" s="84"/>
      <x:c r="C174" s="83"/>
      <x:c r="D174" s="83"/>
      <x:c r="E174" s="83"/>
      <x:c r="F174" s="85"/>
      <x:c r="G174" s="178"/>
      <x:c r="H174" s="83"/>
      <x:c r="I174" s="83"/>
      <x:c r="J174" s="83"/>
      <x:c r="K174" s="83"/>
      <x:c r="L174" s="83"/>
      <x:c r="M174" s="83"/>
    </x:row>
    <x:row r="175">
      <x:c r="A175" s="83"/>
      <x:c r="B175" s="84"/>
      <x:c r="C175" s="83"/>
      <x:c r="D175" s="83"/>
      <x:c r="E175" s="83"/>
      <x:c r="F175" s="85"/>
      <x:c r="G175" s="178"/>
      <x:c r="H175" s="83"/>
      <x:c r="I175" s="83"/>
      <x:c r="J175" s="83"/>
      <x:c r="K175" s="83"/>
      <x:c r="L175" s="83"/>
      <x:c r="M175" s="83"/>
    </x:row>
    <x:row r="176">
      <x:c r="A176" s="83"/>
      <x:c r="B176" s="84"/>
      <x:c r="C176" s="83"/>
      <x:c r="D176" s="83"/>
      <x:c r="E176" s="83"/>
      <x:c r="F176" s="85"/>
      <x:c r="G176" s="178"/>
      <x:c r="H176" s="83"/>
      <x:c r="I176" s="83"/>
      <x:c r="J176" s="83"/>
      <x:c r="K176" s="83"/>
      <x:c r="L176" s="83"/>
      <x:c r="M176" s="83"/>
    </x:row>
    <x:row r="177">
      <x:c r="A177" s="83"/>
      <x:c r="B177" s="84"/>
      <x:c r="C177" s="83"/>
      <x:c r="D177" s="83"/>
      <x:c r="E177" s="83"/>
      <x:c r="F177" s="85"/>
      <x:c r="G177" s="178"/>
      <x:c r="H177" s="83"/>
      <x:c r="I177" s="83"/>
      <x:c r="J177" s="83"/>
      <x:c r="K177" s="83"/>
      <x:c r="L177" s="83"/>
      <x:c r="M177" s="83"/>
    </x:row>
    <x:row r="178">
      <x:c r="A178" s="83"/>
      <x:c r="B178" s="84"/>
      <x:c r="C178" s="83"/>
      <x:c r="D178" s="83"/>
      <x:c r="E178" s="83"/>
      <x:c r="F178" s="85"/>
      <x:c r="G178" s="178"/>
      <x:c r="H178" s="83"/>
      <x:c r="I178" s="83"/>
      <x:c r="J178" s="83"/>
      <x:c r="K178" s="83"/>
      <x:c r="L178" s="83"/>
      <x:c r="M178" s="83"/>
    </x:row>
    <x:row r="179">
      <x:c r="A179" s="83"/>
      <x:c r="B179" s="84"/>
      <x:c r="C179" s="83"/>
      <x:c r="D179" s="83"/>
      <x:c r="E179" s="83"/>
      <x:c r="F179" s="85"/>
      <x:c r="G179" s="178"/>
      <x:c r="H179" s="83"/>
      <x:c r="I179" s="83"/>
      <x:c r="J179" s="83"/>
      <x:c r="K179" s="83"/>
      <x:c r="L179" s="83"/>
      <x:c r="M179" s="83"/>
    </x:row>
    <x:row r="180">
      <x:c r="A180" s="83"/>
      <x:c r="B180" s="84"/>
      <x:c r="C180" s="83"/>
      <x:c r="D180" s="83"/>
      <x:c r="E180" s="83"/>
      <x:c r="F180" s="85"/>
      <x:c r="G180" s="178"/>
      <x:c r="H180" s="83"/>
      <x:c r="I180" s="83"/>
      <x:c r="J180" s="83"/>
      <x:c r="K180" s="83"/>
      <x:c r="L180" s="83"/>
      <x:c r="M180" s="83"/>
    </x:row>
    <x:row r="181">
      <x:c r="A181" s="83"/>
      <x:c r="B181" s="84"/>
      <x:c r="C181" s="83"/>
      <x:c r="D181" s="83"/>
      <x:c r="E181" s="83"/>
      <x:c r="F181" s="85"/>
      <x:c r="G181" s="178"/>
      <x:c r="H181" s="83"/>
      <x:c r="I181" s="83"/>
      <x:c r="J181" s="83"/>
      <x:c r="K181" s="83"/>
      <x:c r="L181" s="83"/>
      <x:c r="M181" s="83"/>
    </x:row>
    <x:row r="182">
      <x:c r="A182" s="83"/>
      <x:c r="B182" s="84"/>
      <x:c r="C182" s="83"/>
      <x:c r="D182" s="83"/>
      <x:c r="E182" s="83"/>
      <x:c r="F182" s="85"/>
      <x:c r="G182" s="178"/>
      <x:c r="H182" s="83"/>
      <x:c r="I182" s="83"/>
      <x:c r="J182" s="83"/>
      <x:c r="K182" s="83"/>
      <x:c r="L182" s="83"/>
      <x:c r="M182" s="83"/>
    </x:row>
    <x:row r="183">
      <x:c r="A183" s="83"/>
      <x:c r="B183" s="84"/>
      <x:c r="C183" s="83"/>
      <x:c r="D183" s="83"/>
      <x:c r="E183" s="83"/>
      <x:c r="F183" s="85"/>
      <x:c r="G183" s="178"/>
      <x:c r="H183" s="83"/>
      <x:c r="I183" s="83"/>
      <x:c r="J183" s="83"/>
      <x:c r="K183" s="83"/>
      <x:c r="L183" s="83"/>
      <x:c r="M183" s="83"/>
    </x:row>
    <x:row r="184">
      <x:c r="A184" s="83"/>
      <x:c r="B184" s="84"/>
      <x:c r="C184" s="83"/>
      <x:c r="D184" s="83"/>
      <x:c r="E184" s="83"/>
      <x:c r="F184" s="85"/>
      <x:c r="G184" s="178"/>
      <x:c r="H184" s="83"/>
      <x:c r="I184" s="83"/>
      <x:c r="J184" s="83"/>
      <x:c r="K184" s="83"/>
      <x:c r="L184" s="83"/>
      <x:c r="M184" s="83"/>
    </x:row>
    <x:row r="185">
      <x:c r="A185" s="83"/>
      <x:c r="B185" s="84"/>
      <x:c r="C185" s="83"/>
      <x:c r="D185" s="83"/>
      <x:c r="E185" s="83"/>
      <x:c r="F185" s="85"/>
      <x:c r="G185" s="178"/>
      <x:c r="H185" s="83"/>
      <x:c r="I185" s="83"/>
      <x:c r="J185" s="83"/>
      <x:c r="K185" s="83"/>
      <x:c r="L185" s="83"/>
      <x:c r="M185" s="83"/>
    </x:row>
    <x:row r="186">
      <x:c r="A186" s="83"/>
      <x:c r="B186" s="84"/>
      <x:c r="C186" s="83"/>
      <x:c r="D186" s="83"/>
      <x:c r="E186" s="83"/>
      <x:c r="F186" s="85"/>
      <x:c r="G186" s="178"/>
      <x:c r="H186" s="83"/>
      <x:c r="I186" s="83"/>
      <x:c r="J186" s="83"/>
      <x:c r="K186" s="83"/>
      <x:c r="L186" s="83"/>
      <x:c r="M186" s="83"/>
    </x:row>
    <x:row r="187">
      <x:c r="A187" s="83"/>
      <x:c r="B187" s="84"/>
      <x:c r="C187" s="83"/>
      <x:c r="D187" s="83"/>
      <x:c r="E187" s="83"/>
      <x:c r="F187" s="85"/>
      <x:c r="G187" s="178"/>
      <x:c r="H187" s="83"/>
      <x:c r="I187" s="83"/>
      <x:c r="J187" s="83"/>
      <x:c r="K187" s="83"/>
      <x:c r="L187" s="83"/>
      <x:c r="M187" s="83"/>
    </x:row>
    <x:row r="188">
      <x:c r="A188" s="83"/>
      <x:c r="B188" s="84"/>
      <x:c r="C188" s="83"/>
      <x:c r="D188" s="83"/>
      <x:c r="E188" s="83"/>
      <x:c r="F188" s="85"/>
      <x:c r="G188" s="178"/>
      <x:c r="H188" s="83"/>
      <x:c r="I188" s="83"/>
      <x:c r="J188" s="83"/>
      <x:c r="K188" s="83"/>
      <x:c r="L188" s="83"/>
      <x:c r="M188" s="83"/>
    </x:row>
    <x:row r="189">
      <x:c r="A189" s="83"/>
      <x:c r="B189" s="84"/>
      <x:c r="C189" s="83"/>
      <x:c r="D189" s="83"/>
      <x:c r="E189" s="83"/>
      <x:c r="F189" s="85"/>
      <x:c r="G189" s="178"/>
      <x:c r="H189" s="83"/>
      <x:c r="I189" s="83"/>
      <x:c r="J189" s="83"/>
      <x:c r="K189" s="83"/>
      <x:c r="L189" s="83"/>
      <x:c r="M189" s="83"/>
    </x:row>
    <x:row r="190">
      <x:c r="A190" s="83"/>
      <x:c r="B190" s="84"/>
      <x:c r="C190" s="83"/>
      <x:c r="D190" s="83"/>
      <x:c r="E190" s="83"/>
      <x:c r="F190" s="85"/>
      <x:c r="G190" s="178"/>
      <x:c r="H190" s="83"/>
      <x:c r="I190" s="83"/>
      <x:c r="J190" s="83"/>
      <x:c r="K190" s="83"/>
      <x:c r="L190" s="83"/>
      <x:c r="M190" s="83"/>
    </x:row>
    <x:row r="191">
      <x:c r="A191" s="83"/>
      <x:c r="B191" s="84"/>
      <x:c r="C191" s="83"/>
      <x:c r="D191" s="83"/>
      <x:c r="E191" s="83"/>
      <x:c r="F191" s="85"/>
      <x:c r="G191" s="178"/>
      <x:c r="H191" s="83"/>
      <x:c r="I191" s="83"/>
      <x:c r="J191" s="83"/>
      <x:c r="K191" s="83"/>
      <x:c r="L191" s="83"/>
      <x:c r="M191" s="83"/>
    </x:row>
    <x:row r="192">
      <x:c r="A192" s="83"/>
      <x:c r="B192" s="84"/>
      <x:c r="C192" s="83"/>
      <x:c r="D192" s="83"/>
      <x:c r="E192" s="83"/>
      <x:c r="F192" s="85"/>
      <x:c r="G192" s="178"/>
      <x:c r="H192" s="83"/>
      <x:c r="I192" s="83"/>
      <x:c r="J192" s="83"/>
      <x:c r="K192" s="83"/>
      <x:c r="L192" s="83"/>
      <x:c r="M192" s="83"/>
    </x:row>
    <x:row r="193">
      <x:c r="A193" s="83"/>
      <x:c r="B193" s="84"/>
      <x:c r="C193" s="83"/>
      <x:c r="D193" s="83"/>
      <x:c r="E193" s="83"/>
      <x:c r="F193" s="85"/>
      <x:c r="G193" s="178"/>
      <x:c r="H193" s="83"/>
      <x:c r="I193" s="83"/>
      <x:c r="J193" s="83"/>
      <x:c r="K193" s="83"/>
      <x:c r="L193" s="83"/>
      <x:c r="M193" s="83"/>
    </x:row>
    <x:row r="194">
      <x:c r="A194" s="83"/>
      <x:c r="B194" s="84"/>
      <x:c r="C194" s="83"/>
      <x:c r="D194" s="83"/>
      <x:c r="E194" s="83"/>
      <x:c r="F194" s="85"/>
      <x:c r="G194" s="178"/>
      <x:c r="H194" s="83"/>
      <x:c r="I194" s="83"/>
      <x:c r="J194" s="83"/>
      <x:c r="K194" s="83"/>
      <x:c r="L194" s="83"/>
      <x:c r="M194" s="83"/>
    </x:row>
    <x:row r="195">
      <x:c r="A195" s="83"/>
      <x:c r="B195" s="84"/>
      <x:c r="C195" s="83"/>
      <x:c r="D195" s="83"/>
      <x:c r="E195" s="83"/>
      <x:c r="F195" s="85"/>
      <x:c r="G195" s="178"/>
      <x:c r="H195" s="83"/>
      <x:c r="I195" s="83"/>
      <x:c r="J195" s="83"/>
      <x:c r="K195" s="83"/>
      <x:c r="L195" s="83"/>
      <x:c r="M195" s="83"/>
    </x:row>
    <x:row r="196">
      <x:c r="A196" s="83"/>
      <x:c r="B196" s="84"/>
      <x:c r="C196" s="83"/>
      <x:c r="D196" s="83"/>
      <x:c r="E196" s="83"/>
      <x:c r="F196" s="85"/>
      <x:c r="G196" s="178"/>
      <x:c r="H196" s="83"/>
      <x:c r="I196" s="83"/>
      <x:c r="J196" s="83"/>
      <x:c r="K196" s="83"/>
      <x:c r="L196" s="83"/>
      <x:c r="M196" s="83"/>
    </x:row>
    <x:row r="197">
      <x:c r="A197" s="83"/>
      <x:c r="B197" s="84"/>
      <x:c r="C197" s="83"/>
      <x:c r="D197" s="83"/>
      <x:c r="E197" s="83"/>
      <x:c r="F197" s="85"/>
      <x:c r="G197" s="178"/>
      <x:c r="H197" s="83"/>
      <x:c r="I197" s="83"/>
      <x:c r="J197" s="83"/>
      <x:c r="K197" s="83"/>
      <x:c r="L197" s="83"/>
      <x:c r="M197" s="83"/>
    </x:row>
    <x:row r="198">
      <x:c r="A198" s="83"/>
      <x:c r="B198" s="84"/>
      <x:c r="C198" s="83"/>
      <x:c r="D198" s="83"/>
      <x:c r="E198" s="83"/>
      <x:c r="F198" s="85"/>
      <x:c r="G198" s="178"/>
      <x:c r="H198" s="83"/>
      <x:c r="I198" s="83"/>
      <x:c r="J198" s="83"/>
      <x:c r="K198" s="83"/>
      <x:c r="L198" s="83"/>
      <x:c r="M198" s="83"/>
    </x:row>
    <x:row r="199">
      <x:c r="A199" s="83"/>
      <x:c r="B199" s="84"/>
      <x:c r="C199" s="83"/>
      <x:c r="D199" s="83"/>
      <x:c r="E199" s="83"/>
      <x:c r="F199" s="85"/>
      <x:c r="G199" s="178"/>
      <x:c r="H199" s="83"/>
      <x:c r="I199" s="83"/>
      <x:c r="J199" s="83"/>
      <x:c r="K199" s="83"/>
      <x:c r="L199" s="83"/>
      <x:c r="M199" s="83"/>
    </x:row>
    <x:row r="200">
      <x:c r="A200" s="83"/>
      <x:c r="B200" s="84"/>
      <x:c r="C200" s="83"/>
      <x:c r="D200" s="83"/>
      <x:c r="E200" s="83"/>
      <x:c r="F200" s="85"/>
      <x:c r="G200" s="178"/>
      <x:c r="H200" s="83"/>
      <x:c r="I200" s="83"/>
      <x:c r="J200" s="83"/>
      <x:c r="K200" s="83"/>
      <x:c r="L200" s="83"/>
      <x:c r="M200" s="83"/>
    </x:row>
    <x:row r="201">
      <x:c r="A201" s="83"/>
      <x:c r="B201" s="84"/>
      <x:c r="C201" s="83"/>
      <x:c r="D201" s="83"/>
      <x:c r="E201" s="83"/>
      <x:c r="F201" s="85"/>
      <x:c r="G201" s="178"/>
      <x:c r="H201" s="83"/>
      <x:c r="I201" s="83"/>
      <x:c r="J201" s="83"/>
      <x:c r="K201" s="83"/>
      <x:c r="L201" s="83"/>
      <x:c r="M201" s="83"/>
    </x:row>
    <x:row r="202">
      <x:c r="A202" s="83"/>
      <x:c r="B202" s="84"/>
      <x:c r="C202" s="83"/>
      <x:c r="D202" s="83"/>
      <x:c r="E202" s="83"/>
      <x:c r="F202" s="85"/>
      <x:c r="G202" s="178"/>
      <x:c r="H202" s="83"/>
      <x:c r="I202" s="83"/>
      <x:c r="J202" s="83"/>
      <x:c r="K202" s="83"/>
      <x:c r="L202" s="83"/>
      <x:c r="M202" s="83"/>
    </x:row>
    <x:row r="203">
      <x:c r="A203" s="83"/>
      <x:c r="B203" s="84"/>
      <x:c r="C203" s="83"/>
      <x:c r="D203" s="83"/>
      <x:c r="E203" s="83"/>
      <x:c r="F203" s="85"/>
      <x:c r="G203" s="178"/>
      <x:c r="H203" s="83"/>
      <x:c r="I203" s="83"/>
      <x:c r="J203" s="83"/>
      <x:c r="K203" s="83"/>
      <x:c r="L203" s="83"/>
      <x:c r="M203" s="83"/>
    </x:row>
    <x:row r="204">
      <x:c r="A204" s="83"/>
      <x:c r="B204" s="84"/>
      <x:c r="C204" s="83"/>
      <x:c r="D204" s="83"/>
      <x:c r="E204" s="83"/>
      <x:c r="F204" s="85"/>
      <x:c r="G204" s="178"/>
      <x:c r="H204" s="83"/>
      <x:c r="I204" s="83"/>
      <x:c r="J204" s="83"/>
      <x:c r="K204" s="83"/>
      <x:c r="L204" s="83"/>
      <x:c r="M204" s="83"/>
    </x:row>
    <x:row r="205">
      <x:c r="A205" s="83"/>
      <x:c r="B205" s="84"/>
      <x:c r="C205" s="83"/>
      <x:c r="D205" s="83"/>
      <x:c r="E205" s="83"/>
      <x:c r="F205" s="85"/>
      <x:c r="G205" s="178"/>
      <x:c r="H205" s="83"/>
      <x:c r="I205" s="83"/>
      <x:c r="J205" s="83"/>
      <x:c r="K205" s="83"/>
      <x:c r="L205" s="83"/>
      <x:c r="M205" s="83"/>
    </x:row>
    <x:row r="206">
      <x:c r="A206" s="83"/>
      <x:c r="B206" s="84"/>
      <x:c r="C206" s="83"/>
      <x:c r="D206" s="83"/>
      <x:c r="E206" s="83"/>
      <x:c r="F206" s="85"/>
      <x:c r="G206" s="178"/>
      <x:c r="H206" s="83"/>
      <x:c r="I206" s="83"/>
      <x:c r="J206" s="83"/>
      <x:c r="K206" s="83"/>
      <x:c r="L206" s="83"/>
      <x:c r="M206" s="83"/>
    </x:row>
    <x:row r="207">
      <x:c r="A207" s="83"/>
      <x:c r="B207" s="84"/>
      <x:c r="C207" s="83"/>
      <x:c r="D207" s="83"/>
      <x:c r="E207" s="83"/>
      <x:c r="F207" s="85"/>
      <x:c r="G207" s="178"/>
      <x:c r="H207" s="83"/>
      <x:c r="I207" s="83"/>
      <x:c r="J207" s="83"/>
      <x:c r="K207" s="83"/>
      <x:c r="L207" s="83"/>
      <x:c r="M207" s="83"/>
    </x:row>
    <x:row r="208">
      <x:c r="A208" s="83"/>
      <x:c r="B208" s="84"/>
      <x:c r="C208" s="83"/>
      <x:c r="D208" s="83"/>
      <x:c r="E208" s="83"/>
      <x:c r="F208" s="85"/>
      <x:c r="G208" s="178"/>
      <x:c r="H208" s="83"/>
      <x:c r="I208" s="83"/>
      <x:c r="J208" s="83"/>
      <x:c r="K208" s="83"/>
      <x:c r="L208" s="83"/>
      <x:c r="M208" s="83"/>
    </x:row>
    <x:row r="209">
      <x:c r="A209" s="83"/>
      <x:c r="B209" s="84"/>
      <x:c r="C209" s="83"/>
      <x:c r="D209" s="83"/>
      <x:c r="E209" s="83"/>
      <x:c r="F209" s="85"/>
      <x:c r="G209" s="178"/>
      <x:c r="H209" s="83"/>
      <x:c r="I209" s="83"/>
      <x:c r="J209" s="83"/>
      <x:c r="K209" s="83"/>
      <x:c r="L209" s="83"/>
      <x:c r="M209" s="83"/>
    </x:row>
    <x:row r="210">
      <x:c r="A210" s="83"/>
      <x:c r="B210" s="84"/>
      <x:c r="C210" s="83"/>
      <x:c r="D210" s="83"/>
      <x:c r="E210" s="83"/>
      <x:c r="F210" s="85"/>
      <x:c r="G210" s="178"/>
      <x:c r="H210" s="83"/>
      <x:c r="I210" s="83"/>
      <x:c r="J210" s="83"/>
      <x:c r="K210" s="83"/>
      <x:c r="L210" s="83"/>
      <x:c r="M210" s="83"/>
    </x:row>
    <x:row r="211">
      <x:c r="A211" s="83"/>
      <x:c r="B211" s="84"/>
      <x:c r="C211" s="83"/>
      <x:c r="D211" s="83"/>
      <x:c r="E211" s="83"/>
      <x:c r="F211" s="85"/>
      <x:c r="G211" s="178"/>
      <x:c r="H211" s="83"/>
      <x:c r="I211" s="83"/>
      <x:c r="J211" s="83"/>
      <x:c r="K211" s="83"/>
      <x:c r="L211" s="83"/>
      <x:c r="M211" s="83"/>
    </x:row>
    <x:row r="212">
      <x:c r="A212" s="83"/>
      <x:c r="B212" s="84"/>
      <x:c r="C212" s="83"/>
      <x:c r="D212" s="83"/>
      <x:c r="E212" s="83"/>
      <x:c r="F212" s="85"/>
      <x:c r="G212" s="178"/>
      <x:c r="H212" s="83"/>
      <x:c r="I212" s="83"/>
      <x:c r="J212" s="83"/>
      <x:c r="K212" s="83"/>
      <x:c r="L212" s="83"/>
      <x:c r="M212" s="83"/>
    </x:row>
    <x:row r="213">
      <x:c r="A213" s="83"/>
      <x:c r="B213" s="84"/>
      <x:c r="C213" s="83"/>
      <x:c r="D213" s="83"/>
      <x:c r="E213" s="83"/>
      <x:c r="F213" s="85"/>
      <x:c r="G213" s="178"/>
      <x:c r="H213" s="83"/>
      <x:c r="I213" s="83"/>
      <x:c r="J213" s="83"/>
      <x:c r="K213" s="83"/>
      <x:c r="L213" s="83"/>
      <x:c r="M213" s="83"/>
    </x:row>
    <x:row r="214">
      <x:c r="A214" s="83"/>
      <x:c r="B214" s="84"/>
      <x:c r="C214" s="83"/>
      <x:c r="D214" s="83"/>
      <x:c r="E214" s="83"/>
      <x:c r="F214" s="85"/>
      <x:c r="G214" s="178"/>
      <x:c r="H214" s="83"/>
      <x:c r="I214" s="83"/>
      <x:c r="J214" s="83"/>
      <x:c r="K214" s="83"/>
      <x:c r="L214" s="83"/>
      <x:c r="M214" s="83"/>
    </x:row>
    <x:row r="215">
      <x:c r="A215" s="83"/>
      <x:c r="B215" s="84"/>
      <x:c r="C215" s="83"/>
      <x:c r="D215" s="83"/>
      <x:c r="E215" s="83"/>
      <x:c r="F215" s="85"/>
      <x:c r="G215" s="178"/>
      <x:c r="H215" s="83"/>
      <x:c r="I215" s="83"/>
      <x:c r="J215" s="83"/>
      <x:c r="K215" s="83"/>
      <x:c r="L215" s="83"/>
      <x:c r="M215" s="83"/>
    </x:row>
    <x:row r="216">
      <x:c r="A216" s="83"/>
      <x:c r="B216" s="84"/>
      <x:c r="C216" s="83"/>
      <x:c r="D216" s="83"/>
      <x:c r="E216" s="83"/>
      <x:c r="F216" s="85"/>
      <x:c r="G216" s="178"/>
      <x:c r="H216" s="83"/>
      <x:c r="I216" s="83"/>
      <x:c r="J216" s="83"/>
      <x:c r="K216" s="83"/>
      <x:c r="L216" s="83"/>
      <x:c r="M216" s="83"/>
    </x:row>
    <x:row r="217">
      <x:c r="A217" s="83"/>
      <x:c r="B217" s="84"/>
      <x:c r="C217" s="83"/>
      <x:c r="D217" s="83"/>
      <x:c r="E217" s="83"/>
      <x:c r="F217" s="85"/>
      <x:c r="G217" s="178"/>
      <x:c r="H217" s="83"/>
      <x:c r="I217" s="83"/>
      <x:c r="J217" s="83"/>
      <x:c r="K217" s="83"/>
      <x:c r="L217" s="83"/>
      <x:c r="M217" s="83"/>
    </x:row>
    <x:row r="218">
      <x:c r="A218" s="83"/>
      <x:c r="B218" s="84"/>
      <x:c r="C218" s="83"/>
      <x:c r="D218" s="83"/>
      <x:c r="E218" s="83"/>
      <x:c r="F218" s="85"/>
      <x:c r="G218" s="178"/>
      <x:c r="H218" s="83"/>
      <x:c r="I218" s="83"/>
      <x:c r="J218" s="83"/>
      <x:c r="K218" s="83"/>
      <x:c r="L218" s="83"/>
      <x:c r="M218" s="83"/>
    </x:row>
    <x:row r="219">
      <x:c r="A219" s="83"/>
      <x:c r="B219" s="84"/>
      <x:c r="C219" s="83"/>
      <x:c r="D219" s="83"/>
      <x:c r="E219" s="83"/>
      <x:c r="F219" s="85"/>
      <x:c r="G219" s="178"/>
      <x:c r="H219" s="83"/>
      <x:c r="I219" s="83"/>
      <x:c r="J219" s="83"/>
      <x:c r="K219" s="83"/>
      <x:c r="L219" s="83"/>
      <x:c r="M219" s="83"/>
    </x:row>
    <x:row r="220">
      <x:c r="A220" s="83"/>
      <x:c r="B220" s="84"/>
      <x:c r="C220" s="83"/>
      <x:c r="D220" s="83"/>
      <x:c r="E220" s="83"/>
      <x:c r="F220" s="85"/>
      <x:c r="G220" s="178"/>
      <x:c r="H220" s="83"/>
      <x:c r="I220" s="83"/>
      <x:c r="J220" s="83"/>
      <x:c r="K220" s="83"/>
      <x:c r="L220" s="83"/>
      <x:c r="M220" s="83"/>
    </x:row>
  </x:sheetData>
  <x:mergeCells>
    <x:mergeCell ref="A1:M1"/>
    <x:mergeCell ref="A2:M2"/>
  </x:mergeCells>
  <x:dataValidations count="1">
    <x:dataValidation type="list" sqref="H5:H220">
      <x:formula1>"Not Started,In Progress,Complete,Blocked,Cancelled"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4.25"/>
  <x:cols>
    <x:col min="1" max="2" width="12" customWidth="1"/>
    <x:col min="3" max="4" width="45" customWidth="1"/>
    <x:col min="5" max="5" width="12" customWidth="1"/>
    <x:col min="6" max="6" width="16" customWidth="1"/>
    <x:col min="7" max="7" width="32" customWidth="1"/>
    <x:col min="8" max="8" width="38" customWidth="1"/>
  </x:cols>
  <x:sheetData>
    <x:row r="1" ht="27.950000762939453" customHeight="1">
      <x:c r="A1" s="234" t="s">
        <x:v>498</x:v>
      </x:c>
      <x:c r="B1" s="235"/>
      <x:c r="C1" s="235"/>
      <x:c r="D1" s="235"/>
      <x:c r="E1" s="235"/>
      <x:c r="F1" s="235"/>
      <x:c r="G1" s="235"/>
      <x:c r="H1" s="235"/>
    </x:row>
    <x:row r="3" ht="15">
      <x:c r="A3" s="80" t="s">
        <x:v>499</x:v>
      </x:c>
      <x:c r="B3" s="80" t="s">
        <x:v>449</x:v>
      </x:c>
      <x:c r="C3" s="80" t="s">
        <x:v>500</x:v>
      </x:c>
      <x:c r="D3" s="80" t="s">
        <x:v>501</x:v>
      </x:c>
      <x:c r="E3" s="80" t="s">
        <x:v>56</x:v>
      </x:c>
      <x:c r="F3" s="80" t="s">
        <x:v>502</x:v>
      </x:c>
      <x:c r="G3" s="80" t="s">
        <x:v>503</x:v>
      </x:c>
      <x:c r="H3" s="80" t="s">
        <x:v>504</x:v>
      </x:c>
    </x:row>
    <x:row r="4" ht="28.5">
      <x:c r="A4" s="78" t="s">
        <x:v>505</x:v>
      </x:c>
      <x:c r="B4" s="81">
        <x:v>46200</x:v>
      </x:c>
      <x:c r="C4" s="78" t="s">
        <x:v>506</x:v>
      </x:c>
      <x:c r="D4" s="78" t="s">
        <x:v>507</x:v>
      </x:c>
      <x:c r="E4" s="78" t="s">
        <x:v>508</x:v>
      </x:c>
      <x:c r="F4" s="78" t="s">
        <x:v>509</x:v>
      </x:c>
      <x:c r="G4" s="78" t="s">
        <x:v>510</x:v>
      </x:c>
      <x:c r="H4" s="78" t="s">
        <x:v>511</x:v>
      </x:c>
    </x:row>
    <x:row r="5" ht="28.5">
      <x:c r="A5" s="78" t="s">
        <x:v>512</x:v>
      </x:c>
      <x:c r="B5" s="81">
        <x:v>46200</x:v>
      </x:c>
      <x:c r="C5" s="78" t="s">
        <x:v>513</x:v>
      </x:c>
      <x:c r="D5" s="78" t="s">
        <x:v>514</x:v>
      </x:c>
      <x:c r="E5" s="78" t="s">
        <x:v>508</x:v>
      </x:c>
      <x:c r="F5" s="78" t="s">
        <x:v>509</x:v>
      </x:c>
      <x:c r="G5" s="78" t="s">
        <x:v>208</x:v>
      </x:c>
      <x:c r="H5" s="78" t="s">
        <x:v>515</x:v>
      </x:c>
    </x:row>
    <x:row r="6" ht="28.5">
      <x:c r="A6" s="78" t="s">
        <x:v>516</x:v>
      </x:c>
      <x:c r="B6" s="81">
        <x:v>46207</x:v>
      </x:c>
      <x:c r="C6" s="78" t="s">
        <x:v>517</x:v>
      </x:c>
      <x:c r="D6" s="78" t="s">
        <x:v>518</x:v>
      </x:c>
      <x:c r="E6" s="78" t="s">
        <x:v>508</x:v>
      </x:c>
      <x:c r="F6" s="78" t="s">
        <x:v>68</x:v>
      </x:c>
      <x:c r="G6" s="78" t="s">
        <x:v>519</x:v>
      </x:c>
      <x:c r="H6" s="78" t="s">
        <x:v>520</x:v>
      </x:c>
    </x:row>
    <x:row r="7" ht="28.5">
      <x:c r="A7" s="78" t="s">
        <x:v>521</x:v>
      </x:c>
      <x:c r="B7" s="81">
        <x:v>46207</x:v>
      </x:c>
      <x:c r="C7" s="78" t="s">
        <x:v>522</x:v>
      </x:c>
      <x:c r="D7" s="78" t="s">
        <x:v>523</x:v>
      </x:c>
      <x:c r="E7" s="78" t="s">
        <x:v>508</x:v>
      </x:c>
      <x:c r="F7" s="78" t="s">
        <x:v>524</x:v>
      </x:c>
      <x:c r="G7" s="78" t="s">
        <x:v>525</x:v>
      </x:c>
      <x:c r="H7" s="78" t="s">
        <x:v>526</x:v>
      </x:c>
    </x:row>
    <x:row r="8" ht="28.5">
      <x:c r="A8" s="78" t="s">
        <x:v>527</x:v>
      </x:c>
      <x:c r="B8" s="81">
        <x:v>46207</x:v>
      </x:c>
      <x:c r="C8" s="78" t="s">
        <x:v>161</x:v>
      </x:c>
      <x:c r="D8" s="78" t="s">
        <x:v>528</x:v>
      </x:c>
      <x:c r="E8" s="78" t="s">
        <x:v>508</x:v>
      </x:c>
      <x:c r="F8" s="78" t="s">
        <x:v>529</x:v>
      </x:c>
      <x:c r="G8" s="78" t="s">
        <x:v>530</x:v>
      </x:c>
      <x:c r="H8" s="78" t="s">
        <x:v>531</x:v>
      </x:c>
    </x:row>
    <x:row r="9" ht="28.5">
      <x:c r="A9" s="78" t="s">
        <x:v>532</x:v>
      </x:c>
      <x:c r="B9" s="81">
        <x:v>46207</x:v>
      </x:c>
      <x:c r="C9" s="78" t="s">
        <x:v>533</x:v>
      </x:c>
      <x:c r="D9" s="78" t="s">
        <x:v>534</x:v>
      </x:c>
      <x:c r="E9" s="78" t="s">
        <x:v>508</x:v>
      </x:c>
      <x:c r="F9" s="78" t="s">
        <x:v>535</x:v>
      </x:c>
      <x:c r="G9" s="78" t="s">
        <x:v>536</x:v>
      </x:c>
      <x:c r="H9" s="78" t="s">
        <x:v>537</x:v>
      </x:c>
    </x:row>
    <x:row r="10" ht="28.5">
      <x:c r="A10" s="78" t="s">
        <x:v>538</x:v>
      </x:c>
      <x:c r="B10" s="81">
        <x:v>46207</x:v>
      </x:c>
      <x:c r="C10" s="78" t="s">
        <x:v>539</x:v>
      </x:c>
      <x:c r="D10" s="78" t="s">
        <x:v>540</x:v>
      </x:c>
      <x:c r="E10" s="78" t="s">
        <x:v>508</x:v>
      </x:c>
      <x:c r="F10" s="78" t="s">
        <x:v>541</x:v>
      </x:c>
      <x:c r="G10" s="78" t="s">
        <x:v>542</x:v>
      </x:c>
      <x:c r="H10" s="78" t="s">
        <x:v>543</x:v>
      </x:c>
    </x:row>
    <x:row r="11" ht="28.5">
      <x:c r="A11" s="78" t="s">
        <x:v>544</x:v>
      </x:c>
      <x:c r="B11" s="81">
        <x:v>46207</x:v>
      </x:c>
      <x:c r="C11" s="78" t="s">
        <x:v>545</x:v>
      </x:c>
      <x:c r="D11" s="78" t="s">
        <x:v>546</x:v>
      </x:c>
      <x:c r="E11" s="78" t="s">
        <x:v>508</x:v>
      </x:c>
      <x:c r="F11" s="78" t="s">
        <x:v>547</x:v>
      </x:c>
      <x:c r="G11" s="78" t="s">
        <x:v>203</x:v>
      </x:c>
      <x:c r="H11" s="78" t="s">
        <x:v>548</x:v>
      </x:c>
    </x:row>
    <x:row r="12" ht="62.099998474121094" customHeight="1">
      <x:c r="A12" s="182" t="s">
        <x:v>549</x:v>
      </x:c>
      <x:c r="B12" s="196">
        <x:v>46208</x:v>
      </x:c>
      <x:c r="C12" s="183" t="s">
        <x:v>550</x:v>
      </x:c>
      <x:c r="D12" s="183" t="s">
        <x:v>551</x:v>
      </x:c>
      <x:c r="E12" s="183" t="s">
        <x:v>508</x:v>
      </x:c>
      <x:c r="F12" s="183" t="s">
        <x:v>552</x:v>
      </x:c>
      <x:c r="G12" s="183" t="s">
        <x:v>553</x:v>
      </x:c>
      <x:c r="H12" s="184" t="s">
        <x:v>554</x:v>
      </x:c>
    </x:row>
    <x:row r="13" ht="62.099998474121094" customHeight="1">
      <x:c r="A13" s="187" t="s">
        <x:v>555</x:v>
      </x:c>
      <x:c r="B13" s="197">
        <x:v>46208</x:v>
      </x:c>
      <x:c r="C13" s="188" t="s">
        <x:v>556</x:v>
      </x:c>
      <x:c r="D13" s="188" t="s">
        <x:v>557</x:v>
      </x:c>
      <x:c r="E13" s="188" t="s">
        <x:v>508</x:v>
      </x:c>
      <x:c r="F13" s="188" t="s">
        <x:v>558</x:v>
      </x:c>
      <x:c r="G13" s="188" t="s">
        <x:v>559</x:v>
      </x:c>
      <x:c r="H13" s="189" t="s">
        <x:v>560</x:v>
      </x:c>
    </x:row>
    <x:row r="14" ht="82" customHeight="1">
      <x:c r="A14" s="447" t="str">
        <x:v>D-011</x:v>
      </x:c>
      <x:c r="B14" s="445" t="n">
        <x:v>46208</x:v>
      </x:c>
      <x:c r="C14" s="447" t="str">
        <x:v>Run mandatory gates in evaluator-declared order and stop after the first failed gate.</x:v>
      </x:c>
      <x:c r="D14" s="447" t="str">
        <x:v>Later gates depend on evidence established by earlier gates; short-circuiting prevents uncontrolled exceptions and makes the blocking failure explicit.</x:v>
      </x:c>
      <x:c r="E14" s="447" t="str">
        <x:v>Active</x:v>
      </x:c>
      <x:c r="F14" s="447" t="str">
        <x:v>1.2; 1.5</x:v>
      </x:c>
      <x:c r="G14" s="447" t="str">
        <x:v>c05ef3d; tests/test_gate_engine.py</x:v>
      </x:c>
      <x:c r="H14" s="447" t="str">
        <x:v>Revisit only if a future result schema requires explicit skipped-gate records.</x:v>
      </x:c>
    </x:row>
    <x:row r="15" ht="82" customHeight="1">
      <x:c r="A15" s="447" t="str">
        <x:v>D-012</x:v>
      </x:c>
      <x:c r="B15" s="445" t="n">
        <x:v>46208</x:v>
      </x:c>
      <x:c r="C15" s="447" t="str">
        <x:v>Declare candidate payload field types in the task deliverable contract, not by inference from reference answers; Boolean values do not satisfy numeric declarations.</x:v>
      </x:c>
      <x:c r="D15" s="447" t="str">
        <x:v>The deliverable defines the required output contract, while reference artifacts define correct values. Separating these prevents accidental coupling and Python bool/int type leakage.</x:v>
      </x:c>
      <x:c r="E15" s="447" t="str">
        <x:v>Active</x:v>
      </x:c>
      <x:c r="F15" s="447" t="str">
        <x:v>1.2; 1.3; 1.4</x:v>
      </x:c>
      <x:c r="G15" s="447" t="str">
        <x:v>schemas/task.schema.json; specs/tasks/shaft_power_v1.json; c05ef3d</x:v>
      </x:c>
      <x:c r="H15" s="447" t="str">
        <x:v>Revisit if nested payload schemas become necessary after the MVP.</x:v>
      </x:c>
    </x:row>
    <x:row r="16">
      <x:c r="A16" s="78" t="str">
        <x:v>D-013</x:v>
      </x:c>
      <x:c r="B16" s="78" t="n">
        <x:v>46208</x:v>
      </x:c>
      <x:c r="C16" s="78" t="str">
        <x:v>Keep deterministic comparison logic pure: pass candidate payload, reference payload, and evaluator data rather than loader objects or file paths.</x:v>
      </x:c>
      <x:c r="D16" s="78" t="str">
        <x:v>Separating file loading/schema validation from comparison keeps the evaluator reusable across human-created, direct-model, scripted, and future agent artifacts.</x:v>
      </x:c>
      <x:c r="E16" s="78" t="str">
        <x:v>Active</x:v>
      </x:c>
      <x:c r="F16" s="78" t="str">
        <x:v>1.3–1.5</x:v>
      </x:c>
      <x:c r="G16" s="78" t="str">
        <x:v>53f96cc; src/mech_eval_harness/evaluation.py</x:v>
      </x:c>
      <x:c r="H16" s="78" t="str">
        <x:v>Revisit only if end-to-end orchestration exposes a concrete interface conflict.</x:v>
      </x:c>
    </x:row>
    <x:row r="17">
      <x:c r="A17" s="78" t="str">
        <x:v>D-014</x:v>
      </x:c>
      <x:c r="B17" s="78" t="n">
        <x:v>46208</x:v>
      </x:c>
      <x:c r="C17" s="78" t="str">
        <x:v>Use strict deterministic semantics: exact matching is JSON-type-sensitive; set equality ignores order and duplicate count; missing candidate paths fail the check; missing reference paths and unsupported kinds are configuration errors; numeric_close is deferred.</x:v>
      </x:c>
      <x:c r="D17" s="78" t="str">
        <x:v>These rules prevent Python type leakage and accidental success while keeping numeric tolerance work isolated to WBS 1.4.</x:v>
      </x:c>
      <x:c r="E17" s="78" t="str">
        <x:v>Superseded in part</x:v>
      </x:c>
      <x:c r="F17" s="78" t="str">
        <x:v>1.3–1.4</x:v>
      </x:c>
      <x:c r="G17" s="78" t="str">
        <x:v>53f96cc; 31015c9; PR #9 / merge 1fbb45d</x:v>
      </x:c>
      <x:c r="H17" s="78" t="str">
        <x:v>Non-numeric semantics remain active; numeric_close deferral was closed by D-015.</x:v>
      </x:c>
    </x:row>
    <x:row r="18">
      <x:c r="A18" s="78" t="str">
        <x:v>D-015</x:v>
      </x:c>
      <x:c r="B18" s="78" t="n">
        <x:v>46208</x:v>
      </x:c>
      <x:c r="C18" s="78" t="str">
        <x:v>Use evaluator-declared inclusive absolute tolerance for numeric_close; candidate numeric type failures are check failures, while invalid tolerance or reference numeric configuration raises CheckConfigurationError.</x:v>
      </x:c>
      <x:c r="D18" s="78" t="str">
        <x:v>This fails closed on evaluator defects, prevents Python Boolean/number leakage, and produces auditable expected/actual/difference/tolerance evidence.</x:v>
      </x:c>
      <x:c r="E18" s="78" t="str">
        <x:v>Active</x:v>
      </x:c>
      <x:c r="F18" s="78" t="str">
        <x:v>1.4–1.5</x:v>
      </x:c>
      <x:c r="G18" s="78" t="str">
        <x:v>31015c9; tests/test_numeric_tolerance.py; PR #9 / merge 1fbb45d</x:v>
      </x:c>
      <x:c r="H18" s="78" t="str">
        <x:v>Revisit only when real benchmark cases require relative tolerance, units conversion, or nested numeric schemas.</x:v>
      </x:c>
    </x:row>
    <x:row r="19">
      <x:c r="A19" s="78" t="str">
        <x:v>D-016</x:v>
      </x:c>
      <x:c r="B19" s="78" t="n">
        <x:v>46208</x:v>
      </x:c>
      <x:c r="C19" s="78" t="str">
        <x:v>Use gate_then_weighted_checks as the MVP scoring composition: a failed mandatory gate forces score 0.0; otherwise score equals the sum of passed check weights and overall pass uses the inclusive evaluator pass_threshold. Preserve failed gate/check evidence independently of overall pass/fail.</x:v>
      </x:c>
      <x:c r="D19" s="78" t="str">
        <x:v>This matches the existing evaluator schema and weight-sum validation, keeps component evidence auditable, permits low-weight failures when the declared threshold allows them, and fails closed on malformed scoring inputs.</x:v>
      </x:c>
      <x:c r="E19" s="78" t="str">
        <x:v>Active</x:v>
      </x:c>
      <x:c r="F19" s="78" t="str">
        <x:v>1.5–2.2</x:v>
      </x:c>
      <x:c r="G19" s="78" t="str">
        <x:v>bd34af8; PR #10 / merge 27a8e59; src/mech_eval_harness/scoring.py; tests/test_weighted_scoring.py</x:v>
      </x:c>
      <x:c r="H19" s="78" t="str">
        <x:v>Revisit only if real benchmark cases require another composition, partial gate scoring, severity-adjusted scoring, or non-binary check credit.</x:v>
      </x:c>
    </x:row>
    <x:row r="20">
      <x:c r="A20" s="78" t="str">
        <x:v>D-017</x:v>
      </x:c>
      <x:c r="B20" s="78" t="n">
        <x:v>46208</x:v>
      </x:c>
      <x:c r="C20" s="78" t="str">
        <x:v>Use a stable CLI exit-code contract: 0 for evaluation pass, 1 for an evaluated candidate failure including gate or schema failure, 2 for invalid invocation or case/evaluator/reference configuration, and 3 for unexpected internal failure. Run mandatory gates before candidate schema validation and deterministic checks.</x:v>
      </x:c>
      <x:c r="D20" s="78" t="str">
        <x:v>This separates product-quality findings from benchmark/configuration defects, supports shell and CI automation, preserves controlled failure evidence, and keeps orchestration independent from scoring and future persistence.</x:v>
      </x:c>
      <x:c r="E20" s="78" t="str">
        <x:v>Active</x:v>
      </x:c>
      <x:c r="F20" s="78" t="str">
        <x:v>2.1–2.3</x:v>
      </x:c>
      <x:c r="G20" s="78" t="str">
        <x:v>0ee3c48; tests/test_cli_evaluate.py; EV-016</x:v>
      </x:c>
      <x:c r="H20" s="78" t="str">
        <x:v>Revisit only if structured result records or CI integration expose an ambiguous error class.</x:v>
      </x:c>
    </x:row>
    <x:row r="21">
      <x:c r="A21" s="78" t="str">
        <x:v>D-018</x:v>
      </x:c>
      <x:c r="B21" s="78" t="n">
        <x:v>46208</x:v>
      </x:c>
      <x:c r="C21" s="78" t="str">
        <x:v>Use a versioned, runtime-agnostic structured result contract that preserves component versions, candidate/reference artifact references, aggregate scoring, complete gate/check outcomes, typed expected/actual values, ordered failure evidence, and nullable evidence-location/source-reference extension points. Enforce internal consistency in the Python model and defer persistence mechanics to WBS 2.3.</x:v>
      </x:c>
      <x:c r="D21" s="78" t="str">
        <x:v>This separates generated evidence from benchmark definitions, supports human/direct-model/scripted/future-agent candidates, keeps deterministic evaluation auditable, prevents contradictory result states, and preserves narrow extension points for future PDF/CAD evidence without implementing deferred capabilities.</x:v>
      </x:c>
      <x:c r="E21" s="78" t="str">
        <x:v>Active</x:v>
      </x:c>
      <x:c r="F21" s="78" t="str">
        <x:v>2.2–2.4; Expansion</x:v>
      </x:c>
      <x:c r="G21" s="78" t="str">
        <x:v>b6d6c21; b56f217; schemas/result.schema.json; src/mech_eval_harness/results.py; tests/test_result_model.py; EV-017</x:v>
      </x:c>
      <x:c r="H21" s="78" t="str">
        <x:v>Revisit only if immutable persistence or a real benchmark case exposes a concrete missing field or an overconstrained invariant.</x:v>
      </x:c>
    </x:row>
    <x:row r="22">
      <x:c r="A22" s="78" t="str">
        <x:v>D-019</x:v>
      </x:c>
      <x:c r="B22" s="78" t="n">
        <x:v>46208</x:v>
      </x:c>
      <x:c r="C22" s="78" t="str">
        <x:v>Persist only completed evaluation outcomes as immutable runs/&lt;run_id&gt;/result.json records. Use UTC microsecond timestamps plus an eight-character random suffix, create run directories exclusively, and do not emit result records for configuration or unexpected internal failures. Keep generated runs excluded from Git.</x:v>
      </x:c>
      <x:c r="D22" s="78" t="str">
        <x:v>This preserves auditable pass/fail evidence, prevents overwrite and path-traversal mistakes, separates product-quality findings from benchmark/configuration defects, and keeps generated run data distinct from versioned case definitions.</x:v>
      </x:c>
      <x:c r="E22" s="78" t="str">
        <x:v>Active</x:v>
      </x:c>
      <x:c r="F22" s="78" t="str">
        <x:v>2.3–3.4</x:v>
      </x:c>
      <x:c r="G22" s="78" t="str">
        <x:v>e03a2e8; e56fc92; src/mech_eval_harness/persistence.py; tests/test_result_persistence.py; tests/test_cli_evaluate.py; EV-018</x:v>
      </x:c>
      <x:c r="H22" s="78" t="str">
        <x:v>Revisit only when post-MVP needs require remote storage, concurrent writers, trace bundles, retention policies, or database indexing.</x:v>
      </x:c>
    </x:row>
    <x:row r="23">
      <x:c r="A23" s="78" t="str">
        <x:v>D-020</x:v>
      </x:c>
      <x:c r="B23" s="78" t="n">
        <x:v>46208</x:v>
      </x:c>
      <x:c r="C23" s="78" t="str">
        <x:v>Use a three-fixture MECH-002 example set—correct output, rpm-as-rad/s unit error, and incomplete required-field output—as versioned end-to-end regression inputs. Lock expected exit codes, scores, failure source/item/mode, and persisted-result behaviour; keep generated run records unversioned.</x:v>
      </x:c>
      <x:c r="D23" s="78" t="str">
        <x:v>This demonstrates the complete evaluator and persistence path with economically meaningful, auditable failures while preserving the separation between benchmark inputs and generated run evidence.</x:v>
      </x:c>
      <x:c r="E23" s="78" t="str">
        <x:v>Active</x:v>
      </x:c>
      <x:c r="F23" s="78" t="str">
        <x:v>2.4–3.4</x:v>
      </x:c>
      <x:c r="G23" s="78" t="str">
        <x:v>271224e; PR #14 / merge 7e38b3f; tests/test_example_candidates.py; EV-019</x:v>
      </x:c>
      <x:c r="H23" s="78" t="str">
        <x:v>Revisit when additional benchmark cases require new representative failure families or when the fixture contract no longer reflects actual CLI behaviour.</x:v>
      </x:c>
    </x:row>
    <x:row r="24">
      <x:c r="A24" s="78" t="str">
        <x:v>D-021</x:v>
      </x:c>
      <x:c r="B24" s="78" t="n">
        <x:v>46208</x:v>
      </x:c>
      <x:c r="C24" s="78" t="str">
        <x:v>Require independent engineering verification and regression evidence before a case enters the benchmark; treat the declared failure taxonomy as part of case correctness.</x:v>
      </x:c>
      <x:c r="D24" s="78" t="str">
        <x:v>Schema validity and passing software tests do not prove that engineering references, tolerances, or failure labels are correct. Independent recalculation and artifact review caught both encoding defects and a misclassified release-control failure before benchmark expansion.</x:v>
      </x:c>
      <x:c r="E24" s="78" t="str">
        <x:v>Active</x:v>
      </x:c>
      <x:c r="F24" s="78" t="str">
        <x:v>3.1–3.4</x:v>
      </x:c>
      <x:c r="G24" s="78" t="str">
        <x:v>e977b48; PR #15 / merge 318d5ce; docs/seed-case-verification.md; tests/test_seed_case_verification.py; EV-020</x:v>
      </x:c>
      <x:c r="H24" s="78" t="str">
        <x:v>Revisit only if a later case family requires a different review method or evidence standard.</x:v>
      </x:c>
    </x:row>
    <x:row r="25">
      <x:c r="A25" s="78" t="str">
        <x:v>D-022</x:v>
      </x:c>
      <x:c r="B25" s="78" t="n">
        <x:v>46208</x:v>
      </x:c>
      <x:c r="C25" s="78" t="str">
        <x:v>Expand the MVP benchmark with MECH-004 BOM reconciliation and MECH-005 thermal expansion using existing deterministic evaluator kinds, independently reconstructed references, representative failing fixtures, and a full-score pass threshold.</x:v>
      </x:c>
      <x:c r="D25" s="78" t="str">
        <x:v>The pair adds economically meaningful cross-document consistency and unit-sensitive calculation coverage without introducing a new evaluator kind or deferred architecture. Independent reconstruction and targeted failing fixtures preserve auditability and expose omission, revision, quantity, unit, and verification failures.</x:v>
      </x:c>
      <x:c r="E25" s="78" t="str">
        <x:v>Active</x:v>
      </x:c>
      <x:c r="F25" s="78" t="str">
        <x:v>3.2–3.4</x:v>
      </x:c>
      <x:c r="G25" s="78" t="str">
        <x:v>634ef11; PR #16 / merge 50df7a9; docs/additional-case-verification.md; EV-021</x:v>
      </x:c>
      <x:c r="H25" s="78" t="str">
        <x:v>Revisit if the held-out benchmark shows material redundancy, missing workflow coverage, or a justified need for another evaluator kind.</x:v>
      </x:c>
    </x:row>
    <x:row r="26">
      <x:c r="A26" s="447" t="str">
        <x:v>D-023</x:v>
      </x:c>
      <x:c r="B26" s="447" t="n">
        <x:v>46208</x:v>
      </x:c>
      <x:c r="C26" s="447" t="str">
        <x:v>Freeze MECH-003 as the MVP v1 held-out validation case; keep MECH-001, MECH-002, MECH-004, and MECH-005 in development; prohibit versioned MECH-003 candidate fixtures and tuning against held-out outcomes; report development and held-out results separately and disclose prior exposure.</x:v>
      </x:c>
      <x:c r="D26" s="447" t="str">
        <x:v>MECH-003 adds a distinct controlled-document/revision-audit workflow and had no versioned candidate directory when the split was frozen. Because it was authored and reviewed before the split, it provides useful frozen validation evidence but must not be represented as a pristine blind benchmark.</x:v>
      </x:c>
      <x:c r="E26" s="447" t="str">
        <x:v>Active</x:v>
      </x:c>
      <x:c r="F26" s="447" t="str">
        <x:v>3.3–3.4</x:v>
      </x:c>
      <x:c r="G26" s="447" t="str">
        <x:v>ab63155; PR #17 / merge 825d7ff; benchmarks/mvp_v1/split.json; benchmarks/mvp_v1/review-checklist.md; tests/test_benchmark_split.py; EV-022</x:v>
      </x:c>
      <x:c r="H26" s="447" t="str">
        <x:v>Revisit only for a documented benchmark-version change, a justified MECH-003 revision, or the addition of newly authored cases held back before candidate development.</x:v>
      </x:c>
    </x:row>
    <x:row r="27">
      <x:c r="A27" s="78" t="str">
        <x:v>D-024</x:v>
      </x:c>
      <x:c r="B27" s="78" t="n">
        <x:v>46208</x:v>
      </x:c>
      <x:c r="C27" s="78" t="str">
        <x:v>Treat the MVP v1 baseline as harness-verification evidence, not model or agent performance evidence; report oracle, fault-injection, development, and held-out outcomes distinctly.</x:v>
      </x:c>
      <x:c r="D27" s="78" t="str">
        <x:v>Reference-equivalent candidates establish evaluator-integrity upper bounds, while curated fault injections prove intended detection for a bounded failure sample. Separate reporting prevents overclaiming generalization and preserves the held-out control.</x:v>
      </x:c>
      <x:c r="E27" s="78" t="str">
        <x:v>Active</x:v>
      </x:c>
      <x:c r="F27" s="78" t="str">
        <x:v>3.4–5.3</x:v>
      </x:c>
      <x:c r="G27" s="78" t="str">
        <x:v>e0746d7; PR #18 merged; evidence/mvp_v1_baseline/report.md; evidence/mvp_v1_baseline/summary.json; tests/test_mvp_baseline.py</x:v>
      </x:c>
      <x:c r="H27" s="78" t="str">
        <x:v>Revisit when the first direct-model or agent-generated baseline is run against a newly frozen benchmark version.</x:v>
      </x:c>
    </x:row>
    <x:row r="28">
      <x:c r="A28" s="78" t="str">
        <x:v>D-025</x:v>
      </x:c>
      <x:c r="B28" s="78" t="n">
        <x:v>46208</x:v>
      </x:c>
      <x:c r="C28" s="78" t="str">
        <x:v>Adopt a minimal GitHub Actions CI gate for the MVP: run on push and pull request in Ubuntu with Python 3.12, install the editable package with development dependencies, validate the repository, and execute the full pytest suite. Preserve one controlled red run followed by corrected green push and PR runs as acceptance evidence. Defer version matrices, coverage thresholds, packaging, deployment, and Docker.</x:v>
      </x:c>
      <x:c r="D28" s="78" t="str">
        <x:v>A clean hosted runner detects machine-specific assumptions and regressions while keeping the release gate proportional to the current JSON-first CLI MVP. Red/green proof demonstrates that the workflow both blocks a known failure and accepts the corrected repository.</x:v>
      </x:c>
      <x:c r="E28" s="78" t="str">
        <x:v>Active</x:v>
      </x:c>
      <x:c r="F28" s="78" t="str">
        <x:v>4.2–5.3</x:v>
      </x:c>
      <x:c r="G28" s="78" t="str">
        <x:v>.github/workflows/ci.yml; 80a26fe; 22713e4; PR #19 / merge 5dc3f41; EV-024</x:v>
      </x:c>
      <x:c r="H28" s="78" t="str">
        <x:v>Revisit when supported Python versions change, dependency reproducibility requires tighter controls, or final release evidence justifies a matrix or coverage threshold.</x:v>
      </x:c>
    </x:row>
    <x:row r="29">
      <x:c r="A29" s="78" t="str">
        <x:v>D-026</x:v>
      </x:c>
      <x:c r="B29" s="78" t="n">
        <x:v>46208</x:v>
      </x:c>
      <x:c r="C29" s="78" t="str">
        <x:v>Treat README.md and docs/architecture.md as release-contract documentation for implemented behaviour. They must document clean installation, CLI commands and exit codes, benchmark split and prior-exposure limitation, harness-verification baseline scope, immutable result evidence, CI, extension points, and the qualified-human review boundary; deferred capabilities must not be represented as implemented.</x:v>
      </x:c>
      <x:c r="D29" s="78" t="str">
        <x:v>Release documentation is part of reproducibility and claim control. Implementation-accurate documents let reviewers install and audit the MVP while preventing model-performance, held-out, engineering-authority, and future-scope overclaims.</x:v>
      </x:c>
      <x:c r="E29" s="78" t="str">
        <x:v>Active</x:v>
      </x:c>
      <x:c r="F29" s="78" t="str">
        <x:v>4.3–5.3</x:v>
      </x:c>
      <x:c r="G29" s="78" t="str">
        <x:v>ac8d6dd; PR #20 / merge 2b98214; README.md; docs/architecture.md; EV-025</x:v>
      </x:c>
      <x:c r="H29" s="78" t="str">
        <x:v>Revisit when the CLI contract, benchmark version, result schema, CI workflow, engineering boundary, or release scope materially changes.</x:v>
      </x:c>
    </x:row>
    <x:row r="30">
      <x:c r="A30" s="78" t="str">
        <x:v>D-027</x:v>
      </x:c>
      <x:c r="B30" s="78" t="n">
        <x:v>46208</x:v>
      </x:c>
      <x:c r="C30" s="78" t="str">
        <x:v>Use a deterministic terminal-first portfolio demo over committed MECH-002 candidate fixtures. Demonstrate one full pass and one structurally valid technical failure; assert expected exit codes, scores, failure modes, and immutable result creation. Version the script, regression test, walkthrough, and concise report, while keeping generated raw run directories outside Git.</x:v>
      </x:c>
      <x:c r="D30" s="78" t="str">
        <x:v>This proves the production CLI and persistence contract without adding demo-only evaluator behaviour, a frontend, or unverifiable narrative. The valid UNIT_ERROR artifact exercises the full gates-checks-scoring-evidence path and is more representative than a missing-file or malformed-artifact failure.</x:v>
      </x:c>
      <x:c r="E30" s="78" t="str">
        <x:v>Active</x:v>
      </x:c>
      <x:c r="F30" s="78" t="str">
        <x:v>5.1–5.3</x:v>
      </x:c>
      <x:c r="G30" s="78" t="str">
        <x:v>599402c; PR #21 / merge c15393d; scripts/run_portfolio_demo.py; tests/test_portfolio_demo.py; docs/portfolio_demo.md; evidence/portfolio_demo/report.md; EV-026</x:v>
      </x:c>
      <x:c r="H30" s="78" t="str">
        <x:v>Revisit only if the released CLI contract, result schema, candidate fixtures, or portfolio presentation format materially changes.</x:v>
      </x:c>
    </x:row>
    <x:row r="31">
      <x:c r="A31" s="78" t="str">
        <x:v>D-028</x:v>
      </x:c>
      <x:c r="B31" s="78" t="n">
        <x:v>46208</x:v>
      </x:c>
      <x:c r="C31" s="78" t="str">
        <x:v>Rebaseline the first tagged MVP release from v0.1.0 to v0.2.0. Package metadata in pyproject.toml and persisted result records already identify the harness as 0.2.0; therefore the release tag, release notes, final acceptance branch, and active project-control references must use v0.2.0. Do not downgrade the package or create a v0.1.0 tag.</x:v>
      </x:c>
      <x:c r="D31" s="78" t="str">
        <x:v>The tagged release must match the software version recorded in both build metadata and generated evidence. Creating v0.1.0 would introduce a false version lineage and break traceability between the release tag and existing result records.</x:v>
      </x:c>
      <x:c r="E31" s="78" t="str">
        <x:v>Active</x:v>
      </x:c>
      <x:c r="F31" s="78" t="str">
        <x:v>5.2–5.3</x:v>
      </x:c>
      <x:c r="G31" s="78" t="str">
        <x:v>pyproject.toml version 0.2.0; persisted harness_version 0.2.0; 64db931; PR #22 / merge 0f8adbe; docs/release_notes_v0.2.0.md; EV-027</x:v>
      </x:c>
      <x:c r="H31" s="78" t="str">
        <x:v>Revisit only when preparing a later semantic version after v0.2.0 is tagged.</x:v>
      </x:c>
    </x:row>
    <x:row r="32">
      <x:c r="A32" s="78" t="str">
        <x:v>D-029</x:v>
      </x:c>
      <x:c r="B32" s="78" t="n">
        <x:v>46208</x:v>
      </x:c>
      <x:c r="C32" s="78" t="str">
        <x:v>Accept and freeze the Mechanical Technical Document Evaluation Harness MVP at version v0.2.0. The annotated tag must point to the exact clean-clone accepted commit 45336a21c9c5f4dcd4b3bd009d05183621061b5d. Close WBS 4.1 without separate labour because targeted regression tests were delivered within the coherent capability branches and already included in their logged hours.</x:v>
      </x:c>
      <x:c r="D32" s="78" t="str">
        <x:v>The clean-clone matrix verified installation, five cases, 121 tests, nine baseline scenarios, two demo scenarios, eleven result versions, claim boundaries, and a clean tree. Tag-to-commit verification preserves release traceability. Closing integrated test work without duplicate hours follows the rule that tests support the product and labour is recorded once.</x:v>
      </x:c>
      <x:c r="E32" s="78" t="str">
        <x:v>Active</x:v>
      </x:c>
      <x:c r="F32" s="78" t="str">
        <x:v>4.1,5.3,Post-MVP</x:v>
      </x:c>
      <x:c r="G32" s="78" t="str">
        <x:v>v0.2.0; 45336a2; tag object 8d426d2; evidence/final_acceptance_v0.2.0/{report.md,summary.json}; EV-028</x:v>
      </x:c>
      <x:c r="H32" s="78" t="str">
        <x:v>Revisit only for a corrective release, a new benchmark version, or an approved post-MVP capability with new acceptance criteria.</x:v>
      </x:c>
    </x:row>
    <x:row r="33" ht="90" customHeight="1">
      <x:c r="A33" s="447" t="str">
        <x:v>D-030</x:v>
      </x:c>
      <x:c r="B33" s="445" t="n">
        <x:v>46213</x:v>
      </x:c>
      <x:c r="C33" s="447" t="str">
        <x:v>Select a structured Mechanical Package Consistency Audit as the v0.3.0 release: drawing register ↔ drawing metadata ↔ BOM/equipment list ↔ datasheet/specification metadata ↔ revision history. Begin with CSV/JSON manifests and file references, and produce an evidence-linked issue register plus release-readiness summary.</x:v>
      </x:c>
      <x:c r="D33" s="447" t="str">
        <x:v>This is the shortest path from the released kernel to an authentic, economically meaningful, deterministic-first workflow. It is commercially understandable, lower-liability than design generation, extensible to multimodal extraction, and directly aligned with mechanical QA/document-control pain.</x:v>
      </x:c>
      <x:c r="E33" s="447" t="str">
        <x:v>Active</x:v>
      </x:c>
      <x:c r="F33" s="447" t="str">
        <x:v>P0.1–P5.2</x:v>
      </x:c>
      <x:c r="G33" s="447" t="str">
        <x:v>Pilot Gantt; Pilot Dashboard; docs/package_assurance/workflow_contract_v0.3.0.md; harness_strategy_chat_2026-07-10.md</x:v>
      </x:c>
      <x:c r="H33" s="447" t="str">
        <x:v>Revisit only after v0.3.0 held-out benchmark and clean-clone acceptance, or if P0 exposes an unresolvable authority/data-model conflict.</x:v>
      </x:c>
    </x:row>
    <x:row r="34" ht="90" customHeight="1">
      <x:c r="A34" s="447" t="str">
        <x:v>D-031</x:v>
      </x:c>
      <x:c r="B34" s="445" t="n">
        <x:v>46213</x:v>
      </x:c>
      <x:c r="C34" s="447" t="str">
        <x:v>Adopt a supervised GPT-5.6 long-horizon operating model for repository and document work. Use isolated branches/worktrees, explicit file/action boundaries, independent verification, and human approval before destructive, external, credentialed, or irreversible actions. Parallelize only independent non-overlapping workstreams.</x:v>
      </x:c>
      <x:c r="D34" s="447" t="str">
        <x:v>GPT-5.6 materially improves coding, professional workflows, computer use, tool coordination, and artifact production, but OpenAI's system-card testing also identifies increased risk of over-persistence and actions beyond user intent. Stronger execution therefore requires stronger controls, not weaker supervision.</x:v>
      </x:c>
      <x:c r="E34" s="447" t="str">
        <x:v>Active</x:v>
      </x:c>
      <x:c r="F34" s="447" t="str">
        <x:v>All v0.3.0 WBS</x:v>
      </x:c>
      <x:c r="G34" s="447" t="str">
        <x:v>AGENTS.md; PROJECT_CONTEXT.md; GPT-5.6 official launch page; GPT-5.6 system card</x:v>
      </x:c>
      <x:c r="H34" s="447" t="str">
        <x:v>Revisit when model/tool permissions, repository automation, or Codex multi-agent usage changes materially.</x:v>
      </x:c>
    </x:row>
    <x:row r="35" ht="90" customHeight="1">
      <x:c r="A35" s="447" t="str">
        <x:v>D-032</x:v>
      </x:c>
      <x:c r="B35" s="445" t="n">
        <x:v>46213</x:v>
      </x:c>
      <x:c r="C35" s="447" t="str">
        <x:v>Make explicit result states mandatory for package assurance: automatic pass, automatic fail, engineering review required, missing authoritative information, extraction/tool failure, and evaluator uncertainty. Mandatory-hold findings override aggregate score.</x:v>
      </x:c>
      <x:c r="D35" s="447" t="str">
        <x:v>Engineering release decisions cannot be represented safely by one scalar score. Explicit states separate deterministic findings, missing authority, operational failures, and qualified-human judgment while preserving evidence and auditability.</x:v>
      </x:c>
      <x:c r="E35" s="447" t="str">
        <x:v>Active</x:v>
      </x:c>
      <x:c r="F35" s="447" t="str">
        <x:v>P0.1,P0.2,P2.4,P3.1–P3.3</x:v>
      </x:c>
      <x:c r="G35" s="447" t="str">
        <x:v>workflow_contract_v0.3.0.md; acceptance_plan_v0.3.0.md; Pilot Gantt</x:v>
      </x:c>
      <x:c r="H35" s="447" t="str">
        <x:v>Revisit only if benchmark evidence shows a missing state or ambiguous routing rule.</x:v>
      </x:c>
    </x:row>
    <x:row r="36">
      <x:c r="A36" s="78" t="str">
        <x:v>D-033</x:v>
      </x:c>
      <x:c r="B36" s="78" t="n">
        <x:v>46218</x:v>
      </x:c>
      <x:c r="C36" s="78" t="str">
        <x:v>Accept the P0.1 workflow contract and reviewed authority-map boundary for the structured package assurance pilot. Mandatory package inputs, canonical identifier scope, authority-declared fields, revision schemes, duplicate representation, evidence locators, release-hold routing, package-state precedence, CLI exit codes, human-review boundary, exclusions, and producer-hidden benchmark data are frozen for P0.1.</x:v>
      </x:c>
      <x:c r="D36" s="78" t="str">
        <x:v>Resolving the ten P0.1 questions prevents later package-loader, schema, rule-engine, or benchmark work from inventing product behavior. The contract keeps v0.3.0 structured-data-first, preserves the independent evaluator boundary, and leaves implementation gated behind P0.2 acceptance.</x:v>
      </x:c>
      <x:c r="E36" s="78" t="str">
        <x:v>Active</x:v>
      </x:c>
      <x:c r="F36" s="78" t="str">
        <x:v>P0.1-P0.2</x:v>
      </x:c>
      <x:c r="G36" s="78" t="str">
        <x:v>docs/package_assurance/workflow_contract_v0.3.0.md; docs/package_assurance/authority_map_example_v0.3.0.json; EV-030</x:v>
      </x:c>
      <x:c r="H36" s="78" t="str">
        <x:v>Revisit only through a recorded P0 gate decision if P0.2 or benchmark evidence exposes a missing state, authority ambiguity, or unavoidable interface conflict.</x:v>
      </x:c>
    </x:row>
    <x:row r="37" ht="112.5" customHeight="1">
      <x:c r="A37" s="447" t="str">
        <x:v>D-034</x:v>
      </x:c>
      <x:c r="B37" s="447" t="n">
        <x:v>46218</x:v>
      </x:c>
      <x:c r="C37" s="447" t="str">
        <x:v>Accept the user's P0.1 gate and authorize P0.2 definition work. Waive prospective work-block time tracking; preserve existing historical and baseline hour fields, but do not request, estimate, or backfill durations for acceptance.</x:v>
      </x:c>
      <x:c r="D37" s="447" t="str">
        <x:v>P0.1 artifacts are committed at 03f102e and the user explicitly approved continuation. Progress is controlled by accepted deliverables and evidence; time fields remain legacy context rather than gate criteria.</x:v>
      </x:c>
      <x:c r="E37" s="447" t="str">
        <x:v>Active</x:v>
      </x:c>
      <x:c r="F37" s="447" t="str">
        <x:v>P0.1-P5.2 / Project control</x:v>
      </x:c>
      <x:c r="G37" s="447" t="str">
        <x:v>User direction 2026-07-15; commit 03f102e; D-033; EV-030; EV-031</x:v>
      </x:c>
      <x:c r="H37" s="447" t="str">
        <x:v>Revisit only if the user explicitly restores time tracking or a contractual reporting need arises.</x:v>
      </x:c>
    </x:row>
    <x:row r="38" ht="127.5" customHeight="1">
      <x:c r="A38" s="447" t="str">
        <x:v>D-035</x:v>
      </x:c>
      <x:c r="B38" s="447" t="n">
        <x:v>46218</x:v>
      </x:c>
      <x:c r="C38" s="447" t="str">
        <x:v>Freeze the reviewed P0.2 acceptance plan and benchmark protocol: scenario and package-family units, minimum development/held-out matrix, exact oracle matching, gate/check coverage, state and CLI exits, reproducibility normalization, held-out freeze and contamination replacement, false-positive/false-negative review, bounded claims, and release stop conditions.</x:v>
      </x:c>
      <x:c r="D38" s="447" t="str">
        <x:v>This prevents implementation from inventing benchmark policy, accepting generic detections, tuning against held-out outcomes, hiding failed runs, or changing protected expectations to improve results. P1.1 remains blocked until user acceptance.</x:v>
      </x:c>
      <x:c r="E38" s="447" t="str">
        <x:v>Active</x:v>
      </x:c>
      <x:c r="F38" s="447" t="str">
        <x:v>P0.2-P4.3</x:v>
      </x:c>
      <x:c r="G38" s="447" t="str">
        <x:v>docs/package_assurance/acceptance_plan_v0.3.0.md; docs/package_assurance/workflow_contract_v0.3.0.md; D-033; EV-032</x:v>
      </x:c>
      <x:c r="H38" s="447" t="str">
        <x:v>Revisit only through a recorded P0 gate decision if fixture authoring exposes a contract contradiction or the held-out protocol cannot be enforced.</x:v>
      </x:c>
    </x:row>
    <x:row r="39">
      <x:c r="A39" s="78"/>
      <x:c r="B39" s="78"/>
      <x:c r="C39" s="78"/>
      <x:c r="D39" s="78"/>
      <x:c r="E39" s="78"/>
      <x:c r="F39" s="78"/>
      <x:c r="G39" s="78"/>
      <x:c r="H39" s="78"/>
    </x:row>
    <x:row r="40">
      <x:c r="A40" s="78"/>
      <x:c r="B40" s="78"/>
      <x:c r="C40" s="78"/>
      <x:c r="D40" s="78"/>
      <x:c r="E40" s="78"/>
      <x:c r="F40" s="78"/>
      <x:c r="G40" s="78"/>
      <x:c r="H40" s="78"/>
    </x:row>
    <x:row r="41">
      <x:c r="A41" s="78"/>
      <x:c r="B41" s="78"/>
      <x:c r="C41" s="78"/>
      <x:c r="D41" s="78"/>
      <x:c r="E41" s="78"/>
      <x:c r="F41" s="78"/>
      <x:c r="G41" s="78"/>
      <x:c r="H41" s="78"/>
    </x:row>
    <x:row r="42">
      <x:c r="A42" s="78"/>
      <x:c r="B42" s="78"/>
      <x:c r="C42" s="78"/>
      <x:c r="D42" s="78"/>
      <x:c r="E42" s="78"/>
      <x:c r="F42" s="78"/>
      <x:c r="G42" s="78"/>
      <x:c r="H42" s="78"/>
    </x:row>
    <x:row r="43">
      <x:c r="A43" s="78"/>
      <x:c r="B43" s="78"/>
      <x:c r="C43" s="78"/>
      <x:c r="D43" s="78"/>
      <x:c r="E43" s="78"/>
      <x:c r="F43" s="78"/>
      <x:c r="G43" s="78"/>
      <x:c r="H43" s="78"/>
    </x:row>
    <x:row r="44">
      <x:c r="A44" s="78"/>
      <x:c r="B44" s="78"/>
      <x:c r="C44" s="78"/>
      <x:c r="D44" s="78"/>
      <x:c r="E44" s="78"/>
      <x:c r="F44" s="78"/>
      <x:c r="G44" s="78"/>
      <x:c r="H44" s="78"/>
    </x:row>
    <x:row r="45">
      <x:c r="A45" s="78"/>
      <x:c r="B45" s="78"/>
      <x:c r="C45" s="78"/>
      <x:c r="D45" s="78"/>
      <x:c r="E45" s="78"/>
      <x:c r="F45" s="78"/>
      <x:c r="G45" s="78"/>
      <x:c r="H45" s="78"/>
    </x:row>
    <x:row r="46">
      <x:c r="A46" s="78"/>
      <x:c r="B46" s="78"/>
      <x:c r="C46" s="78"/>
      <x:c r="D46" s="78"/>
      <x:c r="E46" s="78"/>
      <x:c r="F46" s="78"/>
      <x:c r="G46" s="78"/>
      <x:c r="H46" s="78"/>
    </x:row>
    <x:row r="47">
      <x:c r="A47" s="78"/>
      <x:c r="B47" s="78"/>
      <x:c r="C47" s="78"/>
      <x:c r="D47" s="78"/>
      <x:c r="E47" s="78"/>
      <x:c r="F47" s="78"/>
      <x:c r="G47" s="78"/>
      <x:c r="H47" s="78"/>
    </x:row>
    <x:row r="48">
      <x:c r="A48" s="78"/>
      <x:c r="B48" s="78"/>
      <x:c r="C48" s="78"/>
      <x:c r="D48" s="78"/>
      <x:c r="E48" s="78"/>
      <x:c r="F48" s="78"/>
      <x:c r="G48" s="78"/>
      <x:c r="H48" s="78"/>
    </x:row>
    <x:row r="49">
      <x:c r="A49" s="78"/>
      <x:c r="B49" s="78"/>
      <x:c r="C49" s="78"/>
      <x:c r="D49" s="78"/>
      <x:c r="E49" s="78"/>
      <x:c r="F49" s="78"/>
      <x:c r="G49" s="78"/>
      <x:c r="H49" s="78"/>
    </x:row>
    <x:row r="50">
      <x:c r="A50" s="78"/>
      <x:c r="B50" s="78"/>
      <x:c r="C50" s="78"/>
      <x:c r="D50" s="78"/>
      <x:c r="E50" s="78"/>
      <x:c r="F50" s="78"/>
      <x:c r="G50" s="78"/>
      <x:c r="H50" s="78"/>
    </x:row>
    <x:row r="51">
      <x:c r="A51" s="78"/>
      <x:c r="B51" s="78"/>
      <x:c r="C51" s="78"/>
      <x:c r="D51" s="78"/>
      <x:c r="E51" s="78"/>
      <x:c r="F51" s="78"/>
      <x:c r="G51" s="78"/>
      <x:c r="H51" s="78"/>
    </x:row>
    <x:row r="52">
      <x:c r="A52" s="78"/>
      <x:c r="B52" s="78"/>
      <x:c r="C52" s="78"/>
      <x:c r="D52" s="78"/>
      <x:c r="E52" s="78"/>
      <x:c r="F52" s="78"/>
      <x:c r="G52" s="78"/>
      <x:c r="H52" s="78"/>
    </x:row>
    <x:row r="53">
      <x:c r="A53" s="78"/>
      <x:c r="B53" s="78"/>
      <x:c r="C53" s="78"/>
      <x:c r="D53" s="78"/>
      <x:c r="E53" s="78"/>
      <x:c r="F53" s="78"/>
      <x:c r="G53" s="78"/>
      <x:c r="H53" s="78"/>
    </x:row>
    <x:row r="54">
      <x:c r="A54" s="78"/>
      <x:c r="B54" s="78"/>
      <x:c r="C54" s="78"/>
      <x:c r="D54" s="78"/>
      <x:c r="E54" s="78"/>
      <x:c r="F54" s="78"/>
      <x:c r="G54" s="78"/>
      <x:c r="H54" s="78"/>
    </x:row>
    <x:row r="55">
      <x:c r="A55" s="78"/>
      <x:c r="B55" s="78"/>
      <x:c r="C55" s="78"/>
      <x:c r="D55" s="78"/>
      <x:c r="E55" s="78"/>
      <x:c r="F55" s="78"/>
      <x:c r="G55" s="78"/>
      <x:c r="H55" s="78"/>
    </x:row>
    <x:row r="56">
      <x:c r="A56" s="78"/>
      <x:c r="B56" s="78"/>
      <x:c r="C56" s="78"/>
      <x:c r="D56" s="78"/>
      <x:c r="E56" s="78"/>
      <x:c r="F56" s="78"/>
      <x:c r="G56" s="78"/>
      <x:c r="H56" s="78"/>
    </x:row>
    <x:row r="57">
      <x:c r="A57" s="78"/>
      <x:c r="B57" s="78"/>
      <x:c r="C57" s="78"/>
      <x:c r="D57" s="78"/>
      <x:c r="E57" s="78"/>
      <x:c r="F57" s="78"/>
      <x:c r="G57" s="78"/>
      <x:c r="H57" s="78"/>
    </x:row>
    <x:row r="58">
      <x:c r="A58" s="78"/>
      <x:c r="B58" s="78"/>
      <x:c r="C58" s="78"/>
      <x:c r="D58" s="78"/>
      <x:c r="E58" s="78"/>
      <x:c r="F58" s="78"/>
      <x:c r="G58" s="78"/>
      <x:c r="H58" s="78"/>
    </x:row>
    <x:row r="59">
      <x:c r="A59" s="78"/>
      <x:c r="B59" s="78"/>
      <x:c r="C59" s="78"/>
      <x:c r="D59" s="78"/>
      <x:c r="E59" s="78"/>
      <x:c r="F59" s="78"/>
      <x:c r="G59" s="78"/>
      <x:c r="H59" s="78"/>
    </x:row>
    <x:row r="60">
      <x:c r="A60" s="78"/>
      <x:c r="B60" s="78"/>
      <x:c r="C60" s="78"/>
      <x:c r="D60" s="78"/>
      <x:c r="E60" s="78"/>
      <x:c r="F60" s="78"/>
      <x:c r="G60" s="78"/>
      <x:c r="H60" s="78"/>
    </x:row>
    <x:row r="61">
      <x:c r="A61" s="78"/>
      <x:c r="B61" s="78"/>
      <x:c r="C61" s="78"/>
      <x:c r="D61" s="78"/>
      <x:c r="E61" s="78"/>
      <x:c r="F61" s="78"/>
      <x:c r="G61" s="78"/>
      <x:c r="H61" s="78"/>
    </x:row>
    <x:row r="62">
      <x:c r="A62" s="78"/>
      <x:c r="B62" s="78"/>
      <x:c r="C62" s="78"/>
      <x:c r="D62" s="78"/>
      <x:c r="E62" s="78"/>
      <x:c r="F62" s="78"/>
      <x:c r="G62" s="78"/>
      <x:c r="H62" s="78"/>
    </x:row>
    <x:row r="63">
      <x:c r="A63" s="78"/>
      <x:c r="B63" s="78"/>
      <x:c r="C63" s="78"/>
      <x:c r="D63" s="78"/>
      <x:c r="E63" s="78"/>
      <x:c r="F63" s="78"/>
      <x:c r="G63" s="78"/>
      <x:c r="H63" s="78"/>
    </x:row>
    <x:row r="64">
      <x:c r="A64" s="78"/>
      <x:c r="B64" s="78"/>
      <x:c r="C64" s="78"/>
      <x:c r="D64" s="78"/>
      <x:c r="E64" s="78"/>
      <x:c r="F64" s="78"/>
      <x:c r="G64" s="78"/>
      <x:c r="H64" s="78"/>
    </x:row>
    <x:row r="65">
      <x:c r="A65" s="78"/>
      <x:c r="B65" s="78"/>
      <x:c r="C65" s="78"/>
      <x:c r="D65" s="78"/>
      <x:c r="E65" s="78"/>
      <x:c r="F65" s="78"/>
      <x:c r="G65" s="78"/>
      <x:c r="H65" s="78"/>
    </x:row>
    <x:row r="66">
      <x:c r="A66" s="78"/>
      <x:c r="B66" s="78"/>
      <x:c r="C66" s="78"/>
      <x:c r="D66" s="78"/>
      <x:c r="E66" s="78"/>
      <x:c r="F66" s="78"/>
      <x:c r="G66" s="78"/>
      <x:c r="H66" s="78"/>
    </x:row>
    <x:row r="67">
      <x:c r="A67" s="78"/>
      <x:c r="B67" s="78"/>
      <x:c r="C67" s="78"/>
      <x:c r="D67" s="78"/>
      <x:c r="E67" s="78"/>
      <x:c r="F67" s="78"/>
      <x:c r="G67" s="78"/>
      <x:c r="H67" s="78"/>
    </x:row>
    <x:row r="68">
      <x:c r="A68" s="78"/>
      <x:c r="B68" s="78"/>
      <x:c r="C68" s="78"/>
      <x:c r="D68" s="78"/>
      <x:c r="E68" s="78"/>
      <x:c r="F68" s="78"/>
      <x:c r="G68" s="78"/>
      <x:c r="H68" s="78"/>
    </x:row>
    <x:row r="69">
      <x:c r="A69" s="78"/>
      <x:c r="B69" s="78"/>
      <x:c r="C69" s="78"/>
      <x:c r="D69" s="78"/>
      <x:c r="E69" s="78"/>
      <x:c r="F69" s="78"/>
      <x:c r="G69" s="78"/>
      <x:c r="H69" s="78"/>
    </x:row>
    <x:row r="70">
      <x:c r="A70" s="78"/>
      <x:c r="B70" s="78"/>
      <x:c r="C70" s="78"/>
      <x:c r="D70" s="78"/>
      <x:c r="E70" s="78"/>
      <x:c r="F70" s="78"/>
      <x:c r="G70" s="78"/>
      <x:c r="H70" s="78"/>
    </x:row>
    <x:row r="71">
      <x:c r="A71" s="78"/>
      <x:c r="B71" s="78"/>
      <x:c r="C71" s="78"/>
      <x:c r="D71" s="78"/>
      <x:c r="E71" s="78"/>
      <x:c r="F71" s="78"/>
      <x:c r="G71" s="78"/>
      <x:c r="H71" s="78"/>
    </x:row>
    <x:row r="72">
      <x:c r="A72" s="78"/>
      <x:c r="B72" s="78"/>
      <x:c r="C72" s="78"/>
      <x:c r="D72" s="78"/>
      <x:c r="E72" s="78"/>
      <x:c r="F72" s="78"/>
      <x:c r="G72" s="78"/>
      <x:c r="H72" s="78"/>
    </x:row>
    <x:row r="73">
      <x:c r="A73" s="78"/>
      <x:c r="B73" s="78"/>
      <x:c r="C73" s="78"/>
      <x:c r="D73" s="78"/>
      <x:c r="E73" s="78"/>
      <x:c r="F73" s="78"/>
      <x:c r="G73" s="78"/>
      <x:c r="H73" s="78"/>
    </x:row>
    <x:row r="74">
      <x:c r="A74" s="78"/>
      <x:c r="B74" s="78"/>
      <x:c r="C74" s="78"/>
      <x:c r="D74" s="78"/>
      <x:c r="E74" s="78"/>
      <x:c r="F74" s="78"/>
      <x:c r="G74" s="78"/>
      <x:c r="H74" s="78"/>
    </x:row>
    <x:row r="75">
      <x:c r="A75" s="78"/>
      <x:c r="B75" s="78"/>
      <x:c r="C75" s="78"/>
      <x:c r="D75" s="78"/>
      <x:c r="E75" s="78"/>
      <x:c r="F75" s="78"/>
      <x:c r="G75" s="78"/>
      <x:c r="H75" s="78"/>
    </x:row>
    <x:row r="76">
      <x:c r="A76" s="78"/>
      <x:c r="B76" s="78"/>
      <x:c r="C76" s="78"/>
      <x:c r="D76" s="78"/>
      <x:c r="E76" s="78"/>
      <x:c r="F76" s="78"/>
      <x:c r="G76" s="78"/>
      <x:c r="H76" s="78"/>
    </x:row>
    <x:row r="77">
      <x:c r="A77" s="78"/>
      <x:c r="B77" s="78"/>
      <x:c r="C77" s="78"/>
      <x:c r="D77" s="78"/>
      <x:c r="E77" s="78"/>
      <x:c r="F77" s="78"/>
      <x:c r="G77" s="78"/>
      <x:c r="H77" s="78"/>
    </x:row>
    <x:row r="78">
      <x:c r="A78" s="78"/>
      <x:c r="B78" s="78"/>
      <x:c r="C78" s="78"/>
      <x:c r="D78" s="78"/>
      <x:c r="E78" s="78"/>
      <x:c r="F78" s="78"/>
      <x:c r="G78" s="78"/>
      <x:c r="H78" s="78"/>
    </x:row>
    <x:row r="79">
      <x:c r="A79" s="78"/>
      <x:c r="B79" s="78"/>
      <x:c r="C79" s="78"/>
      <x:c r="D79" s="78"/>
      <x:c r="E79" s="78"/>
      <x:c r="F79" s="78"/>
      <x:c r="G79" s="78"/>
      <x:c r="H79" s="78"/>
    </x:row>
    <x:row r="80">
      <x:c r="A80" s="78"/>
      <x:c r="B80" s="78"/>
      <x:c r="C80" s="78"/>
      <x:c r="D80" s="78"/>
      <x:c r="E80" s="78"/>
      <x:c r="F80" s="78"/>
      <x:c r="G80" s="78"/>
      <x:c r="H80" s="78"/>
    </x:row>
    <x:row r="81">
      <x:c r="A81" s="78"/>
      <x:c r="B81" s="78"/>
      <x:c r="C81" s="78"/>
      <x:c r="D81" s="78"/>
      <x:c r="E81" s="78"/>
      <x:c r="F81" s="78"/>
      <x:c r="G81" s="78"/>
      <x:c r="H81" s="78"/>
    </x:row>
    <x:row r="82">
      <x:c r="A82" s="78"/>
      <x:c r="B82" s="78"/>
      <x:c r="C82" s="78"/>
      <x:c r="D82" s="78"/>
      <x:c r="E82" s="78"/>
      <x:c r="F82" s="78"/>
      <x:c r="G82" s="78"/>
      <x:c r="H82" s="78"/>
    </x:row>
    <x:row r="83">
      <x:c r="A83" s="78"/>
      <x:c r="B83" s="78"/>
      <x:c r="C83" s="78"/>
      <x:c r="D83" s="78"/>
      <x:c r="E83" s="78"/>
      <x:c r="F83" s="78"/>
      <x:c r="G83" s="78"/>
      <x:c r="H83" s="78"/>
    </x:row>
    <x:row r="84">
      <x:c r="A84" s="78"/>
      <x:c r="B84" s="78"/>
      <x:c r="C84" s="78"/>
      <x:c r="D84" s="78"/>
      <x:c r="E84" s="78"/>
      <x:c r="F84" s="78"/>
      <x:c r="G84" s="78"/>
      <x:c r="H84" s="78"/>
    </x:row>
    <x:row r="85">
      <x:c r="A85" s="78"/>
      <x:c r="B85" s="78"/>
      <x:c r="C85" s="78"/>
      <x:c r="D85" s="78"/>
      <x:c r="E85" s="78"/>
      <x:c r="F85" s="78"/>
      <x:c r="G85" s="78"/>
      <x:c r="H85" s="78"/>
    </x:row>
    <x:row r="86">
      <x:c r="A86" s="78"/>
      <x:c r="B86" s="78"/>
      <x:c r="C86" s="78"/>
      <x:c r="D86" s="78"/>
      <x:c r="E86" s="78"/>
      <x:c r="F86" s="78"/>
      <x:c r="G86" s="78"/>
      <x:c r="H86" s="78"/>
    </x:row>
    <x:row r="87">
      <x:c r="A87" s="78"/>
      <x:c r="B87" s="78"/>
      <x:c r="C87" s="78"/>
      <x:c r="D87" s="78"/>
      <x:c r="E87" s="78"/>
      <x:c r="F87" s="78"/>
      <x:c r="G87" s="78"/>
      <x:c r="H87" s="78"/>
    </x:row>
    <x:row r="88">
      <x:c r="A88" s="78"/>
      <x:c r="B88" s="78"/>
      <x:c r="C88" s="78"/>
      <x:c r="D88" s="78"/>
      <x:c r="E88" s="78"/>
      <x:c r="F88" s="78"/>
      <x:c r="G88" s="78"/>
      <x:c r="H88" s="78"/>
    </x:row>
    <x:row r="89">
      <x:c r="A89" s="78"/>
      <x:c r="B89" s="78"/>
      <x:c r="C89" s="78"/>
      <x:c r="D89" s="78"/>
      <x:c r="E89" s="78"/>
      <x:c r="F89" s="78"/>
      <x:c r="G89" s="78"/>
      <x:c r="H89" s="78"/>
    </x:row>
    <x:row r="90">
      <x:c r="A90" s="78"/>
      <x:c r="B90" s="78"/>
      <x:c r="C90" s="78"/>
      <x:c r="D90" s="78"/>
      <x:c r="E90" s="78"/>
      <x:c r="F90" s="78"/>
      <x:c r="G90" s="78"/>
      <x:c r="H90" s="78"/>
    </x:row>
    <x:row r="91">
      <x:c r="A91" s="78"/>
      <x:c r="B91" s="78"/>
      <x:c r="C91" s="78"/>
      <x:c r="D91" s="78"/>
      <x:c r="E91" s="78"/>
      <x:c r="F91" s="78"/>
      <x:c r="G91" s="78"/>
      <x:c r="H91" s="78"/>
    </x:row>
    <x:row r="92">
      <x:c r="A92" s="78"/>
      <x:c r="B92" s="78"/>
      <x:c r="C92" s="78"/>
      <x:c r="D92" s="78"/>
      <x:c r="E92" s="78"/>
      <x:c r="F92" s="78"/>
      <x:c r="G92" s="78"/>
      <x:c r="H92" s="78"/>
    </x:row>
    <x:row r="93">
      <x:c r="A93" s="78"/>
      <x:c r="B93" s="78"/>
      <x:c r="C93" s="78"/>
      <x:c r="D93" s="78"/>
      <x:c r="E93" s="78"/>
      <x:c r="F93" s="78"/>
      <x:c r="G93" s="78"/>
      <x:c r="H93" s="78"/>
    </x:row>
    <x:row r="94">
      <x:c r="A94" s="78"/>
      <x:c r="B94" s="78"/>
      <x:c r="C94" s="78"/>
      <x:c r="D94" s="78"/>
      <x:c r="E94" s="78"/>
      <x:c r="F94" s="78"/>
      <x:c r="G94" s="78"/>
      <x:c r="H94" s="78"/>
    </x:row>
    <x:row r="95">
      <x:c r="A95" s="78"/>
      <x:c r="B95" s="78"/>
      <x:c r="C95" s="78"/>
      <x:c r="D95" s="78"/>
      <x:c r="E95" s="78"/>
      <x:c r="F95" s="78"/>
      <x:c r="G95" s="78"/>
      <x:c r="H95" s="78"/>
    </x:row>
    <x:row r="96">
      <x:c r="A96" s="78"/>
      <x:c r="B96" s="78"/>
      <x:c r="C96" s="78"/>
      <x:c r="D96" s="78"/>
      <x:c r="E96" s="78"/>
      <x:c r="F96" s="78"/>
      <x:c r="G96" s="78"/>
      <x:c r="H96" s="78"/>
    </x:row>
    <x:row r="97">
      <x:c r="A97" s="78"/>
      <x:c r="B97" s="78"/>
      <x:c r="C97" s="78"/>
      <x:c r="D97" s="78"/>
      <x:c r="E97" s="78"/>
      <x:c r="F97" s="78"/>
      <x:c r="G97" s="78"/>
      <x:c r="H97" s="78"/>
    </x:row>
    <x:row r="98">
      <x:c r="A98" s="78"/>
      <x:c r="B98" s="78"/>
      <x:c r="C98" s="78"/>
      <x:c r="D98" s="78"/>
      <x:c r="E98" s="78"/>
      <x:c r="F98" s="78"/>
      <x:c r="G98" s="78"/>
      <x:c r="H98" s="78"/>
    </x:row>
    <x:row r="99">
      <x:c r="A99" s="78"/>
      <x:c r="B99" s="78"/>
      <x:c r="C99" s="78"/>
      <x:c r="D99" s="78"/>
      <x:c r="E99" s="78"/>
      <x:c r="F99" s="78"/>
      <x:c r="G99" s="78"/>
      <x:c r="H99" s="78"/>
    </x:row>
    <x:row r="100">
      <x:c r="A100" s="78"/>
      <x:c r="B100" s="78"/>
      <x:c r="C100" s="78"/>
      <x:c r="D100" s="78"/>
      <x:c r="E100" s="78"/>
      <x:c r="F100" s="78"/>
      <x:c r="G100" s="78"/>
      <x:c r="H100" s="78"/>
    </x:row>
  </x:sheetData>
  <x:mergeCells>
    <x:mergeCell ref="A1:H1"/>
  </x:mergeCells>
  <x:dataValidations count="1">
    <x:dataValidation type="list" sqref="E4:E100">
      <x:formula1>"Proposed,Active,Superseded,Deferred"</x:formula1>
    </x:dataValidation>
  </x:dataValidations>
  <x:pageMargins left="0.7" right="0.7" top="0.75" bottom="0.75" header="0.3" footer="0.3"/>
</x:worksheet>
</file>

<file path=xl/worksheets/sheet11.xml><?xml version="1.0" encoding="utf-8"?>
<x:worksheet xmlns:x="http://schemas.openxmlformats.org/spreadsheetml/2006/main">
  <x:sheetFormatPr defaultRowHeight="14.25"/>
  <x:cols>
    <x:col min="1" max="2" width="10" customWidth="1"/>
    <x:col min="3" max="3" width="42" customWidth="1"/>
    <x:col min="4" max="6" width="12" customWidth="1"/>
    <x:col min="7" max="7" width="48" customWidth="1"/>
    <x:col min="8" max="8" width="13" customWidth="1"/>
    <x:col min="9" max="9" width="12" customWidth="1"/>
    <x:col min="10" max="10" width="38" customWidth="1"/>
  </x:cols>
  <x:sheetData>
    <x:row r="1" ht="27.950000762939453" customHeight="1">
      <x:c r="A1" s="234" t="s">
        <x:v>561</x:v>
      </x:c>
      <x:c r="B1" s="235"/>
      <x:c r="C1" s="235"/>
      <x:c r="D1" s="235"/>
      <x:c r="E1" s="235"/>
      <x:c r="F1" s="235"/>
      <x:c r="G1" s="235"/>
      <x:c r="H1" s="235"/>
      <x:c r="I1" s="235"/>
      <x:c r="J1" s="235"/>
    </x:row>
    <x:row r="3" ht="30">
      <x:c r="A3" s="80" t="s">
        <x:v>0</x:v>
      </x:c>
      <x:c r="B3" s="80" t="s">
        <x:v>197</x:v>
      </x:c>
      <x:c r="C3" s="80" t="s">
        <x:v>562</x:v>
      </x:c>
      <x:c r="D3" s="80" t="s">
        <x:v>563</x:v>
      </x:c>
      <x:c r="E3" s="80" t="s">
        <x:v>564</x:v>
      </x:c>
      <x:c r="F3" s="80" t="s">
        <x:v>565</x:v>
      </x:c>
      <x:c r="G3" s="80" t="s">
        <x:v>566</x:v>
      </x:c>
      <x:c r="H3" s="80" t="s">
        <x:v>56</x:v>
      </x:c>
      <x:c r="I3" s="80" t="s">
        <x:v>567</x:v>
      </x:c>
      <x:c r="J3" s="80" t="s">
        <x:v>61</x:v>
      </x:c>
    </x:row>
    <x:row r="4" ht="28.5">
      <x:c r="A4" s="78" t="s">
        <x:v>568</x:v>
      </x:c>
      <x:c r="B4" s="78" t="s">
        <x:v>569</x:v>
      </x:c>
      <x:c r="C4" s="78" t="s">
        <x:v>570</x:v>
      </x:c>
      <x:c r="D4" s="78" t="s">
        <x:v>571</x:v>
      </x:c>
      <x:c r="E4" s="78" t="s">
        <x:v>571</x:v>
      </x:c>
      <x:c r="F4" s="78" t="s">
        <x:v>572</x:v>
      </x:c>
      <x:c r="G4" s="78" t="s">
        <x:v>573</x:v>
      </x:c>
      <x:c r="H4" s="78" t="s">
        <x:v>574</x:v>
      </x:c>
      <x:c r="I4" s="81">
        <x:v>46215</x:v>
      </x:c>
      <x:c r="J4" s="78" t="s">
        <x:v>575</x:v>
      </x:c>
    </x:row>
    <x:row r="5" ht="28.5">
      <x:c r="A5" s="78" t="s">
        <x:v>576</x:v>
      </x:c>
      <x:c r="B5" s="78" t="s">
        <x:v>569</x:v>
      </x:c>
      <x:c r="C5" s="78" t="s">
        <x:v>577</x:v>
      </x:c>
      <x:c r="D5" s="78" t="s">
        <x:v>571</x:v>
      </x:c>
      <x:c r="E5" s="78" t="s">
        <x:v>571</x:v>
      </x:c>
      <x:c r="F5" s="78" t="s">
        <x:v>572</x:v>
      </x:c>
      <x:c r="G5" s="78" t="s">
        <x:v>578</x:v>
      </x:c>
      <x:c r="H5" s="78" t="s">
        <x:v>579</x:v>
      </x:c>
      <x:c r="I5" s="81">
        <x:v>46215</x:v>
      </x:c>
      <x:c r="J5" s="78" t="s">
        <x:v>580</x:v>
      </x:c>
    </x:row>
    <x:row r="6" ht="28.5">
      <x:c r="A6" s="78" t="s">
        <x:v>581</x:v>
      </x:c>
      <x:c r="B6" s="78" t="s">
        <x:v>569</x:v>
      </x:c>
      <x:c r="C6" s="78" t="s">
        <x:v>582</x:v>
      </x:c>
      <x:c r="D6" s="78" t="s">
        <x:v>583</x:v>
      </x:c>
      <x:c r="E6" s="78" t="s">
        <x:v>571</x:v>
      </x:c>
      <x:c r="F6" s="78" t="s">
        <x:v>572</x:v>
      </x:c>
      <x:c r="G6" s="78" t="s">
        <x:v>584</x:v>
      </x:c>
      <x:c r="H6" s="78" t="str">
        <x:v>Mitigating</x:v>
      </x:c>
      <x:c r="I6" s="81" t="n">
        <x:v>46243</x:v>
      </x:c>
      <x:c r="J6" s="78" t="str">
        <x:v>All five current benchmark cases now have independent reference reconstruction and regression evidence. WBS 3.2 added case-specific verification documentation and end-to-end candidate tests. Continue the same admission standard for any future cases.</x:v>
      </x:c>
    </x:row>
    <x:row r="7" ht="54" customHeight="1">
      <x:c r="A7" s="78" t="s">
        <x:v>585</x:v>
      </x:c>
      <x:c r="B7" s="78" t="s">
        <x:v>569</x:v>
      </x:c>
      <x:c r="C7" s="78" t="s">
        <x:v>586</x:v>
      </x:c>
      <x:c r="D7" s="78" t="s">
        <x:v>583</x:v>
      </x:c>
      <x:c r="E7" s="78" t="s">
        <x:v>571</x:v>
      </x:c>
      <x:c r="F7" s="78" t="s">
        <x:v>572</x:v>
      </x:c>
      <x:c r="G7" s="78" t="s">
        <x:v>587</x:v>
      </x:c>
      <x:c r="H7" s="78" t="s">
        <x:v>579</x:v>
      </x:c>
      <x:c r="I7" s="81">
        <x:v>46257</x:v>
      </x:c>
      <x:c r="J7" s="78" t="s">
        <x:v>588</x:v>
      </x:c>
    </x:row>
    <x:row r="8" ht="28.5">
      <x:c r="A8" s="78" t="s">
        <x:v>589</x:v>
      </x:c>
      <x:c r="B8" s="78" t="s">
        <x:v>569</x:v>
      </x:c>
      <x:c r="C8" s="78" t="s">
        <x:v>590</x:v>
      </x:c>
      <x:c r="D8" s="78" t="s">
        <x:v>583</x:v>
      </x:c>
      <x:c r="E8" s="78" t="s">
        <x:v>583</x:v>
      </x:c>
      <x:c r="F8" s="78" t="s">
        <x:v>572</x:v>
      </x:c>
      <x:c r="G8" s="78" t="s">
        <x:v>591</x:v>
      </x:c>
      <x:c r="H8" s="78" t="s">
        <x:v>574</x:v>
      </x:c>
      <x:c r="I8" s="81">
        <x:v>46222</x:v>
      </x:c>
      <x:c r="J8" s="78" t="s">
        <x:v>592</x:v>
      </x:c>
    </x:row>
    <x:row r="9" ht="28.5">
      <x:c r="A9" s="78" t="s">
        <x:v>593</x:v>
      </x:c>
      <x:c r="B9" s="78" t="s">
        <x:v>569</x:v>
      </x:c>
      <x:c r="C9" s="78" t="s">
        <x:v>594</x:v>
      </x:c>
      <x:c r="D9" s="78" t="s">
        <x:v>595</x:v>
      </x:c>
      <x:c r="E9" s="78" t="s">
        <x:v>571</x:v>
      </x:c>
      <x:c r="F9" s="78" t="s">
        <x:v>572</x:v>
      </x:c>
      <x:c r="G9" s="78" t="s">
        <x:v>596</x:v>
      </x:c>
      <x:c r="H9" s="78" t="s">
        <x:v>574</x:v>
      </x:c>
      <x:c r="I9" s="81">
        <x:v>46257</x:v>
      </x:c>
      <x:c r="J9" s="78" t="s">
        <x:v>597</x:v>
      </x:c>
    </x:row>
    <x:row r="10" ht="28.5">
      <x:c r="A10" s="78" t="s">
        <x:v>598</x:v>
      </x:c>
      <x:c r="B10" s="78" t="s">
        <x:v>599</x:v>
      </x:c>
      <x:c r="C10" s="78" t="s">
        <x:v>600</x:v>
      </x:c>
      <x:c r="D10" s="78" t="s">
        <x:v>601</x:v>
      </x:c>
      <x:c r="E10" s="78" t="s">
        <x:v>595</x:v>
      </x:c>
      <x:c r="F10" s="78" t="s">
        <x:v>572</x:v>
      </x:c>
      <x:c r="G10" s="78" t="s">
        <x:v>602</x:v>
      </x:c>
      <x:c r="H10" s="78" t="s">
        <x:v>603</x:v>
      </x:c>
      <x:c r="I10" s="81">
        <x:v>46208</x:v>
      </x:c>
      <x:c r="J10" s="78" t="s">
        <x:v>604</x:v>
      </x:c>
    </x:row>
    <x:row r="11" ht="28.5">
      <x:c r="A11" s="78" t="s">
        <x:v>605</x:v>
      </x:c>
      <x:c r="B11" s="78" t="s">
        <x:v>599</x:v>
      </x:c>
      <x:c r="C11" s="78" t="s">
        <x:v>606</x:v>
      </x:c>
      <x:c r="D11" s="78" t="s">
        <x:v>601</x:v>
      </x:c>
      <x:c r="E11" s="78" t="s">
        <x:v>583</x:v>
      </x:c>
      <x:c r="F11" s="78" t="s">
        <x:v>572</x:v>
      </x:c>
      <x:c r="G11" s="78" t="s">
        <x:v>607</x:v>
      </x:c>
      <x:c r="H11" s="78" t="s">
        <x:v>603</x:v>
      </x:c>
      <x:c r="I11" s="81">
        <x:v>46209</x:v>
      </x:c>
      <x:c r="J11" s="78" t="s">
        <x:v>608</x:v>
      </x:c>
    </x:row>
    <x:row r="12">
      <x:c r="A12" s="78" t="str">
        <x:v>R-007</x:v>
      </x:c>
      <x:c r="B12" s="78" t="str">
        <x:v>Risk</x:v>
      </x:c>
      <x:c r="C12" s="78" t="str">
        <x:v>The held-out split becomes nominal because all cases, references, and candidate fixtures were authored before the split or later tuning uses held-out evidence.</x:v>
      </x:c>
      <x:c r="D12" s="78" t="str">
        <x:v>Medium</x:v>
      </x:c>
      <x:c r="E12" s="78" t="str">
        <x:v>High</x:v>
      </x:c>
      <x:c r="F12" s="78" t="str">
        <x:v>Jason</x:v>
      </x:c>
      <x:c r="G12" s="78" t="str">
        <x:v>Keep MECH-003 frozen; prohibit versioned candidate fixtures and tuning against held-out outcomes; report development and held-out results separately; preserve generated evidence; add newly authored unseen cases in a future benchmark version.</x:v>
      </x:c>
      <x:c r="H12" s="78" t="str">
        <x:v>Mitigating</x:v>
      </x:c>
      <x:c r="I12" s="78" t="n">
        <x:v>46208</x:v>
      </x:c>
      <x:c r="J12" s="78" t="str">
        <x:v>WBS 3.4 reported MECH-003 separately, preserved the prior-exposure disclosure, generated its oracle candidate only in temporary storage, and prohibited performance claims. Residual risk remains until a future benchmark freezes newly authored unseen cases before candidate development.</x:v>
      </x:c>
    </x:row>
    <x:row r="13">
      <x:c r="A13" s="78" t="str">
        <x:v>R-008</x:v>
      </x:c>
      <x:c r="B13" s="78" t="str">
        <x:v>Risk</x:v>
      </x:c>
      <x:c r="C13" s="78" t="str">
        <x:v>The portfolio demo becomes a polished narrative rather than a reproducible, auditable execution that proves pass, failure evidence, exit codes, and immutable result persistence.</x:v>
      </x:c>
      <x:c r="D13" s="78" t="str">
        <x:v>Medium</x:v>
      </x:c>
      <x:c r="E13" s="78" t="str">
        <x:v>Medium</x:v>
      </x:c>
      <x:c r="F13" s="78" t="str">
        <x:v>Jason</x:v>
      </x:c>
      <x:c r="G13" s="78" t="str">
        <x:v>Use a deterministic script over versioned MECH-002 candidate fixtures, isolate generated runs, assert expected outcomes, capture terminal evidence, and document exact reproduction without adding a frontend.</x:v>
      </x:c>
      <x:c r="H13" s="78" t="str">
        <x:v>Closed</x:v>
      </x:c>
      <x:c r="I13" s="78" t="n">
        <x:v>46208</x:v>
      </x:c>
      <x:c r="J13" s="78" t="str">
        <x:v>Resolved by WBS 5.1. The merged demo uses committed MECH-002 fixtures, asserts pass/fail exit codes and scores, verifies UNIT_ERROR evidence and immutable result paths, writes an auditable report, includes an end-to-end regression test, and adds no frontend.</x:v>
      </x:c>
    </x:row>
    <x:row r="14">
      <x:c r="A14" s="78" t="str">
        <x:v>R-009</x:v>
      </x:c>
      <x:c r="B14" s="78" t="str">
        <x:v>Risk</x:v>
      </x:c>
      <x:c r="C14" s="78" t="str">
        <x:v>Release notes or limitations overstate implemented capability, obscure benchmark contamination limits, or imply AI/agent performance or engineering authority not demonstrated by the MVP.</x:v>
      </x:c>
      <x:c r="D14" s="78" t="str">
        <x:v>Medium</x:v>
      </x:c>
      <x:c r="E14" s="78" t="str">
        <x:v>High</x:v>
      </x:c>
      <x:c r="F14" s="78" t="str">
        <x:v>Jason</x:v>
      </x:c>
      <x:c r="G14" s="78" t="str">
        <x:v>Derive every release claim from merged repository evidence; explicitly state JSON-only CLI scope, five synthetic cases, MECH-003 prior exposure, harness-verification baseline limits, generated evidence behaviour, qualified-human review requirement, and deferred API/database, multimodal, agent, observability, deployment, governance-pack, and RL work.</x:v>
      </x:c>
      <x:c r="H14" s="78" t="str">
        <x:v>Closed</x:v>
      </x:c>
      <x:c r="I14" s="78" t="n">
        <x:v>46208</x:v>
      </x:c>
      <x:c r="J14" s="78" t="str">
        <x:v>Resolved by WBS 5.2. Release notes and limitations are derived from merged repository evidence, explicitly disclose MECH-003 prior exposure, limit baseline/demo claims to harness behaviour, state the qualified-human review boundary, and identify deferred capabilities.</x:v>
      </x:c>
    </x:row>
    <x:row r="15">
      <x:c r="A15" s="78" t="str">
        <x:v>R-010</x:v>
      </x:c>
      <x:c r="B15" s="78" t="str">
        <x:v>Risk</x:v>
      </x:c>
      <x:c r="C15" s="78" t="str">
        <x:v>The final v0.2.0 tag is created before a clean, reproducible acceptance run or does not match package metadata, documentation, generated result versions, and the merged main commit.</x:v>
      </x:c>
      <x:c r="D15" s="78" t="str">
        <x:v>Low</x:v>
      </x:c>
      <x:c r="E15" s="78" t="str">
        <x:v>High</x:v>
      </x:c>
      <x:c r="F15" s="78" t="str">
        <x:v>Jason</x:v>
      </x:c>
      <x:c r="G15" s="78" t="str">
        <x:v>Use a dedicated release/v0.2.0 branch; verify pyproject.toml, installed package metadata, persisted harness_version, release documents, five-case validation, 121 tests, baseline reproduction, portfolio demo, clean Git status, and exact main commit before creating and pushing an annotated v0.2.0 tag.</x:v>
      </x:c>
      <x:c r="H15" s="78" t="str">
        <x:v>Closed</x:v>
      </x:c>
      <x:c r="I15" s="78" t="n">
        <x:v>46208</x:v>
      </x:c>
      <x:c r="J15" s="78" t="str">
        <x:v>Resolved by WBS 5.3. A fresh Python 3.12.6 clone matched origin/main and the release branch, installed package version 0.2.0, validated five cases, passed 121 tests, reproduced baseline 9/9 and demo 2/2, verified eleven result versions and claim boundaries, remained clean, and was tagged only after acceptance. Remote peeled tag v0.2.0 resolves to accepted commit 45336a2.</x:v>
      </x:c>
    </x:row>
    <x:row r="16" ht="84" customHeight="1">
      <x:c r="A16" s="447" t="str">
        <x:v>R-011</x:v>
      </x:c>
      <x:c r="B16" s="447" t="str">
        <x:v>Risk</x:v>
      </x:c>
      <x:c r="C16" s="447" t="str">
        <x:v>GPT-5.6 or another long-horizon coding agent takes unauthorized, destructive, external, or scope-expanding actions while attempting to complete the project.</x:v>
      </x:c>
      <x:c r="D16" s="447" t="str">
        <x:v>Medium</x:v>
      </x:c>
      <x:c r="E16" s="447" t="str">
        <x:v>High</x:v>
      </x:c>
      <x:c r="F16" s="447" t="str">
        <x:v>Jason</x:v>
      </x:c>
      <x:c r="G16" s="447" t="str">
        <x:v>Use explicit permissions and protected-file lists; work in isolated branches/worktrees; prohibit autonomous merge; require approval before destructive/external actions; inspect diffs, commands, tests, and generated evidence.</x:v>
      </x:c>
      <x:c r="H16" s="447" t="str">
        <x:v>Open</x:v>
      </x:c>
      <x:c r="I16" s="445" t="n">
        <x:v>46223</x:v>
      </x:c>
      <x:c r="J16" s="447" t="str">
        <x:v>Stronger persistence improves throughput but raises the control burden.</x:v>
      </x:c>
    </x:row>
    <x:row r="17" ht="84" customHeight="1">
      <x:c r="A17" s="447" t="str">
        <x:v>R-012</x:v>
      </x:c>
      <x:c r="B17" s="447" t="str">
        <x:v>Risk</x:v>
      </x:c>
      <x:c r="C17" s="447" t="str">
        <x:v>Ambiguous source authority or identifier normalization creates convincing false positives, false negatives, or contradictory findings.</x:v>
      </x:c>
      <x:c r="D17" s="447" t="str">
        <x:v>High</x:v>
      </x:c>
      <x:c r="E17" s="447" t="str">
        <x:v>High</x:v>
      </x:c>
      <x:c r="F17" s="447" t="str">
        <x:v>Jason</x:v>
      </x:c>
      <x:c r="G17" s="447" t="str">
        <x:v>P0.1 freezes canonical IDs, authority declarations, normalization, conflict routing, and missing-authority states. P0.2 requires exact oracle matches, clean-package review, and fail-closed evidence before release.</x:v>
      </x:c>
      <x:c r="H17" s="447" t="str">
        <x:v>Open</x:v>
      </x:c>
      <x:c r="I17" s="445" t="n">
        <x:v>46218</x:v>
      </x:c>
      <x:c r="J17" s="447" t="str">
        <x:v>Risk reduced by D-033 and D-035; remains open until P1-P4 implementation and benchmark evidence validate the contracts.</x:v>
      </x:c>
    </x:row>
    <x:row r="18" ht="84" customHeight="1">
      <x:c r="A18" s="447" t="str">
        <x:v>R-013</x:v>
      </x:c>
      <x:c r="B18" s="447" t="str">
        <x:v>Risk</x:v>
      </x:c>
      <x:c r="C18" s="447" t="str">
        <x:v>Synthetic package fixtures overfit the evaluator and do not represent messy real engineering packages.</x:v>
      </x:c>
      <x:c r="D18" s="447" t="str">
        <x:v>Medium</x:v>
      </x:c>
      <x:c r="E18" s="447" t="str">
        <x:v>High</x:v>
      </x:c>
      <x:c r="F18" s="447" t="str">
        <x:v>Jason</x:v>
      </x:c>
      <x:c r="G18" s="447" t="str">
        <x:v>Use the P0.2 materially-distinct held-out protocol, freeze before rule tuning, protect expected assets, preserve first runs, replace contaminated held-out cases, and disclose the synthetic/self-authored boundary.</x:v>
      </x:c>
      <x:c r="H18" s="447" t="str">
        <x:v>Open</x:v>
      </x:c>
      <x:c r="I18" s="445" t="n">
        <x:v>46218</x:v>
      </x:c>
      <x:c r="J18" s="447" t="str">
        <x:v>P0.2 establishes measurable controls but cannot prove external industrial validity; keep the risk open through P4.</x:v>
      </x:c>
    </x:row>
    <x:row r="19" ht="84" customHeight="1">
      <x:c r="A19" s="447" t="str">
        <x:v>R-014</x:v>
      </x:c>
      <x:c r="B19" s="447" t="str">
        <x:v>Risk</x:v>
      </x:c>
      <x:c r="C19" s="447" t="str">
        <x:v>PDF/CAD extraction, redlining, APIs, databases, dashboards, agents, RAG, or RL enter v0.3.0 and delay the first useful workflow.</x:v>
      </x:c>
      <x:c r="D19" s="447" t="str">
        <x:v>High</x:v>
      </x:c>
      <x:c r="E19" s="447" t="str">
        <x:v>High</x:v>
      </x:c>
      <x:c r="F19" s="447" t="str">
        <x:v>Jason</x:v>
      </x:c>
      <x:c r="G19" s="447" t="str">
        <x:v>Keep v0.3.0 structured CSV/JSON only. P0.2 stop conditions prohibit deferred implementation, and P1 may begin only after user gate acceptance on its own capability branch.</x:v>
      </x:c>
      <x:c r="H19" s="447" t="str">
        <x:v>Open</x:v>
      </x:c>
      <x:c r="I19" s="445" t="n">
        <x:v>46218</x:v>
      </x:c>
      <x:c r="J19" s="447" t="str">
        <x:v>No deferred implementation entered P0.1 or P0.2. Scope risk remains open for subsequent build phases.</x:v>
      </x:c>
    </x:row>
    <x:row r="20" ht="84" customHeight="1">
      <x:c r="A20" s="447" t="str">
        <x:v>R-015</x:v>
      </x:c>
      <x:c r="B20" s="447" t="str">
        <x:v>Risk</x:v>
      </x:c>
      <x:c r="C20" s="447" t="str">
        <x:v>A weighted aggregate score conceals a release-critical revision, missing-document, or authority failure.</x:v>
      </x:c>
      <x:c r="D20" s="447" t="str">
        <x:v>Medium</x:v>
      </x:c>
      <x:c r="E20" s="447" t="str">
        <x:v>High</x:v>
      </x:c>
      <x:c r="F20" s="447" t="str">
        <x:v>Jason</x:v>
      </x:c>
      <x:c r="G20" s="447" t="str">
        <x:v>Use mandatory gates and hold findings; route explicit result states; show score only as secondary diagnostic information; require qualified-human approval.</x:v>
      </x:c>
      <x:c r="H20" s="447" t="str">
        <x:v>Open</x:v>
      </x:c>
      <x:c r="I20" s="445" t="n">
        <x:v>46234</x:v>
      </x:c>
      <x:c r="J20" s="447" t="str">
        <x:v>Release readiness is state- and evidence-driven, not score-driven.</x:v>
      </x:c>
    </x:row>
    <x:row r="21">
      <x:c r="A21" s="78"/>
      <x:c r="B21" s="78"/>
      <x:c r="C21" s="78"/>
      <x:c r="D21" s="78"/>
      <x:c r="E21" s="78"/>
      <x:c r="F21" s="78"/>
      <x:c r="G21" s="78"/>
      <x:c r="H21" s="78"/>
      <x:c r="I21" s="78"/>
      <x:c r="J21" s="78"/>
    </x:row>
    <x:row r="22">
      <x:c r="A22" s="78"/>
      <x:c r="B22" s="78"/>
      <x:c r="C22" s="78"/>
      <x:c r="D22" s="78"/>
      <x:c r="E22" s="78"/>
      <x:c r="F22" s="78"/>
      <x:c r="G22" s="78"/>
      <x:c r="H22" s="78"/>
      <x:c r="I22" s="78"/>
      <x:c r="J22" s="78"/>
    </x:row>
    <x:row r="23">
      <x:c r="A23" s="78"/>
      <x:c r="B23" s="78"/>
      <x:c r="C23" s="78"/>
      <x:c r="D23" s="78"/>
      <x:c r="E23" s="78"/>
      <x:c r="F23" s="78"/>
      <x:c r="G23" s="78"/>
      <x:c r="H23" s="78"/>
      <x:c r="I23" s="78"/>
      <x:c r="J23" s="78"/>
    </x:row>
    <x:row r="24">
      <x:c r="A24" s="78"/>
      <x:c r="B24" s="78"/>
      <x:c r="C24" s="78"/>
      <x:c r="D24" s="78"/>
      <x:c r="E24" s="78"/>
      <x:c r="F24" s="78"/>
      <x:c r="G24" s="78"/>
      <x:c r="H24" s="78"/>
      <x:c r="I24" s="78"/>
      <x:c r="J24" s="78"/>
    </x:row>
    <x:row r="25">
      <x:c r="A25" s="78"/>
      <x:c r="B25" s="78"/>
      <x:c r="C25" s="78"/>
      <x:c r="D25" s="78"/>
      <x:c r="E25" s="78"/>
      <x:c r="F25" s="78"/>
      <x:c r="G25" s="78"/>
      <x:c r="H25" s="78"/>
      <x:c r="I25" s="78"/>
      <x:c r="J25" s="78"/>
    </x:row>
    <x:row r="26">
      <x:c r="A26" s="78"/>
      <x:c r="B26" s="78"/>
      <x:c r="C26" s="78"/>
      <x:c r="D26" s="78"/>
      <x:c r="E26" s="78"/>
      <x:c r="F26" s="78"/>
      <x:c r="G26" s="78"/>
      <x:c r="H26" s="78"/>
      <x:c r="I26" s="78"/>
      <x:c r="J26" s="78"/>
    </x:row>
    <x:row r="27">
      <x:c r="A27" s="78"/>
      <x:c r="B27" s="78"/>
      <x:c r="C27" s="78"/>
      <x:c r="D27" s="78"/>
      <x:c r="E27" s="78"/>
      <x:c r="F27" s="78"/>
      <x:c r="G27" s="78"/>
      <x:c r="H27" s="78"/>
      <x:c r="I27" s="78"/>
      <x:c r="J27" s="78"/>
    </x:row>
    <x:row r="28">
      <x:c r="A28" s="78"/>
      <x:c r="B28" s="78"/>
      <x:c r="C28" s="78"/>
      <x:c r="D28" s="78"/>
      <x:c r="E28" s="78"/>
      <x:c r="F28" s="78"/>
      <x:c r="G28" s="78"/>
      <x:c r="H28" s="78"/>
      <x:c r="I28" s="78"/>
      <x:c r="J28" s="78"/>
    </x:row>
    <x:row r="29">
      <x:c r="A29" s="78"/>
      <x:c r="B29" s="78"/>
      <x:c r="C29" s="78"/>
      <x:c r="D29" s="78"/>
      <x:c r="E29" s="78"/>
      <x:c r="F29" s="78"/>
      <x:c r="G29" s="78"/>
      <x:c r="H29" s="78"/>
      <x:c r="I29" s="78"/>
      <x:c r="J29" s="78"/>
    </x:row>
    <x:row r="30">
      <x:c r="A30" s="78"/>
      <x:c r="B30" s="78"/>
      <x:c r="C30" s="78"/>
      <x:c r="D30" s="78"/>
      <x:c r="E30" s="78"/>
      <x:c r="F30" s="78"/>
      <x:c r="G30" s="78"/>
      <x:c r="H30" s="78"/>
      <x:c r="I30" s="78"/>
      <x:c r="J30" s="78"/>
    </x:row>
    <x:row r="31">
      <x:c r="A31" s="78"/>
      <x:c r="B31" s="78"/>
      <x:c r="C31" s="78"/>
      <x:c r="D31" s="78"/>
      <x:c r="E31" s="78"/>
      <x:c r="F31" s="78"/>
      <x:c r="G31" s="78"/>
      <x:c r="H31" s="78"/>
      <x:c r="I31" s="78"/>
      <x:c r="J31" s="78"/>
    </x:row>
    <x:row r="32">
      <x:c r="A32" s="78"/>
      <x:c r="B32" s="78"/>
      <x:c r="C32" s="78"/>
      <x:c r="D32" s="78"/>
      <x:c r="E32" s="78"/>
      <x:c r="F32" s="78"/>
      <x:c r="G32" s="78"/>
      <x:c r="H32" s="78"/>
      <x:c r="I32" s="78"/>
      <x:c r="J32" s="78"/>
    </x:row>
    <x:row r="33">
      <x:c r="A33" s="78"/>
      <x:c r="B33" s="78"/>
      <x:c r="C33" s="78"/>
      <x:c r="D33" s="78"/>
      <x:c r="E33" s="78"/>
      <x:c r="F33" s="78"/>
      <x:c r="G33" s="78"/>
      <x:c r="H33" s="78"/>
      <x:c r="I33" s="78"/>
      <x:c r="J33" s="78"/>
    </x:row>
    <x:row r="34">
      <x:c r="A34" s="78"/>
      <x:c r="B34" s="78"/>
      <x:c r="C34" s="78"/>
      <x:c r="D34" s="78"/>
      <x:c r="E34" s="78"/>
      <x:c r="F34" s="78"/>
      <x:c r="G34" s="78"/>
      <x:c r="H34" s="78"/>
      <x:c r="I34" s="78"/>
      <x:c r="J34" s="78"/>
    </x:row>
    <x:row r="35">
      <x:c r="A35" s="78"/>
      <x:c r="B35" s="78"/>
      <x:c r="C35" s="78"/>
      <x:c r="D35" s="78"/>
      <x:c r="E35" s="78"/>
      <x:c r="F35" s="78"/>
      <x:c r="G35" s="78"/>
      <x:c r="H35" s="78"/>
      <x:c r="I35" s="78"/>
      <x:c r="J35" s="78"/>
    </x:row>
    <x:row r="36">
      <x:c r="A36" s="78"/>
      <x:c r="B36" s="78"/>
      <x:c r="C36" s="78"/>
      <x:c r="D36" s="78"/>
      <x:c r="E36" s="78"/>
      <x:c r="F36" s="78"/>
      <x:c r="G36" s="78"/>
      <x:c r="H36" s="78"/>
      <x:c r="I36" s="78"/>
      <x:c r="J36" s="78"/>
    </x:row>
    <x:row r="37">
      <x:c r="A37" s="78"/>
      <x:c r="B37" s="78"/>
      <x:c r="C37" s="78"/>
      <x:c r="D37" s="78"/>
      <x:c r="E37" s="78"/>
      <x:c r="F37" s="78"/>
      <x:c r="G37" s="78"/>
      <x:c r="H37" s="78"/>
      <x:c r="I37" s="78"/>
      <x:c r="J37" s="78"/>
    </x:row>
    <x:row r="38">
      <x:c r="A38" s="78"/>
      <x:c r="B38" s="78"/>
      <x:c r="C38" s="78"/>
      <x:c r="D38" s="78"/>
      <x:c r="E38" s="78"/>
      <x:c r="F38" s="78"/>
      <x:c r="G38" s="78"/>
      <x:c r="H38" s="78"/>
      <x:c r="I38" s="78"/>
      <x:c r="J38" s="78"/>
    </x:row>
    <x:row r="39">
      <x:c r="A39" s="78"/>
      <x:c r="B39" s="78"/>
      <x:c r="C39" s="78"/>
      <x:c r="D39" s="78"/>
      <x:c r="E39" s="78"/>
      <x:c r="F39" s="78"/>
      <x:c r="G39" s="78"/>
      <x:c r="H39" s="78"/>
      <x:c r="I39" s="78"/>
      <x:c r="J39" s="78"/>
    </x:row>
    <x:row r="40">
      <x:c r="A40" s="78"/>
      <x:c r="B40" s="78"/>
      <x:c r="C40" s="78"/>
      <x:c r="D40" s="78"/>
      <x:c r="E40" s="78"/>
      <x:c r="F40" s="78"/>
      <x:c r="G40" s="78"/>
      <x:c r="H40" s="78"/>
      <x:c r="I40" s="78"/>
      <x:c r="J40" s="78"/>
    </x:row>
    <x:row r="41">
      <x:c r="A41" s="78"/>
      <x:c r="B41" s="78"/>
      <x:c r="C41" s="78"/>
      <x:c r="D41" s="78"/>
      <x:c r="E41" s="78"/>
      <x:c r="F41" s="78"/>
      <x:c r="G41" s="78"/>
      <x:c r="H41" s="78"/>
      <x:c r="I41" s="78"/>
      <x:c r="J41" s="78"/>
    </x:row>
    <x:row r="42">
      <x:c r="A42" s="78"/>
      <x:c r="B42" s="78"/>
      <x:c r="C42" s="78"/>
      <x:c r="D42" s="78"/>
      <x:c r="E42" s="78"/>
      <x:c r="F42" s="78"/>
      <x:c r="G42" s="78"/>
      <x:c r="H42" s="78"/>
      <x:c r="I42" s="78"/>
      <x:c r="J42" s="78"/>
    </x:row>
    <x:row r="43">
      <x:c r="A43" s="78"/>
      <x:c r="B43" s="78"/>
      <x:c r="C43" s="78"/>
      <x:c r="D43" s="78"/>
      <x:c r="E43" s="78"/>
      <x:c r="F43" s="78"/>
      <x:c r="G43" s="78"/>
      <x:c r="H43" s="78"/>
      <x:c r="I43" s="78"/>
      <x:c r="J43" s="78"/>
    </x:row>
    <x:row r="44">
      <x:c r="A44" s="78"/>
      <x:c r="B44" s="78"/>
      <x:c r="C44" s="78"/>
      <x:c r="D44" s="78"/>
      <x:c r="E44" s="78"/>
      <x:c r="F44" s="78"/>
      <x:c r="G44" s="78"/>
      <x:c r="H44" s="78"/>
      <x:c r="I44" s="78"/>
      <x:c r="J44" s="78"/>
    </x:row>
    <x:row r="45">
      <x:c r="A45" s="78"/>
      <x:c r="B45" s="78"/>
      <x:c r="C45" s="78"/>
      <x:c r="D45" s="78"/>
      <x:c r="E45" s="78"/>
      <x:c r="F45" s="78"/>
      <x:c r="G45" s="78"/>
      <x:c r="H45" s="78"/>
      <x:c r="I45" s="78"/>
      <x:c r="J45" s="78"/>
    </x:row>
    <x:row r="46">
      <x:c r="A46" s="78"/>
      <x:c r="B46" s="78"/>
      <x:c r="C46" s="78"/>
      <x:c r="D46" s="78"/>
      <x:c r="E46" s="78"/>
      <x:c r="F46" s="78"/>
      <x:c r="G46" s="78"/>
      <x:c r="H46" s="78"/>
      <x:c r="I46" s="78"/>
      <x:c r="J46" s="78"/>
    </x:row>
    <x:row r="47">
      <x:c r="A47" s="78"/>
      <x:c r="B47" s="78"/>
      <x:c r="C47" s="78"/>
      <x:c r="D47" s="78"/>
      <x:c r="E47" s="78"/>
      <x:c r="F47" s="78"/>
      <x:c r="G47" s="78"/>
      <x:c r="H47" s="78"/>
      <x:c r="I47" s="78"/>
      <x:c r="J47" s="78"/>
    </x:row>
    <x:row r="48">
      <x:c r="A48" s="78"/>
      <x:c r="B48" s="78"/>
      <x:c r="C48" s="78"/>
      <x:c r="D48" s="78"/>
      <x:c r="E48" s="78"/>
      <x:c r="F48" s="78"/>
      <x:c r="G48" s="78"/>
      <x:c r="H48" s="78"/>
      <x:c r="I48" s="78"/>
      <x:c r="J48" s="78"/>
    </x:row>
    <x:row r="49">
      <x:c r="A49" s="78"/>
      <x:c r="B49" s="78"/>
      <x:c r="C49" s="78"/>
      <x:c r="D49" s="78"/>
      <x:c r="E49" s="78"/>
      <x:c r="F49" s="78"/>
      <x:c r="G49" s="78"/>
      <x:c r="H49" s="78"/>
      <x:c r="I49" s="78"/>
      <x:c r="J49" s="78"/>
    </x:row>
    <x:row r="50">
      <x:c r="A50" s="78"/>
      <x:c r="B50" s="78"/>
      <x:c r="C50" s="78"/>
      <x:c r="D50" s="78"/>
      <x:c r="E50" s="78"/>
      <x:c r="F50" s="78"/>
      <x:c r="G50" s="78"/>
      <x:c r="H50" s="78"/>
      <x:c r="I50" s="78"/>
      <x:c r="J50" s="78"/>
    </x:row>
    <x:row r="51">
      <x:c r="A51" s="78"/>
      <x:c r="B51" s="78"/>
      <x:c r="C51" s="78"/>
      <x:c r="D51" s="78"/>
      <x:c r="E51" s="78"/>
      <x:c r="F51" s="78"/>
      <x:c r="G51" s="78"/>
      <x:c r="H51" s="78"/>
      <x:c r="I51" s="78"/>
      <x:c r="J51" s="78"/>
    </x:row>
    <x:row r="52">
      <x:c r="A52" s="78"/>
      <x:c r="B52" s="78"/>
      <x:c r="C52" s="78"/>
      <x:c r="D52" s="78"/>
      <x:c r="E52" s="78"/>
      <x:c r="F52" s="78"/>
      <x:c r="G52" s="78"/>
      <x:c r="H52" s="78"/>
      <x:c r="I52" s="78"/>
      <x:c r="J52" s="78"/>
    </x:row>
    <x:row r="53">
      <x:c r="A53" s="78"/>
      <x:c r="B53" s="78"/>
      <x:c r="C53" s="78"/>
      <x:c r="D53" s="78"/>
      <x:c r="E53" s="78"/>
      <x:c r="F53" s="78"/>
      <x:c r="G53" s="78"/>
      <x:c r="H53" s="78"/>
      <x:c r="I53" s="78"/>
      <x:c r="J53" s="78"/>
    </x:row>
    <x:row r="54">
      <x:c r="A54" s="78"/>
      <x:c r="B54" s="78"/>
      <x:c r="C54" s="78"/>
      <x:c r="D54" s="78"/>
      <x:c r="E54" s="78"/>
      <x:c r="F54" s="78"/>
      <x:c r="G54" s="78"/>
      <x:c r="H54" s="78"/>
      <x:c r="I54" s="78"/>
      <x:c r="J54" s="78"/>
    </x:row>
    <x:row r="55">
      <x:c r="A55" s="78"/>
      <x:c r="B55" s="78"/>
      <x:c r="C55" s="78"/>
      <x:c r="D55" s="78"/>
      <x:c r="E55" s="78"/>
      <x:c r="F55" s="78"/>
      <x:c r="G55" s="78"/>
      <x:c r="H55" s="78"/>
      <x:c r="I55" s="78"/>
      <x:c r="J55" s="78"/>
    </x:row>
    <x:row r="56">
      <x:c r="A56" s="78"/>
      <x:c r="B56" s="78"/>
      <x:c r="C56" s="78"/>
      <x:c r="D56" s="78"/>
      <x:c r="E56" s="78"/>
      <x:c r="F56" s="78"/>
      <x:c r="G56" s="78"/>
      <x:c r="H56" s="78"/>
      <x:c r="I56" s="78"/>
      <x:c r="J56" s="78"/>
    </x:row>
    <x:row r="57">
      <x:c r="A57" s="78"/>
      <x:c r="B57" s="78"/>
      <x:c r="C57" s="78"/>
      <x:c r="D57" s="78"/>
      <x:c r="E57" s="78"/>
      <x:c r="F57" s="78"/>
      <x:c r="G57" s="78"/>
      <x:c r="H57" s="78"/>
      <x:c r="I57" s="78"/>
      <x:c r="J57" s="78"/>
    </x:row>
    <x:row r="58">
      <x:c r="A58" s="78"/>
      <x:c r="B58" s="78"/>
      <x:c r="C58" s="78"/>
      <x:c r="D58" s="78"/>
      <x:c r="E58" s="78"/>
      <x:c r="F58" s="78"/>
      <x:c r="G58" s="78"/>
      <x:c r="H58" s="78"/>
      <x:c r="I58" s="78"/>
      <x:c r="J58" s="78"/>
    </x:row>
    <x:row r="59">
      <x:c r="A59" s="78"/>
      <x:c r="B59" s="78"/>
      <x:c r="C59" s="78"/>
      <x:c r="D59" s="78"/>
      <x:c r="E59" s="78"/>
      <x:c r="F59" s="78"/>
      <x:c r="G59" s="78"/>
      <x:c r="H59" s="78"/>
      <x:c r="I59" s="78"/>
      <x:c r="J59" s="78"/>
    </x:row>
    <x:row r="60">
      <x:c r="A60" s="78"/>
      <x:c r="B60" s="78"/>
      <x:c r="C60" s="78"/>
      <x:c r="D60" s="78"/>
      <x:c r="E60" s="78"/>
      <x:c r="F60" s="78"/>
      <x:c r="G60" s="78"/>
      <x:c r="H60" s="78"/>
      <x:c r="I60" s="78"/>
      <x:c r="J60" s="78"/>
    </x:row>
    <x:row r="61">
      <x:c r="A61" s="78"/>
      <x:c r="B61" s="78"/>
      <x:c r="C61" s="78"/>
      <x:c r="D61" s="78"/>
      <x:c r="E61" s="78"/>
      <x:c r="F61" s="78"/>
      <x:c r="G61" s="78"/>
      <x:c r="H61" s="78"/>
      <x:c r="I61" s="78"/>
      <x:c r="J61" s="78"/>
    </x:row>
    <x:row r="62">
      <x:c r="A62" s="78"/>
      <x:c r="B62" s="78"/>
      <x:c r="C62" s="78"/>
      <x:c r="D62" s="78"/>
      <x:c r="E62" s="78"/>
      <x:c r="F62" s="78"/>
      <x:c r="G62" s="78"/>
      <x:c r="H62" s="78"/>
      <x:c r="I62" s="78"/>
      <x:c r="J62" s="78"/>
    </x:row>
    <x:row r="63">
      <x:c r="A63" s="78"/>
      <x:c r="B63" s="78"/>
      <x:c r="C63" s="78"/>
      <x:c r="D63" s="78"/>
      <x:c r="E63" s="78"/>
      <x:c r="F63" s="78"/>
      <x:c r="G63" s="78"/>
      <x:c r="H63" s="78"/>
      <x:c r="I63" s="78"/>
      <x:c r="J63" s="78"/>
    </x:row>
    <x:row r="64">
      <x:c r="A64" s="78"/>
      <x:c r="B64" s="78"/>
      <x:c r="C64" s="78"/>
      <x:c r="D64" s="78"/>
      <x:c r="E64" s="78"/>
      <x:c r="F64" s="78"/>
      <x:c r="G64" s="78"/>
      <x:c r="H64" s="78"/>
      <x:c r="I64" s="78"/>
      <x:c r="J64" s="78"/>
    </x:row>
    <x:row r="65">
      <x:c r="A65" s="78"/>
      <x:c r="B65" s="78"/>
      <x:c r="C65" s="78"/>
      <x:c r="D65" s="78"/>
      <x:c r="E65" s="78"/>
      <x:c r="F65" s="78"/>
      <x:c r="G65" s="78"/>
      <x:c r="H65" s="78"/>
      <x:c r="I65" s="78"/>
      <x:c r="J65" s="78"/>
    </x:row>
    <x:row r="66">
      <x:c r="A66" s="78"/>
      <x:c r="B66" s="78"/>
      <x:c r="C66" s="78"/>
      <x:c r="D66" s="78"/>
      <x:c r="E66" s="78"/>
      <x:c r="F66" s="78"/>
      <x:c r="G66" s="78"/>
      <x:c r="H66" s="78"/>
      <x:c r="I66" s="78"/>
      <x:c r="J66" s="78"/>
    </x:row>
    <x:row r="67">
      <x:c r="A67" s="78"/>
      <x:c r="B67" s="78"/>
      <x:c r="C67" s="78"/>
      <x:c r="D67" s="78"/>
      <x:c r="E67" s="78"/>
      <x:c r="F67" s="78"/>
      <x:c r="G67" s="78"/>
      <x:c r="H67" s="78"/>
      <x:c r="I67" s="78"/>
      <x:c r="J67" s="78"/>
    </x:row>
    <x:row r="68">
      <x:c r="A68" s="78"/>
      <x:c r="B68" s="78"/>
      <x:c r="C68" s="78"/>
      <x:c r="D68" s="78"/>
      <x:c r="E68" s="78"/>
      <x:c r="F68" s="78"/>
      <x:c r="G68" s="78"/>
      <x:c r="H68" s="78"/>
      <x:c r="I68" s="78"/>
      <x:c r="J68" s="78"/>
    </x:row>
    <x:row r="69">
      <x:c r="A69" s="78"/>
      <x:c r="B69" s="78"/>
      <x:c r="C69" s="78"/>
      <x:c r="D69" s="78"/>
      <x:c r="E69" s="78"/>
      <x:c r="F69" s="78"/>
      <x:c r="G69" s="78"/>
      <x:c r="H69" s="78"/>
      <x:c r="I69" s="78"/>
      <x:c r="J69" s="78"/>
    </x:row>
    <x:row r="70">
      <x:c r="A70" s="78"/>
      <x:c r="B70" s="78"/>
      <x:c r="C70" s="78"/>
      <x:c r="D70" s="78"/>
      <x:c r="E70" s="78"/>
      <x:c r="F70" s="78"/>
      <x:c r="G70" s="78"/>
      <x:c r="H70" s="78"/>
      <x:c r="I70" s="78"/>
      <x:c r="J70" s="78"/>
    </x:row>
    <x:row r="71">
      <x:c r="A71" s="78"/>
      <x:c r="B71" s="78"/>
      <x:c r="C71" s="78"/>
      <x:c r="D71" s="78"/>
      <x:c r="E71" s="78"/>
      <x:c r="F71" s="78"/>
      <x:c r="G71" s="78"/>
      <x:c r="H71" s="78"/>
      <x:c r="I71" s="78"/>
      <x:c r="J71" s="78"/>
    </x:row>
    <x:row r="72">
      <x:c r="A72" s="78"/>
      <x:c r="B72" s="78"/>
      <x:c r="C72" s="78"/>
      <x:c r="D72" s="78"/>
      <x:c r="E72" s="78"/>
      <x:c r="F72" s="78"/>
      <x:c r="G72" s="78"/>
      <x:c r="H72" s="78"/>
      <x:c r="I72" s="78"/>
      <x:c r="J72" s="78"/>
    </x:row>
    <x:row r="73">
      <x:c r="A73" s="78"/>
      <x:c r="B73" s="78"/>
      <x:c r="C73" s="78"/>
      <x:c r="D73" s="78"/>
      <x:c r="E73" s="78"/>
      <x:c r="F73" s="78"/>
      <x:c r="G73" s="78"/>
      <x:c r="H73" s="78"/>
      <x:c r="I73" s="78"/>
      <x:c r="J73" s="78"/>
    </x:row>
    <x:row r="74">
      <x:c r="A74" s="78"/>
      <x:c r="B74" s="78"/>
      <x:c r="C74" s="78"/>
      <x:c r="D74" s="78"/>
      <x:c r="E74" s="78"/>
      <x:c r="F74" s="78"/>
      <x:c r="G74" s="78"/>
      <x:c r="H74" s="78"/>
      <x:c r="I74" s="78"/>
      <x:c r="J74" s="78"/>
    </x:row>
    <x:row r="75">
      <x:c r="A75" s="78"/>
      <x:c r="B75" s="78"/>
      <x:c r="C75" s="78"/>
      <x:c r="D75" s="78"/>
      <x:c r="E75" s="78"/>
      <x:c r="F75" s="78"/>
      <x:c r="G75" s="78"/>
      <x:c r="H75" s="78"/>
      <x:c r="I75" s="78"/>
      <x:c r="J75" s="78"/>
    </x:row>
    <x:row r="76">
      <x:c r="A76" s="78"/>
      <x:c r="B76" s="78"/>
      <x:c r="C76" s="78"/>
      <x:c r="D76" s="78"/>
      <x:c r="E76" s="78"/>
      <x:c r="F76" s="78"/>
      <x:c r="G76" s="78"/>
      <x:c r="H76" s="78"/>
      <x:c r="I76" s="78"/>
      <x:c r="J76" s="78"/>
    </x:row>
    <x:row r="77">
      <x:c r="A77" s="78"/>
      <x:c r="B77" s="78"/>
      <x:c r="C77" s="78"/>
      <x:c r="D77" s="78"/>
      <x:c r="E77" s="78"/>
      <x:c r="F77" s="78"/>
      <x:c r="G77" s="78"/>
      <x:c r="H77" s="78"/>
      <x:c r="I77" s="78"/>
      <x:c r="J77" s="78"/>
    </x:row>
    <x:row r="78">
      <x:c r="A78" s="78"/>
      <x:c r="B78" s="78"/>
      <x:c r="C78" s="78"/>
      <x:c r="D78" s="78"/>
      <x:c r="E78" s="78"/>
      <x:c r="F78" s="78"/>
      <x:c r="G78" s="78"/>
      <x:c r="H78" s="78"/>
      <x:c r="I78" s="78"/>
      <x:c r="J78" s="78"/>
    </x:row>
    <x:row r="79">
      <x:c r="A79" s="78"/>
      <x:c r="B79" s="78"/>
      <x:c r="C79" s="78"/>
      <x:c r="D79" s="78"/>
      <x:c r="E79" s="78"/>
      <x:c r="F79" s="78"/>
      <x:c r="G79" s="78"/>
      <x:c r="H79" s="78"/>
      <x:c r="I79" s="78"/>
      <x:c r="J79" s="78"/>
    </x:row>
    <x:row r="80">
      <x:c r="A80" s="78"/>
      <x:c r="B80" s="78"/>
      <x:c r="C80" s="78"/>
      <x:c r="D80" s="78"/>
      <x:c r="E80" s="78"/>
      <x:c r="F80" s="78"/>
      <x:c r="G80" s="78"/>
      <x:c r="H80" s="78"/>
      <x:c r="I80" s="78"/>
      <x:c r="J80" s="78"/>
    </x:row>
    <x:row r="81">
      <x:c r="A81" s="78"/>
      <x:c r="B81" s="78"/>
      <x:c r="C81" s="78"/>
      <x:c r="D81" s="78"/>
      <x:c r="E81" s="78"/>
      <x:c r="F81" s="78"/>
      <x:c r="G81" s="78"/>
      <x:c r="H81" s="78"/>
      <x:c r="I81" s="78"/>
      <x:c r="J81" s="78"/>
    </x:row>
    <x:row r="82">
      <x:c r="A82" s="78"/>
      <x:c r="B82" s="78"/>
      <x:c r="C82" s="78"/>
      <x:c r="D82" s="78"/>
      <x:c r="E82" s="78"/>
      <x:c r="F82" s="78"/>
      <x:c r="G82" s="78"/>
      <x:c r="H82" s="78"/>
      <x:c r="I82" s="78"/>
      <x:c r="J82" s="78"/>
    </x:row>
    <x:row r="83">
      <x:c r="A83" s="78"/>
      <x:c r="B83" s="78"/>
      <x:c r="C83" s="78"/>
      <x:c r="D83" s="78"/>
      <x:c r="E83" s="78"/>
      <x:c r="F83" s="78"/>
      <x:c r="G83" s="78"/>
      <x:c r="H83" s="78"/>
      <x:c r="I83" s="78"/>
      <x:c r="J83" s="78"/>
    </x:row>
    <x:row r="84">
      <x:c r="A84" s="78"/>
      <x:c r="B84" s="78"/>
      <x:c r="C84" s="78"/>
      <x:c r="D84" s="78"/>
      <x:c r="E84" s="78"/>
      <x:c r="F84" s="78"/>
      <x:c r="G84" s="78"/>
      <x:c r="H84" s="78"/>
      <x:c r="I84" s="78"/>
      <x:c r="J84" s="78"/>
    </x:row>
    <x:row r="85">
      <x:c r="A85" s="78"/>
      <x:c r="B85" s="78"/>
      <x:c r="C85" s="78"/>
      <x:c r="D85" s="78"/>
      <x:c r="E85" s="78"/>
      <x:c r="F85" s="78"/>
      <x:c r="G85" s="78"/>
      <x:c r="H85" s="78"/>
      <x:c r="I85" s="78"/>
      <x:c r="J85" s="78"/>
    </x:row>
    <x:row r="86">
      <x:c r="A86" s="78"/>
      <x:c r="B86" s="78"/>
      <x:c r="C86" s="78"/>
      <x:c r="D86" s="78"/>
      <x:c r="E86" s="78"/>
      <x:c r="F86" s="78"/>
      <x:c r="G86" s="78"/>
      <x:c r="H86" s="78"/>
      <x:c r="I86" s="78"/>
      <x:c r="J86" s="78"/>
    </x:row>
    <x:row r="87">
      <x:c r="A87" s="78"/>
      <x:c r="B87" s="78"/>
      <x:c r="C87" s="78"/>
      <x:c r="D87" s="78"/>
      <x:c r="E87" s="78"/>
      <x:c r="F87" s="78"/>
      <x:c r="G87" s="78"/>
      <x:c r="H87" s="78"/>
      <x:c r="I87" s="78"/>
      <x:c r="J87" s="78"/>
    </x:row>
    <x:row r="88">
      <x:c r="A88" s="78"/>
      <x:c r="B88" s="78"/>
      <x:c r="C88" s="78"/>
      <x:c r="D88" s="78"/>
      <x:c r="E88" s="78"/>
      <x:c r="F88" s="78"/>
      <x:c r="G88" s="78"/>
      <x:c r="H88" s="78"/>
      <x:c r="I88" s="78"/>
      <x:c r="J88" s="78"/>
    </x:row>
    <x:row r="89">
      <x:c r="A89" s="78"/>
      <x:c r="B89" s="78"/>
      <x:c r="C89" s="78"/>
      <x:c r="D89" s="78"/>
      <x:c r="E89" s="78"/>
      <x:c r="F89" s="78"/>
      <x:c r="G89" s="78"/>
      <x:c r="H89" s="78"/>
      <x:c r="I89" s="78"/>
      <x:c r="J89" s="78"/>
    </x:row>
    <x:row r="90">
      <x:c r="A90" s="78"/>
      <x:c r="B90" s="78"/>
      <x:c r="C90" s="78"/>
      <x:c r="D90" s="78"/>
      <x:c r="E90" s="78"/>
      <x:c r="F90" s="78"/>
      <x:c r="G90" s="78"/>
      <x:c r="H90" s="78"/>
      <x:c r="I90" s="78"/>
      <x:c r="J90" s="78"/>
    </x:row>
    <x:row r="91">
      <x:c r="A91" s="78"/>
      <x:c r="B91" s="78"/>
      <x:c r="C91" s="78"/>
      <x:c r="D91" s="78"/>
      <x:c r="E91" s="78"/>
      <x:c r="F91" s="78"/>
      <x:c r="G91" s="78"/>
      <x:c r="H91" s="78"/>
      <x:c r="I91" s="78"/>
      <x:c r="J91" s="78"/>
    </x:row>
    <x:row r="92">
      <x:c r="A92" s="78"/>
      <x:c r="B92" s="78"/>
      <x:c r="C92" s="78"/>
      <x:c r="D92" s="78"/>
      <x:c r="E92" s="78"/>
      <x:c r="F92" s="78"/>
      <x:c r="G92" s="78"/>
      <x:c r="H92" s="78"/>
      <x:c r="I92" s="78"/>
      <x:c r="J92" s="78"/>
    </x:row>
    <x:row r="93">
      <x:c r="A93" s="78"/>
      <x:c r="B93" s="78"/>
      <x:c r="C93" s="78"/>
      <x:c r="D93" s="78"/>
      <x:c r="E93" s="78"/>
      <x:c r="F93" s="78"/>
      <x:c r="G93" s="78"/>
      <x:c r="H93" s="78"/>
      <x:c r="I93" s="78"/>
      <x:c r="J93" s="78"/>
    </x:row>
    <x:row r="94">
      <x:c r="A94" s="78"/>
      <x:c r="B94" s="78"/>
      <x:c r="C94" s="78"/>
      <x:c r="D94" s="78"/>
      <x:c r="E94" s="78"/>
      <x:c r="F94" s="78"/>
      <x:c r="G94" s="78"/>
      <x:c r="H94" s="78"/>
      <x:c r="I94" s="78"/>
      <x:c r="J94" s="78"/>
    </x:row>
    <x:row r="95">
      <x:c r="A95" s="78"/>
      <x:c r="B95" s="78"/>
      <x:c r="C95" s="78"/>
      <x:c r="D95" s="78"/>
      <x:c r="E95" s="78"/>
      <x:c r="F95" s="78"/>
      <x:c r="G95" s="78"/>
      <x:c r="H95" s="78"/>
      <x:c r="I95" s="78"/>
      <x:c r="J95" s="78"/>
    </x:row>
    <x:row r="96">
      <x:c r="A96" s="78"/>
      <x:c r="B96" s="78"/>
      <x:c r="C96" s="78"/>
      <x:c r="D96" s="78"/>
      <x:c r="E96" s="78"/>
      <x:c r="F96" s="78"/>
      <x:c r="G96" s="78"/>
      <x:c r="H96" s="78"/>
      <x:c r="I96" s="78"/>
      <x:c r="J96" s="78"/>
    </x:row>
    <x:row r="97">
      <x:c r="A97" s="78"/>
      <x:c r="B97" s="78"/>
      <x:c r="C97" s="78"/>
      <x:c r="D97" s="78"/>
      <x:c r="E97" s="78"/>
      <x:c r="F97" s="78"/>
      <x:c r="G97" s="78"/>
      <x:c r="H97" s="78"/>
      <x:c r="I97" s="78"/>
      <x:c r="J97" s="78"/>
    </x:row>
    <x:row r="98">
      <x:c r="A98" s="78"/>
      <x:c r="B98" s="78"/>
      <x:c r="C98" s="78"/>
      <x:c r="D98" s="78"/>
      <x:c r="E98" s="78"/>
      <x:c r="F98" s="78"/>
      <x:c r="G98" s="78"/>
      <x:c r="H98" s="78"/>
      <x:c r="I98" s="78"/>
      <x:c r="J98" s="78"/>
    </x:row>
    <x:row r="99">
      <x:c r="A99" s="78"/>
      <x:c r="B99" s="78"/>
      <x:c r="C99" s="78"/>
      <x:c r="D99" s="78"/>
      <x:c r="E99" s="78"/>
      <x:c r="F99" s="78"/>
      <x:c r="G99" s="78"/>
      <x:c r="H99" s="78"/>
      <x:c r="I99" s="78"/>
      <x:c r="J99" s="78"/>
    </x:row>
    <x:row r="100">
      <x:c r="A100" s="78"/>
      <x:c r="B100" s="78"/>
      <x:c r="C100" s="78"/>
      <x:c r="D100" s="78"/>
      <x:c r="E100" s="78"/>
      <x:c r="F100" s="78"/>
      <x:c r="G100" s="78"/>
      <x:c r="H100" s="78"/>
      <x:c r="I100" s="78"/>
      <x:c r="J100" s="78"/>
    </x:row>
    <x:row r="101">
      <x:c r="A101" s="78"/>
      <x:c r="B101" s="78"/>
      <x:c r="C101" s="78"/>
      <x:c r="D101" s="78"/>
      <x:c r="E101" s="78"/>
      <x:c r="F101" s="78"/>
      <x:c r="G101" s="78"/>
      <x:c r="H101" s="78"/>
      <x:c r="I101" s="78"/>
      <x:c r="J101" s="78"/>
    </x:row>
    <x:row r="102">
      <x:c r="A102" s="78"/>
      <x:c r="B102" s="78"/>
      <x:c r="C102" s="78"/>
      <x:c r="D102" s="78"/>
      <x:c r="E102" s="78"/>
      <x:c r="F102" s="78"/>
      <x:c r="G102" s="78"/>
      <x:c r="H102" s="78"/>
      <x:c r="I102" s="78"/>
      <x:c r="J102" s="78"/>
    </x:row>
    <x:row r="103">
      <x:c r="A103" s="78"/>
      <x:c r="B103" s="78"/>
      <x:c r="C103" s="78"/>
      <x:c r="D103" s="78"/>
      <x:c r="E103" s="78"/>
      <x:c r="F103" s="78"/>
      <x:c r="G103" s="78"/>
      <x:c r="H103" s="78"/>
      <x:c r="I103" s="78"/>
      <x:c r="J103" s="78"/>
    </x:row>
    <x:row r="104">
      <x:c r="A104" s="78"/>
      <x:c r="B104" s="78"/>
      <x:c r="C104" s="78"/>
      <x:c r="D104" s="78"/>
      <x:c r="E104" s="78"/>
      <x:c r="F104" s="78"/>
      <x:c r="G104" s="78"/>
      <x:c r="H104" s="78"/>
      <x:c r="I104" s="78"/>
      <x:c r="J104" s="78"/>
    </x:row>
    <x:row r="105">
      <x:c r="A105" s="78"/>
      <x:c r="B105" s="78"/>
      <x:c r="C105" s="78"/>
      <x:c r="D105" s="78"/>
      <x:c r="E105" s="78"/>
      <x:c r="F105" s="78"/>
      <x:c r="G105" s="78"/>
      <x:c r="H105" s="78"/>
      <x:c r="I105" s="78"/>
      <x:c r="J105" s="78"/>
    </x:row>
    <x:row r="106">
      <x:c r="A106" s="78"/>
      <x:c r="B106" s="78"/>
      <x:c r="C106" s="78"/>
      <x:c r="D106" s="78"/>
      <x:c r="E106" s="78"/>
      <x:c r="F106" s="78"/>
      <x:c r="G106" s="78"/>
      <x:c r="H106" s="78"/>
      <x:c r="I106" s="78"/>
      <x:c r="J106" s="78"/>
    </x:row>
    <x:row r="107">
      <x:c r="A107" s="78"/>
      <x:c r="B107" s="78"/>
      <x:c r="C107" s="78"/>
      <x:c r="D107" s="78"/>
      <x:c r="E107" s="78"/>
      <x:c r="F107" s="78"/>
      <x:c r="G107" s="78"/>
      <x:c r="H107" s="78"/>
      <x:c r="I107" s="78"/>
      <x:c r="J107" s="78"/>
    </x:row>
    <x:row r="108">
      <x:c r="A108" s="78"/>
      <x:c r="B108" s="78"/>
      <x:c r="C108" s="78"/>
      <x:c r="D108" s="78"/>
      <x:c r="E108" s="78"/>
      <x:c r="F108" s="78"/>
      <x:c r="G108" s="78"/>
      <x:c r="H108" s="78"/>
      <x:c r="I108" s="78"/>
      <x:c r="J108" s="78"/>
    </x:row>
    <x:row r="109">
      <x:c r="A109" s="78"/>
      <x:c r="B109" s="78"/>
      <x:c r="C109" s="78"/>
      <x:c r="D109" s="78"/>
      <x:c r="E109" s="78"/>
      <x:c r="F109" s="78"/>
      <x:c r="G109" s="78"/>
      <x:c r="H109" s="78"/>
      <x:c r="I109" s="78"/>
      <x:c r="J109" s="78"/>
    </x:row>
    <x:row r="110">
      <x:c r="A110" s="78"/>
      <x:c r="B110" s="78"/>
      <x:c r="C110" s="78"/>
      <x:c r="D110" s="78"/>
      <x:c r="E110" s="78"/>
      <x:c r="F110" s="78"/>
      <x:c r="G110" s="78"/>
      <x:c r="H110" s="78"/>
      <x:c r="I110" s="78"/>
      <x:c r="J110" s="78"/>
    </x:row>
    <x:row r="111">
      <x:c r="A111" s="78"/>
      <x:c r="B111" s="78"/>
      <x:c r="C111" s="78"/>
      <x:c r="D111" s="78"/>
      <x:c r="E111" s="78"/>
      <x:c r="F111" s="78"/>
      <x:c r="G111" s="78"/>
      <x:c r="H111" s="78"/>
      <x:c r="I111" s="78"/>
      <x:c r="J111" s="78"/>
    </x:row>
    <x:row r="112">
      <x:c r="A112" s="78"/>
      <x:c r="B112" s="78"/>
      <x:c r="C112" s="78"/>
      <x:c r="D112" s="78"/>
      <x:c r="E112" s="78"/>
      <x:c r="F112" s="78"/>
      <x:c r="G112" s="78"/>
      <x:c r="H112" s="78"/>
      <x:c r="I112" s="78"/>
      <x:c r="J112" s="78"/>
    </x:row>
    <x:row r="113">
      <x:c r="A113" s="78"/>
      <x:c r="B113" s="78"/>
      <x:c r="C113" s="78"/>
      <x:c r="D113" s="78"/>
      <x:c r="E113" s="78"/>
      <x:c r="F113" s="78"/>
      <x:c r="G113" s="78"/>
      <x:c r="H113" s="78"/>
      <x:c r="I113" s="78"/>
      <x:c r="J113" s="78"/>
    </x:row>
    <x:row r="114">
      <x:c r="A114" s="78"/>
      <x:c r="B114" s="78"/>
      <x:c r="C114" s="78"/>
      <x:c r="D114" s="78"/>
      <x:c r="E114" s="78"/>
      <x:c r="F114" s="78"/>
      <x:c r="G114" s="78"/>
      <x:c r="H114" s="78"/>
      <x:c r="I114" s="78"/>
      <x:c r="J114" s="78"/>
    </x:row>
    <x:row r="115">
      <x:c r="A115" s="78"/>
      <x:c r="B115" s="78"/>
      <x:c r="C115" s="78"/>
      <x:c r="D115" s="78"/>
      <x:c r="E115" s="78"/>
      <x:c r="F115" s="78"/>
      <x:c r="G115" s="78"/>
      <x:c r="H115" s="78"/>
      <x:c r="I115" s="78"/>
      <x:c r="J115" s="78"/>
    </x:row>
    <x:row r="116">
      <x:c r="A116" s="78"/>
      <x:c r="B116" s="78"/>
      <x:c r="C116" s="78"/>
      <x:c r="D116" s="78"/>
      <x:c r="E116" s="78"/>
      <x:c r="F116" s="78"/>
      <x:c r="G116" s="78"/>
      <x:c r="H116" s="78"/>
      <x:c r="I116" s="78"/>
      <x:c r="J116" s="78"/>
    </x:row>
    <x:row r="117">
      <x:c r="A117" s="78"/>
      <x:c r="B117" s="78"/>
      <x:c r="C117" s="78"/>
      <x:c r="D117" s="78"/>
      <x:c r="E117" s="78"/>
      <x:c r="F117" s="78"/>
      <x:c r="G117" s="78"/>
      <x:c r="H117" s="78"/>
      <x:c r="I117" s="78"/>
      <x:c r="J117" s="78"/>
    </x:row>
    <x:row r="118">
      <x:c r="A118" s="78"/>
      <x:c r="B118" s="78"/>
      <x:c r="C118" s="78"/>
      <x:c r="D118" s="78"/>
      <x:c r="E118" s="78"/>
      <x:c r="F118" s="78"/>
      <x:c r="G118" s="78"/>
      <x:c r="H118" s="78"/>
      <x:c r="I118" s="78"/>
      <x:c r="J118" s="78"/>
    </x:row>
    <x:row r="119">
      <x:c r="A119" s="78"/>
      <x:c r="B119" s="78"/>
      <x:c r="C119" s="78"/>
      <x:c r="D119" s="78"/>
      <x:c r="E119" s="78"/>
      <x:c r="F119" s="78"/>
      <x:c r="G119" s="78"/>
      <x:c r="H119" s="78"/>
      <x:c r="I119" s="78"/>
      <x:c r="J119" s="78"/>
    </x:row>
    <x:row r="120">
      <x:c r="A120" s="78"/>
      <x:c r="B120" s="78"/>
      <x:c r="C120" s="78"/>
      <x:c r="D120" s="78"/>
      <x:c r="E120" s="78"/>
      <x:c r="F120" s="78"/>
      <x:c r="G120" s="78"/>
      <x:c r="H120" s="78"/>
      <x:c r="I120" s="78"/>
      <x:c r="J120" s="78"/>
    </x:row>
  </x:sheetData>
  <x:mergeCells>
    <x:mergeCell ref="A1:J1"/>
  </x:mergeCells>
  <x:dataValidations count="4">
    <x:dataValidation type="list" sqref="B4:B120">
      <x:formula1>"Risk,Issue"</x:formula1>
    </x:dataValidation>
    <x:dataValidation type="list" sqref="D4:D120">
      <x:formula1>"Low,Medium,High,N/A"</x:formula1>
    </x:dataValidation>
    <x:dataValidation type="list" sqref="E4:E120">
      <x:formula1>"Low,Medium,High"</x:formula1>
    </x:dataValidation>
    <x:dataValidation type="list" sqref="H4:H120">
      <x:formula1>"Open,Mitigating,Closed,Accepted"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4.25"/>
  <x:cols>
    <x:col min="1" max="2" width="12" customWidth="1"/>
    <x:col min="3" max="3" width="10" customWidth="1"/>
    <x:col min="4" max="4" width="46" customWidth="1"/>
    <x:col min="5" max="5" width="15" customWidth="1"/>
    <x:col min="6" max="6" width="28" customWidth="1"/>
    <x:col min="7" max="7" width="38" customWidth="1"/>
    <x:col min="8" max="8" width="12" customWidth="1"/>
    <x:col min="9" max="9" width="34" customWidth="1"/>
  </x:cols>
  <x:sheetData>
    <x:row r="1" ht="27.950000762939453" customHeight="1">
      <x:c r="A1" s="234" t="s">
        <x:v>609</x:v>
      </x:c>
      <x:c r="B1" s="235"/>
      <x:c r="C1" s="235"/>
      <x:c r="D1" s="235"/>
      <x:c r="E1" s="235"/>
      <x:c r="F1" s="235"/>
      <x:c r="G1" s="235"/>
      <x:c r="H1" s="235"/>
      <x:c r="I1" s="235"/>
    </x:row>
    <x:row r="3" ht="15">
      <x:c r="A3" s="80" t="s">
        <x:v>610</x:v>
      </x:c>
      <x:c r="B3" s="80" t="s">
        <x:v>449</x:v>
      </x:c>
      <x:c r="C3" s="80" t="s">
        <x:v>48</x:v>
      </x:c>
      <x:c r="D3" s="80" t="s">
        <x:v>181</x:v>
      </x:c>
      <x:c r="E3" s="80" t="s">
        <x:v>197</x:v>
      </x:c>
      <x:c r="F3" s="80" t="s">
        <x:v>611</x:v>
      </x:c>
      <x:c r="G3" s="80" t="s">
        <x:v>612</x:v>
      </x:c>
      <x:c r="H3" s="80" t="s">
        <x:v>56</x:v>
      </x:c>
      <x:c r="I3" s="80" t="s">
        <x:v>61</x:v>
      </x:c>
    </x:row>
    <x:row r="4" ht="28.5">
      <x:c r="A4" s="78" t="s">
        <x:v>613</x:v>
      </x:c>
      <x:c r="B4" s="81">
        <x:v>46201</x:v>
      </x:c>
      <x:c r="C4" s="78" t="s">
        <x:v>62</x:v>
      </x:c>
      <x:c r="D4" s="78" t="s">
        <x:v>614</x:v>
      </x:c>
      <x:c r="E4" s="78" t="s">
        <x:v>615</x:v>
      </x:c>
      <x:c r="F4" s="78" t="s">
        <x:v>616</x:v>
      </x:c>
      <x:c r="G4" s="78" t="s">
        <x:v>617</x:v>
      </x:c>
      <x:c r="H4" s="78" t="s">
        <x:v>618</x:v>
      </x:c>
      <x:c r="I4" s="78" t="s">
        <x:v>619</x:v>
      </x:c>
    </x:row>
    <x:row r="5" ht="28.5">
      <x:c r="A5" s="78" t="s">
        <x:v>620</x:v>
      </x:c>
      <x:c r="B5" s="81">
        <x:v>46203</x:v>
      </x:c>
      <x:c r="C5" s="78" t="s">
        <x:v>68</x:v>
      </x:c>
      <x:c r="D5" s="78" t="s">
        <x:v>621</x:v>
      </x:c>
      <x:c r="E5" s="78" t="s">
        <x:v>622</x:v>
      </x:c>
      <x:c r="F5" s="78" t="s">
        <x:v>623</x:v>
      </x:c>
      <x:c r="G5" s="78" t="s">
        <x:v>624</x:v>
      </x:c>
      <x:c r="H5" s="78" t="s">
        <x:v>618</x:v>
      </x:c>
      <x:c r="I5" s="78" t="s">
        <x:v>625</x:v>
      </x:c>
    </x:row>
    <x:row r="6" ht="28.5">
      <x:c r="A6" s="78" t="s">
        <x:v>626</x:v>
      </x:c>
      <x:c r="B6" s="81">
        <x:v>46207</x:v>
      </x:c>
      <x:c r="C6" s="78" t="s">
        <x:v>73</x:v>
      </x:c>
      <x:c r="D6" s="78" t="s">
        <x:v>627</x:v>
      </x:c>
      <x:c r="E6" s="78" t="s">
        <x:v>628</x:v>
      </x:c>
      <x:c r="F6" s="78" t="s">
        <x:v>629</x:v>
      </x:c>
      <x:c r="G6" s="78" t="s">
        <x:v>630</x:v>
      </x:c>
      <x:c r="H6" s="78" t="s">
        <x:v>618</x:v>
      </x:c>
      <x:c r="I6" s="78" t="s">
        <x:v>631</x:v>
      </x:c>
    </x:row>
    <x:row r="7" ht="28.5">
      <x:c r="A7" s="78" t="s">
        <x:v>632</x:v>
      </x:c>
      <x:c r="B7" s="81">
        <x:v>46207</x:v>
      </x:c>
      <x:c r="C7" s="78" t="s">
        <x:v>73</x:v>
      </x:c>
      <x:c r="D7" s="78" t="s">
        <x:v>633</x:v>
      </x:c>
      <x:c r="E7" s="78" t="s">
        <x:v>634</x:v>
      </x:c>
      <x:c r="F7" s="78" t="s">
        <x:v>635</x:v>
      </x:c>
      <x:c r="G7" s="78" t="s">
        <x:v>636</x:v>
      </x:c>
      <x:c r="H7" s="78" t="s">
        <x:v>618</x:v>
      </x:c>
      <x:c r="I7" s="78" t="s">
        <x:v>637</x:v>
      </x:c>
    </x:row>
    <x:row r="8">
      <x:c r="A8" s="78" t="s">
        <x:v>638</x:v>
      </x:c>
      <x:c r="B8" s="81">
        <x:v>46207</x:v>
      </x:c>
      <x:c r="C8" s="78" t="s">
        <x:v>73</x:v>
      </x:c>
      <x:c r="D8" s="78" t="s">
        <x:v>639</x:v>
      </x:c>
      <x:c r="E8" s="78" t="s">
        <x:v>634</x:v>
      </x:c>
      <x:c r="F8" s="78" t="s">
        <x:v>640</x:v>
      </x:c>
      <x:c r="G8" s="78" t="s">
        <x:v>641</x:v>
      </x:c>
      <x:c r="H8" s="78" t="s">
        <x:v>618</x:v>
      </x:c>
      <x:c r="I8" s="78" t="s">
        <x:v>642</x:v>
      </x:c>
    </x:row>
    <x:row r="9">
      <x:c r="A9" s="78" t="s">
        <x:v>643</x:v>
      </x:c>
      <x:c r="B9" s="81">
        <x:v>46207</x:v>
      </x:c>
      <x:c r="C9" s="78" t="s">
        <x:v>73</x:v>
      </x:c>
      <x:c r="D9" s="78" t="s">
        <x:v>644</x:v>
      </x:c>
      <x:c r="E9" s="78" t="s">
        <x:v>634</x:v>
      </x:c>
      <x:c r="F9" s="78" t="s">
        <x:v>645</x:v>
      </x:c>
      <x:c r="G9" s="78" t="s">
        <x:v>646</x:v>
      </x:c>
      <x:c r="H9" s="78" t="s">
        <x:v>618</x:v>
      </x:c>
      <x:c r="I9" s="78" t="s">
        <x:v>647</x:v>
      </x:c>
    </x:row>
    <x:row r="10" ht="28.5">
      <x:c r="A10" s="78" t="s">
        <x:v>648</x:v>
      </x:c>
      <x:c r="B10" s="81">
        <x:v>46207</x:v>
      </x:c>
      <x:c r="C10" s="78" t="s">
        <x:v>68</x:v>
      </x:c>
      <x:c r="D10" s="78" t="s">
        <x:v>649</x:v>
      </x:c>
      <x:c r="E10" s="78" t="s">
        <x:v>650</x:v>
      </x:c>
      <x:c r="F10" s="78" t="s">
        <x:v>208</x:v>
      </x:c>
      <x:c r="G10" s="78" t="s">
        <x:v>651</x:v>
      </x:c>
      <x:c r="H10" s="78" t="s">
        <x:v>618</x:v>
      </x:c>
      <x:c r="I10" s="78" t="s">
        <x:v>652</x:v>
      </x:c>
    </x:row>
    <x:row r="11" ht="28.5">
      <x:c r="A11" s="78" t="s">
        <x:v>653</x:v>
      </x:c>
      <x:c r="B11" s="81">
        <x:v>46207</x:v>
      </x:c>
      <x:c r="C11" s="78" t="s">
        <x:v>68</x:v>
      </x:c>
      <x:c r="D11" s="78" t="s">
        <x:v>654</x:v>
      </x:c>
      <x:c r="E11" s="78" t="s">
        <x:v>202</x:v>
      </x:c>
      <x:c r="F11" s="78" t="s">
        <x:v>655</x:v>
      </x:c>
      <x:c r="G11" s="78" t="s">
        <x:v>656</x:v>
      </x:c>
      <x:c r="H11" s="78" t="s">
        <x:v>618</x:v>
      </x:c>
      <x:c r="I11" s="78" t="s">
        <x:v>657</x:v>
      </x:c>
    </x:row>
    <x:row r="12" ht="28.5">
      <x:c r="A12" s="78" t="s">
        <x:v>658</x:v>
      </x:c>
      <x:c r="B12" s="81">
        <x:v>46207</x:v>
      </x:c>
      <x:c r="C12" s="78" t="s">
        <x:v>68</x:v>
      </x:c>
      <x:c r="D12" s="78" t="s">
        <x:v>659</x:v>
      </x:c>
      <x:c r="E12" s="78" t="s">
        <x:v>660</x:v>
      </x:c>
      <x:c r="F12" s="78" t="s">
        <x:v>661</x:v>
      </x:c>
      <x:c r="G12" s="78" t="s">
        <x:v>19</x:v>
      </x:c>
      <x:c r="H12" s="78" t="s">
        <x:v>618</x:v>
      </x:c>
      <x:c r="I12" s="78" t="s">
        <x:v>662</x:v>
      </x:c>
    </x:row>
    <x:row r="13" ht="60" customHeight="1">
      <x:c r="A13" s="198" t="s">
        <x:v>663</x:v>
      </x:c>
      <x:c r="B13" s="199">
        <x:v>46208</x:v>
      </x:c>
      <x:c r="C13" s="200" t="s">
        <x:v>664</x:v>
      </x:c>
      <x:c r="D13" s="200" t="s">
        <x:v>665</x:v>
      </x:c>
      <x:c r="E13" s="200" t="s">
        <x:v>666</x:v>
      </x:c>
      <x:c r="F13" s="200" t="s">
        <x:v>667</x:v>
      </x:c>
      <x:c r="G13" s="200" t="s">
        <x:v>668</x:v>
      </x:c>
      <x:c r="H13" s="200" t="s">
        <x:v>618</x:v>
      </x:c>
      <x:c r="I13" s="201" t="s">
        <x:v>669</x:v>
      </x:c>
    </x:row>
    <x:row r="14" ht="78" customHeight="1">
      <x:c r="A14" s="447" t="str">
        <x:v>EV-011</x:v>
      </x:c>
      <x:c r="B14" s="445" t="n">
        <x:v>46208</x:v>
      </x:c>
      <x:c r="C14" s="447" t="str">
        <x:v>1.1</x:v>
      </x:c>
      <x:c r="D14" s="447" t="str">
        <x:v>Extensible candidate artifact contract and loader implemented with controlled errors for missing, malformed, non-object, incomplete, and wrong-case candidates; six focused tests and 31 total tests pass.</x:v>
      </x:c>
      <x:c r="E14" s="447" t="str">
        <x:v>Code / Test / Documentation</x:v>
      </x:c>
      <x:c r="F14" s="447" t="str">
        <x:v>2b0b6e7; PR #6 / merge c419dc3; ba18051; schemas/candidate.schema.json; examples/candidates/MECH-002/valid.json</x:v>
      </x:c>
      <x:c r="G14" s="447" t="str">
        <x:v>WBS 1.1 — candidate artifact contract and loader</x:v>
      </x:c>
      <x:c r="H14" s="447" t="str">
        <x:v>Accepted</x:v>
      </x:c>
      <x:c r="I14" s="447" t="str">
        <x:v>Accepted and merged. WBS 1.1 operational closeout completed at 11:44 AM; 31 tests passed.</x:v>
      </x:c>
    </x:row>
    <x:row r="15" ht="78" customHeight="1">
      <x:c r="A15" s="447" t="str">
        <x:v>EV-012</x:v>
      </x:c>
      <x:c r="B15" s="445" t="n">
        <x:v>46208</x:v>
      </x:c>
      <x:c r="C15" s="447" t="str">
        <x:v>1.2</x:v>
      </x:c>
      <x:c r="D15" s="447" t="str">
        <x:v>Mandatory pre-scoring gate engine implemented with structured GateResult evidence and ordered short-circuit execution for missing files, malformed/non-object JSON, missing required payload fields, and declared field-type mismatches.</x:v>
      </x:c>
      <x:c r="E15" s="447" t="str">
        <x:v>Code / Test / Specification</x:v>
      </x:c>
      <x:c r="F15" s="447" t="str">
        <x:v>c05ef3d; merge 05c025b; src/mech_eval_harness/evaluation.py; tests/test_gate_engine.py</x:v>
      </x:c>
      <x:c r="G15" s="447" t="str">
        <x:v>WBS 1.2 — mandatory gate engine</x:v>
      </x:c>
      <x:c r="H15" s="447" t="str">
        <x:v>Accepted</x:v>
      </x:c>
      <x:c r="I15" s="447" t="str">
        <x:v>Seven focused tests and 38 total tests passed. Explicit regression confirms Boolean values do not satisfy numeric field declarations.</x:v>
      </x:c>
    </x:row>
    <x:row r="16">
      <x:c r="A16" s="78" t="str">
        <x:v>EV-013</x:v>
      </x:c>
      <x:c r="B16" s="78" t="n">
        <x:v>46208</x:v>
      </x:c>
      <x:c r="C16" s="78" t="str">
        <x:v>1.3</x:v>
      </x:c>
      <x:c r="D16" s="78" t="str">
        <x:v>Non-numeric deterministic check engine implemented with structured CheckResult records, JSON-type-sensitive exact matching, Boolean equality, set equality, contains-all logic, nested path resolution, failure evidence, and controlled configuration errors.</x:v>
      </x:c>
      <x:c r="E16" s="78" t="str">
        <x:v>Code / Test</x:v>
      </x:c>
      <x:c r="F16" s="78" t="str">
        <x:v>53f96cc; PR #8 / merge 7222c81; 269a070; src/mech_eval_harness/evaluation.py; tests/test_deterministic_checks.py</x:v>
      </x:c>
      <x:c r="G16" s="78" t="str">
        <x:v>WBS 1.3 — exact, Boolean, set, and contains checks</x:v>
      </x:c>
      <x:c r="H16" s="78" t="str">
        <x:v>Accepted</x:v>
      </x:c>
      <x:c r="I16" s="78" t="str">
        <x:v>Twelve focused tests and 50 total repository tests passed after merge. main and origin/main were synchronized through 269a070. No additional actual hours were added beyond the explicitly timed 2.85 h block.</x:v>
      </x:c>
    </x:row>
    <x:row r="17">
      <x:c r="A17" s="78" t="str">
        <x:v>EV-014</x:v>
      </x:c>
      <x:c r="B17" s="78" t="n">
        <x:v>46208</x:v>
      </x:c>
      <x:c r="C17" s="78" t="str">
        <x:v>1.4</x:v>
      </x:c>
      <x:c r="D17" s="78" t="str">
        <x:v>Numeric tolerance checks implemented with evaluator-declared absolute tolerance, inclusive exact-boundary behaviour, structured difference/tolerance evidence, numeric type enforcement, and controlled configuration errors.</x:v>
      </x:c>
      <x:c r="E17" s="78" t="str">
        <x:v>Code / Test</x:v>
      </x:c>
      <x:c r="F17" s="78" t="str">
        <x:v>31015c9; PR #9 / merge 1fbb45d; src/mech_eval_harness/evaluation.py; tests/test_numeric_tolerance.py</x:v>
      </x:c>
      <x:c r="G17" s="78" t="str">
        <x:v>WBS 1.4 — numeric tolerance checks</x:v>
      </x:c>
      <x:c r="H17" s="78" t="str">
        <x:v>Accepted</x:v>
      </x:c>
      <x:c r="I17" s="78" t="str">
        <x:v>Eleven focused numeric tests, eleven deterministic-check tests, and 60 total repository tests passed after merge. main and origin/main synchronized through 1fbb45d.</x:v>
      </x:c>
    </x:row>
    <x:row r="18">
      <x:c r="A18" s="78" t="str">
        <x:v>EV-015</x:v>
      </x:c>
      <x:c r="B18" s="78" t="n">
        <x:v>46208</x:v>
      </x:c>
      <x:c r="C18" s="78" t="str">
        <x:v>1.5</x:v>
      </x:c>
      <x:c r="D18" s="78" t="str">
        <x:v>Weighted scoring and structured failure-evidence aggregation implemented with gate-zeroing, passed-weight scoring, inclusive pass-threshold evaluation, configuration validation, and ordered gate/check failure evidence.</x:v>
      </x:c>
      <x:c r="E18" s="78" t="str">
        <x:v>Code / Test</x:v>
      </x:c>
      <x:c r="F18" s="78" t="str">
        <x:v>bd34af8; PR #10 / merge 27a8e59; src/mech_eval_harness/scoring.py; tests/test_weighted_scoring.py</x:v>
      </x:c>
      <x:c r="G18" s="78" t="str">
        <x:v>WBS 1.5 — weighted scoring and failure evidence; Gate 2</x:v>
      </x:c>
      <x:c r="H18" s="78" t="str">
        <x:v>Accepted</x:v>
      </x:c>
      <x:c r="I18" s="78" t="str">
        <x:v>Seventeen focused weighted-scoring tests and 77 total repository tests passed after merge. main and origin/main synchronized through 27a8e59.</x:v>
      </x:c>
    </x:row>
    <x:row r="19">
      <x:c r="A19" s="78" t="str">
        <x:v>EV-016</x:v>
      </x:c>
      <x:c r="B19" s="78" t="n">
        <x:v>46208</x:v>
      </x:c>
      <x:c r="C19" s="78" t="str">
        <x:v>2.1</x:v>
      </x:c>
      <x:c r="D19" s="78" t="str">
        <x:v>End-to-end evaluate CLI implemented with ordered gate execution, candidate validation, deterministic checks, weighted scoring, stable human-readable evidence, and documented exit-code behavior.</x:v>
      </x:c>
      <x:c r="E19" s="78" t="str">
        <x:v>Code / Test / CLI</x:v>
      </x:c>
      <x:c r="F19" s="78" t="str">
        <x:v>0ee3c48; src/mech_eval_harness/cli.py; tests/test_cli_evaluate.py; PR merged</x:v>
      </x:c>
      <x:c r="G19" s="78" t="str">
        <x:v>WBS 2.1 — evaluate CLI command</x:v>
      </x:c>
      <x:c r="H19" s="78" t="str">
        <x:v>Accepted</x:v>
      </x:c>
      <x:c r="I19" s="78" t="str">
        <x:v>Five focused CLI tests and 82 total repository tests passed. Installed console command verified exit 0 for pass, exit 1 for deterministic-check and missing-artifact failures, and exit 2 for unknown-case configuration failure. Main was merged and verified; the exact merge hash was not captured in this transcript.</x:v>
      </x:c>
    </x:row>
    <x:row r="20">
      <x:c r="A20" s="78" t="str">
        <x:v>EV-017</x:v>
      </x:c>
      <x:c r="B20" s="78" t="n">
        <x:v>46208</x:v>
      </x:c>
      <x:c r="C20" s="78" t="str">
        <x:v>2.2</x:v>
      </x:c>
      <x:c r="D20" s="78" t="str">
        <x:v>Versioned structured evaluation result schema and immutable Python result model implemented with JSON serialization, component versions, candidate/reference artifact references, aggregate scoring, complete gate/check records, typed expected/actual values, ordered failure evidence, and evidence-location/source-reference extension points.</x:v>
      </x:c>
      <x:c r="E20" s="78" t="str">
        <x:v>Code / Schema / Test</x:v>
      </x:c>
      <x:c r="F20" s="78" t="str">
        <x:v>b6d6c21; PR #12 / merge b56f217; schemas/result.schema.json; src/mech_eval_harness/results.py; tests/test_result_model.py</x:v>
      </x:c>
      <x:c r="G20" s="78" t="str">
        <x:v>WBS 2.2 — structured result schema and model</x:v>
      </x:c>
      <x:c r="H20" s="78" t="str">
        <x:v>Accepted</x:v>
      </x:c>
      <x:c r="I20" s="78" t="str">
        <x:v>Nine focused result-model tests and 91 total repository tests passed after merge. Passing, failed-check, and failed-gate records validate; inconsistent score/pass/timestamp/failure states are rejected. UTF-8 BOM issue was corrected without weakening the tests.</x:v>
      </x:c>
    </x:row>
    <x:row r="21">
      <x:c r="A21" s="78" t="str">
        <x:v>EV-018</x:v>
      </x:c>
      <x:c r="B21" s="78" t="n">
        <x:v>46208</x:v>
      </x:c>
      <x:c r="C21" s="78" t="str">
        <x:v>2.3</x:v>
      </x:c>
      <x:c r="D21" s="78" t="str">
        <x:v>Immutable local result persistence implemented with safe UTC run IDs, schema validation, exclusive run-directory creation, collision and traversal protection, atomic result.json writes, CLI integration for pass and evaluated-fail outcomes, and explicit suppression of records for configuration failures.</x:v>
      </x:c>
      <x:c r="E21" s="78" t="str">
        <x:v>Code / Test / CLI / Persistence</x:v>
      </x:c>
      <x:c r="F21" s="78" t="str">
        <x:v>e03a2e8; PR #13 / merge e56fc92; src/mech_eval_harness/persistence.py; src/mech_eval_harness/cli.py; tests/test_result_persistence.py; tests/test_cli_evaluate.py</x:v>
      </x:c>
      <x:c r="G21" s="78" t="str">
        <x:v>WBS 2.3 — immutable local result records</x:v>
      </x:c>
      <x:c r="H21" s="78" t="str">
        <x:v>Accepted</x:v>
      </x:c>
      <x:c r="I21" s="78" t="str">
        <x:v>Five persistence tests, five CLI integration tests, and 96 total repository tests passed after merge. Installed CLI smoke test wrote a BOM-free, schema-valid result.json to the default runs/ directory; Git correctly ignored generated evidence. Existing runs cannot be overwritten.</x:v>
      </x:c>
    </x:row>
    <x:row r="22">
      <x:c r="A22" s="78" t="str">
        <x:v>EV-019</x:v>
      </x:c>
      <x:c r="B22" s="78" t="n">
        <x:v>46208</x:v>
      </x:c>
      <x:c r="C22" s="78" t="str">
        <x:v>2.4</x:v>
      </x:c>
      <x:c r="D22" s="78" t="str">
        <x:v>Representative versioned MECH-002 candidate examples implemented and verified end-to-end: correct output passes at score 1.00, rpm-as-rad/s unit error fails angular_velocity at score 0.75 with UNIT_ERROR, and incomplete output fails the required_fields gate at score 0.00 with INCOMPLETE_DELIVERABLE.</x:v>
      </x:c>
      <x:c r="E22" s="78" t="str">
        <x:v>Candidate artifacts / Test / CLI / Documentation</x:v>
      </x:c>
      <x:c r="F22" s="78" t="str">
        <x:v>271224e; PR #14 / merge 7e38b3f; examples/candidates/MECH-002/{valid.json,unit-error.json,incomplete.json,README.md}; tests/test_example_candidates.py</x:v>
      </x:c>
      <x:c r="G22" s="78" t="str">
        <x:v>WBS 2.4 — example pass/fail candidate artifacts; Gate 3</x:v>
      </x:c>
      <x:c r="H22" s="78" t="str">
        <x:v>Accepted</x:v>
      </x:c>
      <x:c r="I22" s="78" t="str">
        <x:v>Three focused example-candidate tests and 99 total repository tests passed after merge. Installed CLI smoke test confirmed expected exit codes, scores, gate/check evidence, and immutable result records for all three fixtures. Temporary run evidence was removed and remains excluded from Git.</x:v>
      </x:c>
    </x:row>
    <x:row r="23">
      <x:c r="A23" s="78" t="str">
        <x:v>EV-020</x:v>
      </x:c>
      <x:c r="B23" s="78" t="n">
        <x:v>46208</x:v>
      </x:c>
      <x:c r="C23" s="78" t="str">
        <x:v>3.1</x:v>
      </x:c>
      <x:c r="D23" s="78" t="str">
        <x:v>Independent engineering verification completed for MECH-001 through MECH-003. Reference calculations, source inputs, tolerances, failure intent, and expected dispositions were reproduced and documented. Corrupted headings/formulas were corrected, and the MECH-003 release-disposition failure mode was corrected from WRONG_REVISION to UNAUTHORIZED_RELEASE.</x:v>
      </x:c>
      <x:c r="E23" s="78" t="str">
        <x:v>Engineering review / Documentation / Test</x:v>
      </x:c>
      <x:c r="F23" s="78" t="str">
        <x:v>e977b48; PR #15 / merge 318d5ce; docs/seed-case-verification.md; tests/test_seed_case_verification.py; cases/MECH-001–003; specs/evaluators/revision_audit_v1.json</x:v>
      </x:c>
      <x:c r="G23" s="78" t="str">
        <x:v>WBS 3.1 — independent seed-case verification</x:v>
      </x:c>
      <x:c r="H23" s="78" t="str">
        <x:v>Accepted</x:v>
      </x:c>
      <x:c r="I23" s="78" t="str">
        <x:v>Four focused verification tests and 103 total repository tests passed. All three cases passed repository validation. UTF-8 encoding audit passed for all seven changed files. The review preserves the human-approval boundary and records explicit tolerance and limitation rationale.</x:v>
      </x:c>
    </x:row>
    <x:row r="24">
      <x:c r="A24" s="78" t="str">
        <x:v>EV-021</x:v>
      </x:c>
      <x:c r="B24" s="78" t="n">
        <x:v>46208</x:v>
      </x:c>
      <x:c r="C24" s="78" t="str">
        <x:v>3.2</x:v>
      </x:c>
      <x:c r="D24" s="78" t="str">
        <x:v>Two additional reviewed synthetic benchmark cases were implemented and verified: MECH-004 cross-document BOM reconciliation and MECH-005 unconstrained thermal expansion. Each includes controlled inputs, authoritative reference output, deterministic evaluator checks, valid and representative failing candidates, independent engineering verification, and end-to-end regression tests.</x:v>
      </x:c>
      <x:c r="E24" s="78" t="str">
        <x:v>Case package / Test / Documentation / CLI</x:v>
      </x:c>
      <x:c r="F24" s="78" t="str">
        <x:v>634ef11; PR #16 / merge 50df7a9; cases/MECH-004–005; specs/tasks/{bom_reconciliation_v1,thermal_expansion_v1}.json; specs/evaluators/{bom_reconciliation_v1,thermal_expansion_v1}.json; docs/additional-case-verification.md; tests/test_mech_004_bom_reconciliation.py; tests/test_mech_005_thermal_expansion.py</x:v>
      </x:c>
      <x:c r="G24" s="78" t="str">
        <x:v>WBS 3.2 — five reviewed cases with distinct workflow and failure families</x:v>
      </x:c>
      <x:c r="H24" s="78" t="str">
        <x:v>Accepted</x:v>
      </x:c>
      <x:c r="I24" s="78" t="str">
        <x:v>MECH-004 covers missing/extra items, quantity mismatch, wrong revision, disposition, and verification. MECH-005 covers temperature difference, unit conversion, formula, sign, disposition, and verification. Valid/failing fixtures produced expected exit codes and scores. Thirty-three focused tests and 111 total tests passed; all five cases passed repository validation.</x:v>
      </x:c>
    </x:row>
    <x:row r="25">
      <x:c r="A25" s="447" t="str">
        <x:v>EV-022</x:v>
      </x:c>
      <x:c r="B25" s="447" t="n">
        <x:v>46208</x:v>
      </x:c>
      <x:c r="C25" s="447" t="str">
        <x:v>3.3</x:v>
      </x:c>
      <x:c r="D25" s="447" t="str">
        <x:v>MVP v1 benchmark split frozen with MECH-003 as the held-out validation case and MECH-001, MECH-002, MECH-004, and MECH-005 as development cases. The split manifest, completed review checklist, prior-exposure disclosure, no-tuning controls, and held-out candidate-leakage regression tests are versioned.</x:v>
      </x:c>
      <x:c r="E25" s="447" t="str">
        <x:v>Benchmark control / Documentation / Test</x:v>
      </x:c>
      <x:c r="F25" s="447" t="str">
        <x:v>ab63155; PR #17 / merge 825d7ff; benchmarks/mvp_v1/split.json; benchmarks/mvp_v1/review-checklist.md; cases/MECH-003/case.json; tests/test_benchmark_split.py</x:v>
      </x:c>
      <x:c r="G25" s="447" t="str">
        <x:v>WBS 3.3 — frozen held-out split and review controls</x:v>
      </x:c>
      <x:c r="H25" s="447" t="str">
        <x:v>Accepted</x:v>
      </x:c>
      <x:c r="I25" s="447" t="str">
        <x:v>Five focused split-control tests and 116 total repository tests passed. All five cases passed repository validation. MECH-003 has no versioned candidate example directory. The benchmark explicitly states that MECH-003 was historically seen during authoring and is a frozen validation case rather than a pristine blind set.</x:v>
      </x:c>
    </x:row>
    <x:row r="26">
      <x:c r="A26" s="78" t="str">
        <x:v>EV-023</x:v>
      </x:c>
      <x:c r="B26" s="78" t="n">
        <x:v>46208</x:v>
      </x:c>
      <x:c r="C26" s="78" t="str">
        <x:v>3.4</x:v>
      </x:c>
      <x:c r="D26" s="78" t="str">
        <x:v>Reproducible MVP v1 harness-verification baseline executed across the frozen five-case split. Four development oracle checks and one separately reported held-out oracle check passed; four curated fault injections produced the expected scores and failure modes. A versioned runner, machine-readable summary, portfolio report, isolated rerun regression, and nine immutable raw result records were produced.</x:v>
      </x:c>
      <x:c r="E26" s="78" t="str">
        <x:v>Benchmark / Test / CLI / Documentation</x:v>
      </x:c>
      <x:c r="F26" s="78" t="str">
        <x:v>e0746d7; PR #18 merged; scripts/run_mvp_baseline.py; evidence/mvp_v1_baseline/{summary.json,report.md}; tests/test_mvp_baseline.py; runs/baseline-mvp-v1/BASELINE-20260705T231620Z</x:v>
      </x:c>
      <x:c r="G26" s="78" t="str">
        <x:v>WBS 3.4 — reproducible baseline benchmark and failure summary; Gate 4</x:v>
      </x:c>
      <x:c r="H26" s="78" t="str">
        <x:v>Accepted</x:v>
      </x:c>
      <x:c r="I26" s="78" t="str">
        <x:v>All 9 scenarios met expectations: development oracle 4/4, held-out oracle 1/1, fault injections 4/4. Four focused baseline tests and 120 total tests passed; all five cases validated. The report explicitly rejects model/agent performance claims, separates held-out evidence, discloses prior exposure, and keeps raw run data outside versioned benchmark inputs.</x:v>
      </x:c>
    </x:row>
    <x:row r="27">
      <x:c r="A27" s="78" t="str">
        <x:v>EV-024</x:v>
      </x:c>
      <x:c r="B27" s="78" t="n">
        <x:v>46208</x:v>
      </x:c>
      <x:c r="C27" s="78" t="str">
        <x:v>4.2</x:v>
      </x:c>
      <x:c r="D27" s="78" t="str">
        <x:v>GitHub Actions CI quality gate implemented and verified on push and pull request. The workflow checks out the repository, installs Python 3.12, installs the project and development dependencies, validates all five evaluation cases, and runs the complete pytest suite. A controlled seeded-failure commit produced the expected red run; the corrected commit produced green push and pull-request checks before merge.</x:v>
      </x:c>
      <x:c r="E27" s="78" t="str">
        <x:v>CI / Test / Git</x:v>
      </x:c>
      <x:c r="F27" s="78" t="str">
        <x:v>.github/workflows/ci.yml; 80a26fe; 22713e4; PR #19 / merge 5dc3f41; GitHub Actions runs for seeded red, corrected green push, and green PR check</x:v>
      </x:c>
      <x:c r="G27" s="78" t="str">
        <x:v>WBS 4.2 — automated push/PR regression gate with demonstrated red/green behaviour</x:v>
      </x:c>
      <x:c r="H27" s="78" t="str">
        <x:v>Accepted</x:v>
      </x:c>
      <x:c r="I27" s="78" t="str">
        <x:v>Seeded run failed only at the intentional final step after install, case validation, and pytest passed. Corrected run succeeded in 12 seconds; the PR check was green; post-merge local verification passed five cases and 120 tests. One annotation warning was observed but did not affect execution or acceptance.</x:v>
      </x:c>
    </x:row>
    <x:row r="28">
      <x:c r="A28" s="78" t="str">
        <x:v>EV-025</x:v>
      </x:c>
      <x:c r="B28" s="78" t="n">
        <x:v>46208</x:v>
      </x:c>
      <x:c r="C28" s="78" t="str">
        <x:v>4.3</x:v>
      </x:c>
      <x:c r="D28" s="78" t="str">
        <x:v>README.md and docs/architecture.md were rewritten and verified against the implemented MVP. The documentation now covers clean setup, all four CLI commands, exit codes 0–3, the five-case benchmark, MECH-003 held-out and prior-exposure controls, harness-verification baseline limitations, deterministic gates/checks, weighted scoring, immutable result records, CI, architecture separation, failure layers, extension points, and the qualified-human review boundary.</x:v>
      </x:c>
      <x:c r="E28" s="78" t="str">
        <x:v>Documentation / CLI / Test / Git</x:v>
      </x:c>
      <x:c r="F28" s="78" t="str">
        <x:v>ac8d6dd; PR #20 / merge 2b98214; README.md; docs/architecture.md; five-case repository validation; 120-test suite; green PR CI</x:v>
      </x:c>
      <x:c r="G28" s="78" t="str">
        <x:v>WBS 4.3 — release-ready README and architecture documentation</x:v>
      </x:c>
      <x:c r="H28" s="78" t="str">
        <x:v>Accepted</x:v>
      </x:c>
      <x:c r="I28" s="78" t="str">
        <x:v>Stale-language scan found no Month 1, starter, or not-yet-implemented claims. MECH-003 displayed as held_out. Five cases validated and all 120 tests passed before commit and after merge. Only README.md and docs/architecture.md changed.</x:v>
      </x:c>
    </x:row>
    <x:row r="29">
      <x:c r="A29" s="78" t="str">
        <x:v>EV-026</x:v>
      </x:c>
      <x:c r="B29" s="78" t="n">
        <x:v>46208</x:v>
      </x:c>
      <x:c r="C29" s="78" t="str">
        <x:v>5.1</x:v>
      </x:c>
      <x:c r="D29" s="78" t="str">
        <x:v>Deterministic terminal-first portfolio demo executed and merged. A committed MECH-002 passing candidate returned exit code 0, score 1.00, no failures, and an immutable result record. A committed structurally valid unit-error candidate passed all mandatory gates, returned exit code 1, score 0.75, classified UNIT_ERROR at the angular-velocity check, and produced a second immutable result record. The wrapper verified all expected outcomes and returned demo exit code 0.</x:v>
      </x:c>
      <x:c r="E29" s="78" t="str">
        <x:v>Demo / CLI / Test / Documentation / Git</x:v>
      </x:c>
      <x:c r="F29" s="78" t="str">
        <x:v>599402c; PR #21 / merge c15393d; scripts/run_portfolio_demo.py; tests/test_portfolio_demo.py; docs/portfolio_demo.md; evidence/portfolio_demo/report.md; temporary post-merge verification records; green PR CI</x:v>
      </x:c>
      <x:c r="G29" s="78" t="str">
        <x:v>WBS 5.1 — reproducible portfolio demo; Gate 5</x:v>
      </x:c>
      <x:c r="H29" s="78" t="str">
        <x:v>Accepted</x:v>
      </x:c>
      <x:c r="I29" s="78" t="str">
        <x:v>Focused demo regression passed; complete suite reached 121 tests; all five cases validated; post-merge demo verified 2/2 scenarios from temporary paths and left main clean. Evidence is explicitly limited to harness behaviour and does not claim model/agent performance or engineering sign-off.</x:v>
      </x:c>
    </x:row>
    <x:row r="30">
      <x:c r="A30" s="78" t="str">
        <x:v>EV-027</x:v>
      </x:c>
      <x:c r="B30" s="78" t="n">
        <x:v>46208</x:v>
      </x:c>
      <x:c r="C30" s="78" t="str">
        <x:v>5.2</x:v>
      </x:c>
      <x:c r="D30" s="78" t="str">
        <x:v>Versioned release notes and claim-boundary documentation were created, audited, merged, and verified for release v0.2.0. The documents describe the implemented CLI and evaluator behaviour, five synthetic cases, development/held-out split, MECH-003 prior exposure, harness-verification baseline, deterministic portfolio demo, installation and verification commands, result-record limitations, security/interface constraints, deferred capabilities, and qualified-human review requirement.</x:v>
      </x:c>
      <x:c r="E30" s="78" t="str">
        <x:v>Documentation / Version Control / Test / Git</x:v>
      </x:c>
      <x:c r="F30" s="78" t="str">
        <x:v>64db931; PR #22 / merge 0f8adbe; README.md; docs/release_notes_v0.2.0.md; docs/limitations.md; pyproject.toml version 0.2.0; persisted harness_version 0.2.0; green PR CI</x:v>
      </x:c>
      <x:c r="G30" s="78" t="str">
        <x:v>WBS 5.2 — release notes, limitations, and release-version rebaseline</x:v>
      </x:c>
      <x:c r="H30" s="78" t="str">
        <x:v>Accepted</x:v>
      </x:c>
      <x:c r="I30" s="78" t="str">
        <x:v>Version-consistency and claim-boundary scans passed; no v0.1.0 references exist in the new release documents; README links both documents; all five cases validated and 121 tests passed before merge and after merge. Release tag remains intentionally uncreated pending WBS 5.3 acceptance.</x:v>
      </x:c>
    </x:row>
    <x:row r="31">
      <x:c r="A31" s="78" t="str">
        <x:v>EV-028</x:v>
      </x:c>
      <x:c r="B31" s="78" t="n">
        <x:v>46208</x:v>
      </x:c>
      <x:c r="C31" s="78" t="str">
        <x:v>4.1,5.3</x:v>
      </x:c>
      <x:c r="D31" s="78" t="str">
        <x:v>Final clean-clone acceptance and release evidence for v0.2.0. The accepted commit installed successfully in Python 3.12.6 as package version 0.2.0; five cases validated; 121 tests passed; the nine-scenario harness-verification baseline and two-scenario portfolio demo reproduced; eleven generated results reported harness_version 0.2.0; required release claim boundaries were present; and the clean-clone Git state remained clean. Annotated tag v0.2.0 was created and pushed, and the remote peeled tag resolves to the accepted commit.</x:v>
      </x:c>
      <x:c r="E31" s="78" t="str">
        <x:v>Release / Clean Clone / Test / Benchmark / Demo / Version / Git</x:v>
      </x:c>
      <x:c r="F31" s="78" t="str">
        <x:v>v0.2.0; accepted commit 45336a21c9c5f4dcd4b3bd009d05183621061b5d; tag object 8d426d295b883433a68a86f16abe4c4a170a41ee; evidence/final_acceptance_v0.2.0/report.md; evidence/final_acceptance_v0.2.0/summary.json; clean-clone acceptance transcript retained locally</x:v>
      </x:c>
      <x:c r="G31" s="78" t="str">
        <x:v>WBS 4.1 and 5.3 — regression closeout, final acceptance, release tag, and Gate 6</x:v>
      </x:c>
      <x:c r="H31" s="78" t="str">
        <x:v>Accepted</x:v>
      </x:c>
      <x:c r="I31" s="78" t="str">
        <x:v>Final matrix passed in a fresh clone: 5 cases, 121 tests, baseline 9/9, demo 2/2, 11 result records at version 0.2.0, claim boundaries present, clean tree. Two earlier wrapper-only failures were corrected and superseded; neither represented a harness failure. Tag v0.2.0 points exactly to the accepted commit.</x:v>
      </x:c>
    </x:row>
    <x:row r="32" ht="90" customHeight="1">
      <x:c r="A32" s="447" t="str">
        <x:v>EV-029</x:v>
      </x:c>
      <x:c r="B32" s="445" t="n">
        <x:v>46213</x:v>
      </x:c>
      <x:c r="C32" s="447" t="str">
        <x:v>Post-MVP / P0.1</x:v>
      </x:c>
      <x:c r="D32" s="447" t="str">
        <x:v>Project modernization package created: GPT-5.6 supervised operating instructions, v0.2.0 assessment, v0.3.0 package-assurance workflow contract and acceptance plan, target architecture, commercial service specification, source register, active Pilot Gantt, and Pilot Dashboard.</x:v>
      </x:c>
      <x:c r="E32" s="447" t="str">
        <x:v>Project control / Strategy / Documentation</x:v>
      </x:c>
      <x:c r="F32" s="447" t="str">
        <x:v>PR #24 / merge 3d10ae8; docs/strategy/modernization_2026-07-10.md; docs/package_assurance/; gantt.xlsx</x:v>
      </x:c>
      <x:c r="G32" s="447" t="str">
        <x:v>Selection and start readiness for v0.3.0 Package Assurance Pilot</x:v>
      </x:c>
      <x:c r="H32" s="447" t="str">
        <x:v>Accepted</x:v>
      </x:c>
      <x:c r="I32" s="447" t="str">
        <x:v>Modernization package merged into main at 3d10ae8. No actual duration was recorded; prospective time tracking was waived by D-034.</x:v>
      </x:c>
    </x:row>
    <x:row r="33">
      <x:c r="A33" s="78" t="str">
        <x:v>EV-030</x:v>
      </x:c>
      <x:c r="B33" s="78" t="n">
        <x:v>46218</x:v>
      </x:c>
      <x:c r="C33" s="78" t="str">
        <x:v>P0.1</x:v>
      </x:c>
      <x:c r="D33" s="78" t="str">
        <x:v>Reviewed workflow contract and authority-map example resolve the ten P0.1 review questions: mandatory source files, identifier scope, authority declarations, release holds, missing-value review routing, revision formats, duplicate representation, JSON/CSV evidence locators, CLI exit-code mapping, and future benchmark hidden data.</x:v>
      </x:c>
      <x:c r="E33" s="78" t="str">
        <x:v>Documentation / Project control / Authority model</x:v>
      </x:c>
      <x:c r="F33" s="78" t="str">
        <x:v>docs/package_assurance/workflow_contract_v0.3.0.md; docs/package_assurance/authority_map_example_v0.3.0.json; D-033</x:v>
      </x:c>
      <x:c r="G33" s="78" t="str">
        <x:v>P0.1 - workflow contract and authority map</x:v>
      </x:c>
      <x:c r="H33" s="78" t="str">
        <x:v>Accepted</x:v>
      </x:c>
      <x:c r="I33" s="78" t="str">
        <x:v>P0.1 was accepted by the user on 2026-07-15. No package-assurance implementation was added; P0.2 acceptance remains required before P1 implementation. Time tracking is waived by D-034.</x:v>
      </x:c>
    </x:row>
    <x:row r="34" ht="93.75" customHeight="1">
      <x:c r="A34" s="447" t="str">
        <x:v>EV-031</x:v>
      </x:c>
      <x:c r="B34" s="447" t="n">
        <x:v>46218</x:v>
      </x:c>
      <x:c r="C34" s="447" t="str">
        <x:v>P0.1 / P0.2</x:v>
      </x:c>
      <x:c r="D34" s="447" t="str">
        <x:v>The user accepted P0.1 and authorized P0.2. Prospective work-block time tracking was waived; historical hour records remain unchanged and duration is no longer acceptance evidence.</x:v>
      </x:c>
      <x:c r="E34" s="447" t="str">
        <x:v>User gate / Project control</x:v>
      </x:c>
      <x:c r="F34" s="447" t="str">
        <x:v>User direction 2026-07-15; commit 03f102e; D-034</x:v>
      </x:c>
      <x:c r="G34" s="447" t="str">
        <x:v>P0.1 user acceptance, P0.2 start authorization, and time-tracking policy</x:v>
      </x:c>
      <x:c r="H34" s="447" t="str">
        <x:v>Accepted</x:v>
      </x:c>
      <x:c r="I34" s="447" t="str">
        <x:v>No work-block log row or actual-hour value was added. Evidence-based gate acceptance remains controlling.</x:v>
      </x:c>
    </x:row>
    <x:row r="35" ht="127.5" customHeight="1">
      <x:c r="A35" s="447" t="str">
        <x:v>EV-032</x:v>
      </x:c>
      <x:c r="B35" s="447" t="n">
        <x:v>46218</x:v>
      </x:c>
      <x:c r="C35" s="447" t="str">
        <x:v>P0.2</x:v>
      </x:c>
      <x:c r="D35" s="447" t="str">
        <x:v>Reviewed acceptance plan and benchmark protocol resolve the ten P0.2 review questions and freeze benchmark units, minimum scenario/fault coverage, exact detection and incidental-finding rules, state and CLI expectations, evidence completeness, reproducibility, held-out freeze and contamination replacement, false-positive/false-negative review, bounded claims, and stop conditions.</x:v>
      </x:c>
      <x:c r="E35" s="447" t="str">
        <x:v>Documentation / Benchmark protocol / Project control</x:v>
      </x:c>
      <x:c r="F35" s="447" t="str">
        <x:v>docs/package_assurance/acceptance_plan_v0.3.0.md; docs/package_assurance/workflow_contract_v0.3.0.md; D-035</x:v>
      </x:c>
      <x:c r="G35" s="447" t="str">
        <x:v>P0.2 - acceptance plan and benchmark protocol</x:v>
      </x:c>
      <x:c r="H35" s="447" t="str">
        <x:v>Accepted</x:v>
      </x:c>
      <x:c r="I35" s="447" t="str">
        <x:v>P0.2 is complete pending user acceptance. No loader, schema, fixture, rule-engine, PDF/CAD, agent, API, database, RAG, or frontend implementation was added.</x:v>
      </x:c>
    </x:row>
    <x:row r="36">
      <x:c r="A36" s="78"/>
      <x:c r="B36" s="78"/>
      <x:c r="C36" s="78"/>
      <x:c r="D36" s="78"/>
      <x:c r="E36" s="78"/>
      <x:c r="F36" s="78"/>
      <x:c r="G36" s="78"/>
      <x:c r="H36" s="78"/>
      <x:c r="I36" s="78"/>
    </x:row>
    <x:row r="37">
      <x:c r="A37" s="78"/>
      <x:c r="B37" s="78"/>
      <x:c r="C37" s="78"/>
      <x:c r="D37" s="78"/>
      <x:c r="E37" s="78"/>
      <x:c r="F37" s="78"/>
      <x:c r="G37" s="78"/>
      <x:c r="H37" s="78"/>
      <x:c r="I37" s="78"/>
    </x:row>
    <x:row r="38">
      <x:c r="A38" s="78"/>
      <x:c r="B38" s="78"/>
      <x:c r="C38" s="78"/>
      <x:c r="D38" s="78"/>
      <x:c r="E38" s="78"/>
      <x:c r="F38" s="78"/>
      <x:c r="G38" s="78"/>
      <x:c r="H38" s="78"/>
      <x:c r="I38" s="78"/>
    </x:row>
    <x:row r="39">
      <x:c r="A39" s="78"/>
      <x:c r="B39" s="78"/>
      <x:c r="C39" s="78"/>
      <x:c r="D39" s="78"/>
      <x:c r="E39" s="78"/>
      <x:c r="F39" s="78"/>
      <x:c r="G39" s="78"/>
      <x:c r="H39" s="78"/>
      <x:c r="I39" s="78"/>
    </x:row>
    <x:row r="40">
      <x:c r="A40" s="78"/>
      <x:c r="B40" s="78"/>
      <x:c r="C40" s="78"/>
      <x:c r="D40" s="78"/>
      <x:c r="E40" s="78"/>
      <x:c r="F40" s="78"/>
      <x:c r="G40" s="78"/>
      <x:c r="H40" s="78"/>
      <x:c r="I40" s="78"/>
    </x:row>
    <x:row r="41">
      <x:c r="A41" s="78"/>
      <x:c r="B41" s="78"/>
      <x:c r="C41" s="78"/>
      <x:c r="D41" s="78"/>
      <x:c r="E41" s="78"/>
      <x:c r="F41" s="78"/>
      <x:c r="G41" s="78"/>
      <x:c r="H41" s="78"/>
      <x:c r="I41" s="78"/>
    </x:row>
    <x:row r="42">
      <x:c r="A42" s="78"/>
      <x:c r="B42" s="78"/>
      <x:c r="C42" s="78"/>
      <x:c r="D42" s="78"/>
      <x:c r="E42" s="78"/>
      <x:c r="F42" s="78"/>
      <x:c r="G42" s="78"/>
      <x:c r="H42" s="78"/>
      <x:c r="I42" s="78"/>
    </x:row>
    <x:row r="43">
      <x:c r="A43" s="78"/>
      <x:c r="B43" s="78"/>
      <x:c r="C43" s="78"/>
      <x:c r="D43" s="78"/>
      <x:c r="E43" s="78"/>
      <x:c r="F43" s="78"/>
      <x:c r="G43" s="78"/>
      <x:c r="H43" s="78"/>
      <x:c r="I43" s="78"/>
    </x:row>
    <x:row r="44">
      <x:c r="A44" s="78"/>
      <x:c r="B44" s="78"/>
      <x:c r="C44" s="78"/>
      <x:c r="D44" s="78"/>
      <x:c r="E44" s="78"/>
      <x:c r="F44" s="78"/>
      <x:c r="G44" s="78"/>
      <x:c r="H44" s="78"/>
      <x:c r="I44" s="78"/>
    </x:row>
    <x:row r="45">
      <x:c r="A45" s="78"/>
      <x:c r="B45" s="78"/>
      <x:c r="C45" s="78"/>
      <x:c r="D45" s="78"/>
      <x:c r="E45" s="78"/>
      <x:c r="F45" s="78"/>
      <x:c r="G45" s="78"/>
      <x:c r="H45" s="78"/>
      <x:c r="I45" s="78"/>
    </x:row>
    <x:row r="46">
      <x:c r="A46" s="78"/>
      <x:c r="B46" s="78"/>
      <x:c r="C46" s="78"/>
      <x:c r="D46" s="78"/>
      <x:c r="E46" s="78"/>
      <x:c r="F46" s="78"/>
      <x:c r="G46" s="78"/>
      <x:c r="H46" s="78"/>
      <x:c r="I46" s="78"/>
    </x:row>
    <x:row r="47">
      <x:c r="A47" s="78"/>
      <x:c r="B47" s="78"/>
      <x:c r="C47" s="78"/>
      <x:c r="D47" s="78"/>
      <x:c r="E47" s="78"/>
      <x:c r="F47" s="78"/>
      <x:c r="G47" s="78"/>
      <x:c r="H47" s="78"/>
      <x:c r="I47" s="78"/>
    </x:row>
    <x:row r="48">
      <x:c r="A48" s="78"/>
      <x:c r="B48" s="78"/>
      <x:c r="C48" s="78"/>
      <x:c r="D48" s="78"/>
      <x:c r="E48" s="78"/>
      <x:c r="F48" s="78"/>
      <x:c r="G48" s="78"/>
      <x:c r="H48" s="78"/>
      <x:c r="I48" s="78"/>
    </x:row>
    <x:row r="49">
      <x:c r="A49" s="78"/>
      <x:c r="B49" s="78"/>
      <x:c r="C49" s="78"/>
      <x:c r="D49" s="78"/>
      <x:c r="E49" s="78"/>
      <x:c r="F49" s="78"/>
      <x:c r="G49" s="78"/>
      <x:c r="H49" s="78"/>
      <x:c r="I49" s="78"/>
    </x:row>
    <x:row r="50">
      <x:c r="A50" s="78"/>
      <x:c r="B50" s="78"/>
      <x:c r="C50" s="78"/>
      <x:c r="D50" s="78"/>
      <x:c r="E50" s="78"/>
      <x:c r="F50" s="78"/>
      <x:c r="G50" s="78"/>
      <x:c r="H50" s="78"/>
      <x:c r="I50" s="78"/>
    </x:row>
    <x:row r="51">
      <x:c r="A51" s="78"/>
      <x:c r="B51" s="78"/>
      <x:c r="C51" s="78"/>
      <x:c r="D51" s="78"/>
      <x:c r="E51" s="78"/>
      <x:c r="F51" s="78"/>
      <x:c r="G51" s="78"/>
      <x:c r="H51" s="78"/>
      <x:c r="I51" s="78"/>
    </x:row>
    <x:row r="52">
      <x:c r="A52" s="78"/>
      <x:c r="B52" s="78"/>
      <x:c r="C52" s="78"/>
      <x:c r="D52" s="78"/>
      <x:c r="E52" s="78"/>
      <x:c r="F52" s="78"/>
      <x:c r="G52" s="78"/>
      <x:c r="H52" s="78"/>
      <x:c r="I52" s="78"/>
    </x:row>
    <x:row r="53">
      <x:c r="A53" s="78"/>
      <x:c r="B53" s="78"/>
      <x:c r="C53" s="78"/>
      <x:c r="D53" s="78"/>
      <x:c r="E53" s="78"/>
      <x:c r="F53" s="78"/>
      <x:c r="G53" s="78"/>
      <x:c r="H53" s="78"/>
      <x:c r="I53" s="78"/>
    </x:row>
    <x:row r="54">
      <x:c r="A54" s="78"/>
      <x:c r="B54" s="78"/>
      <x:c r="C54" s="78"/>
      <x:c r="D54" s="78"/>
      <x:c r="E54" s="78"/>
      <x:c r="F54" s="78"/>
      <x:c r="G54" s="78"/>
      <x:c r="H54" s="78"/>
      <x:c r="I54" s="78"/>
    </x:row>
    <x:row r="55">
      <x:c r="A55" s="78"/>
      <x:c r="B55" s="78"/>
      <x:c r="C55" s="78"/>
      <x:c r="D55" s="78"/>
      <x:c r="E55" s="78"/>
      <x:c r="F55" s="78"/>
      <x:c r="G55" s="78"/>
      <x:c r="H55" s="78"/>
      <x:c r="I55" s="78"/>
    </x:row>
    <x:row r="56">
      <x:c r="A56" s="78"/>
      <x:c r="B56" s="78"/>
      <x:c r="C56" s="78"/>
      <x:c r="D56" s="78"/>
      <x:c r="E56" s="78"/>
      <x:c r="F56" s="78"/>
      <x:c r="G56" s="78"/>
      <x:c r="H56" s="78"/>
      <x:c r="I56" s="78"/>
    </x:row>
    <x:row r="57">
      <x:c r="A57" s="78"/>
      <x:c r="B57" s="78"/>
      <x:c r="C57" s="78"/>
      <x:c r="D57" s="78"/>
      <x:c r="E57" s="78"/>
      <x:c r="F57" s="78"/>
      <x:c r="G57" s="78"/>
      <x:c r="H57" s="78"/>
      <x:c r="I57" s="78"/>
    </x:row>
    <x:row r="58">
      <x:c r="A58" s="78"/>
      <x:c r="B58" s="78"/>
      <x:c r="C58" s="78"/>
      <x:c r="D58" s="78"/>
      <x:c r="E58" s="78"/>
      <x:c r="F58" s="78"/>
      <x:c r="G58" s="78"/>
      <x:c r="H58" s="78"/>
      <x:c r="I58" s="78"/>
    </x:row>
    <x:row r="59">
      <x:c r="A59" s="78"/>
      <x:c r="B59" s="78"/>
      <x:c r="C59" s="78"/>
      <x:c r="D59" s="78"/>
      <x:c r="E59" s="78"/>
      <x:c r="F59" s="78"/>
      <x:c r="G59" s="78"/>
      <x:c r="H59" s="78"/>
      <x:c r="I59" s="78"/>
    </x:row>
    <x:row r="60">
      <x:c r="A60" s="78"/>
      <x:c r="B60" s="78"/>
      <x:c r="C60" s="78"/>
      <x:c r="D60" s="78"/>
      <x:c r="E60" s="78"/>
      <x:c r="F60" s="78"/>
      <x:c r="G60" s="78"/>
      <x:c r="H60" s="78"/>
      <x:c r="I60" s="78"/>
    </x:row>
    <x:row r="61">
      <x:c r="A61" s="78"/>
      <x:c r="B61" s="78"/>
      <x:c r="C61" s="78"/>
      <x:c r="D61" s="78"/>
      <x:c r="E61" s="78"/>
      <x:c r="F61" s="78"/>
      <x:c r="G61" s="78"/>
      <x:c r="H61" s="78"/>
      <x:c r="I61" s="78"/>
    </x:row>
    <x:row r="62">
      <x:c r="A62" s="78"/>
      <x:c r="B62" s="78"/>
      <x:c r="C62" s="78"/>
      <x:c r="D62" s="78"/>
      <x:c r="E62" s="78"/>
      <x:c r="F62" s="78"/>
      <x:c r="G62" s="78"/>
      <x:c r="H62" s="78"/>
      <x:c r="I62" s="78"/>
    </x:row>
    <x:row r="63">
      <x:c r="A63" s="78"/>
      <x:c r="B63" s="78"/>
      <x:c r="C63" s="78"/>
      <x:c r="D63" s="78"/>
      <x:c r="E63" s="78"/>
      <x:c r="F63" s="78"/>
      <x:c r="G63" s="78"/>
      <x:c r="H63" s="78"/>
      <x:c r="I63" s="78"/>
    </x:row>
    <x:row r="64">
      <x:c r="A64" s="78"/>
      <x:c r="B64" s="78"/>
      <x:c r="C64" s="78"/>
      <x:c r="D64" s="78"/>
      <x:c r="E64" s="78"/>
      <x:c r="F64" s="78"/>
      <x:c r="G64" s="78"/>
      <x:c r="H64" s="78"/>
      <x:c r="I64" s="78"/>
    </x:row>
    <x:row r="65">
      <x:c r="A65" s="78"/>
      <x:c r="B65" s="78"/>
      <x:c r="C65" s="78"/>
      <x:c r="D65" s="78"/>
      <x:c r="E65" s="78"/>
      <x:c r="F65" s="78"/>
      <x:c r="G65" s="78"/>
      <x:c r="H65" s="78"/>
      <x:c r="I65" s="78"/>
    </x:row>
    <x:row r="66">
      <x:c r="A66" s="78"/>
      <x:c r="B66" s="78"/>
      <x:c r="C66" s="78"/>
      <x:c r="D66" s="78"/>
      <x:c r="E66" s="78"/>
      <x:c r="F66" s="78"/>
      <x:c r="G66" s="78"/>
      <x:c r="H66" s="78"/>
      <x:c r="I66" s="78"/>
    </x:row>
    <x:row r="67">
      <x:c r="A67" s="78"/>
      <x:c r="B67" s="78"/>
      <x:c r="C67" s="78"/>
      <x:c r="D67" s="78"/>
      <x:c r="E67" s="78"/>
      <x:c r="F67" s="78"/>
      <x:c r="G67" s="78"/>
      <x:c r="H67" s="78"/>
      <x:c r="I67" s="78"/>
    </x:row>
    <x:row r="68">
      <x:c r="A68" s="78"/>
      <x:c r="B68" s="78"/>
      <x:c r="C68" s="78"/>
      <x:c r="D68" s="78"/>
      <x:c r="E68" s="78"/>
      <x:c r="F68" s="78"/>
      <x:c r="G68" s="78"/>
      <x:c r="H68" s="78"/>
      <x:c r="I68" s="78"/>
    </x:row>
    <x:row r="69">
      <x:c r="A69" s="78"/>
      <x:c r="B69" s="78"/>
      <x:c r="C69" s="78"/>
      <x:c r="D69" s="78"/>
      <x:c r="E69" s="78"/>
      <x:c r="F69" s="78"/>
      <x:c r="G69" s="78"/>
      <x:c r="H69" s="78"/>
      <x:c r="I69" s="78"/>
    </x:row>
    <x:row r="70">
      <x:c r="A70" s="78"/>
      <x:c r="B70" s="78"/>
      <x:c r="C70" s="78"/>
      <x:c r="D70" s="78"/>
      <x:c r="E70" s="78"/>
      <x:c r="F70" s="78"/>
      <x:c r="G70" s="78"/>
      <x:c r="H70" s="78"/>
      <x:c r="I70" s="78"/>
    </x:row>
    <x:row r="71">
      <x:c r="A71" s="78"/>
      <x:c r="B71" s="78"/>
      <x:c r="C71" s="78"/>
      <x:c r="D71" s="78"/>
      <x:c r="E71" s="78"/>
      <x:c r="F71" s="78"/>
      <x:c r="G71" s="78"/>
      <x:c r="H71" s="78"/>
      <x:c r="I71" s="78"/>
    </x:row>
    <x:row r="72">
      <x:c r="A72" s="78"/>
      <x:c r="B72" s="78"/>
      <x:c r="C72" s="78"/>
      <x:c r="D72" s="78"/>
      <x:c r="E72" s="78"/>
      <x:c r="F72" s="78"/>
      <x:c r="G72" s="78"/>
      <x:c r="H72" s="78"/>
      <x:c r="I72" s="78"/>
    </x:row>
    <x:row r="73">
      <x:c r="A73" s="78"/>
      <x:c r="B73" s="78"/>
      <x:c r="C73" s="78"/>
      <x:c r="D73" s="78"/>
      <x:c r="E73" s="78"/>
      <x:c r="F73" s="78"/>
      <x:c r="G73" s="78"/>
      <x:c r="H73" s="78"/>
      <x:c r="I73" s="78"/>
    </x:row>
    <x:row r="74">
      <x:c r="A74" s="78"/>
      <x:c r="B74" s="78"/>
      <x:c r="C74" s="78"/>
      <x:c r="D74" s="78"/>
      <x:c r="E74" s="78"/>
      <x:c r="F74" s="78"/>
      <x:c r="G74" s="78"/>
      <x:c r="H74" s="78"/>
      <x:c r="I74" s="78"/>
    </x:row>
    <x:row r="75">
      <x:c r="A75" s="78"/>
      <x:c r="B75" s="78"/>
      <x:c r="C75" s="78"/>
      <x:c r="D75" s="78"/>
      <x:c r="E75" s="78"/>
      <x:c r="F75" s="78"/>
      <x:c r="G75" s="78"/>
      <x:c r="H75" s="78"/>
      <x:c r="I75" s="78"/>
    </x:row>
    <x:row r="76">
      <x:c r="A76" s="78"/>
      <x:c r="B76" s="78"/>
      <x:c r="C76" s="78"/>
      <x:c r="D76" s="78"/>
      <x:c r="E76" s="78"/>
      <x:c r="F76" s="78"/>
      <x:c r="G76" s="78"/>
      <x:c r="H76" s="78"/>
      <x:c r="I76" s="78"/>
    </x:row>
    <x:row r="77">
      <x:c r="A77" s="78"/>
      <x:c r="B77" s="78"/>
      <x:c r="C77" s="78"/>
      <x:c r="D77" s="78"/>
      <x:c r="E77" s="78"/>
      <x:c r="F77" s="78"/>
      <x:c r="G77" s="78"/>
      <x:c r="H77" s="78"/>
      <x:c r="I77" s="78"/>
    </x:row>
    <x:row r="78">
      <x:c r="A78" s="78"/>
      <x:c r="B78" s="78"/>
      <x:c r="C78" s="78"/>
      <x:c r="D78" s="78"/>
      <x:c r="E78" s="78"/>
      <x:c r="F78" s="78"/>
      <x:c r="G78" s="78"/>
      <x:c r="H78" s="78"/>
      <x:c r="I78" s="78"/>
    </x:row>
    <x:row r="79">
      <x:c r="A79" s="78"/>
      <x:c r="B79" s="78"/>
      <x:c r="C79" s="78"/>
      <x:c r="D79" s="78"/>
      <x:c r="E79" s="78"/>
      <x:c r="F79" s="78"/>
      <x:c r="G79" s="78"/>
      <x:c r="H79" s="78"/>
      <x:c r="I79" s="78"/>
    </x:row>
    <x:row r="80">
      <x:c r="A80" s="78"/>
      <x:c r="B80" s="78"/>
      <x:c r="C80" s="78"/>
      <x:c r="D80" s="78"/>
      <x:c r="E80" s="78"/>
      <x:c r="F80" s="78"/>
      <x:c r="G80" s="78"/>
      <x:c r="H80" s="78"/>
      <x:c r="I80" s="78"/>
    </x:row>
    <x:row r="81">
      <x:c r="A81" s="78"/>
      <x:c r="B81" s="78"/>
      <x:c r="C81" s="78"/>
      <x:c r="D81" s="78"/>
      <x:c r="E81" s="78"/>
      <x:c r="F81" s="78"/>
      <x:c r="G81" s="78"/>
      <x:c r="H81" s="78"/>
      <x:c r="I81" s="78"/>
    </x:row>
    <x:row r="82">
      <x:c r="A82" s="78"/>
      <x:c r="B82" s="78"/>
      <x:c r="C82" s="78"/>
      <x:c r="D82" s="78"/>
      <x:c r="E82" s="78"/>
      <x:c r="F82" s="78"/>
      <x:c r="G82" s="78"/>
      <x:c r="H82" s="78"/>
      <x:c r="I82" s="78"/>
    </x:row>
    <x:row r="83">
      <x:c r="A83" s="78"/>
      <x:c r="B83" s="78"/>
      <x:c r="C83" s="78"/>
      <x:c r="D83" s="78"/>
      <x:c r="E83" s="78"/>
      <x:c r="F83" s="78"/>
      <x:c r="G83" s="78"/>
      <x:c r="H83" s="78"/>
      <x:c r="I83" s="78"/>
    </x:row>
    <x:row r="84">
      <x:c r="A84" s="78"/>
      <x:c r="B84" s="78"/>
      <x:c r="C84" s="78"/>
      <x:c r="D84" s="78"/>
      <x:c r="E84" s="78"/>
      <x:c r="F84" s="78"/>
      <x:c r="G84" s="78"/>
      <x:c r="H84" s="78"/>
      <x:c r="I84" s="78"/>
    </x:row>
    <x:row r="85">
      <x:c r="A85" s="78"/>
      <x:c r="B85" s="78"/>
      <x:c r="C85" s="78"/>
      <x:c r="D85" s="78"/>
      <x:c r="E85" s="78"/>
      <x:c r="F85" s="78"/>
      <x:c r="G85" s="78"/>
      <x:c r="H85" s="78"/>
      <x:c r="I85" s="78"/>
    </x:row>
    <x:row r="86">
      <x:c r="A86" s="78"/>
      <x:c r="B86" s="78"/>
      <x:c r="C86" s="78"/>
      <x:c r="D86" s="78"/>
      <x:c r="E86" s="78"/>
      <x:c r="F86" s="78"/>
      <x:c r="G86" s="78"/>
      <x:c r="H86" s="78"/>
      <x:c r="I86" s="78"/>
    </x:row>
    <x:row r="87">
      <x:c r="A87" s="78"/>
      <x:c r="B87" s="78"/>
      <x:c r="C87" s="78"/>
      <x:c r="D87" s="78"/>
      <x:c r="E87" s="78"/>
      <x:c r="F87" s="78"/>
      <x:c r="G87" s="78"/>
      <x:c r="H87" s="78"/>
      <x:c r="I87" s="78"/>
    </x:row>
    <x:row r="88">
      <x:c r="A88" s="78"/>
      <x:c r="B88" s="78"/>
      <x:c r="C88" s="78"/>
      <x:c r="D88" s="78"/>
      <x:c r="E88" s="78"/>
      <x:c r="F88" s="78"/>
      <x:c r="G88" s="78"/>
      <x:c r="H88" s="78"/>
      <x:c r="I88" s="78"/>
    </x:row>
    <x:row r="89">
      <x:c r="A89" s="78"/>
      <x:c r="B89" s="78"/>
      <x:c r="C89" s="78"/>
      <x:c r="D89" s="78"/>
      <x:c r="E89" s="78"/>
      <x:c r="F89" s="78"/>
      <x:c r="G89" s="78"/>
      <x:c r="H89" s="78"/>
      <x:c r="I89" s="78"/>
    </x:row>
    <x:row r="90">
      <x:c r="A90" s="78"/>
      <x:c r="B90" s="78"/>
      <x:c r="C90" s="78"/>
      <x:c r="D90" s="78"/>
      <x:c r="E90" s="78"/>
      <x:c r="F90" s="78"/>
      <x:c r="G90" s="78"/>
      <x:c r="H90" s="78"/>
      <x:c r="I90" s="78"/>
    </x:row>
    <x:row r="91">
      <x:c r="A91" s="78"/>
      <x:c r="B91" s="78"/>
      <x:c r="C91" s="78"/>
      <x:c r="D91" s="78"/>
      <x:c r="E91" s="78"/>
      <x:c r="F91" s="78"/>
      <x:c r="G91" s="78"/>
      <x:c r="H91" s="78"/>
      <x:c r="I91" s="78"/>
    </x:row>
    <x:row r="92">
      <x:c r="A92" s="78"/>
      <x:c r="B92" s="78"/>
      <x:c r="C92" s="78"/>
      <x:c r="D92" s="78"/>
      <x:c r="E92" s="78"/>
      <x:c r="F92" s="78"/>
      <x:c r="G92" s="78"/>
      <x:c r="H92" s="78"/>
      <x:c r="I92" s="78"/>
    </x:row>
    <x:row r="93">
      <x:c r="A93" s="78"/>
      <x:c r="B93" s="78"/>
      <x:c r="C93" s="78"/>
      <x:c r="D93" s="78"/>
      <x:c r="E93" s="78"/>
      <x:c r="F93" s="78"/>
      <x:c r="G93" s="78"/>
      <x:c r="H93" s="78"/>
      <x:c r="I93" s="78"/>
    </x:row>
    <x:row r="94">
      <x:c r="A94" s="78"/>
      <x:c r="B94" s="78"/>
      <x:c r="C94" s="78"/>
      <x:c r="D94" s="78"/>
      <x:c r="E94" s="78"/>
      <x:c r="F94" s="78"/>
      <x:c r="G94" s="78"/>
      <x:c r="H94" s="78"/>
      <x:c r="I94" s="78"/>
    </x:row>
    <x:row r="95">
      <x:c r="A95" s="78"/>
      <x:c r="B95" s="78"/>
      <x:c r="C95" s="78"/>
      <x:c r="D95" s="78"/>
      <x:c r="E95" s="78"/>
      <x:c r="F95" s="78"/>
      <x:c r="G95" s="78"/>
      <x:c r="H95" s="78"/>
      <x:c r="I95" s="78"/>
    </x:row>
    <x:row r="96">
      <x:c r="A96" s="78"/>
      <x:c r="B96" s="78"/>
      <x:c r="C96" s="78"/>
      <x:c r="D96" s="78"/>
      <x:c r="E96" s="78"/>
      <x:c r="F96" s="78"/>
      <x:c r="G96" s="78"/>
      <x:c r="H96" s="78"/>
      <x:c r="I96" s="78"/>
    </x:row>
    <x:row r="97">
      <x:c r="A97" s="78"/>
      <x:c r="B97" s="78"/>
      <x:c r="C97" s="78"/>
      <x:c r="D97" s="78"/>
      <x:c r="E97" s="78"/>
      <x:c r="F97" s="78"/>
      <x:c r="G97" s="78"/>
      <x:c r="H97" s="78"/>
      <x:c r="I97" s="78"/>
    </x:row>
    <x:row r="98">
      <x:c r="A98" s="78"/>
      <x:c r="B98" s="78"/>
      <x:c r="C98" s="78"/>
      <x:c r="D98" s="78"/>
      <x:c r="E98" s="78"/>
      <x:c r="F98" s="78"/>
      <x:c r="G98" s="78"/>
      <x:c r="H98" s="78"/>
      <x:c r="I98" s="78"/>
    </x:row>
    <x:row r="99">
      <x:c r="A99" s="78"/>
      <x:c r="B99" s="78"/>
      <x:c r="C99" s="78"/>
      <x:c r="D99" s="78"/>
      <x:c r="E99" s="78"/>
      <x:c r="F99" s="78"/>
      <x:c r="G99" s="78"/>
      <x:c r="H99" s="78"/>
      <x:c r="I99" s="78"/>
    </x:row>
    <x:row r="100">
      <x:c r="A100" s="78"/>
      <x:c r="B100" s="78"/>
      <x:c r="C100" s="78"/>
      <x:c r="D100" s="78"/>
      <x:c r="E100" s="78"/>
      <x:c r="F100" s="78"/>
      <x:c r="G100" s="78"/>
      <x:c r="H100" s="78"/>
      <x:c r="I100" s="78"/>
    </x:row>
    <x:row r="101">
      <x:c r="A101" s="78"/>
      <x:c r="B101" s="78"/>
      <x:c r="C101" s="78"/>
      <x:c r="D101" s="78"/>
      <x:c r="E101" s="78"/>
      <x:c r="F101" s="78"/>
      <x:c r="G101" s="78"/>
      <x:c r="H101" s="78"/>
      <x:c r="I101" s="78"/>
    </x:row>
    <x:row r="102">
      <x:c r="A102" s="78"/>
      <x:c r="B102" s="78"/>
      <x:c r="C102" s="78"/>
      <x:c r="D102" s="78"/>
      <x:c r="E102" s="78"/>
      <x:c r="F102" s="78"/>
      <x:c r="G102" s="78"/>
      <x:c r="H102" s="78"/>
      <x:c r="I102" s="78"/>
    </x:row>
    <x:row r="103">
      <x:c r="A103" s="78"/>
      <x:c r="B103" s="78"/>
      <x:c r="C103" s="78"/>
      <x:c r="D103" s="78"/>
      <x:c r="E103" s="78"/>
      <x:c r="F103" s="78"/>
      <x:c r="G103" s="78"/>
      <x:c r="H103" s="78"/>
      <x:c r="I103" s="78"/>
    </x:row>
    <x:row r="104">
      <x:c r="A104" s="78"/>
      <x:c r="B104" s="78"/>
      <x:c r="C104" s="78"/>
      <x:c r="D104" s="78"/>
      <x:c r="E104" s="78"/>
      <x:c r="F104" s="78"/>
      <x:c r="G104" s="78"/>
      <x:c r="H104" s="78"/>
      <x:c r="I104" s="78"/>
    </x:row>
    <x:row r="105">
      <x:c r="A105" s="78"/>
      <x:c r="B105" s="78"/>
      <x:c r="C105" s="78"/>
      <x:c r="D105" s="78"/>
      <x:c r="E105" s="78"/>
      <x:c r="F105" s="78"/>
      <x:c r="G105" s="78"/>
      <x:c r="H105" s="78"/>
      <x:c r="I105" s="78"/>
    </x:row>
    <x:row r="106">
      <x:c r="A106" s="78"/>
      <x:c r="B106" s="78"/>
      <x:c r="C106" s="78"/>
      <x:c r="D106" s="78"/>
      <x:c r="E106" s="78"/>
      <x:c r="F106" s="78"/>
      <x:c r="G106" s="78"/>
      <x:c r="H106" s="78"/>
      <x:c r="I106" s="78"/>
    </x:row>
    <x:row r="107">
      <x:c r="A107" s="78"/>
      <x:c r="B107" s="78"/>
      <x:c r="C107" s="78"/>
      <x:c r="D107" s="78"/>
      <x:c r="E107" s="78"/>
      <x:c r="F107" s="78"/>
      <x:c r="G107" s="78"/>
      <x:c r="H107" s="78"/>
      <x:c r="I107" s="78"/>
    </x:row>
    <x:row r="108">
      <x:c r="A108" s="78"/>
      <x:c r="B108" s="78"/>
      <x:c r="C108" s="78"/>
      <x:c r="D108" s="78"/>
      <x:c r="E108" s="78"/>
      <x:c r="F108" s="78"/>
      <x:c r="G108" s="78"/>
      <x:c r="H108" s="78"/>
      <x:c r="I108" s="78"/>
    </x:row>
    <x:row r="109">
      <x:c r="A109" s="78"/>
      <x:c r="B109" s="78"/>
      <x:c r="C109" s="78"/>
      <x:c r="D109" s="78"/>
      <x:c r="E109" s="78"/>
      <x:c r="F109" s="78"/>
      <x:c r="G109" s="78"/>
      <x:c r="H109" s="78"/>
      <x:c r="I109" s="78"/>
    </x:row>
    <x:row r="110">
      <x:c r="A110" s="78"/>
      <x:c r="B110" s="78"/>
      <x:c r="C110" s="78"/>
      <x:c r="D110" s="78"/>
      <x:c r="E110" s="78"/>
      <x:c r="F110" s="78"/>
      <x:c r="G110" s="78"/>
      <x:c r="H110" s="78"/>
      <x:c r="I110" s="78"/>
    </x:row>
    <x:row r="111">
      <x:c r="A111" s="78"/>
      <x:c r="B111" s="78"/>
      <x:c r="C111" s="78"/>
      <x:c r="D111" s="78"/>
      <x:c r="E111" s="78"/>
      <x:c r="F111" s="78"/>
      <x:c r="G111" s="78"/>
      <x:c r="H111" s="78"/>
      <x:c r="I111" s="78"/>
    </x:row>
    <x:row r="112">
      <x:c r="A112" s="78"/>
      <x:c r="B112" s="78"/>
      <x:c r="C112" s="78"/>
      <x:c r="D112" s="78"/>
      <x:c r="E112" s="78"/>
      <x:c r="F112" s="78"/>
      <x:c r="G112" s="78"/>
      <x:c r="H112" s="78"/>
      <x:c r="I112" s="78"/>
    </x:row>
    <x:row r="113">
      <x:c r="A113" s="78"/>
      <x:c r="B113" s="78"/>
      <x:c r="C113" s="78"/>
      <x:c r="D113" s="78"/>
      <x:c r="E113" s="78"/>
      <x:c r="F113" s="78"/>
      <x:c r="G113" s="78"/>
      <x:c r="H113" s="78"/>
      <x:c r="I113" s="78"/>
    </x:row>
    <x:row r="114">
      <x:c r="A114" s="78"/>
      <x:c r="B114" s="78"/>
      <x:c r="C114" s="78"/>
      <x:c r="D114" s="78"/>
      <x:c r="E114" s="78"/>
      <x:c r="F114" s="78"/>
      <x:c r="G114" s="78"/>
      <x:c r="H114" s="78"/>
      <x:c r="I114" s="78"/>
    </x:row>
    <x:row r="115">
      <x:c r="A115" s="78"/>
      <x:c r="B115" s="78"/>
      <x:c r="C115" s="78"/>
      <x:c r="D115" s="78"/>
      <x:c r="E115" s="78"/>
      <x:c r="F115" s="78"/>
      <x:c r="G115" s="78"/>
      <x:c r="H115" s="78"/>
      <x:c r="I115" s="78"/>
    </x:row>
    <x:row r="116">
      <x:c r="A116" s="78"/>
      <x:c r="B116" s="78"/>
      <x:c r="C116" s="78"/>
      <x:c r="D116" s="78"/>
      <x:c r="E116" s="78"/>
      <x:c r="F116" s="78"/>
      <x:c r="G116" s="78"/>
      <x:c r="H116" s="78"/>
      <x:c r="I116" s="78"/>
    </x:row>
    <x:row r="117">
      <x:c r="A117" s="78"/>
      <x:c r="B117" s="78"/>
      <x:c r="C117" s="78"/>
      <x:c r="D117" s="78"/>
      <x:c r="E117" s="78"/>
      <x:c r="F117" s="78"/>
      <x:c r="G117" s="78"/>
      <x:c r="H117" s="78"/>
      <x:c r="I117" s="78"/>
    </x:row>
    <x:row r="118">
      <x:c r="A118" s="78"/>
      <x:c r="B118" s="78"/>
      <x:c r="C118" s="78"/>
      <x:c r="D118" s="78"/>
      <x:c r="E118" s="78"/>
      <x:c r="F118" s="78"/>
      <x:c r="G118" s="78"/>
      <x:c r="H118" s="78"/>
      <x:c r="I118" s="78"/>
    </x:row>
    <x:row r="119">
      <x:c r="A119" s="78"/>
      <x:c r="B119" s="78"/>
      <x:c r="C119" s="78"/>
      <x:c r="D119" s="78"/>
      <x:c r="E119" s="78"/>
      <x:c r="F119" s="78"/>
      <x:c r="G119" s="78"/>
      <x:c r="H119" s="78"/>
      <x:c r="I119" s="78"/>
    </x:row>
    <x:row r="120">
      <x:c r="A120" s="78"/>
      <x:c r="B120" s="78"/>
      <x:c r="C120" s="78"/>
      <x:c r="D120" s="78"/>
      <x:c r="E120" s="78"/>
      <x:c r="F120" s="78"/>
      <x:c r="G120" s="78"/>
      <x:c r="H120" s="78"/>
      <x:c r="I120" s="78"/>
    </x:row>
  </x:sheetData>
  <x:mergeCells>
    <x:mergeCell ref="A1:I1"/>
  </x:mergeCells>
  <x:dataValidations count="1">
    <x:dataValidation type="list" sqref="H4:H120">
      <x:formula1>"Pending,Accepted,Rejected,Superseded"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4.25"/>
  <x:cols>
    <x:col min="1" max="1" width="9" customWidth="1"/>
    <x:col min="2" max="2" width="18" customWidth="1"/>
    <x:col min="3" max="3" width="38" customWidth="1"/>
    <x:col min="4" max="5" width="42" customWidth="1"/>
    <x:col min="6" max="6" width="11" customWidth="1"/>
    <x:col min="7" max="7" width="12" customWidth="1"/>
    <x:col min="8" max="8" width="26" customWidth="1"/>
    <x:col min="9" max="9" width="12" customWidth="1"/>
  </x:cols>
  <x:sheetData>
    <x:row r="1" ht="27.950000762939453" customHeight="1">
      <x:c r="A1" s="234" t="str">
        <x:v>Post-MVP Expansion Backlog — v0.3.0 Selection Recorded</x:v>
      </x:c>
      <x:c r="B1" s="235"/>
      <x:c r="C1" s="235"/>
      <x:c r="D1" s="235"/>
      <x:c r="E1" s="235"/>
      <x:c r="F1" s="235"/>
      <x:c r="G1" s="235"/>
      <x:c r="H1" s="235"/>
      <x:c r="I1" s="235"/>
    </x:row>
    <x:row r="2">
      <x:c r="A2" s="233" t="str">
        <x:v>X-13 is selected as the active v0.3.0 structured Package Assurance Pilot. Other capabilities remain deferred until the pilot passes its own held-out benchmark and clean-clone release gate.</x:v>
      </x:c>
      <x:c r="B2" s="233"/>
      <x:c r="C2" s="233"/>
      <x:c r="D2" s="233"/>
      <x:c r="E2" s="233"/>
      <x:c r="F2" s="233"/>
      <x:c r="G2" s="233"/>
      <x:c r="H2" s="233"/>
      <x:c r="I2" s="233"/>
    </x:row>
    <x:row r="4" ht="30">
      <x:c r="A4" s="80" t="s">
        <x:v>0</x:v>
      </x:c>
      <x:c r="B4" s="80" t="s">
        <x:v>670</x:v>
      </x:c>
      <x:c r="C4" s="80" t="s">
        <x:v>671</x:v>
      </x:c>
      <x:c r="D4" s="80" t="s">
        <x:v>672</x:v>
      </x:c>
      <x:c r="E4" s="80" t="s">
        <x:v>673</x:v>
      </x:c>
      <x:c r="F4" s="80" t="s">
        <x:v>674</x:v>
      </x:c>
      <x:c r="G4" s="80" t="s">
        <x:v>675</x:v>
      </x:c>
      <x:c r="H4" s="80" t="s">
        <x:v>676</x:v>
      </x:c>
      <x:c r="I4" s="80" t="s">
        <x:v>56</x:v>
      </x:c>
    </x:row>
    <x:row r="5" ht="28.5">
      <x:c r="A5" s="78" t="s">
        <x:v>677</x:v>
      </x:c>
      <x:c r="B5" s="78" t="s">
        <x:v>678</x:v>
      </x:c>
      <x:c r="C5" s="78" t="s">
        <x:v>679</x:v>
      </x:c>
      <x:c r="D5" s="78" t="s">
        <x:v>680</x:v>
      </x:c>
      <x:c r="E5" s="78" t="s">
        <x:v>681</x:v>
      </x:c>
      <x:c r="F5" s="78" t="s">
        <x:v>682</x:v>
      </x:c>
      <x:c r="G5" s="78" t="s">
        <x:v>683</x:v>
      </x:c>
      <x:c r="H5" s="78" t="s">
        <x:v>684</x:v>
      </x:c>
      <x:c r="I5" s="78" t="str">
        <x:v>Deferred — expand selectively through package benchmark</x:v>
      </x:c>
    </x:row>
    <x:row r="6" ht="57">
      <x:c r="A6" s="78" t="s">
        <x:v>685</x:v>
      </x:c>
      <x:c r="B6" s="78" t="s">
        <x:v>686</x:v>
      </x:c>
      <x:c r="C6" s="78" t="s">
        <x:v>687</x:v>
      </x:c>
      <x:c r="D6" s="78" t="s">
        <x:v>688</x:v>
      </x:c>
      <x:c r="E6" s="78" t="s">
        <x:v>689</x:v>
      </x:c>
      <x:c r="F6" s="78" t="s">
        <x:v>571</x:v>
      </x:c>
      <x:c r="G6" s="78" t="s">
        <x:v>690</x:v>
      </x:c>
      <x:c r="H6" s="78" t="s">
        <x:v>686</x:v>
      </x:c>
      <x:c r="I6" s="78" t="str">
        <x:v>Deferred — v0.4+; structured manifests first</x:v>
      </x:c>
    </x:row>
    <x:row r="7" ht="57">
      <x:c r="A7" s="78" t="s">
        <x:v>691</x:v>
      </x:c>
      <x:c r="B7" s="78" t="s">
        <x:v>692</x:v>
      </x:c>
      <x:c r="C7" s="78" t="s">
        <x:v>693</x:v>
      </x:c>
      <x:c r="D7" s="78" t="s">
        <x:v>694</x:v>
      </x:c>
      <x:c r="E7" s="78" t="s">
        <x:v>695</x:v>
      </x:c>
      <x:c r="F7" s="78" t="s">
        <x:v>571</x:v>
      </x:c>
      <x:c r="G7" s="78" t="s">
        <x:v>696</x:v>
      </x:c>
      <x:c r="H7" s="78" t="s">
        <x:v>697</x:v>
      </x:c>
      <x:c r="I7" s="78" t="str">
        <x:v>Deferred — after package evaluator and sandbox/trace plan</x:v>
      </x:c>
    </x:row>
    <x:row r="8" ht="57">
      <x:c r="A8" s="78" t="s">
        <x:v>698</x:v>
      </x:c>
      <x:c r="B8" s="78" t="s">
        <x:v>699</x:v>
      </x:c>
      <x:c r="C8" s="78" t="s">
        <x:v>700</x:v>
      </x:c>
      <x:c r="D8" s="78" t="s">
        <x:v>701</x:v>
      </x:c>
      <x:c r="E8" s="78" t="s">
        <x:v>702</x:v>
      </x:c>
      <x:c r="F8" s="78" t="s">
        <x:v>571</x:v>
      </x:c>
      <x:c r="G8" s="78" t="s">
        <x:v>683</x:v>
      </x:c>
      <x:c r="H8" s="78" t="s">
        <x:v>703</x:v>
      </x:c>
      <x:c r="I8" s="78" t="s">
        <x:v>704</x:v>
      </x:c>
    </x:row>
    <x:row r="9" ht="28.5">
      <x:c r="A9" s="78" t="s">
        <x:v>705</x:v>
      </x:c>
      <x:c r="B9" s="78" t="s">
        <x:v>706</x:v>
      </x:c>
      <x:c r="C9" s="78" t="s">
        <x:v>707</x:v>
      </x:c>
      <x:c r="D9" s="78" t="s">
        <x:v>708</x:v>
      </x:c>
      <x:c r="E9" s="78" t="s">
        <x:v>709</x:v>
      </x:c>
      <x:c r="F9" s="78" t="s">
        <x:v>583</x:v>
      </x:c>
      <x:c r="G9" s="78" t="s">
        <x:v>683</x:v>
      </x:c>
      <x:c r="H9" s="78" t="s">
        <x:v>710</x:v>
      </x:c>
      <x:c r="I9" s="78" t="s">
        <x:v>704</x:v>
      </x:c>
    </x:row>
    <x:row r="10" ht="28.5">
      <x:c r="A10" s="78" t="s">
        <x:v>711</x:v>
      </x:c>
      <x:c r="B10" s="78" t="s">
        <x:v>712</x:v>
      </x:c>
      <x:c r="C10" s="78" t="s">
        <x:v>713</x:v>
      </x:c>
      <x:c r="D10" s="78" t="s">
        <x:v>714</x:v>
      </x:c>
      <x:c r="E10" s="78" t="s">
        <x:v>715</x:v>
      </x:c>
      <x:c r="F10" s="78" t="s">
        <x:v>583</x:v>
      </x:c>
      <x:c r="G10" s="78" t="s">
        <x:v>716</x:v>
      </x:c>
      <x:c r="H10" s="78" t="s">
        <x:v>712</x:v>
      </x:c>
      <x:c r="I10" s="78" t="s">
        <x:v>704</x:v>
      </x:c>
    </x:row>
    <x:row r="11" ht="28.5">
      <x:c r="A11" s="78" t="s">
        <x:v>717</x:v>
      </x:c>
      <x:c r="B11" s="78" t="s">
        <x:v>718</x:v>
      </x:c>
      <x:c r="C11" s="78" t="s">
        <x:v>719</x:v>
      </x:c>
      <x:c r="D11" s="78" t="s">
        <x:v>720</x:v>
      </x:c>
      <x:c r="E11" s="78" t="s">
        <x:v>721</x:v>
      </x:c>
      <x:c r="F11" s="78" t="s">
        <x:v>583</x:v>
      </x:c>
      <x:c r="G11" s="78" t="s">
        <x:v>722</x:v>
      </x:c>
      <x:c r="H11" s="78" t="s">
        <x:v>723</x:v>
      </x:c>
      <x:c r="I11" s="78" t="s">
        <x:v>704</x:v>
      </x:c>
    </x:row>
    <x:row r="12" ht="28.5">
      <x:c r="A12" s="78" t="s">
        <x:v>724</x:v>
      </x:c>
      <x:c r="B12" s="78" t="s">
        <x:v>725</x:v>
      </x:c>
      <x:c r="C12" s="78" t="s">
        <x:v>726</x:v>
      </x:c>
      <x:c r="D12" s="78" t="s">
        <x:v>727</x:v>
      </x:c>
      <x:c r="E12" s="78" t="s">
        <x:v>728</x:v>
      </x:c>
      <x:c r="F12" s="78" t="s">
        <x:v>595</x:v>
      </x:c>
      <x:c r="G12" s="78" t="s">
        <x:v>696</x:v>
      </x:c>
      <x:c r="H12" s="78" t="s">
        <x:v>725</x:v>
      </x:c>
      <x:c r="I12" s="78" t="s">
        <x:v>704</x:v>
      </x:c>
    </x:row>
    <x:row r="13" ht="28.5">
      <x:c r="A13" s="78" t="s">
        <x:v>729</x:v>
      </x:c>
      <x:c r="B13" s="78" t="s">
        <x:v>723</x:v>
      </x:c>
      <x:c r="C13" s="78" t="s">
        <x:v>730</x:v>
      </x:c>
      <x:c r="D13" s="78" t="s">
        <x:v>731</x:v>
      </x:c>
      <x:c r="E13" s="78" t="s">
        <x:v>732</x:v>
      </x:c>
      <x:c r="F13" s="78" t="s">
        <x:v>583</x:v>
      </x:c>
      <x:c r="G13" s="78" t="s">
        <x:v>716</x:v>
      </x:c>
      <x:c r="H13" s="78" t="s">
        <x:v>723</x:v>
      </x:c>
      <x:c r="I13" s="78" t="s">
        <x:v>704</x:v>
      </x:c>
    </x:row>
    <x:row r="14" ht="28.5">
      <x:c r="A14" s="78" t="s">
        <x:v>733</x:v>
      </x:c>
      <x:c r="B14" s="78" t="s">
        <x:v>734</x:v>
      </x:c>
      <x:c r="C14" s="78" t="s">
        <x:v>735</x:v>
      </x:c>
      <x:c r="D14" s="78" t="s">
        <x:v>736</x:v>
      </x:c>
      <x:c r="E14" s="78" t="s">
        <x:v>737</x:v>
      </x:c>
      <x:c r="F14" s="78" t="s">
        <x:v>583</x:v>
      </x:c>
      <x:c r="G14" s="78" t="s">
        <x:v>738</x:v>
      </x:c>
      <x:c r="H14" s="78" t="s">
        <x:v>734</x:v>
      </x:c>
      <x:c r="I14" s="78" t="s">
        <x:v>704</x:v>
      </x:c>
    </x:row>
    <x:row r="15" ht="28.5">
      <x:c r="A15" s="78" t="s">
        <x:v>739</x:v>
      </x:c>
      <x:c r="B15" s="78" t="s">
        <x:v>740</x:v>
      </x:c>
      <x:c r="C15" s="78" t="s">
        <x:v>741</x:v>
      </x:c>
      <x:c r="D15" s="78" t="s">
        <x:v>742</x:v>
      </x:c>
      <x:c r="E15" s="78" t="s">
        <x:v>743</x:v>
      </x:c>
      <x:c r="F15" s="78" t="s">
        <x:v>595</x:v>
      </x:c>
      <x:c r="G15" s="78" t="s">
        <x:v>744</x:v>
      </x:c>
      <x:c r="H15" s="78" t="s">
        <x:v>745</x:v>
      </x:c>
      <x:c r="I15" s="78" t="s">
        <x:v>704</x:v>
      </x:c>
    </x:row>
    <x:row r="16" ht="28.5">
      <x:c r="A16" s="78" t="s">
        <x:v>746</x:v>
      </x:c>
      <x:c r="B16" s="78" t="s">
        <x:v>747</x:v>
      </x:c>
      <x:c r="C16" s="78" t="s">
        <x:v>748</x:v>
      </x:c>
      <x:c r="D16" s="78" t="s">
        <x:v>749</x:v>
      </x:c>
      <x:c r="E16" s="78" t="s">
        <x:v>750</x:v>
      </x:c>
      <x:c r="F16" s="78" t="s">
        <x:v>595</x:v>
      </x:c>
      <x:c r="G16" s="78" t="s">
        <x:v>751</x:v>
      </x:c>
      <x:c r="H16" s="78" t="s">
        <x:v>747</x:v>
      </x:c>
      <x:c r="I16" s="78" t="s">
        <x:v>704</x:v>
      </x:c>
    </x:row>
    <x:row r="17" ht="72" customHeight="1">
      <x:c r="A17" s="182" t="s">
        <x:v>752</x:v>
      </x:c>
      <x:c r="B17" s="183" t="s">
        <x:v>753</x:v>
      </x:c>
      <x:c r="C17" s="183" t="s">
        <x:v>754</x:v>
      </x:c>
      <x:c r="D17" s="183" t="s">
        <x:v>755</x:v>
      </x:c>
      <x:c r="E17" s="183" t="str">
        <x:v>MVP v0.2.0 released; P0 contract and authority map approved; structured package manifests and reviewed ground truth available.</x:v>
      </x:c>
      <x:c r="F17" s="183" t="str">
        <x:v>Now</x:v>
      </x:c>
      <x:c r="G17" s="183" t="str">
        <x:v>46</x:v>
      </x:c>
      <x:c r="H17" s="183" t="s">
        <x:v>756</x:v>
      </x:c>
      <x:c r="I17" s="184" t="str">
        <x:v>Selected — v0.3.0</x:v>
      </x:c>
    </x:row>
    <x:row r="18" ht="72" customHeight="1">
      <x:c r="A18" s="185" t="s">
        <x:v>757</x:v>
      </x:c>
      <x:c r="B18" s="83" t="s">
        <x:v>758</x:v>
      </x:c>
      <x:c r="C18" s="83" t="s">
        <x:v>759</x:v>
      </x:c>
      <x:c r="D18" s="83" t="s">
        <x:v>760</x:v>
      </x:c>
      <x:c r="E18" s="83" t="s">
        <x:v>761</x:v>
      </x:c>
      <x:c r="F18" s="83" t="s">
        <x:v>571</x:v>
      </x:c>
      <x:c r="G18" s="83" t="s">
        <x:v>762</x:v>
      </x:c>
      <x:c r="H18" s="83" t="s">
        <x:v>763</x:v>
      </x:c>
      <x:c r="I18" s="186" t="s">
        <x:v>704</x:v>
      </x:c>
    </x:row>
    <x:row r="19" ht="72" customHeight="1">
      <x:c r="A19" s="187" t="s">
        <x:v>764</x:v>
      </x:c>
      <x:c r="B19" s="188" t="s">
        <x:v>765</x:v>
      </x:c>
      <x:c r="C19" s="188" t="s">
        <x:v>766</x:v>
      </x:c>
      <x:c r="D19" s="188" t="s">
        <x:v>767</x:v>
      </x:c>
      <x:c r="E19" s="188" t="s">
        <x:v>768</x:v>
      </x:c>
      <x:c r="F19" s="188" t="s">
        <x:v>571</x:v>
      </x:c>
      <x:c r="G19" s="188" t="s">
        <x:v>751</x:v>
      </x:c>
      <x:c r="H19" s="188" t="s">
        <x:v>769</x:v>
      </x:c>
      <x:c r="I19" s="189" t="s">
        <x:v>704</x:v>
      </x:c>
    </x:row>
    <x:row r="20">
      <x:c r="A20" s="78"/>
      <x:c r="B20" s="78"/>
      <x:c r="C20" s="78"/>
      <x:c r="D20" s="78"/>
      <x:c r="E20" s="78"/>
      <x:c r="F20" s="78"/>
      <x:c r="G20" s="78"/>
      <x:c r="H20" s="78"/>
      <x:c r="I20" s="78"/>
    </x:row>
    <x:row r="21">
      <x:c r="A21" s="78"/>
      <x:c r="B21" s="78"/>
      <x:c r="C21" s="78"/>
      <x:c r="D21" s="78"/>
      <x:c r="E21" s="78"/>
      <x:c r="F21" s="78"/>
      <x:c r="G21" s="78"/>
      <x:c r="H21" s="78"/>
      <x:c r="I21" s="78"/>
    </x:row>
    <x:row r="22">
      <x:c r="A22" s="78"/>
      <x:c r="B22" s="78"/>
      <x:c r="C22" s="78"/>
      <x:c r="D22" s="78"/>
      <x:c r="E22" s="78"/>
      <x:c r="F22" s="78"/>
      <x:c r="G22" s="78"/>
      <x:c r="H22" s="78"/>
      <x:c r="I22" s="78"/>
    </x:row>
    <x:row r="23">
      <x:c r="A23" s="78"/>
      <x:c r="B23" s="78"/>
      <x:c r="C23" s="78"/>
      <x:c r="D23" s="78"/>
      <x:c r="E23" s="78"/>
      <x:c r="F23" s="78"/>
      <x:c r="G23" s="78"/>
      <x:c r="H23" s="78"/>
      <x:c r="I23" s="78"/>
    </x:row>
    <x:row r="24">
      <x:c r="A24" s="78"/>
      <x:c r="B24" s="78"/>
      <x:c r="C24" s="78"/>
      <x:c r="D24" s="78"/>
      <x:c r="E24" s="78"/>
      <x:c r="F24" s="78"/>
      <x:c r="G24" s="78"/>
      <x:c r="H24" s="78"/>
      <x:c r="I24" s="78"/>
    </x:row>
    <x:row r="25">
      <x:c r="A25" s="78"/>
      <x:c r="B25" s="78"/>
      <x:c r="C25" s="78"/>
      <x:c r="D25" s="78"/>
      <x:c r="E25" s="78"/>
      <x:c r="F25" s="78"/>
      <x:c r="G25" s="78"/>
      <x:c r="H25" s="78"/>
      <x:c r="I25" s="78"/>
    </x:row>
    <x:row r="26">
      <x:c r="A26" s="78"/>
      <x:c r="B26" s="78"/>
      <x:c r="C26" s="78"/>
      <x:c r="D26" s="78"/>
      <x:c r="E26" s="78"/>
      <x:c r="F26" s="78"/>
      <x:c r="G26" s="78"/>
      <x:c r="H26" s="78"/>
      <x:c r="I26" s="78"/>
    </x:row>
    <x:row r="27">
      <x:c r="A27" s="78"/>
      <x:c r="B27" s="78"/>
      <x:c r="C27" s="78"/>
      <x:c r="D27" s="78"/>
      <x:c r="E27" s="78"/>
      <x:c r="F27" s="78"/>
      <x:c r="G27" s="78"/>
      <x:c r="H27" s="78"/>
      <x:c r="I27" s="78"/>
    </x:row>
    <x:row r="28">
      <x:c r="A28" s="78"/>
      <x:c r="B28" s="78"/>
      <x:c r="C28" s="78"/>
      <x:c r="D28" s="78"/>
      <x:c r="E28" s="78"/>
      <x:c r="F28" s="78"/>
      <x:c r="G28" s="78"/>
      <x:c r="H28" s="78"/>
      <x:c r="I28" s="78"/>
    </x:row>
    <x:row r="29">
      <x:c r="A29" s="78"/>
      <x:c r="B29" s="78"/>
      <x:c r="C29" s="78"/>
      <x:c r="D29" s="78"/>
      <x:c r="E29" s="78"/>
      <x:c r="F29" s="78"/>
      <x:c r="G29" s="78"/>
      <x:c r="H29" s="78"/>
      <x:c r="I29" s="78"/>
    </x:row>
    <x:row r="30">
      <x:c r="A30" s="78"/>
      <x:c r="B30" s="78"/>
      <x:c r="C30" s="78"/>
      <x:c r="D30" s="78"/>
      <x:c r="E30" s="78"/>
      <x:c r="F30" s="78"/>
      <x:c r="G30" s="78"/>
      <x:c r="H30" s="78"/>
      <x:c r="I30" s="78"/>
    </x:row>
    <x:row r="31">
      <x:c r="A31" s="78"/>
      <x:c r="B31" s="78"/>
      <x:c r="C31" s="78"/>
      <x:c r="D31" s="78"/>
      <x:c r="E31" s="78"/>
      <x:c r="F31" s="78"/>
      <x:c r="G31" s="78"/>
      <x:c r="H31" s="78"/>
      <x:c r="I31" s="78"/>
    </x:row>
    <x:row r="32">
      <x:c r="A32" s="78"/>
      <x:c r="B32" s="78"/>
      <x:c r="C32" s="78"/>
      <x:c r="D32" s="78"/>
      <x:c r="E32" s="78"/>
      <x:c r="F32" s="78"/>
      <x:c r="G32" s="78"/>
      <x:c r="H32" s="78"/>
      <x:c r="I32" s="78"/>
    </x:row>
    <x:row r="33">
      <x:c r="A33" s="78"/>
      <x:c r="B33" s="78"/>
      <x:c r="C33" s="78"/>
      <x:c r="D33" s="78"/>
      <x:c r="E33" s="78"/>
      <x:c r="F33" s="78"/>
      <x:c r="G33" s="78"/>
      <x:c r="H33" s="78"/>
      <x:c r="I33" s="78"/>
    </x:row>
    <x:row r="34">
      <x:c r="A34" s="78"/>
      <x:c r="B34" s="78"/>
      <x:c r="C34" s="78"/>
      <x:c r="D34" s="78"/>
      <x:c r="E34" s="78"/>
      <x:c r="F34" s="78"/>
      <x:c r="G34" s="78"/>
      <x:c r="H34" s="78"/>
      <x:c r="I34" s="78"/>
    </x:row>
    <x:row r="35">
      <x:c r="A35" s="78"/>
      <x:c r="B35" s="78"/>
      <x:c r="C35" s="78"/>
      <x:c r="D35" s="78"/>
      <x:c r="E35" s="78"/>
      <x:c r="F35" s="78"/>
      <x:c r="G35" s="78"/>
      <x:c r="H35" s="78"/>
      <x:c r="I35" s="78"/>
    </x:row>
    <x:row r="36">
      <x:c r="A36" s="78"/>
      <x:c r="B36" s="78"/>
      <x:c r="C36" s="78"/>
      <x:c r="D36" s="78"/>
      <x:c r="E36" s="78"/>
      <x:c r="F36" s="78"/>
      <x:c r="G36" s="78"/>
      <x:c r="H36" s="78"/>
      <x:c r="I36" s="78"/>
    </x:row>
    <x:row r="37">
      <x:c r="A37" s="78"/>
      <x:c r="B37" s="78"/>
      <x:c r="C37" s="78"/>
      <x:c r="D37" s="78"/>
      <x:c r="E37" s="78"/>
      <x:c r="F37" s="78"/>
      <x:c r="G37" s="78"/>
      <x:c r="H37" s="78"/>
      <x:c r="I37" s="78"/>
    </x:row>
    <x:row r="38">
      <x:c r="A38" s="78"/>
      <x:c r="B38" s="78"/>
      <x:c r="C38" s="78"/>
      <x:c r="D38" s="78"/>
      <x:c r="E38" s="78"/>
      <x:c r="F38" s="78"/>
      <x:c r="G38" s="78"/>
      <x:c r="H38" s="78"/>
      <x:c r="I38" s="78"/>
    </x:row>
    <x:row r="39">
      <x:c r="A39" s="78"/>
      <x:c r="B39" s="78"/>
      <x:c r="C39" s="78"/>
      <x:c r="D39" s="78"/>
      <x:c r="E39" s="78"/>
      <x:c r="F39" s="78"/>
      <x:c r="G39" s="78"/>
      <x:c r="H39" s="78"/>
      <x:c r="I39" s="78"/>
    </x:row>
    <x:row r="40">
      <x:c r="A40" s="78"/>
      <x:c r="B40" s="78"/>
      <x:c r="C40" s="78"/>
      <x:c r="D40" s="78"/>
      <x:c r="E40" s="78"/>
      <x:c r="F40" s="78"/>
      <x:c r="G40" s="78"/>
      <x:c r="H40" s="78"/>
      <x:c r="I40" s="78"/>
    </x:row>
    <x:row r="41">
      <x:c r="A41" s="78"/>
      <x:c r="B41" s="78"/>
      <x:c r="C41" s="78"/>
      <x:c r="D41" s="78"/>
      <x:c r="E41" s="78"/>
      <x:c r="F41" s="78"/>
      <x:c r="G41" s="78"/>
      <x:c r="H41" s="78"/>
      <x:c r="I41" s="78"/>
    </x:row>
    <x:row r="42">
      <x:c r="A42" s="78"/>
      <x:c r="B42" s="78"/>
      <x:c r="C42" s="78"/>
      <x:c r="D42" s="78"/>
      <x:c r="E42" s="78"/>
      <x:c r="F42" s="78"/>
      <x:c r="G42" s="78"/>
      <x:c r="H42" s="78"/>
      <x:c r="I42" s="78"/>
    </x:row>
    <x:row r="43">
      <x:c r="A43" s="78"/>
      <x:c r="B43" s="78"/>
      <x:c r="C43" s="78"/>
      <x:c r="D43" s="78"/>
      <x:c r="E43" s="78"/>
      <x:c r="F43" s="78"/>
      <x:c r="G43" s="78"/>
      <x:c r="H43" s="78"/>
      <x:c r="I43" s="78"/>
    </x:row>
    <x:row r="44">
      <x:c r="A44" s="78"/>
      <x:c r="B44" s="78"/>
      <x:c r="C44" s="78"/>
      <x:c r="D44" s="78"/>
      <x:c r="E44" s="78"/>
      <x:c r="F44" s="78"/>
      <x:c r="G44" s="78"/>
      <x:c r="H44" s="78"/>
      <x:c r="I44" s="78"/>
    </x:row>
    <x:row r="45">
      <x:c r="A45" s="78"/>
      <x:c r="B45" s="78"/>
      <x:c r="C45" s="78"/>
      <x:c r="D45" s="78"/>
      <x:c r="E45" s="78"/>
      <x:c r="F45" s="78"/>
      <x:c r="G45" s="78"/>
      <x:c r="H45" s="78"/>
      <x:c r="I45" s="78"/>
    </x:row>
    <x:row r="46">
      <x:c r="A46" s="78"/>
      <x:c r="B46" s="78"/>
      <x:c r="C46" s="78"/>
      <x:c r="D46" s="78"/>
      <x:c r="E46" s="78"/>
      <x:c r="F46" s="78"/>
      <x:c r="G46" s="78"/>
      <x:c r="H46" s="78"/>
      <x:c r="I46" s="78"/>
    </x:row>
    <x:row r="47">
      <x:c r="A47" s="78"/>
      <x:c r="B47" s="78"/>
      <x:c r="C47" s="78"/>
      <x:c r="D47" s="78"/>
      <x:c r="E47" s="78"/>
      <x:c r="F47" s="78"/>
      <x:c r="G47" s="78"/>
      <x:c r="H47" s="78"/>
      <x:c r="I47" s="78"/>
    </x:row>
    <x:row r="48">
      <x:c r="A48" s="78"/>
      <x:c r="B48" s="78"/>
      <x:c r="C48" s="78"/>
      <x:c r="D48" s="78"/>
      <x:c r="E48" s="78"/>
      <x:c r="F48" s="78"/>
      <x:c r="G48" s="78"/>
      <x:c r="H48" s="78"/>
      <x:c r="I48" s="78"/>
    </x:row>
    <x:row r="49">
      <x:c r="A49" s="78"/>
      <x:c r="B49" s="78"/>
      <x:c r="C49" s="78"/>
      <x:c r="D49" s="78"/>
      <x:c r="E49" s="78"/>
      <x:c r="F49" s="78"/>
      <x:c r="G49" s="78"/>
      <x:c r="H49" s="78"/>
      <x:c r="I49" s="78"/>
    </x:row>
    <x:row r="50">
      <x:c r="A50" s="78"/>
      <x:c r="B50" s="78"/>
      <x:c r="C50" s="78"/>
      <x:c r="D50" s="78"/>
      <x:c r="E50" s="78"/>
      <x:c r="F50" s="78"/>
      <x:c r="G50" s="78"/>
      <x:c r="H50" s="78"/>
      <x:c r="I50" s="78"/>
    </x:row>
    <x:row r="51">
      <x:c r="A51" s="78"/>
      <x:c r="B51" s="78"/>
      <x:c r="C51" s="78"/>
      <x:c r="D51" s="78"/>
      <x:c r="E51" s="78"/>
      <x:c r="F51" s="78"/>
      <x:c r="G51" s="78"/>
      <x:c r="H51" s="78"/>
      <x:c r="I51" s="78"/>
    </x:row>
    <x:row r="52">
      <x:c r="A52" s="78"/>
      <x:c r="B52" s="78"/>
      <x:c r="C52" s="78"/>
      <x:c r="D52" s="78"/>
      <x:c r="E52" s="78"/>
      <x:c r="F52" s="78"/>
      <x:c r="G52" s="78"/>
      <x:c r="H52" s="78"/>
      <x:c r="I52" s="78"/>
    </x:row>
    <x:row r="53">
      <x:c r="A53" s="78"/>
      <x:c r="B53" s="78"/>
      <x:c r="C53" s="78"/>
      <x:c r="D53" s="78"/>
      <x:c r="E53" s="78"/>
      <x:c r="F53" s="78"/>
      <x:c r="G53" s="78"/>
      <x:c r="H53" s="78"/>
      <x:c r="I53" s="78"/>
    </x:row>
    <x:row r="54">
      <x:c r="A54" s="78"/>
      <x:c r="B54" s="78"/>
      <x:c r="C54" s="78"/>
      <x:c r="D54" s="78"/>
      <x:c r="E54" s="78"/>
      <x:c r="F54" s="78"/>
      <x:c r="G54" s="78"/>
      <x:c r="H54" s="78"/>
      <x:c r="I54" s="78"/>
    </x:row>
    <x:row r="55">
      <x:c r="A55" s="78"/>
      <x:c r="B55" s="78"/>
      <x:c r="C55" s="78"/>
      <x:c r="D55" s="78"/>
      <x:c r="E55" s="78"/>
      <x:c r="F55" s="78"/>
      <x:c r="G55" s="78"/>
      <x:c r="H55" s="78"/>
      <x:c r="I55" s="78"/>
    </x:row>
    <x:row r="56">
      <x:c r="A56" s="78"/>
      <x:c r="B56" s="78"/>
      <x:c r="C56" s="78"/>
      <x:c r="D56" s="78"/>
      <x:c r="E56" s="78"/>
      <x:c r="F56" s="78"/>
      <x:c r="G56" s="78"/>
      <x:c r="H56" s="78"/>
      <x:c r="I56" s="78"/>
    </x:row>
    <x:row r="57">
      <x:c r="A57" s="78"/>
      <x:c r="B57" s="78"/>
      <x:c r="C57" s="78"/>
      <x:c r="D57" s="78"/>
      <x:c r="E57" s="78"/>
      <x:c r="F57" s="78"/>
      <x:c r="G57" s="78"/>
      <x:c r="H57" s="78"/>
      <x:c r="I57" s="78"/>
    </x:row>
    <x:row r="58">
      <x:c r="A58" s="78"/>
      <x:c r="B58" s="78"/>
      <x:c r="C58" s="78"/>
      <x:c r="D58" s="78"/>
      <x:c r="E58" s="78"/>
      <x:c r="F58" s="78"/>
      <x:c r="G58" s="78"/>
      <x:c r="H58" s="78"/>
      <x:c r="I58" s="78"/>
    </x:row>
    <x:row r="59">
      <x:c r="A59" s="78"/>
      <x:c r="B59" s="78"/>
      <x:c r="C59" s="78"/>
      <x:c r="D59" s="78"/>
      <x:c r="E59" s="78"/>
      <x:c r="F59" s="78"/>
      <x:c r="G59" s="78"/>
      <x:c r="H59" s="78"/>
      <x:c r="I59" s="78"/>
    </x:row>
    <x:row r="60">
      <x:c r="A60" s="78"/>
      <x:c r="B60" s="78"/>
      <x:c r="C60" s="78"/>
      <x:c r="D60" s="78"/>
      <x:c r="E60" s="78"/>
      <x:c r="F60" s="78"/>
      <x:c r="G60" s="78"/>
      <x:c r="H60" s="78"/>
      <x:c r="I60" s="78"/>
    </x:row>
    <x:row r="61">
      <x:c r="A61" s="78"/>
      <x:c r="B61" s="78"/>
      <x:c r="C61" s="78"/>
      <x:c r="D61" s="78"/>
      <x:c r="E61" s="78"/>
      <x:c r="F61" s="78"/>
      <x:c r="G61" s="78"/>
      <x:c r="H61" s="78"/>
      <x:c r="I61" s="78"/>
    </x:row>
    <x:row r="62">
      <x:c r="A62" s="78"/>
      <x:c r="B62" s="78"/>
      <x:c r="C62" s="78"/>
      <x:c r="D62" s="78"/>
      <x:c r="E62" s="78"/>
      <x:c r="F62" s="78"/>
      <x:c r="G62" s="78"/>
      <x:c r="H62" s="78"/>
      <x:c r="I62" s="78"/>
    </x:row>
    <x:row r="63">
      <x:c r="A63" s="78"/>
      <x:c r="B63" s="78"/>
      <x:c r="C63" s="78"/>
      <x:c r="D63" s="78"/>
      <x:c r="E63" s="78"/>
      <x:c r="F63" s="78"/>
      <x:c r="G63" s="78"/>
      <x:c r="H63" s="78"/>
      <x:c r="I63" s="78"/>
    </x:row>
    <x:row r="64">
      <x:c r="A64" s="78"/>
      <x:c r="B64" s="78"/>
      <x:c r="C64" s="78"/>
      <x:c r="D64" s="78"/>
      <x:c r="E64" s="78"/>
      <x:c r="F64" s="78"/>
      <x:c r="G64" s="78"/>
      <x:c r="H64" s="78"/>
      <x:c r="I64" s="78"/>
    </x:row>
    <x:row r="65">
      <x:c r="A65" s="78"/>
      <x:c r="B65" s="78"/>
      <x:c r="C65" s="78"/>
      <x:c r="D65" s="78"/>
      <x:c r="E65" s="78"/>
      <x:c r="F65" s="78"/>
      <x:c r="G65" s="78"/>
      <x:c r="H65" s="78"/>
      <x:c r="I65" s="78"/>
    </x:row>
    <x:row r="66">
      <x:c r="A66" s="78"/>
      <x:c r="B66" s="78"/>
      <x:c r="C66" s="78"/>
      <x:c r="D66" s="78"/>
      <x:c r="E66" s="78"/>
      <x:c r="F66" s="78"/>
      <x:c r="G66" s="78"/>
      <x:c r="H66" s="78"/>
      <x:c r="I66" s="78"/>
    </x:row>
    <x:row r="67">
      <x:c r="A67" s="78"/>
      <x:c r="B67" s="78"/>
      <x:c r="C67" s="78"/>
      <x:c r="D67" s="78"/>
      <x:c r="E67" s="78"/>
      <x:c r="F67" s="78"/>
      <x:c r="G67" s="78"/>
      <x:c r="H67" s="78"/>
      <x:c r="I67" s="78"/>
    </x:row>
    <x:row r="68">
      <x:c r="A68" s="78"/>
      <x:c r="B68" s="78"/>
      <x:c r="C68" s="78"/>
      <x:c r="D68" s="78"/>
      <x:c r="E68" s="78"/>
      <x:c r="F68" s="78"/>
      <x:c r="G68" s="78"/>
      <x:c r="H68" s="78"/>
      <x:c r="I68" s="78"/>
    </x:row>
    <x:row r="69">
      <x:c r="A69" s="78"/>
      <x:c r="B69" s="78"/>
      <x:c r="C69" s="78"/>
      <x:c r="D69" s="78"/>
      <x:c r="E69" s="78"/>
      <x:c r="F69" s="78"/>
      <x:c r="G69" s="78"/>
      <x:c r="H69" s="78"/>
      <x:c r="I69" s="78"/>
    </x:row>
    <x:row r="70">
      <x:c r="A70" s="78"/>
      <x:c r="B70" s="78"/>
      <x:c r="C70" s="78"/>
      <x:c r="D70" s="78"/>
      <x:c r="E70" s="78"/>
      <x:c r="F70" s="78"/>
      <x:c r="G70" s="78"/>
      <x:c r="H70" s="78"/>
      <x:c r="I70" s="78"/>
    </x:row>
    <x:row r="71">
      <x:c r="A71" s="78"/>
      <x:c r="B71" s="78"/>
      <x:c r="C71" s="78"/>
      <x:c r="D71" s="78"/>
      <x:c r="E71" s="78"/>
      <x:c r="F71" s="78"/>
      <x:c r="G71" s="78"/>
      <x:c r="H71" s="78"/>
      <x:c r="I71" s="78"/>
    </x:row>
    <x:row r="72">
      <x:c r="A72" s="78"/>
      <x:c r="B72" s="78"/>
      <x:c r="C72" s="78"/>
      <x:c r="D72" s="78"/>
      <x:c r="E72" s="78"/>
      <x:c r="F72" s="78"/>
      <x:c r="G72" s="78"/>
      <x:c r="H72" s="78"/>
      <x:c r="I72" s="78"/>
    </x:row>
    <x:row r="73">
      <x:c r="A73" s="78"/>
      <x:c r="B73" s="78"/>
      <x:c r="C73" s="78"/>
      <x:c r="D73" s="78"/>
      <x:c r="E73" s="78"/>
      <x:c r="F73" s="78"/>
      <x:c r="G73" s="78"/>
      <x:c r="H73" s="78"/>
      <x:c r="I73" s="78"/>
    </x:row>
    <x:row r="74">
      <x:c r="A74" s="78"/>
      <x:c r="B74" s="78"/>
      <x:c r="C74" s="78"/>
      <x:c r="D74" s="78"/>
      <x:c r="E74" s="78"/>
      <x:c r="F74" s="78"/>
      <x:c r="G74" s="78"/>
      <x:c r="H74" s="78"/>
      <x:c r="I74" s="78"/>
    </x:row>
    <x:row r="75">
      <x:c r="A75" s="78"/>
      <x:c r="B75" s="78"/>
      <x:c r="C75" s="78"/>
      <x:c r="D75" s="78"/>
      <x:c r="E75" s="78"/>
      <x:c r="F75" s="78"/>
      <x:c r="G75" s="78"/>
      <x:c r="H75" s="78"/>
      <x:c r="I75" s="78"/>
    </x:row>
    <x:row r="76">
      <x:c r="A76" s="78"/>
      <x:c r="B76" s="78"/>
      <x:c r="C76" s="78"/>
      <x:c r="D76" s="78"/>
      <x:c r="E76" s="78"/>
      <x:c r="F76" s="78"/>
      <x:c r="G76" s="78"/>
      <x:c r="H76" s="78"/>
      <x:c r="I76" s="78"/>
    </x:row>
    <x:row r="77">
      <x:c r="A77" s="78"/>
      <x:c r="B77" s="78"/>
      <x:c r="C77" s="78"/>
      <x:c r="D77" s="78"/>
      <x:c r="E77" s="78"/>
      <x:c r="F77" s="78"/>
      <x:c r="G77" s="78"/>
      <x:c r="H77" s="78"/>
      <x:c r="I77" s="78"/>
    </x:row>
    <x:row r="78">
      <x:c r="A78" s="78"/>
      <x:c r="B78" s="78"/>
      <x:c r="C78" s="78"/>
      <x:c r="D78" s="78"/>
      <x:c r="E78" s="78"/>
      <x:c r="F78" s="78"/>
      <x:c r="G78" s="78"/>
      <x:c r="H78" s="78"/>
      <x:c r="I78" s="78"/>
    </x:row>
    <x:row r="79">
      <x:c r="A79" s="78"/>
      <x:c r="B79" s="78"/>
      <x:c r="C79" s="78"/>
      <x:c r="D79" s="78"/>
      <x:c r="E79" s="78"/>
      <x:c r="F79" s="78"/>
      <x:c r="G79" s="78"/>
      <x:c r="H79" s="78"/>
      <x:c r="I79" s="78"/>
    </x:row>
    <x:row r="80">
      <x:c r="A80" s="78"/>
      <x:c r="B80" s="78"/>
      <x:c r="C80" s="78"/>
      <x:c r="D80" s="78"/>
      <x:c r="E80" s="78"/>
      <x:c r="F80" s="78"/>
      <x:c r="G80" s="78"/>
      <x:c r="H80" s="78"/>
      <x:c r="I80" s="78"/>
    </x:row>
    <x:row r="81">
      <x:c r="A81" s="78"/>
      <x:c r="B81" s="78"/>
      <x:c r="C81" s="78"/>
      <x:c r="D81" s="78"/>
      <x:c r="E81" s="78"/>
      <x:c r="F81" s="78"/>
      <x:c r="G81" s="78"/>
      <x:c r="H81" s="78"/>
      <x:c r="I81" s="78"/>
    </x:row>
    <x:row r="82">
      <x:c r="A82" s="78"/>
      <x:c r="B82" s="78"/>
      <x:c r="C82" s="78"/>
      <x:c r="D82" s="78"/>
      <x:c r="E82" s="78"/>
      <x:c r="F82" s="78"/>
      <x:c r="G82" s="78"/>
      <x:c r="H82" s="78"/>
      <x:c r="I82" s="78"/>
    </x:row>
    <x:row r="83">
      <x:c r="A83" s="78"/>
      <x:c r="B83" s="78"/>
      <x:c r="C83" s="78"/>
      <x:c r="D83" s="78"/>
      <x:c r="E83" s="78"/>
      <x:c r="F83" s="78"/>
      <x:c r="G83" s="78"/>
      <x:c r="H83" s="78"/>
      <x:c r="I83" s="78"/>
    </x:row>
    <x:row r="84">
      <x:c r="A84" s="78"/>
      <x:c r="B84" s="78"/>
      <x:c r="C84" s="78"/>
      <x:c r="D84" s="78"/>
      <x:c r="E84" s="78"/>
      <x:c r="F84" s="78"/>
      <x:c r="G84" s="78"/>
      <x:c r="H84" s="78"/>
      <x:c r="I84" s="78"/>
    </x:row>
    <x:row r="85">
      <x:c r="A85" s="78"/>
      <x:c r="B85" s="78"/>
      <x:c r="C85" s="78"/>
      <x:c r="D85" s="78"/>
      <x:c r="E85" s="78"/>
      <x:c r="F85" s="78"/>
      <x:c r="G85" s="78"/>
      <x:c r="H85" s="78"/>
      <x:c r="I85" s="78"/>
    </x:row>
    <x:row r="86">
      <x:c r="A86" s="78"/>
      <x:c r="B86" s="78"/>
      <x:c r="C86" s="78"/>
      <x:c r="D86" s="78"/>
      <x:c r="E86" s="78"/>
      <x:c r="F86" s="78"/>
      <x:c r="G86" s="78"/>
      <x:c r="H86" s="78"/>
      <x:c r="I86" s="78"/>
    </x:row>
    <x:row r="87">
      <x:c r="A87" s="78"/>
      <x:c r="B87" s="78"/>
      <x:c r="C87" s="78"/>
      <x:c r="D87" s="78"/>
      <x:c r="E87" s="78"/>
      <x:c r="F87" s="78"/>
      <x:c r="G87" s="78"/>
      <x:c r="H87" s="78"/>
      <x:c r="I87" s="78"/>
    </x:row>
    <x:row r="88">
      <x:c r="A88" s="78"/>
      <x:c r="B88" s="78"/>
      <x:c r="C88" s="78"/>
      <x:c r="D88" s="78"/>
      <x:c r="E88" s="78"/>
      <x:c r="F88" s="78"/>
      <x:c r="G88" s="78"/>
      <x:c r="H88" s="78"/>
      <x:c r="I88" s="78"/>
    </x:row>
    <x:row r="89">
      <x:c r="A89" s="78"/>
      <x:c r="B89" s="78"/>
      <x:c r="C89" s="78"/>
      <x:c r="D89" s="78"/>
      <x:c r="E89" s="78"/>
      <x:c r="F89" s="78"/>
      <x:c r="G89" s="78"/>
      <x:c r="H89" s="78"/>
      <x:c r="I89" s="78"/>
    </x:row>
    <x:row r="90">
      <x:c r="A90" s="78"/>
      <x:c r="B90" s="78"/>
      <x:c r="C90" s="78"/>
      <x:c r="D90" s="78"/>
      <x:c r="E90" s="78"/>
      <x:c r="F90" s="78"/>
      <x:c r="G90" s="78"/>
      <x:c r="H90" s="78"/>
      <x:c r="I90" s="78"/>
    </x:row>
    <x:row r="91">
      <x:c r="A91" s="78"/>
      <x:c r="B91" s="78"/>
      <x:c r="C91" s="78"/>
      <x:c r="D91" s="78"/>
      <x:c r="E91" s="78"/>
      <x:c r="F91" s="78"/>
      <x:c r="G91" s="78"/>
      <x:c r="H91" s="78"/>
      <x:c r="I91" s="78"/>
    </x:row>
    <x:row r="92">
      <x:c r="A92" s="78"/>
      <x:c r="B92" s="78"/>
      <x:c r="C92" s="78"/>
      <x:c r="D92" s="78"/>
      <x:c r="E92" s="78"/>
      <x:c r="F92" s="78"/>
      <x:c r="G92" s="78"/>
      <x:c r="H92" s="78"/>
      <x:c r="I92" s="78"/>
    </x:row>
    <x:row r="93">
      <x:c r="A93" s="78"/>
      <x:c r="B93" s="78"/>
      <x:c r="C93" s="78"/>
      <x:c r="D93" s="78"/>
      <x:c r="E93" s="78"/>
      <x:c r="F93" s="78"/>
      <x:c r="G93" s="78"/>
      <x:c r="H93" s="78"/>
      <x:c r="I93" s="78"/>
    </x:row>
    <x:row r="94">
      <x:c r="A94" s="78"/>
      <x:c r="B94" s="78"/>
      <x:c r="C94" s="78"/>
      <x:c r="D94" s="78"/>
      <x:c r="E94" s="78"/>
      <x:c r="F94" s="78"/>
      <x:c r="G94" s="78"/>
      <x:c r="H94" s="78"/>
      <x:c r="I94" s="78"/>
    </x:row>
    <x:row r="95">
      <x:c r="A95" s="78"/>
      <x:c r="B95" s="78"/>
      <x:c r="C95" s="78"/>
      <x:c r="D95" s="78"/>
      <x:c r="E95" s="78"/>
      <x:c r="F95" s="78"/>
      <x:c r="G95" s="78"/>
      <x:c r="H95" s="78"/>
      <x:c r="I95" s="78"/>
    </x:row>
    <x:row r="96">
      <x:c r="A96" s="78"/>
      <x:c r="B96" s="78"/>
      <x:c r="C96" s="78"/>
      <x:c r="D96" s="78"/>
      <x:c r="E96" s="78"/>
      <x:c r="F96" s="78"/>
      <x:c r="G96" s="78"/>
      <x:c r="H96" s="78"/>
      <x:c r="I96" s="78"/>
    </x:row>
    <x:row r="97">
      <x:c r="A97" s="78"/>
      <x:c r="B97" s="78"/>
      <x:c r="C97" s="78"/>
      <x:c r="D97" s="78"/>
      <x:c r="E97" s="78"/>
      <x:c r="F97" s="78"/>
      <x:c r="G97" s="78"/>
      <x:c r="H97" s="78"/>
      <x:c r="I97" s="78"/>
    </x:row>
    <x:row r="98">
      <x:c r="A98" s="78"/>
      <x:c r="B98" s="78"/>
      <x:c r="C98" s="78"/>
      <x:c r="D98" s="78"/>
      <x:c r="E98" s="78"/>
      <x:c r="F98" s="78"/>
      <x:c r="G98" s="78"/>
      <x:c r="H98" s="78"/>
      <x:c r="I98" s="78"/>
    </x:row>
    <x:row r="99">
      <x:c r="A99" s="78"/>
      <x:c r="B99" s="78"/>
      <x:c r="C99" s="78"/>
      <x:c r="D99" s="78"/>
      <x:c r="E99" s="78"/>
      <x:c r="F99" s="78"/>
      <x:c r="G99" s="78"/>
      <x:c r="H99" s="78"/>
      <x:c r="I99" s="78"/>
    </x:row>
    <x:row r="100">
      <x:c r="A100" s="78"/>
      <x:c r="B100" s="78"/>
      <x:c r="C100" s="78"/>
      <x:c r="D100" s="78"/>
      <x:c r="E100" s="78"/>
      <x:c r="F100" s="78"/>
      <x:c r="G100" s="78"/>
      <x:c r="H100" s="78"/>
      <x:c r="I100" s="78"/>
    </x:row>
  </x:sheetData>
  <x:mergeCells>
    <x:mergeCell ref="A1:I1"/>
    <x:mergeCell ref="A2:I2"/>
  </x:mergeCells>
  <x:dataValidations count="2">
    <x:dataValidation type="list" sqref="F5:F100">
      <x:formula1>"Next,High,Medium,Low"</x:formula1>
    </x:dataValidation>
    <x:dataValidation type="list" sqref="I5:I100">
      <x:formula1>"Deferred,Candidate,Approved,In Progress,Complete"</x:formula1>
    </x:dataValidation>
  </x:dataValidations>
  <x:pageMargins left="0.7" right="0.7" top="0.75" bottom="0.75" header="0.3" footer="0.3"/>
</x:worksheet>
</file>

<file path=xl/worksheets/sheet14.xml><?xml version="1.0" encoding="utf-8"?>
<x:worksheet xmlns:x="http://schemas.openxmlformats.org/spreadsheetml/2006/main">
  <x:sheetFormatPr defaultRowHeight="14.25"/>
  <x:cols>
    <x:col min="1" max="1" width="18" customWidth="1"/>
    <x:col min="2" max="2" width="34" hidden="0" customWidth="1"/>
    <x:col min="3" max="3" width="18" customWidth="1"/>
    <x:col min="4" max="4" width="36" customWidth="1"/>
    <x:col min="5" max="5" width="34" hidden="0" customWidth="1"/>
    <x:col min="6" max="6" width="28" customWidth="1"/>
    <x:col min="7" max="7" width="18" customWidth="1"/>
    <x:col min="8" max="8" width="22" customWidth="1"/>
  </x:cols>
  <x:sheetData>
    <x:row r="1" ht="27.950000762939453" customHeight="1">
      <x:c r="A1" s="598" t="str">
        <x:v>AI Project Context — v0.3.0 Package Assurance Pilot</x:v>
      </x:c>
      <x:c r="B1" s="447"/>
      <x:c r="C1" s="447"/>
      <x:c r="D1" s="447"/>
      <x:c r="E1" s="447"/>
      <x:c r="F1" s="447"/>
      <x:c r="G1" s="447"/>
      <x:c r="H1" s="447"/>
    </x:row>
    <x:row r="2" ht="32.099998474121094" customHeight="1">
      <x:c r="A2" s="609" t="str">
        <x:v>Read this sheet at the start of every work block. Product Vision sets strategy; Pilot Gantt is the active operational baseline. Detailed Gantt and MVP Dashboard preserve the frozen v0.2.0 release history.</x:v>
      </x:c>
      <x:c r="B2" s="609"/>
      <x:c r="C2" s="609"/>
      <x:c r="D2" s="609"/>
      <x:c r="E2" s="609"/>
      <x:c r="F2" s="609"/>
      <x:c r="G2" s="609"/>
      <x:c r="H2" s="609"/>
    </x:row>
    <x:row r="3">
      <x:c r="A3" s="447"/>
      <x:c r="B3" s="447"/>
      <x:c r="C3" s="447"/>
      <x:c r="D3" s="447"/>
      <x:c r="E3" s="447"/>
      <x:c r="F3" s="447"/>
      <x:c r="G3" s="447"/>
      <x:c r="H3" s="447"/>
    </x:row>
    <x:row r="4" ht="15.75">
      <x:c r="A4" s="723" t="str">
        <x:v>Current State</x:v>
      </x:c>
      <x:c r="B4" s="447"/>
      <x:c r="C4" s="447"/>
      <x:c r="D4" s="447"/>
      <x:c r="E4" s="447"/>
      <x:c r="F4" s="447"/>
      <x:c r="G4" s="447"/>
      <x:c r="H4" s="447"/>
    </x:row>
    <x:row r="5" ht="42" customHeight="1">
      <x:c r="A5" s="449" t="str">
        <x:v>Last updated</x:v>
      </x:c>
      <x:c r="B5" s="447" t="str">
        <x:v>2026-07-15</x:v>
      </x:c>
      <x:c r="C5" s="449" t="str">
        <x:v>Control baseline</x:v>
      </x:c>
      <x:c r="D5" s="447" t="str">
        <x:v>Program v2.0 / v0.3.0 pilot</x:v>
      </x:c>
      <x:c r="E5" s="449" t="str">
        <x:v>Target finish</x:v>
      </x:c>
      <x:c r="F5" s="447" t="str">
        <x:v>2026-08-23</x:v>
      </x:c>
      <x:c r="G5" s="449" t="str">
        <x:v>Time tracking</x:v>
      </x:c>
      <x:c r="H5" s="447" t="str">
        <x:v>Waived prospectively; historical workbook values retained</x:v>
      </x:c>
    </x:row>
    <x:row r="6" ht="48" hidden="0" customHeight="1">
      <x:c r="A6" s="449" t="str">
        <x:v>Repository state</x:v>
      </x:c>
      <x:c r="B6" s="447" t="str">
        <x:v>v0.2.0 released and frozen at accepted commit 45336a2</x:v>
      </x:c>
      <x:c r="C6" s="449" t="str">
        <x:v>Verification</x:v>
      </x:c>
      <x:c r="D6" s="447" t="str">
        <x:v>121 tests; clean-clone acceptance; baseline 9/9; demo 2/2</x:v>
      </x:c>
      <x:c r="E6" s="449" t="str">
        <x:v>Active release</x:v>
      </x:c>
      <x:c r="F6" s="447" t="str">
        <x:v>v0.3.0 Package Assurance Pilot</x:v>
      </x:c>
      <x:c r="G6" s="449" t="str">
        <x:v>Active WBS</x:v>
      </x:c>
      <x:c r="H6" s="447" t="str">
        <x:v>P0.2 - acceptance plan and benchmark protocol</x:v>
      </x:c>
    </x:row>
    <x:row r="7" ht="48" hidden="0" customHeight="1">
      <x:c r="A7" s="449" t="str">
        <x:v>Released capability</x:v>
      </x:c>
      <x:c r="B7" s="447" t="str">
        <x:v>Model/runtime-agnostic deterministic evaluation kernel with candidate loading, mandatory gates, deterministic checks, weighted scoring, structured evidence, evaluate CLI, immutable results, five reviewed cases, frozen split, CI, docs, demo, and release proof.</x:v>
      </x:c>
      <x:c r="C7" s="449" t="str">
        <x:v>Current gap</x:v>
      </x:c>
      <x:c r="D7" s="447" t="str">
        <x:v>No package-level data model, authority hierarchy, cross-document relationship engine, issue register, release-readiness states, or true unseen package benchmark.</x:v>
      </x:c>
      <x:c r="E7" s="449" t="str">
        <x:v>Product interpretation</x:v>
      </x:c>
      <x:c r="F7" s="447" t="str">
        <x:v>Successful kernel; not yet a complete economically useful workflow.</x:v>
      </x:c>
      <x:c r="G7" s="449" t="str">
        <x:v>Response</x:v>
      </x:c>
      <x:c r="H7" s="447" t="str">
        <x:v>Build one vertical end-to-end without restarting the repository.</x:v>
      </x:c>
    </x:row>
    <x:row r="8" ht="48" hidden="0" customHeight="1">
      <x:c r="A8" s="449" t="str">
        <x:v>Immediate next action</x:v>
      </x:c>
      <x:c r="B8" s="447" t="str">
        <x:v>Review and accept the P0.2 benchmark protocol before implementation. Then begin P1.1 on a separate package-manifest capability branch.</x:v>
      </x:c>
      <x:c r="C8" s="449" t="str">
        <x:v>Selected vertical</x:v>
      </x:c>
      <x:c r="D8" s="447" t="str">
        <x:v>Drawing register ↔ drawing metadata ↔ BOM/equipment list ↔ datasheet/specification metadata ↔ revision history.</x:v>
      </x:c>
      <x:c r="E8" s="449" t="str">
        <x:v>Primary deliverable</x:v>
      </x:c>
      <x:c r="F8" s="447" t="str">
        <x:v>Evidence-linked issue register plus release-readiness summary.</x:v>
      </x:c>
      <x:c r="G8" s="449" t="str">
        <x:v>Scope rule</x:v>
      </x:c>
      <x:c r="H8" s="447" t="str">
        <x:v>Structured CSV/JSON manifests and file references first; no PDF/CAD extraction in v0.3.0.</x:v>
      </x:c>
    </x:row>
    <x:row r="9" ht="48" customHeight="1">
      <x:c r="A9" s="450" t="str">
        <x:v>GPT-5.6 operating model</x:v>
      </x:c>
      <x:c r="B9" s="451" t="str">
        <x:v>Use stronger long-horizon capability for repo reconnaissance, multi-file implementation, tool coordination, test recovery, document/spreadsheet production, and independent review.</x:v>
      </x:c>
      <x:c r="C9" s="450" t="str">
        <x:v>Supervision rule</x:v>
      </x:c>
      <x:c r="D9" s="451" t="str">
        <x:v>Explicitly bound actions, use isolated branches/worktrees, review diffs and commands, require tests/evidence, and obtain approval before destructive or external actions.</x:v>
      </x:c>
      <x:c r="E9" s="450" t="str">
        <x:v>Parallelism rule</x:v>
      </x:c>
      <x:c r="F9" s="451" t="str">
        <x:v>Parallelize only independent workstreams with non-overlapping files and acceptance criteria.</x:v>
      </x:c>
      <x:c r="G9" s="450" t="str">
        <x:v>Verification rule</x:v>
      </x:c>
      <x:c r="H9" s="451" t="str">
        <x:v>Completion claims require command output, tests, generated artifacts, and a clean diff/state; never accept plausible narrative alone.</x:v>
      </x:c>
    </x:row>
    <x:row r="10" ht="15.75">
      <x:c r="A10" s="723" t="str">
        <x:v>Required Start-of-Block Protocol</x:v>
      </x:c>
      <x:c r="B10" s="447"/>
      <x:c r="C10" s="447"/>
      <x:c r="D10" s="723" t="str">
        <x:v>Required End-of-Block Protocol</x:v>
      </x:c>
      <x:c r="E10" s="447"/>
      <x:c r="F10" s="447"/>
      <x:c r="G10" s="447"/>
      <x:c r="H10" s="447"/>
    </x:row>
    <x:row r="11" ht="42" customHeight="1">
      <x:c r="A11" s="449" t="n">
        <x:v>1</x:v>
      </x:c>
      <x:c r="B11" s="447" t="str">
        <x:v>Read Start Here, AI Context, and the active/next rows in Pilot Gantt.</x:v>
      </x:c>
      <x:c r="C11" s="447"/>
      <x:c r="D11" s="449" t="n">
        <x:v>1</x:v>
      </x:c>
      <x:c r="E11" s="447" t="str">
        <x:v>Preserve historical time records; prospective work-block time tracking is waived.</x:v>
      </x:c>
      <x:c r="F11" s="447"/>
      <x:c r="G11" s="447"/>
      <x:c r="H11" s="447"/>
    </x:row>
    <x:row r="12" ht="42" customHeight="1">
      <x:c r="A12" s="449" t="n">
        <x:v>2</x:v>
      </x:c>
      <x:c r="B12" s="447" t="str">
        <x:v>Read the last three Work Block Log rows and open risks/decisions/evidence.</x:v>
      </x:c>
      <x:c r="C12" s="447"/>
      <x:c r="D12" s="449" t="n">
        <x:v>2</x:v>
      </x:c>
      <x:c r="E12" s="447" t="str">
        <x:v>Update Pilot Gantt status, percent complete, evidence, notes, and exact next action.</x:v>
      </x:c>
      <x:c r="F12" s="447"/>
      <x:c r="G12" s="447"/>
      <x:c r="H12" s="447"/>
    </x:row>
    <x:row r="13" ht="42" customHeight="1">
      <x:c r="A13" s="449" t="n">
        <x:v>3</x:v>
      </x:c>
      <x:c r="B13" s="447" t="str">
        <x:v>State active WBS, objective, branch, and definition of done. Do not request or estimate work-block duration.</x:v>
      </x:c>
      <x:c r="C13" s="447"/>
      <x:c r="D13" s="449" t="n">
        <x:v>3</x:v>
      </x:c>
      <x:c r="E13" s="447" t="str">
        <x:v>Add accepted artifacts to Evidence Register; record material decisions and risks.</x:v>
      </x:c>
      <x:c r="F13" s="447"/>
      <x:c r="G13" s="447"/>
      <x:c r="H13" s="447"/>
    </x:row>
    <x:row r="14" ht="42" customHeight="1">
      <x:c r="A14" s="449" t="n">
        <x:v>4</x:v>
      </x:c>
      <x:c r="B14" s="447" t="str">
        <x:v>Identify authoritative files and protected assets before allowing edits.</x:v>
      </x:c>
      <x:c r="C14" s="447"/>
      <x:c r="D14" s="449" t="n">
        <x:v>4</x:v>
      </x:c>
      <x:c r="E14" s="447" t="str">
        <x:v>Run focused tests, full tests when justified, and inspect generated outputs/diffs.</x:v>
      </x:c>
      <x:c r="F14" s="447"/>
      <x:c r="G14" s="447"/>
      <x:c r="H14" s="447"/>
    </x:row>
    <x:row r="15" ht="42" customHeight="1">
      <x:c r="A15" s="449" t="n">
        <x:v>5</x:v>
      </x:c>
      <x:c r="B15" s="447" t="str">
        <x:v>Reject work that does not directly advance the active v0.3.0 deliverable.</x:v>
      </x:c>
      <x:c r="C15" s="447"/>
      <x:c r="D15" s="449" t="n">
        <x:v>5</x:v>
      </x:c>
      <x:c r="E15" s="447" t="str">
        <x:v>Confirm branch/commit/clean-state evidence and state unresolved blockers honestly.</x:v>
      </x:c>
      <x:c r="F15" s="447"/>
      <x:c r="G15" s="447"/>
      <x:c r="H15" s="447"/>
    </x:row>
    <x:row r="16">
      <x:c r="A16" s="447"/>
      <x:c r="B16" s="447"/>
      <x:c r="C16" s="447"/>
      <x:c r="D16" s="447"/>
      <x:c r="E16" s="447"/>
      <x:c r="F16" s="447"/>
      <x:c r="G16" s="447"/>
      <x:c r="H16" s="447"/>
    </x:row>
    <x:row r="17" ht="15.75">
      <x:c r="A17" s="723" t="str">
        <x:v>Architecture and Product Boundaries</x:v>
      </x:c>
      <x:c r="B17" s="447"/>
      <x:c r="C17" s="447"/>
      <x:c r="D17" s="723" t="str">
        <x:v>v0.3.0 Definition of Done</x:v>
      </x:c>
      <x:c r="E17" s="447"/>
      <x:c r="F17" s="447"/>
      <x:c r="G17" s="447"/>
      <x:c r="H17" s="447"/>
    </x:row>
    <x:row r="18" ht="42" customHeight="1">
      <x:c r="A18" s="449" t="str">
        <x:v>Task</x:v>
      </x:c>
      <x:c r="B18" s="447" t="str">
        <x:v>Instructions, controlled inputs, deliverable, constraints, authority model, and evaluation intent.</x:v>
      </x:c>
      <x:c r="C18" s="447"/>
      <x:c r="D18" s="449" t="n">
        <x:v>1</x:v>
      </x:c>
      <x:c r="E18" s="447" t="str">
        <x:v>Approved workflow contract and authority map.</x:v>
      </x:c>
      <x:c r="F18" s="447"/>
      <x:c r="G18" s="447"/>
      <x:c r="H18" s="447"/>
    </x:row>
    <x:row r="19" ht="42" customHeight="1">
      <x:c r="A19" s="449" t="str">
        <x:v>Agent</x:v>
      </x:c>
      <x:c r="B19" s="447" t="str">
        <x:v>Direct model, Codex/OpenClaw/another harness, deterministic software, or human producer remains replaceable.</x:v>
      </x:c>
      <x:c r="C19" s="447"/>
      <x:c r="D19" s="449" t="n">
        <x:v>2</x:v>
      </x:c>
      <x:c r="E19" s="447" t="str">
        <x:v>Versioned package manifest plus development and held-out packages.</x:v>
      </x:c>
      <x:c r="F19" s="447"/>
      <x:c r="G19" s="447"/>
      <x:c r="H19" s="447"/>
    </x:row>
    <x:row r="20" ht="42" customHeight="1">
      <x:c r="A20" s="449" t="str">
        <x:v>Environment</x:v>
      </x:c>
      <x:c r="B20" s="447" t="str">
        <x:v>Files, tools, permissions, shell/GUI state, network access, and destructive/external actions are explicitly bounded.</x:v>
      </x:c>
      <x:c r="C20" s="447"/>
      <x:c r="D20" s="449" t="n">
        <x:v>3</x:v>
      </x:c>
      <x:c r="E20" s="447" t="str">
        <x:v>Mandatory package gates before consistency scoring.</x:v>
      </x:c>
      <x:c r="F20" s="447"/>
      <x:c r="G20" s="447"/>
      <x:c r="H20" s="447"/>
    </x:row>
    <x:row r="21" ht="42" customHeight="1">
      <x:c r="A21" s="449" t="str">
        <x:v>Trace / Artifacts</x:v>
      </x:c>
      <x:c r="B21" s="447" t="str">
        <x:v>Actions, tool calls, file states, errors, corrections, candidate artifacts, and generated reports are preserved.</x:v>
      </x:c>
      <x:c r="C21" s="447"/>
      <x:c r="D21" s="449" t="n">
        <x:v>4</x:v>
      </x:c>
      <x:c r="E21" s="447" t="str">
        <x:v>Deterministic cross-document checks with evidence.</x:v>
      </x:c>
      <x:c r="F21" s="447"/>
      <x:c r="G21" s="447"/>
      <x:c r="H21" s="447"/>
    </x:row>
    <x:row r="22" ht="42" customHeight="1">
      <x:c r="A22" s="449" t="str">
        <x:v>Evaluator</x:v>
      </x:c>
      <x:c r="B22" s="447" t="str">
        <x:v>Independent gates, rules, tolerances, authority resolution, result-state routing, and failure evidence.</x:v>
      </x:c>
      <x:c r="C22" s="447"/>
      <x:c r="D22" s="449" t="n">
        <x:v>5</x:v>
      </x:c>
      <x:c r="E22" s="447" t="str">
        <x:v>Explicit pass/fail/review/missing-authority/tool-failure/uncertainty states.</x:v>
      </x:c>
      <x:c r="F22" s="447"/>
      <x:c r="G22" s="447"/>
      <x:c r="H22" s="447"/>
    </x:row>
    <x:row r="23" ht="42" customHeight="1">
      <x:c r="A23" s="449" t="str">
        <x:v>Results</x:v>
      </x:c>
      <x:c r="B23" s="447" t="str">
        <x:v>Immutable package result, issue register, release summary, artifact references, versions, and benchmark status.</x:v>
      </x:c>
      <x:c r="C23" s="447"/>
      <x:c r="D23" s="449" t="n">
        <x:v>6</x:v>
      </x:c>
      <x:c r="E23" s="447" t="str">
        <x:v>audit-package CLI plus immutable result and report views.</x:v>
      </x:c>
      <x:c r="F23" s="447"/>
      <x:c r="G23" s="447"/>
      <x:c r="H23" s="447"/>
    </x:row>
    <x:row r="24" ht="42" customHeight="1">
      <x:c r="A24" s="449" t="str">
        <x:v>Separation rule</x:v>
      </x:c>
      <x:c r="B24" s="447" t="str">
        <x:v>Benchmark case definitions and golden relationships are versioned inputs; runs and reports are generated evidence.</x:v>
      </x:c>
      <x:c r="C24" s="447"/>
      <x:c r="D24" s="449" t="n">
        <x:v>7</x:v>
      </x:c>
      <x:c r="E24" s="447" t="str">
        <x:v>Frozen development/held-out benchmark and false-negative review.</x:v>
      </x:c>
      <x:c r="F24" s="447"/>
      <x:c r="G24" s="447"/>
      <x:c r="H24" s="447"/>
    </x:row>
    <x:row r="25" ht="42" customHeight="1">
      <x:c r="A25" s="449" t="str">
        <x:v>Engineering boundary</x:v>
      </x:c>
      <x:c r="B25" s="447" t="str">
        <x:v>No engineering sign-off, stamped deliverables, autonomous release, code-compliance opinion, or final safety-critical decision.</x:v>
      </x:c>
      <x:c r="C25" s="447"/>
      <x:c r="D25" s="449" t="n">
        <x:v>8</x:v>
      </x:c>
      <x:c r="E25" s="447" t="str">
        <x:v>Tests, CI, clean-clone acceptance, docs, demo, service specification, and v0.3.0 tag.</x:v>
      </x:c>
      <x:c r="F25" s="447"/>
      <x:c r="G25" s="447"/>
      <x:c r="H25" s="447"/>
    </x:row>
    <x:row r="26" ht="42" customHeight="1">
      <x:c r="A26" s="447"/>
      <x:c r="B26" s="447"/>
      <x:c r="C26" s="447"/>
      <x:c r="D26" s="447"/>
      <x:c r="E26" s="447"/>
      <x:c r="F26" s="447"/>
      <x:c r="G26" s="447"/>
      <x:c r="H26" s="447"/>
    </x:row>
    <x:row r="27" ht="15.75">
      <x:c r="A27" s="723" t="str">
        <x:v>Current Evidence and Known Gaps</x:v>
      </x:c>
      <x:c r="B27" s="447"/>
      <x:c r="C27" s="447"/>
      <x:c r="D27" s="447"/>
      <x:c r="E27" s="447"/>
      <x:c r="F27" s="447"/>
      <x:c r="G27" s="447"/>
      <x:c r="H27" s="447"/>
    </x:row>
    <x:row r="28" ht="56" hidden="0" customHeight="1">
      <x:c r="A28" s="449" t="str">
        <x:v>Evidence</x:v>
      </x:c>
      <x:c r="B28" s="447" t="str">
        <x:v>v0.2.0 is released at accepted commit 45336a2 with five reviewed cases, 121 tests, clean-clone acceptance, baseline 9/9, demo 2/2, immutable results, CI, documentation, and an annotated tag.</x:v>
      </x:c>
      <x:c r="C28" s="449" t="str">
        <x:v>Gap</x:v>
      </x:c>
      <x:c r="D28" s="447" t="str">
        <x:v>The evidence proves the kernel, not a realistic package-assurance outcome.</x:v>
      </x:c>
      <x:c r="E28" s="449" t="str">
        <x:v>Response</x:v>
      </x:c>
      <x:c r="F28" s="447" t="str">
        <x:v>Preserve v0.2.0; build v0.3.0 as a separate vertical release.</x:v>
      </x:c>
      <x:c r="G28" s="449" t="str">
        <x:v>Owner</x:v>
      </x:c>
      <x:c r="H28" s="447" t="str">
        <x:v>Jason</x:v>
      </x:c>
    </x:row>
    <x:row r="29" ht="56" hidden="0" customHeight="1">
      <x:c r="A29" s="449" t="str">
        <x:v>Evidence</x:v>
      </x:c>
      <x:c r="B29" s="447" t="str">
        <x:v>Existing cases already exercise revision auditing, BOM reconciliation, unit errors, and structured failure evidence.</x:v>
      </x:c>
      <x:c r="C29" s="449" t="str">
        <x:v>Gap</x:v>
      </x:c>
      <x:c r="D29" s="447" t="str">
        <x:v>They are isolated case files rather than one coherent multi-document release package.</x:v>
      </x:c>
      <x:c r="E29" s="449" t="str">
        <x:v>Response</x:v>
      </x:c>
      <x:c r="F29" s="447" t="str">
        <x:v>Create a package manifest and relationship model that composes those concepts.</x:v>
      </x:c>
      <x:c r="G29" s="449" t="str">
        <x:v>Owner</x:v>
      </x:c>
      <x:c r="H29" s="447" t="str">
        <x:v>Jason</x:v>
      </x:c>
    </x:row>
    <x:row r="30" ht="56" hidden="0" customHeight="1">
      <x:c r="A30" s="449" t="str">
        <x:v>Evidence</x:v>
      </x:c>
      <x:c r="B30" s="447" t="str">
        <x:v>MECH-003 is frozen as held-out but was historically seen before the split.</x:v>
      </x:c>
      <x:c r="C30" s="449" t="str">
        <x:v>Gap</x:v>
      </x:c>
      <x:c r="D30" s="447" t="str">
        <x:v>It is not a pristine blind benchmark.</x:v>
      </x:c>
      <x:c r="E30" s="449" t="str">
        <x:v>Response</x:v>
      </x:c>
      <x:c r="F30" s="447" t="str">
        <x:v>Author and freeze a materially distinct held-out package before rule tuning.</x:v>
      </x:c>
      <x:c r="G30" s="449" t="str">
        <x:v>Owner</x:v>
      </x:c>
      <x:c r="H30" s="447" t="str">
        <x:v>Jason</x:v>
      </x:c>
    </x:row>
    <x:row r="31" ht="56" customHeight="1">
      <x:c r="A31" s="449" t="str">
        <x:v>Evidence</x:v>
      </x:c>
      <x:c r="B31" s="447" t="str">
        <x:v>GPT-5.6 materially improves long-horizon coding, professional workflows, tool use, computer use, and artifact production.</x:v>
      </x:c>
      <x:c r="C31" s="449" t="str">
        <x:v>Gap</x:v>
      </x:c>
      <x:c r="D31" s="447" t="str">
        <x:v>Stronger agents can also overreach, take unauthorized actions, or overclaim completion.</x:v>
      </x:c>
      <x:c r="E31" s="449" t="str">
        <x:v>Response</x:v>
      </x:c>
      <x:c r="F31" s="447" t="str">
        <x:v>Use supervised worktrees, explicit permissions, independent verification, and deterministic acceptance gates.</x:v>
      </x:c>
      <x:c r="G31" s="449" t="str">
        <x:v>Owner</x:v>
      </x:c>
      <x:c r="H31" s="447" t="str">
        <x:v>Jason</x:v>
      </x:c>
    </x:row>
    <x:row r="32" ht="56" customHeight="1">
      <x:c r="A32" s="449" t="str">
        <x:v>Control rule</x:v>
      </x:c>
      <x:c r="B32" s="447" t="str">
        <x:v>One branch per coherent capability; tests support the product; failed runs and uncertainty are evidence.</x:v>
      </x:c>
      <x:c r="C32" s="449" t="str">
        <x:v>Risk</x:v>
      </x:c>
      <x:c r="D32" s="447" t="str">
        <x:v>Planning, framework work, or extraction complexity can displace the actual package workflow.</x:v>
      </x:c>
      <x:c r="E32" s="449" t="str">
        <x:v>Response</x:v>
      </x:c>
      <x:c r="F32" s="447" t="str">
        <x:v>Complete P0.1 → P0.2 → P1.1 in sequence; defer everything else.</x:v>
      </x:c>
      <x:c r="G32" s="449" t="str">
        <x:v>Owner</x:v>
      </x:c>
      <x:c r="H32" s="447" t="str">
        <x:v>Jason</x:v>
      </x:c>
    </x:row>
    <x:row r="33">
      <x:c r="A33" s="447"/>
      <x:c r="B33" s="447"/>
      <x:c r="C33" s="447"/>
      <x:c r="D33" s="447"/>
      <x:c r="E33" s="447"/>
      <x:c r="F33" s="447"/>
      <x:c r="G33" s="447"/>
      <x:c r="H33" s="447"/>
    </x:row>
    <x:row r="34" ht="15">
      <x:c r="A34" s="724" t="str">
        <x:v>Strategic Product Direction</x:v>
      </x:c>
      <x:c r="B34" s="724"/>
      <x:c r="C34" s="724"/>
      <x:c r="D34" s="724"/>
      <x:c r="E34" s="724"/>
      <x:c r="F34" s="724"/>
      <x:c r="G34" s="724"/>
      <x:c r="H34" s="724"/>
    </x:row>
    <x:row r="35" ht="30" customHeight="1">
      <x:c r="A35" s="604" t="str">
        <x:v>Current product</x:v>
      </x:c>
      <x:c r="B35" s="605"/>
      <x:c r="C35" s="606" t="str">
        <x:v>Mechanical Technical Document Evaluation Harness v0.2.0 — frozen evaluation kernel.</x:v>
      </x:c>
      <x:c r="D35" s="607"/>
      <x:c r="E35" s="607"/>
      <x:c r="F35" s="607"/>
      <x:c r="G35" s="607"/>
      <x:c r="H35" s="608"/>
    </x:row>
    <x:row r="36" ht="30" customHeight="1">
      <x:c r="A36" s="604" t="str">
        <x:v>Active release</x:v>
      </x:c>
      <x:c r="B36" s="605"/>
      <x:c r="C36" s="606" t="str">
        <x:v>v0.3.0 Package Assurance Pilot — structured mechanical package consistency audit.</x:v>
      </x:c>
      <x:c r="D36" s="607"/>
      <x:c r="E36" s="607"/>
      <x:c r="F36" s="607"/>
      <x:c r="G36" s="607"/>
      <x:c r="H36" s="608"/>
    </x:row>
    <x:row r="37" ht="30" customHeight="1">
      <x:c r="A37" s="604" t="str">
        <x:v>Highest-value workflow</x:v>
      </x:c>
      <x:c r="B37" s="605"/>
      <x:c r="C37" s="606" t="str">
        <x:v>Pre-release checking of controlled document sets to prevent wrong revisions, missing items, inconsistent tags, quantities, specifications, and datasheet associations.</x:v>
      </x:c>
      <x:c r="D37" s="607"/>
      <x:c r="E37" s="607"/>
      <x:c r="F37" s="607"/>
      <x:c r="G37" s="607"/>
      <x:c r="H37" s="608"/>
    </x:row>
    <x:row r="38" ht="30" customHeight="1">
      <x:c r="A38" s="604" t="str">
        <x:v>Output</x:v>
      </x:c>
      <x:c r="B38" s="605"/>
      <x:c r="C38" s="606" t="str">
        <x:v>Evidence-linked issue register, mandatory-hold findings, release-readiness summary, uncertainty/authority gaps, and reproducible result record.</x:v>
      </x:c>
      <x:c r="D38" s="607"/>
      <x:c r="E38" s="607"/>
      <x:c r="F38" s="607"/>
      <x:c r="G38" s="607"/>
      <x:c r="H38" s="608"/>
    </x:row>
    <x:row r="39" ht="30" customHeight="1">
      <x:c r="A39" s="604" t="str">
        <x:v>Commercial position</x:v>
      </x:c>
      <x:c r="B39" s="605"/>
      <x:c r="C39" s="606" t="str">
        <x:v>Service-first Mechanical Document Consistency Audit and engineering-domain AI evaluation packages; the harness remains the internal production and verification engine.</x:v>
      </x:c>
      <x:c r="D39" s="607"/>
      <x:c r="E39" s="607"/>
      <x:c r="F39" s="607"/>
      <x:c r="G39" s="607"/>
      <x:c r="H39" s="608"/>
    </x:row>
    <x:row r="40" ht="30" customHeight="1">
      <x:c r="A40" s="604" t="str">
        <x:v>Architecture invariant</x:v>
      </x:c>
      <x:c r="B40" s="605"/>
      <x:c r="C40" s="606" t="str">
        <x:v>The producing agent remains replaceable and the evaluator independent; task, environment, trace/artifacts, evaluator, and results stay separate.</x:v>
      </x:c>
      <x:c r="D40" s="607"/>
      <x:c r="E40" s="607"/>
      <x:c r="F40" s="607"/>
      <x:c r="G40" s="607"/>
      <x:c r="H40" s="608"/>
    </x:row>
    <x:row r="41" ht="30" hidden="0" customHeight="1">
      <x:c r="A41" s="604" t="str">
        <x:v>Immediate implication</x:v>
      </x:c>
      <x:c r="B41" s="605"/>
      <x:c r="C41" s="606" t="str">
        <x:v>P0.2 is reviewed; obtain user acceptance before P1.1. Do not build extraction, agent runtime, API/database, observability, RAG, or RL until the structured workflow passes its benchmark.</x:v>
      </x:c>
      <x:c r="D41" s="607"/>
      <x:c r="E41" s="607"/>
      <x:c r="F41" s="607"/>
      <x:c r="G41" s="607"/>
      <x:c r="H41" s="608"/>
    </x:row>
  </x:sheetData>
  <x:mergeCells>
    <x:mergeCell ref="A40:B40"/>
    <x:mergeCell ref="C40:H40"/>
    <x:mergeCell ref="A41:B41"/>
    <x:mergeCell ref="C41:H41"/>
    <x:mergeCell ref="A2:H2"/>
    <x:mergeCell ref="A37:B37"/>
    <x:mergeCell ref="C37:H37"/>
    <x:mergeCell ref="A38:B38"/>
    <x:mergeCell ref="C38:H38"/>
    <x:mergeCell ref="A39:B39"/>
    <x:mergeCell ref="C39:H39"/>
    <x:mergeCell ref="A27:H27"/>
    <x:mergeCell ref="A34:H34"/>
    <x:mergeCell ref="A35:B35"/>
    <x:mergeCell ref="C35:H35"/>
    <x:mergeCell ref="A36:B36"/>
    <x:mergeCell ref="C36:H36"/>
    <x:mergeCell ref="A1:H1"/>
    <x:mergeCell ref="A4:H4"/>
    <x:mergeCell ref="A10:B10"/>
    <x:mergeCell ref="D10:H10"/>
    <x:mergeCell ref="A17:B17"/>
    <x:mergeCell ref="D17:H17"/>
  </x:mergeCells>
  <x:pageMargins left="0.7" right="0.7" top="0.75" bottom="0.75" header="0.3" footer="0.3"/>
</x:worksheet>
</file>

<file path=xl/worksheets/sheet15.xml><?xml version="1.0" encoding="utf-8"?>
<x:worksheet xmlns:x="http://schemas.openxmlformats.org/spreadsheetml/2006/main">
  <x:sheetFormatPr defaultRowHeight="14.25"/>
  <x:cols>
    <x:col min="1" max="1" width="24" customWidth="1"/>
    <x:col min="2" max="2" width="14" customWidth="1"/>
    <x:col min="3" max="3" width="20" customWidth="1"/>
    <x:col min="4" max="4" width="46" customWidth="1"/>
    <x:col min="5" max="5" width="18" customWidth="1"/>
    <x:col min="6" max="6" width="24" hidden="0" customWidth="1"/>
    <x:col min="7" max="14" width="14" customWidth="1"/>
    <x:col min="7" max="7" width="42" hidden="0" customWidth="1"/>
    <x:col min="8" max="8" width="20" hidden="0" customWidth="1"/>
  </x:cols>
  <x:sheetData>
    <x:row r="1" ht="26" customHeight="1">
      <x:c r="A1" s="234" t="str">
        <x:v>v0.2.0 Release Dashboard — Historical Baseline</x:v>
      </x:c>
      <x:c r="B1" s="235"/>
      <x:c r="C1" s="235"/>
      <x:c r="D1" s="235"/>
      <x:c r="E1" s="235"/>
      <x:c r="F1" s="235"/>
      <x:c r="G1" s="235"/>
      <x:c r="H1" s="235"/>
      <x:c r="I1" s="235"/>
      <x:c r="J1" s="235"/>
      <x:c r="K1" s="235"/>
      <x:c r="L1" s="235"/>
      <x:c r="M1" s="235"/>
      <x:c r="N1" s="235"/>
    </x:row>
    <x:row r="2" ht="30" customHeight="1">
      <x:c r="A2" s="651" t="str">
        <x:v>This sheet preserves the accepted v0.2.0 release evidence. Active planning and progress are now controlled by Pilot Dashboard and Pilot Gantt.</x:v>
      </x:c>
      <x:c r="B2" s="651"/>
      <x:c r="C2" s="651"/>
      <x:c r="D2" s="651"/>
      <x:c r="E2" s="651"/>
      <x:c r="F2" s="651"/>
      <x:c r="G2" s="651"/>
      <x:c r="H2" s="651"/>
    </x:row>
    <x:row r="3" ht="15.75">
      <x:c r="A3" s="237" t="s">
        <x:v>770</x:v>
      </x:c>
      <x:c r="B3" s="235"/>
      <x:c r="C3" s="235"/>
      <x:c r="D3" s="235"/>
      <x:c r="F3" s="237" t="s">
        <x:v>771</x:v>
      </x:c>
      <x:c r="G3" s="235"/>
      <x:c r="H3" s="235"/>
      <x:c r="I3" s="235"/>
      <x:c r="J3" s="235"/>
      <x:c r="K3" s="235"/>
      <x:c r="L3" s="235"/>
      <x:c r="M3" s="235"/>
      <x:c r="N3" s="235"/>
    </x:row>
    <x:row r="4" ht="26.399999618530273" hidden="0" customHeight="1">
      <x:c r="A4" s="79" t="s">
        <x:v>44</x:v>
      </x:c>
      <x:c r="B4" s="166">
        <x:v>46257</x:v>
      </x:c>
      <x:c r="F4" s="449" t="s">
        <x:v>772</x:v>
      </x:c>
      <x:c r="G4" s="610" t="str">
        <x:v>Post-MVP — Select next expansion</x:v>
      </x:c>
      <x:c r="H4" s="610"/>
      <x:c r="I4" s="246"/>
      <x:c r="J4" s="245"/>
      <x:c r="K4" s="245"/>
      <x:c r="L4" s="246"/>
      <x:c r="M4" s="245"/>
      <x:c r="N4" s="245"/>
    </x:row>
    <x:row r="5" ht="14.25" hidden="0" customHeight="1">
      <x:c r="A5" s="79" t="s">
        <x:v>2</x:v>
      </x:c>
      <x:c r="B5" s="167">
        <x:v>76</x:v>
      </x:c>
      <x:c r="F5" s="449" t="s">
        <x:v>773</x:v>
      </x:c>
      <x:c r="G5" s="610" t="str">
        <x:v>Define acceptance criteria for the selected expansion</x:v>
      </x:c>
      <x:c r="H5" s="610"/>
      <x:c r="I5" s="246"/>
      <x:c r="J5" s="245"/>
      <x:c r="K5" s="245"/>
      <x:c r="L5" s="246"/>
      <x:c r="M5" s="245"/>
      <x:c r="N5" s="245"/>
    </x:row>
    <x:row r="6" ht="92.4000015258789" hidden="0" customHeight="1">
      <x:c r="A6" s="79" t="s">
        <x:v>774</x:v>
      </x:c>
      <x:c r="B6" s="168" t="n">
        <x:f>'Phase Summary'!D10</x:f>
        <x:v>17.39</x:v>
      </x:c>
      <x:c r="F6" s="449" t="s">
        <x:v>775</x:v>
      </x:c>
      <x:c r="G6" s="610" t="str">
        <x:v>MVP v0.2.0 is released. The deterministic JSON-first evaluation kernel, five-case benchmark, frozen split, baseline, immutable evidence, CI, documentation, portfolio demo, limitations, clean-clone acceptance, and annotated tag are complete.</x:v>
      </x:c>
      <x:c r="H6" s="610"/>
      <x:c r="I6" s="246"/>
      <x:c r="J6" s="245"/>
      <x:c r="K6" s="245"/>
      <x:c r="L6" s="246"/>
      <x:c r="M6" s="245"/>
      <x:c r="N6" s="245"/>
    </x:row>
    <x:row r="7" ht="52.79999923706055" hidden="0" customHeight="1">
      <x:c r="A7" s="79" t="s">
        <x:v>776</x:v>
      </x:c>
      <x:c r="B7" s="169" t="n">
        <x:f>'Phase Summary'!E10</x:f>
        <x:v>1</x:v>
      </x:c>
      <x:c r="F7" s="449" t="s">
        <x:v>777</x:v>
      </x:c>
      <x:c r="G7" s="610" t="str">
        <x:v>Freeze the v0.2.0 baseline and run a separate backlog-selection decision using market value, artifact potential, engineering/QA fit, measurable completion, compute/cost, confidentiality, and professional-safety criteria.</x:v>
      </x:c>
      <x:c r="H7" s="610"/>
      <x:c r="I7" s="246"/>
      <x:c r="J7" s="245"/>
      <x:c r="K7" s="245"/>
      <x:c r="L7" s="246"/>
      <x:c r="M7" s="245"/>
      <x:c r="N7" s="245"/>
    </x:row>
    <x:row r="8" ht="52.79999923706055" hidden="0" customHeight="1">
      <x:c r="A8" s="79" t="s">
        <x:v>778</x:v>
      </x:c>
      <x:c r="B8" s="167" t="n">
        <x:v>121</x:v>
      </x:c>
      <x:c r="F8" s="449" t="s">
        <x:v>779</x:v>
      </x:c>
      <x:c r="G8" s="610" t="str">
        <x:v>Post-MVP scope drift: do not begin multimodal, agent, API/database, observability, deployment, governance-pack, or RL implementation without a selected workflow and explicit acceptance criteria.</x:v>
      </x:c>
      <x:c r="H8" s="610"/>
      <x:c r="I8" s="246"/>
      <x:c r="J8" s="245"/>
      <x:c r="K8" s="245"/>
      <x:c r="L8" s="246"/>
      <x:c r="M8" s="245"/>
      <x:c r="N8" s="245"/>
    </x:row>
    <x:row r="9" ht="26.399999618530273" hidden="0" customHeight="1">
      <x:c r="A9" s="79" t="str">
        <x:v>Reviewed Cases</x:v>
      </x:c>
      <x:c r="B9" s="167" t="n">
        <x:v>5</x:v>
      </x:c>
      <x:c r="F9" s="449" t="s">
        <x:v>704</x:v>
      </x:c>
      <x:c r="G9" s="610" t="str">
        <x:v>All expansion work until one backlog item is selected.</x:v>
      </x:c>
      <x:c r="H9" s="610"/>
      <x:c r="I9" s="246"/>
      <x:c r="J9" s="245"/>
      <x:c r="K9" s="245"/>
      <x:c r="L9" s="246"/>
      <x:c r="M9" s="245"/>
      <x:c r="N9" s="245"/>
    </x:row>
    <x:row r="10" ht="14.25" hidden="0" customHeight="1">
      <x:c r="A10" s="79" t="s">
        <x:v>780</x:v>
      </x:c>
      <x:c r="B10" s="167" t="n">
        <x:v>22</x:v>
      </x:c>
      <x:c r="F10" s="156" t="s">
        <x:v>781</x:v>
      </x:c>
      <x:c r="G10" s="610" t="str">
        <x:v>Public, synthetic, self-authored, or authorized data only.</x:v>
      </x:c>
      <x:c r="H10" s="610"/>
      <x:c r="I10" s="245"/>
      <x:c r="J10" s="245"/>
      <x:c r="K10" s="245"/>
      <x:c r="L10" s="245"/>
      <x:c r="M10" s="245"/>
      <x:c r="N10" s="245"/>
    </x:row>
    <x:row r="11" ht="32" customHeight="1">
      <x:c r="A11" s="79" t="str">
        <x:v>Current Main</x:v>
      </x:c>
      <x:c r="B11" s="167" t="str">
        <x:v>MVP v0.2.0 released; accepted commit 45336a2; tag object 8d426d2; Gates 1–6 passed; five cases; 121 tests</x:v>
      </x:c>
    </x:row>
    <x:row r="13" ht="15.75">
      <x:c r="A13" s="237" t="s">
        <x:v>782</x:v>
      </x:c>
      <x:c r="B13" s="235"/>
      <x:c r="C13" s="235"/>
      <x:c r="D13" s="235"/>
      <x:c r="E13" s="235"/>
    </x:row>
    <x:row r="14" ht="30">
      <x:c r="A14" s="80" t="s">
        <x:v>1</x:v>
      </x:c>
      <x:c r="B14" s="80" t="s">
        <x:v>2</x:v>
      </x:c>
      <x:c r="C14" s="80" t="s">
        <x:v>3</x:v>
      </x:c>
      <x:c r="D14" s="80" t="s">
        <x:v>4</x:v>
      </x:c>
      <x:c r="E14" s="80" t="s">
        <x:v>148</x:v>
      </x:c>
    </x:row>
    <x:row r="15" ht="28.5">
      <x:c r="A15" s="78" t="s">
        <x:v>18</x:v>
      </x:c>
      <x:c r="B15" s="82">
        <x:v>8</x:v>
      </x:c>
      <x:c r="C15" s="82" t="n">
        <x:f>SUMIF('Detailed Gantt'!$B$6:$B$27,A15,'Detailed Gantt'!$M$6:$M$27)</x:f>
        <x:v>7.550000000000001</x:v>
      </x:c>
      <x:c r="D15" s="170" t="n">
        <x:f>IF(B15=0,0,SUMPRODUCT(('Detailed Gantt'!$B$6:$B$27=A15)*'Detailed Gantt'!$F$6:$F$27*'Detailed Gantt'!$L$6:$L$27)/B15)</x:f>
        <x:v>1</x:v>
      </x:c>
      <x:c r="E15" s="78" t="s">
        <x:v>19</x:v>
      </x:c>
    </x:row>
    <x:row r="16" ht="42.75">
      <x:c r="A16" s="78" t="s">
        <x:v>23</x:v>
      </x:c>
      <x:c r="B16" s="82">
        <x:v>24</x:v>
      </x:c>
      <x:c r="C16" s="82" t="n">
        <x:f>SUMIF('Detailed Gantt'!$B$6:$B$27,A16,'Detailed Gantt'!$M$6:$M$27)</x:f>
        <x:v>4.9</x:v>
      </x:c>
      <x:c r="D16" s="170" t="n">
        <x:f>IF(B16=0,0,SUMPRODUCT(('Detailed Gantt'!$B$6:$B$27=A16)*'Detailed Gantt'!$F$6:$F$27*'Detailed Gantt'!$L$6:$L$27)/B16)</x:f>
        <x:v>1</x:v>
      </x:c>
      <x:c r="E16" s="78" t="s">
        <x:v>24</x:v>
      </x:c>
    </x:row>
    <x:row r="17" ht="28.5">
      <x:c r="A17" s="78" t="s">
        <x:v>27</x:v>
      </x:c>
      <x:c r="B17" s="82">
        <x:v>14</x:v>
      </x:c>
      <x:c r="C17" s="82" t="n">
        <x:f>SUMIF('Detailed Gantt'!$B$6:$B$27,A17,'Detailed Gantt'!$M$6:$M$27)</x:f>
        <x:v>1.5799999999999998</x:v>
      </x:c>
      <x:c r="D17" s="170" t="n">
        <x:f>IF(B17=0,0,SUMPRODUCT(('Detailed Gantt'!$B$6:$B$27=A17)*'Detailed Gantt'!$F$6:$F$27*'Detailed Gantt'!$L$6:$L$27)/B17)</x:f>
        <x:v>1</x:v>
      </x:c>
      <x:c r="E17" s="78" t="s">
        <x:v>28</x:v>
      </x:c>
    </x:row>
    <x:row r="18" ht="28.5">
      <x:c r="A18" s="78" t="s">
        <x:v>31</x:v>
      </x:c>
      <x:c r="B18" s="82">
        <x:v>14</x:v>
      </x:c>
      <x:c r="C18" s="82" t="n">
        <x:f>SUMIF('Detailed Gantt'!$B$6:$B$27,A18,'Detailed Gantt'!$M$6:$M$27)</x:f>
        <x:v>1.97</x:v>
      </x:c>
      <x:c r="D18" s="170" t="n">
        <x:f>IF(B18=0,0,SUMPRODUCT(('Detailed Gantt'!$B$6:$B$27=A18)*'Detailed Gantt'!$F$6:$F$27*'Detailed Gantt'!$L$6:$L$27)/B18)</x:f>
        <x:v>1</x:v>
      </x:c>
      <x:c r="E18" s="78" t="s">
        <x:v>32</x:v>
      </x:c>
    </x:row>
    <x:row r="19" ht="42.75">
      <x:c r="A19" s="78" t="s">
        <x:v>35</x:v>
      </x:c>
      <x:c r="B19" s="82">
        <x:v>8</x:v>
      </x:c>
      <x:c r="C19" s="82" t="n">
        <x:f>SUMIF('Detailed Gantt'!$B$6:$B$27,A19,'Detailed Gantt'!$M$6:$M$27)</x:f>
        <x:v>0.72</x:v>
      </x:c>
      <x:c r="D19" s="170" t="n">
        <x:f>IF(B19=0,0,SUMPRODUCT(('Detailed Gantt'!$B$6:$B$27=A19)*'Detailed Gantt'!$F$6:$F$27*'Detailed Gantt'!$L$6:$L$27)/B19)</x:f>
        <x:v>1</x:v>
      </x:c>
      <x:c r="E19" s="78" t="s">
        <x:v>36</x:v>
      </x:c>
    </x:row>
    <x:row r="20" ht="28.5">
      <x:c r="A20" s="78" t="s">
        <x:v>39</x:v>
      </x:c>
      <x:c r="B20" s="82">
        <x:v>8</x:v>
      </x:c>
      <x:c r="C20" s="82" t="n">
        <x:f>SUMIF('Detailed Gantt'!$B$6:$B$27,A20,'Detailed Gantt'!$M$6:$M$27)</x:f>
        <x:v>0.6699999999999999</x:v>
      </x:c>
      <x:c r="D20" s="170" t="n">
        <x:f>IF(B20=0,0,SUMPRODUCT(('Detailed Gantt'!$B$6:$B$27=A20)*'Detailed Gantt'!$F$6:$F$27*'Detailed Gantt'!$L$6:$L$27)/B20)</x:f>
        <x:v>1</x:v>
      </x:c>
      <x:c r="E20" s="78" t="str">
        <x:v>Gate 6 — MVP v0.2.0 release</x:v>
      </x:c>
    </x:row>
    <x:row r="23" ht="15.75">
      <x:c r="A23" s="237" t="s">
        <x:v>783</x:v>
      </x:c>
      <x:c r="B23" s="235"/>
      <x:c r="C23" s="235"/>
      <x:c r="D23" s="235"/>
      <x:c r="E23" s="235"/>
      <x:c r="F23" s="235"/>
      <x:c r="G23" s="235"/>
      <x:c r="H23" s="235"/>
      <x:c r="I23" s="235"/>
      <x:c r="J23" s="235"/>
      <x:c r="K23" s="235"/>
      <x:c r="L23" s="235"/>
      <x:c r="M23" s="235"/>
      <x:c r="N23" s="235"/>
    </x:row>
    <x:row r="24" ht="30" customHeight="1">
      <x:c r="A24" s="175" t="s">
        <x:v>674</x:v>
      </x:c>
      <x:c r="B24" s="175" t="s">
        <x:v>48</x:v>
      </x:c>
      <x:c r="C24" s="175" t="s">
        <x:v>784</x:v>
      </x:c>
      <x:c r="D24" s="175" t="s">
        <x:v>785</x:v>
      </x:c>
      <x:c r="E24" s="175" t="s">
        <x:v>178</x:v>
      </x:c>
      <x:c r="F24" s="175" t="s">
        <x:v>786</x:v>
      </x:c>
      <x:c r="G24" s="175" t="s">
        <x:v>181</x:v>
      </x:c>
      <x:c r="H24" s="175" t="s">
        <x:v>565</x:v>
      </x:c>
    </x:row>
    <x:row r="25" ht="72" customHeight="1">
      <x:c r="A25" s="564" t="n">
        <x:v>1</x:v>
      </x:c>
      <x:c r="B25" s="564" t="str">
        <x:v>Post-MVP</x:v>
      </x:c>
      <x:c r="C25" s="431" t="str">
        <x:v>Select next expansion backlog item</x:v>
      </x:c>
      <x:c r="D25" s="431" t="str">
        <x:v>One capability is selected using durable-skill, engineering/QA fit, artifact, paid-role, reuse, measurable-completion, compute/cost, confidentiality, and safety criteria.</x:v>
      </x:c>
      <x:c r="E25" s="564" t="n">
        <x:v>9</x:v>
      </x:c>
      <x:c r="F25" s="431" t="str">
        <x:v>planning/post-mvp-selection</x:v>
      </x:c>
      <x:c r="G25" s="431" t="str">
        <x:v>Recorded decision, ranked alternatives, and explicit reason for selection</x:v>
      </x:c>
      <x:c r="H25" s="564" t="str">
        <x:v>Jason</x:v>
      </x:c>
    </x:row>
    <x:row r="26" ht="60" customHeight="1">
      <x:c r="A26" s="564" t="n">
        <x:v>2</x:v>
      </x:c>
      <x:c r="B26" s="564" t="str">
        <x:v>Post-MVP</x:v>
      </x:c>
      <x:c r="C26" s="431" t="str">
        <x:v>Define acceptance criteria</x:v>
      </x:c>
      <x:c r="D26" s="431" t="str">
        <x:v>The selected capability has a bounded workflow, inputs, deliverable, deterministic evaluation plan, test cases, evidence, risks, and stop condition.</x:v>
      </x:c>
      <x:c r="E26" s="564" t="n">
        <x:v>9</x:v>
      </x:c>
      <x:c r="F26" s="431" t="str">
        <x:v>TBD after selection</x:v>
      </x:c>
      <x:c r="G26" s="431" t="str">
        <x:v>One scoped work package and definition of done</x:v>
      </x:c>
      <x:c r="H26" s="564" t="str">
        <x:v>Jason</x:v>
      </x:c>
    </x:row>
    <x:row r="27" ht="78" customHeight="1">
      <x:c r="A27" s="564" t="n">
        <x:v>3</x:v>
      </x:c>
      <x:c r="B27" s="564" t="str">
        <x:v>Post-MVP</x:v>
      </x:c>
      <x:c r="C27" s="431" t="str">
        <x:v>Begin highest-value expansion</x:v>
      </x:c>
      <x:c r="D27" s="431" t="str">
        <x:v>Implementation starts only after the selected work package directly advances a measurable mechanical workflow-assurance use case.</x:v>
      </x:c>
      <x:c r="E27" s="564" t="n">
        <x:v>9</x:v>
      </x:c>
      <x:c r="F27" s="431" t="str">
        <x:v>TBD</x:v>
      </x:c>
      <x:c r="G27" s="431" t="str">
        <x:v>One approved capability branch with runnable acceptance evidence</x:v>
      </x:c>
      <x:c r="H27" s="564" t="str">
        <x:v>Jason</x:v>
      </x:c>
    </x:row>
  </x:sheetData>
  <x:mergeCells>
    <x:mergeCell ref="A1:N1"/>
    <x:mergeCell ref="A3:D3"/>
    <x:mergeCell ref="F3:N3"/>
    <x:mergeCell ref="A13:E13"/>
    <x:mergeCell ref="A23:N23"/>
  </x:mergeCells>
  <x:conditionalFormatting sqref="D15:D20">
    <x:cfRule type="dataBar" priority="1">
      <x:dataBar>
        <x:cfvo type="min"/>
        <x:cfvo type="max"/>
        <x:color rgb="FF2F75B5"/>
      </x:dataBar>
    </x:cfRule>
    <x:cfRule type="dataBar" priority="2">
      <x:dataBar>
        <x:cfvo type="min"/>
        <x:cfvo type="max"/>
        <x:color rgb="FF2F75B5"/>
      </x:dataBar>
      <x:extLst>
        <x:ext xmlns:x14="http://schemas.microsoft.com/office/spreadsheetml/2009/9/main" uri="{B025F937-C7B1-47D3-B67F-A62EFF666E3E}">
          <x14:id>{D1214ACC-5D14-E3A4-5673-BCFD96F7FC1E}</x14:id>
        </x:ext>
      </x:extLst>
    </x:cfRule>
  </x:conditionalFormatting>
  <x:pageMargins left="0.7" right="0.7" top="0.75" bottom="0.75" header="0.3" footer="0.3"/>
  <x:drawing xmlns:r="http://schemas.openxmlformats.org/officeDocument/2006/relationships" r:id="R5a1b89daa9964f52"/>
  <x:extLst>
    <x:ext xmlns:x14="http://schemas.microsoft.com/office/spreadsheetml/2009/9/main" xmlns:xm="http://schemas.microsoft.com/office/excel/2006/main" uri="{78C0D931-6437-407d-A8EE-F0AAD7539E65}">
      <x14:conditionalFormattings>
        <x14:conditionalFormatting>
          <x14:cfRule type="dataBar" priority="2" id="{D1214ACC-5D14-E3A4-5673-BCFD96F7FC1E}">
            <x14:dataBar>
              <x14:cfvo type="min"/>
              <x14:cfvo type="max"/>
              <x14:fillColor rgb="FF2F75B5"/>
              <x14:negativeFillColor auto="1"/>
              <x14:axisColor auto="1"/>
            </x14:dataBar>
          </x14:cfRule>
          <xm:sqref>D15:D20</xm:sqref>
        </x14:conditionalFormatting>
      </x14:conditionalFormattings>
    </x:ext>
  </x:extLst>
</x:worksheet>
</file>

<file path=xl/worksheets/sheet16.xml><?xml version="1.0" encoding="utf-8"?>
<x:worksheet xmlns:x="http://schemas.openxmlformats.org/spreadsheetml/2006/main">
  <x:sheetFormatPr defaultRowHeight="14.25"/>
  <x:cols>
    <x:col min="1" max="1" width="12" customWidth="1"/>
    <x:col min="2" max="2" width="18" customWidth="1"/>
    <x:col min="3" max="3" width="22" customWidth="1"/>
    <x:col min="4" max="5" width="28" customWidth="1"/>
    <x:col min="6" max="6" width="24" customWidth="1"/>
    <x:col min="7" max="7" width="14" customWidth="1"/>
    <x:col min="8" max="8" width="24" customWidth="1"/>
  </x:cols>
  <x:sheetData>
    <x:row r="1" ht="27.950000762939453" customHeight="1">
      <x:c r="A1" s="247" t="str">
        <x:v>Mechanical Engineering Workflow Assurance Platform — Product Vision</x:v>
      </x:c>
      <x:c r="B1" s="247"/>
      <x:c r="C1" s="247"/>
      <x:c r="D1" s="247"/>
      <x:c r="E1" s="247"/>
      <x:c r="F1" s="247"/>
      <x:c r="G1" s="247"/>
      <x:c r="H1" s="247"/>
    </x:row>
    <x:row r="2" ht="42" customHeight="1">
      <x:c r="A2" s="248" t="str">
        <x:v>The v0.2.0 Mechanical Technical Document Evaluation Harness is the frozen, model- and runtime-agnostic evaluation kernel. The active v0.3.0 release adds one economically meaningful structured package-assurance workflow without turning the repository into a generic agent framework.</x:v>
      </x:c>
      <x:c r="B2" s="248"/>
      <x:c r="C2" s="248"/>
      <x:c r="D2" s="248"/>
      <x:c r="E2" s="248"/>
      <x:c r="F2" s="248"/>
      <x:c r="G2" s="248"/>
      <x:c r="H2" s="248"/>
    </x:row>
    <x:row r="4" ht="15">
      <x:c r="A4" s="238" t="s">
        <x:v>787</x:v>
      </x:c>
      <x:c r="B4" s="238"/>
      <x:c r="C4" s="238"/>
      <x:c r="D4" s="238"/>
      <x:c r="E4" s="238"/>
      <x:c r="F4" s="238"/>
      <x:c r="G4" s="238"/>
      <x:c r="H4" s="238"/>
    </x:row>
    <x:row r="5" ht="33.95000076293945" customHeight="1">
      <x:c r="A5" s="239" t="s">
        <x:v>788</x:v>
      </x:c>
      <x:c r="B5" s="240"/>
      <x:c r="C5" s="241" t="s">
        <x:v>789</x:v>
      </x:c>
      <x:c r="D5" s="242"/>
      <x:c r="E5" s="242"/>
      <x:c r="F5" s="242"/>
      <x:c r="G5" s="242"/>
      <x:c r="H5" s="243"/>
    </x:row>
    <x:row r="6" ht="33.95000076293945" customHeight="1">
      <x:c r="A6" s="239" t="s">
        <x:v>790</x:v>
      </x:c>
      <x:c r="B6" s="240"/>
      <x:c r="C6" s="241" t="str">
        <x:v>Mechanical Technical Document Evaluation Harness v0.2.0 — released evaluation kernel</x:v>
      </x:c>
      <x:c r="D6" s="242"/>
      <x:c r="E6" s="242"/>
      <x:c r="F6" s="242"/>
      <x:c r="G6" s="242"/>
      <x:c r="H6" s="243"/>
    </x:row>
    <x:row r="7" ht="33.95000076293945" customHeight="1">
      <x:c r="A7" s="239" t="s">
        <x:v>791</x:v>
      </x:c>
      <x:c r="B7" s="240"/>
      <x:c r="C7" s="241" t="s">
        <x:v>792</x:v>
      </x:c>
      <x:c r="D7" s="242"/>
      <x:c r="E7" s="242"/>
      <x:c r="F7" s="242"/>
      <x:c r="G7" s="242"/>
      <x:c r="H7" s="243"/>
    </x:row>
    <x:row r="8" ht="33.95000076293945" customHeight="1">
      <x:c r="A8" s="239" t="s">
        <x:v>793</x:v>
      </x:c>
      <x:c r="B8" s="240"/>
      <x:c r="C8" s="241" t="str">
        <x:v>Reduce review labour and prevent wrong-revision, missing-document, tag, quantity, material/specification, procurement, fabrication, field, and turnover errors before release.</x:v>
      </x:c>
      <x:c r="D8" s="242"/>
      <x:c r="E8" s="242"/>
      <x:c r="F8" s="242"/>
      <x:c r="G8" s="242"/>
      <x:c r="H8" s="243"/>
    </x:row>
    <x:row r="9" ht="33.95000076293945" customHeight="1">
      <x:c r="A9" s="239" t="s">
        <x:v>794</x:v>
      </x:c>
      <x:c r="B9" s="240"/>
      <x:c r="C9" s="241" t="s">
        <x:v>795</x:v>
      </x:c>
      <x:c r="D9" s="242"/>
      <x:c r="E9" s="242"/>
      <x:c r="F9" s="242"/>
      <x:c r="G9" s="242"/>
      <x:c r="H9" s="243"/>
    </x:row>
    <x:row r="11" ht="15">
      <x:c r="A11" s="238" t="s">
        <x:v>796</x:v>
      </x:c>
      <x:c r="B11" s="238"/>
      <x:c r="C11" s="238"/>
      <x:c r="D11" s="238"/>
      <x:c r="E11" s="238"/>
      <x:c r="F11" s="238"/>
      <x:c r="G11" s="238"/>
      <x:c r="H11" s="238"/>
    </x:row>
    <x:row r="12" ht="33.95000076293945" customHeight="1">
      <x:c r="A12" s="179" t="s">
        <x:v>797</x:v>
      </x:c>
      <x:c r="B12" s="180" t="s">
        <x:v>798</x:v>
      </x:c>
      <x:c r="C12" s="180" t="s">
        <x:v>799</x:v>
      </x:c>
      <x:c r="D12" s="180" t="s">
        <x:v>800</x:v>
      </x:c>
      <x:c r="E12" s="180" t="s">
        <x:v>801</x:v>
      </x:c>
      <x:c r="F12" s="180" t="s">
        <x:v>673</x:v>
      </x:c>
      <x:c r="G12" s="180" t="s">
        <x:v>56</x:v>
      </x:c>
      <x:c r="H12" s="181" t="s">
        <x:v>802</x:v>
      </x:c>
    </x:row>
    <x:row r="13" ht="78" customHeight="1">
      <x:c r="A13" s="182" t="s">
        <x:v>17</x:v>
      </x:c>
      <x:c r="B13" s="183" t="s">
        <x:v>803</x:v>
      </x:c>
      <x:c r="C13" s="183" t="s">
        <x:v>804</x:v>
      </x:c>
      <x:c r="D13" s="183" t="s">
        <x:v>805</x:v>
      </x:c>
      <x:c r="E13" s="183" t="s">
        <x:v>806</x:v>
      </x:c>
      <x:c r="F13" s="183" t="s">
        <x:v>807</x:v>
      </x:c>
      <x:c r="G13" s="183" t="str">
        <x:v>Released</x:v>
      </x:c>
      <x:c r="H13" s="184" t="str">
        <x:v>Frozen at v0.2.0; corrective releases only unless explicitly approved.</x:v>
      </x:c>
    </x:row>
    <x:row r="14" ht="78" customHeight="1">
      <x:c r="A14" s="185" t="s">
        <x:v>22</x:v>
      </x:c>
      <x:c r="B14" s="83" t="s">
        <x:v>808</x:v>
      </x:c>
      <x:c r="C14" s="83" t="s">
        <x:v>809</x:v>
      </x:c>
      <x:c r="D14" s="83" t="s">
        <x:v>810</x:v>
      </x:c>
      <x:c r="E14" s="83" t="s">
        <x:v>811</x:v>
      </x:c>
      <x:c r="F14" s="83" t="s">
        <x:v>812</x:v>
      </x:c>
      <x:c r="G14" s="83" t="str">
        <x:v>Active — v0.3.0</x:v>
      </x:c>
      <x:c r="H14" s="186" t="str">
        <x:v>Structured manifests and file references first; issue register and release summary required.</x:v>
      </x:c>
    </x:row>
    <x:row r="15" ht="78" customHeight="1">
      <x:c r="A15" s="185" t="s">
        <x:v>26</x:v>
      </x:c>
      <x:c r="B15" s="83" t="s">
        <x:v>808</x:v>
      </x:c>
      <x:c r="C15" s="83" t="s">
        <x:v>813</x:v>
      </x:c>
      <x:c r="D15" s="83" t="s">
        <x:v>814</x:v>
      </x:c>
      <x:c r="E15" s="83" t="s">
        <x:v>815</x:v>
      </x:c>
      <x:c r="F15" s="83" t="s">
        <x:v>816</x:v>
      </x:c>
      <x:c r="G15" s="83" t="str">
        <x:v>Deferred — v0.4+</x:v>
      </x:c>
      <x:c r="H15" s="186" t="str">
        <x:v>Add extraction adapters only after the structured workflow benchmark is stable.</x:v>
      </x:c>
    </x:row>
    <x:row r="16" ht="78" customHeight="1">
      <x:c r="A16" s="185" t="s">
        <x:v>30</x:v>
      </x:c>
      <x:c r="B16" s="83" t="s">
        <x:v>808</x:v>
      </x:c>
      <x:c r="C16" s="83" t="s">
        <x:v>817</x:v>
      </x:c>
      <x:c r="D16" s="83" t="s">
        <x:v>818</x:v>
      </x:c>
      <x:c r="E16" s="83" t="s">
        <x:v>819</x:v>
      </x:c>
      <x:c r="F16" s="83" t="s">
        <x:v>820</x:v>
      </x:c>
      <x:c r="G16" s="83" t="str">
        <x:v>Active in structured form</x:v>
      </x:c>
      <x:c r="H16" s="186" t="str">
        <x:v>v0.3.0 implements register/metadata/BOM/datasheet/revision consistency; native document adapters remain deferred.</x:v>
      </x:c>
    </x:row>
    <x:row r="17" ht="78" customHeight="1">
      <x:c r="A17" s="185" t="s">
        <x:v>34</x:v>
      </x:c>
      <x:c r="B17" s="83" t="s">
        <x:v>808</x:v>
      </x:c>
      <x:c r="C17" s="83" t="s">
        <x:v>821</x:v>
      </x:c>
      <x:c r="D17" s="83" t="s">
        <x:v>822</x:v>
      </x:c>
      <x:c r="E17" s="83" t="s">
        <x:v>823</x:v>
      </x:c>
      <x:c r="F17" s="83" t="s">
        <x:v>824</x:v>
      </x:c>
      <x:c r="G17" s="83" t="str">
        <x:v>Deferred</x:v>
      </x:c>
      <x:c r="H17" s="186" t="str">
        <x:v>Require sandbox, least privilege, trace schema, and independent artifact evaluator.</x:v>
      </x:c>
    </x:row>
    <x:row r="18" ht="78" customHeight="1">
      <x:c r="A18" s="185" t="s">
        <x:v>38</x:v>
      </x:c>
      <x:c r="B18" s="83" t="s">
        <x:v>808</x:v>
      </x:c>
      <x:c r="C18" s="83" t="s">
        <x:v>825</x:v>
      </x:c>
      <x:c r="D18" s="83" t="s">
        <x:v>826</x:v>
      </x:c>
      <x:c r="E18" s="83" t="s">
        <x:v>827</x:v>
      </x:c>
      <x:c r="F18" s="83" t="s">
        <x:v>828</x:v>
      </x:c>
      <x:c r="G18" s="83" t="str">
        <x:v>Deferred</x:v>
      </x:c>
      <x:c r="H18" s="186" t="str">
        <x:v>Requires controlled standards access, calibrated cases, and qualified human review.</x:v>
      </x:c>
    </x:row>
    <x:row r="19" ht="78" customHeight="1">
      <x:c r="A19" s="187" t="s">
        <x:v>439</x:v>
      </x:c>
      <x:c r="B19" s="188" t="s">
        <x:v>829</x:v>
      </x:c>
      <x:c r="C19" s="188" t="s">
        <x:v>830</x:v>
      </x:c>
      <x:c r="D19" s="188" t="s">
        <x:v>831</x:v>
      </x:c>
      <x:c r="E19" s="188" t="s">
        <x:v>832</x:v>
      </x:c>
      <x:c r="F19" s="188" t="s">
        <x:v>833</x:v>
      </x:c>
      <x:c r="G19" s="188" t="str">
        <x:v>Future</x:v>
      </x:c>
      <x:c r="H19" s="189" t="str">
        <x:v>Productize only after repeatable pilot evidence and controlled false-negative risk.</x:v>
      </x:c>
    </x:row>
    <x:row r="21" ht="15">
      <x:c r="A21" s="238" t="s">
        <x:v>834</x:v>
      </x:c>
      <x:c r="B21" s="238"/>
      <x:c r="C21" s="238"/>
      <x:c r="D21" s="238"/>
      <x:c r="E21" s="238"/>
      <x:c r="F21" s="238"/>
      <x:c r="G21" s="238"/>
      <x:c r="H21" s="238"/>
    </x:row>
    <x:row r="22" ht="38.099998474121094" customHeight="1">
      <x:c r="A22" s="239" t="s">
        <x:v>835</x:v>
      </x:c>
      <x:c r="B22" s="240"/>
      <x:c r="C22" s="241" t="s">
        <x:v>836</x:v>
      </x:c>
      <x:c r="D22" s="242"/>
      <x:c r="E22" s="242"/>
      <x:c r="F22" s="242"/>
      <x:c r="G22" s="242"/>
      <x:c r="H22" s="243"/>
    </x:row>
    <x:row r="23" ht="38.099998474121094" customHeight="1">
      <x:c r="A23" s="239" t="s">
        <x:v>837</x:v>
      </x:c>
      <x:c r="B23" s="240"/>
      <x:c r="C23" s="241" t="s">
        <x:v>838</x:v>
      </x:c>
      <x:c r="D23" s="242"/>
      <x:c r="E23" s="242"/>
      <x:c r="F23" s="242"/>
      <x:c r="G23" s="242"/>
      <x:c r="H23" s="243"/>
    </x:row>
    <x:row r="24" ht="38.099998474121094" customHeight="1">
      <x:c r="A24" s="239" t="s">
        <x:v>839</x:v>
      </x:c>
      <x:c r="B24" s="240"/>
      <x:c r="C24" s="241" t="s">
        <x:v>840</x:v>
      </x:c>
      <x:c r="D24" s="242"/>
      <x:c r="E24" s="242"/>
      <x:c r="F24" s="242"/>
      <x:c r="G24" s="242"/>
      <x:c r="H24" s="243"/>
    </x:row>
    <x:row r="25" ht="38.099998474121094" customHeight="1">
      <x:c r="A25" s="239" t="s">
        <x:v>841</x:v>
      </x:c>
      <x:c r="B25" s="240"/>
      <x:c r="C25" s="241" t="s">
        <x:v>842</x:v>
      </x:c>
      <x:c r="D25" s="242"/>
      <x:c r="E25" s="242"/>
      <x:c r="F25" s="242"/>
      <x:c r="G25" s="242"/>
      <x:c r="H25" s="243"/>
    </x:row>
    <x:row r="26" ht="38.099998474121094" customHeight="1">
      <x:c r="A26" s="239" t="s">
        <x:v>843</x:v>
      </x:c>
      <x:c r="B26" s="240"/>
      <x:c r="C26" s="241" t="s">
        <x:v>844</x:v>
      </x:c>
      <x:c r="D26" s="242"/>
      <x:c r="E26" s="242"/>
      <x:c r="F26" s="242"/>
      <x:c r="G26" s="242"/>
      <x:c r="H26" s="243"/>
    </x:row>
    <x:row r="27" ht="38.099998474121094" customHeight="1">
      <x:c r="A27" s="239" t="s">
        <x:v>845</x:v>
      </x:c>
      <x:c r="B27" s="240"/>
      <x:c r="C27" s="241" t="s">
        <x:v>846</x:v>
      </x:c>
      <x:c r="D27" s="242"/>
      <x:c r="E27" s="242"/>
      <x:c r="F27" s="242"/>
      <x:c r="G27" s="242"/>
      <x:c r="H27" s="243"/>
    </x:row>
    <x:row r="28" ht="38.099998474121094" customHeight="1">
      <x:c r="A28" s="239" t="s">
        <x:v>847</x:v>
      </x:c>
      <x:c r="B28" s="240"/>
      <x:c r="C28" s="241" t="s">
        <x:v>848</x:v>
      </x:c>
      <x:c r="D28" s="242"/>
      <x:c r="E28" s="242"/>
      <x:c r="F28" s="242"/>
      <x:c r="G28" s="242"/>
      <x:c r="H28" s="243"/>
    </x:row>
    <x:row r="29" ht="38.099998474121094" customHeight="1">
      <x:c r="A29" s="239" t="s">
        <x:v>849</x:v>
      </x:c>
      <x:c r="B29" s="240"/>
      <x:c r="C29" s="241" t="s">
        <x:v>850</x:v>
      </x:c>
      <x:c r="D29" s="242"/>
      <x:c r="E29" s="242"/>
      <x:c r="F29" s="242"/>
      <x:c r="G29" s="242"/>
      <x:c r="H29" s="243"/>
    </x:row>
    <x:row r="31" ht="15">
      <x:c r="A31" s="238" t="str">
        <x:v>Selected v0.3.0 Workflow</x:v>
      </x:c>
      <x:c r="B31" s="238"/>
      <x:c r="C31" s="238" t="str">
        <x:v>Structured Mechanical Package Consistency Audit for drawing register ↔ drawing metadata ↔ BOM/equipment list ↔ datasheet/specification metadata ↔ revision history.</x:v>
      </x:c>
      <x:c r="D31" s="238"/>
      <x:c r="E31" s="238"/>
      <x:c r="F31" s="238"/>
      <x:c r="G31" s="238"/>
      <x:c r="H31" s="238"/>
    </x:row>
    <x:row r="32" ht="39.95000076293945" customHeight="1">
      <x:c r="A32" s="239" t="s">
        <x:v>851</x:v>
      </x:c>
      <x:c r="B32" s="240"/>
      <x:c r="C32" s="241" t="str">
        <x:v>Versioned package manifest, controlled structured tables, authority declarations, canonical identifiers, revision relationships, and file references. PDF/CAD extraction is explicitly outside v0.3.0.</x:v>
      </x:c>
      <x:c r="D32" s="242"/>
      <x:c r="E32" s="242"/>
      <x:c r="F32" s="242"/>
      <x:c r="G32" s="242"/>
      <x:c r="H32" s="243"/>
    </x:row>
    <x:row r="33" ht="39.95000076293945" customHeight="1">
      <x:c r="A33" s="239" t="s">
        <x:v>852</x:v>
      </x:c>
      <x:c r="B33" s="240"/>
      <x:c r="C33" s="241" t="str">
        <x:v>A replaceable producer may assemble or propose package data, but v0.3.0 evaluates committed structured artifacts independently and does not require an agent runtime.</x:v>
      </x:c>
      <x:c r="D33" s="242"/>
      <x:c r="E33" s="242"/>
      <x:c r="F33" s="242"/>
      <x:c r="G33" s="242"/>
      <x:c r="H33" s="243"/>
    </x:row>
    <x:row r="34" ht="39.95000076293945" customHeight="1">
      <x:c r="A34" s="239" t="s">
        <x:v>853</x:v>
      </x:c>
      <x:c r="B34" s="240"/>
      <x:c r="C34" s="241" t="str">
        <x:v>Enforce package gates, source precedence, document/tag relationships, item/quantity/revision/specification consistency, mandatory holds, and explicit uncertainty states.</x:v>
      </x:c>
      <x:c r="D34" s="242"/>
      <x:c r="E34" s="242"/>
      <x:c r="F34" s="242"/>
      <x:c r="G34" s="242"/>
      <x:c r="H34" s="243"/>
    </x:row>
    <x:row r="35" ht="39.95000076293945" customHeight="1">
      <x:c r="A35" s="239" t="s">
        <x:v>854</x:v>
      </x:c>
      <x:c r="B35" s="240"/>
      <x:c r="C35" s="241" t="str">
        <x:v>Immutable result JSON, evidence-linked issue register, release-readiness summary, benchmark report, and human review package.</x:v>
      </x:c>
      <x:c r="D35" s="242"/>
      <x:c r="E35" s="242"/>
      <x:c r="F35" s="242"/>
      <x:c r="G35" s="242"/>
      <x:c r="H35" s="243"/>
    </x:row>
    <x:row r="36" ht="39.95000076293945" customHeight="1">
      <x:c r="A36" s="239" t="s">
        <x:v>855</x:v>
      </x:c>
      <x:c r="B36" s="240"/>
      <x:c r="C36" s="241" t="str">
        <x:v>Reduce coordinator/checker time and prevent avoidable procurement, fabrication, rework, field modification, client rejection, and turnover delays.</x:v>
      </x:c>
      <x:c r="D36" s="242"/>
      <x:c r="E36" s="242"/>
      <x:c r="F36" s="242"/>
      <x:c r="G36" s="242"/>
      <x:c r="H36" s="243"/>
    </x:row>
    <x:row r="37" ht="39.95000076293945" customHeight="1">
      <x:c r="A37" s="239" t="s">
        <x:v>856</x:v>
      </x:c>
      <x:c r="B37" s="240"/>
      <x:c r="C37" s="241" t="str">
        <x:v>Start as a fixed-scope service and portfolio workflow. Use repeated external evidence—not model hype—to decide the next adapter or vertical.</x:v>
      </x:c>
      <x:c r="D37" s="242"/>
      <x:c r="E37" s="242"/>
      <x:c r="F37" s="242"/>
      <x:c r="G37" s="242"/>
      <x:c r="H37" s="243"/>
    </x:row>
    <x:row r="38" ht="39.95000076293945" customHeight="1">
      <x:c r="A38" s="239" t="s">
        <x:v>857</x:v>
      </x:c>
      <x:c r="B38" s="240"/>
      <x:c r="C38" s="241" t="s">
        <x:v>858</x:v>
      </x:c>
      <x:c r="D38" s="242"/>
      <x:c r="E38" s="242"/>
      <x:c r="F38" s="242"/>
      <x:c r="G38" s="242"/>
      <x:c r="H38" s="243"/>
    </x:row>
    <x:row r="39">
      <x:c r="A39" t="str">
        <x:v>Release Guardrail and Immediate Interface Requirements</x:v>
      </x:c>
    </x:row>
    <x:row r="40" ht="15">
      <x:c r="A40" s="238" t="str">
        <x:v>v0.2.0 remains</x:v>
      </x:c>
      <x:c r="B40" s="238"/>
      <x:c r="C40" s="238" t="str">
        <x:v>The frozen JSON candidate loader, gates, deterministic checks, weighted scoring, failure evidence, evaluate CLI, immutable results, five-case benchmark, CI, docs, demo, and release proof.</x:v>
      </x:c>
      <x:c r="D40" s="238"/>
      <x:c r="E40" s="238"/>
      <x:c r="F40" s="238"/>
      <x:c r="G40" s="238"/>
      <x:c r="H40" s="238"/>
    </x:row>
    <x:row r="41" ht="42" customHeight="1">
      <x:c r="A41" s="239" t="str">
        <x:v>v0.3.0 adds</x:v>
      </x:c>
      <x:c r="B41" s="240"/>
      <x:c r="C41" s="241" t="str">
        <x:v>A package manifest, authority model, package gates, cross-document checks, explicit result-state routing, issue register, release summary, audit-package CLI, two-package benchmark, and commercial demo.</x:v>
      </x:c>
      <x:c r="D41" s="242"/>
      <x:c r="E41" s="242"/>
      <x:c r="F41" s="242"/>
      <x:c r="G41" s="242"/>
      <x:c r="H41" s="243"/>
    </x:row>
    <x:row r="42" ht="42" customHeight="1">
      <x:c r="A42" s="239" t="str">
        <x:v>Still deferred</x:v>
      </x:c>
      <x:c r="B42" s="240"/>
      <x:c r="C42" s="241" t="str">
        <x:v>PDF/CAD extraction, redline editing, standards databases, GD&amp;T generation, agent runtime integration, APIs/databases, observability, RAG, hosted deployment, reward models, and RL.</x:v>
      </x:c>
      <x:c r="D42" s="242"/>
      <x:c r="E42" s="242"/>
      <x:c r="F42" s="242"/>
      <x:c r="G42" s="242"/>
      <x:c r="H42" s="243"/>
    </x:row>
    <x:row r="43" ht="42" customHeight="1">
      <x:c r="A43" s="239" t="str">
        <x:v>P0 requirement</x:v>
      </x:c>
      <x:c r="B43" s="240"/>
      <x:c r="C43" s="241" t="str">
        <x:v>Freeze scope, canonical identifiers, authoritative fields, source precedence, result states, human-review boundaries, benchmark protocol, and stop conditions before code.</x:v>
      </x:c>
      <x:c r="D43" s="242"/>
      <x:c r="E43" s="242"/>
      <x:c r="F43" s="242"/>
      <x:c r="G43" s="242"/>
      <x:c r="H43" s="243"/>
    </x:row>
    <x:row r="44" ht="42" customHeight="1">
      <x:c r="A44" s="239" t="str">
        <x:v>P1–P3 requirement</x:v>
      </x:c>
      <x:c r="B44" s="240"/>
      <x:c r="C44" s="241" t="str">
        <x:v>Extend existing candidate/result/persistence interfaces; preserve expected/actual evidence, artifact location, source reference, severity, state, regression status, and version metadata.</x:v>
      </x:c>
      <x:c r="D44" s="242"/>
      <x:c r="E44" s="242"/>
      <x:c r="F44" s="242"/>
      <x:c r="G44" s="242"/>
      <x:c r="H44" s="243"/>
    </x:row>
    <x:row r="45" ht="42" customHeight="1">
      <x:c r="A45" s="239" t="str">
        <x:v>Change trigger</x:v>
      </x:c>
      <x:c r="B45" s="240"/>
      <x:c r="C45" s="241" t="str">
        <x:v>Pull another capability forward only through a recorded decision after v0.3.0 passes clean-clone acceptance and its frozen held-out benchmark, or when a concrete interface conflict makes it unavoidable.</x:v>
      </x:c>
      <x:c r="D45" s="242"/>
      <x:c r="E45" s="242"/>
      <x:c r="F45" s="242"/>
      <x:c r="G45" s="242"/>
      <x:c r="H45" s="243"/>
    </x:row>
  </x:sheetData>
  <x:mergeCells>
    <x:mergeCell ref="A43:B43"/>
    <x:mergeCell ref="C43:H43"/>
    <x:mergeCell ref="A44:B44"/>
    <x:mergeCell ref="C44:H44"/>
    <x:mergeCell ref="A45:B45"/>
    <x:mergeCell ref="C45:H45"/>
    <x:mergeCell ref="A40:H40"/>
    <x:mergeCell ref="A41:B41"/>
    <x:mergeCell ref="C41:H41"/>
    <x:mergeCell ref="A42:B42"/>
    <x:mergeCell ref="C42:H42"/>
    <x:mergeCell ref="A36:B36"/>
    <x:mergeCell ref="C36:H36"/>
    <x:mergeCell ref="A37:B37"/>
    <x:mergeCell ref="C37:H37"/>
    <x:mergeCell ref="A38:B38"/>
    <x:mergeCell ref="C38:H38"/>
    <x:mergeCell ref="A33:B33"/>
    <x:mergeCell ref="C33:H33"/>
    <x:mergeCell ref="A34:B34"/>
    <x:mergeCell ref="C34:H34"/>
    <x:mergeCell ref="A35:B35"/>
    <x:mergeCell ref="C35:H35"/>
    <x:mergeCell ref="A29:B29"/>
    <x:mergeCell ref="C29:H29"/>
    <x:mergeCell ref="A31:H31"/>
    <x:mergeCell ref="A32:B32"/>
    <x:mergeCell ref="C32:H32"/>
    <x:mergeCell ref="A26:B26"/>
    <x:mergeCell ref="C26:H26"/>
    <x:mergeCell ref="A27:B27"/>
    <x:mergeCell ref="C27:H27"/>
    <x:mergeCell ref="A28:B28"/>
    <x:mergeCell ref="C28:H28"/>
    <x:mergeCell ref="A23:B23"/>
    <x:mergeCell ref="C23:H23"/>
    <x:mergeCell ref="A24:B24"/>
    <x:mergeCell ref="C24:H24"/>
    <x:mergeCell ref="A25:B25"/>
    <x:mergeCell ref="C25:H25"/>
    <x:mergeCell ref="A9:B9"/>
    <x:mergeCell ref="C9:H9"/>
    <x:mergeCell ref="A11:H11"/>
    <x:mergeCell ref="A21:H21"/>
    <x:mergeCell ref="A22:B22"/>
    <x:mergeCell ref="C22:H22"/>
    <x:mergeCell ref="A6:B6"/>
    <x:mergeCell ref="C6:H6"/>
    <x:mergeCell ref="A7:B7"/>
    <x:mergeCell ref="C7:H7"/>
    <x:mergeCell ref="A8:B8"/>
    <x:mergeCell ref="C8:H8"/>
    <x:mergeCell ref="A1:H1"/>
    <x:mergeCell ref="A2:H2"/>
    <x:mergeCell ref="A4:H4"/>
    <x:mergeCell ref="A5:B5"/>
    <x:mergeCell ref="C5:H5"/>
  </x:mergeCells>
  <x:pageMargins left="0.7" right="0.7" top="0.75" bottom="0.75" header="0.3" footer="0.3"/>
</x:worksheet>
</file>

<file path=xl/worksheets/sheet17.xml><?xml version="1.0" encoding="utf-8"?>
<x:worksheet xmlns:x="http://schemas.openxmlformats.org/spreadsheetml/2006/main">
  <x:sheetFormatPr defaultRowHeight="15"/>
  <x:cols>
    <x:col min="1" max="1" width="10" hidden="0" customWidth="1"/>
    <x:col min="2" max="2" width="24" hidden="0" customWidth="1"/>
    <x:col min="3" max="3" width="30" hidden="0" customWidth="1"/>
    <x:col min="4" max="4" width="58" hidden="0" customWidth="1"/>
    <x:col min="5" max="5" width="16" hidden="0" customWidth="1"/>
    <x:col min="6" max="6" width="12" hidden="0" customWidth="1"/>
    <x:col min="7" max="7" width="10" hidden="0" customWidth="1"/>
    <x:col min="8" max="8" width="10" hidden="0" customWidth="1"/>
    <x:col min="9" max="9" width="12" hidden="0" customWidth="1"/>
    <x:col min="10" max="10" width="12" hidden="0" customWidth="1"/>
    <x:col min="11" max="11" width="14" hidden="0" customWidth="1"/>
    <x:col min="12" max="12" width="11" hidden="0" customWidth="1"/>
    <x:col min="13" max="13" width="12" hidden="0" customWidth="1"/>
    <x:col min="14" max="14" width="14" hidden="0" customWidth="1"/>
    <x:col min="15" max="15" width="12" hidden="0" customWidth="1"/>
    <x:col min="16" max="16" width="28" hidden="0" customWidth="1"/>
    <x:col min="17" max="17" width="42" hidden="0" customWidth="1"/>
    <x:col min="18" max="18" width="40" hidden="0" customWidth="1"/>
    <x:col min="19" max="19" width="8" hidden="0" customWidth="1"/>
    <x:col min="20" max="20" width="8" hidden="0" customWidth="1"/>
    <x:col min="21" max="21" width="8" hidden="0" customWidth="1"/>
    <x:col min="22" max="22" width="8" hidden="0" customWidth="1"/>
    <x:col min="23" max="23" width="8" hidden="0" customWidth="1"/>
    <x:col min="24" max="24" width="8" hidden="0" customWidth="1"/>
  </x:cols>
  <x:sheetData>
    <x:row r="1" ht="28" customHeight="1">
      <x:c r="A1" s="647" t="str">
        <x:v>Baseline Start</x:v>
      </x:c>
      <x:c r="B1" s="648" t="n">
        <x:v>46216</x:v>
      </x:c>
      <x:c r="C1" s="647"/>
      <x:c r="D1" s="647" t="str">
        <x:v>Total Planned Hours</x:v>
      </x:c>
      <x:c r="E1" s="647" t="n">
        <x:f>SUM(F6:F22)</x:f>
        <x:v>46</x:v>
      </x:c>
      <x:c r="F1" s="647"/>
      <x:c r="G1" s="647" t="str">
        <x:v>Target Finish</x:v>
      </x:c>
      <x:c r="H1" s="648" t="n">
        <x:v>46257</x:v>
      </x:c>
      <x:c r="I1" s="647"/>
      <x:c r="J1" s="647" t="str">
        <x:v>Control Baseline</x:v>
      </x:c>
      <x:c r="K1" s="647" t="str">
        <x:v>v0.3.0 — 6-week Package Assurance Pilot</x:v>
      </x:c>
    </x:row>
    <x:row r="3" ht="36" customHeight="1">
      <x:c r="A3" s="652" t="str">
        <x:v>Active controlling WBS for v0.3.0. Actual hours are calculated from Work Block Log. Do not alter the frozen v0.2.0 release, golden references, or held-out assets merely to make a run pass.</x:v>
      </x:c>
      <x:c r="B3" s="652"/>
      <x:c r="C3" s="652"/>
      <x:c r="D3" s="652"/>
      <x:c r="E3" s="652"/>
      <x:c r="F3" s="652"/>
      <x:c r="G3" s="652"/>
      <x:c r="H3" s="652"/>
      <x:c r="I3" s="652"/>
      <x:c r="J3" s="652"/>
      <x:c r="K3" s="652"/>
      <x:c r="L3" s="652"/>
      <x:c r="M3" s="652"/>
      <x:c r="N3" s="652"/>
      <x:c r="O3" s="652"/>
      <x:c r="P3" s="652"/>
      <x:c r="Q3" s="652"/>
      <x:c r="R3" s="652"/>
      <x:c r="S3" s="652"/>
      <x:c r="T3" s="652"/>
      <x:c r="U3" s="652"/>
      <x:c r="V3" s="652"/>
      <x:c r="W3" s="652"/>
      <x:c r="X3" s="652"/>
    </x:row>
    <x:row r="4">
      <x:c r="S4" s="661" t="n">
        <x:v>46216</x:v>
      </x:c>
      <x:c r="T4" s="661" t="n">
        <x:v>46223</x:v>
      </x:c>
      <x:c r="U4" s="661" t="n">
        <x:v>46230</x:v>
      </x:c>
      <x:c r="V4" s="661" t="n">
        <x:v>46237</x:v>
      </x:c>
      <x:c r="W4" s="661" t="n">
        <x:v>46244</x:v>
      </x:c>
      <x:c r="X4" s="661" t="n">
        <x:v>46251</x:v>
      </x:c>
    </x:row>
    <x:row r="5">
      <x:c r="A5" s="657" t="str">
        <x:v>WBS</x:v>
      </x:c>
      <x:c r="B5" s="657" t="str">
        <x:v>Phase</x:v>
      </x:c>
      <x:c r="C5" s="657" t="str">
        <x:v>Work Package</x:v>
      </x:c>
      <x:c r="D5" s="657" t="str">
        <x:v>Deliverable / Acceptance Evidence</x:v>
      </x:c>
      <x:c r="E5" s="657" t="str">
        <x:v>Predecessor</x:v>
      </x:c>
      <x:c r="F5" s="657" t="str">
        <x:v>Planned Hours</x:v>
      </x:c>
      <x:c r="G5" s="657" t="str">
        <x:v>Start Week</x:v>
      </x:c>
      <x:c r="H5" s="657" t="str">
        <x:v>Finish Week</x:v>
      </x:c>
      <x:c r="I5" s="657" t="str">
        <x:v>Start Date</x:v>
      </x:c>
      <x:c r="J5" s="657" t="str">
        <x:v>Finish Date</x:v>
      </x:c>
      <x:c r="K5" s="657" t="str">
        <x:v>Status</x:v>
      </x:c>
      <x:c r="L5" s="657" t="str">
        <x:v>% Complete</x:v>
      </x:c>
      <x:c r="M5" s="657" t="str">
        <x:v>Actual Hours</x:v>
      </x:c>
      <x:c r="N5" s="657" t="str">
        <x:v>Remaining Planned</x:v>
      </x:c>
      <x:c r="O5" s="657" t="str">
        <x:v>Hour Variance</x:v>
      </x:c>
      <x:c r="P5" s="657" t="str">
        <x:v>Branch / Evidence</x:v>
      </x:c>
      <x:c r="Q5" s="657" t="str">
        <x:v>Next Action</x:v>
      </x:c>
      <x:c r="R5" s="657" t="str">
        <x:v>Notes</x:v>
      </x:c>
      <x:c r="S5" s="657" t="str">
        <x:v>W1</x:v>
      </x:c>
      <x:c r="T5" s="657" t="str">
        <x:v>W2</x:v>
      </x:c>
      <x:c r="U5" s="657" t="str">
        <x:v>W3</x:v>
      </x:c>
      <x:c r="V5" s="657" t="str">
        <x:v>W4</x:v>
      </x:c>
      <x:c r="W5" s="657" t="str">
        <x:v>W5</x:v>
      </x:c>
      <x:c r="X5" s="657" t="str">
        <x:v>W6</x:v>
      </x:c>
    </x:row>
    <x:row r="6" ht="64" customHeight="1">
      <x:c r="A6" s="431" t="str">
        <x:v>P0.1</x:v>
      </x:c>
      <x:c r="B6" s="431" t="str">
        <x:v>P0 Definition &amp; Control</x:v>
      </x:c>
      <x:c r="C6" s="431" t="str">
        <x:v>Define workflow contract and authority map</x:v>
      </x:c>
      <x:c r="D6" s="431" t="str">
        <x:v>Approved contract identifies package scope, document types, canonical identifiers, authoritative fields, source precedence, permitted result states, exclusions, and human-review boundaries.</x:v>
      </x:c>
      <x:c r="E6" s="431" t="str">
        <x:v>-</x:v>
      </x:c>
      <x:c r="F6" s="662" t="n">
        <x:v>2</x:v>
      </x:c>
      <x:c r="G6" s="431" t="n">
        <x:v>1</x:v>
      </x:c>
      <x:c r="H6" s="431" t="n">
        <x:v>1</x:v>
      </x:c>
      <x:c r="I6" s="429" t="n">
        <x:f>$B$1+(G6-1)*7</x:f>
        <x:v>46216</x:v>
      </x:c>
      <x:c r="J6" s="429" t="n">
        <x:f>$B$1+H6*7-1</x:f>
        <x:v>46222</x:v>
      </x:c>
      <x:c r="K6" s="431" t="str">
        <x:v>Complete</x:v>
      </x:c>
      <x:c r="L6" s="664" t="n">
        <x:v>1</x:v>
      </x:c>
      <x:c r="M6" s="662" t="n">
        <x:f>SUMIF('Work Block Log'!$E$5:$E$200,A6,'Work Block Log'!$F$5:$F$200)</x:f>
        <x:v>0</x:v>
      </x:c>
      <x:c r="N6" s="662" t="n">
        <x:f>MAX(F6*(1-L6),0)</x:f>
        <x:v>0</x:v>
      </x:c>
      <x:c r="O6" s="662" t="n">
        <x:f>M6-F6</x:f>
        <x:v>-2</x:v>
      </x:c>
      <x:c r="P6" s="431" t="str">
        <x:v>feature/package-assurance-contract; commit 03f102e; docs/package_assurance/workflow_contract_v0.3.0.md; docs/package_assurance/authority_map_example_v0.3.0.json; D-033; D-034; EV-030; EV-031</x:v>
      </x:c>
      <x:c r="Q6" s="431" t="str">
        <x:v>P0.1 accepted by the user on 2026-07-15. P0.2 review is complete; no further P0.1 action.</x:v>
      </x:c>
      <x:c r="R6" s="431" t="str">
        <x:v>P0.1 review questions resolved and committed. Prospective time tracking is waived. No package-assurance implementation was added.</x:v>
      </x:c>
      <x:c r="S6" s="669" t="str">
        <x:v>■</x:v>
      </x:c>
      <x:c r="T6" s="669"/>
      <x:c r="U6" s="669"/>
      <x:c r="V6" s="669"/>
      <x:c r="W6" s="669"/>
      <x:c r="X6" s="669"/>
    </x:row>
    <x:row r="7" ht="64" customHeight="1">
      <x:c r="A7" s="431" t="str">
        <x:v>P0.2</x:v>
      </x:c>
      <x:c r="B7" s="431" t="str">
        <x:v>P0 Definition &amp; Control</x:v>
      </x:c>
      <x:c r="C7" s="431" t="str">
        <x:v>Define acceptance plan and benchmark protocol</x:v>
      </x:c>
      <x:c r="D7" s="431" t="str">
        <x:v>Acceptance plan defines deterministic checks, package-level gates, benchmark split, fault-injection matrix, false-negative review, evidence requirements, release claims, and stop conditions.</x:v>
      </x:c>
      <x:c r="E7" s="431" t="str">
        <x:v>P0.1</x:v>
      </x:c>
      <x:c r="F7" s="662" t="n">
        <x:v>2</x:v>
      </x:c>
      <x:c r="G7" s="431" t="n">
        <x:v>1</x:v>
      </x:c>
      <x:c r="H7" s="431" t="n">
        <x:v>1</x:v>
      </x:c>
      <x:c r="I7" s="429" t="n">
        <x:f>$B$1+(G7-1)*7</x:f>
        <x:v>46216</x:v>
      </x:c>
      <x:c r="J7" s="429" t="n">
        <x:f>$B$1+H7*7-1</x:f>
        <x:v>46222</x:v>
      </x:c>
      <x:c r="K7" s="431" t="str">
        <x:v>Complete</x:v>
      </x:c>
      <x:c r="L7" s="664" t="n">
        <x:v>1</x:v>
      </x:c>
      <x:c r="M7" s="662" t="n">
        <x:f>SUMIF('Work Block Log'!$E$5:$E$200,A7,'Work Block Log'!$F$5:$F$200)</x:f>
        <x:v>0</x:v>
      </x:c>
      <x:c r="N7" s="662" t="n">
        <x:f>MAX(F7*(1-L7),0)</x:f>
        <x:v>0</x:v>
      </x:c>
      <x:c r="O7" s="662" t="n">
        <x:f>M7-F7</x:f>
        <x:v>-2</x:v>
      </x:c>
      <x:c r="P7" s="431" t="str">
        <x:v>feature/package-assurance-contract; docs/package_assurance/acceptance_plan_v0.3.0.md; D-035; EV-032</x:v>
      </x:c>
      <x:c r="Q7" s="431" t="str">
        <x:v>Obtain user acceptance of P0.2, then begin P1.1 on feature/package-manifest. No implementation before acceptance.</x:v>
      </x:c>
      <x:c r="R7" s="431" t="str">
        <x:v>Ten P0.2 review questions resolved: benchmark unit and minimum matrix, state coverage, exact oracle matching, incidental findings, CLI exits, reproducibility, held-out freeze, contamination replacement, and release stop conditions. Time tracking waived; no implementation added.</x:v>
      </x:c>
      <x:c r="S7" s="669" t="str">
        <x:v>■</x:v>
      </x:c>
      <x:c r="T7" s="669"/>
      <x:c r="U7" s="669"/>
      <x:c r="V7" s="669"/>
      <x:c r="W7" s="669"/>
      <x:c r="X7" s="669"/>
    </x:row>
    <x:row r="8" ht="64" customHeight="1">
      <x:c r="A8" s="431" t="str">
        <x:v>P1.1</x:v>
      </x:c>
      <x:c r="B8" s="431" t="str">
        <x:v>P1 Package Model &amp; Fixtures</x:v>
      </x:c>
      <x:c r="C8" s="431" t="str">
        <x:v>Implement package manifest schema and loader</x:v>
      </x:c>
      <x:c r="D8" s="431" t="str">
        <x:v>Versioned package manifest validates package metadata, document inventory, identifiers, revisions, relationships, authoritative-source declarations, file references, and controlled missing/malformed errors.</x:v>
      </x:c>
      <x:c r="E8" s="431" t="str">
        <x:v>P0.2</x:v>
      </x:c>
      <x:c r="F8" s="662" t="n">
        <x:v>3</x:v>
      </x:c>
      <x:c r="G8" s="431" t="n">
        <x:v>1</x:v>
      </x:c>
      <x:c r="H8" s="431" t="n">
        <x:v>2</x:v>
      </x:c>
      <x:c r="I8" s="429" t="n">
        <x:f>$B$1+(G8-1)*7</x:f>
        <x:v>46216</x:v>
      </x:c>
      <x:c r="J8" s="429" t="n">
        <x:f>$B$1+H8*7-1</x:f>
        <x:v>46229</x:v>
      </x:c>
      <x:c r="K8" s="431" t="str">
        <x:v>Not Started</x:v>
      </x:c>
      <x:c r="L8" s="664" t="n">
        <x:v>0</x:v>
      </x:c>
      <x:c r="M8" s="662" t="n">
        <x:f>SUMIF('Work Block Log'!$E$5:$E$200,A8,'Work Block Log'!$F$5:$F$200)</x:f>
        <x:v>0</x:v>
      </x:c>
      <x:c r="N8" s="662" t="n">
        <x:f>MAX(F8*(1-L8),0)</x:f>
        <x:v>3</x:v>
      </x:c>
      <x:c r="O8" s="662" t="n">
        <x:f>M8-F8</x:f>
        <x:v>-3</x:v>
      </x:c>
      <x:c r="P8" s="431" t="str">
        <x:v>feature/package-manifest</x:v>
      </x:c>
      <x:c r="Q8" s="431" t="str">
        <x:v>Start only after user acceptance of P0.2; create and switch to feature/package-manifest before implementation.</x:v>
      </x:c>
      <x:c r="R8" s="431" t="str">
        <x:v>Extend the existing candidate/result contracts; do not create a parallel framework.</x:v>
      </x:c>
      <x:c r="S8" s="669" t="str">
        <x:v>■</x:v>
      </x:c>
      <x:c r="T8" s="669" t="str">
        <x:v>■</x:v>
      </x:c>
      <x:c r="U8" s="669"/>
      <x:c r="V8" s="669"/>
      <x:c r="W8" s="669"/>
      <x:c r="X8" s="669"/>
    </x:row>
    <x:row r="9" ht="64" customHeight="1">
      <x:c r="A9" s="431" t="str">
        <x:v>P1.2</x:v>
      </x:c>
      <x:c r="B9" s="431" t="str">
        <x:v>P1 Package Model &amp; Fixtures</x:v>
      </x:c>
      <x:c r="C9" s="431" t="str">
        <x:v>Author development synthetic package</x:v>
      </x:c>
      <x:c r="D9" s="431" t="str">
        <x:v>A realistic structured release package includes drawing register, drawing metadata, BOM/equipment list, datasheet/spec metadata, and revision history with reviewed golden relationships.</x:v>
      </x:c>
      <x:c r="E9" s="431" t="str">
        <x:v>P1.1</x:v>
      </x:c>
      <x:c r="F9" s="662" t="n">
        <x:v>3</x:v>
      </x:c>
      <x:c r="G9" s="431" t="n">
        <x:v>2</x:v>
      </x:c>
      <x:c r="H9" s="431" t="n">
        <x:v>2</x:v>
      </x:c>
      <x:c r="I9" s="429" t="n">
        <x:f>$B$1+(G9-1)*7</x:f>
        <x:v>46223</x:v>
      </x:c>
      <x:c r="J9" s="429" t="n">
        <x:f>$B$1+H9*7-1</x:f>
        <x:v>46229</x:v>
      </x:c>
      <x:c r="K9" s="431" t="str">
        <x:v>Not Started</x:v>
      </x:c>
      <x:c r="L9" s="664" t="n">
        <x:v>0</x:v>
      </x:c>
      <x:c r="M9" s="662" t="n">
        <x:f>SUMIF('Work Block Log'!$E$5:$E$200,A9,'Work Block Log'!$F$5:$F$200)</x:f>
        <x:v>0</x:v>
      </x:c>
      <x:c r="N9" s="662" t="n">
        <x:f>MAX(F9*(1-L9),0)</x:f>
        <x:v>3</x:v>
      </x:c>
      <x:c r="O9" s="662" t="n">
        <x:f>M9-F9</x:f>
        <x:v>-3</x:v>
      </x:c>
      <x:c r="P9" s="431" t="str">
        <x:v>feature/package-fixtures</x:v>
      </x:c>
      <x:c r="Q9" s="431" t="str">
        <x:v>Build one clean package and a controlled corruption matrix.</x:v>
      </x:c>
      <x:c r="R9" s="431" t="str">
        <x:v>Use synthetic/self-authored data only.</x:v>
      </x:c>
      <x:c r="S9" s="669"/>
      <x:c r="T9" s="669" t="str">
        <x:v>■</x:v>
      </x:c>
      <x:c r="U9" s="669"/>
      <x:c r="V9" s="669"/>
      <x:c r="W9" s="669"/>
      <x:c r="X9" s="669"/>
    </x:row>
    <x:row r="10" ht="64" customHeight="1">
      <x:c r="A10" s="431" t="str">
        <x:v>P1.3</x:v>
      </x:c>
      <x:c r="B10" s="431" t="str">
        <x:v>P1 Package Model &amp; Fixtures</x:v>
      </x:c>
      <x:c r="C10" s="431" t="str">
        <x:v>Author held-out package and fault variants</x:v>
      </x:c>
      <x:c r="D10" s="431" t="str">
        <x:v>A second package is frozen before rule tuning; at least six seeded fault variants cover missing document, revision mismatch, orphan tag, quantity mismatch, wrong datasheet mapping, and ambiguous authority.</x:v>
      </x:c>
      <x:c r="E10" s="431" t="str">
        <x:v>P1.1</x:v>
      </x:c>
      <x:c r="F10" s="662" t="n">
        <x:v>2</x:v>
      </x:c>
      <x:c r="G10" s="431" t="n">
        <x:v>2</x:v>
      </x:c>
      <x:c r="H10" s="431" t="n">
        <x:v>2</x:v>
      </x:c>
      <x:c r="I10" s="429" t="n">
        <x:f>$B$1+(G10-1)*7</x:f>
        <x:v>46223</x:v>
      </x:c>
      <x:c r="J10" s="429" t="n">
        <x:f>$B$1+H10*7-1</x:f>
        <x:v>46229</x:v>
      </x:c>
      <x:c r="K10" s="431" t="str">
        <x:v>Not Started</x:v>
      </x:c>
      <x:c r="L10" s="664" t="n">
        <x:v>0</x:v>
      </x:c>
      <x:c r="M10" s="662" t="n">
        <x:f>SUMIF('Work Block Log'!$E$5:$E$200,A10,'Work Block Log'!$F$5:$F$200)</x:f>
        <x:v>0</x:v>
      </x:c>
      <x:c r="N10" s="662" t="n">
        <x:f>MAX(F10*(1-L10),0)</x:f>
        <x:v>2</x:v>
      </x:c>
      <x:c r="O10" s="662" t="n">
        <x:f>M10-F10</x:f>
        <x:v>-2</x:v>
      </x:c>
      <x:c r="P10" s="431" t="str">
        <x:v>feature/package-fixtures</x:v>
      </x:c>
      <x:c r="Q10" s="431" t="str">
        <x:v>Freeze split and review checklist before evaluator tuning.</x:v>
      </x:c>
      <x:c r="R10" s="431" t="str">
        <x:v>Held-out package must be materially distinct, not a renamed copy.</x:v>
      </x:c>
      <x:c r="S10" s="669"/>
      <x:c r="T10" s="669" t="str">
        <x:v>■</x:v>
      </x:c>
      <x:c r="U10" s="669"/>
      <x:c r="V10" s="669"/>
      <x:c r="W10" s="669"/>
      <x:c r="X10" s="669"/>
    </x:row>
    <x:row r="11" ht="64" customHeight="1">
      <x:c r="A11" s="431" t="str">
        <x:v>P2.1</x:v>
      </x:c>
      <x:c r="B11" s="431" t="str">
        <x:v>P2 Consistency Rules</x:v>
      </x:c>
      <x:c r="C11" s="431" t="str">
        <x:v>Implement inventory, parse, revision, and authority gates</x:v>
      </x:c>
      <x:c r="D11" s="431" t="str">
        <x:v>Package-level gates fail closed on unreadable manifests, missing required source sets, duplicate document IDs, invalid revisions, unresolved authority declarations, and broken file references.</x:v>
      </x:c>
      <x:c r="E11" s="431" t="str">
        <x:v>P1.2</x:v>
      </x:c>
      <x:c r="F11" s="662" t="n">
        <x:v>3</x:v>
      </x:c>
      <x:c r="G11" s="431" t="n">
        <x:v>2</x:v>
      </x:c>
      <x:c r="H11" s="431" t="n">
        <x:v>3</x:v>
      </x:c>
      <x:c r="I11" s="429" t="n">
        <x:f>$B$1+(G11-1)*7</x:f>
        <x:v>46223</x:v>
      </x:c>
      <x:c r="J11" s="429" t="n">
        <x:f>$B$1+H11*7-1</x:f>
        <x:v>46236</x:v>
      </x:c>
      <x:c r="K11" s="431" t="str">
        <x:v>Not Started</x:v>
      </x:c>
      <x:c r="L11" s="664" t="n">
        <x:v>0</x:v>
      </x:c>
      <x:c r="M11" s="662" t="n">
        <x:f>SUMIF('Work Block Log'!$E$5:$E$200,A11,'Work Block Log'!$F$5:$F$200)</x:f>
        <x:v>0</x:v>
      </x:c>
      <x:c r="N11" s="662" t="n">
        <x:f>MAX(F11*(1-L11),0)</x:f>
        <x:v>3</x:v>
      </x:c>
      <x:c r="O11" s="662" t="n">
        <x:f>M11-F11</x:f>
        <x:v>-3</x:v>
      </x:c>
      <x:c r="P11" s="431" t="str">
        <x:v>feature/package-inventory-gates</x:v>
      </x:c>
      <x:c r="Q11" s="431" t="str">
        <x:v>Implement gates before any scored consistency rules.</x:v>
      </x:c>
      <x:c r="R11" s="431" t="str">
        <x:v>Gate failures must preserve expected/actual evidence and source location.</x:v>
      </x:c>
      <x:c r="S11" s="669"/>
      <x:c r="T11" s="669" t="str">
        <x:v>■</x:v>
      </x:c>
      <x:c r="U11" s="669" t="str">
        <x:v>■</x:v>
      </x:c>
      <x:c r="V11" s="669"/>
      <x:c r="W11" s="669"/>
      <x:c r="X11" s="669"/>
    </x:row>
    <x:row r="12" ht="64" customHeight="1">
      <x:c r="A12" s="431" t="str">
        <x:v>P2.2</x:v>
      </x:c>
      <x:c r="B12" s="431" t="str">
        <x:v>P2 Consistency Rules</x:v>
      </x:c>
      <x:c r="C12" s="431" t="str">
        <x:v>Implement document and tag relationship checks</x:v>
      </x:c>
      <x:c r="D12" s="431" t="str">
        <x:v>Deterministic checks identify missing/extra documents, duplicate tags, orphan tags, inconsistent tag-to-document mappings, and register-to-metadata conflicts.</x:v>
      </x:c>
      <x:c r="E12" s="431" t="str">
        <x:v>P2.1</x:v>
      </x:c>
      <x:c r="F12" s="662" t="n">
        <x:v>4</x:v>
      </x:c>
      <x:c r="G12" s="431" t="n">
        <x:v>3</x:v>
      </x:c>
      <x:c r="H12" s="431" t="n">
        <x:v>3</x:v>
      </x:c>
      <x:c r="I12" s="429" t="n">
        <x:f>$B$1+(G12-1)*7</x:f>
        <x:v>46230</x:v>
      </x:c>
      <x:c r="J12" s="429" t="n">
        <x:f>$B$1+H12*7-1</x:f>
        <x:v>46236</x:v>
      </x:c>
      <x:c r="K12" s="431" t="str">
        <x:v>Not Started</x:v>
      </x:c>
      <x:c r="L12" s="664" t="n">
        <x:v>0</x:v>
      </x:c>
      <x:c r="M12" s="662" t="n">
        <x:f>SUMIF('Work Block Log'!$E$5:$E$200,A12,'Work Block Log'!$F$5:$F$200)</x:f>
        <x:v>0</x:v>
      </x:c>
      <x:c r="N12" s="662" t="n">
        <x:f>MAX(F12*(1-L12),0)</x:f>
        <x:v>4</x:v>
      </x:c>
      <x:c r="O12" s="662" t="n">
        <x:f>M12-F12</x:f>
        <x:v>-4</x:v>
      </x:c>
      <x:c r="P12" s="431" t="str">
        <x:v>feature/tag-relationship-checks</x:v>
      </x:c>
      <x:c r="Q12" s="431" t="str">
        <x:v>Use canonical IDs and explicit normalization rules.</x:v>
      </x:c>
      <x:c r="R12" s="431" t="str">
        <x:v>Do not infer authority from file order or filename alone.</x:v>
      </x:c>
      <x:c r="S12" s="669"/>
      <x:c r="T12" s="669"/>
      <x:c r="U12" s="669" t="str">
        <x:v>■</x:v>
      </x:c>
      <x:c r="V12" s="669"/>
      <x:c r="W12" s="669"/>
      <x:c r="X12" s="669"/>
    </x:row>
    <x:row r="13" ht="64" customHeight="1">
      <x:c r="A13" s="431" t="str">
        <x:v>P2.3</x:v>
      </x:c>
      <x:c r="B13" s="431" t="str">
        <x:v>P2 Consistency Rules</x:v>
      </x:c>
      <x:c r="C13" s="431" t="str">
        <x:v>Implement BOM, equipment-list, and datasheet checks</x:v>
      </x:c>
      <x:c r="D13" s="431" t="str">
        <x:v>Checks identify item presence, quantity, part/equipment identifier, revision, material/specification reference, and datasheet-association discrepancies with evidence.</x:v>
      </x:c>
      <x:c r="E13" s="431" t="str">
        <x:v>P2.1</x:v>
      </x:c>
      <x:c r="F13" s="662" t="n">
        <x:v>4</x:v>
      </x:c>
      <x:c r="G13" s="431" t="n">
        <x:v>3</x:v>
      </x:c>
      <x:c r="H13" s="431" t="n">
        <x:v>4</x:v>
      </x:c>
      <x:c r="I13" s="429" t="n">
        <x:f>$B$1+(G13-1)*7</x:f>
        <x:v>46230</x:v>
      </x:c>
      <x:c r="J13" s="429" t="n">
        <x:f>$B$1+H13*7-1</x:f>
        <x:v>46243</x:v>
      </x:c>
      <x:c r="K13" s="431" t="str">
        <x:v>Not Started</x:v>
      </x:c>
      <x:c r="L13" s="664" t="n">
        <x:v>0</x:v>
      </x:c>
      <x:c r="M13" s="662" t="n">
        <x:f>SUMIF('Work Block Log'!$E$5:$E$200,A13,'Work Block Log'!$F$5:$F$200)</x:f>
        <x:v>0</x:v>
      </x:c>
      <x:c r="N13" s="662" t="n">
        <x:f>MAX(F13*(1-L13),0)</x:f>
        <x:v>4</x:v>
      </x:c>
      <x:c r="O13" s="662" t="n">
        <x:f>M13-F13</x:f>
        <x:v>-4</x:v>
      </x:c>
      <x:c r="P13" s="431" t="str">
        <x:v>feature/package-consistency-checks</x:v>
      </x:c>
      <x:c r="Q13" s="431" t="str">
        <x:v>Add one rule family at a time with representative passing and failing fixtures.</x:v>
      </x:c>
      <x:c r="R13" s="431" t="str">
        <x:v>Keep checks deterministic and field-level for v0.3.0.</x:v>
      </x:c>
      <x:c r="S13" s="669"/>
      <x:c r="T13" s="669"/>
      <x:c r="U13" s="669" t="str">
        <x:v>■</x:v>
      </x:c>
      <x:c r="V13" s="669" t="str">
        <x:v>■</x:v>
      </x:c>
      <x:c r="W13" s="669"/>
      <x:c r="X13" s="669"/>
    </x:row>
    <x:row r="14" ht="64" customHeight="1">
      <x:c r="A14" s="431" t="str">
        <x:v>P2.4</x:v>
      </x:c>
      <x:c r="B14" s="431" t="str">
        <x:v>P2 Consistency Rules</x:v>
      </x:c>
      <x:c r="C14" s="431" t="str">
        <x:v>Implement authority conflicts and result-state routing</x:v>
      </x:c>
      <x:c r="D14" s="431" t="str">
        <x:v>Findings route to automatic pass, automatic fail, engineering review required, missing authoritative information, extraction/tool failure, or evaluator uncertainty; mandatory-hold rules override aggregate score.</x:v>
      </x:c>
      <x:c r="E14" s="431" t="str">
        <x:v>P2.2,P2.3</x:v>
      </x:c>
      <x:c r="F14" s="662" t="n">
        <x:v>3</x:v>
      </x:c>
      <x:c r="G14" s="431" t="n">
        <x:v>4</x:v>
      </x:c>
      <x:c r="H14" s="431" t="n">
        <x:v>4</x:v>
      </x:c>
      <x:c r="I14" s="429" t="n">
        <x:f>$B$1+(G14-1)*7</x:f>
        <x:v>46237</x:v>
      </x:c>
      <x:c r="J14" s="429" t="n">
        <x:f>$B$1+H14*7-1</x:f>
        <x:v>46243</x:v>
      </x:c>
      <x:c r="K14" s="431" t="str">
        <x:v>Not Started</x:v>
      </x:c>
      <x:c r="L14" s="664" t="n">
        <x:v>0</x:v>
      </x:c>
      <x:c r="M14" s="662" t="n">
        <x:f>SUMIF('Work Block Log'!$E$5:$E$200,A14,'Work Block Log'!$F$5:$F$200)</x:f>
        <x:v>0</x:v>
      </x:c>
      <x:c r="N14" s="662" t="n">
        <x:f>MAX(F14*(1-L14),0)</x:f>
        <x:v>3</x:v>
      </x:c>
      <x:c r="O14" s="662" t="n">
        <x:f>M14-F14</x:f>
        <x:v>-3</x:v>
      </x:c>
      <x:c r="P14" s="431" t="str">
        <x:v>feature/result-state-routing</x:v>
      </x:c>
      <x:c r="Q14" s="431" t="str">
        <x:v>Implement explicit state transitions and hold logic.</x:v>
      </x:c>
      <x:c r="R14" s="431" t="str">
        <x:v>A single score must never conceal a release-critical finding.</x:v>
      </x:c>
      <x:c r="S14" s="669"/>
      <x:c r="T14" s="669"/>
      <x:c r="U14" s="669"/>
      <x:c r="V14" s="669" t="str">
        <x:v>■</x:v>
      </x:c>
      <x:c r="W14" s="669"/>
      <x:c r="X14" s="669"/>
    </x:row>
    <x:row r="15" ht="64" customHeight="1">
      <x:c r="A15" s="431" t="str">
        <x:v>P3.1</x:v>
      </x:c>
      <x:c r="B15" s="431" t="str">
        <x:v>P3 Issue Register &amp; CLI</x:v>
      </x:c>
      <x:c r="C15" s="431" t="str">
        <x:v>Create evidence-linked issue register</x:v>
      </x:c>
      <x:c r="D15" s="431" t="str">
        <x:v>Structured issue records include finding ID, severity, state, check ID, affected documents/tags, expected/actual values, authoritative source, evidence locations, disposition, and reviewer requirement.</x:v>
      </x:c>
      <x:c r="E15" s="431" t="str">
        <x:v>P2.4</x:v>
      </x:c>
      <x:c r="F15" s="662" t="n">
        <x:v>4</x:v>
      </x:c>
      <x:c r="G15" s="431" t="n">
        <x:v>4</x:v>
      </x:c>
      <x:c r="H15" s="431" t="n">
        <x:v>4</x:v>
      </x:c>
      <x:c r="I15" s="429" t="n">
        <x:f>$B$1+(G15-1)*7</x:f>
        <x:v>46237</x:v>
      </x:c>
      <x:c r="J15" s="429" t="n">
        <x:f>$B$1+H15*7-1</x:f>
        <x:v>46243</x:v>
      </x:c>
      <x:c r="K15" s="431" t="str">
        <x:v>Not Started</x:v>
      </x:c>
      <x:c r="L15" s="664" t="n">
        <x:v>0</x:v>
      </x:c>
      <x:c r="M15" s="662" t="n">
        <x:f>SUMIF('Work Block Log'!$E$5:$E$200,A15,'Work Block Log'!$F$5:$F$200)</x:f>
        <x:v>0</x:v>
      </x:c>
      <x:c r="N15" s="662" t="n">
        <x:f>MAX(F15*(1-L15),0)</x:f>
        <x:v>4</x:v>
      </x:c>
      <x:c r="O15" s="662" t="n">
        <x:f>M15-F15</x:f>
        <x:v>-4</x:v>
      </x:c>
      <x:c r="P15" s="431" t="str">
        <x:v>feature/issue-register</x:v>
      </x:c>
      <x:c r="Q15" s="431" t="str">
        <x:v>Define schema, renderer, and regression tests.</x:v>
      </x:c>
      <x:c r="R15" s="431" t="str">
        <x:v>Preserve machine-readable JSON; add CSV/Markdown only as views.</x:v>
      </x:c>
      <x:c r="S15" s="669"/>
      <x:c r="T15" s="669"/>
      <x:c r="U15" s="669"/>
      <x:c r="V15" s="669" t="str">
        <x:v>■</x:v>
      </x:c>
      <x:c r="W15" s="669"/>
      <x:c r="X15" s="669"/>
    </x:row>
    <x:row r="16" ht="64" customHeight="1">
      <x:c r="A16" s="431" t="str">
        <x:v>P3.2</x:v>
      </x:c>
      <x:c r="B16" s="431" t="str">
        <x:v>P3 Issue Register &amp; CLI</x:v>
      </x:c>
      <x:c r="C16" s="431" t="str">
        <x:v>Create release-readiness summary</x:v>
      </x:c>
      <x:c r="D16" s="431" t="str">
        <x:v>Summary reports package inventory, gate status, mandatory holds, findings by severity/state, unresolved authority gaps, benchmark metadata, and explicit human approval requirement.</x:v>
      </x:c>
      <x:c r="E16" s="431" t="str">
        <x:v>P3.1</x:v>
      </x:c>
      <x:c r="F16" s="662" t="n">
        <x:v>2</x:v>
      </x:c>
      <x:c r="G16" s="431" t="n">
        <x:v>4</x:v>
      </x:c>
      <x:c r="H16" s="431" t="n">
        <x:v>4</x:v>
      </x:c>
      <x:c r="I16" s="429" t="n">
        <x:f>$B$1+(G16-1)*7</x:f>
        <x:v>46237</x:v>
      </x:c>
      <x:c r="J16" s="429" t="n">
        <x:f>$B$1+H16*7-1</x:f>
        <x:v>46243</x:v>
      </x:c>
      <x:c r="K16" s="431" t="str">
        <x:v>Not Started</x:v>
      </x:c>
      <x:c r="L16" s="664" t="n">
        <x:v>0</x:v>
      </x:c>
      <x:c r="M16" s="662" t="n">
        <x:f>SUMIF('Work Block Log'!$E$5:$E$200,A16,'Work Block Log'!$F$5:$F$200)</x:f>
        <x:v>0</x:v>
      </x:c>
      <x:c r="N16" s="662" t="n">
        <x:f>MAX(F16*(1-L16),0)</x:f>
        <x:v>2</x:v>
      </x:c>
      <x:c r="O16" s="662" t="n">
        <x:f>M16-F16</x:f>
        <x:v>-2</x:v>
      </x:c>
      <x:c r="P16" s="431" t="str">
        <x:v>feature/issue-register</x:v>
      </x:c>
      <x:c r="Q16" s="431" t="str">
        <x:v>Create a concise management-facing report from the same result record.</x:v>
      </x:c>
      <x:c r="R16" s="431" t="str">
        <x:v>No engineering release or sign-off claim.</x:v>
      </x:c>
      <x:c r="S16" s="669"/>
      <x:c r="T16" s="669"/>
      <x:c r="U16" s="669"/>
      <x:c r="V16" s="669" t="str">
        <x:v>■</x:v>
      </x:c>
      <x:c r="W16" s="669"/>
      <x:c r="X16" s="669"/>
    </x:row>
    <x:row r="17" ht="64" customHeight="1">
      <x:c r="A17" s="431" t="str">
        <x:v>P3.3</x:v>
      </x:c>
      <x:c r="B17" s="431" t="str">
        <x:v>P3 Issue Register &amp; CLI</x:v>
      </x:c>
      <x:c r="C17" s="431" t="str">
        <x:v>Add audit-package CLI workflow</x:v>
      </x:c>
      <x:c r="D17" s="431" t="str">
        <x:v>One command loads a package manifest, runs gates/checks, writes immutable result, issue register, and release summary, and returns stable exit codes for pass, fail, and review-required states.</x:v>
      </x:c>
      <x:c r="E17" s="431" t="str">
        <x:v>P3.1,P3.2</x:v>
      </x:c>
      <x:c r="F17" s="662" t="n">
        <x:v>2</x:v>
      </x:c>
      <x:c r="G17" s="431" t="n">
        <x:v>5</x:v>
      </x:c>
      <x:c r="H17" s="431" t="n">
        <x:v>5</x:v>
      </x:c>
      <x:c r="I17" s="429" t="n">
        <x:f>$B$1+(G17-1)*7</x:f>
        <x:v>46244</x:v>
      </x:c>
      <x:c r="J17" s="429" t="n">
        <x:f>$B$1+H17*7-1</x:f>
        <x:v>46250</x:v>
      </x:c>
      <x:c r="K17" s="431" t="str">
        <x:v>Not Started</x:v>
      </x:c>
      <x:c r="L17" s="664" t="n">
        <x:v>0</x:v>
      </x:c>
      <x:c r="M17" s="662" t="n">
        <x:f>SUMIF('Work Block Log'!$E$5:$E$200,A17,'Work Block Log'!$F$5:$F$200)</x:f>
        <x:v>0</x:v>
      </x:c>
      <x:c r="N17" s="662" t="n">
        <x:f>MAX(F17*(1-L17),0)</x:f>
        <x:v>2</x:v>
      </x:c>
      <x:c r="O17" s="662" t="n">
        <x:f>M17-F17</x:f>
        <x:v>-2</x:v>
      </x:c>
      <x:c r="P17" s="431" t="str">
        <x:v>feature/audit-package-cli</x:v>
      </x:c>
      <x:c r="Q17" s="431" t="str">
        <x:v>Reuse existing CLI and persistence infrastructure.</x:v>
      </x:c>
      <x:c r="R17" s="431" t="str">
        <x:v>Do not add API/database/frontend work.</x:v>
      </x:c>
      <x:c r="S17" s="669"/>
      <x:c r="T17" s="669"/>
      <x:c r="U17" s="669"/>
      <x:c r="V17" s="669"/>
      <x:c r="W17" s="669" t="str">
        <x:v>■</x:v>
      </x:c>
      <x:c r="X17" s="669"/>
    </x:row>
    <x:row r="18" ht="64" customHeight="1">
      <x:c r="A18" s="431" t="str">
        <x:v>P4.1</x:v>
      </x:c>
      <x:c r="B18" s="431" t="str">
        <x:v>P4 Benchmark &amp; Reliability</x:v>
      </x:c>
      <x:c r="C18" s="431" t="str">
        <x:v>Add regression tests and fault-injection coverage</x:v>
      </x:c>
      <x:c r="D18" s="431" t="str">
        <x:v>Important package gates, cross-document checks, state routing, immutable outputs, and malformed-input handling are protected without redundant test-only architecture.</x:v>
      </x:c>
      <x:c r="E18" s="431" t="str">
        <x:v>P3.3</x:v>
      </x:c>
      <x:c r="F18" s="662" t="n">
        <x:v>3</x:v>
      </x:c>
      <x:c r="G18" s="431" t="n">
        <x:v>5</x:v>
      </x:c>
      <x:c r="H18" s="431" t="n">
        <x:v>5</x:v>
      </x:c>
      <x:c r="I18" s="429" t="n">
        <x:f>$B$1+(G18-1)*7</x:f>
        <x:v>46244</x:v>
      </x:c>
      <x:c r="J18" s="429" t="n">
        <x:f>$B$1+H18*7-1</x:f>
        <x:v>46250</x:v>
      </x:c>
      <x:c r="K18" s="431" t="str">
        <x:v>Not Started</x:v>
      </x:c>
      <x:c r="L18" s="664" t="n">
        <x:v>0</x:v>
      </x:c>
      <x:c r="M18" s="662" t="n">
        <x:f>SUMIF('Work Block Log'!$E$5:$E$200,A18,'Work Block Log'!$F$5:$F$200)</x:f>
        <x:v>0</x:v>
      </x:c>
      <x:c r="N18" s="662" t="n">
        <x:f>MAX(F18*(1-L18),0)</x:f>
        <x:v>3</x:v>
      </x:c>
      <x:c r="O18" s="662" t="n">
        <x:f>M18-F18</x:f>
        <x:v>-3</x:v>
      </x:c>
      <x:c r="P18" s="431" t="str">
        <x:v>feature/package-benchmark</x:v>
      </x:c>
      <x:c r="Q18" s="431" t="str">
        <x:v>Protect failure handling and scoring/hold correctness.</x:v>
      </x:c>
      <x:c r="R18" s="431" t="str">
        <x:v>Tests support the workflow; stop when marginal coverage is low.</x:v>
      </x:c>
      <x:c r="S18" s="669"/>
      <x:c r="T18" s="669"/>
      <x:c r="U18" s="669"/>
      <x:c r="V18" s="669"/>
      <x:c r="W18" s="669" t="str">
        <x:v>■</x:v>
      </x:c>
      <x:c r="X18" s="669"/>
    </x:row>
    <x:row r="19" ht="64" customHeight="1">
      <x:c r="A19" s="431" t="str">
        <x:v>P4.2</x:v>
      </x:c>
      <x:c r="B19" s="431" t="str">
        <x:v>P4 Benchmark &amp; Reliability</x:v>
      </x:c>
      <x:c r="C19" s="431" t="str">
        <x:v>Run development and held-out benchmark</x:v>
      </x:c>
      <x:c r="D19" s="431" t="str">
        <x:v>Benchmark reports clean-package pass, seeded fault detection, held-out results, false positives, known false negatives, uncertainty states, and bounded claims; failed runs are preserved.</x:v>
      </x:c>
      <x:c r="E19" s="431" t="str">
        <x:v>P4.1</x:v>
      </x:c>
      <x:c r="F19" s="662" t="n">
        <x:v>3</x:v>
      </x:c>
      <x:c r="G19" s="431" t="n">
        <x:v>5</x:v>
      </x:c>
      <x:c r="H19" s="431" t="n">
        <x:v>6</x:v>
      </x:c>
      <x:c r="I19" s="429" t="n">
        <x:f>$B$1+(G19-1)*7</x:f>
        <x:v>46244</x:v>
      </x:c>
      <x:c r="J19" s="429" t="n">
        <x:f>$B$1+H19*7-1</x:f>
        <x:v>46257</x:v>
      </x:c>
      <x:c r="K19" s="431" t="str">
        <x:v>Not Started</x:v>
      </x:c>
      <x:c r="L19" s="664" t="n">
        <x:v>0</x:v>
      </x:c>
      <x:c r="M19" s="662" t="n">
        <x:f>SUMIF('Work Block Log'!$E$5:$E$200,A19,'Work Block Log'!$F$5:$F$200)</x:f>
        <x:v>0</x:v>
      </x:c>
      <x:c r="N19" s="662" t="n">
        <x:f>MAX(F19*(1-L19),0)</x:f>
        <x:v>3</x:v>
      </x:c>
      <x:c r="O19" s="662" t="n">
        <x:f>M19-F19</x:f>
        <x:v>-3</x:v>
      </x:c>
      <x:c r="P19" s="431" t="str">
        <x:v>feature/package-benchmark</x:v>
      </x:c>
      <x:c r="Q19" s="431" t="str">
        <x:v>Run frozen development and held-out packages without modifying golden assets.</x:v>
      </x:c>
      <x:c r="R19" s="431" t="str">
        <x:v>No model/agent performance claim unless a producing system is explicitly evaluated.</x:v>
      </x:c>
      <x:c r="S19" s="669"/>
      <x:c r="T19" s="669"/>
      <x:c r="U19" s="669"/>
      <x:c r="V19" s="669"/>
      <x:c r="W19" s="669" t="str">
        <x:v>■</x:v>
      </x:c>
      <x:c r="X19" s="669" t="str">
        <x:v>■</x:v>
      </x:c>
    </x:row>
    <x:row r="20" ht="64" customHeight="1">
      <x:c r="A20" s="431" t="str">
        <x:v>P4.3</x:v>
      </x:c>
      <x:c r="B20" s="431" t="str">
        <x:v>P4 Benchmark &amp; Reliability</x:v>
      </x:c>
      <x:c r="C20" s="431" t="str">
        <x:v>Clean-clone acceptance and v0.3.0 release</x:v>
      </x:c>
      <x:c r="D20" s="431" t="str">
        <x:v>Fresh-clone install, validation, full tests, package demo, benchmark, version consistency, claim boundaries, clean Git state, and annotated v0.3.0 tag all pass.</x:v>
      </x:c>
      <x:c r="E20" s="431" t="str">
        <x:v>P4.2</x:v>
      </x:c>
      <x:c r="F20" s="662" t="n">
        <x:v>2</x:v>
      </x:c>
      <x:c r="G20" s="431" t="n">
        <x:v>6</x:v>
      </x:c>
      <x:c r="H20" s="431" t="n">
        <x:v>6</x:v>
      </x:c>
      <x:c r="I20" s="429" t="n">
        <x:f>$B$1+(G20-1)*7</x:f>
        <x:v>46251</x:v>
      </x:c>
      <x:c r="J20" s="429" t="n">
        <x:f>$B$1+H20*7-1</x:f>
        <x:v>46257</x:v>
      </x:c>
      <x:c r="K20" s="431" t="str">
        <x:v>Not Started</x:v>
      </x:c>
      <x:c r="L20" s="664" t="n">
        <x:v>0</x:v>
      </x:c>
      <x:c r="M20" s="662" t="n">
        <x:f>SUMIF('Work Block Log'!$E$5:$E$200,A20,'Work Block Log'!$F$5:$F$200)</x:f>
        <x:v>0</x:v>
      </x:c>
      <x:c r="N20" s="662" t="n">
        <x:f>MAX(F20*(1-L20),0)</x:f>
        <x:v>2</x:v>
      </x:c>
      <x:c r="O20" s="662" t="n">
        <x:f>M20-F20</x:f>
        <x:v>-2</x:v>
      </x:c>
      <x:c r="P20" s="431" t="str">
        <x:v>release/v0.3.0</x:v>
      </x:c>
      <x:c r="Q20" s="431" t="str">
        <x:v>Execute only after all prior gates are accepted.</x:v>
      </x:c>
      <x:c r="R20" s="431" t="str">
        <x:v>Release evidence must identify exact commit and generated artifact versions.</x:v>
      </x:c>
      <x:c r="S20" s="669"/>
      <x:c r="T20" s="669"/>
      <x:c r="U20" s="669"/>
      <x:c r="V20" s="669"/>
      <x:c r="W20" s="669"/>
      <x:c r="X20" s="669" t="str">
        <x:v>■</x:v>
      </x:c>
    </x:row>
    <x:row r="21" ht="64" customHeight="1">
      <x:c r="A21" s="431" t="str">
        <x:v>P5.1</x:v>
      </x:c>
      <x:c r="B21" s="431" t="str">
        <x:v>P5 Portfolio &amp; Commercial Proof</x:v>
      </x:c>
      <x:c r="C21" s="431" t="str">
        <x:v>Create package-assurance portfolio demonstration</x:v>
      </x:c>
      <x:c r="D21" s="431" t="str">
        <x:v>A reviewer can run a clean package and at least three realistic faults, inspect evidence-linked findings, and understand why each result state was assigned.</x:v>
      </x:c>
      <x:c r="E21" s="431" t="str">
        <x:v>P4.2</x:v>
      </x:c>
      <x:c r="F21" s="662" t="n">
        <x:v>2</x:v>
      </x:c>
      <x:c r="G21" s="431" t="n">
        <x:v>6</x:v>
      </x:c>
      <x:c r="H21" s="431" t="n">
        <x:v>6</x:v>
      </x:c>
      <x:c r="I21" s="429" t="n">
        <x:f>$B$1+(G21-1)*7</x:f>
        <x:v>46251</x:v>
      </x:c>
      <x:c r="J21" s="429" t="n">
        <x:f>$B$1+H21*7-1</x:f>
        <x:v>46257</x:v>
      </x:c>
      <x:c r="K21" s="431" t="str">
        <x:v>Not Started</x:v>
      </x:c>
      <x:c r="L21" s="664" t="n">
        <x:v>0</x:v>
      </x:c>
      <x:c r="M21" s="662" t="n">
        <x:f>SUMIF('Work Block Log'!$E$5:$E$200,A21,'Work Block Log'!$F$5:$F$200)</x:f>
        <x:v>0</x:v>
      </x:c>
      <x:c r="N21" s="662" t="n">
        <x:f>MAX(F21*(1-L21),0)</x:f>
        <x:v>2</x:v>
      </x:c>
      <x:c r="O21" s="662" t="n">
        <x:f>M21-F21</x:f>
        <x:v>-2</x:v>
      </x:c>
      <x:c r="P21" s="431" t="str">
        <x:v>docs/package-assurance-demo</x:v>
      </x:c>
      <x:c r="Q21" s="431" t="str">
        <x:v>Create a terminal-first demonstration and concise case study.</x:v>
      </x:c>
      <x:c r="R21" s="431" t="str">
        <x:v>Show economic workflow value, not generic AI capability.</x:v>
      </x:c>
      <x:c r="S21" s="669"/>
      <x:c r="T21" s="669"/>
      <x:c r="U21" s="669"/>
      <x:c r="V21" s="669"/>
      <x:c r="W21" s="669"/>
      <x:c r="X21" s="669" t="str">
        <x:v>■</x:v>
      </x:c>
    </x:row>
    <x:row r="22" ht="64" customHeight="1">
      <x:c r="A22" s="431" t="str">
        <x:v>P5.2</x:v>
      </x:c>
      <x:c r="B22" s="431" t="str">
        <x:v>P5 Portfolio &amp; Commercial Proof</x:v>
      </x:c>
      <x:c r="C22" s="431" t="str">
        <x:v>Define bounded service offer and limitations</x:v>
      </x:c>
      <x:c r="D22" s="431" t="str">
        <x:v>Service specification defines input limits, deliverables, acceptance criteria, data/security boundaries, client responsibilities, human approval, exclusions, and pilot pricing hypothesis without engineering sign-off.</x:v>
      </x:c>
      <x:c r="E22" s="431" t="str">
        <x:v>P5.1</x:v>
      </x:c>
      <x:c r="F22" s="662" t="n">
        <x:v>2</x:v>
      </x:c>
      <x:c r="G22" s="431" t="n">
        <x:v>6</x:v>
      </x:c>
      <x:c r="H22" s="431" t="n">
        <x:v>6</x:v>
      </x:c>
      <x:c r="I22" s="429" t="n">
        <x:f>$B$1+(G22-1)*7</x:f>
        <x:v>46251</x:v>
      </x:c>
      <x:c r="J22" s="429" t="n">
        <x:f>$B$1+H22*7-1</x:f>
        <x:v>46257</x:v>
      </x:c>
      <x:c r="K22" s="431" t="str">
        <x:v>Not Started</x:v>
      </x:c>
      <x:c r="L22" s="664" t="n">
        <x:v>0</x:v>
      </x:c>
      <x:c r="M22" s="662" t="n">
        <x:f>SUMIF('Work Block Log'!$E$5:$E$200,A22,'Work Block Log'!$F$5:$F$200)</x:f>
        <x:v>0</x:v>
      </x:c>
      <x:c r="N22" s="662" t="n">
        <x:f>MAX(F22*(1-L22),0)</x:f>
        <x:v>2</x:v>
      </x:c>
      <x:c r="O22" s="662" t="n">
        <x:f>M22-F22</x:f>
        <x:v>-2</x:v>
      </x:c>
      <x:c r="P22" s="431" t="str">
        <x:v>docs/package-assurance-service</x:v>
      </x:c>
      <x:c r="Q22" s="431" t="str">
        <x:v>Publish only after the workflow and evidence are reproducible.</x:v>
      </x:c>
      <x:c r="R22" s="431" t="str">
        <x:v>Service-first; no SaaS or enterprise integration claims.</x:v>
      </x:c>
      <x:c r="S22" s="669"/>
      <x:c r="T22" s="669"/>
      <x:c r="U22" s="669"/>
      <x:c r="V22" s="669"/>
      <x:c r="W22" s="669"/>
      <x:c r="X22" s="669" t="str">
        <x:v>■</x:v>
      </x:c>
    </x:row>
    <x:row r="23">
      <x:c r="F23" s="663"/>
      <x:c r="L23" s="665"/>
      <x:c r="M23" s="663"/>
      <x:c r="N23" s="663"/>
      <x:c r="O23" s="663"/>
    </x:row>
    <x:row r="24" ht="24" customHeight="1">
      <x:c r="A24" s="682" t="str">
        <x:v>TOTAL PILOT</x:v>
      </x:c>
      <x:c r="B24" s="682"/>
      <x:c r="C24" s="682"/>
      <x:c r="D24" s="682"/>
      <x:c r="E24" s="682"/>
      <x:c r="F24" s="683" t="n">
        <x:f>SUM(F6:F22)</x:f>
        <x:v>46</x:v>
      </x:c>
      <x:c r="G24" s="682"/>
      <x:c r="H24" s="682"/>
      <x:c r="I24" s="682"/>
      <x:c r="J24" s="682"/>
      <x:c r="K24" s="682"/>
      <x:c r="L24" s="684" t="n">
        <x:f>SUMPRODUCT(F6:F22,L6:L22)/F24</x:f>
        <x:v>0.08695652173913043</x:v>
      </x:c>
      <x:c r="M24" s="683" t="n">
        <x:f>SUM(M6:M22)</x:f>
        <x:v>0</x:v>
      </x:c>
      <x:c r="N24" s="683" t="n">
        <x:f>SUM(N6:N22)</x:f>
        <x:v>42</x:v>
      </x:c>
      <x:c r="O24" s="683" t="n">
        <x:f>M24-F24</x:f>
        <x:v>-46</x:v>
      </x:c>
      <x:c r="P24" s="682"/>
      <x:c r="Q24" s="682"/>
      <x:c r="R24" s="682"/>
      <x:c r="S24" s="682"/>
      <x:c r="T24" s="682"/>
      <x:c r="U24" s="682"/>
      <x:c r="V24" s="682"/>
      <x:c r="W24" s="682"/>
      <x:c r="X24" s="682"/>
    </x:row>
  </x:sheetData>
  <x:mergeCells>
    <x:mergeCell ref="A3:X3"/>
  </x:mergeCells>
  <x:conditionalFormatting sqref="L6:L22">
    <x:cfRule type="dataBar" priority="1">
      <x:dataBar>
        <x:cfvo type="min"/>
        <x:cfvo type="max"/>
        <x:color rgb="FF5B9BD5"/>
      </x:dataBar>
      <x:extLst>
        <x:ext xmlns:x14="http://schemas.microsoft.com/office/spreadsheetml/2009/9/main" uri="{B025F937-C7B1-47D3-B67F-A62EFF666E3E}">
          <x14:id>{844017FF-989B-8A4F-B6DA-73335C8E3FF2}</x14:id>
        </x:ext>
      </x:extLst>
    </x:cfRule>
  </x:conditionalFormatting>
  <x:conditionalFormatting sqref="K6:K22">
    <x:cfRule type="expression" dxfId="15" priority="2">
      <x:formula>K6="Complete"</x:formula>
    </x:cfRule>
    <x:cfRule type="expression" dxfId="16" priority="3">
      <x:formula>K6="Blocked"</x:formula>
    </x:cfRule>
    <x:cfRule type="expression" dxfId="17" priority="4">
      <x:formula>K6="In Progress"</x:formula>
    </x:cfRule>
    <x:cfRule type="expression" dxfId="18" priority="5">
      <x:formula>K6="Ready"</x:formula>
    </x:cfRule>
  </x:conditionalFormatting>
  <x:dataValidations count="1">
    <x:dataValidation type="list" sqref="K6:K22">
      <x:formula1>"Ready,Not Started,In Progress,Blocked,Complete,Deferred"</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44017FF-989B-8A4F-B6DA-73335C8E3FF2}">
            <x14:dataBar gradient="1">
              <x14:cfvo type="min"/>
              <x14:cfvo type="max"/>
              <x14:fillColor rgb="FF5B9BD5"/>
            </x14:dataBar>
          </x14:cfRule>
          <xm:sqref>L6:L22</xm:sqref>
        </x14:conditionalFormatting>
      </x14:conditionalFormattings>
    </x:ext>
  </x:extLst>
</x:worksheet>
</file>

<file path=xl/worksheets/sheet18.xml><?xml version="1.0" encoding="utf-8"?>
<x:worksheet xmlns:x="http://schemas.openxmlformats.org/spreadsheetml/2006/main">
  <x:sheetFormatPr defaultRowHeight="15"/>
  <x:cols>
    <x:col min="1" max="1" width="26" hidden="0" customWidth="1"/>
    <x:col min="2" max="2" width="16" hidden="0" customWidth="1"/>
    <x:col min="3" max="3" width="16" hidden="0" customWidth="1"/>
    <x:col min="4" max="4" width="23" hidden="0" customWidth="1"/>
    <x:col min="5" max="5" width="30" hidden="0" customWidth="1"/>
    <x:col min="6" max="6" width="20" hidden="0" customWidth="1"/>
    <x:col min="7" max="7" width="38" hidden="0" customWidth="1"/>
    <x:col min="8" max="8" width="25" hidden="0" customWidth="1"/>
  </x:cols>
  <x:sheetData>
    <x:row r="1" ht="28" customHeight="1">
      <x:c r="A1" s="686" t="str">
        <x:v>v0.3.0 Package Assurance Pilot Dashboard — Baseline 2026-07-10</x:v>
      </x:c>
      <x:c r="B1" s="686"/>
      <x:c r="C1" s="686"/>
      <x:c r="D1" s="686"/>
      <x:c r="E1" s="686"/>
      <x:c r="F1" s="686"/>
      <x:c r="G1" s="686"/>
      <x:c r="H1" s="686"/>
    </x:row>
    <x:row r="3">
      <x:c r="A3" s="687" t="str">
        <x:v>Key Metrics</x:v>
      </x:c>
      <x:c r="B3" s="687"/>
      <x:c r="C3" s="687"/>
      <x:c r="D3" s="687"/>
      <x:c r="F3" s="687" t="str">
        <x:v>Current Focus</x:v>
      </x:c>
      <x:c r="G3" s="687"/>
      <x:c r="H3" s="687"/>
    </x:row>
    <x:row r="4" ht="48" customHeight="1">
      <x:c r="A4" s="688" t="str">
        <x:v>Pilot Target Finish</x:v>
      </x:c>
      <x:c r="B4" s="692" t="n">
        <x:v>46257</x:v>
      </x:c>
      <x:c r="C4" s="691"/>
      <x:c r="D4" s="691"/>
      <x:c r="F4" s="696" t="str">
        <x:v>Active WBS</x:v>
      </x:c>
      <x:c r="G4" s="697" t="str">
        <x:v>P0.1 — Define workflow contract and authority map</x:v>
      </x:c>
      <x:c r="H4" s="697"/>
    </x:row>
    <x:row r="5" ht="48" customHeight="1">
      <x:c r="A5" s="688" t="str">
        <x:v>Planned Hours</x:v>
      </x:c>
      <x:c r="B5" s="693" t="n">
        <x:f>'Pilot Gantt'!F24</x:f>
        <x:v>46</x:v>
      </x:c>
      <x:c r="C5" s="691"/>
      <x:c r="D5" s="691"/>
      <x:c r="F5" s="696" t="str">
        <x:v>Objective</x:v>
      </x:c>
      <x:c r="G5" s="697" t="str">
        <x:v>Freeze the v0.3.0 package-audit contract before implementation.</x:v>
      </x:c>
      <x:c r="H5" s="697"/>
    </x:row>
    <x:row r="6" ht="48" customHeight="1">
      <x:c r="A6" s="688" t="str">
        <x:v>Known Pilot Hours</x:v>
      </x:c>
      <x:c r="B6" s="693" t="n">
        <x:f>'Pilot Gantt'!M24</x:f>
        <x:v>0</x:v>
      </x:c>
      <x:c r="C6" s="691"/>
      <x:c r="D6" s="691"/>
      <x:c r="F6" s="696" t="str">
        <x:v>Expected Duration</x:v>
      </x:c>
      <x:c r="G6" s="697" t="str">
        <x:v>2 focused hours</x:v>
      </x:c>
      <x:c r="H6" s="697"/>
    </x:row>
    <x:row r="7" ht="48" customHeight="1">
      <x:c r="A7" s="688" t="str">
        <x:v>Weighted Progress</x:v>
      </x:c>
      <x:c r="B7" s="694" t="n">
        <x:f>'Pilot Gantt'!L24</x:f>
        <x:v>0.08695652173913043</x:v>
      </x:c>
      <x:c r="C7" s="691"/>
      <x:c r="D7" s="691"/>
      <x:c r="F7" s="696" t="str">
        <x:v>Definition of Done</x:v>
      </x:c>
      <x:c r="G7" s="697" t="str">
        <x:v>Document types, canonical IDs, source precedence, result states, exclusions, human-review boundaries, and acceptance evidence are explicit and internally consistent.</x:v>
      </x:c>
      <x:c r="H7" s="697"/>
    </x:row>
    <x:row r="8" ht="48" customHeight="1">
      <x:c r="A8" s="688" t="str">
        <x:v>Released Kernel</x:v>
      </x:c>
      <x:c r="B8" s="691" t="str">
        <x:v>v0.2.0 / commit 45336a2</x:v>
      </x:c>
      <x:c r="C8" s="691"/>
      <x:c r="D8" s="691"/>
      <x:c r="F8" s="696" t="str">
        <x:v>Immediate Next Action</x:v>
      </x:c>
      <x:c r="G8" s="697" t="str">
        <x:v>Create and review docs/package_assurance/workflow_contract_v0.3.0.md on feature/package-assurance-contract.</x:v>
      </x:c>
      <x:c r="H8" s="697"/>
    </x:row>
    <x:row r="9" ht="48" customHeight="1">
      <x:c r="A9" s="688" t="str">
        <x:v>Release Target</x:v>
      </x:c>
      <x:c r="B9" s="691" t="str">
        <x:v>v0.3.0</x:v>
      </x:c>
      <x:c r="C9" s="691"/>
      <x:c r="D9" s="691"/>
      <x:c r="F9" s="696" t="str">
        <x:v>Primary Risk</x:v>
      </x:c>
      <x:c r="G9" s="697" t="str">
        <x:v>Ambiguous authority or scope creep could create convincing but unsafe findings.</x:v>
      </x:c>
      <x:c r="H9" s="697"/>
    </x:row>
    <x:row r="10" ht="48" customHeight="1">
      <x:c r="A10" s="688" t="str">
        <x:v>Baseline Test Count</x:v>
      </x:c>
      <x:c r="B10" s="691" t="n">
        <x:v>121</x:v>
      </x:c>
      <x:c r="C10" s="691"/>
      <x:c r="D10" s="691"/>
      <x:c r="F10" s="696" t="str">
        <x:v>Deferred</x:v>
      </x:c>
      <x:c r="G10" s="697" t="str">
        <x:v>PDF/CAD extraction, APIs/databases, agent runtime integration, dashboards, RAG, and RL.</x:v>
      </x:c>
      <x:c r="H10" s="697"/>
    </x:row>
    <x:row r="11" ht="48" customHeight="1">
      <x:c r="A11" s="688" t="str">
        <x:v>Structured Packages</x:v>
      </x:c>
      <x:c r="B11" s="691" t="n">
        <x:v>2</x:v>
      </x:c>
      <x:c r="C11" s="691"/>
      <x:c r="D11" s="691"/>
      <x:c r="F11" s="696" t="str">
        <x:v>Data Boundary</x:v>
      </x:c>
      <x:c r="G11" s="697" t="str">
        <x:v>Public, synthetic, self-authored, or authorized data only.</x:v>
      </x:c>
      <x:c r="H11" s="697"/>
    </x:row>
    <x:row r="13">
      <x:c r="A13" s="687" t="str">
        <x:v>Pilot Phase Progress</x:v>
      </x:c>
      <x:c r="B13" s="687"/>
      <x:c r="C13" s="687"/>
      <x:c r="D13" s="687"/>
      <x:c r="E13" s="687"/>
    </x:row>
    <x:row r="14">
      <x:c r="A14" s="657" t="str">
        <x:v>Phase</x:v>
      </x:c>
      <x:c r="B14" s="657" t="str">
        <x:v>Planned Hours</x:v>
      </x:c>
      <x:c r="C14" s="657" t="str">
        <x:v>Actual Hours</x:v>
      </x:c>
      <x:c r="D14" s="657" t="str">
        <x:v>% Complete</x:v>
      </x:c>
      <x:c r="E14" s="657" t="str">
        <x:v>Gate / Hold Point</x:v>
      </x:c>
    </x:row>
    <x:row r="15" ht="36" customHeight="1">
      <x:c r="A15" s="698" t="str">
        <x:v>P0 Definition &amp; Control</x:v>
      </x:c>
      <x:c r="B15" s="699" t="n">
        <x:v>4</x:v>
      </x:c>
      <x:c r="C15" s="699" t="n">
        <x:f>SUMIF('Pilot Gantt'!$B$6:$B$22,A15,'Pilot Gantt'!$M$6:$M$22)</x:f>
        <x:v>0</x:v>
      </x:c>
      <x:c r="D15" s="700" t="n">
        <x:f>IF(B15=0,0,SUMPRODUCT(('Pilot Gantt'!$B$6:$B$22=A15)*'Pilot Gantt'!$F$6:$F$22*'Pilot Gantt'!$L$6:$L$22)/B15)</x:f>
        <x:v>1</x:v>
      </x:c>
      <x:c r="E15" s="698" t="str">
        <x:v>Gate P0 — workflow contract and acceptance plan accepted</x:v>
      </x:c>
    </x:row>
    <x:row r="16" ht="36" customHeight="1">
      <x:c r="A16" s="698" t="str">
        <x:v>P1 Package Model &amp; Fixtures</x:v>
      </x:c>
      <x:c r="B16" s="699" t="n">
        <x:v>8</x:v>
      </x:c>
      <x:c r="C16" s="699" t="n">
        <x:f>SUMIF('Pilot Gantt'!$B$6:$B$22,A16,'Pilot Gantt'!$M$6:$M$22)</x:f>
        <x:v>0</x:v>
      </x:c>
      <x:c r="D16" s="700" t="n">
        <x:f>IF(B16=0,0,SUMPRODUCT(('Pilot Gantt'!$B$6:$B$22=A16)*'Pilot Gantt'!$F$6:$F$22*'Pilot Gantt'!$L$6:$L$22)/B16)</x:f>
        <x:v>0</x:v>
      </x:c>
      <x:c r="E16" s="698" t="str">
        <x:v>Gate P1 — two validated packages and frozen held-out split</x:v>
      </x:c>
    </x:row>
    <x:row r="17" ht="36" customHeight="1">
      <x:c r="A17" s="698" t="str">
        <x:v>P2 Consistency Rules</x:v>
      </x:c>
      <x:c r="B17" s="699" t="n">
        <x:v>14</x:v>
      </x:c>
      <x:c r="C17" s="699" t="n">
        <x:f>SUMIF('Pilot Gantt'!$B$6:$B$22,A17,'Pilot Gantt'!$M$6:$M$22)</x:f>
        <x:v>0</x:v>
      </x:c>
      <x:c r="D17" s="700" t="n">
        <x:f>IF(B17=0,0,SUMPRODUCT(('Pilot Gantt'!$B$6:$B$22=A17)*'Pilot Gantt'!$F$6:$F$22*'Pilot Gantt'!$L$6:$L$22)/B17)</x:f>
        <x:v>0</x:v>
      </x:c>
      <x:c r="E17" s="698" t="str">
        <x:v>Gate P2 — deterministic audit core and result-state routing</x:v>
      </x:c>
    </x:row>
    <x:row r="18" ht="36" customHeight="1">
      <x:c r="A18" s="698" t="str">
        <x:v>P3 Issue Register &amp; CLI</x:v>
      </x:c>
      <x:c r="B18" s="699" t="n">
        <x:v>8</x:v>
      </x:c>
      <x:c r="C18" s="699" t="n">
        <x:f>SUMIF('Pilot Gantt'!$B$6:$B$22,A18,'Pilot Gantt'!$M$6:$M$22)</x:f>
        <x:v>0</x:v>
      </x:c>
      <x:c r="D18" s="700" t="n">
        <x:f>IF(B18=0,0,SUMPRODUCT(('Pilot Gantt'!$B$6:$B$22=A18)*'Pilot Gantt'!$F$6:$F$22*'Pilot Gantt'!$L$6:$L$22)/B18)</x:f>
        <x:v>0</x:v>
      </x:c>
      <x:c r="E18" s="698" t="str">
        <x:v>Gate P3 — reproducible issue register and audit-package command</x:v>
      </x:c>
    </x:row>
    <x:row r="19" ht="36" customHeight="1">
      <x:c r="A19" s="698" t="str">
        <x:v>P4 Benchmark &amp; Reliability</x:v>
      </x:c>
      <x:c r="B19" s="699" t="n">
        <x:v>8</x:v>
      </x:c>
      <x:c r="C19" s="699" t="n">
        <x:f>SUMIF('Pilot Gantt'!$B$6:$B$22,A19,'Pilot Gantt'!$M$6:$M$22)</x:f>
        <x:v>0</x:v>
      </x:c>
      <x:c r="D19" s="700" t="n">
        <x:f>IF(B19=0,0,SUMPRODUCT(('Pilot Gantt'!$B$6:$B$22=A19)*'Pilot Gantt'!$F$6:$F$22*'Pilot Gantt'!$L$6:$L$22)/B19)</x:f>
        <x:v>0</x:v>
      </x:c>
      <x:c r="E19" s="698" t="str">
        <x:v>Gate P4 — held-out benchmark and clean-clone release acceptance</x:v>
      </x:c>
    </x:row>
    <x:row r="20" ht="36" customHeight="1">
      <x:c r="A20" s="698" t="str">
        <x:v>P5 Portfolio &amp; Commercial Proof</x:v>
      </x:c>
      <x:c r="B20" s="699" t="n">
        <x:v>4</x:v>
      </x:c>
      <x:c r="C20" s="699" t="n">
        <x:f>SUMIF('Pilot Gantt'!$B$6:$B$22,A20,'Pilot Gantt'!$M$6:$M$22)</x:f>
        <x:v>0</x:v>
      </x:c>
      <x:c r="D20" s="700" t="n">
        <x:f>IF(B20=0,0,SUMPRODUCT(('Pilot Gantt'!$B$6:$B$22=A20)*'Pilot Gantt'!$F$6:$F$22*'Pilot Gantt'!$L$6:$L$22)/B20)</x:f>
        <x:v>0</x:v>
      </x:c>
      <x:c r="E20" s="698" t="str">
        <x:v>Gate P5 — auditable demo and bounded service specification</x:v>
      </x:c>
    </x:row>
    <x:row r="22">
      <x:c r="A22" s="687" t="str">
        <x:v>Next Three Deliverables</x:v>
      </x:c>
      <x:c r="B22" s="687"/>
      <x:c r="C22" s="687"/>
      <x:c r="D22" s="687"/>
      <x:c r="E22" s="687"/>
      <x:c r="F22" s="687"/>
      <x:c r="G22" s="687"/>
      <x:c r="H22" s="687"/>
    </x:row>
    <x:row r="23">
      <x:c r="A23" s="657" t="str">
        <x:v>Priority</x:v>
      </x:c>
      <x:c r="B23" s="657" t="str">
        <x:v>WBS</x:v>
      </x:c>
      <x:c r="C23" s="657" t="str">
        <x:v>Deliverable</x:v>
      </x:c>
      <x:c r="D23" s="657" t="str">
        <x:v>Definition of Done</x:v>
      </x:c>
      <x:c r="E23" s="657" t="str">
        <x:v>Target Week</x:v>
      </x:c>
      <x:c r="F23" s="657" t="str">
        <x:v>Branch</x:v>
      </x:c>
      <x:c r="G23" s="657" t="str">
        <x:v>Evidence</x:v>
      </x:c>
      <x:c r="H23" s="657" t="str">
        <x:v>Owner</x:v>
      </x:c>
    </x:row>
    <x:row r="24" ht="60" customHeight="1">
      <x:c r="A24" s="431" t="n">
        <x:v>1</x:v>
      </x:c>
      <x:c r="B24" s="431" t="str">
        <x:v>P0.1</x:v>
      </x:c>
      <x:c r="C24" s="431" t="str">
        <x:v>Workflow contract and authority map</x:v>
      </x:c>
      <x:c r="D24" s="431" t="str">
        <x:v>All source types, canonical identifiers, precedence rules, result states, exclusions, and human-review boundaries are frozen.</x:v>
      </x:c>
      <x:c r="E24" s="431" t="n">
        <x:v>1</x:v>
      </x:c>
      <x:c r="F24" s="431" t="str">
        <x:v>feature/package-assurance-contract</x:v>
      </x:c>
      <x:c r="G24" s="431" t="str">
        <x:v>Approved contract document and decision D-030</x:v>
      </x:c>
      <x:c r="H24" s="431" t="str">
        <x:v>Jason</x:v>
      </x:c>
    </x:row>
    <x:row r="25" ht="60" customHeight="1">
      <x:c r="A25" s="431" t="n">
        <x:v>2</x:v>
      </x:c>
      <x:c r="B25" s="431" t="str">
        <x:v>P0.2</x:v>
      </x:c>
      <x:c r="C25" s="431" t="str">
        <x:v>Acceptance plan and benchmark protocol</x:v>
      </x:c>
      <x:c r="D25" s="431" t="str">
        <x:v>Deterministic checks, fault matrix, true held-out split, false-negative review, claim boundary, and stop condition are defined.</x:v>
      </x:c>
      <x:c r="E25" s="431" t="n">
        <x:v>1</x:v>
      </x:c>
      <x:c r="F25" s="431" t="str">
        <x:v>feature/package-assurance-contract</x:v>
      </x:c>
      <x:c r="G25" s="431" t="str">
        <x:v>Acceptance plan, benchmark protocol, and D-032</x:v>
      </x:c>
      <x:c r="H25" s="431" t="str">
        <x:v>Jason</x:v>
      </x:c>
    </x:row>
    <x:row r="26" ht="60" customHeight="1">
      <x:c r="A26" s="431" t="n">
        <x:v>3</x:v>
      </x:c>
      <x:c r="B26" s="431" t="str">
        <x:v>P1.1</x:v>
      </x:c>
      <x:c r="C26" s="431" t="str">
        <x:v>Package manifest schema and loader</x:v>
      </x:c>
      <x:c r="D26" s="431" t="str">
        <x:v>Versioned package manifest validates document inventory, relationships, revisions, authority declarations, and file references with controlled errors.</x:v>
      </x:c>
      <x:c r="E26" s="431" t="n">
        <x:v>2</x:v>
      </x:c>
      <x:c r="F26" s="431" t="str">
        <x:v>feature/package-manifest</x:v>
      </x:c>
      <x:c r="G26" s="431" t="str">
        <x:v>Schema, loader, tests, examples, and CLI validation</x:v>
      </x:c>
      <x:c r="H26" s="431" t="str">
        <x:v>Jason</x:v>
      </x:c>
    </x:row>
  </x:sheetData>
  <x:mergeCells>
    <x:mergeCell ref="A1:H1"/>
    <x:mergeCell ref="A3:D3"/>
    <x:mergeCell ref="F3:H3"/>
    <x:mergeCell ref="G4:H4"/>
    <x:mergeCell ref="G5:H5"/>
    <x:mergeCell ref="G6:H6"/>
    <x:mergeCell ref="G7:H7"/>
    <x:mergeCell ref="G8:H8"/>
    <x:mergeCell ref="G9:H9"/>
    <x:mergeCell ref="G10:H10"/>
    <x:mergeCell ref="G11:H11"/>
    <x:mergeCell ref="A13:E13"/>
    <x:mergeCell ref="A22:H22"/>
  </x:mergeCells>
  <x:conditionalFormatting sqref="B7:B7">
    <x:cfRule type="dataBar" priority="1">
      <x:dataBar>
        <x:cfvo type="min"/>
        <x:cfvo type="max"/>
        <x:color rgb="FF5B9BD5"/>
      </x:dataBar>
      <x:extLst>
        <x:ext xmlns:x14="http://schemas.microsoft.com/office/spreadsheetml/2009/9/main" uri="{B025F937-C7B1-47D3-B67F-A62EFF666E3E}">
          <x14:id>{7D85DDEE-AD7E-FCA4-D649-88C018333592}</x14:id>
        </x:ext>
      </x:extLst>
    </x:cfRule>
  </x:conditionalFormatting>
  <x:conditionalFormatting sqref="D15:D20">
    <x:cfRule type="dataBar" priority="2">
      <x:dataBar>
        <x:cfvo type="min"/>
        <x:cfvo type="max"/>
        <x:color rgb="FF5B9BD5"/>
      </x:dataBar>
      <x:extLst>
        <x:ext xmlns:x14="http://schemas.microsoft.com/office/spreadsheetml/2009/9/main" uri="{B025F937-C7B1-47D3-B67F-A62EFF666E3E}">
          <x14:id>{25A6C5E8-C840-7DE4-8C0F-8EEE77CEC4EA}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85DDEE-AD7E-FCA4-D649-88C018333592}">
            <x14:dataBar gradient="1">
              <x14:cfvo type="min"/>
              <x14:cfvo type="max"/>
              <x14:fillColor rgb="FF5B9BD5"/>
            </x14:dataBar>
          </x14:cfRule>
          <xm:sqref>B7:B7</xm:sqref>
        </x14:conditionalFormatting>
        <x14:conditionalFormatting>
          <x14:cfRule type="dataBar" priority="2" id="{25A6C5E8-C840-7DE4-8C0F-8EEE77CEC4EA}">
            <x14:dataBar gradient="1">
              <x14:cfvo type="min"/>
              <x14:cfvo type="max"/>
              <x14:fillColor rgb="FF5B9BD5"/>
            </x14:dataBar>
          </x14:cfRule>
          <xm:sqref>D15:D20</xm:sqref>
        </x14:conditionalFormatting>
      </x14:conditionalFormattings>
    </x:ext>
  </x:extLst>
</x:worksheet>
</file>