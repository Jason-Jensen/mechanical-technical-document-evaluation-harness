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2dd68bca56479e" /></Relationships>
</file>

<file path=xl/workbook.xml><?xml version="1.0" encoding="utf-8"?>
<x:workbook xmlns:x="http://schemas.openxmlformats.org/spreadsheetml/2006/main">
  <x:sheets>
    <x:sheet xmlns:r="http://schemas.openxmlformats.org/officeDocument/2006/relationships" name="Start Here" sheetId="1" r:id="Rf00a7fa0ae4f4509"/>
    <x:sheet xmlns:r="http://schemas.openxmlformats.org/officeDocument/2006/relationships" name="Executive Gantt" sheetId="2" r:id="Ra116ade308ec45fa"/>
    <x:sheet xmlns:r="http://schemas.openxmlformats.org/officeDocument/2006/relationships" name="Detailed Gantt" sheetId="3" r:id="R1504c6dd21b14f60"/>
    <x:sheet xmlns:r="http://schemas.openxmlformats.org/officeDocument/2006/relationships" name="Weekly Control" sheetId="4" r:id="R5f46836a8a7744c7"/>
    <x:sheet xmlns:r="http://schemas.openxmlformats.org/officeDocument/2006/relationships" name="Phase Summary" sheetId="5" r:id="R9458992e8b70476a"/>
    <x:sheet xmlns:r="http://schemas.openxmlformats.org/officeDocument/2006/relationships" name="Assumptions &amp; Gates" sheetId="6" r:id="R886cc9fafea24bfb"/>
    <x:sheet xmlns:r="http://schemas.openxmlformats.org/officeDocument/2006/relationships" name="Sources" sheetId="7" r:id="R4d3f4f09b3f644d2"/>
    <x:sheet xmlns:r="http://schemas.openxmlformats.org/officeDocument/2006/relationships" name="Legacy Baseline" sheetId="8" r:id="Rd61a79087a51440d"/>
    <x:sheet xmlns:r="http://schemas.openxmlformats.org/officeDocument/2006/relationships" name="Work Block Log" sheetId="9" r:id="Rc3d8d3e8660044f8"/>
    <x:sheet xmlns:r="http://schemas.openxmlformats.org/officeDocument/2006/relationships" name="Decision Register" sheetId="10" r:id="Re1bd165674ba4098"/>
    <x:sheet xmlns:r="http://schemas.openxmlformats.org/officeDocument/2006/relationships" name="Risks &amp; Issues" sheetId="11" r:id="Rb3fd761656254dbc"/>
    <x:sheet xmlns:r="http://schemas.openxmlformats.org/officeDocument/2006/relationships" name="Evidence Register" sheetId="12" r:id="Rd8d9957d146f4e9d"/>
    <x:sheet xmlns:r="http://schemas.openxmlformats.org/officeDocument/2006/relationships" name="Expansion Backlog" sheetId="13" r:id="R7ca4f68fafb64e63"/>
    <x:sheet xmlns:r="http://schemas.openxmlformats.org/officeDocument/2006/relationships" name="AI Context" sheetId="14" r:id="Rb1276e7535a14d20"/>
    <x:sheet xmlns:r="http://schemas.openxmlformats.org/officeDocument/2006/relationships" name="MVP Dashboard" sheetId="15" r:id="Rae325e5fb2fa4270"/>
    <x:sheet xmlns:r="http://schemas.openxmlformats.org/officeDocument/2006/relationships" name="Product Vision" sheetId="16" r:id="Rde877510d9a04949"/>
    <x:sheet xmlns:r="http://schemas.openxmlformats.org/officeDocument/2006/relationships" name="Pilot Gantt" sheetId="17" r:id="R51309fea37094eee"/>
    <x:sheet xmlns:r="http://schemas.openxmlformats.org/officeDocument/2006/relationships" name="Pilot Dashboard" sheetId="18" r:id="Rc35f9544edc641cf"/>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<x:sst xmlns:x="http://schemas.openxmlformats.org/spreadsheetml/2006/main">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</x:sst>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0ab053414f458a" /><Relationship Type="http://schemas.openxmlformats.org/officeDocument/2006/relationships/theme" Target="/xl/theme/theme1.xml" Id="Raf211895b80f456f" /><Relationship Type="http://schemas.openxmlformats.org/officeDocument/2006/relationships/sharedStrings" Target="/xl/sharedStrings.xml" Id="R69388ae1727c4775" /><Relationship Type="http://schemas.openxmlformats.org/officeDocument/2006/relationships/worksheet" Target="/xl/worksheets/sheet1.xml" Id="Rf00a7fa0ae4f4509" /><Relationship Type="http://schemas.openxmlformats.org/officeDocument/2006/relationships/worksheet" Target="/xl/worksheets/sheet2.xml" Id="Ra116ade308ec45fa" /><Relationship Type="http://schemas.openxmlformats.org/officeDocument/2006/relationships/worksheet" Target="/xl/worksheets/sheet3.xml" Id="R1504c6dd21b14f60" /><Relationship Type="http://schemas.openxmlformats.org/officeDocument/2006/relationships/worksheet" Target="/xl/worksheets/sheet4.xml" Id="R5f46836a8a7744c7" /><Relationship Type="http://schemas.openxmlformats.org/officeDocument/2006/relationships/worksheet" Target="/xl/worksheets/sheet5.xml" Id="R9458992e8b70476a" /><Relationship Type="http://schemas.openxmlformats.org/officeDocument/2006/relationships/worksheet" Target="/xl/worksheets/sheet6.xml" Id="R886cc9fafea24bfb" /><Relationship Type="http://schemas.openxmlformats.org/officeDocument/2006/relationships/worksheet" Target="/xl/worksheets/sheet7.xml" Id="R4d3f4f09b3f644d2" /><Relationship Type="http://schemas.openxmlformats.org/officeDocument/2006/relationships/worksheet" Target="/xl/worksheets/sheet8.xml" Id="Rd61a79087a51440d" /><Relationship Type="http://schemas.openxmlformats.org/officeDocument/2006/relationships/worksheet" Target="/xl/worksheets/sheet9.xml" Id="Rc3d8d3e8660044f8" /><Relationship Type="http://schemas.openxmlformats.org/officeDocument/2006/relationships/worksheet" Target="/xl/worksheets/sheet10.xml" Id="Re1bd165674ba4098" /><Relationship Type="http://schemas.openxmlformats.org/officeDocument/2006/relationships/worksheet" Target="/xl/worksheets/sheet11.xml" Id="Rb3fd761656254dbc" /><Relationship Type="http://schemas.openxmlformats.org/officeDocument/2006/relationships/worksheet" Target="/xl/worksheets/sheet12.xml" Id="Rd8d9957d146f4e9d" /><Relationship Type="http://schemas.openxmlformats.org/officeDocument/2006/relationships/worksheet" Target="/xl/worksheets/sheet13.xml" Id="R7ca4f68fafb64e63" /><Relationship Type="http://schemas.openxmlformats.org/officeDocument/2006/relationships/worksheet" Target="/xl/worksheets/sheet14.xml" Id="Rb1276e7535a14d20" /><Relationship Type="http://schemas.openxmlformats.org/officeDocument/2006/relationships/worksheet" Target="/xl/worksheets/sheet15.xml" Id="Rae325e5fb2fa4270" /><Relationship Type="http://schemas.openxmlformats.org/officeDocument/2006/relationships/worksheet" Target="/xl/worksheets/sheet16.xml" Id="Rde877510d9a04949" /><Relationship Type="http://schemas.openxmlformats.org/officeDocument/2006/relationships/worksheet" Target="/xl/worksheets/sheet17.xml" Id="R51309fea37094eee" /><Relationship Type="http://schemas.openxmlformats.org/officeDocument/2006/relationships/worksheet" Target="/xl/worksheets/sheet18.xml" Id="Rc35f9544edc641cf" /></Relationships>
</file>

<file path=xl/drawings/_rels/drawing1.xml.rels>&#65279;<?xml version="1.0" encoding="utf-8"?><Relationships xmlns="http://schemas.openxmlformats.org/package/2006/relationships"><Relationship Type="http://schemas.openxmlformats.org/officeDocument/2006/relationships/chart" Target="/xl/drawings/charts/chart1.xml" Id="R6ca5ef8a0f84432e" /></Relationships>
</file>

<file path=xl/drawings/_rels/drawing2.xml.rels>&#65279;<?xml version="1.0" encoding="utf-8"?><Relationships xmlns="http://schemas.openxmlformats.org/package/2006/relationships"><Relationship Type="http://schemas.openxmlformats.org/officeDocument/2006/relationships/chart" Target="/xl/drawings/charts/chart2.xml" Id="Rd4dda8195c104820" /></Relationships>
</file>

<file path=xl/drawings/_rels/drawing3.xml.rels>&#65279;<?xml version="1.0" encoding="utf-8"?><Relationships xmlns="http://schemas.openxmlformats.org/package/2006/relationships"><Relationship Type="http://schemas.openxmlformats.org/officeDocument/2006/relationships/chart" Target="/xl/drawings/charts/chart3.xml" Id="R7c0e255ac8ac437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ca5ef8a0f84432e"/>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4dda8195c104820"/>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c0e255ac8ac437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495dce49ff9428f" /></Relationships>
</file>

<file path=xl/worksheets/_rels/sheet5.xml.rels>&#65279;<?xml version="1.0" encoding="utf-8"?><Relationships xmlns="http://schemas.openxmlformats.org/package/2006/relationships"><Relationship Type="http://schemas.openxmlformats.org/officeDocument/2006/relationships/drawing" Target="/xl/drawings/drawing2.xml" Id="R5d0a8db95ec742ed" /></Relationships>
</file>

<file path=xl/worksheets/_rels/sheet15.xml.rels>&#65279;<?xml version="1.0" encoding="utf-8"?><Relationships xmlns="http://schemas.openxmlformats.org/package/2006/relationships"><Relationship Type="http://schemas.openxmlformats.org/officeDocument/2006/relationships/drawing" Target="/xl/drawings/drawing3.xml" Id="R4239e01dde944289"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completion and P4.1 benchmark entry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D-107 and D-108 accepted; P2.3 complete; P4.1 authorized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completion and v0.3.0 claim-boundary closeout</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Integrate closeout, then implement P4.1 development benchmark regression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540" hidden="0" customHeight="1">
      <x:c r="A28" s="597" t="str">
        <x:v>D-107 is accepted and PR #59 merged check 11 at exact main 69c0d1b. D-108 records P2.3 complete for exactly eight mandatory gates, eleven deterministic relationship checks, the accepted result-state router, and four immutable outputs. Cross-document quantity, part/material, BOM-item/drawing, equipment/specification, datasheet-revision, and controlled technical-value compliance are explicitly deferred and excluded from v0.3.0 benchmark, release, demonstration, and service claims. P4.1 is authorized for development benchmark regression, fault injection, exact oracle comparison, repeatability normalization, failed-run preservation, and reporting. Protected held-out semantic execution remains blocked until P4.1 is frozen and P4.2 is opened. EV-137 and EV-138 preserve the integration and claim-boundary decisions.</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495dce49ff9428f"/>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5d0a8db95ec742ed"/>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78" customHeight="1">
      <x:c r="A24" s="431" t="str">
        <x:v>I-005</x:v>
      </x:c>
      <x:c r="B24" s="431" t="str">
        <x:v>Issue</x:v>
      </x:c>
      <x:c r="C24" s="431" t="str">
        <x:v>A valid package audit can generate all four staged outputs but fail the final Windows directory rename when a transient process holds the staging directory.</x:v>
      </x:c>
      <x:c r="D24" s="431" t="str">
        <x:v>N/A</x:v>
      </x:c>
      <x:c r="E24" s="431" t="str">
        <x:v>High</x:v>
      </x:c>
      <x:c r="F24" s="431" t="str">
        <x:v>Jason</x:v>
      </x:c>
      <x:c r="G24" s="431" t="str">
        <x:v>Retain the fixed final-rename PermissionError retry boundary and its injected recovery, exhaustion, collision, other-error, and CLI regression tests.</x:v>
      </x:c>
      <x:c r="H24" s="431" t="str">
        <x:v>Closed</x:v>
      </x:c>
      <x:c r="I24" s="431" t="n">
        <x:v>46224</x:v>
      </x:c>
      <x:c r="J24" s="431" t="str">
        <x:v>Closed as controlled under accepted D-105. PR #57 merged the stabilization at exact main dbcd242; IMP-019 remains retained. Persistent filesystem failures intentionally remain operator-visible exit 70 conditions.</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complete; P4.1 development benchmark active</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Eight mandatory gates and eleven relationship checks are implemented. Six unsupported authority/source claims are explicitly deferred and excluded from v0.3.0 claims.</x:v>
      </x:c>
      <x:c r="E7" s="765" t="str">
        <x:v>Product interpretation</x:v>
      </x:c>
      <x:c r="F7" s="431" t="str">
        <x:v>Successful kernel; not yet a complete economically useful workflow.</x:v>
      </x:c>
      <x:c r="G7" s="765" t="str">
        <x:v>Response</x:v>
      </x:c>
      <x:c r="H7" s="431" t="str">
        <x:v>Implement and freeze P4.1 before any protected held-out semantic execution.</x:v>
      </x:c>
    </x:row>
    <x:row r="8" ht="153" hidden="0" customHeight="1">
      <x:c r="A8" s="765" t="str">
        <x:v>Immediate next action</x:v>
      </x:c>
      <x:c r="B8" s="431" t="str">
        <x:v>Integrate the accepted P2.3 claim boundary, then define and implement the P4.1 development benchmark regression slice.</x:v>
      </x:c>
      <x:c r="C8" s="765" t="str">
        <x:v>Selected vertical</x:v>
      </x:c>
      <x:c r="D8" s="431" t="str">
        <x:v>P2.3 closeout -&gt; P4.1 development benchmark and fault injection -&gt; P4.1 acceptance/freeze -&gt; P4.2 one-way development and held-out execution -&gt; P4.3 clean-clone release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495" hidden="0" customHeight="1">
      <x:c r="A41" s="604" t="str">
        <x:v>Immediate implication</x:v>
      </x:c>
      <x:c r="B41" s="605"/>
      <x:c r="C41" s="606" t="str">
        <x:v>D-107 was accepted and PR #59 merged check 11 at exact main 69c0d1b. D-108 closes P2.3 for exactly eight gates, eleven relationship checks, the accepted state router, and four immutable outputs. The pilot expressly defers quantity, part/material, BOM-item/drawing, equipment/specification, datasheet-revision, and controlled technical-value reconciliation because accepted comparison sources or authority rules do not exist. Those gaps are limitations, not passes, and are excluded from benchmark scoring and release claims. P4.1 is authorized to build and verify a deterministic development benchmark runner, generated fault scenarios, exact post-evaluation oracle comparison, repeatability normalization, failed-run preservation, and split-aware reports. P4.1 must not execute protected held-out semantics or expose protected expected results to evaluator logic. The evaluator and runner must be frozen before P4.2. Public reruns, protected-asset edits, PDF/CAD extraction, agents, API/database/frontend layers, RAG, and other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239e01dde944289"/>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468"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In Progress</x:v>
      </x:c>
      <x:c r="L18" s="664" t="n">
        <x:v>0.05</x:v>
      </x:c>
      <x:c r="M18" s="662" t="n">
        <x:f>SUMIF('Work Block Log'!$E$5:$E$200,A18,'Work Block Log'!$F$5:$F$200)</x:f>
        <x:v>0</x:v>
      </x:c>
      <x:c r="N18" s="662" t="n">
        <x:f>MAX(F18*(1-L18),0)</x:f>
        <x:v>2.8499999999999996</x:v>
      </x:c>
      <x:c r="O18" s="662" t="n">
        <x:f>M18-F18</x:f>
        <x:v>-3</x:v>
      </x:c>
      <x:c r="P18" s="431" t="str">
        <x:v>codex/p2.3-completion-claim-boundary; next codex/p4.1-development-benchmark; D-107-D-108; EV-137-EV-138; docs/package_assurance/p2_3_completion_and_claim_boundary_v0.3.0.md</x:v>
      </x:c>
      <x:c r="Q18" s="431" t="str">
        <x:v>Define and implement the bounded P4.1 development scenario matrix, exact oracle comparator, repeated-run normalization, failure preservation, and benchmark report.</x:v>
      </x:c>
      <x:c r="R18" s="431" t="str">
        <x:v>Use accepted development inputs and temporary/generated copies only. Do not execute protected held-out semantics until P4.1 is frozen and P4.2 is separately opened.</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0.7423913043478261</x:v>
      </x:c>
      <x:c r="M24" s="683" t="n">
        <x:f>SUM(M6:M22)</x:f>
        <x:v>0</x:v>
      </x:c>
      <x:c r="N24" s="683" t="n">
        <x:f>SUM(N6:N22)</x:f>
        <x:v>11.85</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Complete / P4.1 Active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P4.1 - development benchmark regression and fault injection</x:v>
      </x:c>
      <x:c r="H4" s="697"/>
    </x:row>
    <x:row r="5" ht="72" customHeight="1">
      <x:c r="A5" s="688" t="str">
        <x:v>Schedule Baseline</x:v>
      </x:c>
      <x:c r="B5" s="693" t="str">
        <x:v>Legacy only; not controlling</x:v>
      </x:c>
      <x:c r="C5" s="691"/>
      <x:c r="D5" s="691"/>
      <x:c r="F5" s="696" t="str">
        <x:v>Objective</x:v>
      </x:c>
      <x:c r="G5" s="697" t="str">
        <x:v>Freeze an executable development scenario matrix and exact post-evaluation oracle comparison before protected held-out execution.</x:v>
      </x:c>
      <x:c r="H5" s="697"/>
    </x:row>
    <x:row r="6" ht="63" customHeight="1">
      <x:c r="A6" s="688" t="str">
        <x:v>Time Tracking</x:v>
      </x:c>
      <x:c r="B6" s="693" t="str">
        <x:v>Waived prospectively</x:v>
      </x:c>
      <x:c r="C6" s="691"/>
      <x:c r="D6" s="691"/>
      <x:c r="F6" s="696" t="str">
        <x:v>Gate Status</x:v>
      </x:c>
      <x:c r="G6" s="697" t="str">
        <x:v>P2.3 complete for eight gates and eleven checks; six unsupported claims explicitly deferred.</x:v>
      </x:c>
      <x:c r="H6" s="697"/>
    </x:row>
    <x:row r="7" ht="81" customHeight="1">
      <x:c r="A7" s="688" t="str">
        <x:v>Current Gate</x:v>
      </x:c>
      <x:c r="B7" s="694" t="str">
        <x:v>D-107 and D-108 accepted; P2.3 complete; P4.1 active</x:v>
      </x:c>
      <x:c r="C7" s="691"/>
      <x:c r="D7" s="691"/>
      <x:c r="F7" s="696" t="str">
        <x:v>Definition of Done</x:v>
      </x:c>
      <x:c r="G7" s="697" t="str">
        <x:v>Implement P4.1 on a separate branch and stop for review before P4.2.</x:v>
      </x:c>
      <x:c r="H7" s="697"/>
    </x:row>
    <x:row r="8" ht="63" customHeight="1">
      <x:c r="A8" s="688" t="str">
        <x:v>Released Kernel</x:v>
      </x:c>
      <x:c r="B8" s="691" t="str">
        <x:v>v0.2.0 / commit 45336a2</x:v>
      </x:c>
      <x:c r="C8" s="691"/>
      <x:c r="D8" s="691"/>
      <x:c r="F8" s="696" t="str">
        <x:v>Immediate Next Action</x:v>
      </x:c>
      <x:c r="G8" s="697" t="str">
        <x:v>Use p2_3_completion_and_claim_boundary_v0.3.0.md and acceptance_plan_v0.3.0.md as controls.</x:v>
      </x:c>
      <x:c r="H8" s="697"/>
    </x:row>
    <x:row r="9" ht="72" customHeight="1">
      <x:c r="A9" s="688" t="str">
        <x:v>Release Target</x:v>
      </x:c>
      <x:c r="B9" s="691" t="str">
        <x:v>v0.3.0</x:v>
      </x:c>
      <x:c r="C9" s="691"/>
      <x:c r="D9" s="691"/>
      <x:c r="F9" s="696" t="str">
        <x:v>Primary Risk</x:v>
      </x:c>
      <x:c r="G9" s="697" t="str">
        <x:v>Primary risk is exposing or tuning against protected held-out semantics before the evaluator and runner are frozen.</x:v>
      </x:c>
      <x:c r="H9" s="697"/>
    </x:row>
    <x:row r="10" ht="81" customHeight="1">
      <x:c r="A10" s="688" t="str">
        <x:v>Baseline Test Count</x:v>
      </x:c>
      <x:c r="B10" s="691" t="n">
        <x:v>121</x:v>
      </x:c>
      <x:c r="C10" s="691"/>
      <x:c r="D10" s="691"/>
      <x:c r="F10" s="696" t="str">
        <x:v>Deferred</x:v>
      </x:c>
      <x:c r="G10" s="697" t="str">
        <x:v>P4.2 held-out execution, public reruns, and deferred capabilities remain blocked.</x:v>
      </x:c>
      <x:c r="H10" s="697"/>
    </x:row>
    <x:row r="11" ht="63" customHeight="1">
      <x:c r="A11" s="688" t="str">
        <x:v>Fixture Package Families</x:v>
      </x:c>
      <x:c r="B11" s="691" t="n">
        <x:v>2</x:v>
      </x:c>
      <x:c r="C11" s="691"/>
      <x:c r="D11" s="691"/>
      <x:c r="F11" s="696" t="str">
        <x:v>Data Boundary</x:v>
      </x:c>
      <x:c r="G11" s="697" t="str">
        <x:v>Protected fixtures, expected assets, authority maps, schemas, public packages, and v0.2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In Progress</x:v>
      </x:c>
      <x:c r="C19" s="699" t="str">
        <x:v>P4.1 authorized</x:v>
      </x:c>
      <x:c r="D19" s="700" t="n">
        <x:v>0.05</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