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c2ef3a549f4c8c" /></Relationships>
</file>

<file path=xl/workbook.xml><?xml version="1.0" encoding="utf-8"?>
<x:workbook xmlns:x="http://schemas.openxmlformats.org/spreadsheetml/2006/main">
  <x:sheets>
    <x:sheet xmlns:r="http://schemas.openxmlformats.org/officeDocument/2006/relationships" name="Start Here" sheetId="1" r:id="R17a7fd62d16546ee"/>
    <x:sheet xmlns:r="http://schemas.openxmlformats.org/officeDocument/2006/relationships" name="Executive Gantt" sheetId="2" r:id="R8bcbc4a2af8d4d37"/>
    <x:sheet xmlns:r="http://schemas.openxmlformats.org/officeDocument/2006/relationships" name="Detailed Gantt" sheetId="3" r:id="Rfc4d3102d1fb421b"/>
    <x:sheet xmlns:r="http://schemas.openxmlformats.org/officeDocument/2006/relationships" name="Weekly Control" sheetId="4" r:id="R0122515f7b3c42aa"/>
    <x:sheet xmlns:r="http://schemas.openxmlformats.org/officeDocument/2006/relationships" name="Phase Summary" sheetId="5" r:id="Rbd76f567728c4fcc"/>
    <x:sheet xmlns:r="http://schemas.openxmlformats.org/officeDocument/2006/relationships" name="Assumptions &amp; Gates" sheetId="6" r:id="R466e30b981484300"/>
    <x:sheet xmlns:r="http://schemas.openxmlformats.org/officeDocument/2006/relationships" name="Sources" sheetId="7" r:id="Rf591326d604a43ac"/>
    <x:sheet xmlns:r="http://schemas.openxmlformats.org/officeDocument/2006/relationships" name="Legacy Baseline" sheetId="8" r:id="R49f822848ca54ecf"/>
    <x:sheet xmlns:r="http://schemas.openxmlformats.org/officeDocument/2006/relationships" name="Work Block Log" sheetId="9" r:id="R101eb4a9bdc54117"/>
    <x:sheet xmlns:r="http://schemas.openxmlformats.org/officeDocument/2006/relationships" name="Decision Register" sheetId="10" r:id="R6dcbe02b6c974870"/>
    <x:sheet xmlns:r="http://schemas.openxmlformats.org/officeDocument/2006/relationships" name="Risks &amp; Issues" sheetId="11" r:id="R7fab0c591ad24bfa"/>
    <x:sheet xmlns:r="http://schemas.openxmlformats.org/officeDocument/2006/relationships" name="Evidence Register" sheetId="12" r:id="R21f28eae5bb048d2"/>
    <x:sheet xmlns:r="http://schemas.openxmlformats.org/officeDocument/2006/relationships" name="Expansion Backlog" sheetId="13" r:id="R640e026121604115"/>
    <x:sheet xmlns:r="http://schemas.openxmlformats.org/officeDocument/2006/relationships" name="AI Context" sheetId="14" r:id="Rc162f007e5ba40a4"/>
    <x:sheet xmlns:r="http://schemas.openxmlformats.org/officeDocument/2006/relationships" name="MVP Dashboard" sheetId="15" r:id="R4380a33b86444780"/>
    <x:sheet xmlns:r="http://schemas.openxmlformats.org/officeDocument/2006/relationships" name="Product Vision" sheetId="16" r:id="R5a0aeecc497845f6"/>
    <x:sheet xmlns:r="http://schemas.openxmlformats.org/officeDocument/2006/relationships" name="Pilot Gantt" sheetId="17" r:id="Reb3a2449493142ce"/>
    <x:sheet xmlns:r="http://schemas.openxmlformats.org/officeDocument/2006/relationships" name="Pilot Dashboard" sheetId="18" r:id="R24a7a7b577a04f9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<x:sst xmlns:x="http://schemas.openxmlformats.org/spreadsheetml/2006/main">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</x:sst>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ab16da44954c48" /><Relationship Type="http://schemas.openxmlformats.org/officeDocument/2006/relationships/theme" Target="/xl/theme/theme1.xml" Id="R6f607870615b4e56" /><Relationship Type="http://schemas.openxmlformats.org/officeDocument/2006/relationships/sharedStrings" Target="/xl/sharedStrings.xml" Id="R3f95303e7e804cd9" /><Relationship Type="http://schemas.openxmlformats.org/officeDocument/2006/relationships/worksheet" Target="/xl/worksheets/sheet1.xml" Id="R17a7fd62d16546ee" /><Relationship Type="http://schemas.openxmlformats.org/officeDocument/2006/relationships/worksheet" Target="/xl/worksheets/sheet2.xml" Id="R8bcbc4a2af8d4d37" /><Relationship Type="http://schemas.openxmlformats.org/officeDocument/2006/relationships/worksheet" Target="/xl/worksheets/sheet3.xml" Id="Rfc4d3102d1fb421b" /><Relationship Type="http://schemas.openxmlformats.org/officeDocument/2006/relationships/worksheet" Target="/xl/worksheets/sheet4.xml" Id="R0122515f7b3c42aa" /><Relationship Type="http://schemas.openxmlformats.org/officeDocument/2006/relationships/worksheet" Target="/xl/worksheets/sheet5.xml" Id="Rbd76f567728c4fcc" /><Relationship Type="http://schemas.openxmlformats.org/officeDocument/2006/relationships/worksheet" Target="/xl/worksheets/sheet6.xml" Id="R466e30b981484300" /><Relationship Type="http://schemas.openxmlformats.org/officeDocument/2006/relationships/worksheet" Target="/xl/worksheets/sheet7.xml" Id="Rf591326d604a43ac" /><Relationship Type="http://schemas.openxmlformats.org/officeDocument/2006/relationships/worksheet" Target="/xl/worksheets/sheet8.xml" Id="R49f822848ca54ecf" /><Relationship Type="http://schemas.openxmlformats.org/officeDocument/2006/relationships/worksheet" Target="/xl/worksheets/sheet9.xml" Id="R101eb4a9bdc54117" /><Relationship Type="http://schemas.openxmlformats.org/officeDocument/2006/relationships/worksheet" Target="/xl/worksheets/sheet10.xml" Id="R6dcbe02b6c974870" /><Relationship Type="http://schemas.openxmlformats.org/officeDocument/2006/relationships/worksheet" Target="/xl/worksheets/sheet11.xml" Id="R7fab0c591ad24bfa" /><Relationship Type="http://schemas.openxmlformats.org/officeDocument/2006/relationships/worksheet" Target="/xl/worksheets/sheet12.xml" Id="R21f28eae5bb048d2" /><Relationship Type="http://schemas.openxmlformats.org/officeDocument/2006/relationships/worksheet" Target="/xl/worksheets/sheet13.xml" Id="R640e026121604115" /><Relationship Type="http://schemas.openxmlformats.org/officeDocument/2006/relationships/worksheet" Target="/xl/worksheets/sheet14.xml" Id="Rc162f007e5ba40a4" /><Relationship Type="http://schemas.openxmlformats.org/officeDocument/2006/relationships/worksheet" Target="/xl/worksheets/sheet15.xml" Id="R4380a33b86444780" /><Relationship Type="http://schemas.openxmlformats.org/officeDocument/2006/relationships/worksheet" Target="/xl/worksheets/sheet16.xml" Id="R5a0aeecc497845f6" /><Relationship Type="http://schemas.openxmlformats.org/officeDocument/2006/relationships/worksheet" Target="/xl/worksheets/sheet17.xml" Id="Reb3a2449493142ce" /><Relationship Type="http://schemas.openxmlformats.org/officeDocument/2006/relationships/worksheet" Target="/xl/worksheets/sheet18.xml" Id="R24a7a7b577a04f92"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075027d23c4688" /></Relationships>
</file>

<file path=xl/drawings/_rels/drawing2.xml.rels>&#65279;<?xml version="1.0" encoding="utf-8"?><Relationships xmlns="http://schemas.openxmlformats.org/package/2006/relationships"><Relationship Type="http://schemas.openxmlformats.org/officeDocument/2006/relationships/chart" Target="/xl/drawings/charts/chart2.xml" Id="Ra252478239b84e3b" /></Relationships>
</file>

<file path=xl/drawings/_rels/drawing3.xml.rels>&#65279;<?xml version="1.0" encoding="utf-8"?><Relationships xmlns="http://schemas.openxmlformats.org/package/2006/relationships"><Relationship Type="http://schemas.openxmlformats.org/officeDocument/2006/relationships/chart" Target="/xl/drawings/charts/chart3.xml" Id="R7b62179253d246d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075027d23c468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52478239b84e3b"/>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b62179253d246d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6231fab6a324471" /></Relationships>
</file>

<file path=xl/worksheets/_rels/sheet5.xml.rels>&#65279;<?xml version="1.0" encoding="utf-8"?><Relationships xmlns="http://schemas.openxmlformats.org/package/2006/relationships"><Relationship Type="http://schemas.openxmlformats.org/officeDocument/2006/relationships/drawing" Target="/xl/drawings/drawing2.xml" Id="Rfb8944323db7497c" /></Relationships>
</file>

<file path=xl/worksheets/_rels/sheet15.xml.rels>&#65279;<?xml version="1.0" encoding="utf-8"?><Relationships xmlns="http://schemas.openxmlformats.org/package/2006/relationships"><Relationship Type="http://schemas.openxmlformats.org/officeDocument/2006/relationships/drawing" Target="/xl/drawings/drawing3.xml" Id="Rdde60c9caf0d4398"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P3.3 audit-package implementation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P3.3 atomic publication and audit-package implementation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P3.3 - Review implementation b5f0fcd and end-to-end evidence</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and integrate P3.3 before any P2.3 expansion or held-out semantic execution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P3.3 implementation b5f0fcd is ready for review on codex/p3.3-audit-package-cli from accepted predecessor main 441e521. It runs the accepted eight gates and five checks, builds the canonical result, and atomically publishes package_result.json, issue_register.csv, issue_register.md, and release_readiness.md outside the package with no overwrite. Verification: 13 new P3.3 tests; 49 focused result/report/CLI tests; full 271 passed / 1 expected Windows symlink skip; repository validation 5/5; Ruff passed; coverage 86.76%. Inspected clean evidence is 8/0/0 gates, 5/0/0 checks, zero issues, exit 0. The removed-mapping fault is 8/0/0 gates, 4/1/0 checks, one exact reciprocity issue, release hold true, exit 1. Both contain four outputs and no absolute local path. P3.3 acceptance and integration remain required. P2.3, held-out semantics, protected content,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6231fab6a32447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b8944323db7497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P3.3 implementation ready for explicit review</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first runnable structured audit is implemented. P3.3 acceptance and integration, broad P2.3 relationships, and semantic held-out execution remain outstanding.</x:v>
      </x:c>
      <x:c r="E7" s="765" t="str">
        <x:v>Product interpretation</x:v>
      </x:c>
      <x:c r="F7" s="431" t="str">
        <x:v>Successful kernel; not yet a complete economically useful workflow.</x:v>
      </x:c>
      <x:c r="G7" s="765" t="str">
        <x:v>Response</x:v>
      </x:c>
      <x:c r="H7" s="431" t="str">
        <x:v>Review atomic four-file publication, stable exits, controlled-failure preservation, schema compatibility, and inspected clean/fifth-check-fault evidence.</x:v>
      </x:c>
    </x:row>
    <x:row r="8" ht="99" hidden="0" customHeight="1">
      <x:c r="A8" s="765" t="str">
        <x:v>Immediate next action</x:v>
      </x:c>
      <x:c r="B8" s="431" t="str">
        <x:v>Review implementation b5f0fcd and evidence EV-080. Accept and integrate P3.3 before selecting the next bounded P2.3 definition block.</x:v>
      </x:c>
      <x:c r="C8" s="765" t="str">
        <x:v>Selected vertical</x:v>
      </x:c>
      <x:c r="D8" s="431" t="str">
        <x:v>Eight gates -&gt; five checks -&gt; canonical result -&gt; issue views -&gt; readiness view -&gt; verified atomic audit-package publication.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P3.3 implementation b5f0fcd is ready for review from accepted predecessor main 441e521. It adds a bounded workflow and hidden staging/final-rename publication boundary, exact package exits 0-5, usage 64, and internal 70. The v0.3 result schema retains the accepted one-file variant and adds one exact four-output variant; frozen v0.2 behavior is unchanged. Proof: 13 new tests; focused result/report/CLI 49; full 271/1; validation 5/5; Ruff; coverage 86.76%. Inspected clean and removed-mapping fault runs contain exactly four outputs, expected states/counts, no absolute path, and no approval claim. P3.3 acceptance and integration remain required. P2.3, held-out semantics, protected content,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de60c9caf0d4398"/>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In Progress</x:v>
      </x:c>
      <x:c r="L17" s="664" t="n">
        <x:v>0.9</x:v>
      </x:c>
      <x:c r="M17" s="662" t="n">
        <x:f>SUMIF('Work Block Log'!$E$5:$E$200,A17,'Work Block Log'!$F$5:$F$200)</x:f>
        <x:v>0</x:v>
      </x:c>
      <x:c r="N17" s="662" t="n">
        <x:f>MAX(F17*(1-L17),0)</x:f>
        <x:v>0.19999999999999996</x:v>
      </x:c>
      <x:c r="O17" s="662" t="n">
        <x:f>M17-F17</x:f>
        <x:v>-2</x:v>
      </x:c>
      <x:c r="P17" s="431" t="str">
        <x:v>implementation b5f0fcd; branch codex/p3.3-audit-package-cli; accepted predecessor main 441e521; D-083; EV-080; new P3.3 13; focused result/report/CLI 49; full 271/1; validation 5/5; Ruff; coverage 86.76%; inspected clean/fifth-check fault; IMP-012</x:v>
      </x:c>
      <x:c r="Q17" s="431" t="str">
        <x:v>Review and explicitly accept the P3.3 command, atomic publication, exit behavior, controlled failures, schema compatibility, and generated evidence before integration.</x:v>
      </x:c>
      <x:c r="R17" s="431" t="str">
        <x:v>Ready for review, not accepted. No P2.3 expansion, semantic held-out execution, protected-content change, or deferred capability.</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0.6478260869565218</x:v>
      </x:c>
      <x:c r="M24" s="683" t="n">
        <x:f>SUM(M6:M22)</x:f>
        <x:v>0</x:v>
      </x:c>
      <x:c r="N24" s="683" t="n">
        <x:f>SUM(N6:N22)</x:f>
        <x:v>16.2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P3.3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P3.3 - Review atomic audit-package implementation b5f0fcd</x:v>
      </x:c>
      <x:c r="H4" s="697"/>
    </x:row>
    <x:row r="5" ht="72" customHeight="1">
      <x:c r="A5" s="688" t="str">
        <x:v>Schedule Baseline</x:v>
      </x:c>
      <x:c r="B5" s="693" t="str">
        <x:v>Legacy only; not controlling</x:v>
      </x:c>
      <x:c r="C5" s="691"/>
      <x:c r="D5" s="691"/>
      <x:c r="F5" s="696" t="str">
        <x:v>Objective</x:v>
      </x:c>
      <x:c r="G5" s="697" t="str">
        <x:v>Confirm the first runnable audit reuses accepted meaning and preserves complete immutable evidence.</x:v>
      </x:c>
      <x:c r="H5" s="697"/>
    </x:row>
    <x:row r="6" ht="63" customHeight="1">
      <x:c r="A6" s="688" t="str">
        <x:v>Time Tracking</x:v>
      </x:c>
      <x:c r="B6" s="693" t="str">
        <x:v>Waived prospectively</x:v>
      </x:c>
      <x:c r="C6" s="691"/>
      <x:c r="D6" s="691"/>
      <x:c r="F6" s="696" t="str">
        <x:v>Gate Status</x:v>
      </x:c>
      <x:c r="G6" s="697" t="str">
        <x:v>Implementation and evidence are ready for explicit review; P3.3 is not accepted or integrated.</x:v>
      </x:c>
      <x:c r="H6" s="697"/>
    </x:row>
    <x:row r="7" ht="81" customHeight="1">
      <x:c r="A7" s="688" t="str">
        <x:v>Current Gate</x:v>
      </x:c>
      <x:c r="B7" s="694" t="str">
        <x:v>P3.3 audit-package implementation review</x:v>
      </x:c>
      <x:c r="C7" s="691"/>
      <x:c r="D7" s="691"/>
      <x:c r="F7" s="696" t="str">
        <x:v>Definition of Done</x:v>
      </x:c>
      <x:c r="G7" s="697" t="str">
        <x:v>Four outputs publish together, stable exits are exact, controlled failures persist, and existing v0.2 commands remain unchanged.</x:v>
      </x:c>
      <x:c r="H7" s="697"/>
    </x:row>
    <x:row r="8" ht="63" customHeight="1">
      <x:c r="A8" s="688" t="str">
        <x:v>Released Kernel</x:v>
      </x:c>
      <x:c r="B8" s="691" t="str">
        <x:v>v0.2.0 / commit 45336a2</x:v>
      </x:c>
      <x:c r="C8" s="691"/>
      <x:c r="D8" s="691"/>
      <x:c r="F8" s="696" t="str">
        <x:v>Immediate Next Action</x:v>
      </x:c>
      <x:c r="G8" s="697" t="str">
        <x:v>Review the clean and removed-mapping run directories and accept or reject P3.3.</x:v>
      </x:c>
      <x:c r="H8" s="697"/>
    </x:row>
    <x:row r="9" ht="72" customHeight="1">
      <x:c r="A9" s="688" t="str">
        <x:v>Release Target</x:v>
      </x:c>
      <x:c r="B9" s="691" t="str">
        <x:v>v0.3.0</x:v>
      </x:c>
      <x:c r="C9" s="691"/>
      <x:c r="D9" s="691"/>
      <x:c r="F9" s="696" t="str">
        <x:v>Primary Risk</x:v>
      </x:c>
      <x:c r="G9" s="697" t="str">
        <x:v>Primary risks remain schema/output-contract drift, a partial run presented as complete, or terminal behavior diverging from the stored result.</x:v>
      </x:c>
      <x:c r="H9" s="697"/>
    </x:row>
    <x:row r="10" ht="81" customHeight="1">
      <x:c r="A10" s="688" t="str">
        <x:v>Baseline Test Count</x:v>
      </x:c>
      <x:c r="B10" s="691" t="n">
        <x:v>121</x:v>
      </x:c>
      <x:c r="C10" s="691"/>
      <x:c r="D10" s="691"/>
      <x:c r="F10" s="696" t="str">
        <x:v>Deferred</x:v>
      </x:c>
      <x:c r="G10" s="697" t="str">
        <x:v>P2.3 expansion, held-out semantics, protected-content changes, and deferred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P3.3 implementation ready for review</x:v>
      </x:c>
      <x:c r="D18" s="700" t="n">
        <x:v>0.9666666667</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Ready for Review</x:v>
      </x:c>
      <x:c r="F31" s="431" t="str">
        <x:v>codex/p3.3-audit-package-cli</x:v>
      </x:c>
      <x:c r="G31" s="431" t="str">
        <x:v>implementation b5f0fcd; predecessor main 441e521; D-083; EV-080; new 13; focused 49; full 271/1; validation 5/5; Ruff; coverage 86.76%; inspected clean/fault runs; IMP-012</x:v>
      </x:c>
      <x:c r="H3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