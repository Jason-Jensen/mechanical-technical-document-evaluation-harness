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0d8a46c1fc647dc" /></Relationships>
</file>

<file path=xl/workbook.xml><?xml version="1.0" encoding="utf-8"?>
<x:workbook xmlns:x="http://schemas.openxmlformats.org/spreadsheetml/2006/main">
  <x:sheets>
    <x:sheet xmlns:r="http://schemas.openxmlformats.org/officeDocument/2006/relationships" name="Start Here" sheetId="1" r:id="R0f3ab9b3d494439d"/>
    <x:sheet xmlns:r="http://schemas.openxmlformats.org/officeDocument/2006/relationships" name="Executive Gantt" sheetId="2" r:id="Red6e48eebc6b4011"/>
    <x:sheet xmlns:r="http://schemas.openxmlformats.org/officeDocument/2006/relationships" name="Detailed Gantt" sheetId="3" r:id="R39e4822c769645e5"/>
    <x:sheet xmlns:r="http://schemas.openxmlformats.org/officeDocument/2006/relationships" name="Weekly Control" sheetId="4" r:id="R6561d7e385cf4864"/>
    <x:sheet xmlns:r="http://schemas.openxmlformats.org/officeDocument/2006/relationships" name="Phase Summary" sheetId="5" r:id="Rc65ec6bdebf04c83"/>
    <x:sheet xmlns:r="http://schemas.openxmlformats.org/officeDocument/2006/relationships" name="Assumptions &amp; Gates" sheetId="6" r:id="Rb39b934db6b94d5c"/>
    <x:sheet xmlns:r="http://schemas.openxmlformats.org/officeDocument/2006/relationships" name="Sources" sheetId="7" r:id="Rbeeb71e4d1004c8e"/>
    <x:sheet xmlns:r="http://schemas.openxmlformats.org/officeDocument/2006/relationships" name="Legacy Baseline" sheetId="8" r:id="R3a8fa8cd1e5f4159"/>
    <x:sheet xmlns:r="http://schemas.openxmlformats.org/officeDocument/2006/relationships" name="Work Block Log" sheetId="9" r:id="Rd15bd9bb3a214786"/>
    <x:sheet xmlns:r="http://schemas.openxmlformats.org/officeDocument/2006/relationships" name="Decision Register" sheetId="10" r:id="Ra77a6de1f4a044c2"/>
    <x:sheet xmlns:r="http://schemas.openxmlformats.org/officeDocument/2006/relationships" name="Risks &amp; Issues" sheetId="11" r:id="R9f080f070f944764"/>
    <x:sheet xmlns:r="http://schemas.openxmlformats.org/officeDocument/2006/relationships" name="Evidence Register" sheetId="12" r:id="R1d155f45a35544fc"/>
    <x:sheet xmlns:r="http://schemas.openxmlformats.org/officeDocument/2006/relationships" name="Expansion Backlog" sheetId="13" r:id="R106120807b7d4c49"/>
    <x:sheet xmlns:r="http://schemas.openxmlformats.org/officeDocument/2006/relationships" name="AI Context" sheetId="14" r:id="Ra3a46e16a9fb47f6"/>
    <x:sheet xmlns:r="http://schemas.openxmlformats.org/officeDocument/2006/relationships" name="MVP Dashboard" sheetId="15" r:id="R2c711bb399684173"/>
    <x:sheet xmlns:r="http://schemas.openxmlformats.org/officeDocument/2006/relationships" name="Product Vision" sheetId="16" r:id="Ra143cb71881347db"/>
    <x:sheet xmlns:r="http://schemas.openxmlformats.org/officeDocument/2006/relationships" name="Pilot Gantt" sheetId="17" r:id="R8ed6535680a34050"/>
    <x:sheet xmlns:r="http://schemas.openxmlformats.org/officeDocument/2006/relationships" name="Pilot Dashboard" sheetId="18" r:id="R3c45773315bd4716"/>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<x:sst xmlns:x="http://schemas.openxmlformats.org/spreadsheetml/2006/main">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</x:sst>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59e3694c31e4746" /><Relationship Type="http://schemas.openxmlformats.org/officeDocument/2006/relationships/theme" Target="/xl/theme/theme1.xml" Id="Rec346c2eb67a4f56" /><Relationship Type="http://schemas.openxmlformats.org/officeDocument/2006/relationships/sharedStrings" Target="/xl/sharedStrings.xml" Id="R736e61c874f74c10" /><Relationship Type="http://schemas.openxmlformats.org/officeDocument/2006/relationships/worksheet" Target="/xl/worksheets/sheet1.xml" Id="R0f3ab9b3d494439d" /><Relationship Type="http://schemas.openxmlformats.org/officeDocument/2006/relationships/worksheet" Target="/xl/worksheets/sheet2.xml" Id="Red6e48eebc6b4011" /><Relationship Type="http://schemas.openxmlformats.org/officeDocument/2006/relationships/worksheet" Target="/xl/worksheets/sheet3.xml" Id="R39e4822c769645e5" /><Relationship Type="http://schemas.openxmlformats.org/officeDocument/2006/relationships/worksheet" Target="/xl/worksheets/sheet4.xml" Id="R6561d7e385cf4864" /><Relationship Type="http://schemas.openxmlformats.org/officeDocument/2006/relationships/worksheet" Target="/xl/worksheets/sheet5.xml" Id="Rc65ec6bdebf04c83" /><Relationship Type="http://schemas.openxmlformats.org/officeDocument/2006/relationships/worksheet" Target="/xl/worksheets/sheet6.xml" Id="Rb39b934db6b94d5c" /><Relationship Type="http://schemas.openxmlformats.org/officeDocument/2006/relationships/worksheet" Target="/xl/worksheets/sheet7.xml" Id="Rbeeb71e4d1004c8e" /><Relationship Type="http://schemas.openxmlformats.org/officeDocument/2006/relationships/worksheet" Target="/xl/worksheets/sheet8.xml" Id="R3a8fa8cd1e5f4159" /><Relationship Type="http://schemas.openxmlformats.org/officeDocument/2006/relationships/worksheet" Target="/xl/worksheets/sheet9.xml" Id="Rd15bd9bb3a214786" /><Relationship Type="http://schemas.openxmlformats.org/officeDocument/2006/relationships/worksheet" Target="/xl/worksheets/sheet10.xml" Id="Ra77a6de1f4a044c2" /><Relationship Type="http://schemas.openxmlformats.org/officeDocument/2006/relationships/worksheet" Target="/xl/worksheets/sheet11.xml" Id="R9f080f070f944764" /><Relationship Type="http://schemas.openxmlformats.org/officeDocument/2006/relationships/worksheet" Target="/xl/worksheets/sheet12.xml" Id="R1d155f45a35544fc" /><Relationship Type="http://schemas.openxmlformats.org/officeDocument/2006/relationships/worksheet" Target="/xl/worksheets/sheet13.xml" Id="R106120807b7d4c49" /><Relationship Type="http://schemas.openxmlformats.org/officeDocument/2006/relationships/worksheet" Target="/xl/worksheets/sheet14.xml" Id="Ra3a46e16a9fb47f6" /><Relationship Type="http://schemas.openxmlformats.org/officeDocument/2006/relationships/worksheet" Target="/xl/worksheets/sheet15.xml" Id="R2c711bb399684173" /><Relationship Type="http://schemas.openxmlformats.org/officeDocument/2006/relationships/worksheet" Target="/xl/worksheets/sheet16.xml" Id="Ra143cb71881347db" /><Relationship Type="http://schemas.openxmlformats.org/officeDocument/2006/relationships/worksheet" Target="/xl/worksheets/sheet17.xml" Id="R8ed6535680a34050" /><Relationship Type="http://schemas.openxmlformats.org/officeDocument/2006/relationships/worksheet" Target="/xl/worksheets/sheet18.xml" Id="R3c45773315bd4716" /></Relationships>
</file>

<file path=xl/drawings/_rels/drawing1.xml.rels>&#65279;<?xml version="1.0" encoding="utf-8"?><Relationships xmlns="http://schemas.openxmlformats.org/package/2006/relationships"><Relationship Type="http://schemas.openxmlformats.org/officeDocument/2006/relationships/chart" Target="/xl/drawings/charts/chart1.xml" Id="R50a1e5066a9f4ef8" /></Relationships>
</file>

<file path=xl/drawings/_rels/drawing2.xml.rels>&#65279;<?xml version="1.0" encoding="utf-8"?><Relationships xmlns="http://schemas.openxmlformats.org/package/2006/relationships"><Relationship Type="http://schemas.openxmlformats.org/officeDocument/2006/relationships/chart" Target="/xl/drawings/charts/chart2.xml" Id="Ree4b1790c6d543c9" /></Relationships>
</file>

<file path=xl/drawings/_rels/drawing3.xml.rels>&#65279;<?xml version="1.0" encoding="utf-8"?><Relationships xmlns="http://schemas.openxmlformats.org/package/2006/relationships"><Relationship Type="http://schemas.openxmlformats.org/officeDocument/2006/relationships/chart" Target="/xl/drawings/charts/chart3.xml" Id="R4bdc1aa5711445f2"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0a1e5066a9f4ef8"/>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e4b1790c6d543c9"/>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bdc1aa5711445f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6bbfa5e35dfe404a" /></Relationships>
</file>

<file path=xl/worksheets/_rels/sheet5.xml.rels>&#65279;<?xml version="1.0" encoding="utf-8"?><Relationships xmlns="http://schemas.openxmlformats.org/package/2006/relationships"><Relationship Type="http://schemas.openxmlformats.org/officeDocument/2006/relationships/drawing" Target="/xl/drawings/drawing2.xml" Id="R4c9fad4b734e4ae1" /></Relationships>
</file>

<file path=xl/worksheets/_rels/sheet15.xml.rels>&#65279;<?xml version="1.0" encoding="utf-8"?><Relationships xmlns="http://schemas.openxmlformats.org/package/2006/relationships"><Relationship Type="http://schemas.openxmlformats.org/officeDocument/2006/relationships/drawing" Target="/xl/drawings/drawing3.xml" Id="R2212613ac23c429e"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6" customHeight="1">
      <x:c r="A4" s="545" t="str">
        <x:v>Control revision</x:v>
      </x:c>
      <x:c r="B4" s="755" t="str">
        <x:v>Program v3.0 - fifth P2.2 reciprocity implementation ready for review 2026-07-19</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P2.2 fifth drawing relationship implementation review</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0.5" hidden="0" customHeight="1">
      <x:c r="A12" s="545" t="str">
        <x:v>Active WBS</x:v>
      </x:c>
      <x:c r="B12" s="761" t="str">
        <x:v>P2.2 - Drawing-register-to-manifest reciprocity</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0.5" hidden="0" customHeight="1">
      <x:c r="A13" s="545" t="str">
        <x:v>Next build WBS</x:v>
      </x:c>
      <x:c r="B13" s="761" t="str">
        <x:v>Accept, revise, or reject implementation 4f06352; P2.4 remains blocked</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35" hidden="0" customHeight="1">
      <x:c r="A28" s="597" t="str">
        <x:v>Implementation commit 4f06352 appends drawing_register_manifest_file_reciprocity v0.3.0 as the fifth ordered P2.2 check under exact AUTH-DWG-002 semantics. Each authoritative drawing must match one manifest inventory item, the same declared/resolved file reference, and exactly one required document_to_file mapping with no conflicting required mapping. Temporary development copies prove clean, missing, wrong-but-valid, conflicting, shared-undeclared, two-finding, repeatability, authority-prerequisite, and portable-evidence behavior. Verification: relationship 25; focused 51; full 222 passed / 1 expected Windows symlink skip; repository validation 5/5; Ruff passed; coverage 85.64%. No accepted fixture, schema, authority map, expected result, golden, held-out asset, historical evidence, or v0.2 behavior changed. Ready for explicit review; not accepted or integrated. P2.4 and all later behavior remain blocked.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6bbfa5e35dfe404a"/>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4c9fad4b734e4ae1"/>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46222</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4"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P2.2 drawing-register-to-manifest reciprocity implementation review</x:v>
      </x:c>
    </x:row>
    <x:row r="7" ht="99"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Five drawing checks are now implemented, but the fifth is not accepted or integrated and users still cannot run one complete package audit. Package-state routing, canonical final findings, immutable package results, reports, and CLI remain unimplemented.</x:v>
      </x:c>
      <x:c r="E7" s="765" t="str">
        <x:v>Product interpretation</x:v>
      </x:c>
      <x:c r="F7" s="431" t="str">
        <x:v>Successful kernel; not yet a complete economically useful workflow.</x:v>
      </x:c>
      <x:c r="G7" s="765" t="str">
        <x:v>Response</x:v>
      </x:c>
      <x:c r="H7" s="431" t="str">
        <x:v>Review commit 4f06352 and EV-071. After explicit acceptance and integration, begin only the bounded P2.4 result core defined by the accepted vertical slice.</x:v>
      </x:c>
    </x:row>
    <x:row r="8" ht="81" hidden="0" customHeight="1">
      <x:c r="A8" s="765" t="str">
        <x:v>Immediate next action</x:v>
      </x:c>
      <x:c r="B8" s="431" t="str">
        <x:v>Review and accept, revise, or reject drawing_register_manifest_file_reciprocity v0.3.0 at 4f06352. Do not begin P2.4 before acceptance and integration.</x:v>
      </x:c>
      <x:c r="C8" s="765" t="str">
        <x:v>Selected vertical</x:v>
      </x:c>
      <x:c r="D8" s="431" t="str">
        <x:v>Eight P2.1 gates -&gt; five drawing checks -&gt; completeness control -&gt; state router -&gt; immutable result -&gt; issue register -&gt; release summary -&gt; CLI.</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26" hidden="0" customHeight="1">
      <x:c r="A41" s="604" t="str">
        <x:v>Immediate implication</x:v>
      </x:c>
      <x:c r="B41" s="605"/>
      <x:c r="C41" s="606" t="str">
        <x:v>Commit 4f06352 implements the fifth P2.2 check under exact AUTH-DWG-002 semantics. It requires one matching manifest inventory item, the same declared/resolved file reference, exactly one required document_to_file mapping, and no conflicting required mapping per authoritative register drawing. One failed drawing becomes one deterministic evidence-rich automatic-fail release hold. The first four checks and all eight gates remain unchanged. Verification is green: relationship 25; focused 51; full 222/1; validation 5/5; Ruff; coverage 85.64%. The check is ready for review but is not accepted or integrated. P2.4 result core is next only after that gate closes; P2.3 remains mandatory before P4.</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2212613ac23c429e"/>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0.5</x:v>
      </x:c>
      <x:c r="M12" s="662" t="n">
        <x:f>SUMIF('Work Block Log'!$E$5:$E$200,A12,'Work Block Log'!$F$5:$F$200)</x:f>
        <x:v>0</x:v>
      </x:c>
      <x:c r="N12" s="662" t="n">
        <x:f>MAX(F12*(1-L12),0)</x:f>
        <x:v>2</x:v>
      </x:c>
      <x:c r="O12" s="662" t="n">
        <x:f>M12-F12</x:f>
        <x:v>-4</x:v>
      </x:c>
      <x:c r="P12" s="431" t="str">
        <x:v>five ordered drawing checks implemented through 4f06352; fifth-check review branch codex/p2.2-drawing-register-manifest-reciprocity-implementation; accepted definition PR #36 / 0b9fc2e; D-072-D-074; EV-069-EV-071; IMP-012</x:v>
      </x:c>
      <x:c r="Q12" s="431" t="str">
        <x:v>Review and explicitly accept, revise, or reject implementation 4f06352. After acceptance, integrate and verify the exact merged tree before P2.4.</x:v>
      </x:c>
      <x:c r="R12" s="431" t="str">
        <x:v>P2.2 remains 50% and In Progress until the fifth check is accepted and integrated. Verification: relationship 25; focused 51; full 222/1; validation 5/5; Ruff; coverage 85.64%. No result router, report, CLI, P2.3 expansion, held-out semantics, protected asset, or v0.2 change is included.</x:v>
      </x:c>
      <x:c r="S12" s="669"/>
      <x:c r="T12" s="669"/>
      <x:c r="U12" s="669" t="str">
        <x:v>■</x:v>
      </x:c>
      <x:c r="V12" s="669"/>
      <x:c r="W12" s="669"/>
      <x:c r="X12" s="669"/>
    </x:row>
    <x:row r="13" ht="135"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 required v0.3.0 scope retained; proposed after first usable audit integration</x:v>
      </x:c>
      <x:c r="Q13" s="431" t="str">
        <x:v>Begin broad P2.3 only after the first usable audit through P3.3 is accepted and integrated.</x:v>
      </x:c>
      <x:c r="R13" s="431" t="str">
        <x:v>P2.3 remains required before P4 and release. Its rules will reuse the accepted package-state, immutable-result, report, and CLI path.</x:v>
      </x:c>
      <x:c r="S13" s="669"/>
      <x:c r="T13" s="669"/>
      <x:c r="U13" s="669" t="str">
        <x:v>■</x:v>
      </x:c>
      <x:c r="V13" s="669" t="str">
        <x:v>■</x:v>
      </x:c>
      <x:c r="W13" s="669"/>
      <x:c r="X13" s="669"/>
    </x:row>
    <x:row r="14" ht="135"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 first usable audit definition; D-072; EV-069</x:v>
      </x:c>
      <x:c r="Q14" s="431" t="str">
        <x:v>After fifth-check acceptance and integration, implement only required-result completeness, canonical final findings, state routing, package result, schema, and immutable persistence.</x:v>
      </x:c>
      <x:c r="R14" s="431" t="str">
        <x:v>Accepted sequencing removes P2.3 from the minimum vertical-slice dependency. P2.3 is now required after P3.3 and before P4.</x:v>
      </x:c>
      <x:c r="S14" s="669"/>
      <x:c r="T14" s="669"/>
      <x:c r="U14" s="669"/>
      <x:c r="V14" s="669" t="str">
        <x:v>■</x:v>
      </x:c>
      <x:c r="W14" s="669"/>
      <x:c r="X14" s="669"/>
    </x:row>
    <x:row r="15" ht="135"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 first usable audit definition; D-072; EV-069</x:v>
      </x:c>
      <x:c r="Q15" s="431" t="str">
        <x:v>After the accepted result core, render CSV and Markdown issue registers as pure views of package_result.json.</x:v>
      </x:c>
      <x:c r="R15" s="431" t="str">
        <x:v>Canonical findings must be report-ready; report code cannot infer authority, owner, severity, or state from prose messages.</x:v>
      </x:c>
      <x:c r="S15" s="669"/>
      <x:c r="T15" s="669"/>
      <x:c r="U15" s="669"/>
      <x:c r="V15" s="669" t="str">
        <x:v>■</x:v>
      </x:c>
      <x:c r="W15" s="669"/>
      <x:c r="X15" s="669"/>
    </x:row>
    <x:row r="16" ht="135"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 first usable audit definition; D-072; EV-069</x:v>
      </x:c>
      <x:c r="Q16" s="431" t="str">
        <x:v>After the issue-register view, render one concise non-approving release-readiness summary from the same immutable result.</x:v>
      </x:c>
      <x:c r="R16" s="431" t="str">
        <x:v>Summary supports qualified human review and cannot approve release, compliance, or engineering correctness.</x:v>
      </x:c>
      <x:c r="S16" s="669"/>
      <x:c r="T16" s="669"/>
      <x:c r="U16" s="669"/>
      <x:c r="V16" s="669" t="str">
        <x:v>■</x:v>
      </x:c>
      <x:c r="W16" s="669"/>
      <x:c r="X16" s="669"/>
    </x:row>
    <x:row r="17" ht="135"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 first usable audit definition; D-072; EV-069</x:v>
      </x:c>
      <x:c r="Q17" s="431" t="str">
        <x:v>After accepted result and report views, add audit-package with package-state exits 0-5, usage exit 64, and pre-result internal exit 70.</x:v>
      </x:c>
      <x:c r="R17" s="431" t="str">
        <x:v>Reuse existing CLI dispatch and immutable-write patterns while preserving all frozen v0.2 commands and behavior. No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0.3695652173913043</x:v>
      </x:c>
      <x:c r="M24" s="683" t="n">
        <x:f>SUM(M6:M22)</x:f>
        <x:v>0</x:v>
      </x:c>
      <x:c r="N24" s="683" t="n">
        <x:f>SUM(N6:N22)</x:f>
        <x:v>29</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Fifth Relationship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P2.2 - Fifth drawing relationship check</x:v>
      </x:c>
      <x:c r="H4" s="697"/>
    </x:row>
    <x:row r="5" ht="72" customHeight="1">
      <x:c r="A5" s="688" t="str">
        <x:v>Schedule Baseline</x:v>
      </x:c>
      <x:c r="B5" s="693" t="str">
        <x:v>Legacy only; not controlling</x:v>
      </x:c>
      <x:c r="C5" s="691"/>
      <x:c r="D5" s="691"/>
      <x:c r="F5" s="696" t="str">
        <x:v>Objective</x:v>
      </x:c>
      <x:c r="G5" s="697" t="str">
        <x:v>Close drawing declaration-to-manifest reciprocity under accepted AUTH-DWG-002 without changing gates, fixtures, or protected evidence.</x:v>
      </x:c>
      <x:c r="H5" s="697"/>
    </x:row>
    <x:row r="6" ht="63" customHeight="1">
      <x:c r="A6" s="688" t="str">
        <x:v>Time Tracking</x:v>
      </x:c>
      <x:c r="B6" s="693" t="str">
        <x:v>Waived prospectively</x:v>
      </x:c>
      <x:c r="C6" s="691"/>
      <x:c r="D6" s="691"/>
      <x:c r="F6" s="696" t="str">
        <x:v>Gate Status</x:v>
      </x:c>
      <x:c r="G6" s="697" t="str">
        <x:v>Implementation 4f06352 is verified and ready for review; it is not accepted or integrated.</x:v>
      </x:c>
      <x:c r="H6" s="697"/>
    </x:row>
    <x:row r="7" ht="81" customHeight="1">
      <x:c r="A7" s="688" t="str">
        <x:v>Current Gate</x:v>
      </x:c>
      <x:c r="B7" s="694" t="str">
        <x:v>P2.2 drawing-register-to-manifest reciprocity implementation review</x:v>
      </x:c>
      <x:c r="C7" s="691"/>
      <x:c r="D7" s="691"/>
      <x:c r="F7" s="696" t="str">
        <x:v>Definition of Done</x:v>
      </x:c>
      <x:c r="G7" s="697" t="str">
        <x:v>Every authoritative drawing has one matching inventory item, the same declared/resolved file, one required document-to-file mapping, and no conflicting required mapping.</x:v>
      </x:c>
      <x:c r="H7" s="697"/>
    </x:row>
    <x:row r="8" ht="63" customHeight="1">
      <x:c r="A8" s="688" t="str">
        <x:v>Released Kernel</x:v>
      </x:c>
      <x:c r="B8" s="691" t="str">
        <x:v>v0.2.0 / commit 45336a2</x:v>
      </x:c>
      <x:c r="C8" s="691"/>
      <x:c r="D8" s="691"/>
      <x:c r="F8" s="696" t="str">
        <x:v>Immediate Next Action</x:v>
      </x:c>
      <x:c r="G8" s="697" t="str">
        <x:v>Accept, revise, or reject 4f06352; after acceptance, integrate and verify before P2.4.</x:v>
      </x:c>
      <x:c r="H8" s="697"/>
    </x:row>
    <x:row r="9" ht="72" customHeight="1">
      <x:c r="A9" s="688" t="str">
        <x:v>Release Target</x:v>
      </x:c>
      <x:c r="B9" s="691" t="str">
        <x:v>v0.3.0</x:v>
      </x:c>
      <x:c r="C9" s="691"/>
      <x:c r="D9" s="691"/>
      <x:c r="F9" s="696" t="str">
        <x:v>Primary Risk</x:v>
      </x:c>
      <x:c r="G9" s="697" t="str">
        <x:v>The next risk is beginning result routing from an unaccepted relationship set; P2.4 remains blocked until integration closes.</x:v>
      </x:c>
      <x:c r="H9" s="697"/>
    </x:row>
    <x:row r="10" ht="81" customHeight="1">
      <x:c r="A10" s="688" t="str">
        <x:v>Baseline Test Count</x:v>
      </x:c>
      <x:c r="B10" s="691" t="n">
        <x:v>121</x:v>
      </x:c>
      <x:c r="C10" s="691"/>
      <x:c r="D10" s="691"/>
      <x:c r="F10" s="696" t="str">
        <x:v>Deferred</x:v>
      </x:c>
      <x:c r="G10" s="697" t="str">
        <x:v>Package-state routing, reports, CLI, P2.3 expansion, semantic held-out execution, protected assets, and deferred platform capabilities remain blocked.</x:v>
      </x:c>
      <x:c r="H10" s="697"/>
    </x:row>
    <x:row r="11" ht="63" customHeight="1">
      <x:c r="A11" s="688" t="str">
        <x:v>Fixture Package Families</x:v>
      </x:c>
      <x:c r="B11" s="691" t="n">
        <x:v>2</x:v>
      </x:c>
      <x:c r="C11" s="691"/>
      <x:c r="D11" s="691"/>
      <x:c r="F11" s="696" t="str">
        <x:v>Data Boundary</x:v>
      </x:c>
      <x:c r="G11" s="697" t="str">
        <x:v>P2.3 remains required after the runnable audit and before P4/release.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Five checks implemented; fifth ready for review</x:v>
      </x:c>
      <x:c r="D17" s="700" t="n">
        <x:f>AVERAGE('Pilot Gantt'!L11:L14)</x:f>
        <x:v>0.375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P2.2</x:v>
      </x:c>
      <x:c r="C28" s="431" t="str">
        <x:v>Fifth drawing relationship implementation</x:v>
      </x:c>
      <x:c r="D28" s="431" t="str">
        <x:v>Require reciprocal authoritative drawing inventory, controlled file reference, and one conflict-free required document-to-file mapping with deterministic hold evidence.</x:v>
      </x:c>
      <x:c r="E28" s="431" t="str">
        <x:v>Implementation Review</x:v>
      </x:c>
      <x:c r="F28" s="431" t="str">
        <x:v>codex/p2.2-drawing-register-manifest-reciprocity-implementation</x:v>
      </x:c>
      <x:c r="G28" s="431" t="str">
        <x:v>implementation 4f06352; accepted definition 0b9fc2e / PR #36; D-074 proposed; EV-071 ready for review; relationship 25; focused 51; full 222/1; validation 5/5; Ruff; coverage 85.64%; protected assets unchanged; P2.4 blocked pending acceptance and integration</x:v>
      </x:c>
      <x:c r="H28"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