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e883739ccce4591" /></Relationships>
</file>

<file path=xl/workbook.xml><?xml version="1.0" encoding="utf-8"?>
<x:workbook xmlns:x="http://schemas.openxmlformats.org/spreadsheetml/2006/main">
  <x:sheets>
    <x:sheet xmlns:r="http://schemas.openxmlformats.org/officeDocument/2006/relationships" name="Start Here" sheetId="1" r:id="R0e394ad192c84640"/>
    <x:sheet xmlns:r="http://schemas.openxmlformats.org/officeDocument/2006/relationships" name="Executive Gantt" sheetId="2" r:id="R07bb456bd9a74283"/>
    <x:sheet xmlns:r="http://schemas.openxmlformats.org/officeDocument/2006/relationships" name="Detailed Gantt" sheetId="3" r:id="R3d78f4f4333e4e61"/>
    <x:sheet xmlns:r="http://schemas.openxmlformats.org/officeDocument/2006/relationships" name="Weekly Control" sheetId="4" r:id="Rafa32fbc81474aba"/>
    <x:sheet xmlns:r="http://schemas.openxmlformats.org/officeDocument/2006/relationships" name="Phase Summary" sheetId="5" r:id="Re32d11736d774ec9"/>
    <x:sheet xmlns:r="http://schemas.openxmlformats.org/officeDocument/2006/relationships" name="Assumptions &amp; Gates" sheetId="6" r:id="Rb6bb77444403460e"/>
    <x:sheet xmlns:r="http://schemas.openxmlformats.org/officeDocument/2006/relationships" name="Sources" sheetId="7" r:id="R4c76fd2e479d4787"/>
    <x:sheet xmlns:r="http://schemas.openxmlformats.org/officeDocument/2006/relationships" name="Legacy Baseline" sheetId="8" r:id="R45e0f83c5fec4c49"/>
    <x:sheet xmlns:r="http://schemas.openxmlformats.org/officeDocument/2006/relationships" name="Work Block Log" sheetId="9" r:id="R9838c62c589e4fda"/>
    <x:sheet xmlns:r="http://schemas.openxmlformats.org/officeDocument/2006/relationships" name="Decision Register" sheetId="10" r:id="R2603dd1de10042a9"/>
    <x:sheet xmlns:r="http://schemas.openxmlformats.org/officeDocument/2006/relationships" name="Risks &amp; Issues" sheetId="11" r:id="Rac3f4cc6f47d4952"/>
    <x:sheet xmlns:r="http://schemas.openxmlformats.org/officeDocument/2006/relationships" name="Evidence Register" sheetId="12" r:id="R03239eb604f5442f"/>
    <x:sheet xmlns:r="http://schemas.openxmlformats.org/officeDocument/2006/relationships" name="Expansion Backlog" sheetId="13" r:id="R919b52f2d96347a1"/>
    <x:sheet xmlns:r="http://schemas.openxmlformats.org/officeDocument/2006/relationships" name="AI Context" sheetId="14" r:id="Rbc27d19f0fa84976"/>
    <x:sheet xmlns:r="http://schemas.openxmlformats.org/officeDocument/2006/relationships" name="MVP Dashboard" sheetId="15" r:id="R4bde310844a5483c"/>
    <x:sheet xmlns:r="http://schemas.openxmlformats.org/officeDocument/2006/relationships" name="Product Vision" sheetId="16" r:id="R4edf1b1f07714947"/>
    <x:sheet xmlns:r="http://schemas.openxmlformats.org/officeDocument/2006/relationships" name="Pilot Gantt" sheetId="17" r:id="Reca781764f3b4289"/>
    <x:sheet xmlns:r="http://schemas.openxmlformats.org/officeDocument/2006/relationships" name="Pilot Dashboard" sheetId="18" r:id="Re7e082b644be406d"/>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<x:sst xmlns:x="http://schemas.openxmlformats.org/spreadsheetml/2006/main">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</x:sst>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a3f80289edf4d8e" /><Relationship Type="http://schemas.openxmlformats.org/officeDocument/2006/relationships/theme" Target="/xl/theme/theme1.xml" Id="Redb770203ca94c2f" /><Relationship Type="http://schemas.openxmlformats.org/officeDocument/2006/relationships/sharedStrings" Target="/xl/sharedStrings.xml" Id="R5a7d0f6882cf40a6" /><Relationship Type="http://schemas.openxmlformats.org/officeDocument/2006/relationships/worksheet" Target="/xl/worksheets/sheet1.xml" Id="R0e394ad192c84640" /><Relationship Type="http://schemas.openxmlformats.org/officeDocument/2006/relationships/worksheet" Target="/xl/worksheets/sheet2.xml" Id="R07bb456bd9a74283" /><Relationship Type="http://schemas.openxmlformats.org/officeDocument/2006/relationships/worksheet" Target="/xl/worksheets/sheet3.xml" Id="R3d78f4f4333e4e61" /><Relationship Type="http://schemas.openxmlformats.org/officeDocument/2006/relationships/worksheet" Target="/xl/worksheets/sheet4.xml" Id="Rafa32fbc81474aba" /><Relationship Type="http://schemas.openxmlformats.org/officeDocument/2006/relationships/worksheet" Target="/xl/worksheets/sheet5.xml" Id="Re32d11736d774ec9" /><Relationship Type="http://schemas.openxmlformats.org/officeDocument/2006/relationships/worksheet" Target="/xl/worksheets/sheet6.xml" Id="Rb6bb77444403460e" /><Relationship Type="http://schemas.openxmlformats.org/officeDocument/2006/relationships/worksheet" Target="/xl/worksheets/sheet7.xml" Id="R4c76fd2e479d4787" /><Relationship Type="http://schemas.openxmlformats.org/officeDocument/2006/relationships/worksheet" Target="/xl/worksheets/sheet8.xml" Id="R45e0f83c5fec4c49" /><Relationship Type="http://schemas.openxmlformats.org/officeDocument/2006/relationships/worksheet" Target="/xl/worksheets/sheet9.xml" Id="R9838c62c589e4fda" /><Relationship Type="http://schemas.openxmlformats.org/officeDocument/2006/relationships/worksheet" Target="/xl/worksheets/sheet10.xml" Id="R2603dd1de10042a9" /><Relationship Type="http://schemas.openxmlformats.org/officeDocument/2006/relationships/worksheet" Target="/xl/worksheets/sheet11.xml" Id="Rac3f4cc6f47d4952" /><Relationship Type="http://schemas.openxmlformats.org/officeDocument/2006/relationships/worksheet" Target="/xl/worksheets/sheet12.xml" Id="R03239eb604f5442f" /><Relationship Type="http://schemas.openxmlformats.org/officeDocument/2006/relationships/worksheet" Target="/xl/worksheets/sheet13.xml" Id="R919b52f2d96347a1" /><Relationship Type="http://schemas.openxmlformats.org/officeDocument/2006/relationships/worksheet" Target="/xl/worksheets/sheet14.xml" Id="Rbc27d19f0fa84976" /><Relationship Type="http://schemas.openxmlformats.org/officeDocument/2006/relationships/worksheet" Target="/xl/worksheets/sheet15.xml" Id="R4bde310844a5483c" /><Relationship Type="http://schemas.openxmlformats.org/officeDocument/2006/relationships/worksheet" Target="/xl/worksheets/sheet16.xml" Id="R4edf1b1f07714947" /><Relationship Type="http://schemas.openxmlformats.org/officeDocument/2006/relationships/worksheet" Target="/xl/worksheets/sheet17.xml" Id="Reca781764f3b4289" /><Relationship Type="http://schemas.openxmlformats.org/officeDocument/2006/relationships/worksheet" Target="/xl/worksheets/sheet18.xml" Id="Re7e082b644be406d" /></Relationships>
</file>

<file path=xl/drawings/_rels/drawing1.xml.rels>&#65279;<?xml version="1.0" encoding="utf-8"?><Relationships xmlns="http://schemas.openxmlformats.org/package/2006/relationships"><Relationship Type="http://schemas.openxmlformats.org/officeDocument/2006/relationships/chart" Target="/xl/drawings/charts/chart1.xml" Id="R268ed57b6dd24bcd" /></Relationships>
</file>

<file path=xl/drawings/_rels/drawing2.xml.rels>&#65279;<?xml version="1.0" encoding="utf-8"?><Relationships xmlns="http://schemas.openxmlformats.org/package/2006/relationships"><Relationship Type="http://schemas.openxmlformats.org/officeDocument/2006/relationships/chart" Target="/xl/drawings/charts/chart2.xml" Id="Rbc5443ae96b44b73" /></Relationships>
</file>

<file path=xl/drawings/_rels/drawing3.xml.rels>&#65279;<?xml version="1.0" encoding="utf-8"?><Relationships xmlns="http://schemas.openxmlformats.org/package/2006/relationships"><Relationship Type="http://schemas.openxmlformats.org/officeDocument/2006/relationships/chart" Target="/xl/drawings/charts/chart3.xml" Id="Rebae7e40fd6842d6"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68ed57b6dd24bcd"/>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c5443ae96b44b73"/>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bae7e40fd6842d6"/>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018e439d1a914599" /></Relationships>
</file>

<file path=xl/worksheets/_rels/sheet5.xml.rels>&#65279;<?xml version="1.0" encoding="utf-8"?><Relationships xmlns="http://schemas.openxmlformats.org/package/2006/relationships"><Relationship Type="http://schemas.openxmlformats.org/officeDocument/2006/relationships/drawing" Target="/xl/drawings/drawing2.xml" Id="Rffdca9ba53334d04" /></Relationships>
</file>

<file path=xl/worksheets/_rels/sheet15.xml.rels>&#65279;<?xml version="1.0" encoding="utf-8"?><Relationships xmlns="http://schemas.openxmlformats.org/package/2006/relationships"><Relationship Type="http://schemas.openxmlformats.org/officeDocument/2006/relationships/drawing" Target="/xl/drawings/drawing3.xml" Id="R6924715c4dca48c7"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0.5" customHeight="1">
      <x:c r="A4" s="545" t="str">
        <x:v>Control revision</x:v>
      </x:c>
      <x:c r="B4" s="755" t="str">
        <x:v>Program v3.0 - P2.3 structured-package trial gate ready 2026-07-20</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P2.3 authorized structured-package trial decision</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5" hidden="0" customHeight="1">
      <x:c r="A12" s="545" t="str">
        <x:v>Active WBS</x:v>
      </x:c>
      <x:c r="B12" s="761" t="str">
        <x:v>P2.3 - Practical-use package selection</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45" hidden="0" customHeight="1">
      <x:c r="A13" s="545" t="str">
        <x:v>Next build WBS</x:v>
      </x:c>
      <x:c r="B13" s="761" t="str">
        <x:v>CEO selects one authorized sanitized package and confirms the data boundary</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71" hidden="0" customHeight="1">
      <x:c r="A28" s="597" t="str">
        <x:v>Check 7 is accepted and integrated through PR #45 at exact main 273c36a after both GitHub checks passed. The active gate is selection of one authorized sanitized structured package for the first development-only practical-use trial. The trial will measure source fit, preparation steps, accepted or overturned findings, missed conditions, evidence clarity, and authority gaps; prospective time tracking remains waived. Original material stays outside Git by default, missing facts are never invented, and package work cannot begin until the CEO identifies the source, confirms permitted use and sanitization/retention boundaries, and names a qualified reviewer. D-090-D-091 and EV-087-EV-089 record the gate. Checks 8-11, held-out execution, benchmark changes, multimodal extraction, and platform work remain blocked.</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018e439d1a914599"/>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ffdca9ba53334d04"/>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46223</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8.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check 7 integrated; structured-package trial awaits CEO selection</x:v>
      </x:c>
    </x:row>
    <x:row r="7" ht="112.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Seven ordered checks run end to end; practical usefulness, source fit, and checks 8-11 remain unproven.</x:v>
      </x:c>
      <x:c r="E7" s="765" t="str">
        <x:v>Product interpretation</x:v>
      </x:c>
      <x:c r="F7" s="431" t="str">
        <x:v>Successful kernel; not yet a complete economically useful workflow.</x:v>
      </x:c>
      <x:c r="G7" s="765" t="str">
        <x:v>Response</x:v>
      </x:c>
      <x:c r="H7" s="431" t="str">
        <x:v>Obtain one authorized sanitized structured package and a qualified reviewer for a development trial.</x:v>
      </x:c>
    </x:row>
    <x:row r="8" ht="103.5" hidden="0" customHeight="1">
      <x:c r="A8" s="765" t="str">
        <x:v>Immediate next action</x:v>
      </x:c>
      <x:c r="B8" s="431" t="str">
        <x:v>Stop until the CEO confirms the package, permitted use, sanitization/retention boundary, and reviewer.</x:v>
      </x:c>
      <x:c r="C8" s="765" t="str">
        <x:v>Selected vertical</x:v>
      </x:c>
      <x:c r="D8" s="431" t="str">
        <x:v>Seven accepted checks -&gt; authorized structured-package trial -&gt; improvement decision -&gt; checks 8-11 -&gt; P4 benchmark.</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71" hidden="0" customHeight="1">
      <x:c r="A41" s="604" t="str">
        <x:v>Immediate implication</x:v>
      </x:c>
      <x:c r="B41" s="605"/>
      <x:c r="C41" s="606" t="str">
        <x:v>PR #45 integrated check 7 at exact main 273c36a after both GitHub checks passed. The current audit has eight mandatory gates, seven deterministic relationship checks, one immutable package result, an evidence-linked issue register, a release-readiness summary, and one bounded CLI command. The active management gate is the first authorized structured-package trial. It is a product-learning exercise, not a benchmark or engineering approval. No package content may be touched until the CEO identifies the source, confirms permitted use and data handling, and names a qualified reviewer. Original material remains outside Git by default. Missing facts are recorded, never invented. Checks 8-11, authority-gap changes, held-out execution, protected assets, multimodal extraction, and platform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6924715c4dca48c7"/>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265.5"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In Progress</x:v>
      </x:c>
      <x:c r="L13" s="664" t="n">
        <x:v>0.64</x:v>
      </x:c>
      <x:c r="M13" s="662" t="n">
        <x:f>SUMIF('Work Block Log'!$E$5:$E$200,A13,'Work Block Log'!$F$5:$F$200)</x:f>
        <x:v>0</x:v>
      </x:c>
      <x:c r="N13" s="662" t="n">
        <x:f>MAX(F13*(1-L13),0)</x:f>
        <x:v>1.44</x:v>
      </x:c>
      <x:c r="O13" s="662" t="n">
        <x:f>M13-F13</x:f>
        <x:v>-4</x:v>
      </x:c>
      <x:c r="P13" s="431" t="str">
        <x:v>check 7 implementation 01a70c2; PR #45 exact main 273c36a; branch codex/p2.3-real-package-structured-trial; D-085-D-091; EV-082-EV-089; IMP-013-IMP-015; relationship 35; focused 80; full 283/1; validation 5/5; Ruff; coverage 87.25%; two green GitHub checks</x:v>
      </x:c>
      <x:c r="Q13" s="431" t="str">
        <x:v>CEO selects one authorized sanitized package, confirms permitted use and retention boundaries, and names a qualified reviewer. Then perform intake and source-fit assessment only.</x:v>
      </x:c>
      <x:c r="R13" s="431" t="str">
        <x:v>Check 7 is integrated. The practical-use trial charter is ready for CEO review. No package intake, check 8, authority-gap implementation, held-out execution, protected-asset change, or multimodal work is authorized before the decision.</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0.7078260869565218</x:v>
      </x:c>
      <x:c r="M24" s="683" t="n">
        <x:f>SUM(M6:M22)</x:f>
        <x:v>0</x:v>
      </x:c>
      <x:c r="N24" s="683" t="n">
        <x:f>SUM(N6:N22)</x:f>
        <x:v>13.44</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Practical-Use Trial Gate</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P2.3 - Practical-use package selection</x:v>
      </x:c>
      <x:c r="H4" s="697"/>
    </x:row>
    <x:row r="5" ht="72" customHeight="1">
      <x:c r="A5" s="688" t="str">
        <x:v>Schedule Baseline</x:v>
      </x:c>
      <x:c r="B5" s="693" t="str">
        <x:v>Legacy only; not controlling</x:v>
      </x:c>
      <x:c r="C5" s="691"/>
      <x:c r="D5" s="691"/>
      <x:c r="F5" s="696" t="str">
        <x:v>Objective</x:v>
      </x:c>
      <x:c r="G5" s="697" t="str">
        <x:v>Choose one permitted sanitized package for the first development-only trial.</x:v>
      </x:c>
      <x:c r="H5" s="697"/>
    </x:row>
    <x:row r="6" ht="63" customHeight="1">
      <x:c r="A6" s="688" t="str">
        <x:v>Time Tracking</x:v>
      </x:c>
      <x:c r="B6" s="693" t="str">
        <x:v>Waived prospectively</x:v>
      </x:c>
      <x:c r="C6" s="691"/>
      <x:c r="D6" s="691"/>
      <x:c r="F6" s="696" t="str">
        <x:v>Gate Status</x:v>
      </x:c>
      <x:c r="G6" s="697" t="str">
        <x:v>Awaiting CEO package, authorization, data-boundary, and reviewer decision.</x:v>
      </x:c>
      <x:c r="H6" s="697"/>
    </x:row>
    <x:row r="7" ht="81" customHeight="1">
      <x:c r="A7" s="688" t="str">
        <x:v>Current Gate</x:v>
      </x:c>
      <x:c r="B7" s="694" t="str">
        <x:v>P2.3 authorized structured-package trial decision</x:v>
      </x:c>
      <x:c r="C7" s="691"/>
      <x:c r="D7" s="691"/>
      <x:c r="F7" s="696" t="str">
        <x:v>Definition of Done</x:v>
      </x:c>
      <x:c r="G7" s="697" t="str">
        <x:v>No package content has been accessed or changed.</x:v>
      </x:c>
      <x:c r="H7" s="697"/>
    </x:row>
    <x:row r="8" ht="63" customHeight="1">
      <x:c r="A8" s="688" t="str">
        <x:v>Released Kernel</x:v>
      </x:c>
      <x:c r="B8" s="691" t="str">
        <x:v>v0.2.0 / commit 45336a2</x:v>
      </x:c>
      <x:c r="C8" s="691"/>
      <x:c r="D8" s="691"/>
      <x:c r="F8" s="696" t="str">
        <x:v>Immediate Next Action</x:v>
      </x:c>
      <x:c r="G8" s="697" t="str">
        <x:v>CEO selects the package and confirms the four entry inputs.</x:v>
      </x:c>
      <x:c r="H8" s="697"/>
    </x:row>
    <x:row r="9" ht="72" customHeight="1">
      <x:c r="A9" s="688" t="str">
        <x:v>Release Target</x:v>
      </x:c>
      <x:c r="B9" s="691" t="str">
        <x:v>v0.3.0</x:v>
      </x:c>
      <x:c r="C9" s="691"/>
      <x:c r="D9" s="691"/>
      <x:c r="F9" s="696" t="str">
        <x:v>Primary Risk</x:v>
      </x:c>
      <x:c r="G9" s="697" t="str">
        <x:v>Primary risk is using restricted data or inventing structure that the source package does not support.</x:v>
      </x:c>
      <x:c r="H9" s="697"/>
    </x:row>
    <x:row r="10" ht="81" customHeight="1">
      <x:c r="A10" s="688" t="str">
        <x:v>Baseline Test Count</x:v>
      </x:c>
      <x:c r="B10" s="691" t="n">
        <x:v>121</x:v>
      </x:c>
      <x:c r="C10" s="691"/>
      <x:c r="D10" s="691"/>
      <x:c r="F10" s="696" t="str">
        <x:v>Deferred</x:v>
      </x:c>
      <x:c r="G10" s="697" t="str">
        <x:v>Checks 8-11, authority changes, held-out execution, protected assets, and multimodal work remain blocked.</x:v>
      </x:c>
      <x:c r="H10" s="697"/>
    </x:row>
    <x:row r="11" ht="63" customHeight="1">
      <x:c r="A11" s="688" t="str">
        <x:v>Fixture Package Families</x:v>
      </x:c>
      <x:c r="B11" s="691" t="n">
        <x:v>2</x:v>
      </x:c>
      <x:c r="C11" s="691"/>
      <x:c r="D11" s="691"/>
      <x:c r="F11" s="696" t="str">
        <x:v>Data Boundary</x:v>
      </x:c>
      <x:c r="G11" s="697" t="str">
        <x:v>Original material stays outside Git by default; only explicitly approved sanitized evidence may be retained.</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Awaiting CEO package-selection decision</x:v>
      </x:c>
      <x:c r="D17" s="700" t="n">
        <x:v>0.64</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Not Started</x:v>
      </x:c>
      <x:c r="C19" s="699" t="str">
        <x:v>Blocked until accepted P2.3 checks complete</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Select one permitted package and freeze privacy, preparation, reviewer, and learning boundaries before intake.</x:v>
      </x:c>
      <x:c r="E35" s="431" t="str">
        <x:v>Awaiting CEO Review</x:v>
      </x:c>
      <x:c r="F35" s="431" t="str">
        <x:v>codex/p2.3-real-package-structured-trial</x:v>
      </x:c>
      <x:c r="G35" s="431" t="str">
        <x:v>D-091; EV-088-EV-089; docs/package_assurance/authorized_structured_package_trial_v0.3.0.md; no package content accessed</x:v>
      </x:c>
      <x:c r="H35"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