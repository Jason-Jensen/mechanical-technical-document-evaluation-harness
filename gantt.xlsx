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218a75c934345da" /></Relationships>
</file>

<file path=xl/workbook.xml><?xml version="1.0" encoding="utf-8"?>
<x:workbook xmlns:x="http://schemas.openxmlformats.org/spreadsheetml/2006/main">
  <x:sheets>
    <x:sheet xmlns:r="http://schemas.openxmlformats.org/officeDocument/2006/relationships" name="Start Here" sheetId="1" r:id="R8a6d4dcc0aca48cd"/>
    <x:sheet xmlns:r="http://schemas.openxmlformats.org/officeDocument/2006/relationships" name="Executive Gantt" sheetId="2" r:id="Ra8d7566d6c9a4dba"/>
    <x:sheet xmlns:r="http://schemas.openxmlformats.org/officeDocument/2006/relationships" name="Detailed Gantt" sheetId="3" r:id="Rd6e5ba79c9bf4f4e"/>
    <x:sheet xmlns:r="http://schemas.openxmlformats.org/officeDocument/2006/relationships" name="Weekly Control" sheetId="4" r:id="R5ba8d59742514661"/>
    <x:sheet xmlns:r="http://schemas.openxmlformats.org/officeDocument/2006/relationships" name="Phase Summary" sheetId="5" r:id="R2cd2506997564686"/>
    <x:sheet xmlns:r="http://schemas.openxmlformats.org/officeDocument/2006/relationships" name="Assumptions &amp; Gates" sheetId="6" r:id="Rc99c03499fd14326"/>
    <x:sheet xmlns:r="http://schemas.openxmlformats.org/officeDocument/2006/relationships" name="Sources" sheetId="7" r:id="Rc86cef6f6d8e47a0"/>
    <x:sheet xmlns:r="http://schemas.openxmlformats.org/officeDocument/2006/relationships" name="Legacy Baseline" sheetId="8" r:id="R0cae0509ea5a4dec"/>
    <x:sheet xmlns:r="http://schemas.openxmlformats.org/officeDocument/2006/relationships" name="Work Block Log" sheetId="9" r:id="R143ee5a733244ccd"/>
    <x:sheet xmlns:r="http://schemas.openxmlformats.org/officeDocument/2006/relationships" name="Decision Register" sheetId="10" r:id="R0929e2ec9fa14a42"/>
    <x:sheet xmlns:r="http://schemas.openxmlformats.org/officeDocument/2006/relationships" name="Risks &amp; Issues" sheetId="11" r:id="R3a4793ce19994f8f"/>
    <x:sheet xmlns:r="http://schemas.openxmlformats.org/officeDocument/2006/relationships" name="Evidence Register" sheetId="12" r:id="Rf21f0920c17d478f"/>
    <x:sheet xmlns:r="http://schemas.openxmlformats.org/officeDocument/2006/relationships" name="Expansion Backlog" sheetId="13" r:id="Rbc0d5f5e78d34a7b"/>
    <x:sheet xmlns:r="http://schemas.openxmlformats.org/officeDocument/2006/relationships" name="AI Context" sheetId="14" r:id="Rf09904077a784b29"/>
    <x:sheet xmlns:r="http://schemas.openxmlformats.org/officeDocument/2006/relationships" name="MVP Dashboard" sheetId="15" r:id="R007f84e5608b4d5e"/>
    <x:sheet xmlns:r="http://schemas.openxmlformats.org/officeDocument/2006/relationships" name="Product Vision" sheetId="16" r:id="Reec2660fde7e43db"/>
    <x:sheet xmlns:r="http://schemas.openxmlformats.org/officeDocument/2006/relationships" name="Pilot Gantt" sheetId="17" r:id="R869032d970284127"/>
    <x:sheet xmlns:r="http://schemas.openxmlformats.org/officeDocument/2006/relationships" name="Pilot Dashboard" sheetId="18" r:id="R4e91d98841ab4d0e"/>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<x:sst xmlns:x="http://schemas.openxmlformats.org/spreadsheetml/2006/main">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</x:sst>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d913ecd80f94a72" /><Relationship Type="http://schemas.openxmlformats.org/officeDocument/2006/relationships/theme" Target="/xl/theme/theme1.xml" Id="Re41fa45a8eaa4b54" /><Relationship Type="http://schemas.openxmlformats.org/officeDocument/2006/relationships/sharedStrings" Target="/xl/sharedStrings.xml" Id="Re31f964ab77c4984" /><Relationship Type="http://schemas.openxmlformats.org/officeDocument/2006/relationships/worksheet" Target="/xl/worksheets/sheet1.xml" Id="R8a6d4dcc0aca48cd" /><Relationship Type="http://schemas.openxmlformats.org/officeDocument/2006/relationships/worksheet" Target="/xl/worksheets/sheet2.xml" Id="Ra8d7566d6c9a4dba" /><Relationship Type="http://schemas.openxmlformats.org/officeDocument/2006/relationships/worksheet" Target="/xl/worksheets/sheet3.xml" Id="Rd6e5ba79c9bf4f4e" /><Relationship Type="http://schemas.openxmlformats.org/officeDocument/2006/relationships/worksheet" Target="/xl/worksheets/sheet4.xml" Id="R5ba8d59742514661" /><Relationship Type="http://schemas.openxmlformats.org/officeDocument/2006/relationships/worksheet" Target="/xl/worksheets/sheet5.xml" Id="R2cd2506997564686" /><Relationship Type="http://schemas.openxmlformats.org/officeDocument/2006/relationships/worksheet" Target="/xl/worksheets/sheet6.xml" Id="Rc99c03499fd14326" /><Relationship Type="http://schemas.openxmlformats.org/officeDocument/2006/relationships/worksheet" Target="/xl/worksheets/sheet7.xml" Id="Rc86cef6f6d8e47a0" /><Relationship Type="http://schemas.openxmlformats.org/officeDocument/2006/relationships/worksheet" Target="/xl/worksheets/sheet8.xml" Id="R0cae0509ea5a4dec" /><Relationship Type="http://schemas.openxmlformats.org/officeDocument/2006/relationships/worksheet" Target="/xl/worksheets/sheet9.xml" Id="R143ee5a733244ccd" /><Relationship Type="http://schemas.openxmlformats.org/officeDocument/2006/relationships/worksheet" Target="/xl/worksheets/sheet10.xml" Id="R0929e2ec9fa14a42" /><Relationship Type="http://schemas.openxmlformats.org/officeDocument/2006/relationships/worksheet" Target="/xl/worksheets/sheet11.xml" Id="R3a4793ce19994f8f" /><Relationship Type="http://schemas.openxmlformats.org/officeDocument/2006/relationships/worksheet" Target="/xl/worksheets/sheet12.xml" Id="Rf21f0920c17d478f" /><Relationship Type="http://schemas.openxmlformats.org/officeDocument/2006/relationships/worksheet" Target="/xl/worksheets/sheet13.xml" Id="Rbc0d5f5e78d34a7b" /><Relationship Type="http://schemas.openxmlformats.org/officeDocument/2006/relationships/worksheet" Target="/xl/worksheets/sheet14.xml" Id="Rf09904077a784b29" /><Relationship Type="http://schemas.openxmlformats.org/officeDocument/2006/relationships/worksheet" Target="/xl/worksheets/sheet15.xml" Id="R007f84e5608b4d5e" /><Relationship Type="http://schemas.openxmlformats.org/officeDocument/2006/relationships/worksheet" Target="/xl/worksheets/sheet16.xml" Id="Reec2660fde7e43db" /><Relationship Type="http://schemas.openxmlformats.org/officeDocument/2006/relationships/worksheet" Target="/xl/worksheets/sheet17.xml" Id="R869032d970284127" /><Relationship Type="http://schemas.openxmlformats.org/officeDocument/2006/relationships/worksheet" Target="/xl/worksheets/sheet18.xml" Id="R4e91d98841ab4d0e" /></Relationships>
</file>

<file path=xl/drawings/_rels/drawing1.xml.rels>&#65279;<?xml version="1.0" encoding="utf-8"?><Relationships xmlns="http://schemas.openxmlformats.org/package/2006/relationships"><Relationship Type="http://schemas.openxmlformats.org/officeDocument/2006/relationships/chart" Target="/xl/drawings/charts/chart1.xml" Id="Ra3a3504565d64c53" /></Relationships>
</file>

<file path=xl/drawings/_rels/drawing2.xml.rels>&#65279;<?xml version="1.0" encoding="utf-8"?><Relationships xmlns="http://schemas.openxmlformats.org/package/2006/relationships"><Relationship Type="http://schemas.openxmlformats.org/officeDocument/2006/relationships/chart" Target="/xl/drawings/charts/chart2.xml" Id="R24fec71a5ade491f" /></Relationships>
</file>

<file path=xl/drawings/_rels/drawing3.xml.rels>&#65279;<?xml version="1.0" encoding="utf-8"?><Relationships xmlns="http://schemas.openxmlformats.org/package/2006/relationships"><Relationship Type="http://schemas.openxmlformats.org/officeDocument/2006/relationships/chart" Target="/xl/drawings/charts/chart3.xml" Id="Rd45590c28bae48eb"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3a3504565d64c53"/>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4fec71a5ade491f"/>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45590c28bae48eb"/>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07883ea662c74888" /></Relationships>
</file>

<file path=xl/worksheets/_rels/sheet5.xml.rels>&#65279;<?xml version="1.0" encoding="utf-8"?><Relationships xmlns="http://schemas.openxmlformats.org/package/2006/relationships"><Relationship Type="http://schemas.openxmlformats.org/officeDocument/2006/relationships/drawing" Target="/xl/drawings/drawing2.xml" Id="Rdbec9a7c112d4ac2" /></Relationships>
</file>

<file path=xl/worksheets/_rels/sheet15.xml.rels>&#65279;<?xml version="1.0" encoding="utf-8"?><Relationships xmlns="http://schemas.openxmlformats.org/package/2006/relationships"><Relationship Type="http://schemas.openxmlformats.org/officeDocument/2006/relationships/drawing" Target="/xl/drawings/drawing3.xml" Id="R0fb88206daf64df2"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two P2.2 behaviors integrated; reverse-authority definition proposed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reverse drawing-metadata authority definition</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Define metadata records without drawing-register authority</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Review and accept, revise, or reject the proposed reverse-authority definition</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35" hidden="0" customHeight="1">
      <x:c r="A28" s="704" t="str">
        <x:v>PR #31 merged the accepted drawing_register_metadata_presence v0.3.0 behavior to main at 36338c0. Exact merged-tree verification passes focused 35, full 206/1, validation 5/5, Ruff, and 84.93% coverage. The proposed next definition, drawing_metadata_register_authority v0.3.0, checks metadata records with no exact register row under AUTH-DWG-001 and routes them to missing_authoritative_information with a high-severity release hold. A temporary one-row register removal leaves all eight P2.1 gates and both accepted P2.2 checks passing. Review the definition; no implementation or downstream capability is authorized.</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07883ea662c74888"/>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dbec9a7c112d4ac2"/>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Active</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reverse drawing-metadata authority definition</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The first two P2.2 drawing relationship behaviors are integrated and verified through main 36338c0. The proposed third direction checks drawing metadata with no authoritative register row. It freezes missing_authoritative_information routing, high-severity release hold behavior, exact metadata evidence, a header-anchored register membership snapshot, stable identity and order, and temporary-copy acceptance tests. Implementation, remaining P2.2 relationships, P2.3 rules, P2.4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Review and accept, revise, or reject drawing_metadata_register_authority v0.3.0; do not implement it before acceptance.</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71" hidden="0" customHeight="1">
      <x:c r="A41" s="604" t="str">
        <x:v>Immediate implication</x:v>
      </x:c>
      <x:c r="B41" s="605"/>
      <x:c r="C41" s="606" t="str">
        <x:v>PR #31 merged the accepted drawing metadata presence implementation to main at 36338c0. Exact merged-tree verification passes focused 35, full 206/1, validation 5/5, Ruff, and 84.93% coverage. The next definition proposes drawing_metadata_register_authority v0.3.0 as the third ordered check. Metadata with no exact register row routes to missing_authoritative_information, high severity, release_hold true, AUTH-DWG-001, and document_control. Evidence is the metadata drawing_number locator plus a drawing-register CSV membership locator anchored to row 1 / the drawing_number header so no nonexistent data row is fabricated. Temporary removal of DOC-DWG-001 leaves all eight P2.1 gates and both accepted P2.2 checks passing. Definition acceptance is required before implementation.</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0fb88206daf64df2"/>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80"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0.4</x:v>
      </x:c>
      <x:c r="M12" s="662" t="n">
        <x:f>SUMIF('Work Block Log'!$E$5:$E$200,A12,'Work Block Log'!$F$5:$F$200)</x:f>
        <x:v>0</x:v>
      </x:c>
      <x:c r="N12" s="662" t="n">
        <x:f>MAX(F12*(1-L12),0)</x:f>
        <x:v>2.4</x:v>
      </x:c>
      <x:c r="O12" s="662" t="n">
        <x:f>M12-F12</x:f>
        <x:v>-4</x:v>
      </x:c>
      <x:c r="P12" s="431" t="str">
        <x:v>first slice integrated through PR #28 at main 5866212; second slice integrated through PR #31 at main 36338c0; PR #31 head 8a5d56a; focused 35; full 206/1; validation 5/5; Ruff; coverage 84.93%; reverse-authority definition proposed on codex/p2.2-drawing-metadata-orphan-definition; D-049-D-060; EV-046-EV-057</x:v>
      </x:c>
      <x:c r="Q12" s="431" t="str">
        <x:v>Review and accept, revise, or reject drawing_metadata_register_authority v0.3.0. Begin no third-direction implementation before acceptance.</x:v>
      </x:c>
      <x:c r="R12" s="431" t="str">
        <x:v>Two directional drawing checks are accepted, integrated, and verified. The proposed reverse-authority direction uses missing_authoritative_information, not automatic_fail, and remains definition-only. P2.2 stays open for additional relationship outcomes.</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0.36086956521739133</x:v>
      </x:c>
      <x:c r="M24" s="683" t="n">
        <x:f>SUM(M6:M22)</x:f>
        <x:v>0</x:v>
      </x:c>
      <x:c r="N24" s="683" t="n">
        <x:f>SUM(N6:N22)</x:f>
        <x:v>29.4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Third P2.2 Direction Definition Proposed</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Drawing metadata register authority definition</x:v>
      </x:c>
      <x:c r="H4" s="697"/>
    </x:row>
    <x:row r="5" ht="54" customHeight="1">
      <x:c r="A5" s="688" t="str">
        <x:v>Schedule Baseline</x:v>
      </x:c>
      <x:c r="B5" s="693" t="str">
        <x:v>Legacy only; not controlling</x:v>
      </x:c>
      <x:c r="C5" s="691"/>
      <x:c r="D5" s="691"/>
      <x:c r="F5" s="696" t="str">
        <x:v>Objective</x:v>
      </x:c>
      <x:c r="G5" s="697" t="str">
        <x:v>Freeze the reverse authority rule, evidence, routing, order, and acceptance tests without code.</x:v>
      </x:c>
      <x:c r="H5" s="697"/>
    </x:row>
    <x:row r="6" ht="54" customHeight="1">
      <x:c r="A6" s="688" t="str">
        <x:v>Time Tracking</x:v>
      </x:c>
      <x:c r="B6" s="693" t="str">
        <x:v>Waived prospectively</x:v>
      </x:c>
      <x:c r="C6" s="691"/>
      <x:c r="D6" s="691"/>
      <x:c r="F6" s="696" t="str">
        <x:v>Gate Status</x:v>
      </x:c>
      <x:c r="G6" s="697" t="str">
        <x:v>Two directional checks are integrated at main 36338c0; the third definition is proposed.</x:v>
      </x:c>
      <x:c r="H6" s="697"/>
    </x:row>
    <x:row r="7" ht="54" customHeight="1">
      <x:c r="A7" s="688" t="str">
        <x:v>Current Gate</x:v>
      </x:c>
      <x:c r="B7" s="694" t="str">
        <x:v>P2.2 reverse drawing-metadata authority definition</x:v>
      </x:c>
      <x:c r="C7" s="691"/>
      <x:c r="D7" s="691"/>
      <x:c r="F7" s="696" t="str">
        <x:v>Definition of Done</x:v>
      </x:c>
      <x:c r="G7" s="697" t="str">
        <x:v>The definition is reviewed, Gantt evidence is complete, no executable behavior changes, and a draft PR is ready.</x:v>
      </x:c>
      <x:c r="H7" s="697"/>
    </x:row>
    <x:row r="8" ht="63" customHeight="1">
      <x:c r="A8" s="688" t="str">
        <x:v>Released Kernel</x:v>
      </x:c>
      <x:c r="B8" s="691" t="str">
        <x:v>v0.2.0 / commit 45336a2</x:v>
      </x:c>
      <x:c r="C8" s="691"/>
      <x:c r="D8" s="691"/>
      <x:c r="F8" s="696" t="str">
        <x:v>Immediate Next Action</x:v>
      </x:c>
      <x:c r="G8" s="697" t="str">
        <x:v>Review and accept, revise, or reject drawing_metadata_register_authority v0.3.0.</x:v>
      </x:c>
      <x:c r="H8" s="697"/>
    </x:row>
    <x:row r="9" ht="63" customHeight="1">
      <x:c r="A9" s="688" t="str">
        <x:v>Release Target</x:v>
      </x:c>
      <x:c r="B9" s="691" t="str">
        <x:v>v0.3.0</x:v>
      </x:c>
      <x:c r="C9" s="691"/>
      <x:c r="D9" s="691"/>
      <x:c r="F9" s="696" t="str">
        <x:v>Primary Risk</x:v>
      </x:c>
      <x:c r="G9" s="697" t="str">
        <x:v>Primary risk is treating missing authority as automatic_fail or fabricating a CSV row for negative evidence.</x:v>
      </x:c>
      <x:c r="H9" s="697"/>
    </x:row>
    <x:row r="10" ht="63" customHeight="1">
      <x:c r="A10" s="688" t="str">
        <x:v>Baseline Test Count</x:v>
      </x:c>
      <x:c r="B10" s="691" t="n">
        <x:v>121</x:v>
      </x:c>
      <x:c r="C10" s="691"/>
      <x:c r="D10" s="691"/>
      <x:c r="F10" s="696" t="str">
        <x:v>Deferred</x:v>
      </x:c>
      <x:c r="G10" s="697" t="str">
        <x:v>Third-direction implementation, other P2.2 rules, routing, reports, CLI,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Two P2.2 drawing outcomes are integrated; reverse-authority definition proposed; broader P2.2 remains open</x:v>
      </x:c>
      <x:c r="D17" s="700" t="n">
        <x:f>AVERAGE('Pilot Gantt'!L11:L14)</x:f>
        <x:v>0.35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53" customHeight="1">
      <x:c r="A27" s="431" t="n">
        <x:v>4</x:v>
      </x:c>
      <x:c r="B27" s="431" t="str">
        <x:v>P2.2</x:v>
      </x:c>
      <x:c r="C27" s="431" t="str">
        <x:v>Drawing metadata register authority definition</x:v>
      </x:c>
      <x:c r="D27" s="431" t="str">
        <x:v>Freeze metadata-without-register authority, missing-authority routing, negative CSV evidence, order, and tests without executable behavior.</x:v>
      </x:c>
      <x:c r="E27" s="431" t="str">
        <x:v>Definition Review</x:v>
      </x:c>
      <x:c r="F27" s="431" t="str">
        <x:v>codex/p2.2-drawing-metadata-orphan-definition</x:v>
      </x:c>
      <x:c r="G27" s="431" t="str">
        <x:v>main 36338c0; PR #31; D-059-D-060; EV-056-EV-057; focused 35; full 206/1; validation 5/5; Ruff; coverage 84.93%</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