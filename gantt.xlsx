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d0ba3a2d6bc467d" /></Relationships>
</file>

<file path=xl/workbook.xml><?xml version="1.0" encoding="utf-8"?>
<x:workbook xmlns:x="http://schemas.openxmlformats.org/spreadsheetml/2006/main">
  <x:sheets>
    <x:sheet xmlns:r="http://schemas.openxmlformats.org/officeDocument/2006/relationships" name="Start Here" sheetId="1" r:id="R62f249bb030f4d35"/>
    <x:sheet xmlns:r="http://schemas.openxmlformats.org/officeDocument/2006/relationships" name="Executive Gantt" sheetId="2" r:id="R869511d1d1064daa"/>
    <x:sheet xmlns:r="http://schemas.openxmlformats.org/officeDocument/2006/relationships" name="Detailed Gantt" sheetId="3" r:id="Rddf100f0d1794366"/>
    <x:sheet xmlns:r="http://schemas.openxmlformats.org/officeDocument/2006/relationships" name="Weekly Control" sheetId="4" r:id="R2da003a7b9ed4759"/>
    <x:sheet xmlns:r="http://schemas.openxmlformats.org/officeDocument/2006/relationships" name="Phase Summary" sheetId="5" r:id="R78fba2bc91fa4b80"/>
    <x:sheet xmlns:r="http://schemas.openxmlformats.org/officeDocument/2006/relationships" name="Assumptions &amp; Gates" sheetId="6" r:id="R0e7d46cc5e6747f2"/>
    <x:sheet xmlns:r="http://schemas.openxmlformats.org/officeDocument/2006/relationships" name="Sources" sheetId="7" r:id="Rb37e5a56848a4aee"/>
    <x:sheet xmlns:r="http://schemas.openxmlformats.org/officeDocument/2006/relationships" name="Legacy Baseline" sheetId="8" r:id="R01ff7f4cec154476"/>
    <x:sheet xmlns:r="http://schemas.openxmlformats.org/officeDocument/2006/relationships" name="Work Block Log" sheetId="9" r:id="R1d782a3cc5cb4779"/>
    <x:sheet xmlns:r="http://schemas.openxmlformats.org/officeDocument/2006/relationships" name="Decision Register" sheetId="10" r:id="R73b3766c4aaa4b84"/>
    <x:sheet xmlns:r="http://schemas.openxmlformats.org/officeDocument/2006/relationships" name="Risks &amp; Issues" sheetId="11" r:id="Rf5d7962047e84bc9"/>
    <x:sheet xmlns:r="http://schemas.openxmlformats.org/officeDocument/2006/relationships" name="Evidence Register" sheetId="12" r:id="R93be965e0185492a"/>
    <x:sheet xmlns:r="http://schemas.openxmlformats.org/officeDocument/2006/relationships" name="Expansion Backlog" sheetId="13" r:id="Red41eca0e38942a6"/>
    <x:sheet xmlns:r="http://schemas.openxmlformats.org/officeDocument/2006/relationships" name="AI Context" sheetId="14" r:id="Rbcce5e41297f4fd9"/>
    <x:sheet xmlns:r="http://schemas.openxmlformats.org/officeDocument/2006/relationships" name="MVP Dashboard" sheetId="15" r:id="Rcbb0eb45e45847a6"/>
    <x:sheet xmlns:r="http://schemas.openxmlformats.org/officeDocument/2006/relationships" name="Product Vision" sheetId="16" r:id="R1c311184c23642da"/>
    <x:sheet xmlns:r="http://schemas.openxmlformats.org/officeDocument/2006/relationships" name="Pilot Gantt" sheetId="17" r:id="R0ed0c6368d4c49fc"/>
    <x:sheet xmlns:r="http://schemas.openxmlformats.org/officeDocument/2006/relationships" name="Pilot Dashboard" sheetId="18" r:id="Rfccb8ab1fea2465a"/>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<x:sst xmlns:x="http://schemas.openxmlformats.org/spreadsheetml/2006/main">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</x:sst>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653fdee31e24e2c" /><Relationship Type="http://schemas.openxmlformats.org/officeDocument/2006/relationships/theme" Target="/xl/theme/theme1.xml" Id="Rff7662978fbe4684" /><Relationship Type="http://schemas.openxmlformats.org/officeDocument/2006/relationships/sharedStrings" Target="/xl/sharedStrings.xml" Id="R860c0f8b83304959" /><Relationship Type="http://schemas.openxmlformats.org/officeDocument/2006/relationships/worksheet" Target="/xl/worksheets/sheet1.xml" Id="R62f249bb030f4d35" /><Relationship Type="http://schemas.openxmlformats.org/officeDocument/2006/relationships/worksheet" Target="/xl/worksheets/sheet2.xml" Id="R869511d1d1064daa" /><Relationship Type="http://schemas.openxmlformats.org/officeDocument/2006/relationships/worksheet" Target="/xl/worksheets/sheet3.xml" Id="Rddf100f0d1794366" /><Relationship Type="http://schemas.openxmlformats.org/officeDocument/2006/relationships/worksheet" Target="/xl/worksheets/sheet4.xml" Id="R2da003a7b9ed4759" /><Relationship Type="http://schemas.openxmlformats.org/officeDocument/2006/relationships/worksheet" Target="/xl/worksheets/sheet5.xml" Id="R78fba2bc91fa4b80" /><Relationship Type="http://schemas.openxmlformats.org/officeDocument/2006/relationships/worksheet" Target="/xl/worksheets/sheet6.xml" Id="R0e7d46cc5e6747f2" /><Relationship Type="http://schemas.openxmlformats.org/officeDocument/2006/relationships/worksheet" Target="/xl/worksheets/sheet7.xml" Id="Rb37e5a56848a4aee" /><Relationship Type="http://schemas.openxmlformats.org/officeDocument/2006/relationships/worksheet" Target="/xl/worksheets/sheet8.xml" Id="R01ff7f4cec154476" /><Relationship Type="http://schemas.openxmlformats.org/officeDocument/2006/relationships/worksheet" Target="/xl/worksheets/sheet9.xml" Id="R1d782a3cc5cb4779" /><Relationship Type="http://schemas.openxmlformats.org/officeDocument/2006/relationships/worksheet" Target="/xl/worksheets/sheet10.xml" Id="R73b3766c4aaa4b84" /><Relationship Type="http://schemas.openxmlformats.org/officeDocument/2006/relationships/worksheet" Target="/xl/worksheets/sheet11.xml" Id="Rf5d7962047e84bc9" /><Relationship Type="http://schemas.openxmlformats.org/officeDocument/2006/relationships/worksheet" Target="/xl/worksheets/sheet12.xml" Id="R93be965e0185492a" /><Relationship Type="http://schemas.openxmlformats.org/officeDocument/2006/relationships/worksheet" Target="/xl/worksheets/sheet13.xml" Id="Red41eca0e38942a6" /><Relationship Type="http://schemas.openxmlformats.org/officeDocument/2006/relationships/worksheet" Target="/xl/worksheets/sheet14.xml" Id="Rbcce5e41297f4fd9" /><Relationship Type="http://schemas.openxmlformats.org/officeDocument/2006/relationships/worksheet" Target="/xl/worksheets/sheet15.xml" Id="Rcbb0eb45e45847a6" /><Relationship Type="http://schemas.openxmlformats.org/officeDocument/2006/relationships/worksheet" Target="/xl/worksheets/sheet16.xml" Id="R1c311184c23642da" /><Relationship Type="http://schemas.openxmlformats.org/officeDocument/2006/relationships/worksheet" Target="/xl/worksheets/sheet17.xml" Id="R0ed0c6368d4c49fc" /><Relationship Type="http://schemas.openxmlformats.org/officeDocument/2006/relationships/worksheet" Target="/xl/worksheets/sheet18.xml" Id="Rfccb8ab1fea2465a" /></Relationships>
</file>

<file path=xl/drawings/_rels/drawing1.xml.rels>&#65279;<?xml version="1.0" encoding="utf-8"?><Relationships xmlns="http://schemas.openxmlformats.org/package/2006/relationships"><Relationship Type="http://schemas.openxmlformats.org/officeDocument/2006/relationships/chart" Target="/xl/drawings/charts/chart1.xml" Id="R8d46f8a6a5be4131" /></Relationships>
</file>

<file path=xl/drawings/_rels/drawing2.xml.rels>&#65279;<?xml version="1.0" encoding="utf-8"?><Relationships xmlns="http://schemas.openxmlformats.org/package/2006/relationships"><Relationship Type="http://schemas.openxmlformats.org/officeDocument/2006/relationships/chart" Target="/xl/drawings/charts/chart2.xml" Id="R35cdbb7498154378" /></Relationships>
</file>

<file path=xl/drawings/_rels/drawing3.xml.rels>&#65279;<?xml version="1.0" encoding="utf-8"?><Relationships xmlns="http://schemas.openxmlformats.org/package/2006/relationships"><Relationship Type="http://schemas.openxmlformats.org/officeDocument/2006/relationships/chart" Target="/xl/drawings/charts/chart3.xml" Id="Ra026d1eddd434bf8"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d46f8a6a5be4131"/>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5cdbb7498154378"/>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026d1eddd434bf8"/>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b2f9fc09ff544f29" /></Relationships>
</file>

<file path=xl/worksheets/_rels/sheet5.xml.rels>&#65279;<?xml version="1.0" encoding="utf-8"?><Relationships xmlns="http://schemas.openxmlformats.org/package/2006/relationships"><Relationship Type="http://schemas.openxmlformats.org/officeDocument/2006/relationships/drawing" Target="/xl/drawings/drawing2.xml" Id="Rf6e3bef18e244ce4" /></Relationships>
</file>

<file path=xl/worksheets/_rels/sheet15.xml.rels>&#65279;<?xml version="1.0" encoding="utf-8"?><Relationships xmlns="http://schemas.openxmlformats.org/package/2006/relationships"><Relationship Type="http://schemas.openxmlformats.org/officeDocument/2006/relationships/drawing" Target="/xl/drawings/drawing3.xml" Id="Rc92c3c1e31bd4b6d"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6" customHeight="1">
      <x:c r="A4" s="545" t="str">
        <x:v>Control revision</x:v>
      </x:c>
      <x:c r="B4" s="755" t="str">
        <x:v>Program v3.0 - P2.4 accepted and integrated; P3.1 issue register active 2026-07-19</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P3.1 evidence-linked issue register</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P3.1 - Pure CSV and Markdown views of package_result.json</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Implement issue-register views only; release summary and CLI remain blocked</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35" hidden="0" customHeight="1">
      <x:c r="A28" s="597" t="str">
        <x:v>The user accepted P2.4 on 2026-07-19. PR #39 merged implementation cbcfc2b and review evidence 9caef2b at exact main cd9b52e. Exact-main verification: 15 focused result tests; full 237 passed / 1 expected Windows symlink skip; repository validation 5/5; Ruff passed; coverage 86.10%; GitHub CI 2/2 green. P2.4 is complete. P3.1 is now authorized only for deterministic CSV and Markdown issue-register views of package_result.json. Views must render canonical non-pass findings in accepted order, preserve machine-readable evidence, write headers with zero rows for a clean result, and never recompute gates, authority, state, or holds. P3.2 release summary, P3.3 CLI, P2.3 expansion, semantic held-out execution, protected assets, and deferred capabilities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b2f9fc09ff544f29"/>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f6e3bef18e244ce4"/>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4"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P3.1 evidence-linked issue register</x:v>
      </x:c>
    </x:row>
    <x:row r="7" ht="99"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P2.4 is accepted and integrated, so package_result.json is the trusted machine source. There is still no human-readable issue-register view, release summary, audit-package CLI, broad P2.3 relationship coverage, or semantic held-out execution.</x:v>
      </x:c>
      <x:c r="E7" s="765" t="str">
        <x:v>Product interpretation</x:v>
      </x:c>
      <x:c r="F7" s="431" t="str">
        <x:v>Successful kernel; not yet a complete economically useful workflow.</x:v>
      </x:c>
      <x:c r="G7" s="765" t="str">
        <x:v>Response</x:v>
      </x:c>
      <x:c r="H7" s="431" t="str">
        <x:v>Render deterministic CSV and Markdown issue registers from canonical non-pass findings without rerunning or reinterpreting evaluator logic.</x:v>
      </x:c>
    </x:row>
    <x:row r="8" ht="90" hidden="0" customHeight="1">
      <x:c r="A8" s="765" t="str">
        <x:v>Immediate next action</x:v>
      </x:c>
      <x:c r="B8" s="431" t="str">
        <x:v>Create codex/p3.1-issue-register from exact main after the P2.4 closeout. Implement pure CSV and Markdown renderers plus focused tests only.</x:v>
      </x:c>
      <x:c r="C8" s="765" t="str">
        <x:v>Selected vertical</x:v>
      </x:c>
      <x:c r="D8" s="431" t="str">
        <x:v>Eight P2.1 gates -&gt; five P2.2 checks -&gt; completeness control -&gt; canonical final findings -&gt; state router -&gt; immutable package result.</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26" hidden="0" customHeight="1">
      <x:c r="A41" s="604" t="str">
        <x:v>Immediate implication</x:v>
      </x:c>
      <x:c r="B41" s="605"/>
      <x:c r="C41" s="606" t="str">
        <x:v>P2.4 is accepted and integrated through PR #39 at exact main cd9b52e. Exact-main proof: focused result 15; full 237/1; validation 5/5; Ruff; coverage 86.10%; CI green. P3.1 is active. CSV and Markdown issue registers must flatten only canonical non-pass findings already stored in package_result.json, in package-state precedence then accepted gate/check order then finding ID. Evidence stays machine-readable JSON in CSV; Markdown remains a non-approving review aid. A clean result emits headers and zero issue rows. Renderers cannot rerun gates/checks, resolve authority, select state, infer missing fields from prose, or mutate results. P3.2, P3.3, P2.3, held-out semantics,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92c3c1e31bd4b6d"/>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13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 required v0.3.0 scope retained; proposed after first usable audit integration</x:v>
      </x:c>
      <x:c r="Q13" s="431" t="str">
        <x:v>Begin broad P2.3 only after the first usable audit through P3.3 is accepted and integrated.</x:v>
      </x:c>
      <x:c r="R13" s="431" t="str">
        <x:v>P2.3 remains required before P4 and release. Its rules will reuse the accepted package-state, immutable-result, report, and CLI path.</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135"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In Progress</x:v>
      </x:c>
      <x:c r="L15" s="664" t="n">
        <x:v>0</x:v>
      </x:c>
      <x:c r="M15" s="662" t="n">
        <x:f>SUMIF('Work Block Log'!$E$5:$E$200,A15,'Work Block Log'!$F$5:$F$200)</x:f>
        <x:v>0</x:v>
      </x:c>
      <x:c r="N15" s="662" t="n">
        <x:f>MAX(F15*(1-L15),0)</x:f>
        <x:v>4</x:v>
      </x:c>
      <x:c r="O15" s="662" t="n">
        <x:f>M15-F15</x:f>
        <x:v>-4</x:v>
      </x:c>
      <x:c r="P15" s="431" t="str">
        <x:v>codex/p3.1-issue-register; accepted package result at exact main cd9b52e; D-078; EV-075; first usable audit definition; IMP-012</x:v>
      </x:c>
      <x:c r="Q15" s="431" t="str">
        <x:v>Implement deterministic CSV and Markdown issue-register views from canonical findings only, with clean zero-row output and fail-closed input validation.</x:v>
      </x:c>
      <x:c r="R15" s="431" t="str">
        <x:v>Do not add release summary, CLI dispatch, P2.3 relationships, semantic held-out execution, protected-asset changes, or deferred capabilities. Reports never recompute evaluator logic.</x:v>
      </x:c>
      <x:c r="S15" s="669"/>
      <x:c r="T15" s="669"/>
      <x:c r="U15" s="669"/>
      <x:c r="V15" s="669" t="str">
        <x:v>■</x:v>
      </x:c>
      <x:c r="W15" s="669"/>
      <x:c r="X15" s="669"/>
    </x:row>
    <x:row r="16" ht="135"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 first usable audit definition; D-072; EV-069</x:v>
      </x:c>
      <x:c r="Q16" s="431" t="str">
        <x:v>After the issue-register view, render one concise non-approving release-readiness summary from the same immutable result.</x:v>
      </x:c>
      <x:c r="R16" s="431" t="str">
        <x:v>Summary supports qualified human review and cannot approve release, compliance, or engineering correctness.</x:v>
      </x:c>
      <x:c r="S16" s="669"/>
      <x:c r="T16" s="669"/>
      <x:c r="U16" s="669"/>
      <x:c r="V16" s="669" t="str">
        <x:v>■</x:v>
      </x:c>
      <x:c r="W16" s="669"/>
      <x:c r="X16" s="669"/>
    </x:row>
    <x:row r="17" ht="135"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 first usable audit definition; D-072; EV-069</x:v>
      </x:c>
      <x:c r="Q17" s="431" t="str">
        <x:v>After accepted result and report views, add audit-package with package-state exits 0-5, usage exit 64, and pre-result internal exit 70.</x:v>
      </x:c>
      <x:c r="R17" s="431" t="str">
        <x:v>Reuse existing CLI dispatch and immutable-write patterns while preserving all frozen v0.2 commands and behavior. No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0.4782608695652174</x:v>
      </x:c>
      <x:c r="M24" s="683" t="n">
        <x:f>SUM(M6:M22)</x:f>
        <x:v>0</x:v>
      </x:c>
      <x:c r="N24" s="683" t="n">
        <x:f>SUM(N6:N22)</x:f>
        <x:v>24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P3.1 Issue Register</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P3.1 - Pure issue-register views of package_result.json</x:v>
      </x:c>
      <x:c r="H4" s="697"/>
    </x:row>
    <x:row r="5" ht="72" customHeight="1">
      <x:c r="A5" s="688" t="str">
        <x:v>Schedule Baseline</x:v>
      </x:c>
      <x:c r="B5" s="693" t="str">
        <x:v>Legacy only; not controlling</x:v>
      </x:c>
      <x:c r="C5" s="691"/>
      <x:c r="D5" s="691"/>
      <x:c r="F5" s="696" t="str">
        <x:v>Objective</x:v>
      </x:c>
      <x:c r="G5" s="697" t="str">
        <x:v>Make canonical machine findings inspectable without changing their meaning.</x:v>
      </x:c>
      <x:c r="H5" s="697"/>
    </x:row>
    <x:row r="6" ht="63" customHeight="1">
      <x:c r="A6" s="688" t="str">
        <x:v>Time Tracking</x:v>
      </x:c>
      <x:c r="B6" s="693" t="str">
        <x:v>Waived prospectively</x:v>
      </x:c>
      <x:c r="C6" s="691"/>
      <x:c r="D6" s="691"/>
      <x:c r="F6" s="696" t="str">
        <x:v>Gate Status</x:v>
      </x:c>
      <x:c r="G6" s="697" t="str">
        <x:v>P2.4 is accepted at exact main cd9b52e; P3.1 issue-register rendering is authorized and active.</x:v>
      </x:c>
      <x:c r="H6" s="697"/>
    </x:row>
    <x:row r="7" ht="81" customHeight="1">
      <x:c r="A7" s="688" t="str">
        <x:v>Current Gate</x:v>
      </x:c>
      <x:c r="B7" s="694" t="str">
        <x:v>P3.1 evidence-linked issue register</x:v>
      </x:c>
      <x:c r="C7" s="691"/>
      <x:c r="D7" s="691"/>
      <x:c r="F7" s="696" t="str">
        <x:v>Definition of Done</x:v>
      </x:c>
      <x:c r="G7" s="697" t="str">
        <x:v>CSV and Markdown contain canonical non-pass findings in stored accepted order; clean results emit zero issue rows; evidence is preserved.</x:v>
      </x:c>
      <x:c r="H7" s="697"/>
    </x:row>
    <x:row r="8" ht="63" customHeight="1">
      <x:c r="A8" s="688" t="str">
        <x:v>Released Kernel</x:v>
      </x:c>
      <x:c r="B8" s="691" t="str">
        <x:v>v0.2.0 / commit 45336a2</x:v>
      </x:c>
      <x:c r="C8" s="691"/>
      <x:c r="D8" s="691"/>
      <x:c r="F8" s="696" t="str">
        <x:v>Immediate Next Action</x:v>
      </x:c>
      <x:c r="G8" s="697" t="str">
        <x:v>Implement and test the bounded P3.1 renderers on codex/p3.1-issue-register.</x:v>
      </x:c>
      <x:c r="H8" s="697"/>
    </x:row>
    <x:row r="9" ht="72" customHeight="1">
      <x:c r="A9" s="688" t="str">
        <x:v>Release Target</x:v>
      </x:c>
      <x:c r="B9" s="691" t="str">
        <x:v>v0.3.0</x:v>
      </x:c>
      <x:c r="C9" s="691"/>
      <x:c r="D9" s="691"/>
      <x:c r="F9" s="696" t="str">
        <x:v>Primary Risk</x:v>
      </x:c>
      <x:c r="G9" s="697" t="str">
        <x:v>Primary risk is report code silently recomputing state, authority, severity, ownership, or ordering instead of using canonical fields.</x:v>
      </x:c>
      <x:c r="H9" s="697"/>
    </x:row>
    <x:row r="10" ht="81" customHeight="1">
      <x:c r="A10" s="688" t="str">
        <x:v>Baseline Test Count</x:v>
      </x:c>
      <x:c r="B10" s="691" t="n">
        <x:v>121</x:v>
      </x:c>
      <x:c r="C10" s="691"/>
      <x:c r="D10" s="691"/>
      <x:c r="F10" s="696" t="str">
        <x:v>Deferred</x:v>
      </x:c>
      <x:c r="G10" s="697" t="str">
        <x:v>Release summary, CLI, P2.3 expansion, semantic held-out execution, protected assets, and deferred platform capabilities remain blocked.</x:v>
      </x:c>
      <x:c r="H10" s="697"/>
    </x:row>
    <x:row r="11" ht="63" customHeight="1">
      <x:c r="A11" s="688" t="str">
        <x:v>Fixture Package Families</x:v>
      </x:c>
      <x:c r="B11" s="691" t="n">
        <x:v>2</x:v>
      </x:c>
      <x:c r="C11" s="691"/>
      <x:c r="D11" s="691"/>
      <x:c r="F11" s="696" t="str">
        <x:v>Data Boundary</x:v>
      </x:c>
      <x:c r="G11" s="697" t="str">
        <x:v>P2.3 remains required after the first runnable audit and before P4/release.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P2.4 accepted; P2.3 intentionally sequenced later</x:v>
      </x:c>
      <x:c r="D17" s="700" t="n">
        <x:v>0.75</x:v>
      </x:c>
      <x:c r="E17" s="698" t="str">
        <x:v>Gate P2 - deterministic audit core and result-state routing</x:v>
      </x:c>
    </x:row>
    <x:row r="18" ht="36" customHeight="1">
      <x:c r="A18" s="698" t="str">
        <x:v>P3 Issue Register &amp; CLI</x:v>
      </x:c>
      <x:c r="B18" s="699" t="str">
        <x:v>In Progress</x:v>
      </x:c>
      <x:c r="C18" s="699" t="str">
        <x:v>P3.1 issue register active</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80"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Authorized / In Progress</x:v>
      </x:c>
      <x:c r="F29" s="431" t="str">
        <x:v>codex/p3.1-issue-register</x:v>
      </x:c>
      <x:c r="G29" s="431" t="str">
        <x:v>accepted predecessor main cd9b52e; D-078; EV-075; first usable audit definition; clean output must contain headers and zero issue rows; evidence remains machine-readable</x:v>
      </x:c>
      <x:c r="H29"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