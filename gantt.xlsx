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aa1e049c26448e6" /></Relationships>
</file>

<file path=xl/workbook.xml><?xml version="1.0" encoding="utf-8"?>
<x:workbook xmlns:x="http://schemas.openxmlformats.org/spreadsheetml/2006/main">
  <x:sheets>
    <x:sheet xmlns:r="http://schemas.openxmlformats.org/officeDocument/2006/relationships" name="Start Here" sheetId="1" r:id="R9cc86bffdc454d42"/>
    <x:sheet xmlns:r="http://schemas.openxmlformats.org/officeDocument/2006/relationships" name="Executive Gantt" sheetId="2" r:id="Rfe4c0c0ba13b4cc5"/>
    <x:sheet xmlns:r="http://schemas.openxmlformats.org/officeDocument/2006/relationships" name="Detailed Gantt" sheetId="3" r:id="R4f7040bbfbe04b7f"/>
    <x:sheet xmlns:r="http://schemas.openxmlformats.org/officeDocument/2006/relationships" name="Weekly Control" sheetId="4" r:id="R12fff5f6ea564907"/>
    <x:sheet xmlns:r="http://schemas.openxmlformats.org/officeDocument/2006/relationships" name="Phase Summary" sheetId="5" r:id="Rc076f9e22d414818"/>
    <x:sheet xmlns:r="http://schemas.openxmlformats.org/officeDocument/2006/relationships" name="Assumptions &amp; Gates" sheetId="6" r:id="Refed687d68c44377"/>
    <x:sheet xmlns:r="http://schemas.openxmlformats.org/officeDocument/2006/relationships" name="Sources" sheetId="7" r:id="R2ee7626349054e46"/>
    <x:sheet xmlns:r="http://schemas.openxmlformats.org/officeDocument/2006/relationships" name="Legacy Baseline" sheetId="8" r:id="R0866ae44370c49eb"/>
    <x:sheet xmlns:r="http://schemas.openxmlformats.org/officeDocument/2006/relationships" name="Work Block Log" sheetId="9" r:id="Red1dcc7c0b4743c9"/>
    <x:sheet xmlns:r="http://schemas.openxmlformats.org/officeDocument/2006/relationships" name="Decision Register" sheetId="10" r:id="Rf25da3ebb42948b4"/>
    <x:sheet xmlns:r="http://schemas.openxmlformats.org/officeDocument/2006/relationships" name="Risks &amp; Issues" sheetId="11" r:id="R4fa3c487bf944e86"/>
    <x:sheet xmlns:r="http://schemas.openxmlformats.org/officeDocument/2006/relationships" name="Evidence Register" sheetId="12" r:id="R9712cccab0ef4b7b"/>
    <x:sheet xmlns:r="http://schemas.openxmlformats.org/officeDocument/2006/relationships" name="Expansion Backlog" sheetId="13" r:id="R96469a13165c433d"/>
    <x:sheet xmlns:r="http://schemas.openxmlformats.org/officeDocument/2006/relationships" name="AI Context" sheetId="14" r:id="Rd35ec61b8d4747cd"/>
    <x:sheet xmlns:r="http://schemas.openxmlformats.org/officeDocument/2006/relationships" name="MVP Dashboard" sheetId="15" r:id="R08611a21051a4b13"/>
    <x:sheet xmlns:r="http://schemas.openxmlformats.org/officeDocument/2006/relationships" name="Product Vision" sheetId="16" r:id="Re92fc1b22e7f474a"/>
    <x:sheet xmlns:r="http://schemas.openxmlformats.org/officeDocument/2006/relationships" name="Pilot Gantt" sheetId="17" r:id="Re02ad83d8bd74f90"/>
    <x:sheet xmlns:r="http://schemas.openxmlformats.org/officeDocument/2006/relationships" name="Pilot Dashboard" sheetId="18" r:id="Rd3b85cdea1fc467c"/>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<x:sst xmlns:x="http://schemas.openxmlformats.org/spreadsheetml/2006/main">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</x:sst>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1">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b972dcd9ea74a39" /><Relationship Type="http://schemas.openxmlformats.org/officeDocument/2006/relationships/theme" Target="/xl/theme/theme1.xml" Id="R83af06976a0946b9" /><Relationship Type="http://schemas.openxmlformats.org/officeDocument/2006/relationships/sharedStrings" Target="/xl/sharedStrings.xml" Id="R8b51613b1d3b44a0" /><Relationship Type="http://schemas.openxmlformats.org/officeDocument/2006/relationships/worksheet" Target="/xl/worksheets/sheet1.xml" Id="R9cc86bffdc454d42" /><Relationship Type="http://schemas.openxmlformats.org/officeDocument/2006/relationships/worksheet" Target="/xl/worksheets/sheet2.xml" Id="Rfe4c0c0ba13b4cc5" /><Relationship Type="http://schemas.openxmlformats.org/officeDocument/2006/relationships/worksheet" Target="/xl/worksheets/sheet3.xml" Id="R4f7040bbfbe04b7f" /><Relationship Type="http://schemas.openxmlformats.org/officeDocument/2006/relationships/worksheet" Target="/xl/worksheets/sheet4.xml" Id="R12fff5f6ea564907" /><Relationship Type="http://schemas.openxmlformats.org/officeDocument/2006/relationships/worksheet" Target="/xl/worksheets/sheet5.xml" Id="Rc076f9e22d414818" /><Relationship Type="http://schemas.openxmlformats.org/officeDocument/2006/relationships/worksheet" Target="/xl/worksheets/sheet6.xml" Id="Refed687d68c44377" /><Relationship Type="http://schemas.openxmlformats.org/officeDocument/2006/relationships/worksheet" Target="/xl/worksheets/sheet7.xml" Id="R2ee7626349054e46" /><Relationship Type="http://schemas.openxmlformats.org/officeDocument/2006/relationships/worksheet" Target="/xl/worksheets/sheet8.xml" Id="R0866ae44370c49eb" /><Relationship Type="http://schemas.openxmlformats.org/officeDocument/2006/relationships/worksheet" Target="/xl/worksheets/sheet9.xml" Id="Red1dcc7c0b4743c9" /><Relationship Type="http://schemas.openxmlformats.org/officeDocument/2006/relationships/worksheet" Target="/xl/worksheets/sheet10.xml" Id="Rf25da3ebb42948b4" /><Relationship Type="http://schemas.openxmlformats.org/officeDocument/2006/relationships/worksheet" Target="/xl/worksheets/sheet11.xml" Id="R4fa3c487bf944e86" /><Relationship Type="http://schemas.openxmlformats.org/officeDocument/2006/relationships/worksheet" Target="/xl/worksheets/sheet12.xml" Id="R9712cccab0ef4b7b" /><Relationship Type="http://schemas.openxmlformats.org/officeDocument/2006/relationships/worksheet" Target="/xl/worksheets/sheet13.xml" Id="R96469a13165c433d" /><Relationship Type="http://schemas.openxmlformats.org/officeDocument/2006/relationships/worksheet" Target="/xl/worksheets/sheet14.xml" Id="Rd35ec61b8d4747cd" /><Relationship Type="http://schemas.openxmlformats.org/officeDocument/2006/relationships/worksheet" Target="/xl/worksheets/sheet15.xml" Id="R08611a21051a4b13" /><Relationship Type="http://schemas.openxmlformats.org/officeDocument/2006/relationships/worksheet" Target="/xl/worksheets/sheet16.xml" Id="Re92fc1b22e7f474a" /><Relationship Type="http://schemas.openxmlformats.org/officeDocument/2006/relationships/worksheet" Target="/xl/worksheets/sheet17.xml" Id="Re02ad83d8bd74f90" /><Relationship Type="http://schemas.openxmlformats.org/officeDocument/2006/relationships/worksheet" Target="/xl/worksheets/sheet18.xml" Id="Rd3b85cdea1fc467c" /></Relationships>
</file>

<file path=xl/drawings/_rels/drawing1.xml.rels>&#65279;<?xml version="1.0" encoding="utf-8"?><Relationships xmlns="http://schemas.openxmlformats.org/package/2006/relationships"><Relationship Type="http://schemas.openxmlformats.org/officeDocument/2006/relationships/chart" Target="/xl/drawings/charts/chart1.xml" Id="Rf12d62cff66645bc" /></Relationships>
</file>

<file path=xl/drawings/_rels/drawing2.xml.rels>&#65279;<?xml version="1.0" encoding="utf-8"?><Relationships xmlns="http://schemas.openxmlformats.org/package/2006/relationships"><Relationship Type="http://schemas.openxmlformats.org/officeDocument/2006/relationships/chart" Target="/xl/drawings/charts/chart2.xml" Id="Rff05b09cd2e04325" /></Relationships>
</file>

<file path=xl/drawings/_rels/drawing3.xml.rels>&#65279;<?xml version="1.0" encoding="utf-8"?><Relationships xmlns="http://schemas.openxmlformats.org/package/2006/relationships"><Relationship Type="http://schemas.openxmlformats.org/officeDocument/2006/relationships/chart" Target="/xl/drawings/charts/chart3.xml" Id="R415a04e664b1414a"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12d62cff66645bc"/>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f05b09cd2e04325"/>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5a04e664b1414a"/>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ef33056bc6ac45aa" /></Relationships>
</file>

<file path=xl/worksheets/_rels/sheet5.xml.rels>&#65279;<?xml version="1.0" encoding="utf-8"?><Relationships xmlns="http://schemas.openxmlformats.org/package/2006/relationships"><Relationship Type="http://schemas.openxmlformats.org/officeDocument/2006/relationships/drawing" Target="/xl/drawings/drawing2.xml" Id="Red50c0ecadc74875" /></Relationships>
</file>

<file path=xl/worksheets/_rels/sheet15.xml.rels>&#65279;<?xml version="1.0" encoding="utf-8"?><Relationships xmlns="http://schemas.openxmlformats.org/package/2006/relationships"><Relationship Type="http://schemas.openxmlformats.org/officeDocument/2006/relationships/drawing" Target="/xl/drawings/drawing3.xml" Id="Rc4b238633ded44dd"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P4.2 first-run authorization 2026-07-21</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D-111 accepted; PR #63 integration and exact-main freeze pending</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P4.2 - accepted replacement freeze integration</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Integrate PR #63, record exact main, then stage the oracle-blind first run</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file-reference, and supported revision relationship checks with evidence; explicitly deferred claims remain excluded.</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787.5" hidden="0" customHeight="1">
      <x:c r="A28" s="597" t="str">
        <x:v>P4.1 and D-109 remain frozen at implementation 4cf9fe8. D-110 is integrated through PR #62 at exact main ea45dcf. The exposed instrument-air family remains unchanged, unexecuted, and ineligible for release claims. Isolated bundle P4.2-CUSTODIAN-EA45DCF-V1 produced materially distinct belt-conveyor replacement FAM-HO-CONVEYOR-DRIVE-042. Isolated recovery custodians passed 326 structural/hash checks and wrote the public freeze record last; a separate verifier passed 14/14 controls; and the opaque repository import is byte-exact for 210/210 files at complete-family hash e619c81854d9676b5d821a752e3b00e68d0072572cef64509d5cc9132a3e6ff6. Safe pre-run verification passes 32 focused tests, 319 full tests with one expected skip at 88.57% coverage, repository validation 5/5, Ruff, frozen baseline 9/9, demo 2/2, and both hosted PR #63 CI jobs. The project owner accepted D-111 on 2026-07-21. Authority now advances only to PR #63 integration, exact-main verification, independently verified oracle-blind staging, and exactly one invocation per opaque scenario. Raw result, issue register, release summary, CLI exit, environment, command, and hashes must be frozen before a separate protected comparison. No retry, tuning, input/evaluator change, P4.3 work, or release claim is authorized. EV-146-EV-149, I-006, IMP-023, and IMP-024 retain the proof and recovery controls.</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ef33056bc6ac45aa"/>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ed50c0ecadc74875"/>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Accepted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Accepted by the CEO on 2026-07-21. PR #59 passed both GitHub CI runs and merged check 11 at exact main 69c0d1b. The owner directed the six unsupported claims to be deferred, the v0.3.0 claim to be narrowed to the eleven proven checks, and P4 startup to begin.</x:v>
      </x:c>
    </x:row>
    <x:row r="111" ht="666" customHeight="1">
      <x:c r="A111" s="431" t="str">
        <x:v>D-108</x:v>
      </x:c>
      <x:c r="B111" s="431" t="n">
        <x:v>46224</x:v>
      </x:c>
      <x:c r="C111" s="431" t="str">
        <x:v>Complete P2.3 for the exact eight-gate and eleven-check scope. Explicitly defer the six unsupported authority/source claims, exclude them from v0.3.0 benchmark and release claims, and authorize P4.1 development benchmark regression only.</x:v>
      </x:c>
      <x:c r="D111" s="431" t="str">
        <x:v>All P2.3 checks supported by accepted sources and authority rules are integrated and independently fault-proved. Inventing authority would reduce trust. A narrow claim preserves evidence quality and permits benchmark work without implying unsupported engineering assurance.</x:v>
      </x:c>
      <x:c r="E111" s="431" t="str">
        <x:v>Accepted</x:v>
      </x:c>
      <x:c r="F111" s="431" t="str">
        <x:v>P2.3 completion, claim boundary, and P4.1 entry</x:v>
      </x:c>
      <x:c r="G111" s="431" t="str">
        <x:v>User instruction 2026-07-21; PR #59; exact main 69c0d1b; docs/package_assurance/p2_3_completion_and_claim_boundary_v0.3.0.md; D-107; EV-137-EV-138</x:v>
      </x:c>
      <x:c r="H111" s="431" t="str">
        <x:v>Accepted by the CEO on 2026-07-21. P4.1 may use the accepted development family and temporary/generated fault copies to freeze benchmark behavior. Protected held-out semantic execution remains a separate P4.2 gate after P4.1 acceptance.</x:v>
      </x:c>
    </x:row>
    <x:row r="112" ht="738" customHeight="1">
      <x:c r="A112" s="431" t="str">
        <x:v>D-109</x:v>
      </x:c>
      <x:c r="B112" s="431" t="n">
        <x:v>46224</x:v>
      </x:c>
      <x:c r="C112" s="431" t="str">
        <x:v>Accept P4.1-DEV-1 with genuine full-package development scenarios for the four reachable states, exhaustive router and CLI-exit regression for all six states, and explicit deferral of end-to-end engineering_review_required and evaluator_uncertainty semantic triggers.</x:v>
      </x:c>
      <x:c r="D112" s="431" t="str">
        <x:v>The accepted eight gates and eleven checks do not emit those two states. Manufacturing them through mocked evaluation or edited output would be false evidence; reopening P2 now would expand the accepted pilot after D-108. The bounded variance keeps v0.3.0 useful and honest while preserving future state capability.</x:v>
      </x:c>
      <x:c r="E112" s="431" t="str">
        <x:v>Accepted</x:v>
      </x:c>
      <x:c r="F112" s="431" t="str">
        <x:v>P4.1 acceptance-plan variance and freeze gate</x:v>
      </x:c>
      <x:c r="G112" s="431" t="str">
        <x:v>docs/package_assurance/p4_1_development_benchmark_definition_and_review_v0.3.0.md; P4.1-DEV-1; EV-139-EV-142; IMP-020; 22/22 scenarios; 44/44 publications; 8/8 gates; 11/11 checks; full 319/1; coverage 88.57%; hosted Linux CI 2/2</x:v>
      </x:c>
      <x:c r="H112" s="431" t="str">
        <x:v>Accepted by the project owner on 2026-07-21. Reopen P0/P2 only if six end-to-end semantic paths become mandatory. Keep the two contract-only states excluded from detection claims and separately authorize P4.2 after PR #61 integration.</x:v>
      </x:c>
    </x:row>
    <x:row r="113" ht="720" customHeight="1">
      <x:c r="A113" s="431" t="str">
        <x:v>D-110</x:v>
      </x:c>
      <x:c r="B113" s="431" t="n">
        <x:v>46224</x:v>
      </x:c>
      <x:c r="C113" s="431" t="str">
        <x:v>Classify FAM-HO-INSTRUMENT-AIR-001 as contaminated for release held-out claims after pre-run oracle metadata exposure; preserve it unchanged and unexecuted; require a materially distinct replacement authored and frozen in an isolated custodian context before P4.2 execution.</x:v>
      </x:c>
      <x:c r="D113" s="431" t="str">
        <x:v>Accepted Section 15 makes exposure of expected conditions or answer keys to a rule implementer after freeze disqualifying even when no run or tuning occurs. Preserving the event and replacing the family protects the release claim and prevents a policy waiver from becoming hidden benchmark leakage.</x:v>
      </x:c>
      <x:c r="E113" s="431" t="str">
        <x:v>Accepted</x:v>
      </x:c>
      <x:c r="F113" s="431" t="str">
        <x:v>P4.2 held-out recovery and replacement freeze gate</x:v>
      </x:c>
      <x:c r="G113" s="431" t="str">
        <x:v>User instruction 2026-07-21; docs/package_assurance/p4_2_held_out_contamination_and_replacement_gate_v0.3.0.md; PR #62; PR #61 exact main 5a4d57e; I-006; EV-143-EV-145; IMP-023</x:v>
      </x:c>
      <x:c r="H113" s="431" t="str">
        <x:v>A separate owner decision is required after the replacement freeze package is reviewed and before any semantic execution. Any protected-value exposure, evaluator change, or pre-freeze run invalidates the replacement claim.</x:v>
      </x:c>
    </x:row>
    <x:row r="114" ht="720" customHeight="1">
      <x:c r="A114" s="431" t="str">
        <x:v>D-111</x:v>
      </x:c>
      <x:c r="B114" s="431" t="n">
        <x:v>46224</x:v>
      </x:c>
      <x:c r="C114" s="431" t="str">
        <x:v>Accept frozen replacement FAM-HO-CONVEYOR-DRIVE-042 and authorize exactly one controlled first semantic run of each opaque scenario against frozen evaluator behavior 4cf9fe8, with immutable raw evidence preserved before protected comparison.</x:v>
      </x:c>
      <x:c r="D114" s="431" t="str">
        <x:v>The replacement was authored from approved public inputs, passed 326 custodian checks and 14/14 independent controls, imported byte-exact at 210/210 files, and has zero semantic executions. One-way execution now provides the first valid unseen relationship evidence without creating tuning or rerun authority.</x:v>
      </x:c>
      <x:c r="E114" s="431" t="str">
        <x:v>Accepted</x:v>
      </x:c>
      <x:c r="F114" s="431" t="str">
        <x:v>P4.2 replacement freeze and first-run gate</x:v>
      </x:c>
      <x:c r="G114" s="431" t="str">
        <x:v>docs/package_assurance/p4_2_replacement_freeze_review_v0.3.0.md; p4_2_replacement_independent_verification_v0.3.0.json; p4_2_replacement_import_verification_v0.3.0.json; D-110; EV-146-EV-148; I-006; IMP-023-IMP-024</x:v>
      </x:c>
      <x:c r="H114" s="431" t="str">
        <x:v>Accepted by the project owner on 2026-07-21. PR #63 integration and exact-main verification remain prerequisites. Acceptance permits exactly one invocation per opaque scenario; raw result, issue register, release summary, CLI exit, command, environment, and hashes must be frozen before protected comparison. No retry, tuning, evaluator or fixture change, protected exposure to the implementation context, P4.3 work, or release claim is authorized.</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87" customHeight="1">
      <x:c r="A24" s="431" t="str">
        <x:v>R-017</x:v>
      </x:c>
      <x:c r="B24" s="431" t="str">
        <x:v>Risk</x:v>
      </x:c>
      <x:c r="C24" s="431" t="str">
        <x:v>P0.2 requires six end-to-end package states, while the accepted v0.3.0 evaluator has genuine semantic paths to four. Treating router-only coverage as package evidence would overstate benchmark completeness.</x:v>
      </x:c>
      <x:c r="D24" s="431" t="str">
        <x:v>High</x:v>
      </x:c>
      <x:c r="E24" s="431" t="str">
        <x:v>Medium</x:v>
      </x:c>
      <x:c r="F24" s="431" t="str">
        <x:v>Jason</x:v>
      </x:c>
      <x:c r="G24" s="431" t="str">
        <x:v>Use D-109 as a hard stop. Separate full-audit state coverage from contract-only router coverage in every report and claim. Reopen P0/P2 if six semantic paths remain mandatory.</x:v>
      </x:c>
      <x:c r="H24" s="431" t="str">
        <x:v>Mitigating</x:v>
      </x:c>
      <x:c r="I24" s="431" t="n">
        <x:v>46224</x:v>
      </x:c>
      <x:c r="J24" s="431" t="str">
        <x:v>D-109 accepted the bounded claim on 2026-07-21. P4.1-DEV-1 passes all implemented gate/check scenarios without manufacturing the two missing states; IMP-020 preserves the limitation for P4.2 and release language.</x:v>
      </x:c>
    </x:row>
    <x:row r="25" ht="450" customHeight="1">
      <x:c r="A25" s="431" t="str">
        <x:v>I-006</x:v>
      </x:c>
      <x:c r="B25" s="431" t="str">
        <x:v>Issue</x:v>
      </x:c>
      <x:c r="C25" s="431" t="str">
        <x:v>Pre-run held-out path enumeration and top-level freeze/family-review inspection exposed expected conditions and states to the implementation context, making the existing family ineligible for release held-out claims under accepted policy.</x:v>
      </x:c>
      <x:c r="D25" s="431" t="str">
        <x:v>N/A</x:v>
      </x:c>
      <x:c r="E25" s="431" t="str">
        <x:v>High</x:v>
      </x:c>
      <x:c r="F25" s="431" t="str">
        <x:v>Jason</x:v>
      </x:c>
      <x:c r="G25" s="431" t="str">
        <x:v>D-110 preserves the exposed family unchanged and unexecuted. Replacement FAM-HO-CONVEYOR-DRIVE-042 was authored and frozen in isolated custody, independently verified, and imported byte-exact. Keep implementer and CI access blocked until first-run evidence is preserved.</x:v>
      </x:c>
      <x:c r="H25" s="431" t="str">
        <x:v>Controlled / D-111 Accepted</x:v>
      </x:c>
      <x:c r="I25" s="431" t="n">
        <x:v>46224</x:v>
      </x:c>
      <x:c r="J25" s="431" t="str">
        <x:v>Replacement proof passes 326 custodian checks, 14/14 independent controls, and 210/210 byte-identical import. D-111 authorizes the first run only after PR #63 integration and exact-main staging; semantic execution count remains zero at acceptance.</x:v>
      </x:c>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Accepted</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Accepted</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Accepted</x:v>
      </x:c>
      <x:c r="I139" s="431" t="str">
        <x:v>No accepted fixture, authority map, schema, golden, held-out asset, public package, historical result, v0.2 behavior, or acceptance criterion changed.</x:v>
      </x:c>
    </x:row>
    <x:row r="140" ht="522" customHeight="1">
      <x:c r="A140" s="431" t="str">
        <x:v>EV-137</x:v>
      </x:c>
      <x:c r="B140" s="431" t="n">
        <x:v>46224</x:v>
      </x:c>
      <x:c r="C140" s="431" t="str">
        <x:v>D-107 acceptance and check-11 integration</x:v>
      </x:c>
      <x:c r="D140" s="431" t="str">
        <x:v>The CEO accepted D-107. PR #59 passed both GitHub CI runs and merged check 11 at exact main 69c0d1b. The owner then authorized the P2.3 authority-gap disposition and P4 startup.</x:v>
      </x:c>
      <x:c r="E140" s="431" t="str">
        <x:v>User instruction / GitHub checks and merge / Project control</x:v>
      </x:c>
      <x:c r="F140" s="431" t="str">
        <x:v>User instruction 2026-07-21; PR #59; exact main 69c0d1b; docs/package_assurance/specification_revision_history_implementation_review_2026-07-21.md; D-107</x:v>
      </x:c>
      <x:c r="G140" s="431" t="str">
        <x:v>P2.3 completion authority</x:v>
      </x:c>
      <x:c r="H140" s="431" t="str">
        <x:v>Accepted</x:v>
      </x:c>
      <x:c r="I140" s="431" t="str">
        <x:v>No protected held-out semantic execution, public rerun, schema, authority map, fixture, golden, or deferred capability changed during integration.</x:v>
      </x:c>
    </x:row>
    <x:row r="141" ht="567" customHeight="1">
      <x:c r="A141" s="431" t="str">
        <x:v>EV-138</x:v>
      </x:c>
      <x:c r="B141" s="431" t="n">
        <x:v>46224</x:v>
      </x:c>
      <x:c r="C141" s="431" t="str">
        <x:v>P2.3 completion and v0.3.0 claim-boundary decision</x:v>
      </x:c>
      <x:c r="D141" s="431" t="str">
        <x:v>D-108 completes P2.3 for eight gates and eleven relationship checks, explicitly defers six unsupported authority/source claims, excludes those claims from v0.3.0 benchmark/release language, and opens P4.1 development benchmark regression only.</x:v>
      </x:c>
      <x:c r="E141" s="431" t="str">
        <x:v>Reviewed scope disposition / Claim control / P4 entry gate</x:v>
      </x:c>
      <x:c r="F141" s="431" t="str">
        <x:v>docs/package_assurance/p2_3_completion_and_claim_boundary_v0.3.0.md; D-107-D-108; accepted P2.3 definition; acceptance_plan_v0.3.0.md</x:v>
      </x:c>
      <x:c r="G141" s="431" t="str">
        <x:v>P2.3 claim boundary and P4.1 authorization</x:v>
      </x:c>
      <x:c r="H141" s="431" t="str">
        <x:v>Accepted</x:v>
      </x:c>
      <x:c r="I141" s="431" t="str">
        <x:v>The six gaps remain visible limitations, not passes. P4.2 held-out execution remains blocked until the P4.1 evaluator/runner baseline is frozen.</x:v>
      </x:c>
    </x:row>
    <x:row r="142" ht="648" customHeight="1">
      <x:c r="A142" s="431" t="str">
        <x:v>EV-139</x:v>
      </x:c>
      <x:c r="B142" s="431" t="n">
        <x:v>46224</x:v>
      </x:c>
      <x:c r="C142" s="431" t="str">
        <x:v>P4.1 development benchmark definition and safety controls</x:v>
      </x:c>
      <x:c r="D142" s="431" t="str">
        <x:v>P4.1-DEV-1 at implementation commit 4cf9fe8 freezes 22 development scenarios, unique package/scenario IDs, 21 named mutations, exact state/exit/hold/control/finding expectations, two executions, and exact normalized four-output SHA-256 oracles. The runner verifies the accepted baseline hash, excludes expected assets, rejects benchmark-tree output and overwrites, and prevents subset acceptance claims.</x:v>
      </x:c>
      <x:c r="E142" s="431" t="str">
        <x:v>Reviewed definition / Runner implementation / Focused tests</x:v>
      </x:c>
      <x:c r="F142" s="431" t="str">
        <x:v>benchmarks/package_assurance/development/pump_skid_clean_v1/development_benchmark_v1.json; src/mech_eval_harness/package_assurance/development_benchmark.py; scripts/run_package_assurance_development_benchmark.py; tests/test_package_development_benchmark.py; docs/package_assurance/p4_1_development_benchmark_definition_and_review_v0.3.0.md</x:v>
      </x:c>
      <x:c r="G142" s="431" t="str">
        <x:v>P4.1 benchmark contract</x:v>
      </x:c>
      <x:c r="H142" s="431" t="str">
        <x:v>Accepted / Integration Pending</x:v>
      </x:c>
      <x:c r="I142" s="431" t="str">
        <x:v>No accepted clean fixture, hidden expected asset, held-out content, authority map, schema, public package, historical result, or v0.2 behavior changed.</x:v>
      </x:c>
    </x:row>
    <x:row r="143" ht="612" customHeight="1">
      <x:c r="A143" s="431" t="str">
        <x:v>EV-140</x:v>
      </x:c>
      <x:c r="B143" s="431" t="n">
        <x:v>46224</x:v>
      </x:c>
      <x:c r="C143" s="431" t="str">
        <x:v>P4.1 exact development benchmark acceptance execution</x:v>
      </x:c>
      <x:c r="D143" s="431" t="str">
        <x:v>The acceptance execution passed 22/22 scenarios and 44/44 complete four-output audits. All eight gate-failure families and all eleven relationship-failure families were covered; all 22 run pairs were identical after removing only run ID and run metadata; all 22 exact normalized publication hashes matched; no staged package contained expected/.</x:v>
      </x:c>
      <x:c r="E143" s="431" t="str">
        <x:v>Controlled benchmark execution / Exact oracle comparison / Output inspection</x:v>
      </x:c>
      <x:c r="F143" s="431" t="str">
        <x:v>runs/p4.1-development-acceptance-4cf9fe8-final/benchmark_report.json; runs/p4.1-development-acceptance-4cf9fe8-final/benchmark_report.md; implementation 4cf9fe8; P4.1-DEV-1; EV-139</x:v>
      </x:c>
      <x:c r="G143" s="431" t="str">
        <x:v>P4.1 execution evidence</x:v>
      </x:c>
      <x:c r="H143" s="431" t="str">
        <x:v>Accepted / Integration Pending</x:v>
      </x:c>
      <x:c r="I143" s="431" t="str">
        <x:v>Generated evidence is ignored runtime data outside versioned benchmark definitions. Protected held-out semantics were not executed or opened for tuning.</x:v>
      </x:c>
    </x:row>
    <x:row r="144" ht="648" customHeight="1">
      <x:c r="A144" s="431" t="str">
        <x:v>EV-141</x:v>
      </x:c>
      <x:c r="B144" s="431" t="n">
        <x:v>46224</x:v>
      </x:c>
      <x:c r="C144" s="431" t="str">
        <x:v>P4.1 regression, frozen-baseline, and improvement-loop proof</x:v>
      </x:c>
      <x:c r="D144" s="431" t="str">
        <x:v>Focused benchmark tests passed 5. The full suite passed 319 with one expected Windows skip at 88.57% coverage. Repository validation passed 5/5; Ruff, frozen v0.2 baseline 9/9, portfolio demo 2/2, and both hosted Linux CI jobs passed. An unsafe default baseline evidence path was detected, its timestamp-only tracked changes were restored, and IMP-021 plus AGENTS.md now require generated evidence paths.</x:v>
      </x:c>
      <x:c r="E144" s="431" t="str">
        <x:v>Local deterministic verification / Protected-diff check / Improvement loop</x:v>
      </x:c>
      <x:c r="F144" s="431" t="str">
        <x:v>docs/package_assurance/p4_1_development_benchmark_definition_and_review_v0.3.0.md; docs/quality/improvement_register.md; AGENTS.md; runs/p4.1-mvp-baseline-safe; runs/p4.1-portfolio-demo; D-109</x:v>
      </x:c>
      <x:c r="G144" s="431" t="str">
        <x:v>P4.1 verification closeout</x:v>
      </x:c>
      <x:c r="H144" s="431" t="str">
        <x:v>Accepted / Integration Pending</x:v>
      </x:c>
      <x:c r="I144" s="431" t="str">
        <x:v>D-109 was accepted on 2026-07-21. PR #61 integration remains before the exact main freeze and separate P4.2 authorization; all D-108 deferred capabilities remain blocked.</x:v>
      </x:c>
    </x:row>
    <x:row r="145" ht="612" customHeight="1">
      <x:c r="A145" s="431" t="str">
        <x:v>EV-142</x:v>
      </x:c>
      <x:c r="B145" s="431" t="n">
        <x:v>46224</x:v>
      </x:c>
      <x:c r="C145" s="431" t="str">
        <x:v>P4.1 cross-platform exact-oracle stabilization</x:v>
      </x:c>
      <x:c r="D145" s="431" t="str">
        <x:v>The first hosted Linux run failed only the malformed-manifest publication because a sanitized path used a Windows backslash locally and a POSIX slash in CI. Commit 4cf9fe8 canonicalizes stable error paths, adds direct missing/malformed-manifest assertions, changes only the affected oracle, and passes the complete exact matrix locally plus both hosted jobs.</x:v>
      </x:c>
      <x:c r="E145" s="431" t="str">
        <x:v>Hosted red/green CI / Cross-platform differential / Exact-oracle review</x:v>
      </x:c>
      <x:c r="F145" s="431" t="str">
        <x:v>src/mech_eval_harness/package_assurance/gates.py; tests/test_package_gates.py; benchmarks/package_assurance/development/pump_skid_clean_v1/development_benchmark_v1.json; PR #61 checks; IMP-022</x:v>
      </x:c>
      <x:c r="G145" s="431" t="str">
        <x:v>P4.1 portability evidence</x:v>
      </x:c>
      <x:c r="H145" s="431" t="str">
        <x:v>Accepted / Integration Pending</x:v>
      </x:c>
      <x:c r="I145" s="431" t="str">
        <x:v>No engineering outcome, state, hold, finding code, control status, evidence locator, fixture, held-out asset, or deferred claim changed. Stable path rendering and the derived finding ID are now operating-system independent.</x:v>
      </x:c>
    </x:row>
    <x:row r="146" ht="522" customHeight="1">
      <x:c r="A146" s="431" t="str">
        <x:v>EV-143</x:v>
      </x:c>
      <x:c r="B146" s="431" t="n">
        <x:v>46224</x:v>
      </x:c>
      <x:c r="C146" s="431" t="str">
        <x:v>P4.1 accepted integration and exact-main freeze</x:v>
      </x:c>
      <x:c r="D146" s="431" t="str">
        <x:v>D-109 and P4.1 were accepted; PR #61 merged the reviewed development benchmark at exact main 5a4d57e. The accepted implementation remains 4cf9fe8, P4.1-DEV-1 passes 22/22 scenarios twice, and final hosted push/PR checks are green.</x:v>
      </x:c>
      <x:c r="E146" s="431" t="str">
        <x:v>GitHub merge verification / Exact-main freeze / Accepted decision record</x:v>
      </x:c>
      <x:c r="F146" s="431" t="str">
        <x:v>PR #61; main 5a4d57e534bd5e900abac3c455cd484ef083e972; implementation 4cf9fe8; D-109; p4_1_development_benchmark_definition_and_review_v0.3.0.md</x:v>
      </x:c>
      <x:c r="G146" s="431" t="str">
        <x:v>P4.1 integration closeout</x:v>
      </x:c>
      <x:c r="H146" s="431" t="str">
        <x:v>Accepted</x:v>
      </x:c>
      <x:c r="I146" s="431" t="str">
        <x:v>P4.1 behavior and bounded four-state claim are frozen. P4.2 remained separately gated.</x:v>
      </x:c>
    </x:row>
    <x:row r="147" ht="558" customHeight="1">
      <x:c r="A147" s="431" t="str">
        <x:v>EV-144</x:v>
      </x:c>
      <x:c r="B147" s="431" t="n">
        <x:v>46224</x:v>
      </x:c>
      <x:c r="C147" s="431" t="str">
        <x:v>P4.2 held-out exposure and replacement-gate definition</x:v>
      </x:c>
      <x:c r="D147" s="431" t="str">
        <x:v>The implementation context exposed top-level held-out metadata before first execution. No protected/expected value was surfaced to or inspected by the implementation context, no audit ran, no result exists, and no behavior changed. Hosted CI later ran legacy integrity tests that load protected JSON without printing values. D-110 applies accepted contamination policy, preserves the family unchanged and unexecuted, and defines an isolated materially distinct replacement protocol with pre-first-run CI exclusion.</x:v>
      </x:c>
      <x:c r="E147" s="431" t="str">
        <x:v>Control-boundary review / Contamination classification / Replacement protocol</x:v>
      </x:c>
      <x:c r="F147" s="431" t="str">
        <x:v>docs/package_assurance/p4_2_held_out_contamination_and_replacement_gate_v0.3.0.md; AGENTS.md; docs/quality/improvement_register.md; D-110; I-006; IMP-023</x:v>
      </x:c>
      <x:c r="G147" s="431" t="str">
        <x:v>P4.2 recovery gate</x:v>
      </x:c>
      <x:c r="H147" s="431" t="str">
        <x:v>Accepted</x:v>
      </x:c>
      <x:c r="I147" s="431" t="str">
        <x:v>D-110 was accepted on 2026-07-21. P4.2 semantic execution, replacement authoring in this context, P4.3 release work, and held-out release claims remain blocked.</x:v>
      </x:c>
    </x:row>
    <x:row r="148" ht="522" customHeight="1">
      <x:c r="A148" s="431" t="str">
        <x:v>EV-145</x:v>
      </x:c>
      <x:c r="B148" s="431" t="n">
        <x:v>46224</x:v>
      </x:c>
      <x:c r="C148" s="431" t="str">
        <x:v>D-110 owner acceptance and isolated replacement authorization</x:v>
      </x:c>
      <x:c r="D148" s="431" t="str">
        <x:v>The project owner accepted D-110 and all recommended recovery controls. The exposed family remains unchanged, unexecuted, and release-ineligible. Authorization advances only to isolated replacement authoring, structural verification, and hash freeze; a separate owner decision remains mandatory before semantic execution.</x:v>
      </x:c>
      <x:c r="E148" s="431" t="str">
        <x:v>User decision / Gate acceptance / Scope authorization</x:v>
      </x:c>
      <x:c r="F148" s="431" t="str">
        <x:v>User instruction 2026-07-21; PR #62; docs/package_assurance/p4_2_held_out_contamination_and_replacement_gate_v0.3.0.md; D-110; I-006; IMP-023</x:v>
      </x:c>
      <x:c r="G148" s="431" t="str">
        <x:v>P4.2 replacement freeze authority</x:v>
      </x:c>
      <x:c r="H148" s="431" t="str">
        <x:v>Accepted</x:v>
      </x:c>
      <x:c r="I148" s="431" t="str">
        <x:v>No evaluator change, semantic run, public rerun, protected-value inspection by the implementation context, P4.3 work, or held-out release claim was authorized.</x:v>
      </x:c>
    </x:row>
    <x:row r="149" ht="675" customHeight="1">
      <x:c r="A149" s="431" t="str">
        <x:v>EV-146</x:v>
      </x:c>
      <x:c r="B149" s="431" t="n">
        <x:v>46224</x:v>
      </x:c>
      <x:c r="C149" s="431" t="str">
        <x:v>Isolated replacement authoring and hash freeze</x:v>
      </x:c>
      <x:c r="D149" s="431" t="str">
        <x:v>Public bundle P4.2-CUSTODIAN-EA45DCF-V1 supplied only approved contracts and schemas. Isolated authoring and disclosed recovery custodians produced FAM-HO-CONVEYOR-DRIVE-042, passed 326 structural/hash checks with zero failures, wrote the freeze record last, and recorded semantic execution count zero.</x:v>
      </x:c>
      <x:c r="E149" s="431" t="str">
        <x:v>Input-hash reproduction / Isolated custody / Structural validation / Pre-execution freeze</x:v>
      </x:c>
      <x:c r="F149" s="431" t="str">
        <x:v>p4_2_replacement_custodian_public_contract_v0.3.0.md; p4_2_replacement_custodian_input_manifest_v0.3.0.json; replacement freeze_record.public.json; complete-family SHA-256 e619c81854d9676b5d821a752e3b00e68d0072572cef64509d5cc9132a3e6ff6; IMP-024</x:v>
      </x:c>
      <x:c r="G149" s="431" t="str">
        <x:v>P4.2 replacement freeze</x:v>
      </x:c>
      <x:c r="H149" s="431" t="str">
        <x:v>Verified / Owner Review Pending</x:v>
      </x:c>
      <x:c r="I149" s="431" t="str">
        <x:v>Eight opaque scenarios and 210 family files are frozen. The implementation context did not inspect protected or scenario package values. No evaluator or semantic run occurred.</x:v>
      </x:c>
    </x:row>
    <x:row r="150" ht="657" customHeight="1">
      <x:c r="A150" s="431" t="str">
        <x:v>EV-147</x:v>
      </x:c>
      <x:c r="B150" s="431" t="n">
        <x:v>46224</x:v>
      </x:c>
      <x:c r="C150" s="431" t="str">
        <x:v>Independent freeze and opaque-import verification</x:v>
      </x:c>
      <x:c r="D150" s="431" t="str">
        <x:v>A separate fresh verifier passed 14/14 controls with zero leakage, hash mismatch, freeze-order violation, or family modification. A separate import verifier matched 210/210 files byte-for-byte and reproduced the complete-family hash at both roots.</x:v>
      </x:c>
      <x:c r="E150" s="431" t="str">
        <x:v>Independent structural review / Protected aggregate review / SHA-256 reproduction / Opaque import comparison</x:v>
      </x:c>
      <x:c r="F150" s="431" t="str">
        <x:v>p4_2_replacement_independent_verification_v0.3.0.json; p4_2_replacement_independent_verification_v0.3.0.md; p4_2_replacement_import_verification_v0.3.0.json; producer hash da154aed...8867; protected hash 2b383800...c6e; family hash e619c818...e6ff6</x:v>
      </x:c>
      <x:c r="G150" s="431" t="str">
        <x:v>P4.2 independent verification</x:v>
      </x:c>
      <x:c r="H150" s="431" t="str">
        <x:v>Pass</x:v>
      </x:c>
      <x:c r="I150" s="431" t="str">
        <x:v>All eight manifests and all eleven clean relationship contracts passed. The protected matrix met accepted aggregate requirements. Semantic execution count remains zero.</x:v>
      </x:c>
    </x:row>
    <x:row r="151" ht="675" customHeight="1">
      <x:c r="A151" s="431" t="str">
        <x:v>EV-148</x:v>
      </x:c>
      <x:c r="B151" s="431" t="n">
        <x:v>46224</x:v>
      </x:c>
      <x:c r="C151" s="431" t="str">
        <x:v>Pre-run regression and D-111 owner review package</x:v>
      </x:c>
      <x:c r="D151" s="431" t="str">
        <x:v>Safe checks that do not enumerate or load the new replacement pass: 32 focused tests; 319 full regression tests with one expected Windows skip; 88.57% coverage; repository validation 5/5; Ruff; frozen baseline 9/9; and portfolio demo 2/2. The owner freeze review proposes D-111 and preserves semantic execution count zero.</x:v>
      </x:c>
      <x:c r="E151" s="431" t="str">
        <x:v>Focused regression / Full frozen regression / Coverage / Repository validation / Lint / Baseline / Demo / Decision review</x:v>
      </x:c>
      <x:c r="F151" s="431" t="str">
        <x:v>docs/package_assurance/p4_2_replacement_freeze_review_v0.3.0.md; pytest; coverage; mech-eval validate; Ruff; generated baseline and demo evidence under runs/; D-111</x:v>
      </x:c>
      <x:c r="G151" s="431" t="str">
        <x:v>P4.2 pre-run acceptance package</x:v>
      </x:c>
      <x:c r="H151" s="431" t="str">
        <x:v>Ready for Owner Review</x:v>
      </x:c>
      <x:c r="I151" s="431" t="str">
        <x:v>The initial standalone pytest.exe collection error was an invocation-path issue; the accepted python -m pytest command passed. No replacement scenario or protected oracle was loaded or executed.</x:v>
      </x:c>
    </x:row>
    <x:row r="152" ht="585" customHeight="1">
      <x:c r="A152" s="431" t="str">
        <x:v>EV-149</x:v>
      </x:c>
      <x:c r="B152" s="431" t="n">
        <x:v>46224</x:v>
      </x:c>
      <x:c r="C152" s="431" t="str">
        <x:v>D-111 owner acceptance and first-run authorization</x:v>
      </x:c>
      <x:c r="D152" s="431" t="str">
        <x:v>The project owner accepted D-111 on 2026-07-21. Authority advances only after PR #63 merge and exact-main verification to independently verified oracle-blind staging and exactly one invocation per opaque scenario. Semantic execution count remains zero at acceptance.</x:v>
      </x:c>
      <x:c r="E152" s="431" t="str">
        <x:v>User decision / Gate acceptance / One-way execution authorization</x:v>
      </x:c>
      <x:c r="F152" s="431" t="str">
        <x:v>User instruction 2026-07-21; docs/package_assurance/p4_2_replacement_freeze_review_v0.3.0.md; PR #63; D-111; EV-146-EV-148; IMP-023-IMP-024</x:v>
      </x:c>
      <x:c r="G152" s="431" t="str">
        <x:v>P4.2 first-run authority</x:v>
      </x:c>
      <x:c r="H152" s="431" t="str">
        <x:v>Accepted / Integration Pending</x:v>
      </x:c>
      <x:c r="I152" s="431" t="str">
        <x:v>No semantic run, retry, tuning, input or evaluator change, protected comparison, P4.3 work, or release claim occurred at acceptance. Raw evidence must be frozen before a separate protected comparison.</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46224</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P4.2 D-111 accepted; integration and first-run staging pending</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Replacement FAM-HO-CONVEYOR-DRIVE-042 is isolated, frozen, independently verified 14/14, and imported byte-exact at 210/210 files. D-111 is accepted; semantic execution count remains zero.</x:v>
      </x:c>
      <x:c r="E7" s="765" t="str">
        <x:v>Product interpretation</x:v>
      </x:c>
      <x:c r="F7" s="431" t="str">
        <x:v>Successful kernel; not yet a complete economically useful workflow.</x:v>
      </x:c>
      <x:c r="G7" s="765" t="str">
        <x:v>Response</x:v>
      </x:c>
      <x:c r="H7" s="431" t="str">
        <x:v>Integrate PR #63, record exact main, independently verify oracle-blind staging, then run each opaque scenario once.</x:v>
      </x:c>
    </x:row>
    <x:row r="8" ht="153" hidden="0" customHeight="1">
      <x:c r="A8" s="765" t="str">
        <x:v>Immediate next action</x:v>
      </x:c>
      <x:c r="B8" s="431" t="str">
        <x:v>Complete D-111 integration and execute the one-way first-run protocol with raw evidence frozen before protected comparison.</x:v>
      </x:c>
      <x:c r="C8" s="765" t="str">
        <x:v>Selected vertical</x:v>
      </x:c>
      <x:c r="D8" s="431" t="str">
        <x:v>PR #63 merge and exact-main freeze -&gt; isolated oracle-blind staging -&gt; one run per opaque scenario -&gt; freeze raw evidence -&gt; protected aggregate comparison -&gt; owner result review.</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720" hidden="0" customHeight="1">
      <x:c r="A41" s="604" t="str">
        <x:v>Immediate implication</x:v>
      </x:c>
      <x:c r="B41" s="605"/>
      <x:c r="C41" s="606" t="str">
        <x:v>PR #62 integrated D-110 at exact main ea45dcf. The exposed instrument-air family remains unchanged, unexecuted, and release-ineligible. Isolated public bundle P4.2-CUSTODIAN-EA45DCF-V1 produced replacement FAM-HO-CONVEYOR-DRIVE-042 without evaluator, repository, prior benchmark, result, external path, or network access. Recovery custodians passed 326 structural/hash checks and wrote the freeze record last; a separate verifier passed 14/14 controls; and an isolated import verifier proved all 210 files byte-identical at complete-family hash e619c81854d9676b5d821a752e3b00e68d0072572cef64509d5cc9132a3e6ff6. Safe pre-run verification is 32 focused, 319/1 full, 88.57% coverage, repository validation 5/5, Ruff, baseline 9/9, demo 2/2, and both hosted PR #63 CI jobs. The project owner accepted D-111 on 2026-07-21. Merge PR #63 and record exact main before staging. The runner must have evaluator and producer packages but no protected oracle, invoke each opaque scenario exactly once, and preserve every raw output and failure before a separate custodian compares results. No retry, tuning, input or behavior change, P4.3 work, public rerun, or release claim is authorized.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c4b238633ded44dd"/>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The accepted structured audit implements six P2.3 checks for BOM/equipment, drawing presence, datasheet authority/association/manifest reciprocity, and specification revision history. Six unsupported claims are explicitly deferred.</x:v>
      </x:c>
      <x:c r="E13" s="431" t="str">
        <x:v>P3.3</x:v>
      </x:c>
      <x:c r="F13" s="662" t="n">
        <x:v>4</x:v>
      </x:c>
      <x:c r="G13" s="431" t="n">
        <x:v>3</x:v>
      </x:c>
      <x:c r="H13" s="431" t="n">
        <x:v>4</x:v>
      </x:c>
      <x:c r="I13" s="429" t="n">
        <x:f>$B$1+(G13-1)*7</x:f>
        <x:v>46230</x:v>
      </x:c>
      <x:c r="J13" s="429" t="n">
        <x:f>$B$1+H13*7-1</x:f>
        <x:v>46243</x:v>
      </x:c>
      <x:c r="K13" s="431" t="str">
        <x:v>Complete</x:v>
      </x:c>
      <x:c r="L13" s="664" t="n">
        <x:v>1</x:v>
      </x:c>
      <x:c r="M13" s="662" t="n">
        <x:f>SUMIF('Work Block Log'!$E$5:$E$200,A13,'Work Block Log'!$F$5:$F$200)</x:f>
        <x:v>0</x:v>
      </x:c>
      <x:c r="N13" s="662" t="n">
        <x:f>MAX(F13*(1-L13),0)</x:f>
        <x:v>0</x:v>
      </x:c>
      <x:c r="O13" s="662" t="n">
        <x:f>M13-F13</x:f>
        <x:v>-4</x:v>
      </x:c>
      <x:c r="P13" s="431" t="str">
        <x:v>checks 6-11 integrated; PR #59 exact main 69c0d1b; D-085-D-108; EV-082-EV-138; eight gates; eleven checks; clean 11/11; isolated fault proofs; six unsupported claims explicitly deferred; v0.3 claim boundary frozen</x:v>
      </x:c>
      <x:c r="Q13" s="431" t="str">
        <x:v>P2.3 is complete. Begin P4.1 development benchmark regression and fault-injection coverage on a separate branch.</x:v>
      </x:c>
      <x:c r="R13" s="431" t="str">
        <x:v>v0.3.0 claims are limited to the eight gates, eleven checks, state router, and four outputs. Quantity, part/material, BOM-item/drawing, equipment/specification, datasheet-revision, and controlled technical-value reconciliation are deferred.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03"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Complete</x:v>
      </x:c>
      <x:c r="L18" s="664" t="n">
        <x:v>1</x:v>
      </x:c>
      <x:c r="M18" s="662" t="n">
        <x:f>SUMIF('Work Block Log'!$E$5:$E$200,A18,'Work Block Log'!$F$5:$F$200)</x:f>
        <x:v>0</x:v>
      </x:c>
      <x:c r="N18" s="662" t="n">
        <x:f>MAX(F18*(1-L18),0)</x:f>
        <x:v>0</x:v>
      </x:c>
      <x:c r="O18" s="662" t="n">
        <x:f>M18-F18</x:f>
        <x:v>-3</x:v>
      </x:c>
      <x:c r="P18" s="431" t="str">
        <x:v>PR #61 exact main 5a4d57e; implementation 4cf9fe8; P4.1-DEV-1; D-109 accepted; EV-139-EV-143; IMP-020-IMP-022; 22/22 scenarios; 44/44 publications; 8/8 gates; 11/11 checks; full 319/1; hosted Linux CI green</x:v>
      </x:c>
      <x:c r="Q18" s="431" t="str">
        <x:v>P4.1 is accepted and closed; preserve its exact evaluator and runner behavior while P4.2 replacement controls are reviewed.</x:v>
      </x:c>
      <x:c r="R18" s="431" t="str">
        <x:v>Four result states have genuine full-package evidence; engineering_review_required and evaluator_uncertainty remain router/exit contract only under D-109.</x:v>
      </x:c>
      <x:c r="S18" s="669"/>
      <x:c r="T18" s="669"/>
      <x:c r="U18" s="669"/>
      <x:c r="V18" s="669"/>
      <x:c r="W18" s="669" t="str">
        <x:v>■</x:v>
      </x:c>
      <x:c r="X18" s="669"/>
    </x:row>
    <x:row r="19" ht="675"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D-111 Accepted / Integration Pending</x:v>
      </x:c>
      <x:c r="L19" s="664" t="n">
        <x:v>0.72</x:v>
      </x:c>
      <x:c r="M19" s="662" t="n">
        <x:f>SUMIF('Work Block Log'!$E$5:$E$200,A19,'Work Block Log'!$F$5:$F$200)</x:f>
        <x:v>0</x:v>
      </x:c>
      <x:c r="N19" s="662" t="n">
        <x:f>MAX(F19*(1-L19),0)</x:f>
        <x:v>0.8400000000000001</x:v>
      </x:c>
      <x:c r="O19" s="662" t="n">
        <x:f>M19-F19</x:f>
        <x:v>-3</x:v>
      </x:c>
      <x:c r="P19" s="431" t="str">
        <x:v>codex/p4.2-held-out-replacement-freeze; PR #63 draft; PR #62 exact main ea45dcf; D-111 accepted; FAM-HO-CONVEYOR-DRIVE-042; 326/0 custodian; 14/14 independent; 210/210 byte-exact; family hash e619c818...e6ff6; EV-144-EV-149; I-006; IMP-023-IMP-024; semantic runs 0</x:v>
      </x:c>
      <x:c r="Q19" s="431" t="str">
        <x:v>Mark PR #63 ready, merge after green checks, record exact main, then independently verify oracle-blind first-run staging.</x:v>
      </x:c>
      <x:c r="R19" s="431" t="str">
        <x:v>D-111 authorizes one invocation per opaque scenario after integration only. Preserve raw evidence before protected comparison. No retry, tuning, evaluator/input change, P4.3 work, or release claim is authorized.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0.8513043478260869</x:v>
      </x:c>
      <x:c r="M24" s="683" t="n">
        <x:f>SUM(M6:M22)</x:f>
        <x:v>0</x:v>
      </x:c>
      <x:c r="N24" s="683" t="n">
        <x:f>SUM(N6:N22)</x:f>
        <x:v>6.84</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P4.2 First-Run Authorization</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P4.2 - accepted replacement freeze integration</x:v>
      </x:c>
      <x:c r="H4" s="697"/>
    </x:row>
    <x:row r="5" ht="72" customHeight="1">
      <x:c r="A5" s="688" t="str">
        <x:v>Schedule Baseline</x:v>
      </x:c>
      <x:c r="B5" s="693" t="str">
        <x:v>Legacy only; not controlling</x:v>
      </x:c>
      <x:c r="C5" s="691"/>
      <x:c r="D5" s="691"/>
      <x:c r="F5" s="696" t="str">
        <x:v>Objective</x:v>
      </x:c>
      <x:c r="G5" s="697" t="str">
        <x:v>Integrate the accepted freeze at exact main, then perform the isolated one-way first run.</x:v>
      </x:c>
      <x:c r="H5" s="697"/>
    </x:row>
    <x:row r="6" ht="63" customHeight="1">
      <x:c r="A6" s="688" t="str">
        <x:v>Time Tracking</x:v>
      </x:c>
      <x:c r="B6" s="693" t="str">
        <x:v>Waived prospectively</x:v>
      </x:c>
      <x:c r="C6" s="691"/>
      <x:c r="D6" s="691"/>
      <x:c r="F6" s="696" t="str">
        <x:v>Gate Status</x:v>
      </x:c>
      <x:c r="G6" s="697" t="str">
        <x:v>D-111 accepted; 8 opaque scenarios; 210 files; semantic runs remain 0.</x:v>
      </x:c>
      <x:c r="H6" s="697"/>
    </x:row>
    <x:row r="7" ht="81" customHeight="1">
      <x:c r="A7" s="688" t="str">
        <x:v>Current Gate</x:v>
      </x:c>
      <x:c r="B7" s="694" t="str">
        <x:v>D-111 accepted; PR #63 integration and exact-main staging pending</x:v>
      </x:c>
      <x:c r="C7" s="691"/>
      <x:c r="D7" s="691"/>
      <x:c r="F7" s="696" t="str">
        <x:v>Definition of Done</x:v>
      </x:c>
      <x:c r="G7" s="697" t="str">
        <x:v>Exactly eight single invocations with raw outputs and invocation evidence frozen before protected comparison.</x:v>
      </x:c>
      <x:c r="H7" s="697"/>
    </x:row>
    <x:row r="8" ht="63" customHeight="1">
      <x:c r="A8" s="688" t="str">
        <x:v>Released Kernel</x:v>
      </x:c>
      <x:c r="B8" s="691" t="str">
        <x:v>v0.2.0 / commit 45336a2</x:v>
      </x:c>
      <x:c r="C8" s="691"/>
      <x:c r="D8" s="691"/>
      <x:c r="F8" s="696" t="str">
        <x:v>Immediate Next Action</x:v>
      </x:c>
      <x:c r="G8" s="697" t="str">
        <x:v>Mark PR #63 ready, merge it, record exact main, and independently verify the oracle-blind runner bundle.</x:v>
      </x:c>
      <x:c r="H8" s="697"/>
    </x:row>
    <x:row r="9" ht="72" customHeight="1">
      <x:c r="A9" s="688" t="str">
        <x:v>Release Target</x:v>
      </x:c>
      <x:c r="B9" s="691" t="str">
        <x:v>v0.3.0</x:v>
      </x:c>
      <x:c r="C9" s="691"/>
      <x:c r="D9" s="691"/>
      <x:c r="F9" s="696" t="str">
        <x:v>Primary Risk</x:v>
      </x:c>
      <x:c r="G9" s="697" t="str">
        <x:v>Primary risk: oracle leakage, retry, or post-freeze evaluator/input change invalidates the held-out claim.</x:v>
      </x:c>
      <x:c r="H9" s="697"/>
    </x:row>
    <x:row r="10" ht="81" customHeight="1">
      <x:c r="A10" s="688" t="str">
        <x:v>Baseline Test Count</x:v>
      </x:c>
      <x:c r="B10" s="691" t="n">
        <x:v>121</x:v>
      </x:c>
      <x:c r="C10" s="691"/>
      <x:c r="D10" s="691"/>
      <x:c r="F10" s="696" t="str">
        <x:v>Deferred</x:v>
      </x:c>
      <x:c r="G10" s="697" t="str">
        <x:v>Protected comparison is deferred until raw evidence freeze; evaluator changes, P4.3, public reruns, and release claims remain blocked.</x:v>
      </x:c>
      <x:c r="H10" s="697"/>
    </x:row>
    <x:row r="11" ht="63" customHeight="1">
      <x:c r="A11" s="688" t="str">
        <x:v>Fixture Package Families</x:v>
      </x:c>
      <x:c r="B11" s="691" t="n">
        <x:v>2</x:v>
      </x:c>
      <x:c r="C11" s="691"/>
      <x:c r="D11" s="691"/>
      <x:c r="F11" s="696" t="str">
        <x:v>Data Boundary</x:v>
      </x:c>
      <x:c r="G11" s="697" t="str">
        <x:v>Complete-family hash e619c818...e6ff6; runner must have no protected-oracle access.</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Accepted</x:v>
      </x:c>
      <x:c r="C17" s="699" t="str">
        <x:v>P2.3 complete at D-108</x:v>
      </x:c>
      <x:c r="D17" s="700" t="n">
        <x:v>1</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D-111 Accepted / Integration Pending</x:v>
      </x:c>
      <x:c r="C19" s="699" t="str">
        <x:v>PR #63 merge and exact-main freeze required</x:v>
      </x:c>
      <x:c r="D19" s="700" t="n">
        <x:v>0.72</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Accepted</x:v>
      </x:c>
      <x:c r="F49" s="431" t="str">
        <x:v>codex/p2.3-specification-revision-history</x:v>
      </x:c>
      <x:c r="G49" s="431" t="str">
        <x:v>D-106-D-107; EV-133-EV-137; PR #59 exact main 69c0d1b; clean 11/11; wrong-spec automatic_fail/hold/exit-1/four outputs; focused 99; full 314/1; coverage 88.48%</x:v>
      </x:c>
      <x:c r="H49" s="431" t="str">
        <x:v>Jason</x:v>
      </x:c>
    </x:row>
    <x:row r="50" ht="450" customHeight="1">
      <x:c r="A50" s="431" t="n">
        <x:v>27</x:v>
      </x:c>
      <x:c r="B50" s="431" t="str">
        <x:v>P2.3 / P4.1</x:v>
      </x:c>
      <x:c r="C50" s="431" t="str">
        <x:v>P2.3 completion and benchmark entry</x:v>
      </x:c>
      <x:c r="D50" s="431" t="str">
        <x:v>Close P2.3 for the exact eight-gate and eleven-check scope; defer six unsupported claims; freeze bounded v0.3.0 language; authorize development benchmark regression without protected held-out semantic execution.</x:v>
      </x:c>
      <x:c r="E50" s="431" t="str">
        <x:v>Accepted / P4.1 Active</x:v>
      </x:c>
      <x:c r="F50" s="431" t="str">
        <x:v>codex/p2.3-completion-claim-boundary</x:v>
      </x:c>
      <x:c r="G50" s="431" t="str">
        <x:v>D-107-D-108; EV-137-EV-138; PR #59 exact main 69c0d1b; p2_3_completion_and_claim_boundary_v0.3.0.md; six gaps deferred; P4.1 authorized; P4.2 blocked</x:v>
      </x:c>
      <x:c r="H50" s="431" t="str">
        <x:v>Jason</x:v>
      </x:c>
    </x:row>
    <x:row r="51" ht="450" customHeight="1">
      <x:c r="A51" s="431" t="n">
        <x:v>28</x:v>
      </x:c>
      <x:c r="B51" s="431" t="str">
        <x:v>P4.1</x:v>
      </x:c>
      <x:c r="C51" s="431" t="str">
        <x:v>Development benchmark and fault injection</x:v>
      </x:c>
      <x:c r="D51" s="431" t="str">
        <x:v>Verify the accepted clean baseline; generate 21 controlled faults; execute all 22 development scenarios twice; compare exact normalized four-output oracles; preserve evidence; separate genuine full-audit state coverage from router-only capability.</x:v>
      </x:c>
      <x:c r="E51" s="431" t="str">
        <x:v>Complete</x:v>
      </x:c>
      <x:c r="F51" s="431" t="str">
        <x:v>codex/p4.1-development-benchmark</x:v>
      </x:c>
      <x:c r="G51" s="431" t="str">
        <x:v>PR #61 exact main 5a4d57e; implementation 4cf9fe8; P4.1-DEV-1; D-109 accepted; EV-139-EV-143; 22/22 scenarios; 44/44 publications; 8/8 gates; 11/11 checks; hosted Linux CI green</x:v>
      </x:c>
      <x:c r="H51" s="431" t="str">
        <x:v>Jason</x:v>
      </x:c>
    </x:row>
    <x:row r="52" ht="486" customHeight="1">
      <x:c r="A52" s="431" t="n">
        <x:v>29</x:v>
      </x:c>
      <x:c r="B52" s="431" t="str">
        <x:v>P4.2</x:v>
      </x:c>
      <x:c r="C52" s="431" t="str">
        <x:v>Held-out replacement freeze and first-run gate</x:v>
      </x:c>
      <x:c r="D52" s="431" t="str">
        <x:v>Preserve the contaminated prior family; freeze a materially distinct replacement through isolated custody; independently verify and import it; obtain a separate owner decision before one-way semantic execution.</x:v>
      </x:c>
      <x:c r="E52" s="431" t="str">
        <x:v>D-111 Accepted / Integration Pending</x:v>
      </x:c>
      <x:c r="F52" s="431" t="str">
        <x:v>codex/p4.2-held-out-replacement-freeze</x:v>
      </x:c>
      <x:c r="G52" s="431" t="str">
        <x:v>PR #63 merge pending; PR #62 exact main ea45dcf; FAM-HO-CONVEYOR-DRIVE-042; 326/0 custodian; 14/14 independent; 210/210 byte-exact; family hash e619c818...e6ff6; EV-144-EV-149; I-006; IMP-023-IMP-024; semantic runs 0</x:v>
      </x:c>
      <x:c r="H52"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