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088e3dd6233d4c56" /></Relationships>
</file>

<file path=xl/workbook.xml><?xml version="1.0" encoding="utf-8"?>
<x:workbook xmlns:x="http://schemas.openxmlformats.org/spreadsheetml/2006/main">
  <x:sheets>
    <x:sheet xmlns:r="http://schemas.openxmlformats.org/officeDocument/2006/relationships" name="Start Here" sheetId="1" r:id="Rc8fb31324fa44c92"/>
    <x:sheet xmlns:r="http://schemas.openxmlformats.org/officeDocument/2006/relationships" name="Executive Gantt" sheetId="2" r:id="Re29dd9f175f84a60"/>
    <x:sheet xmlns:r="http://schemas.openxmlformats.org/officeDocument/2006/relationships" name="Detailed Gantt" sheetId="3" r:id="R642c2428eb8846f2"/>
    <x:sheet xmlns:r="http://schemas.openxmlformats.org/officeDocument/2006/relationships" name="Weekly Control" sheetId="4" r:id="R3498fa8e6edc48c1"/>
    <x:sheet xmlns:r="http://schemas.openxmlformats.org/officeDocument/2006/relationships" name="Phase Summary" sheetId="5" r:id="R30c2201057464ce6"/>
    <x:sheet xmlns:r="http://schemas.openxmlformats.org/officeDocument/2006/relationships" name="Assumptions &amp; Gates" sheetId="6" r:id="R4dd79e8affc040b3"/>
    <x:sheet xmlns:r="http://schemas.openxmlformats.org/officeDocument/2006/relationships" name="Sources" sheetId="7" r:id="Ree51607d359e4d3e"/>
    <x:sheet xmlns:r="http://schemas.openxmlformats.org/officeDocument/2006/relationships" name="Legacy Baseline" sheetId="8" r:id="Re26ac9023ecd4ca3"/>
    <x:sheet xmlns:r="http://schemas.openxmlformats.org/officeDocument/2006/relationships" name="Work Block Log" sheetId="9" r:id="R56537561abe545df"/>
    <x:sheet xmlns:r="http://schemas.openxmlformats.org/officeDocument/2006/relationships" name="Decision Register" sheetId="10" r:id="Rb63328a17d864941"/>
    <x:sheet xmlns:r="http://schemas.openxmlformats.org/officeDocument/2006/relationships" name="Risks &amp; Issues" sheetId="11" r:id="Rfdec69c54bcd4df8"/>
    <x:sheet xmlns:r="http://schemas.openxmlformats.org/officeDocument/2006/relationships" name="Evidence Register" sheetId="12" r:id="Rc6c81899321c46cd"/>
    <x:sheet xmlns:r="http://schemas.openxmlformats.org/officeDocument/2006/relationships" name="Expansion Backlog" sheetId="13" r:id="Re81f031b82144046"/>
    <x:sheet xmlns:r="http://schemas.openxmlformats.org/officeDocument/2006/relationships" name="AI Context" sheetId="14" r:id="Rc8a0a228f9bc46b1"/>
    <x:sheet xmlns:r="http://schemas.openxmlformats.org/officeDocument/2006/relationships" name="MVP Dashboard" sheetId="15" r:id="R7b201e3b480a4b19"/>
    <x:sheet xmlns:r="http://schemas.openxmlformats.org/officeDocument/2006/relationships" name="Product Vision" sheetId="16" r:id="R61933e728469497e"/>
    <x:sheet xmlns:r="http://schemas.openxmlformats.org/officeDocument/2006/relationships" name="Pilot Gantt" sheetId="17" r:id="R0144276981ae44ff"/>
    <x:sheet xmlns:r="http://schemas.openxmlformats.org/officeDocument/2006/relationships" name="Pilot Dashboard" sheetId="18" r:id="Rc10803ed39674f71"/>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<x:sst xmlns:x="http://schemas.openxmlformats.org/spreadsheetml/2006/main">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</x:sst>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c8a2a5cf6f2848fc" /><Relationship Type="http://schemas.openxmlformats.org/officeDocument/2006/relationships/theme" Target="/xl/theme/theme1.xml" Id="R0d7498ad2e4149c2" /><Relationship Type="http://schemas.openxmlformats.org/officeDocument/2006/relationships/sharedStrings" Target="/xl/sharedStrings.xml" Id="Rd3dc9656c1bc42b6" /><Relationship Type="http://schemas.openxmlformats.org/officeDocument/2006/relationships/worksheet" Target="/xl/worksheets/sheet1.xml" Id="Rc8fb31324fa44c92" /><Relationship Type="http://schemas.openxmlformats.org/officeDocument/2006/relationships/worksheet" Target="/xl/worksheets/sheet2.xml" Id="Re29dd9f175f84a60" /><Relationship Type="http://schemas.openxmlformats.org/officeDocument/2006/relationships/worksheet" Target="/xl/worksheets/sheet3.xml" Id="R642c2428eb8846f2" /><Relationship Type="http://schemas.openxmlformats.org/officeDocument/2006/relationships/worksheet" Target="/xl/worksheets/sheet4.xml" Id="R3498fa8e6edc48c1" /><Relationship Type="http://schemas.openxmlformats.org/officeDocument/2006/relationships/worksheet" Target="/xl/worksheets/sheet5.xml" Id="R30c2201057464ce6" /><Relationship Type="http://schemas.openxmlformats.org/officeDocument/2006/relationships/worksheet" Target="/xl/worksheets/sheet6.xml" Id="R4dd79e8affc040b3" /><Relationship Type="http://schemas.openxmlformats.org/officeDocument/2006/relationships/worksheet" Target="/xl/worksheets/sheet7.xml" Id="Ree51607d359e4d3e" /><Relationship Type="http://schemas.openxmlformats.org/officeDocument/2006/relationships/worksheet" Target="/xl/worksheets/sheet8.xml" Id="Re26ac9023ecd4ca3" /><Relationship Type="http://schemas.openxmlformats.org/officeDocument/2006/relationships/worksheet" Target="/xl/worksheets/sheet9.xml" Id="R56537561abe545df" /><Relationship Type="http://schemas.openxmlformats.org/officeDocument/2006/relationships/worksheet" Target="/xl/worksheets/sheet10.xml" Id="Rb63328a17d864941" /><Relationship Type="http://schemas.openxmlformats.org/officeDocument/2006/relationships/worksheet" Target="/xl/worksheets/sheet11.xml" Id="Rfdec69c54bcd4df8" /><Relationship Type="http://schemas.openxmlformats.org/officeDocument/2006/relationships/worksheet" Target="/xl/worksheets/sheet12.xml" Id="Rc6c81899321c46cd" /><Relationship Type="http://schemas.openxmlformats.org/officeDocument/2006/relationships/worksheet" Target="/xl/worksheets/sheet13.xml" Id="Re81f031b82144046" /><Relationship Type="http://schemas.openxmlformats.org/officeDocument/2006/relationships/worksheet" Target="/xl/worksheets/sheet14.xml" Id="Rc8a0a228f9bc46b1" /><Relationship Type="http://schemas.openxmlformats.org/officeDocument/2006/relationships/worksheet" Target="/xl/worksheets/sheet15.xml" Id="R7b201e3b480a4b19" /><Relationship Type="http://schemas.openxmlformats.org/officeDocument/2006/relationships/worksheet" Target="/xl/worksheets/sheet16.xml" Id="R61933e728469497e" /><Relationship Type="http://schemas.openxmlformats.org/officeDocument/2006/relationships/worksheet" Target="/xl/worksheets/sheet17.xml" Id="R0144276981ae44ff" /><Relationship Type="http://schemas.openxmlformats.org/officeDocument/2006/relationships/worksheet" Target="/xl/worksheets/sheet18.xml" Id="Rc10803ed39674f71" /></Relationships>
</file>

<file path=xl/drawings/_rels/drawing1.xml.rels>&#65279;<?xml version="1.0" encoding="utf-8"?><Relationships xmlns="http://schemas.openxmlformats.org/package/2006/relationships"><Relationship Type="http://schemas.openxmlformats.org/officeDocument/2006/relationships/chart" Target="/xl/drawings/charts/chart1.xml" Id="R44cfa1ac48754684" /></Relationships>
</file>

<file path=xl/drawings/_rels/drawing2.xml.rels>&#65279;<?xml version="1.0" encoding="utf-8"?><Relationships xmlns="http://schemas.openxmlformats.org/package/2006/relationships"><Relationship Type="http://schemas.openxmlformats.org/officeDocument/2006/relationships/chart" Target="/xl/drawings/charts/chart2.xml" Id="Ra17bea447d3748aa" /></Relationships>
</file>

<file path=xl/drawings/_rels/drawing3.xml.rels>&#65279;<?xml version="1.0" encoding="utf-8"?><Relationships xmlns="http://schemas.openxmlformats.org/package/2006/relationships"><Relationship Type="http://schemas.openxmlformats.org/officeDocument/2006/relationships/chart" Target="/xl/drawings/charts/chart3.xml" Id="R2e12c7fc81e742ef"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44cfa1ac48754684"/>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17bea447d3748aa"/>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e12c7fc81e742ef"/>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31fdd83dd51e4943" /></Relationships>
</file>

<file path=xl/worksheets/_rels/sheet5.xml.rels>&#65279;<?xml version="1.0" encoding="utf-8"?><Relationships xmlns="http://schemas.openxmlformats.org/package/2006/relationships"><Relationship Type="http://schemas.openxmlformats.org/officeDocument/2006/relationships/drawing" Target="/xl/drawings/drawing2.xml" Id="Rfb8dc32bba46474c" /></Relationships>
</file>

<file path=xl/worksheets/_rels/sheet15.xml.rels>&#65279;<?xml version="1.0" encoding="utf-8"?><Relationships xmlns="http://schemas.openxmlformats.org/package/2006/relationships"><Relationship Type="http://schemas.openxmlformats.org/officeDocument/2006/relationships/drawing" Target="/xl/drawings/drawing3.xml" Id="Rbcdead6825d44205"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P2.3 equipment datasheet authority presence implementation review 2026-07-20</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P2.3 D-102 check 8 implementation and D-103 review gate</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P2.3 - equipment datasheet authority presence implementation review</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D-103; check 9 remains blocked</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333" hidden="0" customHeight="1">
      <x:c r="A28" s="597" t="str">
        <x:v>D-102 is accepted and PR #54 merged the OpenFlexure confirmation at exact main b0b32bb. Check 8, equipment_datasheet_authority_presence, is now implemented as the eighth ordered relationship check under exact AUTH-SPEC-001. The clean development package passes 8/8 checks. Removing DSMETA-001 produces one high-severity missing_authoritative_information hold for ITEM-PUMP-001 / P-101A, CLI exit 3, and exactly four schema-valid outputs; competing records are also detected deterministically. The manual proof preserves one earlier BOM-encoded source failure and a fresh BOM-free intended run. Focused 111, full 295/1, coverage 87.71%, validation 5/5, Ruff, baseline 9/9, and demo 2/2 pass. EV-116-EV-119 preserve acceptance, implementation, output, and regression evidence. D-103 proposes accepting check 8 and authorizing check 9 only.</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31fdd83dd51e4943"/>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fb8dc32bba46474c"/>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Proposed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CEO accepts or revises check 8 and the check-9-only authorization. If accepted, merge this implementation and compare BOM datasheet_id with the single authoritative metadata datasheet_id. Keep checks 10-11, authority gaps, public reruns, held-out semantics, and deferred capabilities blocked.</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x:c r="A24" s="78"/>
      <x:c r="B24" s="78"/>
      <x:c r="C24" s="78"/>
      <x:c r="D24" s="78"/>
      <x:c r="E24" s="78"/>
      <x:c r="F24" s="78"/>
      <x:c r="G24" s="78"/>
      <x:c r="H24" s="78"/>
      <x:c r="I24" s="78"/>
      <x:c r="J24" s="78"/>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Ready for CEO review</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Ready for CEO review</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Ready for CEO review</x:v>
      </x:c>
      <x:c r="I122" s="431" t="str">
        <x:v>No accepted fixture, authority map, schema, golden, held-out asset, historical result, v0.2 behavior, or acceptance criterion changed.</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46223</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check 8 implemented; D-103 review required</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Eight relationship checks are implemented. Check 8 proves one authoritative datasheet record per release-required equipment tag and routes missing or competing records to a release hold. BOM-to-datasheet ID agreement remains unimplemented check 9.</x:v>
      </x:c>
      <x:c r="E7" s="765" t="str">
        <x:v>Product interpretation</x:v>
      </x:c>
      <x:c r="F7" s="431" t="str">
        <x:v>Successful kernel; not yet a complete economically useful workflow.</x:v>
      </x:c>
      <x:c r="G7" s="765" t="str">
        <x:v>Response</x:v>
      </x:c>
      <x:c r="H7" s="431" t="str">
        <x:v>Review D-103 before check 9 or any new capability.</x:v>
      </x:c>
    </x:row>
    <x:row r="8" ht="153" hidden="0" customHeight="1">
      <x:c r="A8" s="765" t="str">
        <x:v>Immediate next action</x:v>
      </x:c>
      <x:c r="B8" s="431" t="str">
        <x:v>Accept or revise D-103: accept check 8 and authorize equipment_datasheet_association only.</x:v>
      </x:c>
      <x:c r="C8" s="765" t="str">
        <x:v>Selected vertical</x:v>
      </x:c>
      <x:c r="D8" s="431" t="str">
        <x:v>Check 8 review -&gt; D-103 -&gt; check 9 -&gt; checks 10-11 one reviewed slice each -&gt; authority-gap decision -&gt; P4 benchmark -&gt; terminal demo.</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333" hidden="0" customHeight="1">
      <x:c r="A41" s="604" t="str">
        <x:v>Immediate implication</x:v>
      </x:c>
      <x:c r="B41" s="605"/>
      <x:c r="C41" s="606" t="str">
        <x:v>D-102 was accepted and PR #54 merged the OpenFlexure confirmation at exact main b0b32bb. Check 8 is implemented in a separate datasheet-domain module and appended after the seven accepted checks without changing their behavior. It requires exactly one release-required datasheet metadata record per release-required BOM equipment tag under exact AUTH-SPEC-001. Zero or competing records produce a high-severity missing_authoritative_information hold with deterministic BOM and datasheet collection evidence. Clean run RUN-20260721T025957813425Z-a7aee64f passes 8/8 with exit 0. Fault run RUN-20260721T025913235840Z-be4840eb returns exit 3, one FND-55D33CACFBF70823 finding, and exactly four schema-valid outputs. Focused 111, full 295/1, coverage 87.71%, validation 5/5, Ruff, baseline 9/9, and demo 2/2 pass. No accepted package, authority map, schema, golden, held-out asset, or v0.2 behavior changed. D-103 proposes check 9 only; checks 10-11, authority gaps, held-out semantics, public reruns, PDF/CAD extraction, and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bcdead6825d44205"/>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513"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0.83</x:v>
      </x:c>
      <x:c r="M13" s="662" t="n">
        <x:f>SUMIF('Work Block Log'!$E$5:$E$200,A13,'Work Block Log'!$F$5:$F$200)</x:f>
        <x:v>0</x:v>
      </x:c>
      <x:c r="N13" s="662" t="n">
        <x:f>MAX(F13*(1-L13),0)</x:f>
        <x:v>0.6800000000000002</x:v>
      </x:c>
      <x:c r="O13" s="662" t="n">
        <x:f>M13-F13</x:f>
        <x:v>-4</x:v>
      </x:c>
      <x:c r="P13" s="431" t="str">
        <x:v>checks 6-7 integrated; PR #54 exact main b0b32bb; D-085-D-103; EV-082-EV-119; IMP-013-IMP-018; D-102 accepted; check 8 implemented under exact AUTH-SPEC-001; clean 8/8; isolated missing datasheet state/hold/exit/four-output contract exact; focused 111; full 295/1; coverage 87.71%; validation 5/5; Ruff; baseline 9/9; demo 2/2</x:v>
      </x:c>
      <x:c r="Q13" s="431" t="str">
        <x:v>CEO reviews equipment_datasheet_authority_presence_implementation_review_2026-07-20.md and accepts or revises D-103.</x:v>
      </x:c>
      <x:c r="R13" s="431" t="str">
        <x:v>D-103 may authorize check 9 only. Check 8 establishes authority presence but does not claim BOM/datasheet ID agreement. Keep checks 10-11, authority gaps, public reruns, held-out semantics, PDF/CAD extraction, and deferred capabilities blocked until their gates.</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0.7243478260869566</x:v>
      </x:c>
      <x:c r="M24" s="683" t="n">
        <x:f>SUM(M6:M22)</x:f>
        <x:v>0</x:v>
      </x:c>
      <x:c r="N24" s="683" t="n">
        <x:f>SUM(N6:N22)</x:f>
        <x:v>12.68</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Check 8 Implementation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equipment datasheet authority presence implementation review</x:v>
      </x:c>
      <x:c r="H4" s="697"/>
    </x:row>
    <x:row r="5" ht="72" customHeight="1">
      <x:c r="A5" s="688" t="str">
        <x:v>Schedule Baseline</x:v>
      </x:c>
      <x:c r="B5" s="693" t="str">
        <x:v>Legacy only; not controlling</x:v>
      </x:c>
      <x:c r="C5" s="691"/>
      <x:c r="D5" s="691"/>
      <x:c r="F5" s="696" t="str">
        <x:v>Objective</x:v>
      </x:c>
      <x:c r="G5" s="697" t="str">
        <x:v>Require one authoritative datasheet record per release-required equipment tag and prove the complete result path.</x:v>
      </x:c>
      <x:c r="H5" s="697"/>
    </x:row>
    <x:row r="6" ht="63" customHeight="1">
      <x:c r="A6" s="688" t="str">
        <x:v>Time Tracking</x:v>
      </x:c>
      <x:c r="B6" s="693" t="str">
        <x:v>Waived prospectively</x:v>
      </x:c>
      <x:c r="C6" s="691"/>
      <x:c r="D6" s="691"/>
      <x:c r="F6" s="696" t="str">
        <x:v>Gate Status</x:v>
      </x:c>
      <x:c r="G6" s="697" t="str">
        <x:v>Clean 8/8; missing record routes to missing authority, hold true, exit 3, and four exact outputs.</x:v>
      </x:c>
      <x:c r="H6" s="697"/>
    </x:row>
    <x:row r="7" ht="81" customHeight="1">
      <x:c r="A7" s="688" t="str">
        <x:v>Current Gate</x:v>
      </x:c>
      <x:c r="B7" s="694" t="str">
        <x:v>P2.3 D-102 check 8 implementation and D-103 review</x:v>
      </x:c>
      <x:c r="C7" s="691"/>
      <x:c r="D7" s="691"/>
      <x:c r="F7" s="696" t="str">
        <x:v>Definition of Done</x:v>
      </x:c>
      <x:c r="G7" s="697" t="str">
        <x:v>CEO accepts or revises D-103.</x:v>
      </x:c>
      <x:c r="H7" s="697"/>
    </x:row>
    <x:row r="8" ht="63" customHeight="1">
      <x:c r="A8" s="688" t="str">
        <x:v>Released Kernel</x:v>
      </x:c>
      <x:c r="B8" s="691" t="str">
        <x:v>v0.2.0 / commit 45336a2</x:v>
      </x:c>
      <x:c r="C8" s="691"/>
      <x:c r="D8" s="691"/>
      <x:c r="F8" s="696" t="str">
        <x:v>Immediate Next Action</x:v>
      </x:c>
      <x:c r="G8" s="697" t="str">
        <x:v>Review equipment_datasheet_authority_presence_implementation_review_2026-07-20.md.</x:v>
      </x:c>
      <x:c r="H8" s="697"/>
    </x:row>
    <x:row r="9" ht="72" customHeight="1">
      <x:c r="A9" s="688" t="str">
        <x:v>Release Target</x:v>
      </x:c>
      <x:c r="B9" s="691" t="str">
        <x:v>v0.3.0</x:v>
      </x:c>
      <x:c r="C9" s="691"/>
      <x:c r="D9" s="691"/>
      <x:c r="F9" s="696" t="str">
        <x:v>Primary Risk</x:v>
      </x:c>
      <x:c r="G9" s="697" t="str">
        <x:v>Primary risk is mistaking authority presence for BOM/datasheet ID agreement, which belongs to check 9.</x:v>
      </x:c>
      <x:c r="H9" s="697"/>
    </x:row>
    <x:row r="10" ht="81" customHeight="1">
      <x:c r="A10" s="688" t="str">
        <x:v>Baseline Test Count</x:v>
      </x:c>
      <x:c r="B10" s="691" t="n">
        <x:v>121</x:v>
      </x:c>
      <x:c r="C10" s="691"/>
      <x:c r="D10" s="691"/>
      <x:c r="F10" s="696" t="str">
        <x:v>Deferred</x:v>
      </x:c>
      <x:c r="G10" s="697" t="str">
        <x:v>Checks 9-11, authority gaps, public reruns, held-out semantics, and deferred capabilities remain blocked.</x:v>
      </x:c>
      <x:c r="H10" s="697"/>
    </x:row>
    <x:row r="11" ht="63" customHeight="1">
      <x:c r="A11" s="688" t="str">
        <x:v>Fixture Package Families</x:v>
      </x:c>
      <x:c r="B11" s="691" t="n">
        <x:v>2</x:v>
      </x:c>
      <x:c r="C11" s="691"/>
      <x:c r="D11" s="691"/>
      <x:c r="F11" s="696" t="str">
        <x:v>Data Boundary</x:v>
      </x:c>
      <x:c r="G11" s="697" t="str">
        <x:v>Accepted development, held-out, public-package, schema, golden, and v0.2 assets remain unchanged.</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D-103 review required</x:v>
      </x:c>
      <x:c r="D17" s="700" t="n">
        <x:v>0.83</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until accepted P2.3 checks complete</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Ready for Review</x:v>
      </x:c>
      <x:c r="F45" s="431" t="str">
        <x:v>codex/p2.3-equipment-datasheet-authority-presence</x:v>
      </x:c>
      <x:c r="G45" s="431" t="str">
        <x:v>D-102-D-103; EV-116-EV-119; IMP-013-IMP-015; clean RUN-20260721T025957813425Z-a7aee64f; fault RUN-20260721T025913235840Z-be4840eb; state missing_authoritative_information; hold true; exit 3; one stable finding; exactly four outputs; focused 111; full 295/1; coverage 87.71%; validation 5/5; Ruff; baseline 9/9; demo 2/2; no protected asset changed</x:v>
      </x:c>
      <x:c r="H45"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