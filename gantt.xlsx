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ff95e5d0de4873" /></Relationships>
</file>

<file path=xl/workbook.xml><?xml version="1.0" encoding="utf-8"?>
<x:workbook xmlns:x="http://schemas.openxmlformats.org/spreadsheetml/2006/main">
  <x:sheets>
    <x:sheet xmlns:r="http://schemas.openxmlformats.org/officeDocument/2006/relationships" name="Start Here" sheetId="1" r:id="R780ec631c7764078"/>
    <x:sheet xmlns:r="http://schemas.openxmlformats.org/officeDocument/2006/relationships" name="Executive Gantt" sheetId="2" r:id="R1b0771bdbadb4533"/>
    <x:sheet xmlns:r="http://schemas.openxmlformats.org/officeDocument/2006/relationships" name="Detailed Gantt" sheetId="3" r:id="R59254abcf62144ea"/>
    <x:sheet xmlns:r="http://schemas.openxmlformats.org/officeDocument/2006/relationships" name="Weekly Control" sheetId="4" r:id="R55a6d0bd5fc54327"/>
    <x:sheet xmlns:r="http://schemas.openxmlformats.org/officeDocument/2006/relationships" name="Phase Summary" sheetId="5" r:id="Rf857c7a4e3c34cf0"/>
    <x:sheet xmlns:r="http://schemas.openxmlformats.org/officeDocument/2006/relationships" name="Assumptions &amp; Gates" sheetId="6" r:id="R633207e9fa7446be"/>
    <x:sheet xmlns:r="http://schemas.openxmlformats.org/officeDocument/2006/relationships" name="Sources" sheetId="7" r:id="R1ff660d3cba64cab"/>
    <x:sheet xmlns:r="http://schemas.openxmlformats.org/officeDocument/2006/relationships" name="Legacy Baseline" sheetId="8" r:id="R6a473488b1304752"/>
    <x:sheet xmlns:r="http://schemas.openxmlformats.org/officeDocument/2006/relationships" name="Work Block Log" sheetId="9" r:id="R8a1c811b7654481d"/>
    <x:sheet xmlns:r="http://schemas.openxmlformats.org/officeDocument/2006/relationships" name="Decision Register" sheetId="10" r:id="Re85e67137ee844ee"/>
    <x:sheet xmlns:r="http://schemas.openxmlformats.org/officeDocument/2006/relationships" name="Risks &amp; Issues" sheetId="11" r:id="Rbf75875678d04d0f"/>
    <x:sheet xmlns:r="http://schemas.openxmlformats.org/officeDocument/2006/relationships" name="Evidence Register" sheetId="12" r:id="Rd98ebeff58814923"/>
    <x:sheet xmlns:r="http://schemas.openxmlformats.org/officeDocument/2006/relationships" name="Expansion Backlog" sheetId="13" r:id="R53551a03108347b5"/>
    <x:sheet xmlns:r="http://schemas.openxmlformats.org/officeDocument/2006/relationships" name="AI Context" sheetId="14" r:id="R93a85ca1d35c4a41"/>
    <x:sheet xmlns:r="http://schemas.openxmlformats.org/officeDocument/2006/relationships" name="MVP Dashboard" sheetId="15" r:id="Rfa5cc20003db452a"/>
    <x:sheet xmlns:r="http://schemas.openxmlformats.org/officeDocument/2006/relationships" name="Product Vision" sheetId="16" r:id="R7bcc760b74cc4f98"/>
    <x:sheet xmlns:r="http://schemas.openxmlformats.org/officeDocument/2006/relationships" name="Pilot Gantt" sheetId="17" r:id="Rf2a84d489d8c4f9f"/>
    <x:sheet xmlns:r="http://schemas.openxmlformats.org/officeDocument/2006/relationships" name="Pilot Dashboard" sheetId="18" r:id="Rbf054395f0f1450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<x:sst xmlns:x="http://schemas.openxmlformats.org/spreadsheetml/2006/main">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</x:sst>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07dd093be3f4057" /><Relationship Type="http://schemas.openxmlformats.org/officeDocument/2006/relationships/theme" Target="/xl/theme/theme1.xml" Id="R9bcc269109514638" /><Relationship Type="http://schemas.openxmlformats.org/officeDocument/2006/relationships/sharedStrings" Target="/xl/sharedStrings.xml" Id="R6742a65ad9f844f8" /><Relationship Type="http://schemas.openxmlformats.org/officeDocument/2006/relationships/worksheet" Target="/xl/worksheets/sheet1.xml" Id="R780ec631c7764078" /><Relationship Type="http://schemas.openxmlformats.org/officeDocument/2006/relationships/worksheet" Target="/xl/worksheets/sheet2.xml" Id="R1b0771bdbadb4533" /><Relationship Type="http://schemas.openxmlformats.org/officeDocument/2006/relationships/worksheet" Target="/xl/worksheets/sheet3.xml" Id="R59254abcf62144ea" /><Relationship Type="http://schemas.openxmlformats.org/officeDocument/2006/relationships/worksheet" Target="/xl/worksheets/sheet4.xml" Id="R55a6d0bd5fc54327" /><Relationship Type="http://schemas.openxmlformats.org/officeDocument/2006/relationships/worksheet" Target="/xl/worksheets/sheet5.xml" Id="Rf857c7a4e3c34cf0" /><Relationship Type="http://schemas.openxmlformats.org/officeDocument/2006/relationships/worksheet" Target="/xl/worksheets/sheet6.xml" Id="R633207e9fa7446be" /><Relationship Type="http://schemas.openxmlformats.org/officeDocument/2006/relationships/worksheet" Target="/xl/worksheets/sheet7.xml" Id="R1ff660d3cba64cab" /><Relationship Type="http://schemas.openxmlformats.org/officeDocument/2006/relationships/worksheet" Target="/xl/worksheets/sheet8.xml" Id="R6a473488b1304752" /><Relationship Type="http://schemas.openxmlformats.org/officeDocument/2006/relationships/worksheet" Target="/xl/worksheets/sheet9.xml" Id="R8a1c811b7654481d" /><Relationship Type="http://schemas.openxmlformats.org/officeDocument/2006/relationships/worksheet" Target="/xl/worksheets/sheet10.xml" Id="Re85e67137ee844ee" /><Relationship Type="http://schemas.openxmlformats.org/officeDocument/2006/relationships/worksheet" Target="/xl/worksheets/sheet11.xml" Id="Rbf75875678d04d0f" /><Relationship Type="http://schemas.openxmlformats.org/officeDocument/2006/relationships/worksheet" Target="/xl/worksheets/sheet12.xml" Id="Rd98ebeff58814923" /><Relationship Type="http://schemas.openxmlformats.org/officeDocument/2006/relationships/worksheet" Target="/xl/worksheets/sheet13.xml" Id="R53551a03108347b5" /><Relationship Type="http://schemas.openxmlformats.org/officeDocument/2006/relationships/worksheet" Target="/xl/worksheets/sheet14.xml" Id="R93a85ca1d35c4a41" /><Relationship Type="http://schemas.openxmlformats.org/officeDocument/2006/relationships/worksheet" Target="/xl/worksheets/sheet15.xml" Id="Rfa5cc20003db452a" /><Relationship Type="http://schemas.openxmlformats.org/officeDocument/2006/relationships/worksheet" Target="/xl/worksheets/sheet16.xml" Id="R7bcc760b74cc4f98" /><Relationship Type="http://schemas.openxmlformats.org/officeDocument/2006/relationships/worksheet" Target="/xl/worksheets/sheet17.xml" Id="Rf2a84d489d8c4f9f" /><Relationship Type="http://schemas.openxmlformats.org/officeDocument/2006/relationships/worksheet" Target="/xl/worksheets/sheet18.xml" Id="Rbf054395f0f14506" /></Relationships>
</file>

<file path=xl/drawings/_rels/drawing1.xml.rels>&#65279;<?xml version="1.0" encoding="utf-8"?><Relationships xmlns="http://schemas.openxmlformats.org/package/2006/relationships"><Relationship Type="http://schemas.openxmlformats.org/officeDocument/2006/relationships/chart" Target="/xl/drawings/charts/chart1.xml" Id="R2e6d4ac27b7f40b8" /></Relationships>
</file>

<file path=xl/drawings/_rels/drawing2.xml.rels>&#65279;<?xml version="1.0" encoding="utf-8"?><Relationships xmlns="http://schemas.openxmlformats.org/package/2006/relationships"><Relationship Type="http://schemas.openxmlformats.org/officeDocument/2006/relationships/chart" Target="/xl/drawings/charts/chart2.xml" Id="R6584e2ae47a649ad" /></Relationships>
</file>

<file path=xl/drawings/_rels/drawing3.xml.rels>&#65279;<?xml version="1.0" encoding="utf-8"?><Relationships xmlns="http://schemas.openxmlformats.org/package/2006/relationships"><Relationship Type="http://schemas.openxmlformats.org/officeDocument/2006/relationships/chart" Target="/xl/drawings/charts/chart3.xml" Id="R4daac55daa6747d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e6d4ac27b7f40b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584e2ae47a649a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daac55daa6747d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507499137d34cc1" /></Relationships>
</file>

<file path=xl/worksheets/_rels/sheet5.xml.rels>&#65279;<?xml version="1.0" encoding="utf-8"?><Relationships xmlns="http://schemas.openxmlformats.org/package/2006/relationships"><Relationship Type="http://schemas.openxmlformats.org/officeDocument/2006/relationships/drawing" Target="/xl/drawings/drawing2.xml" Id="Recb95defb2e1423c" /></Relationships>
</file>

<file path=xl/worksheets/_rels/sheet15.xml.rels>&#65279;<?xml version="1.0" encoding="utf-8"?><Relationships xmlns="http://schemas.openxmlformats.org/package/2006/relationships"><Relationship Type="http://schemas.openxmlformats.org/officeDocument/2006/relationships/drawing" Target="/xl/drawings/drawing3.xml" Id="Ra819fda6afb5492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v2.1 - governance cleanup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P0.2 reviewed; user acceptance pending</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P0.2 - Define acceptance plan and benchmark protocol</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P1.1 - Package manifest schema and loader (blocked pending P0.2 user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48" hidden="0" customHeight="1">
      <x:c r="A28" s="704" t="str">
        <x:v>Management review complete. P0.2 user acceptance is required before P1.</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507499137d34cc1"/>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cb95defb2e1423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Reviewed</x:v>
      </x:c>
      <x:c r="I35" s="447" t="str">
        <x:v>P0.2 is complete pending user acceptance. No loader, schema, fixture, rule-engine, PDF/CAD, agent, API, database, RAG, or frontend implementation was added.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v2.1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P0.2 - acceptance plan and benchmark protocol</x:v>
      </x:c>
    </x:row>
    <x:row r="7" ht="48"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No package-level data model, authority hierarchy, cross-document relationship engine, issue register, release-readiness states, or true unseen package benchmark.</x:v>
      </x:c>
      <x:c r="E7" s="449" t="str">
        <x:v>Product interpretation</x:v>
      </x:c>
      <x:c r="F7" s="447" t="str">
        <x:v>Successful kernel; not yet a complete economically useful workflow.</x:v>
      </x:c>
      <x:c r="G7" s="449" t="str">
        <x:v>Response</x:v>
      </x:c>
      <x:c r="H7" s="447" t="str">
        <x:v>Build one vertical end-to-end without restarting the repository.</x:v>
      </x:c>
    </x:row>
    <x:row r="8" ht="48" hidden="0" customHeight="1">
      <x:c r="A8" s="449" t="str">
        <x:v>Immediate next action</x:v>
      </x:c>
      <x:c r="B8" s="447" t="str">
        <x:v>Review the management assessment and accept, revise, or reject P0.2. Then begin P1.1 on a separate package-manifest capability branch.</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45"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Accept P0.2, then complete P1.1 through P4 in sequence;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0" hidden="0" customHeight="1">
      <x:c r="A41" s="604" t="str">
        <x:v>Immediate implication</x:v>
      </x:c>
      <x:c r="B41" s="605"/>
      <x:c r="C41" s="606" t="str">
        <x:v>P0.2 is reviewed; obtain user acceptance before P1.1. Do not build extraction, agent runtime, API/database, observability, RAG, or RL until the structured workflow passes its benchmark.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819fda6afb5492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docs/package_assurance/acceptance_plan_v0.3.0.md; docs/strategy/management_review_2026-07-16.md; D-035; D-036; EV-032; EV-033</x:v>
      </x:c>
      <x:c r="Q7" s="431" t="str">
        <x:v>Obtain user acceptance of P0.2, merge the P0 contract branch, then begin P1.1 on a separate package-manifest capability branch. No implementation before acceptance.</x:v>
      </x:c>
      <x:c r="R7" s="431" t="str">
        <x:v>Ten P0.2 questions resolved. Management review found the plan fit for acceptance and simplified project controls without changing accepted behavior. Time tracking remains waived; no implementation added.</x:v>
      </x:c>
      <x:c r="S7" s="669" t="str">
        <x:v>■</x:v>
      </x:c>
      <x:c r="T7" s="669"/>
      <x:c r="U7" s="669"/>
      <x:c r="V7" s="669"/>
      <x:c r="W7" s="669"/>
      <x:c r="X7" s="669"/>
    </x:row>
    <x:row r="8" ht="64"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Not Started</x:v>
      </x:c>
      <x:c r="L8" s="664" t="n">
        <x:v>0</x:v>
      </x:c>
      <x:c r="M8" s="662" t="n">
        <x:f>SUMIF('Work Block Log'!$E$5:$E$200,A8,'Work Block Log'!$F$5:$F$200)</x:f>
        <x:v>0</x:v>
      </x:c>
      <x:c r="N8" s="662" t="n">
        <x:f>MAX(F8*(1-L8),0)</x:f>
        <x:v>3</x:v>
      </x:c>
      <x:c r="O8" s="662" t="n">
        <x:f>M8-F8</x:f>
        <x:v>-3</x:v>
      </x:c>
      <x:c r="P8" s="431" t="str">
        <x:v>feature/package-manifest</x:v>
      </x:c>
      <x:c r="Q8" s="431" t="str">
        <x:v>Start only after user acceptance of P0.2; create and switch to feature/package-manifest before implementation.</x:v>
      </x:c>
      <x:c r="R8" s="431" t="str">
        <x:v>Extend the existing candidate/result contracts; do not create a parallel framework.</x:v>
      </x:c>
      <x:c r="S8" s="669" t="str">
        <x:v>■</x:v>
      </x:c>
      <x:c r="T8" s="669" t="str">
        <x:v>■</x:v>
      </x:c>
      <x:c r="U8" s="669"/>
      <x:c r="V8" s="669"/>
      <x:c r="W8" s="669"/>
      <x:c r="X8" s="669"/>
    </x:row>
    <x:row r="9" ht="64"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Not Started</x:v>
      </x:c>
      <x:c r="L9" s="664" t="n">
        <x:v>0</x:v>
      </x:c>
      <x:c r="M9" s="662" t="n">
        <x:f>SUMIF('Work Block Log'!$E$5:$E$200,A9,'Work Block Log'!$F$5:$F$200)</x:f>
        <x:v>0</x:v>
      </x:c>
      <x:c r="N9" s="662" t="n">
        <x:f>MAX(F9*(1-L9),0)</x:f>
        <x:v>3</x:v>
      </x:c>
      <x:c r="O9" s="662" t="n">
        <x:f>M9-F9</x:f>
        <x:v>-3</x:v>
      </x:c>
      <x:c r="P9" s="431" t="str">
        <x:v>feature/package-fixtures</x:v>
      </x:c>
      <x:c r="Q9" s="431" t="str">
        <x:v>Build one clean package and a controlled corruption matrix.</x:v>
      </x:c>
      <x:c r="R9" s="431" t="str">
        <x:v>Use synthetic/self-authored data only.</x:v>
      </x:c>
      <x:c r="S9" s="669"/>
      <x:c r="T9" s="669" t="str">
        <x:v>■</x:v>
      </x:c>
      <x:c r="U9" s="669"/>
      <x:c r="V9" s="669"/>
      <x:c r="W9" s="669"/>
      <x:c r="X9" s="669"/>
    </x:row>
    <x:row r="10" ht="64"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P1.1</x:v>
      </x:c>
      <x:c r="F10" s="662" t="n">
        <x:v>2</x:v>
      </x:c>
      <x:c r="G10" s="431" t="n">
        <x:v>2</x:v>
      </x:c>
      <x:c r="H10" s="431" t="n">
        <x:v>2</x:v>
      </x:c>
      <x:c r="I10" s="429" t="n">
        <x:f>$B$1+(G10-1)*7</x:f>
        <x:v>46223</x:v>
      </x:c>
      <x:c r="J10" s="429" t="n">
        <x:f>$B$1+H10*7-1</x:f>
        <x:v>46229</x:v>
      </x:c>
      <x:c r="K10" s="431" t="str">
        <x:v>Not Started</x:v>
      </x:c>
      <x:c r="L10" s="664" t="n">
        <x:v>0</x:v>
      </x:c>
      <x:c r="M10" s="662" t="n">
        <x:f>SUMIF('Work Block Log'!$E$5:$E$200,A10,'Work Block Log'!$F$5:$F$200)</x:f>
        <x:v>0</x:v>
      </x:c>
      <x:c r="N10" s="662" t="n">
        <x:f>MAX(F10*(1-L10),0)</x:f>
        <x:v>2</x:v>
      </x:c>
      <x:c r="O10" s="662" t="n">
        <x:f>M10-F10</x:f>
        <x:v>-2</x:v>
      </x:c>
      <x:c r="P10" s="431" t="str">
        <x:v>feature/package-fixtures</x:v>
      </x:c>
      <x:c r="Q10" s="431" t="str">
        <x:v>Freeze split and review checklist before evaluator tuning.</x:v>
      </x:c>
      <x:c r="R10" s="431" t="str">
        <x:v>Held-out package must be materially distinct, not a renamed copy.</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0.08695652173913043</x:v>
      </x:c>
      <x:c r="M24" s="683" t="n">
        <x:f>SUM(M6:M22)</x:f>
        <x:v>0</x:v>
      </x:c>
      <x:c r="N24" s="683" t="n">
        <x:f>SUM(N6:N22)</x:f>
        <x:v>42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Governance Baseline 2026-07-16</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Control Basis</x:v>
      </x:c>
      <x:c r="B4" s="692" t="str">
        <x:v>Gate and evidence based</x:v>
      </x:c>
      <x:c r="C4" s="691"/>
      <x:c r="D4" s="691"/>
      <x:c r="F4" s="696" t="str">
        <x:v>Active WBS</x:v>
      </x:c>
      <x:c r="G4" s="697" t="str">
        <x:v>P0.2 - Define acceptance plan and benchmark protocol</x:v>
      </x:c>
      <x:c r="H4" s="697"/>
    </x:row>
    <x:row r="5" ht="48" customHeight="1">
      <x:c r="A5" s="688" t="str">
        <x:v>Schedule Baseline</x:v>
      </x:c>
      <x:c r="B5" s="693" t="str">
        <x:v>Legacy only; not controlling</x:v>
      </x:c>
      <x:c r="C5" s="691"/>
      <x:c r="D5" s="691"/>
      <x:c r="F5" s="696" t="str">
        <x:v>Objective</x:v>
      </x:c>
      <x:c r="G5" s="697" t="str">
        <x:v>Freeze how the structured package-assurance pilot will be proven before implementation.</x:v>
      </x:c>
      <x:c r="H5" s="697"/>
    </x:row>
    <x:row r="6" ht="48" customHeight="1">
      <x:c r="A6" s="688" t="str">
        <x:v>Time Tracking</x:v>
      </x:c>
      <x:c r="B6" s="693" t="str">
        <x:v>Waived prospectively</x:v>
      </x:c>
      <x:c r="C6" s="691"/>
      <x:c r="D6" s="691"/>
      <x:c r="F6" s="696" t="str">
        <x:v>Gate Status</x:v>
      </x:c>
      <x:c r="G6" s="697" t="str">
        <x:v>Reviewed deliverable complete; user acceptance required.</x:v>
      </x:c>
      <x:c r="H6" s="697"/>
    </x:row>
    <x:row r="7" ht="48" customHeight="1">
      <x:c r="A7" s="688" t="str">
        <x:v>Current Gate</x:v>
      </x:c>
      <x:c r="B7" s="694" t="str">
        <x:v>P0.2 pending user acceptance</x:v>
      </x:c>
      <x:c r="C7" s="691"/>
      <x:c r="D7" s="691"/>
      <x:c r="F7" s="696" t="str">
        <x:v>Definition of Done</x:v>
      </x:c>
      <x:c r="G7" s="697" t="str">
        <x:v>Benchmark separation, scenario coverage, exact oracle matching, state and exit routing, evidence, reproducibility, contamination handling, bounded claims, and stop conditions are frozen.</x:v>
      </x:c>
      <x:c r="H7" s="697"/>
    </x:row>
    <x:row r="8" ht="48" customHeight="1">
      <x:c r="A8" s="688" t="str">
        <x:v>Released Kernel</x:v>
      </x:c>
      <x:c r="B8" s="691" t="str">
        <x:v>v0.2.0 / commit 45336a2</x:v>
      </x:c>
      <x:c r="C8" s="691"/>
      <x:c r="D8" s="691"/>
      <x:c r="F8" s="696" t="str">
        <x:v>Immediate Next Action</x:v>
      </x:c>
      <x:c r="G8" s="697" t="str">
        <x:v>Review the management assessment and accept, revise, or reject P0.2. Begin P1.1 only after acceptance.</x:v>
      </x:c>
      <x:c r="H8" s="697"/>
    </x:row>
    <x:row r="9" ht="48" customHeight="1">
      <x:c r="A9" s="688" t="str">
        <x:v>Release Target</x:v>
      </x:c>
      <x:c r="B9" s="691" t="str">
        <x:v>v0.3.0</x:v>
      </x:c>
      <x:c r="C9" s="691"/>
      <x:c r="D9" s="691"/>
      <x:c r="F9" s="696" t="str">
        <x:v>Primary Risk</x:v>
      </x:c>
      <x:c r="G9" s="697" t="str">
        <x:v>Synthetic benchmark overfit or control drift could produce credible-looking evidence without real workflow value.</x:v>
      </x:c>
      <x:c r="H9" s="697"/>
    </x:row>
    <x:row r="10" ht="48" customHeight="1">
      <x:c r="A10" s="688" t="str">
        <x:v>Baseline Test Count</x:v>
      </x:c>
      <x:c r="B10" s="691" t="n">
        <x:v>121</x:v>
      </x:c>
      <x:c r="C10" s="691"/>
      <x:c r="D10" s="691"/>
      <x:c r="F10" s="696" t="str">
        <x:v>Deferred</x:v>
      </x:c>
      <x:c r="G10" s="697" t="str">
        <x:v>PDF/CAD extraction, APIs/databases, agent runtime integration, product dashboards, RAG, hosting, and RL.</x:v>
      </x:c>
      <x:c r="H10" s="697"/>
    </x:row>
    <x:row r="11" ht="48" customHeight="1">
      <x:c r="A11" s="688" t="str">
        <x:v>Implemented Package Families</x:v>
      </x:c>
      <x:c r="B11" s="691" t="n">
        <x:v>0</x:v>
      </x:c>
      <x:c r="C11" s="691"/>
      <x:c r="D11" s="691"/>
      <x:c r="F11" s="696" t="str">
        <x:v>Data Boundary</x:v>
      </x:c>
      <x:c r="G11" s="697" t="str">
        <x:v>Public, synthetic, self-authored, or authorized data only.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Deliverables Complete</x:v>
      </x:c>
      <x:c r="C15" s="699" t="str">
        <x:v>P0.2 user acceptance pending</x:v>
      </x:c>
      <x:c r="D15" s="700" t="n">
        <x:v>1</x:v>
      </x:c>
      <x:c r="E15" s="698" t="str">
        <x:v>Gate P0 - workflow contract and acceptance plan accepted</x:v>
      </x:c>
    </x:row>
    <x:row r="16" ht="36" customHeight="1">
      <x:c r="A16" s="698" t="str">
        <x:v>P1 Package Model &amp; Fixtures</x:v>
      </x:c>
      <x:c r="B16" s="699" t="str">
        <x:v>Not Started</x:v>
      </x:c>
      <x:c r="C16" s="699" t="str">
        <x:v>Blocked by P0.2</x:v>
      </x:c>
      <x:c r="D16" s="700" t="n">
        <x:v>0</x:v>
      </x:c>
      <x:c r="E16" s="698" t="str">
        <x:v>Gate P1 - two validated packages and frozen held-out split</x:v>
      </x:c>
    </x:row>
    <x:row r="17" ht="36" customHeight="1">
      <x:c r="A17" s="698" t="str">
        <x:v>P2 Consistency Rules</x:v>
      </x:c>
      <x:c r="B17" s="699" t="str">
        <x:v>Not Started</x:v>
      </x:c>
      <x:c r="C17" s="699" t="str">
        <x:v>Blocked by P1</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78.75" customHeight="1">
      <x:c r="A24" s="431" t="n">
        <x:v>1</x:v>
      </x:c>
      <x:c r="B24" s="431" t="str">
        <x:v>P0.1</x:v>
      </x:c>
      <x:c r="C24" s="431" t="str">
        <x:v>Workflow contract and authority map</x:v>
      </x:c>
      <x:c r="D24" s="431" t="str">
        <x:v>Source types, canonical identifiers, precedence rules, result states, exclusions, and human-review boundaries are frozen.</x:v>
      </x:c>
      <x:c r="E24" s="431" t="str">
        <x:v>Accepted</x:v>
      </x:c>
      <x:c r="F24" s="431" t="str">
        <x:v>feature/package-assurance-contract</x:v>
      </x:c>
      <x:c r="G24" s="431" t="str">
        <x:v>03f102e; D-033; EV-030</x:v>
      </x:c>
      <x:c r="H24" s="431" t="str">
        <x:v>Jason</x:v>
      </x:c>
    </x:row>
    <x:row r="25" ht="97.5" customHeight="1">
      <x:c r="A25" s="431" t="n">
        <x:v>2</x:v>
      </x:c>
      <x:c r="B25" s="431" t="str">
        <x:v>P0.2</x:v>
      </x:c>
      <x:c r="C25" s="431" t="str">
        <x:v>Acceptance plan and benchmark protocol</x:v>
      </x:c>
      <x:c r="D25" s="431" t="str">
        <x:v>Benchmark split, scenario matrix, exact oracle rules, state routing, reproducibility, contamination handling, claims, and stop conditions are frozen.</x:v>
      </x:c>
      <x:c r="E25" s="431" t="str">
        <x:v>Pending user acceptance</x:v>
      </x:c>
      <x:c r="F25" s="431" t="str">
        <x:v>feature/package-assurance-contract</x:v>
      </x:c>
      <x:c r="G25" s="431" t="str">
        <x:v>eb87dfc; D-035; EV-032</x:v>
      </x:c>
      <x:c r="H25" s="431" t="str">
        <x:v>Jason</x:v>
      </x:c>
    </x:row>
    <x:row r="26" ht="90" customHeight="1">
      <x:c r="A26" s="431" t="n">
        <x:v>3</x:v>
      </x:c>
      <x:c r="B26" s="431" t="str">
        <x:v>P1.1</x:v>
      </x:c>
      <x:c r="C26" s="431" t="str">
        <x:v>Package manifest schema and loader</x:v>
      </x:c>
      <x:c r="D26" s="431" t="str">
        <x:v>Versioned manifest validates source inventory, relationships, revisions, authority declarations, file references, and controlled errors.</x:v>
      </x:c>
      <x:c r="E26" s="431" t="str">
        <x:v>Blocked</x:v>
      </x:c>
      <x:c r="F26" s="431" t="str">
        <x:v>feature/package-manifest</x:v>
      </x:c>
      <x:c r="G26" s="431" t="str">
        <x:v>P0.2 acceptance required</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