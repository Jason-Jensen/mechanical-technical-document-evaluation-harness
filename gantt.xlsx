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9ec51597a304a43" /></Relationships>
</file>

<file path=xl/workbook.xml><?xml version="1.0" encoding="utf-8"?>
<x:workbook xmlns:x="http://schemas.openxmlformats.org/spreadsheetml/2006/main">
  <x:sheets>
    <x:sheet xmlns:r="http://schemas.openxmlformats.org/officeDocument/2006/relationships" name="Start Here" sheetId="1" r:id="R90734f3eca684d03"/>
    <x:sheet xmlns:r="http://schemas.openxmlformats.org/officeDocument/2006/relationships" name="Executive Gantt" sheetId="2" r:id="Rd3bbd68a54f24df9"/>
    <x:sheet xmlns:r="http://schemas.openxmlformats.org/officeDocument/2006/relationships" name="Detailed Gantt" sheetId="3" r:id="Rb7b5139a06464982"/>
    <x:sheet xmlns:r="http://schemas.openxmlformats.org/officeDocument/2006/relationships" name="Weekly Control" sheetId="4" r:id="R64d402ec992444a8"/>
    <x:sheet xmlns:r="http://schemas.openxmlformats.org/officeDocument/2006/relationships" name="Phase Summary" sheetId="5" r:id="R5468f41557874e5d"/>
    <x:sheet xmlns:r="http://schemas.openxmlformats.org/officeDocument/2006/relationships" name="Assumptions &amp; Gates" sheetId="6" r:id="R00b8c880b0a34079"/>
    <x:sheet xmlns:r="http://schemas.openxmlformats.org/officeDocument/2006/relationships" name="Sources" sheetId="7" r:id="Rb2e3199057034e8e"/>
    <x:sheet xmlns:r="http://schemas.openxmlformats.org/officeDocument/2006/relationships" name="Legacy Baseline" sheetId="8" r:id="R1d6035ea7e8c4c03"/>
    <x:sheet xmlns:r="http://schemas.openxmlformats.org/officeDocument/2006/relationships" name="Work Block Log" sheetId="9" r:id="R2c0974930f034915"/>
    <x:sheet xmlns:r="http://schemas.openxmlformats.org/officeDocument/2006/relationships" name="Decision Register" sheetId="10" r:id="Rbda8168d059e456f"/>
    <x:sheet xmlns:r="http://schemas.openxmlformats.org/officeDocument/2006/relationships" name="Risks &amp; Issues" sheetId="11" r:id="Rfaf53dd6748b40c1"/>
    <x:sheet xmlns:r="http://schemas.openxmlformats.org/officeDocument/2006/relationships" name="Evidence Register" sheetId="12" r:id="R82b460b1548c4526"/>
    <x:sheet xmlns:r="http://schemas.openxmlformats.org/officeDocument/2006/relationships" name="Expansion Backlog" sheetId="13" r:id="R3a4ce42155834de5"/>
    <x:sheet xmlns:r="http://schemas.openxmlformats.org/officeDocument/2006/relationships" name="AI Context" sheetId="14" r:id="Reaff59354b8f4a1b"/>
    <x:sheet xmlns:r="http://schemas.openxmlformats.org/officeDocument/2006/relationships" name="MVP Dashboard" sheetId="15" r:id="R812810b30f434745"/>
    <x:sheet xmlns:r="http://schemas.openxmlformats.org/officeDocument/2006/relationships" name="Product Vision" sheetId="16" r:id="Rc5b6c66ba84d4b8c"/>
    <x:sheet xmlns:r="http://schemas.openxmlformats.org/officeDocument/2006/relationships" name="Pilot Gantt" sheetId="17" r:id="R0992918da5ec439d"/>
    <x:sheet xmlns:r="http://schemas.openxmlformats.org/officeDocument/2006/relationships" name="Pilot Dashboard" sheetId="18" r:id="R4a19a5c0247a4973"/>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<x:sst xmlns:x="http://schemas.openxmlformats.org/spreadsheetml/2006/main">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</x:sst>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955577f2bb44223" /><Relationship Type="http://schemas.openxmlformats.org/officeDocument/2006/relationships/theme" Target="/xl/theme/theme1.xml" Id="R1dd9130751334406" /><Relationship Type="http://schemas.openxmlformats.org/officeDocument/2006/relationships/sharedStrings" Target="/xl/sharedStrings.xml" Id="Rf5296f78c1b8475b" /><Relationship Type="http://schemas.openxmlformats.org/officeDocument/2006/relationships/worksheet" Target="/xl/worksheets/sheet1.xml" Id="R90734f3eca684d03" /><Relationship Type="http://schemas.openxmlformats.org/officeDocument/2006/relationships/worksheet" Target="/xl/worksheets/sheet2.xml" Id="Rd3bbd68a54f24df9" /><Relationship Type="http://schemas.openxmlformats.org/officeDocument/2006/relationships/worksheet" Target="/xl/worksheets/sheet3.xml" Id="Rb7b5139a06464982" /><Relationship Type="http://schemas.openxmlformats.org/officeDocument/2006/relationships/worksheet" Target="/xl/worksheets/sheet4.xml" Id="R64d402ec992444a8" /><Relationship Type="http://schemas.openxmlformats.org/officeDocument/2006/relationships/worksheet" Target="/xl/worksheets/sheet5.xml" Id="R5468f41557874e5d" /><Relationship Type="http://schemas.openxmlformats.org/officeDocument/2006/relationships/worksheet" Target="/xl/worksheets/sheet6.xml" Id="R00b8c880b0a34079" /><Relationship Type="http://schemas.openxmlformats.org/officeDocument/2006/relationships/worksheet" Target="/xl/worksheets/sheet7.xml" Id="Rb2e3199057034e8e" /><Relationship Type="http://schemas.openxmlformats.org/officeDocument/2006/relationships/worksheet" Target="/xl/worksheets/sheet8.xml" Id="R1d6035ea7e8c4c03" /><Relationship Type="http://schemas.openxmlformats.org/officeDocument/2006/relationships/worksheet" Target="/xl/worksheets/sheet9.xml" Id="R2c0974930f034915" /><Relationship Type="http://schemas.openxmlformats.org/officeDocument/2006/relationships/worksheet" Target="/xl/worksheets/sheet10.xml" Id="Rbda8168d059e456f" /><Relationship Type="http://schemas.openxmlformats.org/officeDocument/2006/relationships/worksheet" Target="/xl/worksheets/sheet11.xml" Id="Rfaf53dd6748b40c1" /><Relationship Type="http://schemas.openxmlformats.org/officeDocument/2006/relationships/worksheet" Target="/xl/worksheets/sheet12.xml" Id="R82b460b1548c4526" /><Relationship Type="http://schemas.openxmlformats.org/officeDocument/2006/relationships/worksheet" Target="/xl/worksheets/sheet13.xml" Id="R3a4ce42155834de5" /><Relationship Type="http://schemas.openxmlformats.org/officeDocument/2006/relationships/worksheet" Target="/xl/worksheets/sheet14.xml" Id="Reaff59354b8f4a1b" /><Relationship Type="http://schemas.openxmlformats.org/officeDocument/2006/relationships/worksheet" Target="/xl/worksheets/sheet15.xml" Id="R812810b30f434745" /><Relationship Type="http://schemas.openxmlformats.org/officeDocument/2006/relationships/worksheet" Target="/xl/worksheets/sheet16.xml" Id="Rc5b6c66ba84d4b8c" /><Relationship Type="http://schemas.openxmlformats.org/officeDocument/2006/relationships/worksheet" Target="/xl/worksheets/sheet17.xml" Id="R0992918da5ec439d" /><Relationship Type="http://schemas.openxmlformats.org/officeDocument/2006/relationships/worksheet" Target="/xl/worksheets/sheet18.xml" Id="R4a19a5c0247a49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322434f2c14c3b" /></Relationships>
</file>

<file path=xl/drawings/_rels/drawing2.xml.rels>&#65279;<?xml version="1.0" encoding="utf-8"?><Relationships xmlns="http://schemas.openxmlformats.org/package/2006/relationships"><Relationship Type="http://schemas.openxmlformats.org/officeDocument/2006/relationships/chart" Target="/xl/drawings/charts/chart2.xml" Id="R34e79d077be345ff" /></Relationships>
</file>

<file path=xl/drawings/_rels/drawing3.xml.rels>&#65279;<?xml version="1.0" encoding="utf-8"?><Relationships xmlns="http://schemas.openxmlformats.org/package/2006/relationships"><Relationship Type="http://schemas.openxmlformats.org/officeDocument/2006/relationships/chart" Target="/xl/drawings/charts/chart3.xml" Id="R1f73d23037b240d9"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322434f2c14c3b"/>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e79d077be345f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73d23037b240d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50cf4209b0e4a9c" /></Relationships>
</file>

<file path=xl/worksheets/_rels/sheet5.xml.rels>&#65279;<?xml version="1.0" encoding="utf-8"?><Relationships xmlns="http://schemas.openxmlformats.org/package/2006/relationships"><Relationship Type="http://schemas.openxmlformats.org/officeDocument/2006/relationships/drawing" Target="/xl/drawings/drawing2.xml" Id="R8fc8a88904014a65" /></Relationships>
</file>

<file path=xl/worksheets/_rels/sheet15.xml.rels>&#65279;<?xml version="1.0" encoding="utf-8"?><Relationships xmlns="http://schemas.openxmlformats.org/package/2006/relationships"><Relationship Type="http://schemas.openxmlformats.org/officeDocument/2006/relationships/drawing" Target="/xl/drawings/drawing3.xml" Id="R6631bcc372e548b6"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accepted; P2.2 relationship-slice definition review-ready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relationship-slice definition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drawing-register-to-metadata relationship slice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relationship implementation (blocked pending definition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The user accepted stabilization and P2.1 on 2026-07-17. The first P2.2 definition is review-ready on codex/p2.2-relationship-slice-definition. It freezes one drawing-register-to-metadata revision check under AUTH-DWG-001, exact clean/fault outcomes, field-level evidence, deterministic identity, a separate relationships.py boundary, future state/CLI handoff, tests, and exclusions. No executable P2.2 behavior or protected-asset change was added. Integration PR creation and remote checks remain pending because GitHub CLI authentication is invalid and the connected GitHub app lacks PR-write permission.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50cf4209b0e4a9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fc8a88904014a6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 13c2527; D-047; EV-044; EV-045; codex/stabilization-improvement-loop</x:v>
      </x:c>
      <x:c r="H51" s="78" t="str">
        <x:v>P2.2 implementation remains blocked until the slice definition is accepted. Integration PR and remote checks remain required before merge to main.</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Review Ready</x:v>
      </x:c>
      <x:c r="F52" s="78" t="str">
        <x:v>P2.2</x:v>
      </x:c>
      <x:c r="G52" s="78" t="str">
        <x:v>docs/package_assurance/p2_2_relationship_slice_definition_v0.3.0.md; workflow_contract_v0.3.0.md; acceptance_plan_v0.3.0.md; authority_map_example_v0.3.0.json; EV-046</x:v>
      </x:c>
      <x:c r="H52" s="78" t="str">
        <x:v>Implementation requires explicit user acceptance. Missing/extra drawings, other metadata fields, revision history, tags, BOM/equipment, datasheet/specification, routing, reports, CLI, semantic held-out evaluation, and deferred capabilities remain excluded.</x:v>
      </x:c>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is pushed but remains ahead of origin/main. GitHub CLI reports an invalid saved token, and the connected GitHub app lacks pull-request write permission. The integration pull request and remote checks are still pending.</x:v>
      </x:c>
      <x:c r="D21" s="78" t="str">
        <x:v>N/A</x:v>
      </x:c>
      <x:c r="E21" s="78" t="str">
        <x:v>Medium</x:v>
      </x:c>
      <x:c r="F21" s="78" t="str">
        <x:v>Jason</x:v>
      </x:c>
      <x:c r="G21" s="78" t="str">
        <x:v>Re-authenticate gh or create the draft pull request through an authorized GitHub session. Target main from codex/stabilization-improvement-loop, run all checks, and review before merge.</x:v>
      </x:c>
      <x:c r="H21" s="78" t="str">
        <x:v>Open</x:v>
      </x:c>
      <x:c r="I21" s="78" t="n">
        <x:v>46220</x:v>
      </x:c>
      <x:c r="J21" s="78" t="str">
        <x:v>Acceptance is complete and the branch is safely pushed. This remains an integration-control issue, not a local code or test blocker. IMP-006 tracks the permanent closeout rule.</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Verified - acceptance pending</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 13c2527; D-048</x:v>
      </x:c>
      <x:c r="G48" s="78" t="str">
        <x:v>P2.1 acceptance and P2.2 definition authorization</x:v>
      </x:c>
      <x:c r="H48" s="78" t="str">
        <x:v>Accepted</x:v>
      </x:c>
      <x:c r="I48" s="78" t="str">
        <x:v>Focused tests 26 passed; full frozen regression 197 passed/1 expected skip; repository validation 5/5; Ruff passed; coverage 84.33%. Integration PR creation remains operationally pending because gh authentication is invalid and the connected GitHub app returned 403 for PR creation.</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Verified - acceptance pending</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relationship-slice definition review-ready</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accepted. The first P2.2 drawing-register-to-metadata revision slice is defined and review-ready, but relationship behavior remains unimplemented.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Review and accept, revise, or reject the first P2.2 relationship-slice definition. Re-authenticate GitHub CLI and integrate the accepted feature chain. Do not implement P2.2 until the definition is accepted.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Stabilization and P2.1 were accepted on 2026-07-17. The first P2.2 definition freezes check drawing_register_metadata_revision v0.3.0, authority rule AUTH-DWG-001, exact drawing-number joining, a high-severity release-hold mismatch, both evidence locators, stable identity, a separate relationships.py module boundary, future P2.4/P3 handoff, acceptance tests, and exclusions. It is review-ready with no relationship implementation, fixture/golden change, package-state routing, report, CLI, protected held-out semantic execution, or deferred capability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631bcc372e548b6"/>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codex/stabilization-improvement-loop; commits e1ada72 and 13c2527; 26 focused tests passed; full 197 passed/1 skipped; validation 5/5; Ruff passed; coverage 84.33%; D-047; D-048; EV-044; EV-045</x:v>
      </x:c>
      <x:c r="Q11" s="431" t="str">
        <x:v>Integrate the accepted feature chain through one reviewed pull request and green remote checks. Preserve P2.1 as the accepted predecessor for P2.2.</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99"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x:v>
      </x:c>
      <x:c r="M12" s="662" t="n">
        <x:f>SUMIF('Work Block Log'!$E$5:$E$200,A12,'Work Block Log'!$F$5:$F$200)</x:f>
        <x:v>0</x:v>
      </x:c>
      <x:c r="N12" s="662" t="n">
        <x:f>MAX(F12*(1-L12),0)</x:f>
        <x:v>4</x:v>
      </x:c>
      <x:c r="O12" s="662" t="n">
        <x:f>M12-F12</x:f>
        <x:v>-4</x:v>
      </x:c>
      <x:c r="P12" s="431" t="str">
        <x:v>codex/p2.2-relationship-slice-definition; docs/package_assurance/p2_2_relationship_slice_definition_v0.3.0.md; D-048; D-049; EV-045; EV-046; no P2.2 implementation present</x:v>
      </x:c>
      <x:c r="Q12" s="431" t="str">
        <x:v>Review and accept, revise, or reject the drawing-register-to-metadata revision definition. Authorize implementation separately only after acceptance.</x:v>
      </x:c>
      <x:c r="R12" s="431" t="str">
        <x:v>Definition is review-ready. It freezes AUTH-DWG-001, check ID/version, exact fault/evidence, deterministic identity, relationships.py boundary, downstream handoff, tests, and exclusions. No executable P2.2 behavior or protected-asset change was added.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Accepted / P2.2 Definition Review Ready</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Relationship-slice definition review</x:v>
      </x:c>
      <x:c r="H4" s="697"/>
    </x:row>
    <x:row r="5" ht="63" customHeight="1">
      <x:c r="A5" s="688" t="str">
        <x:v>Schedule Baseline</x:v>
      </x:c>
      <x:c r="B5" s="693" t="str">
        <x:v>Legacy only; not controlling</x:v>
      </x:c>
      <x:c r="C5" s="691"/>
      <x:c r="D5" s="691"/>
      <x:c r="F5" s="696" t="str">
        <x:v>Objective</x:v>
      </x:c>
      <x:c r="G5" s="697" t="str">
        <x:v>Review one drawing-register-to-metadata revision check and its downstream handoff without adding executable P2.2 behavior.</x:v>
      </x:c>
      <x:c r="H5" s="697"/>
    </x:row>
    <x:row r="6" ht="54" customHeight="1">
      <x:c r="A6" s="688" t="str">
        <x:v>Time Tracking</x:v>
      </x:c>
      <x:c r="B6" s="693" t="str">
        <x:v>Waived prospectively</x:v>
      </x:c>
      <x:c r="C6" s="691"/>
      <x:c r="D6" s="691"/>
      <x:c r="F6" s="696" t="str">
        <x:v>Gate Status</x:v>
      </x:c>
      <x:c r="G6" s="697" t="str">
        <x:v>P2.1 accepted; 26 focused tests passed; full regression 197 passed/1 skipped; validation 5/5; Ruff passed; coverage 84.33%.</x:v>
      </x:c>
      <x:c r="H6" s="697"/>
    </x:row>
    <x:row r="7" ht="54" customHeight="1">
      <x:c r="A7" s="688" t="str">
        <x:v>Current Gate</x:v>
      </x:c>
      <x:c r="B7" s="694" t="str">
        <x:v>P2.2 relationship-slice definition review</x:v>
      </x:c>
      <x:c r="C7" s="691"/>
      <x:c r="D7" s="691"/>
      <x:c r="F7" s="696" t="str">
        <x:v>Definition of Done</x:v>
      </x:c>
      <x:c r="G7" s="697" t="str">
        <x:v>User acceptance of the definition plus integrated accepted feature chain and green remote checks.</x:v>
      </x:c>
      <x:c r="H7" s="697"/>
    </x:row>
    <x:row r="8" ht="54" customHeight="1">
      <x:c r="A8" s="688" t="str">
        <x:v>Released Kernel</x:v>
      </x:c>
      <x:c r="B8" s="691" t="str">
        <x:v>v0.2.0 / commit 45336a2</x:v>
      </x:c>
      <x:c r="C8" s="691"/>
      <x:c r="D8" s="691"/>
      <x:c r="F8" s="696" t="str">
        <x:v>Immediate Next Action</x:v>
      </x:c>
      <x:c r="G8" s="697" t="str">
        <x:v>Accept, revise, or reject the frozen authority, join, fault, evidence, tests, module boundary, downstream handoff, and exclusions.</x:v>
      </x:c>
      <x:c r="H8" s="697"/>
    </x:row>
    <x:row r="9" ht="63" customHeight="1">
      <x:c r="A9" s="688" t="str">
        <x:v>Release Target</x:v>
      </x:c>
      <x:c r="B9" s="691" t="str">
        <x:v>v0.3.0</x:v>
      </x:c>
      <x:c r="C9" s="691"/>
      <x:c r="D9" s="691"/>
      <x:c r="F9" s="696" t="str">
        <x:v>Primary Risk</x:v>
      </x:c>
      <x:c r="G9" s="697" t="str">
        <x:v>Integration PR is pending because GitHub CLI authentication is invalid and the connected app lacks PR-write permission.</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accepted; P2.2 definition review-ready; P2.2 implementation not started</x:v>
      </x:c>
      <x:c r="D17" s="700" t="n">
        <x:f>AVERAGE('Pilot Gantt'!L11:L14)</x:f>
        <x:v>0.25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D-045; D-046; D-047; D-048; EV-042; EV-043; EV-044; EV-045; focused 26; full 197/1; coverage 84.33%</x:v>
      </x:c>
      <x:c r="H26" s="431" t="str">
        <x:v>Jason</x:v>
      </x:c>
    </x:row>
    <x:row r="27" ht="108" customHeight="1">
      <x:c r="A27" s="431" t="n">
        <x:v>4</x:v>
      </x:c>
      <x:c r="B27" s="431" t="str">
        <x:v>P2.2</x:v>
      </x:c>
      <x:c r="C27" s="431" t="str">
        <x:v>First relationship-slice definition</x:v>
      </x:c>
      <x:c r="D27" s="431" t="str">
        <x:v>Freeze one drawing-register-to-metadata revision check, exact evidence and outcome, downstream handoff, module boundary, tests, and exclusions before implementation.</x:v>
      </x:c>
      <x:c r="E27" s="431" t="str">
        <x:v>Review Ready</x:v>
      </x:c>
      <x:c r="F27" s="431" t="str">
        <x:v>codex/p2.2-relationship-slice-definition</x:v>
      </x:c>
      <x:c r="G27" s="431" t="str">
        <x:v>D-048; D-049; EV-045; EV-046; p2_2_relationship_slice_definition_v0.3.0.md</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