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6c5f5a96f1a4a0f" /></Relationships>
</file>

<file path=xl/workbook.xml><?xml version="1.0" encoding="utf-8"?>
<x:workbook xmlns:x="http://schemas.openxmlformats.org/spreadsheetml/2006/main">
  <x:sheets>
    <x:sheet xmlns:r="http://schemas.openxmlformats.org/officeDocument/2006/relationships" name="Start Here" sheetId="1" r:id="Rac7c92517af04da3"/>
    <x:sheet xmlns:r="http://schemas.openxmlformats.org/officeDocument/2006/relationships" name="Executive Gantt" sheetId="2" r:id="Raa4deeb5e0a14024"/>
    <x:sheet xmlns:r="http://schemas.openxmlformats.org/officeDocument/2006/relationships" name="Detailed Gantt" sheetId="3" r:id="R1d43f7ef671540eb"/>
    <x:sheet xmlns:r="http://schemas.openxmlformats.org/officeDocument/2006/relationships" name="Weekly Control" sheetId="4" r:id="Re1b3caf4320745b8"/>
    <x:sheet xmlns:r="http://schemas.openxmlformats.org/officeDocument/2006/relationships" name="Phase Summary" sheetId="5" r:id="R0bddc6c4e4dd405f"/>
    <x:sheet xmlns:r="http://schemas.openxmlformats.org/officeDocument/2006/relationships" name="Assumptions &amp; Gates" sheetId="6" r:id="Rb7ef65a3ba43433f"/>
    <x:sheet xmlns:r="http://schemas.openxmlformats.org/officeDocument/2006/relationships" name="Sources" sheetId="7" r:id="R1858c164e0a74455"/>
    <x:sheet xmlns:r="http://schemas.openxmlformats.org/officeDocument/2006/relationships" name="Legacy Baseline" sheetId="8" r:id="Rcf9b0fb25227488d"/>
    <x:sheet xmlns:r="http://schemas.openxmlformats.org/officeDocument/2006/relationships" name="Work Block Log" sheetId="9" r:id="R909bcc6368de4256"/>
    <x:sheet xmlns:r="http://schemas.openxmlformats.org/officeDocument/2006/relationships" name="Decision Register" sheetId="10" r:id="Rfe89bc1bb4e94c69"/>
    <x:sheet xmlns:r="http://schemas.openxmlformats.org/officeDocument/2006/relationships" name="Risks &amp; Issues" sheetId="11" r:id="R833f120e0c80452d"/>
    <x:sheet xmlns:r="http://schemas.openxmlformats.org/officeDocument/2006/relationships" name="Evidence Register" sheetId="12" r:id="R57173444d4f545f0"/>
    <x:sheet xmlns:r="http://schemas.openxmlformats.org/officeDocument/2006/relationships" name="Expansion Backlog" sheetId="13" r:id="R5a8effb856c94cb3"/>
    <x:sheet xmlns:r="http://schemas.openxmlformats.org/officeDocument/2006/relationships" name="AI Context" sheetId="14" r:id="R75bcad036d954f10"/>
    <x:sheet xmlns:r="http://schemas.openxmlformats.org/officeDocument/2006/relationships" name="MVP Dashboard" sheetId="15" r:id="R38e721fec70844c4"/>
    <x:sheet xmlns:r="http://schemas.openxmlformats.org/officeDocument/2006/relationships" name="Product Vision" sheetId="16" r:id="R3b5d4aab6bbd471d"/>
    <x:sheet xmlns:r="http://schemas.openxmlformats.org/officeDocument/2006/relationships" name="Pilot Gantt" sheetId="17" r:id="R05b7a4d04328476f"/>
    <x:sheet xmlns:r="http://schemas.openxmlformats.org/officeDocument/2006/relationships" name="Pilot Dashboard" sheetId="18" r:id="Rb2339f9cc29f4b16"/>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<x:sst xmlns:x="http://schemas.openxmlformats.org/spreadsheetml/2006/main">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</x:sst>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3553c8f0b604072" /><Relationship Type="http://schemas.openxmlformats.org/officeDocument/2006/relationships/theme" Target="/xl/theme/theme1.xml" Id="Ra263045e41ae4927" /><Relationship Type="http://schemas.openxmlformats.org/officeDocument/2006/relationships/sharedStrings" Target="/xl/sharedStrings.xml" Id="R3e1ab15210764dc5" /><Relationship Type="http://schemas.openxmlformats.org/officeDocument/2006/relationships/worksheet" Target="/xl/worksheets/sheet1.xml" Id="Rac7c92517af04da3" /><Relationship Type="http://schemas.openxmlformats.org/officeDocument/2006/relationships/worksheet" Target="/xl/worksheets/sheet2.xml" Id="Raa4deeb5e0a14024" /><Relationship Type="http://schemas.openxmlformats.org/officeDocument/2006/relationships/worksheet" Target="/xl/worksheets/sheet3.xml" Id="R1d43f7ef671540eb" /><Relationship Type="http://schemas.openxmlformats.org/officeDocument/2006/relationships/worksheet" Target="/xl/worksheets/sheet4.xml" Id="Re1b3caf4320745b8" /><Relationship Type="http://schemas.openxmlformats.org/officeDocument/2006/relationships/worksheet" Target="/xl/worksheets/sheet5.xml" Id="R0bddc6c4e4dd405f" /><Relationship Type="http://schemas.openxmlformats.org/officeDocument/2006/relationships/worksheet" Target="/xl/worksheets/sheet6.xml" Id="Rb7ef65a3ba43433f" /><Relationship Type="http://schemas.openxmlformats.org/officeDocument/2006/relationships/worksheet" Target="/xl/worksheets/sheet7.xml" Id="R1858c164e0a74455" /><Relationship Type="http://schemas.openxmlformats.org/officeDocument/2006/relationships/worksheet" Target="/xl/worksheets/sheet8.xml" Id="Rcf9b0fb25227488d" /><Relationship Type="http://schemas.openxmlformats.org/officeDocument/2006/relationships/worksheet" Target="/xl/worksheets/sheet9.xml" Id="R909bcc6368de4256" /><Relationship Type="http://schemas.openxmlformats.org/officeDocument/2006/relationships/worksheet" Target="/xl/worksheets/sheet10.xml" Id="Rfe89bc1bb4e94c69" /><Relationship Type="http://schemas.openxmlformats.org/officeDocument/2006/relationships/worksheet" Target="/xl/worksheets/sheet11.xml" Id="R833f120e0c80452d" /><Relationship Type="http://schemas.openxmlformats.org/officeDocument/2006/relationships/worksheet" Target="/xl/worksheets/sheet12.xml" Id="R57173444d4f545f0" /><Relationship Type="http://schemas.openxmlformats.org/officeDocument/2006/relationships/worksheet" Target="/xl/worksheets/sheet13.xml" Id="R5a8effb856c94cb3" /><Relationship Type="http://schemas.openxmlformats.org/officeDocument/2006/relationships/worksheet" Target="/xl/worksheets/sheet14.xml" Id="R75bcad036d954f10" /><Relationship Type="http://schemas.openxmlformats.org/officeDocument/2006/relationships/worksheet" Target="/xl/worksheets/sheet15.xml" Id="R38e721fec70844c4" /><Relationship Type="http://schemas.openxmlformats.org/officeDocument/2006/relationships/worksheet" Target="/xl/worksheets/sheet16.xml" Id="R3b5d4aab6bbd471d" /><Relationship Type="http://schemas.openxmlformats.org/officeDocument/2006/relationships/worksheet" Target="/xl/worksheets/sheet17.xml" Id="R05b7a4d04328476f" /><Relationship Type="http://schemas.openxmlformats.org/officeDocument/2006/relationships/worksheet" Target="/xl/worksheets/sheet18.xml" Id="Rb2339f9cc29f4b16" /></Relationships>
</file>

<file path=xl/drawings/_rels/drawing1.xml.rels>&#65279;<?xml version="1.0" encoding="utf-8"?><Relationships xmlns="http://schemas.openxmlformats.org/package/2006/relationships"><Relationship Type="http://schemas.openxmlformats.org/officeDocument/2006/relationships/chart" Target="/xl/drawings/charts/chart1.xml" Id="Reaacdca20c254c39" /></Relationships>
</file>

<file path=xl/drawings/_rels/drawing2.xml.rels>&#65279;<?xml version="1.0" encoding="utf-8"?><Relationships xmlns="http://schemas.openxmlformats.org/package/2006/relationships"><Relationship Type="http://schemas.openxmlformats.org/officeDocument/2006/relationships/chart" Target="/xl/drawings/charts/chart2.xml" Id="Re408e7325e904e64" /></Relationships>
</file>

<file path=xl/drawings/_rels/drawing3.xml.rels>&#65279;<?xml version="1.0" encoding="utf-8"?><Relationships xmlns="http://schemas.openxmlformats.org/package/2006/relationships"><Relationship Type="http://schemas.openxmlformats.org/officeDocument/2006/relationships/chart" Target="/xl/drawings/charts/chart3.xml" Id="R2574f7f324f14d74"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aacdca20c254c39"/>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408e7325e904e64"/>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574f7f324f14d74"/>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432714f5d5164929" /></Relationships>
</file>

<file path=xl/worksheets/_rels/sheet5.xml.rels>&#65279;<?xml version="1.0" encoding="utf-8"?><Relationships xmlns="http://schemas.openxmlformats.org/package/2006/relationships"><Relationship Type="http://schemas.openxmlformats.org/officeDocument/2006/relationships/drawing" Target="/xl/drawings/drawing2.xml" Id="Rb62d0ad97ed6417f" /></Relationships>
</file>

<file path=xl/worksheets/_rels/sheet15.xml.rels>&#65279;<?xml version="1.0" encoding="utf-8"?><Relationships xmlns="http://schemas.openxmlformats.org/package/2006/relationships"><Relationship Type="http://schemas.openxmlformats.org/officeDocument/2006/relationships/drawing" Target="/xl/drawings/drawing3.xml" Id="Re7dd11adb29f4e8e"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three P2.2 drawing checks integrated; fourth definition proposed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drawing file-reference agreement definition review</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Review drawing register/metadata file-reference agreement definition</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Accept, revise, or reject the fourth-slice definition before any implementation</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80" hidden="0" customHeight="1">
      <x:c r="A28" s="704" t="str">
        <x:v>PR #33 integrated the accepted drawing_metadata_register_authority implementation and acceptance record to exact main 8d7f314. Merged-tree verification passes 40 focused tests, 211 full-suite tests with one expected skip, validation 5/5, Ruff, and 85.37% coverage. The proposed fourth slice compares drawing-register and drawing-metadata file_ref_id values under AUTH-DWG-002. A temporary wrong-but-valid fault leaves all eight P2.1 gates and the three integrated P2.2 checks passing, proving the gap. Review the definition before any code change.</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432714f5d5164929"/>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b62d0ad97ed6417f"/>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Active</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docs/package_assurance/p2_2_drawing_file_reference_definition_v0.3.0.md; AUTH-DWG-002; workflow_contract_v0.3.0.md; models.py; relationships.py; development source layouts; temporary wrong-valid probe; D-065; EV-062-EV-063; IMP-010</x:v>
      </x:c>
      <x:c r="H69" s="78" t="str">
        <x:v>Ready for explicit user definition review. Implementation, manifest reciprocity, undeclared source-reference handling, routing, reports, CLI changes, semantic held-out evaluation, protected-asset changes, and deferred capabilities remain blocked.</x:v>
      </x:c>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x:v>
      </x:c>
      <x:c r="E66" s="78" t="str">
        <x:v>Documentation / Contract review / Source inspection / Temporary probe / Project control</x:v>
      </x:c>
      <x:c r="F66" s="78" t="str">
        <x:v>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drawing file-reference agreement definition review</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Three accepted P2.2 drawing checks are integrated and verified through exact main 8d7f314. The fourth drawing-register/metadata file-reference agreement check is definition only under AUTH-DWG-002. Remaining P2.2 relationships, P2.3 rules, P2.4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Review the fourth-slice definition; do not implement before explicit acceptance and definition integration.</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71" hidden="0" customHeight="1">
      <x:c r="A41" s="604" t="str">
        <x:v>Immediate implication</x:v>
      </x:c>
      <x:c r="B41" s="605"/>
      <x:c r="C41" s="606" t="str">
        <x:v>PR #33 merged the accepted third check at exact main 8d7f314 and merged-tree verification passed. The proposed fourth check compares exact drawing pairs under AUTH-DWG-002. Register file_ref_id is expected; metadata file_ref_id is actual. A mismatch routes to automatic_fail, high severity, release_hold true, document_control, with both field locators and both manifest file-resolution locators. The definition explicitly defers shared undeclared references and full manifest reciprocity.</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e7dd11adb29f4e8e"/>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80"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0.45</x:v>
      </x:c>
      <x:c r="M12" s="662" t="n">
        <x:f>SUMIF('Work Block Log'!$E$5:$E$200,A12,'Work Block Log'!$F$5:$F$200)</x:f>
        <x:v>0</x:v>
      </x:c>
      <x:c r="N12" s="662" t="n">
        <x:f>MAX(F12*(1-L12),0)</x:f>
        <x:v>2.2</x:v>
      </x:c>
      <x:c r="O12" s="662" t="n">
        <x:f>M12-F12</x:f>
        <x:v>-4</x:v>
      </x:c>
      <x:c r="P12" s="431" t="str">
        <x:v>three drawing checks integrated through PR #33 at exact main 8d7f314; fourth file-reference agreement definition proposed on codex/p2.2-drawing-file-reference-definition; D-049-D-066; EV-046-EV-063; exact main focused 40; full 211/1; validation 5/5; Ruff; coverage 85.37%; isolated wrong-valid probe passes 8/8 gates and 3/3 existing checks</x:v>
      </x:c>
      <x:c r="Q12" s="431" t="str">
        <x:v>Review and accept, revise, or reject the fourth-slice definition before implementation or broader relationship work.</x:v>
      </x:c>
      <x:c r="R12" s="431" t="str">
        <x:v>Three drawing checks are integrated. The fourth file-reference agreement contract is proposed only. P2.2 remains 45% because no fourth executable behavior is accepted.</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0.3652173913043478</x:v>
      </x:c>
      <x:c r="M24" s="683" t="n">
        <x:f>SUM(M6:M22)</x:f>
        <x:v>0</x:v>
      </x:c>
      <x:c r="N24" s="683" t="n">
        <x:f>SUM(N6:N22)</x:f>
        <x:v>29.2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File-Reference Definition Review</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Drawing register/metadata file-reference agreement definition</x:v>
      </x:c>
      <x:c r="H4" s="697"/>
    </x:row>
    <x:row r="5" ht="54" customHeight="1">
      <x:c r="A5" s="688" t="str">
        <x:v>Schedule Baseline</x:v>
      </x:c>
      <x:c r="B5" s="693" t="str">
        <x:v>Legacy only; not controlling</x:v>
      </x:c>
      <x:c r="C5" s="691"/>
      <x:c r="D5" s="691"/>
      <x:c r="F5" s="696" t="str">
        <x:v>Objective</x:v>
      </x:c>
      <x:c r="G5" s="697" t="str">
        <x:v>Freeze one deterministic AUTH-DWG-002 check for wrong-but-valid file references on exact drawing pairs.</x:v>
      </x:c>
      <x:c r="H5" s="697"/>
    </x:row>
    <x:row r="6" ht="54" customHeight="1">
      <x:c r="A6" s="688" t="str">
        <x:v>Time Tracking</x:v>
      </x:c>
      <x:c r="B6" s="693" t="str">
        <x:v>Waived prospectively</x:v>
      </x:c>
      <x:c r="C6" s="691"/>
      <x:c r="D6" s="691"/>
      <x:c r="F6" s="696" t="str">
        <x:v>Gate Status</x:v>
      </x:c>
      <x:c r="G6" s="697" t="str">
        <x:v>PR #33 is integrated at main 8d7f314. The isolated fault passes 8/8 gates and all three current checks.</x:v>
      </x:c>
      <x:c r="H6" s="697"/>
    </x:row>
    <x:row r="7" ht="54" customHeight="1">
      <x:c r="A7" s="688" t="str">
        <x:v>Current Gate</x:v>
      </x:c>
      <x:c r="B7" s="694" t="str">
        <x:v>P2.2 drawing file-reference agreement definition review</x:v>
      </x:c>
      <x:c r="C7" s="691"/>
      <x:c r="D7" s="691"/>
      <x:c r="F7" s="696" t="str">
        <x:v>Definition of Done</x:v>
      </x:c>
      <x:c r="G7" s="697" t="str">
        <x:v>Ten review decisions, exact evidence, exclusions, and acceptance tests are approved before code begins.</x:v>
      </x:c>
      <x:c r="H7" s="697"/>
    </x:row>
    <x:row r="8" ht="63" customHeight="1">
      <x:c r="A8" s="688" t="str">
        <x:v>Released Kernel</x:v>
      </x:c>
      <x:c r="B8" s="691" t="str">
        <x:v>v0.2.0 / commit 45336a2</x:v>
      </x:c>
      <x:c r="C8" s="691"/>
      <x:c r="D8" s="691"/>
      <x:c r="F8" s="696" t="str">
        <x:v>Immediate Next Action</x:v>
      </x:c>
      <x:c r="G8" s="697" t="str">
        <x:v>Review and accept, revise, or reject the fourth-slice definition.</x:v>
      </x:c>
      <x:c r="H8" s="697"/>
    </x:row>
    <x:row r="9" ht="63" customHeight="1">
      <x:c r="A9" s="688" t="str">
        <x:v>Release Target</x:v>
      </x:c>
      <x:c r="B9" s="691" t="str">
        <x:v>v0.3.0</x:v>
      </x:c>
      <x:c r="C9" s="691"/>
      <x:c r="D9" s="691"/>
      <x:c r="F9" s="696" t="str">
        <x:v>Primary Risk</x:v>
      </x:c>
      <x:c r="G9" s="697" t="str">
        <x:v>Primary risk is treating cross-source agreement as complete manifest-to-file assurance.</x:v>
      </x:c>
      <x:c r="H9" s="697"/>
    </x:row>
    <x:row r="10" ht="63" customHeight="1">
      <x:c r="A10" s="688" t="str">
        <x:v>Baseline Test Count</x:v>
      </x:c>
      <x:c r="B10" s="691" t="n">
        <x:v>121</x:v>
      </x:c>
      <x:c r="C10" s="691"/>
      <x:c r="D10" s="691"/>
      <x:c r="F10" s="696" t="str">
        <x:v>Deferred</x:v>
      </x:c>
      <x:c r="G10" s="697" t="str">
        <x:v>Executable behavior, manifest reciprocity, undeclared source references, routing, reports, CLI,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Three checks integrated; fourth definition proposed; broader P2.2 open</x:v>
      </x:c>
      <x:c r="D17" s="700" t="n">
        <x:f>AVERAGE('Pilot Gantt'!L11:L14)</x:f>
        <x:v>0.3625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53" customHeight="1">
      <x:c r="A27" s="431" t="n">
        <x:v>4</x:v>
      </x:c>
      <x:c r="B27" s="431" t="str">
        <x:v>P2.2</x:v>
      </x:c>
      <x:c r="C27" s="431" t="str">
        <x:v>Drawing file-reference agreement definition</x:v>
      </x:c>
      <x:c r="D27" s="431" t="str">
        <x:v>Freeze the fourth relationship check under AUTH-DWG-002 without adding executable behavior.</x:v>
      </x:c>
      <x:c r="E27" s="431" t="str">
        <x:v>Proposed / Review</x:v>
      </x:c>
      <x:c r="F27" s="431" t="str">
        <x:v>codex/p2.2-drawing-file-reference-definition</x:v>
      </x:c>
      <x:c r="G27" s="431" t="str">
        <x:v>PR #33 main 8d7f314; D-065-D-066; EV-062-EV-063; focused 40; full 211/1; validation 5/5; Ruff; coverage 85.37%; wrong-valid probe 8/8 gates and 3/3 existing checks pass; implementation blocked</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