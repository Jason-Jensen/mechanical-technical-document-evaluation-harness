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705f33389654c04" /></Relationships>
</file>

<file path=xl/workbook.xml><?xml version="1.0" encoding="utf-8"?>
<x:workbook xmlns:x="http://schemas.openxmlformats.org/spreadsheetml/2006/main">
  <x:sheets>
    <x:sheet xmlns:r="http://schemas.openxmlformats.org/officeDocument/2006/relationships" name="Start Here" sheetId="1" r:id="Re311b312c3c1400a"/>
    <x:sheet xmlns:r="http://schemas.openxmlformats.org/officeDocument/2006/relationships" name="Executive Gantt" sheetId="2" r:id="R9a412e09690a43d5"/>
    <x:sheet xmlns:r="http://schemas.openxmlformats.org/officeDocument/2006/relationships" name="Detailed Gantt" sheetId="3" r:id="Reb7fad567e1f4416"/>
    <x:sheet xmlns:r="http://schemas.openxmlformats.org/officeDocument/2006/relationships" name="Weekly Control" sheetId="4" r:id="R7621fd73a7d74c1e"/>
    <x:sheet xmlns:r="http://schemas.openxmlformats.org/officeDocument/2006/relationships" name="Phase Summary" sheetId="5" r:id="R6429902f259e4aac"/>
    <x:sheet xmlns:r="http://schemas.openxmlformats.org/officeDocument/2006/relationships" name="Assumptions &amp; Gates" sheetId="6" r:id="Rcaa44e2ebbec4d51"/>
    <x:sheet xmlns:r="http://schemas.openxmlformats.org/officeDocument/2006/relationships" name="Sources" sheetId="7" r:id="Rec11257b36c5461d"/>
    <x:sheet xmlns:r="http://schemas.openxmlformats.org/officeDocument/2006/relationships" name="Legacy Baseline" sheetId="8" r:id="R04ac1b6aeab4484c"/>
    <x:sheet xmlns:r="http://schemas.openxmlformats.org/officeDocument/2006/relationships" name="Work Block Log" sheetId="9" r:id="R8c89232f5ec440f7"/>
    <x:sheet xmlns:r="http://schemas.openxmlformats.org/officeDocument/2006/relationships" name="Decision Register" sheetId="10" r:id="Rb55321797ac34d04"/>
    <x:sheet xmlns:r="http://schemas.openxmlformats.org/officeDocument/2006/relationships" name="Risks &amp; Issues" sheetId="11" r:id="R6da7eedff09c4a14"/>
    <x:sheet xmlns:r="http://schemas.openxmlformats.org/officeDocument/2006/relationships" name="Evidence Register" sheetId="12" r:id="R7b1c566bce8e47b5"/>
    <x:sheet xmlns:r="http://schemas.openxmlformats.org/officeDocument/2006/relationships" name="Expansion Backlog" sheetId="13" r:id="R12c4874f89ad45ef"/>
    <x:sheet xmlns:r="http://schemas.openxmlformats.org/officeDocument/2006/relationships" name="AI Context" sheetId="14" r:id="R8d59bc8a6f8843b1"/>
    <x:sheet xmlns:r="http://schemas.openxmlformats.org/officeDocument/2006/relationships" name="MVP Dashboard" sheetId="15" r:id="R0a2a0140eea04bfa"/>
    <x:sheet xmlns:r="http://schemas.openxmlformats.org/officeDocument/2006/relationships" name="Product Vision" sheetId="16" r:id="R886ece148865448e"/>
    <x:sheet xmlns:r="http://schemas.openxmlformats.org/officeDocument/2006/relationships" name="Pilot Gantt" sheetId="17" r:id="R01c59ab4e4a74302"/>
    <x:sheet xmlns:r="http://schemas.openxmlformats.org/officeDocument/2006/relationships" name="Pilot Dashboard" sheetId="18" r:id="R84802a290cd84be9"/>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<x:sst xmlns:x="http://schemas.openxmlformats.org/spreadsheetml/2006/main">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</x:sst>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1385b69b5a42f1" /><Relationship Type="http://schemas.openxmlformats.org/officeDocument/2006/relationships/theme" Target="/xl/theme/theme1.xml" Id="Rc17bc0ad31504107" /><Relationship Type="http://schemas.openxmlformats.org/officeDocument/2006/relationships/sharedStrings" Target="/xl/sharedStrings.xml" Id="R57c506dab28b48ec" /><Relationship Type="http://schemas.openxmlformats.org/officeDocument/2006/relationships/worksheet" Target="/xl/worksheets/sheet1.xml" Id="Re311b312c3c1400a" /><Relationship Type="http://schemas.openxmlformats.org/officeDocument/2006/relationships/worksheet" Target="/xl/worksheets/sheet2.xml" Id="R9a412e09690a43d5" /><Relationship Type="http://schemas.openxmlformats.org/officeDocument/2006/relationships/worksheet" Target="/xl/worksheets/sheet3.xml" Id="Reb7fad567e1f4416" /><Relationship Type="http://schemas.openxmlformats.org/officeDocument/2006/relationships/worksheet" Target="/xl/worksheets/sheet4.xml" Id="R7621fd73a7d74c1e" /><Relationship Type="http://schemas.openxmlformats.org/officeDocument/2006/relationships/worksheet" Target="/xl/worksheets/sheet5.xml" Id="R6429902f259e4aac" /><Relationship Type="http://schemas.openxmlformats.org/officeDocument/2006/relationships/worksheet" Target="/xl/worksheets/sheet6.xml" Id="Rcaa44e2ebbec4d51" /><Relationship Type="http://schemas.openxmlformats.org/officeDocument/2006/relationships/worksheet" Target="/xl/worksheets/sheet7.xml" Id="Rec11257b36c5461d" /><Relationship Type="http://schemas.openxmlformats.org/officeDocument/2006/relationships/worksheet" Target="/xl/worksheets/sheet8.xml" Id="R04ac1b6aeab4484c" /><Relationship Type="http://schemas.openxmlformats.org/officeDocument/2006/relationships/worksheet" Target="/xl/worksheets/sheet9.xml" Id="R8c89232f5ec440f7" /><Relationship Type="http://schemas.openxmlformats.org/officeDocument/2006/relationships/worksheet" Target="/xl/worksheets/sheet10.xml" Id="Rb55321797ac34d04" /><Relationship Type="http://schemas.openxmlformats.org/officeDocument/2006/relationships/worksheet" Target="/xl/worksheets/sheet11.xml" Id="R6da7eedff09c4a14" /><Relationship Type="http://schemas.openxmlformats.org/officeDocument/2006/relationships/worksheet" Target="/xl/worksheets/sheet12.xml" Id="R7b1c566bce8e47b5" /><Relationship Type="http://schemas.openxmlformats.org/officeDocument/2006/relationships/worksheet" Target="/xl/worksheets/sheet13.xml" Id="R12c4874f89ad45ef" /><Relationship Type="http://schemas.openxmlformats.org/officeDocument/2006/relationships/worksheet" Target="/xl/worksheets/sheet14.xml" Id="R8d59bc8a6f8843b1" /><Relationship Type="http://schemas.openxmlformats.org/officeDocument/2006/relationships/worksheet" Target="/xl/worksheets/sheet15.xml" Id="R0a2a0140eea04bfa" /><Relationship Type="http://schemas.openxmlformats.org/officeDocument/2006/relationships/worksheet" Target="/xl/worksheets/sheet16.xml" Id="R886ece148865448e" /><Relationship Type="http://schemas.openxmlformats.org/officeDocument/2006/relationships/worksheet" Target="/xl/worksheets/sheet17.xml" Id="R01c59ab4e4a74302" /><Relationship Type="http://schemas.openxmlformats.org/officeDocument/2006/relationships/worksheet" Target="/xl/worksheets/sheet18.xml" Id="R84802a290cd84be9" /></Relationships>
</file>

<file path=xl/drawings/_rels/drawing1.xml.rels>&#65279;<?xml version="1.0" encoding="utf-8"?><Relationships xmlns="http://schemas.openxmlformats.org/package/2006/relationships"><Relationship Type="http://schemas.openxmlformats.org/officeDocument/2006/relationships/chart" Target="/xl/drawings/charts/chart1.xml" Id="R2fc6e7cf82b94b48" /></Relationships>
</file>

<file path=xl/drawings/_rels/drawing2.xml.rels>&#65279;<?xml version="1.0" encoding="utf-8"?><Relationships xmlns="http://schemas.openxmlformats.org/package/2006/relationships"><Relationship Type="http://schemas.openxmlformats.org/officeDocument/2006/relationships/chart" Target="/xl/drawings/charts/chart2.xml" Id="R4a91616034f34f17" /></Relationships>
</file>

<file path=xl/drawings/_rels/drawing3.xml.rels>&#65279;<?xml version="1.0" encoding="utf-8"?><Relationships xmlns="http://schemas.openxmlformats.org/package/2006/relationships"><Relationship Type="http://schemas.openxmlformats.org/officeDocument/2006/relationships/chart" Target="/xl/drawings/charts/chart3.xml" Id="R129683d830e74cd6"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fc6e7cf82b94b4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a91616034f34f17"/>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29683d830e74cd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6ddb2a0c8b7457a" /></Relationships>
</file>

<file path=xl/worksheets/_rels/sheet5.xml.rels>&#65279;<?xml version="1.0" encoding="utf-8"?><Relationships xmlns="http://schemas.openxmlformats.org/package/2006/relationships"><Relationship Type="http://schemas.openxmlformats.org/officeDocument/2006/relationships/drawing" Target="/xl/drawings/drawing2.xml" Id="Rf459ec2b9ad44185" /></Relationships>
</file>

<file path=xl/worksheets/_rels/sheet15.xml.rels>&#65279;<?xml version="1.0" encoding="utf-8"?><Relationships xmlns="http://schemas.openxmlformats.org/package/2006/relationships"><Relationship Type="http://schemas.openxmlformats.org/officeDocument/2006/relationships/drawing" Target="/xl/drawings/drawing3.xml" Id="Rae2e1e415124409f"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held-out recovery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P4.2 blocked; D-110 contamination and replacement decision required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held-out contamination and replacement definition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D-110; authorize an isolated replacement-family process</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75" hidden="0" customHeight="1">
      <x:c r="A28" s="597" t="str">
        <x:v>P4.1 and D-109 are integrated through PR #61 at exact main 5a4d57e; implementation 4cf9fe8 remains the frozen evaluator/benchmark behavior. During P4.2 definition, the implementation context enumerated held-out path names and opened the top-level freeze record and family review. No protected/*.json or scenario expected/*.json value was surfaced to or inspected by the implementation context, no held-out package was evaluated, no result exists, and no evaluator behavior changed. Existing hosted CI later ran legacy integrity tests that load protected JSON internally without printing values; no semantic audit occurred. The exposed top-level records nevertheless disclosed expected conditions, states, fault identifiers, and protected-asset references. Under accepted contamination Section 15, FAM-HO-INSTRUMENT-AIR-001 is ineligible for release held-out claims. D-110 proposes preserving it unchanged and unexecuted, requiring a materially distinct replacement authored and frozen in an isolated custodian context, excluding protected replacement fixtures from implementation CI before first-run preservation, and keeping all P4.2 execution blocked until that replacement is separately accepted. IMP-023, I-006, EV-143, and EV-144 retain the event and recovery control.</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6ddb2a0c8b7457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459ec2b9ad4418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Proposed</x:v>
      </x:c>
      <x:c r="F113" s="431" t="str">
        <x:v>P4.2 held-out recovery and execution gate</x:v>
      </x:c>
      <x:c r="G113" s="431" t="str">
        <x:v>docs/package_assurance/p4_2_held_out_contamination_and_replacement_gate_v0.3.0.md; PR #61 exact main 5a4d57e; I-006; EV-143-EV-144; IMP-023</x:v>
      </x:c>
      <x:c r="H113" s="431" t="str">
        <x:v>CEO accepts or revises the recovery path. Acceptance authorizes isolated replacement authoring and freeze review only, not semantic execution. Rejecting the classification requires an explicit acceptance-policy change and eliminates the existing release held-out claim.</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Preserve the family unchanged and unexecuted; accept D-110; use an isolated custodian context to author and hash-freeze a materially distinct replacement; prohibit direct and CI-mediated implementer access to every release-eligible held-out family path before first-run evidence is preserved.</x:v>
      </x:c>
      <x:c r="H25" s="431" t="str">
        <x:v>Open</x:v>
      </x:c>
      <x:c r="I25" s="431" t="n">
        <x:v>46224</x:v>
      </x:c>
      <x:c r="J25" s="431" t="str">
        <x:v>No protected or scenario-expected value was surfaced to or inspected by the implementation context, no semantic audit occurred, and no evaluator behavior changed. Hosted CI later ran legacy opaque fixture-integrity tests; no protected values were printed. This is a governance contamination event, not an evaluator or fixture failure.</x:v>
      </x:c>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Ready for CEO review</x:v>
      </x:c>
      <x:c r="I147" s="431" t="str">
        <x:v>P4.2 semantic execution, replacement authoring in this context, P4.3 release work, and held-out release claims remain blocked.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blocked; D-110 replacement decision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P4.1 and D-109 are integrated at exact main 5a4d57e. The existing held-out family remains unexecuted but is contaminated for release claims by pre-run oracle metadata exposure.</x:v>
      </x:c>
      <x:c r="E7" s="765" t="str">
        <x:v>Product interpretation</x:v>
      </x:c>
      <x:c r="F7" s="431" t="str">
        <x:v>Successful kernel; not yet a complete economically useful workflow.</x:v>
      </x:c>
      <x:c r="G7" s="765" t="str">
        <x:v>Response</x:v>
      </x:c>
      <x:c r="H7" s="431" t="str">
        <x:v>Review D-110; do not execute or inspect the exposed family further.</x:v>
      </x:c>
    </x:row>
    <x:row r="8" ht="153" hidden="0" customHeight="1">
      <x:c r="A8" s="765" t="str">
        <x:v>Immediate next action</x:v>
      </x:c>
      <x:c r="B8" s="431" t="str">
        <x:v>D-110 review: preserve the exposed family unchanged, classify it as release-ineligible, and authorize an isolated materially distinct replacement.</x:v>
      </x:c>
      <x:c r="C8" s="765" t="str">
        <x:v>Selected vertical</x:v>
      </x:c>
      <x:c r="D8" s="431" t="str">
        <x:v>D-110 acceptance -&gt; isolated replacement authoring and freeze review -&gt; separate first-run authorization -&gt; one-run held-out comparison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630" hidden="0" customHeight="1">
      <x:c r="A41" s="604" t="str">
        <x:v>Immediate implication</x:v>
      </x:c>
      <x:c r="B41" s="605"/>
      <x:c r="C41" s="606" t="str">
        <x:v>PR #61 integrated accepted P4.1 at exact main 5a4d57e. P4.2 semantic execution has not begun. During definition, this implementation context listed held-out paths and opened ACCESS_CONTROL.md, family_metadata.json, freeze_record.json, family_review.md, and material_distinction.md. No protected or scenario-expected value was surfaced to or inspected by the implementation context and no evaluator behavior changed, but the top-level records disclosed expected conditions and states. Existing hosted CI later ran legacy integrity tests that load protected fixture JSON internally without printing values; it did not run the evaluator. Accepted contamination policy therefore makes FAM-HO-INSTRUMENT-AIR-001 ineligible for release held-out claims. Preserve it unchanged and unexecuted. D-110 proposes an isolated replacement-custodian context that sees public contracts but not evaluator source, development oracles, prior held-out oracle content, or generated results; the replacement must be materially distinct, use only the D-109 semantic boundary, be hash-frozen before execution, be excluded from implementation CI that loads protected assets until first-run evidence is preserved, and receive separate owner acceptance. IMP-023 prevents future direct or CI-mediated access to a release-eligible family. P4.2, P4.3, protected changes, public reruns,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e2e1e415124409f"/>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585"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Blocked / Definition Review</x:v>
      </x:c>
      <x:c r="L19" s="664" t="n">
        <x:v>0.1</x:v>
      </x:c>
      <x:c r="M19" s="662" t="n">
        <x:f>SUMIF('Work Block Log'!$E$5:$E$200,A19,'Work Block Log'!$F$5:$F$200)</x:f>
        <x:v>0</x:v>
      </x:c>
      <x:c r="N19" s="662" t="n">
        <x:f>MAX(F19*(1-L19),0)</x:f>
        <x:v>2.7</x:v>
      </x:c>
      <x:c r="O19" s="662" t="n">
        <x:f>M19-F19</x:f>
        <x:v>-3</x:v>
      </x:c>
      <x:c r="P19" s="431" t="str">
        <x:v>codex/p4.2-held-out-benchmark-definition; D-110 proposed; I-006; EV-144; IMP-023; existing family unexecuted and release-ineligible; exact main 5a4d57e</x:v>
      </x:c>
      <x:c r="Q19" s="431" t="str">
        <x:v>CEO reviews D-110 and, if accepted, authorizes a fresh isolated replacement-family authoring and freeze block only.</x:v>
      </x:c>
      <x:c r="R19" s="431" t="str">
        <x:v>Do not execute, edit, relabel, or inspect the exposed family further. Do not author the replacement in this implementation context. No P4.2 release claim exists.</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0.8108695652173913</x:v>
      </x:c>
      <x:c r="M24" s="683" t="n">
        <x:f>SUM(M6:M22)</x:f>
        <x:v>0</x:v>
      </x:c>
      <x:c r="N24" s="683" t="n">
        <x:f>SUM(N6:N22)</x:f>
        <x:v>8.7</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P4.2 Held-Out Recovery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held-out contamination and replacement definition</x:v>
      </x:c>
      <x:c r="H4" s="697"/>
    </x:row>
    <x:row r="5" ht="72" customHeight="1">
      <x:c r="A5" s="688" t="str">
        <x:v>Schedule Baseline</x:v>
      </x:c>
      <x:c r="B5" s="693" t="str">
        <x:v>Legacy only; not controlling</x:v>
      </x:c>
      <x:c r="C5" s="691"/>
      <x:c r="D5" s="691"/>
      <x:c r="F5" s="696" t="str">
        <x:v>Objective</x:v>
      </x:c>
      <x:c r="G5" s="697" t="str">
        <x:v>Recover a valid release held-out boundary without running, editing, or relabeling the exposed family.</x:v>
      </x:c>
      <x:c r="H5" s="697"/>
    </x:row>
    <x:row r="6" ht="63" customHeight="1">
      <x:c r="A6" s="688" t="str">
        <x:v>Time Tracking</x:v>
      </x:c>
      <x:c r="B6" s="693" t="str">
        <x:v>Waived prospectively</x:v>
      </x:c>
      <x:c r="C6" s="691"/>
      <x:c r="D6" s="691"/>
      <x:c r="F6" s="696" t="str">
        <x:v>Gate Status</x:v>
      </x:c>
      <x:c r="G6" s="697" t="str">
        <x:v>P4.1 exact main 5a4d57e is frozen; existing held-out family remains unexecuted; D-110 and replacement required.</x:v>
      </x:c>
      <x:c r="H6" s="697"/>
    </x:row>
    <x:row r="7" ht="81" customHeight="1">
      <x:c r="A7" s="688" t="str">
        <x:v>Current Gate</x:v>
      </x:c>
      <x:c r="B7" s="694" t="str">
        <x:v>P4.2 blocked; D-110 decision required</x:v>
      </x:c>
      <x:c r="C7" s="691"/>
      <x:c r="D7" s="691"/>
      <x:c r="F7" s="696" t="str">
        <x:v>Definition of Done</x:v>
      </x:c>
      <x:c r="G7" s="697" t="str">
        <x:v>CEO accepts or revises D-110.</x:v>
      </x:c>
      <x:c r="H7" s="697"/>
    </x:row>
    <x:row r="8" ht="63" customHeight="1">
      <x:c r="A8" s="688" t="str">
        <x:v>Released Kernel</x:v>
      </x:c>
      <x:c r="B8" s="691" t="str">
        <x:v>v0.2.0 / commit 45336a2</x:v>
      </x:c>
      <x:c r="C8" s="691"/>
      <x:c r="D8" s="691"/>
      <x:c r="F8" s="696" t="str">
        <x:v>Immediate Next Action</x:v>
      </x:c>
      <x:c r="G8" s="697" t="str">
        <x:v>Review p4_2_held_out_contamination_and_replacement_gate_v0.3.0.md.</x:v>
      </x:c>
      <x:c r="H8" s="697"/>
    </x:row>
    <x:row r="9" ht="72" customHeight="1">
      <x:c r="A9" s="688" t="str">
        <x:v>Release Target</x:v>
      </x:c>
      <x:c r="B9" s="691" t="str">
        <x:v>v0.3.0</x:v>
      </x:c>
      <x:c r="C9" s="691"/>
      <x:c r="D9" s="691"/>
      <x:c r="F9" s="696" t="str">
        <x:v>Primary Risk</x:v>
      </x:c>
      <x:c r="G9" s="697" t="str">
        <x:v>Existing held-out family is release-ineligible after pre-run oracle metadata exposure.</x:v>
      </x:c>
      <x:c r="H9" s="697"/>
    </x:row>
    <x:row r="10" ht="81" customHeight="1">
      <x:c r="A10" s="688" t="str">
        <x:v>Baseline Test Count</x:v>
      </x:c>
      <x:c r="B10" s="691" t="n">
        <x:v>121</x:v>
      </x:c>
      <x:c r="C10" s="691"/>
      <x:c r="D10" s="691"/>
      <x:c r="F10" s="696" t="str">
        <x:v>Deferred</x:v>
      </x:c>
      <x:c r="G10" s="697" t="str">
        <x:v>All held-out execution, P4.3, protected changes, public reruns, and deferred capabilities.</x:v>
      </x:c>
      <x:c r="H10" s="697"/>
    </x:row>
    <x:row r="11" ht="63" customHeight="1">
      <x:c r="A11" s="688" t="str">
        <x:v>Fixture Package Families</x:v>
      </x:c>
      <x:c r="B11" s="691" t="n">
        <x:v>2</x:v>
      </x:c>
      <x:c r="C11" s="691"/>
      <x:c r="D11" s="691"/>
      <x:c r="F11" s="696" t="str">
        <x:v>Data Boundary</x:v>
      </x:c>
      <x:c r="G11" s="697" t="str">
        <x:v>Exposed family remains byte-unchanged and unexecuted; no protected or scenario-expected value was surfaced to or inspected by the implementation context.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Blocked / Definition Review</x:v>
      </x:c>
      <x:c r="C19" s="699" t="str">
        <x:v>D-110 decision required</x:v>
      </x:c>
      <x:c r="D19" s="700" t="n">
        <x:v>0.4</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486" customHeight="1">
      <x:c r="A52" s="431" t="n">
        <x:v>29</x:v>
      </x:c>
      <x:c r="B52" s="431" t="str">
        <x:v>P4.2</x:v>
      </x:c>
      <x:c r="C52" s="431" t="str">
        <x:v>Held-out contamination and replacement definition</x:v>
      </x:c>
      <x:c r="D52" s="431" t="str">
        <x:v>Record the pre-run metadata exposure, preserve the existing family unchanged and unexecuted, and freeze authority, isolation, matrix, hash, first-run, comparison, and rerun rules for a materially distinct replacement.</x:v>
      </x:c>
      <x:c r="E52" s="431" t="str">
        <x:v>Blocked / Definition Review</x:v>
      </x:c>
      <x:c r="F52" s="431" t="str">
        <x:v>codex/p4.2-held-out-benchmark-definition</x:v>
      </x:c>
      <x:c r="G52" s="431" t="str">
        <x:v>D-110 proposed; I-006; EV-144; IMP-023; existing family unexecuted and release-ineligible; exact main 5a4d57e; replacement and execution not authorized</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