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ba60cab16845ff" /></Relationships>
</file>

<file path=xl/workbook.xml><?xml version="1.0" encoding="utf-8"?>
<x:workbook xmlns:x="http://schemas.openxmlformats.org/spreadsheetml/2006/main">
  <x:sheets>
    <x:sheet xmlns:r="http://schemas.openxmlformats.org/officeDocument/2006/relationships" name="Start Here" sheetId="1" r:id="R756a34a8412748b2"/>
    <x:sheet xmlns:r="http://schemas.openxmlformats.org/officeDocument/2006/relationships" name="Executive Gantt" sheetId="2" r:id="Rd7cbcf4da43b4ad0"/>
    <x:sheet xmlns:r="http://schemas.openxmlformats.org/officeDocument/2006/relationships" name="Detailed Gantt" sheetId="3" r:id="R44edd6ab9f7d41f9"/>
    <x:sheet xmlns:r="http://schemas.openxmlformats.org/officeDocument/2006/relationships" name="Weekly Control" sheetId="4" r:id="R4c7213c5122f4136"/>
    <x:sheet xmlns:r="http://schemas.openxmlformats.org/officeDocument/2006/relationships" name="Phase Summary" sheetId="5" r:id="R236c53ff528941fd"/>
    <x:sheet xmlns:r="http://schemas.openxmlformats.org/officeDocument/2006/relationships" name="Assumptions &amp; Gates" sheetId="6" r:id="Rd1c09555cd9a42b1"/>
    <x:sheet xmlns:r="http://schemas.openxmlformats.org/officeDocument/2006/relationships" name="Sources" sheetId="7" r:id="R9faf7711e22e46b3"/>
    <x:sheet xmlns:r="http://schemas.openxmlformats.org/officeDocument/2006/relationships" name="Legacy Baseline" sheetId="8" r:id="Re29c3a3c2efb4457"/>
    <x:sheet xmlns:r="http://schemas.openxmlformats.org/officeDocument/2006/relationships" name="Work Block Log" sheetId="9" r:id="Red45916e33274b46"/>
    <x:sheet xmlns:r="http://schemas.openxmlformats.org/officeDocument/2006/relationships" name="Decision Register" sheetId="10" r:id="Rb6119ec4eb094af1"/>
    <x:sheet xmlns:r="http://schemas.openxmlformats.org/officeDocument/2006/relationships" name="Risks &amp; Issues" sheetId="11" r:id="R24c988bf627e46ab"/>
    <x:sheet xmlns:r="http://schemas.openxmlformats.org/officeDocument/2006/relationships" name="Evidence Register" sheetId="12" r:id="R72f476123ed049e1"/>
    <x:sheet xmlns:r="http://schemas.openxmlformats.org/officeDocument/2006/relationships" name="Expansion Backlog" sheetId="13" r:id="R32c1e4dd864c4142"/>
    <x:sheet xmlns:r="http://schemas.openxmlformats.org/officeDocument/2006/relationships" name="AI Context" sheetId="14" r:id="R6f60822bbfbd499f"/>
    <x:sheet xmlns:r="http://schemas.openxmlformats.org/officeDocument/2006/relationships" name="MVP Dashboard" sheetId="15" r:id="Rb728b202a6a54e16"/>
    <x:sheet xmlns:r="http://schemas.openxmlformats.org/officeDocument/2006/relationships" name="Product Vision" sheetId="16" r:id="Ra26228c51b194044"/>
    <x:sheet xmlns:r="http://schemas.openxmlformats.org/officeDocument/2006/relationships" name="Pilot Gantt" sheetId="17" r:id="R9898ade1b8f6449c"/>
    <x:sheet xmlns:r="http://schemas.openxmlformats.org/officeDocument/2006/relationships" name="Pilot Dashboard" sheetId="18" r:id="R44eba4632d5c4c7f"/>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<x:sst xmlns:x="http://schemas.openxmlformats.org/spreadsheetml/2006/main">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</x:sst>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b5a8e6ce7ab48f1" /><Relationship Type="http://schemas.openxmlformats.org/officeDocument/2006/relationships/theme" Target="/xl/theme/theme1.xml" Id="R2466673892f64f2c" /><Relationship Type="http://schemas.openxmlformats.org/officeDocument/2006/relationships/sharedStrings" Target="/xl/sharedStrings.xml" Id="Rd87c3de89255494c" /><Relationship Type="http://schemas.openxmlformats.org/officeDocument/2006/relationships/worksheet" Target="/xl/worksheets/sheet1.xml" Id="R756a34a8412748b2" /><Relationship Type="http://schemas.openxmlformats.org/officeDocument/2006/relationships/worksheet" Target="/xl/worksheets/sheet2.xml" Id="Rd7cbcf4da43b4ad0" /><Relationship Type="http://schemas.openxmlformats.org/officeDocument/2006/relationships/worksheet" Target="/xl/worksheets/sheet3.xml" Id="R44edd6ab9f7d41f9" /><Relationship Type="http://schemas.openxmlformats.org/officeDocument/2006/relationships/worksheet" Target="/xl/worksheets/sheet4.xml" Id="R4c7213c5122f4136" /><Relationship Type="http://schemas.openxmlformats.org/officeDocument/2006/relationships/worksheet" Target="/xl/worksheets/sheet5.xml" Id="R236c53ff528941fd" /><Relationship Type="http://schemas.openxmlformats.org/officeDocument/2006/relationships/worksheet" Target="/xl/worksheets/sheet6.xml" Id="Rd1c09555cd9a42b1" /><Relationship Type="http://schemas.openxmlformats.org/officeDocument/2006/relationships/worksheet" Target="/xl/worksheets/sheet7.xml" Id="R9faf7711e22e46b3" /><Relationship Type="http://schemas.openxmlformats.org/officeDocument/2006/relationships/worksheet" Target="/xl/worksheets/sheet8.xml" Id="Re29c3a3c2efb4457" /><Relationship Type="http://schemas.openxmlformats.org/officeDocument/2006/relationships/worksheet" Target="/xl/worksheets/sheet9.xml" Id="Red45916e33274b46" /><Relationship Type="http://schemas.openxmlformats.org/officeDocument/2006/relationships/worksheet" Target="/xl/worksheets/sheet10.xml" Id="Rb6119ec4eb094af1" /><Relationship Type="http://schemas.openxmlformats.org/officeDocument/2006/relationships/worksheet" Target="/xl/worksheets/sheet11.xml" Id="R24c988bf627e46ab" /><Relationship Type="http://schemas.openxmlformats.org/officeDocument/2006/relationships/worksheet" Target="/xl/worksheets/sheet12.xml" Id="R72f476123ed049e1" /><Relationship Type="http://schemas.openxmlformats.org/officeDocument/2006/relationships/worksheet" Target="/xl/worksheets/sheet13.xml" Id="R32c1e4dd864c4142" /><Relationship Type="http://schemas.openxmlformats.org/officeDocument/2006/relationships/worksheet" Target="/xl/worksheets/sheet14.xml" Id="R6f60822bbfbd499f" /><Relationship Type="http://schemas.openxmlformats.org/officeDocument/2006/relationships/worksheet" Target="/xl/worksheets/sheet15.xml" Id="Rb728b202a6a54e16" /><Relationship Type="http://schemas.openxmlformats.org/officeDocument/2006/relationships/worksheet" Target="/xl/worksheets/sheet16.xml" Id="Ra26228c51b194044" /><Relationship Type="http://schemas.openxmlformats.org/officeDocument/2006/relationships/worksheet" Target="/xl/worksheets/sheet17.xml" Id="R9898ade1b8f6449c" /><Relationship Type="http://schemas.openxmlformats.org/officeDocument/2006/relationships/worksheet" Target="/xl/worksheets/sheet18.xml" Id="R44eba4632d5c4c7f" /></Relationships>
</file>

<file path=xl/drawings/_rels/drawing1.xml.rels>&#65279;<?xml version="1.0" encoding="utf-8"?><Relationships xmlns="http://schemas.openxmlformats.org/package/2006/relationships"><Relationship Type="http://schemas.openxmlformats.org/officeDocument/2006/relationships/chart" Target="/xl/drawings/charts/chart1.xml" Id="Raf0f0adc9a584fe3" /></Relationships>
</file>

<file path=xl/drawings/_rels/drawing2.xml.rels>&#65279;<?xml version="1.0" encoding="utf-8"?><Relationships xmlns="http://schemas.openxmlformats.org/package/2006/relationships"><Relationship Type="http://schemas.openxmlformats.org/officeDocument/2006/relationships/chart" Target="/xl/drawings/charts/chart2.xml" Id="Rd0d2f801d1f64e1d" /></Relationships>
</file>

<file path=xl/drawings/_rels/drawing3.xml.rels>&#65279;<?xml version="1.0" encoding="utf-8"?><Relationships xmlns="http://schemas.openxmlformats.org/package/2006/relationships"><Relationship Type="http://schemas.openxmlformats.org/officeDocument/2006/relationships/chart" Target="/xl/drawings/charts/chart3.xml" Id="R895eec2bba9246d3"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f0f0adc9a584fe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0d2f801d1f64e1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95eec2bba9246d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52a5cd311ebc4fd1" /></Relationships>
</file>

<file path=xl/worksheets/_rels/sheet5.xml.rels>&#65279;<?xml version="1.0" encoding="utf-8"?><Relationships xmlns="http://schemas.openxmlformats.org/package/2006/relationships"><Relationship Type="http://schemas.openxmlformats.org/officeDocument/2006/relationships/drawing" Target="/xl/drawings/drawing2.xml" Id="R9db2c330f4ef415c" /></Relationships>
</file>

<file path=xl/worksheets/_rels/sheet15.xml.rels>&#65279;<?xml version="1.0" encoding="utf-8"?><Relationships xmlns="http://schemas.openxmlformats.org/package/2006/relationships"><Relationship Type="http://schemas.openxmlformats.org/officeDocument/2006/relationships/drawing" Target="/xl/drawings/drawing3.xml" Id="Rcf28c2c7a6e04d8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6" customHeight="1">
      <x:c r="A4" s="545" t="str">
        <x:v>Control revision</x:v>
      </x:c>
      <x:c r="B4" s="755" t="str">
        <x:v>Program v3.0 - P2.2 accepted and integrated; P2.4 result core authorized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P2.4 minimum package-result core</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P2.4 - Completeness, final findings, state, result, persistence</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Implement only the bounded result core; reports and CLI remain blocked</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597" t="str">
        <x:v>The user accepted and authorized integration of the first-usable-audit definition and fifth P2.2 relationship check on 2026-07-19. PR #36 merged the accepted definition at 5b32b6d; PR #37 merged drawing_register_manifest_file_reciprocity implementation 4f06352 at exact main 5571d2a. Exact merged-tree verification: relationship 25; focused 51; full 222 passed / 1 expected Windows symlink skip; repository validation 5/5; Ruff passed; coverage 85.64%; GitHub CI green. P2.2 is complete for the accepted vertical slice. P2.4 is now authorized only for required-result completeness, canonical final findings, deterministic state precedence, versioned package-result model/schema, and immutable persistence. Reports, CLI, P2.3, semantic held-out execution, protected assets,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52a5cd311ebc4fd1"/>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9db2c330f4ef415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4"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P2.4 minimum package-result core</x:v>
      </x:c>
    </x:row>
    <x:row r="7" ht="99"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Eight gates and five drawing checks are integrated, but they still stop at separate intermediate evaluations. There is no required-result completeness control, canonical final-finding set, selected package state, schema-valid package result, or package-specific immutable persistence.</x:v>
      </x:c>
      <x:c r="E7" s="765" t="str">
        <x:v>Product interpretation</x:v>
      </x:c>
      <x:c r="F7" s="431" t="str">
        <x:v>Successful kernel; not yet a complete economically useful workflow.</x:v>
      </x:c>
      <x:c r="G7" s="765" t="str">
        <x:v>Response</x:v>
      </x:c>
      <x:c r="H7" s="431" t="str">
        <x:v>Implement only the accepted P2.4 result core so the proven gate/check set becomes one deterministic, immutable machine-readable package result.</x:v>
      </x:c>
    </x:row>
    <x:row r="8" ht="90" hidden="0" customHeight="1">
      <x:c r="A8" s="765" t="str">
        <x:v>Immediate next action</x:v>
      </x:c>
      <x:c r="B8" s="431" t="str">
        <x:v>Create codex/p2.4-result-core from exact main 5571d2a. Implement completeness, canonical findings, state precedence, result model/schema, and immutable persistence; do not add reports or CLI.</x:v>
      </x:c>
      <x:c r="C8" s="765" t="str">
        <x:v>Selected vertical</x:v>
      </x:c>
      <x:c r="D8" s="431" t="str">
        <x:v>Eight P2.1 gates -&gt; five P2.2 checks -&gt; completeness control -&gt; canonical final findings -&gt; state router -&gt; immutable package result.</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26" hidden="0" customHeight="1">
      <x:c r="A41" s="604" t="str">
        <x:v>Immediate implication</x:v>
      </x:c>
      <x:c r="B41" s="605"/>
      <x:c r="C41" s="606" t="str">
        <x:v>P2.2 is accepted and integrated through PRs #36-#37 at exact main 5571d2a. P2.4 is the active block. A package may pass only when all eight required gates and five required checks are present exactly once and pass. Retain all non-pass states, apply the accepted precedence, and preserve any release hold. Authority findings keep authority_rule_id; pre-authority structural/tool findings use an honest governing_control_id. The versioned package result must validate before immutable write and repeated unchanged evaluations must preserve semantic findings and order. P3 reports and CLI remain separate gates.</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f28c2c7a6e04d8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In Progress</x:v>
      </x:c>
      <x:c r="L14" s="664" t="n">
        <x:v>0</x:v>
      </x:c>
      <x:c r="M14" s="662" t="n">
        <x:f>SUMIF('Work Block Log'!$E$5:$E$200,A14,'Work Block Log'!$F$5:$F$200)</x:f>
        <x:v>0</x:v>
      </x:c>
      <x:c r="N14" s="662" t="n">
        <x:f>MAX(F14*(1-L14),0)</x:f>
        <x:v>3</x:v>
      </x:c>
      <x:c r="O14" s="662" t="n">
        <x:f>M14-F14</x:f>
        <x:v>-3</x:v>
      </x:c>
      <x:c r="P14" s="431" t="str">
        <x:v>codex/p2.4-result-core; accepted vertical-slice definition; exact predecessor main 5571d2a; D-073; D-076; EV-073; IMP-012</x:v>
      </x:c>
      <x:c r="Q14" s="431" t="str">
        <x:v>Implement required-result completeness, canonical final findings, state precedence, package-result model/schema, and immutable persistence only.</x:v>
      </x:c>
      <x:c r="R14" s="431" t="str">
        <x:v>Reports, CLI, P2.3 expansion, semantic held-out execution, protected-asset changes, and deferred capabilities remain blocked. Mandatory holds override any pass path.</x:v>
      </x:c>
      <x:c r="S14" s="669"/>
      <x:c r="T14" s="669"/>
      <x:c r="U14" s="669"/>
      <x:c r="V14" s="669" t="str">
        <x:v>■</x:v>
      </x:c>
      <x:c r="W14" s="669"/>
      <x:c r="X14" s="669"/>
    </x:row>
    <x:row r="15" ht="135"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 first usable audit definition; D-072; EV-069</x:v>
      </x:c>
      <x:c r="Q15" s="431" t="str">
        <x:v>After the accepted result core, render CSV and Markdown issue registers as pure views of package_result.json.</x:v>
      </x:c>
      <x:c r="R15" s="431" t="str">
        <x:v>Canonical findings must be report-ready; report code cannot infer authority, owner, severity, or state from prose messages.</x:v>
      </x:c>
      <x:c r="S15" s="669"/>
      <x:c r="T15" s="669"/>
      <x:c r="U15" s="669"/>
      <x:c r="V15" s="669" t="str">
        <x:v>■</x:v>
      </x:c>
      <x:c r="W15" s="669"/>
      <x:c r="X15" s="669"/>
    </x:row>
    <x:row r="16" ht="135"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 first usable audit definition; D-072; EV-069</x:v>
      </x:c>
      <x:c r="Q16" s="431" t="str">
        <x:v>After the issue-register view, render one concise non-approving release-readiness summary from the same immutable result.</x:v>
      </x:c>
      <x:c r="R16" s="431" t="str">
        <x:v>Summary supports qualified human review and cannot approve release, compliance, or engineering correctness.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0.41304347826086957</x:v>
      </x:c>
      <x:c r="M24" s="683" t="n">
        <x:f>SUM(M6:M22)</x:f>
        <x:v>0</x:v>
      </x:c>
      <x:c r="N24" s="683" t="n">
        <x:f>SUM(N6:N22)</x:f>
        <x:v>27</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P2.4 Result Core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P2.4 - Result completeness, state, model, and persistence</x:v>
      </x:c>
      <x:c r="H4" s="697"/>
    </x:row>
    <x:row r="5" ht="72" customHeight="1">
      <x:c r="A5" s="688" t="str">
        <x:v>Schedule Baseline</x:v>
      </x:c>
      <x:c r="B5" s="693" t="str">
        <x:v>Legacy only; not controlling</x:v>
      </x:c>
      <x:c r="C5" s="691"/>
      <x:c r="D5" s="691"/>
      <x:c r="F5" s="696" t="str">
        <x:v>Objective</x:v>
      </x:c>
      <x:c r="G5" s="697" t="str">
        <x:v>Turn the accepted eight-gate/five-check evaluation into one deterministic, immutable machine-readable package result.</x:v>
      </x:c>
      <x:c r="H5" s="697"/>
    </x:row>
    <x:row r="6" ht="63" customHeight="1">
      <x:c r="A6" s="688" t="str">
        <x:v>Time Tracking</x:v>
      </x:c>
      <x:c r="B6" s="693" t="str">
        <x:v>Waived prospectively</x:v>
      </x:c>
      <x:c r="C6" s="691"/>
      <x:c r="D6" s="691"/>
      <x:c r="F6" s="696" t="str">
        <x:v>Gate Status</x:v>
      </x:c>
      <x:c r="G6" s="697" t="str">
        <x:v>P2.2 is accepted and integrated at exact main 5571d2a; P2.4 is authorized and active.</x:v>
      </x:c>
      <x:c r="H6" s="697"/>
    </x:row>
    <x:row r="7" ht="81" customHeight="1">
      <x:c r="A7" s="688" t="str">
        <x:v>Current Gate</x:v>
      </x:c>
      <x:c r="B7" s="694" t="str">
        <x:v>P2.4 minimum package-result core</x:v>
      </x:c>
      <x:c r="C7" s="691"/>
      <x:c r="D7" s="691"/>
      <x:c r="F7" s="696" t="str">
        <x:v>Definition of Done</x:v>
      </x:c>
      <x:c r="G7" s="697" t="str">
        <x:v>All required results appear exactly once; final findings are canonical; state precedence and holds are deterministic; result validates before immutable write.</x:v>
      </x:c>
      <x:c r="H7" s="697"/>
    </x:row>
    <x:row r="8" ht="63" customHeight="1">
      <x:c r="A8" s="688" t="str">
        <x:v>Released Kernel</x:v>
      </x:c>
      <x:c r="B8" s="691" t="str">
        <x:v>v0.2.0 / commit 45336a2</x:v>
      </x:c>
      <x:c r="C8" s="691"/>
      <x:c r="D8" s="691"/>
      <x:c r="F8" s="696" t="str">
        <x:v>Immediate Next Action</x:v>
      </x:c>
      <x:c r="G8" s="697" t="str">
        <x:v>Implement the bounded result core on codex/p2.4-result-core.</x:v>
      </x:c>
      <x:c r="H8" s="697"/>
    </x:row>
    <x:row r="9" ht="72" customHeight="1">
      <x:c r="A9" s="688" t="str">
        <x:v>Release Target</x:v>
      </x:c>
      <x:c r="B9" s="691" t="str">
        <x:v>v0.3.0</x:v>
      </x:c>
      <x:c r="C9" s="691"/>
      <x:c r="D9" s="691"/>
      <x:c r="F9" s="696" t="str">
        <x:v>Primary Risk</x:v>
      </x:c>
      <x:c r="G9" s="697" t="str">
        <x:v>Primary risk is accidentally passing an incomplete/skipped evaluator result or losing authority and evidence during final-finding conversion.</x:v>
      </x:c>
      <x:c r="H9" s="697"/>
    </x:row>
    <x:row r="10" ht="81" customHeight="1">
      <x:c r="A10" s="688" t="str">
        <x:v>Baseline Test Count</x:v>
      </x:c>
      <x:c r="B10" s="691" t="n">
        <x:v>121</x:v>
      </x:c>
      <x:c r="C10" s="691"/>
      <x:c r="D10" s="691"/>
      <x:c r="F10" s="696" t="str">
        <x:v>Deferred</x:v>
      </x:c>
      <x:c r="G10" s="697" t="str">
        <x:v>Reports, CLI, P2.3 expansion, semantic held-out execution, protected assets, and deferred platform capabilities remain blocked.</x:v>
      </x:c>
      <x:c r="H10" s="697"/>
    </x:row>
    <x:row r="11" ht="63" customHeight="1">
      <x:c r="A11" s="688" t="str">
        <x:v>Fixture Package Families</x:v>
      </x:c>
      <x:c r="B11" s="691" t="n">
        <x:v>2</x:v>
      </x:c>
      <x:c r="C11" s="691"/>
      <x:c r="D11" s="691"/>
      <x:c r="F11" s="696" t="str">
        <x:v>Data Boundary</x:v>
      </x:c>
      <x:c r="G11" s="697" t="str">
        <x:v>P2.3 remains required after the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P2.2 integrated; P2.4 active</x:v>
      </x:c>
      <x:c r="D17" s="700" t="n">
        <x:v>0.5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Authorized / In Progress</x:v>
      </x:c>
      <x:c r="F28" s="431" t="str">
        <x:v>codex/p2.4-result-core</x:v>
      </x:c>
      <x:c r="G28" s="431" t="str">
        <x:v>exact predecessor main 5571d2a; PR #36 5b32b6d; PR #37 5571d2a; D-075-D-076; EV-072-EV-073; merged verification relationship 25, focused 51, full 222/1, validation 5/5, Ruff, coverage 85.64%; protected assets unchanged</x:v>
      </x:c>
      <x:c r="H2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